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20730" windowHeight="11760"/>
  </bookViews>
  <sheets>
    <sheet name="monthwise " sheetId="1" r:id="rId1"/>
  </sheets>
  <externalReferences>
    <externalReference r:id="rId2"/>
  </externalReferences>
  <definedNames>
    <definedName name="af">#REF!</definedName>
    <definedName name="CUM_ACT_17_18">'[1]ACT 17-18'!$U$3:$AE$74</definedName>
    <definedName name="gbkkp" localSheetId="0" hidden="1">{#N/A,#N/A,FALSE,"BSP";#N/A,#N/A,FALSE,"DSP";#N/A,#N/A,FALSE,"RSP";#N/A,#N/A,FALSE,"BSL";#N/A,#N/A,FALSE,"IISCO";#N/A,#N/A,FALSE,"MONTH";#N/A,#N/A,FALSE,"CUMUL"}</definedName>
    <definedName name="_xlnm.Print_Area" localSheetId="0">'monthwise '!$A$1:$P$1177</definedName>
    <definedName name="_xlnm.Print_Titles" localSheetId="0">'monthwise '!$A:$A,'monthwise '!$1:$7</definedName>
    <definedName name="wrn.ois." localSheetId="0" hidden="1">{#N/A,#N/A,FALSE,"BSP";#N/A,#N/A,FALSE,"DSP";#N/A,#N/A,FALSE,"RSP";#N/A,#N/A,FALSE,"BSL";#N/A,#N/A,FALSE,"IISCO";#N/A,#N/A,FALSE,"MONTH";#N/A,#N/A,FALSE,"CUMUL"}</definedName>
    <definedName name="Z_1EB0C6B7_5C0B_48BF_97BC_C3A295457762_.wvu.PrintArea" localSheetId="0" hidden="1">'monthwise '!$A$1:$P$1177</definedName>
    <definedName name="Z_1EB0C6B7_5C0B_48BF_97BC_C3A295457762_.wvu.PrintTitles" localSheetId="0" hidden="1">'monthwise '!$A:$A,'monthwise '!$1:$7</definedName>
    <definedName name="Z_1EB0C6B7_5C0B_48BF_97BC_C3A295457762_.wvu.Rows" localSheetId="0" hidden="1">'monthwise '!$4:$6,'monthwise '!$21:$36,'monthwise '!$50:$64,'monthwise '!$78:$93,'monthwise '!$107:$122,'monthwise '!$136:$153,'monthwise '!$167:$182,'monthwise '!$196:$211,'monthwise '!$225:$240,'monthwise '!$254:$269,'monthwise '!$283:$298,'monthwise '!$312:$316,'monthwise '!$330:$346,'monthwise '!$360:$375,'monthwise '!$389:$404,'monthwise '!$418:$433,'monthwise '!$447:$463,'monthwise '!$477:$492,'monthwise '!$506:$521,'monthwise '!$535:$550,'monthwise '!$564:$579,'monthwise '!$593:$610,'monthwise '!$624:$639,'monthwise '!$653:$668,'monthwise '!$682:$697,'monthwise '!$711:$726,'monthwise '!$740:$755,'monthwise '!$769:$784,'monthwise '!$798:$802,'monthwise '!$816:$831,'monthwise '!$845:$859,'monthwise '!$873:$888,'monthwise '!$902:$917,'monthwise '!$931:$946,'monthwise '!$960:$977,'monthwise '!$991:$1006,'monthwise '!$1020:$1035,'monthwise '!$1049:$1064,'monthwise '!$1078:$1093,'monthwise '!$1107:$1124,'monthwise '!$1138:$1145,'monthwise '!$1159:$1177</definedName>
    <definedName name="Z_504BDB2A_F192_4011_9DD5_A8EE3DD3986D_.wvu.PrintArea" localSheetId="0" hidden="1">'monthwise '!$A$1:$P$1177</definedName>
    <definedName name="Z_504BDB2A_F192_4011_9DD5_A8EE3DD3986D_.wvu.PrintTitles" localSheetId="0" hidden="1">'monthwise '!$A:$A,'monthwise '!$1:$7</definedName>
    <definedName name="Z_504BDB2A_F192_4011_9DD5_A8EE3DD3986D_.wvu.Rows" localSheetId="0" hidden="1">'monthwise '!$4:$6,'monthwise '!$21:$36,'monthwise '!$50:$64,'monthwise '!$78:$93,'monthwise '!$107:$122,'monthwise '!$136:$153,'monthwise '!$167:$182,'monthwise '!$196:$211,'monthwise '!$225:$240,'monthwise '!$254:$269,'monthwise '!$283:$298,'monthwise '!$312:$316,'monthwise '!$330:$346,'monthwise '!$360:$375,'monthwise '!$389:$404,'monthwise '!$418:$433,'monthwise '!$447:$463,'monthwise '!$477:$492,'monthwise '!$506:$521,'monthwise '!$535:$550,'monthwise '!$564:$579,'monthwise '!$593:$610,'monthwise '!$624:$639,'monthwise '!$653:$668,'monthwise '!$682:$697,'monthwise '!$711:$726,'monthwise '!$740:$755,'monthwise '!$769:$784,'monthwise '!$798:$802,'monthwise '!$816:$831,'monthwise '!$845:$859,'monthwise '!$873:$888,'monthwise '!$902:$917,'monthwise '!$931:$946,'monthwise '!$960:$977,'monthwise '!$991:$1006,'monthwise '!$1020:$1035,'monthwise '!$1049:$1064,'monthwise '!$1078:$1093,'monthwise '!$1107:$1124,'monthwise '!$1138:$1145,'monthwise '!$1159:$1177</definedName>
    <definedName name="Z_A2CE4A9C_6F1C_450A_8CD5_B1330F56C6EE_.wvu.Cols" localSheetId="0" hidden="1">'monthwise '!$Q:$Z</definedName>
    <definedName name="Z_A2CE4A9C_6F1C_450A_8CD5_B1330F56C6EE_.wvu.PrintArea" localSheetId="0" hidden="1">'monthwise '!$A$1:$P$1144</definedName>
    <definedName name="Z_A2CE4A9C_6F1C_450A_8CD5_B1330F56C6EE_.wvu.PrintTitles" localSheetId="0" hidden="1">'monthwise '!$A:$A,'monthwise '!$1:$7</definedName>
    <definedName name="Z_A2CE4A9C_6F1C_450A_8CD5_B1330F56C6EE_.wvu.Rows" localSheetId="0" hidden="1">'monthwise '!$28:$35,'monthwise '!$57:$64,'monthwise '!$85:$92,'monthwise '!$114:$121,'monthwise '!$143:$152,'monthwise '!$174:$181,'monthwise '!$203:$210,'monthwise '!$232:$239,'monthwise '!$261:$268,'monthwise '!$290:$297,'monthwise '!$314:$315,'monthwise '!$337:$344,'monthwise '!$367:$374,'monthwise '!$396:$403,'monthwise '!$425:$432,'monthwise '!$454:$462,'monthwise '!$484:$491,'monthwise '!$513:$520,'monthwise '!$542:$549,'monthwise '!$571:$578,'monthwise '!$600:$609,'monthwise '!$631:$638,'monthwise '!$660:$667,'monthwise '!$718:$725,'monthwise '!$747:$754,'monthwise '!$776:$783,'monthwise '!$823:$830,'monthwise '!$852:$859,'monthwise '!#REF!,'monthwise '!#REF!,'monthwise '!#REF!,'monthwise '!#REF!,'monthwise '!#REF!,'monthwise '!#REF!,'monthwise '!#REF!,'monthwise '!#REF!,'monthwise '!#REF!,'monthwise '!$880:$887,'monthwise '!$938:$945,'monthwise '!$967:$976,'monthwise '!$998:$1005,'monthwise '!$1027:$1034,'monthwise '!$1056:$1063,'monthwise '!$1085:$1092,'monthwise '!$1114:$1123</definedName>
    <definedName name="Z_F7E9512E_032F_43C3_B5BB_B1B51E3C5DCB_.wvu.Cols" localSheetId="0" hidden="1">'monthwise '!$Q:$Z</definedName>
    <definedName name="Z_F7E9512E_032F_43C3_B5BB_B1B51E3C5DCB_.wvu.PrintArea" localSheetId="0" hidden="1">'monthwise '!$A$1:$P$1144</definedName>
    <definedName name="Z_F7E9512E_032F_43C3_B5BB_B1B51E3C5DCB_.wvu.PrintTitles" localSheetId="0" hidden="1">'monthwise '!$A:$A,'monthwise '!$1:$7</definedName>
    <definedName name="Z_F7E9512E_032F_43C3_B5BB_B1B51E3C5DCB_.wvu.Rows" localSheetId="0" hidden="1">'monthwise '!$28:$35,'monthwise '!$57:$64,'monthwise '!$85:$92,'monthwise '!$114:$121,'monthwise '!$143:$152,'monthwise '!$174:$181,'monthwise '!$203:$210,'monthwise '!$232:$239,'monthwise '!$261:$268,'monthwise '!$290:$297,'monthwise '!$314:$315,'monthwise '!$337:$344,'monthwise '!$367:$374,'monthwise '!$396:$403,'monthwise '!$425:$432,'monthwise '!$454:$462,'monthwise '!$484:$491,'monthwise '!$513:$520,'monthwise '!$542:$549,'monthwise '!$571:$578,'monthwise '!$600:$609,'monthwise '!$631:$638,'monthwise '!$660:$667,'monthwise '!$718:$725,'monthwise '!$747:$754,'monthwise '!$776:$783,'monthwise '!$823:$830,'monthwise '!$852:$859,'monthwise '!#REF!,'monthwise '!#REF!,'monthwise '!#REF!,'monthwise '!#REF!,'monthwise '!#REF!,'monthwise '!#REF!,'monthwise '!#REF!,'monthwise '!#REF!,'monthwise '!#REF!,'monthwise '!$880:$887,'monthwise '!$938:$945,'monthwise '!$967:$976,'monthwise '!$998:$1005,'monthwise '!$1027:$1034,'monthwise '!$1056:$1063,'monthwise '!$1085:$1092,'monthwise '!$1114:$1123</definedName>
  </definedNames>
  <calcPr calcId="144525"/>
</workbook>
</file>

<file path=xl/calcChain.xml><?xml version="1.0" encoding="utf-8"?>
<calcChain xmlns="http://schemas.openxmlformats.org/spreadsheetml/2006/main">
  <c r="L993" i="1" l="1"/>
  <c r="M725" i="1"/>
  <c r="N723" i="1"/>
  <c r="L721" i="1"/>
  <c r="L605" i="1"/>
  <c r="D276" i="1"/>
  <c r="D305" i="1" s="1"/>
  <c r="D382" i="1" s="1"/>
  <c r="D411" i="1" s="1"/>
  <c r="D440" i="1" s="1"/>
  <c r="D470" i="1" s="1"/>
  <c r="D617" i="1" s="1"/>
  <c r="D646" i="1" s="1"/>
  <c r="D675" i="1" s="1"/>
  <c r="D704" i="1" s="1"/>
  <c r="D791" i="1" s="1"/>
  <c r="D809" i="1" s="1"/>
  <c r="D895" i="1" s="1"/>
  <c r="D924" i="1" s="1"/>
  <c r="D953" i="1" s="1"/>
  <c r="D984" i="1" s="1"/>
  <c r="D1071" i="1" s="1"/>
  <c r="D1100" i="1" s="1"/>
  <c r="L257" i="1"/>
  <c r="O255" i="1"/>
  <c r="L208" i="1"/>
  <c r="P139" i="1"/>
  <c r="M139" i="1"/>
  <c r="L139" i="1"/>
  <c r="H139" i="1"/>
  <c r="G139" i="1"/>
  <c r="C131" i="1"/>
  <c r="C220" i="1" s="1"/>
  <c r="C249" i="1" s="1"/>
  <c r="C278" i="1" s="1"/>
  <c r="C307" i="1" s="1"/>
  <c r="C384" i="1" s="1"/>
  <c r="C413" i="1" s="1"/>
  <c r="C442" i="1" s="1"/>
  <c r="C472" i="1" s="1"/>
  <c r="C619" i="1" s="1"/>
  <c r="C648" i="1" s="1"/>
  <c r="C677" i="1" s="1"/>
  <c r="C706" i="1" s="1"/>
  <c r="C793" i="1" s="1"/>
  <c r="C811" i="1" s="1"/>
  <c r="P110" i="1"/>
  <c r="M110" i="1"/>
  <c r="L110" i="1"/>
  <c r="G110" i="1"/>
  <c r="D100" i="1"/>
  <c r="D129" i="1" s="1"/>
  <c r="D218" i="1" s="1"/>
  <c r="D45" i="1"/>
  <c r="D73" i="1" s="1"/>
  <c r="D102" i="1" s="1"/>
  <c r="D131" i="1" s="1"/>
  <c r="D220" i="1" s="1"/>
  <c r="D249" i="1" s="1"/>
  <c r="D278" i="1" s="1"/>
  <c r="D307" i="1" s="1"/>
  <c r="D384" i="1" s="1"/>
  <c r="D413" i="1" s="1"/>
  <c r="D442" i="1" s="1"/>
  <c r="D472" i="1" s="1"/>
  <c r="D619" i="1" s="1"/>
  <c r="D648" i="1" s="1"/>
  <c r="D677" i="1" s="1"/>
  <c r="D706" i="1" s="1"/>
  <c r="D793" i="1" s="1"/>
  <c r="D811" i="1" s="1"/>
  <c r="D44" i="1"/>
  <c r="D72" i="1" s="1"/>
  <c r="D101" i="1" s="1"/>
  <c r="D130" i="1" s="1"/>
  <c r="D219" i="1" s="1"/>
  <c r="D248" i="1" s="1"/>
  <c r="D277" i="1" s="1"/>
  <c r="D306" i="1" s="1"/>
  <c r="D383" i="1" s="1"/>
  <c r="D412" i="1" s="1"/>
  <c r="D441" i="1" s="1"/>
  <c r="D471" i="1" s="1"/>
  <c r="D618" i="1" s="1"/>
  <c r="D647" i="1" s="1"/>
  <c r="D676" i="1" s="1"/>
  <c r="D705" i="1" s="1"/>
  <c r="D792" i="1" s="1"/>
  <c r="D810" i="1" s="1"/>
  <c r="D896" i="1" s="1"/>
  <c r="D925" i="1" s="1"/>
  <c r="D954" i="1" s="1"/>
  <c r="D985" i="1" s="1"/>
  <c r="D1072" i="1" s="1"/>
  <c r="D1101" i="1" s="1"/>
  <c r="I1006" i="1" l="1"/>
  <c r="F1006" i="1"/>
  <c r="K1006" i="1"/>
  <c r="O1006" i="1"/>
  <c r="H1006" i="1"/>
  <c r="L1006" i="1"/>
  <c r="P1006" i="1"/>
  <c r="P1162" i="1" l="1"/>
  <c r="F1162" i="1"/>
  <c r="N1006" i="1"/>
  <c r="N1162" i="1"/>
  <c r="G1006" i="1"/>
  <c r="J1006" i="1"/>
  <c r="M1006" i="1"/>
  <c r="E1006" i="1"/>
  <c r="O1162" i="1" l="1"/>
  <c r="H1162" i="1"/>
  <c r="G1162" i="1"/>
  <c r="M1162" i="1"/>
  <c r="E1162" i="1"/>
  <c r="K1162" i="1"/>
  <c r="J1162" i="1"/>
  <c r="I1162" i="1"/>
  <c r="L1162" i="1"/>
</calcChain>
</file>

<file path=xl/sharedStrings.xml><?xml version="1.0" encoding="utf-8"?>
<sst xmlns="http://schemas.openxmlformats.org/spreadsheetml/2006/main" count="1584" uniqueCount="56">
  <si>
    <t>MONTH-WISE PRODUCTION TREND</t>
  </si>
  <si>
    <t>Items</t>
  </si>
  <si>
    <t>Plant</t>
  </si>
  <si>
    <t>Year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</si>
  <si>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</si>
  <si>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</si>
  <si>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</si>
  <si>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</si>
  <si>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</si>
  <si>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</si>
  <si>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</si>
  <si>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</si>
  <si>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</si>
  <si>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Jan</t>
  </si>
  <si>
    <t>Feb</t>
  </si>
  <si>
    <t>Mar</t>
  </si>
  <si>
    <t xml:space="preserve">Oven Pushing
(Nos./day) </t>
  </si>
  <si>
    <t>BSP</t>
  </si>
  <si>
    <t>Actual</t>
  </si>
  <si>
    <t>2025-26</t>
  </si>
  <si>
    <t>2024-25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</si>
  <si>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</si>
  <si>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</si>
  <si>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</si>
  <si>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</si>
  <si>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</si>
  <si>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</si>
  <si>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</si>
  <si>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</si>
  <si>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</si>
  <si>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</si>
  <si>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</si>
  <si>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</si>
  <si>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</si>
  <si>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</si>
  <si>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</si>
  <si>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</si>
  <si>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2007-08</t>
  </si>
  <si>
    <t>2006-07</t>
  </si>
  <si>
    <t>2005-06</t>
  </si>
  <si>
    <t>2004-05</t>
  </si>
  <si>
    <t>2003-04</t>
  </si>
  <si>
    <t>2002-03</t>
  </si>
  <si>
    <t>2001-02</t>
  </si>
  <si>
    <t>2000-01</t>
  </si>
  <si>
    <t>DSP</t>
  </si>
  <si>
    <t>BSL</t>
  </si>
  <si>
    <t>ISP</t>
  </si>
  <si>
    <t>Sinter 
('000 T)</t>
  </si>
  <si>
    <t>RSP</t>
  </si>
  <si>
    <t>Hot metal
('000 T)</t>
  </si>
  <si>
    <t>VISL</t>
  </si>
  <si>
    <t xml:space="preserve">Crude Steel
('000 T) </t>
  </si>
  <si>
    <t>ASP</t>
  </si>
  <si>
    <t>SSP</t>
  </si>
  <si>
    <t>Saleable Steel
('000 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</si>
</sst>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 * #,##0.00_ ;_ * \-#,##0.00_ ;_ * &quot;-&quot;??_ ;_ @_ "/>
    <numFmt numFmtId="164" formatCode="0.000"/>
    <numFmt numFmtId="165" formatCode="0.0"/>
    <numFmt numFmtId="166" formatCode="_(* #,##0.00_);_(* \(#,##0.00\);_(* &quot;-&quot;??_);_(@_)"/>
    <numFmt numFmtId="167" formatCode="_(&quot;$&quot;* #,##0.00_);_(&quot;$&quot;* \(#,##0.00\);_(&quot;$&quot;* &quot;-&quot;??_);_(@_)"/>
    <numFmt numFmtId="168" formatCode="0.0%"/>
    <numFmt numFmtId="169" formatCode="0.00_)"/>
  </numFmts>
  <fonts count="70">
    <font>
      <sz val="8"/>
      <name val="Times New Roman"/>
      <family val="1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26"/>
      <name val="Arial "/>
    </font>
    <font>
      <b/>
      <sz val="48"/>
      <name val="Arial "/>
      <charset val="134"/>
    </font>
    <font>
      <sz val="26"/>
      <name val="Arial "/>
      <charset val="134"/>
    </font>
    <font>
      <sz val="48"/>
      <color rgb="FF0000FF"/>
      <name val="Arial "/>
      <charset val="134"/>
    </font>
    <font>
      <sz val="48"/>
      <name val="Arial "/>
      <charset val="134"/>
    </font>
    <font>
      <sz val="36"/>
      <name val="Arial "/>
      <charset val="134"/>
    </font>
    <font>
      <sz val="36"/>
      <name val="Arial"/>
      <family val="2"/>
    </font>
    <font>
      <sz val="28"/>
      <name val="Arial "/>
      <charset val="134"/>
    </font>
    <font>
      <b/>
      <sz val="28"/>
      <name val="Arial "/>
      <charset val="134"/>
    </font>
    <font>
      <b/>
      <sz val="28"/>
      <name val="Arial "/>
    </font>
    <font>
      <b/>
      <sz val="36"/>
      <name val="Arial "/>
      <charset val="134"/>
    </font>
    <font>
      <b/>
      <sz val="36"/>
      <name val="Arial"/>
      <family val="2"/>
    </font>
    <font>
      <b/>
      <sz val="48"/>
      <color rgb="FF0000FF"/>
      <name val="Arial "/>
      <charset val="134"/>
    </font>
    <font>
      <sz val="10"/>
      <name val="Arial"/>
      <family val="2"/>
    </font>
    <font>
      <b/>
      <sz val="26"/>
      <name val="Arial "/>
      <charset val="134"/>
    </font>
    <font>
      <b/>
      <sz val="36"/>
      <color theme="0"/>
      <name val="Arial "/>
      <charset val="134"/>
    </font>
    <font>
      <sz val="36"/>
      <color theme="0"/>
      <name val="Arial "/>
      <charset val="134"/>
    </font>
    <font>
      <sz val="36"/>
      <color theme="0"/>
      <name val="Arial "/>
    </font>
    <font>
      <sz val="36"/>
      <name val="Arial "/>
    </font>
    <font>
      <sz val="26"/>
      <name val="Arial "/>
    </font>
    <font>
      <sz val="8"/>
      <name val="Times New Roman"/>
      <family val="1"/>
    </font>
    <font>
      <b/>
      <sz val="36"/>
      <name val="Arial "/>
    </font>
    <font>
      <b/>
      <sz val="48"/>
      <name val="Arial "/>
    </font>
    <font>
      <sz val="48"/>
      <name val="Arial 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rgb="FF7F7F7F"/>
      <name val="Calibri"/>
      <family val="2"/>
      <scheme val="minor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sz val="11"/>
      <color theme="3"/>
      <name val="Calibri"/>
      <family val="2"/>
      <scheme val="minor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Courier"/>
      <family val="3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Courier"/>
      <family val="3"/>
    </font>
    <font>
      <sz val="12"/>
      <name val="Arial"/>
      <family val="2"/>
    </font>
    <font>
      <sz val="12"/>
      <color theme="1"/>
      <name val="Arial"/>
      <family val="2"/>
    </font>
    <font>
      <sz val="11"/>
      <color rgb="FF3F3F3F"/>
      <name val="Calibri"/>
      <family val="2"/>
      <scheme val="minor"/>
    </font>
    <font>
      <b/>
      <sz val="11"/>
      <color indexed="63"/>
      <name val="Calibri"/>
      <family val="2"/>
    </font>
    <font>
      <b/>
      <sz val="18"/>
      <color theme="3"/>
      <name val="Cambria"/>
      <family val="1"/>
      <scheme val="major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sz val="11"/>
      <color theme="3"/>
      <name val="Cambria"/>
      <family val="1"/>
      <scheme val="major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7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theme="5" tint="0.799951170384838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5"/>
      </patternFill>
    </fill>
    <fill>
      <patternFill patternType="solid">
        <fgColor theme="6" tint="0.799951170384838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  <fill>
      <patternFill patternType="solid">
        <fgColor theme="7" tint="0.799951170384838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6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7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9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1"/>
      </patternFill>
    </fill>
    <fill>
      <patternFill patternType="solid">
        <fgColor theme="4" tint="0.3999450666829432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0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6"/>
      </patternFill>
    </fill>
    <fill>
      <patternFill patternType="solid">
        <fgColor theme="8" tint="0.399945066682943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9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2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0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7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703">
    <xf numFmtId="0" fontId="0" fillId="0" borderId="0"/>
    <xf numFmtId="0" fontId="17" fillId="0" borderId="0"/>
    <xf numFmtId="0" fontId="31" fillId="0" borderId="0"/>
    <xf numFmtId="0" fontId="3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2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2" fillId="5" borderId="0" applyNumberFormat="0" applyBorder="0" applyAlignment="0" applyProtection="0"/>
    <xf numFmtId="0" fontId="42" fillId="5" borderId="0" applyNumberFormat="0" applyBorder="0" applyAlignment="0" applyProtection="0"/>
    <xf numFmtId="0" fontId="42" fillId="5" borderId="0" applyNumberFormat="0" applyBorder="0" applyAlignment="0" applyProtection="0"/>
    <xf numFmtId="0" fontId="42" fillId="5" borderId="0" applyNumberFormat="0" applyBorder="0" applyAlignment="0" applyProtection="0"/>
    <xf numFmtId="0" fontId="42" fillId="5" borderId="0" applyNumberFormat="0" applyBorder="0" applyAlignment="0" applyProtection="0"/>
    <xf numFmtId="0" fontId="42" fillId="5" borderId="0" applyNumberFormat="0" applyBorder="0" applyAlignment="0" applyProtection="0"/>
    <xf numFmtId="0" fontId="42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2" fillId="5" borderId="0" applyNumberFormat="0" applyBorder="0" applyAlignment="0" applyProtection="0"/>
    <xf numFmtId="0" fontId="1" fillId="4" borderId="0" applyNumberFormat="0" applyBorder="0" applyAlignment="0" applyProtection="0"/>
    <xf numFmtId="0" fontId="42" fillId="5" borderId="0" applyNumberFormat="0" applyBorder="0" applyAlignment="0" applyProtection="0"/>
    <xf numFmtId="0" fontId="1" fillId="4" borderId="0" applyNumberFormat="0" applyBorder="0" applyAlignment="0" applyProtection="0"/>
    <xf numFmtId="0" fontId="42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2" fillId="5" borderId="0" applyNumberFormat="0" applyBorder="0" applyAlignment="0" applyProtection="0"/>
    <xf numFmtId="0" fontId="42" fillId="5" borderId="0" applyNumberFormat="0" applyBorder="0" applyAlignment="0" applyProtection="0"/>
    <xf numFmtId="0" fontId="42" fillId="5" borderId="0" applyNumberFormat="0" applyBorder="0" applyAlignment="0" applyProtection="0"/>
    <xf numFmtId="0" fontId="42" fillId="5" borderId="0" applyNumberFormat="0" applyBorder="0" applyAlignment="0" applyProtection="0"/>
    <xf numFmtId="0" fontId="42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2" fillId="5" borderId="0" applyNumberFormat="0" applyBorder="0" applyAlignment="0" applyProtection="0"/>
    <xf numFmtId="0" fontId="42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2" fillId="5" borderId="0" applyNumberFormat="0" applyBorder="0" applyAlignment="0" applyProtection="0"/>
    <xf numFmtId="0" fontId="42" fillId="5" borderId="0" applyNumberFormat="0" applyBorder="0" applyAlignment="0" applyProtection="0"/>
    <xf numFmtId="0" fontId="42" fillId="5" borderId="0" applyNumberFormat="0" applyBorder="0" applyAlignment="0" applyProtection="0"/>
    <xf numFmtId="0" fontId="42" fillId="5" borderId="0" applyNumberFormat="0" applyBorder="0" applyAlignment="0" applyProtection="0"/>
    <xf numFmtId="0" fontId="42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42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8" borderId="0" applyNumberFormat="0" applyBorder="0" applyAlignment="0" applyProtection="0"/>
    <xf numFmtId="0" fontId="42" fillId="8" borderId="0" applyNumberFormat="0" applyBorder="0" applyAlignment="0" applyProtection="0"/>
    <xf numFmtId="0" fontId="42" fillId="8" borderId="0" applyNumberFormat="0" applyBorder="0" applyAlignment="0" applyProtection="0"/>
    <xf numFmtId="0" fontId="42" fillId="8" borderId="0" applyNumberFormat="0" applyBorder="0" applyAlignment="0" applyProtection="0"/>
    <xf numFmtId="0" fontId="42" fillId="8" borderId="0" applyNumberFormat="0" applyBorder="0" applyAlignment="0" applyProtection="0"/>
    <xf numFmtId="0" fontId="42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42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42" fillId="8" borderId="0" applyNumberFormat="0" applyBorder="0" applyAlignment="0" applyProtection="0"/>
    <xf numFmtId="0" fontId="1" fillId="7" borderId="0" applyNumberFormat="0" applyBorder="0" applyAlignment="0" applyProtection="0"/>
    <xf numFmtId="0" fontId="42" fillId="8" borderId="0" applyNumberFormat="0" applyBorder="0" applyAlignment="0" applyProtection="0"/>
    <xf numFmtId="0" fontId="1" fillId="7" borderId="0" applyNumberFormat="0" applyBorder="0" applyAlignment="0" applyProtection="0"/>
    <xf numFmtId="0" fontId="42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8" borderId="0" applyNumberFormat="0" applyBorder="0" applyAlignment="0" applyProtection="0"/>
    <xf numFmtId="0" fontId="42" fillId="8" borderId="0" applyNumberFormat="0" applyBorder="0" applyAlignment="0" applyProtection="0"/>
    <xf numFmtId="0" fontId="42" fillId="8" borderId="0" applyNumberFormat="0" applyBorder="0" applyAlignment="0" applyProtection="0"/>
    <xf numFmtId="0" fontId="42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8" borderId="0" applyNumberFormat="0" applyBorder="0" applyAlignment="0" applyProtection="0"/>
    <xf numFmtId="0" fontId="42" fillId="8" borderId="0" applyNumberFormat="0" applyBorder="0" applyAlignment="0" applyProtection="0"/>
    <xf numFmtId="0" fontId="42" fillId="8" borderId="0" applyNumberFormat="0" applyBorder="0" applyAlignment="0" applyProtection="0"/>
    <xf numFmtId="0" fontId="42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2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2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2" fillId="11" borderId="0" applyNumberFormat="0" applyBorder="0" applyAlignment="0" applyProtection="0"/>
    <xf numFmtId="0" fontId="1" fillId="10" borderId="0" applyNumberFormat="0" applyBorder="0" applyAlignment="0" applyProtection="0"/>
    <xf numFmtId="0" fontId="42" fillId="11" borderId="0" applyNumberFormat="0" applyBorder="0" applyAlignment="0" applyProtection="0"/>
    <xf numFmtId="0" fontId="1" fillId="10" borderId="0" applyNumberFormat="0" applyBorder="0" applyAlignment="0" applyProtection="0"/>
    <xf numFmtId="0" fontId="42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2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2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2" fillId="14" borderId="0" applyNumberFormat="0" applyBorder="0" applyAlignment="0" applyProtection="0"/>
    <xf numFmtId="0" fontId="1" fillId="13" borderId="0" applyNumberFormat="0" applyBorder="0" applyAlignment="0" applyProtection="0"/>
    <xf numFmtId="0" fontId="42" fillId="14" borderId="0" applyNumberFormat="0" applyBorder="0" applyAlignment="0" applyProtection="0"/>
    <xf numFmtId="0" fontId="1" fillId="13" borderId="0" applyNumberFormat="0" applyBorder="0" applyAlignment="0" applyProtection="0"/>
    <xf numFmtId="0" fontId="42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2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2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2" fillId="17" borderId="0" applyNumberFormat="0" applyBorder="0" applyAlignment="0" applyProtection="0"/>
    <xf numFmtId="0" fontId="1" fillId="16" borderId="0" applyNumberFormat="0" applyBorder="0" applyAlignment="0" applyProtection="0"/>
    <xf numFmtId="0" fontId="42" fillId="17" borderId="0" applyNumberFormat="0" applyBorder="0" applyAlignment="0" applyProtection="0"/>
    <xf numFmtId="0" fontId="1" fillId="16" borderId="0" applyNumberFormat="0" applyBorder="0" applyAlignment="0" applyProtection="0"/>
    <xf numFmtId="0" fontId="42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42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42" fillId="2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42" fillId="20" borderId="0" applyNumberFormat="0" applyBorder="0" applyAlignment="0" applyProtection="0"/>
    <xf numFmtId="0" fontId="1" fillId="19" borderId="0" applyNumberFormat="0" applyBorder="0" applyAlignment="0" applyProtection="0"/>
    <xf numFmtId="0" fontId="42" fillId="20" borderId="0" applyNumberFormat="0" applyBorder="0" applyAlignment="0" applyProtection="0"/>
    <xf numFmtId="0" fontId="1" fillId="19" borderId="0" applyNumberFormat="0" applyBorder="0" applyAlignment="0" applyProtection="0"/>
    <xf numFmtId="0" fontId="42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42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42" fillId="24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42" fillId="23" borderId="0" applyNumberFormat="0" applyBorder="0" applyAlignment="0" applyProtection="0"/>
    <xf numFmtId="0" fontId="1" fillId="22" borderId="0" applyNumberFormat="0" applyBorder="0" applyAlignment="0" applyProtection="0"/>
    <xf numFmtId="0" fontId="42" fillId="23" borderId="0" applyNumberFormat="0" applyBorder="0" applyAlignment="0" applyProtection="0"/>
    <xf numFmtId="0" fontId="1" fillId="22" borderId="0" applyNumberFormat="0" applyBorder="0" applyAlignment="0" applyProtection="0"/>
    <xf numFmtId="0" fontId="42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42" fillId="26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42" fillId="27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42" fillId="26" borderId="0" applyNumberFormat="0" applyBorder="0" applyAlignment="0" applyProtection="0"/>
    <xf numFmtId="0" fontId="1" fillId="25" borderId="0" applyNumberFormat="0" applyBorder="0" applyAlignment="0" applyProtection="0"/>
    <xf numFmtId="0" fontId="42" fillId="26" borderId="0" applyNumberFormat="0" applyBorder="0" applyAlignment="0" applyProtection="0"/>
    <xf numFmtId="0" fontId="1" fillId="25" borderId="0" applyNumberFormat="0" applyBorder="0" applyAlignment="0" applyProtection="0"/>
    <xf numFmtId="0" fontId="42" fillId="26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42" fillId="29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42" fillId="30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42" fillId="29" borderId="0" applyNumberFormat="0" applyBorder="0" applyAlignment="0" applyProtection="0"/>
    <xf numFmtId="0" fontId="1" fillId="28" borderId="0" applyNumberFormat="0" applyBorder="0" applyAlignment="0" applyProtection="0"/>
    <xf numFmtId="0" fontId="42" fillId="29" borderId="0" applyNumberFormat="0" applyBorder="0" applyAlignment="0" applyProtection="0"/>
    <xf numFmtId="0" fontId="1" fillId="28" borderId="0" applyNumberFormat="0" applyBorder="0" applyAlignment="0" applyProtection="0"/>
    <xf numFmtId="0" fontId="42" fillId="29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42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42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42" fillId="14" borderId="0" applyNumberFormat="0" applyBorder="0" applyAlignment="0" applyProtection="0"/>
    <xf numFmtId="0" fontId="1" fillId="31" borderId="0" applyNumberFormat="0" applyBorder="0" applyAlignment="0" applyProtection="0"/>
    <xf numFmtId="0" fontId="42" fillId="14" borderId="0" applyNumberFormat="0" applyBorder="0" applyAlignment="0" applyProtection="0"/>
    <xf numFmtId="0" fontId="1" fillId="31" borderId="0" applyNumberFormat="0" applyBorder="0" applyAlignment="0" applyProtection="0"/>
    <xf numFmtId="0" fontId="42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42" fillId="23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42" fillId="24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42" fillId="23" borderId="0" applyNumberFormat="0" applyBorder="0" applyAlignment="0" applyProtection="0"/>
    <xf numFmtId="0" fontId="1" fillId="32" borderId="0" applyNumberFormat="0" applyBorder="0" applyAlignment="0" applyProtection="0"/>
    <xf numFmtId="0" fontId="42" fillId="23" borderId="0" applyNumberFormat="0" applyBorder="0" applyAlignment="0" applyProtection="0"/>
    <xf numFmtId="0" fontId="1" fillId="32" borderId="0" applyNumberFormat="0" applyBorder="0" applyAlignment="0" applyProtection="0"/>
    <xf numFmtId="0" fontId="42" fillId="23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42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42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42" fillId="34" borderId="0" applyNumberFormat="0" applyBorder="0" applyAlignment="0" applyProtection="0"/>
    <xf numFmtId="0" fontId="1" fillId="33" borderId="0" applyNumberFormat="0" applyBorder="0" applyAlignment="0" applyProtection="0"/>
    <xf numFmtId="0" fontId="42" fillId="34" borderId="0" applyNumberFormat="0" applyBorder="0" applyAlignment="0" applyProtection="0"/>
    <xf numFmtId="0" fontId="1" fillId="33" borderId="0" applyNumberFormat="0" applyBorder="0" applyAlignment="0" applyProtection="0"/>
    <xf numFmtId="0" fontId="42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6" fillId="36" borderId="0" applyNumberFormat="0" applyBorder="0" applyAlignment="0" applyProtection="0"/>
    <xf numFmtId="0" fontId="43" fillId="37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43" fillId="38" borderId="0" applyNumberFormat="0" applyBorder="0" applyAlignment="0" applyProtection="0"/>
    <xf numFmtId="0" fontId="16" fillId="36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16" fillId="36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16" fillId="36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16" fillId="39" borderId="0" applyNumberFormat="0" applyBorder="0" applyAlignment="0" applyProtection="0"/>
    <xf numFmtId="0" fontId="43" fillId="26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43" fillId="27" borderId="0" applyNumberFormat="0" applyBorder="0" applyAlignment="0" applyProtection="0"/>
    <xf numFmtId="0" fontId="16" fillId="39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16" fillId="39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16" fillId="39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16" fillId="40" borderId="0" applyNumberFormat="0" applyBorder="0" applyAlignment="0" applyProtection="0"/>
    <xf numFmtId="0" fontId="43" fillId="29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43" fillId="30" borderId="0" applyNumberFormat="0" applyBorder="0" applyAlignment="0" applyProtection="0"/>
    <xf numFmtId="0" fontId="16" fillId="40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16" fillId="40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16" fillId="40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16" fillId="41" borderId="0" applyNumberFormat="0" applyBorder="0" applyAlignment="0" applyProtection="0"/>
    <xf numFmtId="0" fontId="43" fillId="42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43" fillId="43" borderId="0" applyNumberFormat="0" applyBorder="0" applyAlignment="0" applyProtection="0"/>
    <xf numFmtId="0" fontId="16" fillId="41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16" fillId="41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16" fillId="41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16" fillId="44" borderId="0" applyNumberFormat="0" applyBorder="0" applyAlignment="0" applyProtection="0"/>
    <xf numFmtId="0" fontId="43" fillId="45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43" fillId="46" borderId="0" applyNumberFormat="0" applyBorder="0" applyAlignment="0" applyProtection="0"/>
    <xf numFmtId="0" fontId="16" fillId="44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16" fillId="44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16" fillId="44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16" fillId="47" borderId="0" applyNumberFormat="0" applyBorder="0" applyAlignment="0" applyProtection="0"/>
    <xf numFmtId="0" fontId="43" fillId="48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43" fillId="49" borderId="0" applyNumberFormat="0" applyBorder="0" applyAlignment="0" applyProtection="0"/>
    <xf numFmtId="0" fontId="16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16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16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16" fillId="50" borderId="0" applyNumberFormat="0" applyBorder="0" applyAlignment="0" applyProtection="0"/>
    <xf numFmtId="0" fontId="43" fillId="51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43" fillId="52" borderId="0" applyNumberFormat="0" applyBorder="0" applyAlignment="0" applyProtection="0"/>
    <xf numFmtId="0" fontId="16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16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16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16" fillId="53" borderId="0" applyNumberFormat="0" applyBorder="0" applyAlignment="0" applyProtection="0"/>
    <xf numFmtId="0" fontId="43" fillId="54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43" fillId="55" borderId="0" applyNumberFormat="0" applyBorder="0" applyAlignment="0" applyProtection="0"/>
    <xf numFmtId="0" fontId="16" fillId="53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16" fillId="53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16" fillId="53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16" fillId="56" borderId="0" applyNumberFormat="0" applyBorder="0" applyAlignment="0" applyProtection="0"/>
    <xf numFmtId="0" fontId="43" fillId="57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43" fillId="58" borderId="0" applyNumberFormat="0" applyBorder="0" applyAlignment="0" applyProtection="0"/>
    <xf numFmtId="0" fontId="16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16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16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16" fillId="59" borderId="0" applyNumberFormat="0" applyBorder="0" applyAlignment="0" applyProtection="0"/>
    <xf numFmtId="0" fontId="43" fillId="42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43" fillId="43" borderId="0" applyNumberFormat="0" applyBorder="0" applyAlignment="0" applyProtection="0"/>
    <xf numFmtId="0" fontId="16" fillId="59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16" fillId="59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16" fillId="59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16" fillId="60" borderId="0" applyNumberFormat="0" applyBorder="0" applyAlignment="0" applyProtection="0"/>
    <xf numFmtId="0" fontId="43" fillId="45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43" fillId="46" borderId="0" applyNumberFormat="0" applyBorder="0" applyAlignment="0" applyProtection="0"/>
    <xf numFmtId="0" fontId="16" fillId="60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16" fillId="60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16" fillId="60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16" fillId="61" borderId="0" applyNumberFormat="0" applyBorder="0" applyAlignment="0" applyProtection="0"/>
    <xf numFmtId="0" fontId="43" fillId="62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43" fillId="63" borderId="0" applyNumberFormat="0" applyBorder="0" applyAlignment="0" applyProtection="0"/>
    <xf numFmtId="0" fontId="16" fillId="61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16" fillId="61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16" fillId="61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6" fillId="64" borderId="0" applyNumberFormat="0" applyBorder="0" applyAlignment="0" applyProtection="0"/>
    <xf numFmtId="0" fontId="44" fillId="8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44" fillId="9" borderId="0" applyNumberFormat="0" applyBorder="0" applyAlignment="0" applyProtection="0"/>
    <xf numFmtId="0" fontId="6" fillId="64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6" fillId="64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6" fillId="64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10" fillId="65" borderId="3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10" fillId="65" borderId="3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10" fillId="65" borderId="3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10" fillId="65" borderId="3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10" fillId="65" borderId="3" applyNumberFormat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10" fillId="65" borderId="3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10" fillId="65" borderId="3" applyNumberFormat="0" applyAlignment="0" applyProtection="0"/>
    <xf numFmtId="0" fontId="45" fillId="67" borderId="22" applyNumberFormat="0" applyAlignment="0" applyProtection="0"/>
    <xf numFmtId="0" fontId="10" fillId="65" borderId="3" applyNumberFormat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45" fillId="66" borderId="22" applyNumberFormat="0" applyAlignment="0" applyProtection="0"/>
    <xf numFmtId="0" fontId="12" fillId="68" borderId="6" applyNumberFormat="0" applyAlignment="0" applyProtection="0"/>
    <xf numFmtId="0" fontId="46" fillId="69" borderId="23" applyNumberFormat="0" applyAlignment="0" applyProtection="0"/>
    <xf numFmtId="0" fontId="12" fillId="68" borderId="6" applyNumberFormat="0" applyAlignment="0" applyProtection="0"/>
    <xf numFmtId="0" fontId="12" fillId="68" borderId="6" applyNumberFormat="0" applyAlignment="0" applyProtection="0"/>
    <xf numFmtId="0" fontId="12" fillId="68" borderId="6" applyNumberFormat="0" applyAlignment="0" applyProtection="0"/>
    <xf numFmtId="0" fontId="12" fillId="68" borderId="6" applyNumberFormat="0" applyAlignment="0" applyProtection="0"/>
    <xf numFmtId="0" fontId="12" fillId="68" borderId="6" applyNumberFormat="0" applyAlignment="0" applyProtection="0"/>
    <xf numFmtId="0" fontId="12" fillId="68" borderId="6" applyNumberFormat="0" applyAlignment="0" applyProtection="0"/>
    <xf numFmtId="0" fontId="12" fillId="68" borderId="6" applyNumberFormat="0" applyAlignment="0" applyProtection="0"/>
    <xf numFmtId="0" fontId="12" fillId="68" borderId="6" applyNumberFormat="0" applyAlignment="0" applyProtection="0"/>
    <xf numFmtId="0" fontId="12" fillId="68" borderId="6" applyNumberFormat="0" applyAlignment="0" applyProtection="0"/>
    <xf numFmtId="0" fontId="46" fillId="69" borderId="23" applyNumberFormat="0" applyAlignment="0" applyProtection="0"/>
    <xf numFmtId="0" fontId="46" fillId="69" borderId="23" applyNumberFormat="0" applyAlignment="0" applyProtection="0"/>
    <xf numFmtId="0" fontId="46" fillId="69" borderId="23" applyNumberFormat="0" applyAlignment="0" applyProtection="0"/>
    <xf numFmtId="0" fontId="46" fillId="69" borderId="23" applyNumberFormat="0" applyAlignment="0" applyProtection="0"/>
    <xf numFmtId="0" fontId="46" fillId="69" borderId="23" applyNumberFormat="0" applyAlignment="0" applyProtection="0"/>
    <xf numFmtId="0" fontId="46" fillId="69" borderId="23" applyNumberFormat="0" applyAlignment="0" applyProtection="0"/>
    <xf numFmtId="0" fontId="46" fillId="69" borderId="23" applyNumberFormat="0" applyAlignment="0" applyProtection="0"/>
    <xf numFmtId="0" fontId="46" fillId="69" borderId="23" applyNumberFormat="0" applyAlignment="0" applyProtection="0"/>
    <xf numFmtId="0" fontId="12" fillId="68" borderId="6" applyNumberFormat="0" applyAlignment="0" applyProtection="0"/>
    <xf numFmtId="0" fontId="12" fillId="68" borderId="6" applyNumberFormat="0" applyAlignment="0" applyProtection="0"/>
    <xf numFmtId="0" fontId="12" fillId="68" borderId="6" applyNumberFormat="0" applyAlignment="0" applyProtection="0"/>
    <xf numFmtId="0" fontId="12" fillId="68" borderId="6" applyNumberFormat="0" applyAlignment="0" applyProtection="0"/>
    <xf numFmtId="0" fontId="12" fillId="68" borderId="6" applyNumberFormat="0" applyAlignment="0" applyProtection="0"/>
    <xf numFmtId="0" fontId="12" fillId="68" borderId="6" applyNumberFormat="0" applyAlignment="0" applyProtection="0"/>
    <xf numFmtId="0" fontId="12" fillId="68" borderId="6" applyNumberFormat="0" applyAlignment="0" applyProtection="0"/>
    <xf numFmtId="0" fontId="12" fillId="68" borderId="6" applyNumberFormat="0" applyAlignment="0" applyProtection="0"/>
    <xf numFmtId="0" fontId="12" fillId="68" borderId="6" applyNumberFormat="0" applyAlignment="0" applyProtection="0"/>
    <xf numFmtId="0" fontId="12" fillId="68" borderId="6" applyNumberFormat="0" applyAlignment="0" applyProtection="0"/>
    <xf numFmtId="0" fontId="12" fillId="68" borderId="6" applyNumberFormat="0" applyAlignment="0" applyProtection="0"/>
    <xf numFmtId="0" fontId="12" fillId="68" borderId="6" applyNumberFormat="0" applyAlignment="0" applyProtection="0"/>
    <xf numFmtId="0" fontId="12" fillId="68" borderId="6" applyNumberFormat="0" applyAlignment="0" applyProtection="0"/>
    <xf numFmtId="0" fontId="12" fillId="68" borderId="6" applyNumberFormat="0" applyAlignment="0" applyProtection="0"/>
    <xf numFmtId="0" fontId="12" fillId="68" borderId="6" applyNumberFormat="0" applyAlignment="0" applyProtection="0"/>
    <xf numFmtId="0" fontId="12" fillId="68" borderId="6" applyNumberFormat="0" applyAlignment="0" applyProtection="0"/>
    <xf numFmtId="0" fontId="12" fillId="68" borderId="6" applyNumberFormat="0" applyAlignment="0" applyProtection="0"/>
    <xf numFmtId="0" fontId="12" fillId="68" borderId="6" applyNumberFormat="0" applyAlignment="0" applyProtection="0"/>
    <xf numFmtId="0" fontId="12" fillId="68" borderId="6" applyNumberFormat="0" applyAlignment="0" applyProtection="0"/>
    <xf numFmtId="0" fontId="12" fillId="68" borderId="6" applyNumberFormat="0" applyAlignment="0" applyProtection="0"/>
    <xf numFmtId="0" fontId="46" fillId="70" borderId="23" applyNumberFormat="0" applyAlignment="0" applyProtection="0"/>
    <xf numFmtId="0" fontId="12" fillId="68" borderId="6" applyNumberFormat="0" applyAlignment="0" applyProtection="0"/>
    <xf numFmtId="0" fontId="46" fillId="69" borderId="23" applyNumberFormat="0" applyAlignment="0" applyProtection="0"/>
    <xf numFmtId="0" fontId="46" fillId="69" borderId="23" applyNumberFormat="0" applyAlignment="0" applyProtection="0"/>
    <xf numFmtId="0" fontId="46" fillId="69" borderId="23" applyNumberFormat="0" applyAlignment="0" applyProtection="0"/>
    <xf numFmtId="0" fontId="12" fillId="68" borderId="6" applyNumberFormat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46" fillId="69" borderId="23" applyNumberFormat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6" fillId="69" borderId="23" applyNumberFormat="0" applyAlignment="0" applyProtection="0"/>
    <xf numFmtId="0" fontId="46" fillId="69" borderId="23" applyNumberFormat="0" applyAlignment="0" applyProtection="0"/>
    <xf numFmtId="0" fontId="46" fillId="69" borderId="23" applyNumberFormat="0" applyAlignment="0" applyProtection="0"/>
    <xf numFmtId="0" fontId="46" fillId="69" borderId="23" applyNumberFormat="0" applyAlignment="0" applyProtection="0"/>
    <xf numFmtId="0" fontId="46" fillId="69" borderId="23" applyNumberFormat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2" fillId="68" borderId="6" applyNumberFormat="0" applyAlignment="0" applyProtection="0"/>
    <xf numFmtId="0" fontId="46" fillId="69" borderId="23" applyNumberFormat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6" fillId="69" borderId="23" applyNumberFormat="0" applyAlignment="0" applyProtection="0"/>
    <xf numFmtId="0" fontId="46" fillId="69" borderId="23" applyNumberFormat="0" applyAlignment="0" applyProtection="0"/>
    <xf numFmtId="0" fontId="46" fillId="69" borderId="23" applyNumberFormat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2" fillId="68" borderId="6" applyNumberFormat="0" applyAlignment="0" applyProtection="0"/>
    <xf numFmtId="0" fontId="46" fillId="69" borderId="23" applyNumberFormat="0" applyAlignment="0" applyProtection="0"/>
    <xf numFmtId="0" fontId="46" fillId="69" borderId="23" applyNumberFormat="0" applyAlignment="0" applyProtection="0"/>
    <xf numFmtId="0" fontId="46" fillId="69" borderId="23" applyNumberFormat="0" applyAlignment="0" applyProtection="0"/>
    <xf numFmtId="0" fontId="12" fillId="68" borderId="6" applyNumberFormat="0" applyAlignment="0" applyProtection="0"/>
    <xf numFmtId="0" fontId="46" fillId="69" borderId="23" applyNumberFormat="0" applyAlignment="0" applyProtection="0"/>
    <xf numFmtId="0" fontId="46" fillId="69" borderId="23" applyNumberFormat="0" applyAlignment="0" applyProtection="0"/>
    <xf numFmtId="0" fontId="46" fillId="69" borderId="23" applyNumberFormat="0" applyAlignment="0" applyProtection="0"/>
    <xf numFmtId="0" fontId="12" fillId="68" borderId="6" applyNumberFormat="0" applyAlignment="0" applyProtection="0"/>
    <xf numFmtId="0" fontId="46" fillId="69" borderId="23" applyNumberFormat="0" applyAlignment="0" applyProtection="0"/>
    <xf numFmtId="0" fontId="46" fillId="69" borderId="23" applyNumberFormat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5" fillId="71" borderId="0" applyNumberFormat="0" applyBorder="0" applyAlignment="0" applyProtection="0"/>
    <xf numFmtId="0" fontId="49" fillId="1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49" fillId="12" borderId="0" applyNumberFormat="0" applyBorder="0" applyAlignment="0" applyProtection="0"/>
    <xf numFmtId="0" fontId="5" fillId="7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5" fillId="71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9" fillId="11" borderId="0" applyNumberFormat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71" borderId="0" applyNumberFormat="0" applyBorder="0" applyAlignment="0" applyProtection="0"/>
    <xf numFmtId="0" fontId="49" fillId="11" borderId="0" applyNumberFormat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7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5" fillId="7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5" fillId="7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2" fillId="0" borderId="1" applyNumberFormat="0" applyFill="0" applyAlignment="0" applyProtection="0"/>
    <xf numFmtId="0" fontId="50" fillId="0" borderId="24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2" fillId="0" borderId="1" applyNumberFormat="0" applyFill="0" applyAlignment="0" applyProtection="0"/>
    <xf numFmtId="0" fontId="51" fillId="0" borderId="1" applyNumberFormat="0" applyFill="0" applyAlignment="0" applyProtection="0"/>
    <xf numFmtId="0" fontId="51" fillId="0" borderId="1" applyNumberFormat="0" applyFill="0" applyAlignment="0" applyProtection="0"/>
    <xf numFmtId="0" fontId="50" fillId="0" borderId="24" applyNumberFormat="0" applyFill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51" fillId="0" borderId="1" applyNumberFormat="0" applyFill="0" applyAlignment="0" applyProtection="0"/>
    <xf numFmtId="0" fontId="51" fillId="0" borderId="1" applyNumberFormat="0" applyFill="0" applyAlignment="0" applyProtection="0"/>
    <xf numFmtId="0" fontId="2" fillId="0" borderId="1" applyNumberFormat="0" applyFill="0" applyAlignment="0" applyProtection="0"/>
    <xf numFmtId="0" fontId="50" fillId="0" borderId="24" applyNumberFormat="0" applyFill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51" fillId="0" borderId="1" applyNumberFormat="0" applyFill="0" applyAlignment="0" applyProtection="0"/>
    <xf numFmtId="0" fontId="51" fillId="0" borderId="1" applyNumberFormat="0" applyFill="0" applyAlignment="0" applyProtection="0"/>
    <xf numFmtId="0" fontId="51" fillId="0" borderId="1" applyNumberFormat="0" applyFill="0" applyAlignment="0" applyProtection="0"/>
    <xf numFmtId="0" fontId="51" fillId="0" borderId="1" applyNumberFormat="0" applyFill="0" applyAlignment="0" applyProtection="0"/>
    <xf numFmtId="0" fontId="2" fillId="0" borderId="1" applyNumberFormat="0" applyFill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2" fillId="0" borderId="1" applyNumberFormat="0" applyFill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2" fillId="0" borderId="1" applyNumberFormat="0" applyFill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3" fillId="0" borderId="2" applyNumberFormat="0" applyFill="0" applyAlignment="0" applyProtection="0"/>
    <xf numFmtId="0" fontId="52" fillId="0" borderId="25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3" fillId="0" borderId="2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52" fillId="0" borderId="25" applyNumberFormat="0" applyFill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3" fillId="0" borderId="2" applyNumberFormat="0" applyFill="0" applyAlignment="0" applyProtection="0"/>
    <xf numFmtId="0" fontId="52" fillId="0" borderId="25" applyNumberFormat="0" applyFill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3" fillId="0" borderId="2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3" fillId="0" borderId="2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3" fillId="0" borderId="2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4" fillId="0" borderId="26" applyNumberFormat="0" applyFill="0" applyAlignment="0" applyProtection="0"/>
    <xf numFmtId="0" fontId="53" fillId="0" borderId="27" applyNumberFormat="0" applyFill="0" applyAlignment="0" applyProtection="0"/>
    <xf numFmtId="0" fontId="4" fillId="0" borderId="26" applyNumberFormat="0" applyFill="0" applyAlignment="0" applyProtection="0"/>
    <xf numFmtId="0" fontId="4" fillId="0" borderId="26" applyNumberFormat="0" applyFill="0" applyAlignment="0" applyProtection="0"/>
    <xf numFmtId="0" fontId="4" fillId="0" borderId="26" applyNumberFormat="0" applyFill="0" applyAlignment="0" applyProtection="0"/>
    <xf numFmtId="0" fontId="4" fillId="0" borderId="26" applyNumberFormat="0" applyFill="0" applyAlignment="0" applyProtection="0"/>
    <xf numFmtId="0" fontId="4" fillId="0" borderId="26" applyNumberFormat="0" applyFill="0" applyAlignment="0" applyProtection="0"/>
    <xf numFmtId="0" fontId="4" fillId="0" borderId="26" applyNumberFormat="0" applyFill="0" applyAlignment="0" applyProtection="0"/>
    <xf numFmtId="0" fontId="4" fillId="0" borderId="26" applyNumberFormat="0" applyFill="0" applyAlignment="0" applyProtection="0"/>
    <xf numFmtId="0" fontId="4" fillId="0" borderId="26" applyNumberFormat="0" applyFill="0" applyAlignment="0" applyProtection="0"/>
    <xf numFmtId="0" fontId="4" fillId="0" borderId="26" applyNumberFormat="0" applyFill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4" fillId="0" borderId="26" applyNumberFormat="0" applyFill="0" applyAlignment="0" applyProtection="0"/>
    <xf numFmtId="0" fontId="4" fillId="0" borderId="26" applyNumberFormat="0" applyFill="0" applyAlignment="0" applyProtection="0"/>
    <xf numFmtId="0" fontId="4" fillId="0" borderId="26" applyNumberFormat="0" applyFill="0" applyAlignment="0" applyProtection="0"/>
    <xf numFmtId="0" fontId="4" fillId="0" borderId="26" applyNumberFormat="0" applyFill="0" applyAlignment="0" applyProtection="0"/>
    <xf numFmtId="0" fontId="4" fillId="0" borderId="26" applyNumberFormat="0" applyFill="0" applyAlignment="0" applyProtection="0"/>
    <xf numFmtId="0" fontId="4" fillId="0" borderId="26" applyNumberFormat="0" applyFill="0" applyAlignment="0" applyProtection="0"/>
    <xf numFmtId="0" fontId="4" fillId="0" borderId="26" applyNumberFormat="0" applyFill="0" applyAlignment="0" applyProtection="0"/>
    <xf numFmtId="0" fontId="4" fillId="0" borderId="26" applyNumberFormat="0" applyFill="0" applyAlignment="0" applyProtection="0"/>
    <xf numFmtId="0" fontId="4" fillId="0" borderId="26" applyNumberFormat="0" applyFill="0" applyAlignment="0" applyProtection="0"/>
    <xf numFmtId="0" fontId="4" fillId="0" borderId="26" applyNumberFormat="0" applyFill="0" applyAlignment="0" applyProtection="0"/>
    <xf numFmtId="0" fontId="4" fillId="0" borderId="26" applyNumberFormat="0" applyFill="0" applyAlignment="0" applyProtection="0"/>
    <xf numFmtId="0" fontId="4" fillId="0" borderId="26" applyNumberFormat="0" applyFill="0" applyAlignment="0" applyProtection="0"/>
    <xf numFmtId="0" fontId="4" fillId="0" borderId="26" applyNumberFormat="0" applyFill="0" applyAlignment="0" applyProtection="0"/>
    <xf numFmtId="0" fontId="4" fillId="0" borderId="26" applyNumberFormat="0" applyFill="0" applyAlignment="0" applyProtection="0"/>
    <xf numFmtId="0" fontId="4" fillId="0" borderId="26" applyNumberFormat="0" applyFill="0" applyAlignment="0" applyProtection="0"/>
    <xf numFmtId="0" fontId="4" fillId="0" borderId="26" applyNumberFormat="0" applyFill="0" applyAlignment="0" applyProtection="0"/>
    <xf numFmtId="0" fontId="4" fillId="0" borderId="26" applyNumberFormat="0" applyFill="0" applyAlignment="0" applyProtection="0"/>
    <xf numFmtId="0" fontId="4" fillId="0" borderId="26" applyNumberFormat="0" applyFill="0" applyAlignment="0" applyProtection="0"/>
    <xf numFmtId="0" fontId="4" fillId="0" borderId="26" applyNumberFormat="0" applyFill="0" applyAlignment="0" applyProtection="0"/>
    <xf numFmtId="0" fontId="4" fillId="0" borderId="26" applyNumberFormat="0" applyFill="0" applyAlignment="0" applyProtection="0"/>
    <xf numFmtId="0" fontId="53" fillId="0" borderId="27" applyNumberFormat="0" applyFill="0" applyAlignment="0" applyProtection="0"/>
    <xf numFmtId="0" fontId="4" fillId="0" borderId="26" applyNumberFormat="0" applyFill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4" fillId="0" borderId="26" applyNumberFormat="0" applyFill="0" applyAlignment="0" applyProtection="0"/>
    <xf numFmtId="0" fontId="51" fillId="0" borderId="26" applyNumberFormat="0" applyFill="0" applyAlignment="0" applyProtection="0"/>
    <xf numFmtId="0" fontId="51" fillId="0" borderId="26" applyNumberFormat="0" applyFill="0" applyAlignment="0" applyProtection="0"/>
    <xf numFmtId="0" fontId="53" fillId="0" borderId="27" applyNumberFormat="0" applyFill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51" fillId="0" borderId="26" applyNumberFormat="0" applyFill="0" applyAlignment="0" applyProtection="0"/>
    <xf numFmtId="0" fontId="51" fillId="0" borderId="26" applyNumberFormat="0" applyFill="0" applyAlignment="0" applyProtection="0"/>
    <xf numFmtId="0" fontId="4" fillId="0" borderId="26" applyNumberFormat="0" applyFill="0" applyAlignment="0" applyProtection="0"/>
    <xf numFmtId="0" fontId="53" fillId="0" borderId="27" applyNumberFormat="0" applyFill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51" fillId="0" borderId="26" applyNumberFormat="0" applyFill="0" applyAlignment="0" applyProtection="0"/>
    <xf numFmtId="0" fontId="51" fillId="0" borderId="26" applyNumberFormat="0" applyFill="0" applyAlignment="0" applyProtection="0"/>
    <xf numFmtId="0" fontId="51" fillId="0" borderId="26" applyNumberFormat="0" applyFill="0" applyAlignment="0" applyProtection="0"/>
    <xf numFmtId="0" fontId="51" fillId="0" borderId="26" applyNumberFormat="0" applyFill="0" applyAlignment="0" applyProtection="0"/>
    <xf numFmtId="0" fontId="4" fillId="0" borderId="26" applyNumberFormat="0" applyFill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4" fillId="0" borderId="26" applyNumberFormat="0" applyFill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4" fillId="0" borderId="26" applyNumberFormat="0" applyFill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4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8" fillId="72" borderId="3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8" fillId="72" borderId="3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8" fillId="72" borderId="3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8" fillId="72" borderId="3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8" fillId="72" borderId="3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72" borderId="3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72" borderId="3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72" borderId="3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72" borderId="3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72" borderId="3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8" fillId="72" borderId="3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8" fillId="72" borderId="3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8" fillId="72" borderId="3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8" fillId="72" borderId="3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8" fillId="72" borderId="3" applyNumberFormat="0" applyAlignment="0" applyProtection="0"/>
    <xf numFmtId="0" fontId="8" fillId="72" borderId="3" applyNumberFormat="0" applyAlignment="0" applyProtection="0"/>
    <xf numFmtId="0" fontId="8" fillId="72" borderId="3" applyNumberFormat="0" applyAlignment="0" applyProtection="0"/>
    <xf numFmtId="0" fontId="8" fillId="72" borderId="3" applyNumberFormat="0" applyAlignment="0" applyProtection="0"/>
    <xf numFmtId="0" fontId="8" fillId="72" borderId="3" applyNumberFormat="0" applyAlignment="0" applyProtection="0"/>
    <xf numFmtId="0" fontId="8" fillId="72" borderId="3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8" fillId="72" borderId="3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8" fillId="72" borderId="3" applyNumberFormat="0" applyAlignment="0" applyProtection="0"/>
    <xf numFmtId="0" fontId="8" fillId="72" borderId="3" applyNumberFormat="0" applyAlignment="0" applyProtection="0"/>
    <xf numFmtId="0" fontId="8" fillId="72" borderId="3" applyNumberFormat="0" applyAlignment="0" applyProtection="0"/>
    <xf numFmtId="0" fontId="8" fillId="72" borderId="3" applyNumberFormat="0" applyAlignment="0" applyProtection="0"/>
    <xf numFmtId="0" fontId="8" fillId="72" borderId="3" applyNumberFormat="0" applyAlignment="0" applyProtection="0"/>
    <xf numFmtId="0" fontId="8" fillId="72" borderId="3" applyNumberFormat="0" applyAlignment="0" applyProtection="0"/>
    <xf numFmtId="0" fontId="8" fillId="72" borderId="3" applyNumberFormat="0" applyAlignment="0" applyProtection="0"/>
    <xf numFmtId="0" fontId="8" fillId="72" borderId="3" applyNumberFormat="0" applyAlignment="0" applyProtection="0"/>
    <xf numFmtId="0" fontId="8" fillId="72" borderId="3" applyNumberFormat="0" applyAlignment="0" applyProtection="0"/>
    <xf numFmtId="0" fontId="8" fillId="72" borderId="3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8" fillId="72" borderId="3" applyNumberFormat="0" applyAlignment="0" applyProtection="0"/>
    <xf numFmtId="0" fontId="8" fillId="72" borderId="3" applyNumberFormat="0" applyAlignment="0" applyProtection="0"/>
    <xf numFmtId="0" fontId="8" fillId="72" borderId="3" applyNumberFormat="0" applyAlignment="0" applyProtection="0"/>
    <xf numFmtId="0" fontId="8" fillId="72" borderId="3" applyNumberFormat="0" applyAlignment="0" applyProtection="0"/>
    <xf numFmtId="0" fontId="8" fillId="72" borderId="3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8" fillId="72" borderId="3" applyNumberFormat="0" applyAlignment="0" applyProtection="0"/>
    <xf numFmtId="0" fontId="56" fillId="21" borderId="22" applyNumberFormat="0" applyAlignment="0" applyProtection="0"/>
    <xf numFmtId="0" fontId="8" fillId="72" borderId="3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56" fillId="20" borderId="22" applyNumberFormat="0" applyAlignment="0" applyProtection="0"/>
    <xf numFmtId="0" fontId="11" fillId="0" borderId="5" applyNumberFormat="0" applyFill="0" applyAlignment="0" applyProtection="0"/>
    <xf numFmtId="0" fontId="57" fillId="0" borderId="28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57" fillId="0" borderId="28" applyNumberFormat="0" applyFill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57" fillId="0" borderId="28" applyNumberFormat="0" applyFill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11" fillId="0" borderId="5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11" fillId="0" borderId="5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7" fillId="73" borderId="0" applyNumberFormat="0" applyBorder="0" applyAlignment="0" applyProtection="0"/>
    <xf numFmtId="0" fontId="58" fillId="74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58" fillId="75" borderId="0" applyNumberFormat="0" applyBorder="0" applyAlignment="0" applyProtection="0"/>
    <xf numFmtId="0" fontId="7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7" fillId="73" borderId="0" applyNumberFormat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8" fillId="74" borderId="0" applyNumberFormat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73" borderId="0" applyNumberFormat="0" applyBorder="0" applyAlignment="0" applyProtection="0"/>
    <xf numFmtId="0" fontId="58" fillId="74" borderId="0" applyNumberFormat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7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7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9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8" fontId="59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4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8" fillId="0" borderId="0"/>
    <xf numFmtId="0" fontId="4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5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3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31" fillId="0" borderId="0"/>
    <xf numFmtId="0" fontId="1" fillId="0" borderId="0"/>
    <xf numFmtId="0" fontId="31" fillId="0" borderId="0"/>
    <xf numFmtId="0" fontId="1" fillId="0" borderId="0"/>
    <xf numFmtId="0" fontId="1" fillId="0" borderId="0" applyNumberFormat="0" applyFill="0" applyBorder="0" applyAlignment="0" applyProtection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3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 applyFill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6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7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59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169" fontId="59" fillId="0" borderId="0"/>
    <xf numFmtId="0" fontId="1" fillId="0" borderId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31" fillId="78" borderId="29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31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1" fillId="76" borderId="7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59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8" borderId="29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7" fillId="77" borderId="29" applyNumberFormat="0" applyFont="0" applyAlignment="0" applyProtection="0"/>
    <xf numFmtId="0" fontId="31" fillId="77" borderId="29" applyNumberFormat="0" applyFont="0" applyAlignment="0" applyProtection="0"/>
    <xf numFmtId="0" fontId="17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31" fillId="77" borderId="29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" fillId="76" borderId="7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17" fillId="77" borderId="29" applyNumberFormat="0" applyFont="0" applyAlignment="0" applyProtection="0"/>
    <xf numFmtId="0" fontId="9" fillId="65" borderId="4" applyNumberFormat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9" fillId="65" borderId="4" applyNumberFormat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9" fillId="65" borderId="4" applyNumberFormat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9" fillId="65" borderId="4" applyNumberFormat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9" fillId="65" borderId="4" applyNumberFormat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9" fillId="65" borderId="4" applyNumberFormat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9" fillId="65" borderId="4" applyNumberFormat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9" fillId="65" borderId="4" applyNumberFormat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9" fillId="65" borderId="4" applyNumberFormat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9" fillId="65" borderId="4" applyNumberFormat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63" fillId="66" borderId="30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65" borderId="4" applyNumberFormat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63" fillId="66" borderId="30" applyNumberFormat="0" applyAlignment="0" applyProtection="0"/>
    <xf numFmtId="0" fontId="1" fillId="0" borderId="0" applyNumberFormat="0" applyFont="0" applyFill="0" applyBorder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63" fillId="66" borderId="30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65" borderId="4" applyNumberFormat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63" fillId="66" borderId="30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9" fillId="65" borderId="4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9" fillId="65" borderId="4" applyNumberFormat="0" applyAlignment="0" applyProtection="0"/>
    <xf numFmtId="0" fontId="62" fillId="0" borderId="4" applyNumberFormat="0" applyFill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9" fillId="65" borderId="4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9" fillId="65" borderId="4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9" fillId="65" borderId="4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9" fillId="65" borderId="4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9" fillId="65" borderId="4" applyNumberFormat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2" fillId="0" borderId="4" applyNumberFormat="0" applyFill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63" fillId="66" borderId="30" applyNumberFormat="0" applyAlignment="0" applyProtection="0"/>
    <xf numFmtId="0" fontId="9" fillId="65" borderId="4" applyNumberFormat="0" applyAlignment="0" applyProtection="0"/>
    <xf numFmtId="0" fontId="63" fillId="67" borderId="30" applyNumberFormat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68" fillId="0" borderId="31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68" fillId="0" borderId="31" applyNumberFormat="0" applyFill="0" applyAlignment="0" applyProtection="0"/>
    <xf numFmtId="0" fontId="1" fillId="0" borderId="0" applyNumberFormat="0" applyFont="0" applyFill="0" applyBorder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68" fillId="0" borderId="31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68" fillId="0" borderId="31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5" fillId="0" borderId="8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5" fillId="0" borderId="8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5" fillId="0" borderId="8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5" fillId="0" borderId="8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5" fillId="0" borderId="8" applyNumberFormat="0" applyFill="0" applyAlignment="0" applyProtection="0"/>
    <xf numFmtId="0" fontId="68" fillId="0" borderId="31" applyNumberFormat="0" applyFill="0" applyAlignment="0" applyProtection="0"/>
    <xf numFmtId="0" fontId="1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</cellStyleXfs>
  <cellXfs count="166">
    <xf numFmtId="0" fontId="0" fillId="0" borderId="0" xfId="0"/>
    <xf numFmtId="0" fontId="18" fillId="0" borderId="0" xfId="1" applyFont="1"/>
    <xf numFmtId="0" fontId="19" fillId="0" borderId="0" xfId="1" applyFont="1" applyAlignment="1">
      <alignment horizontal="center"/>
    </xf>
    <xf numFmtId="0" fontId="20" fillId="0" borderId="0" xfId="1" applyFont="1"/>
    <xf numFmtId="0" fontId="20" fillId="0" borderId="0" xfId="1" applyFont="1" applyAlignment="1">
      <alignment horizontal="center"/>
    </xf>
    <xf numFmtId="0" fontId="21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0" fontId="23" fillId="0" borderId="0" xfId="1" applyFont="1"/>
    <xf numFmtId="164" fontId="24" fillId="0" borderId="0" xfId="1" applyNumberFormat="1" applyFont="1"/>
    <xf numFmtId="0" fontId="24" fillId="0" borderId="0" xfId="1" applyFont="1"/>
    <xf numFmtId="0" fontId="25" fillId="0" borderId="0" xfId="1" applyFont="1"/>
    <xf numFmtId="0" fontId="26" fillId="0" borderId="0" xfId="1" applyFont="1"/>
    <xf numFmtId="0" fontId="26" fillId="0" borderId="0" xfId="1" applyFont="1" applyAlignment="1">
      <alignment horizontal="right"/>
    </xf>
    <xf numFmtId="0" fontId="22" fillId="0" borderId="0" xfId="1" applyFont="1"/>
    <xf numFmtId="0" fontId="18" fillId="0" borderId="9" xfId="1" applyFont="1" applyBorder="1" applyAlignment="1">
      <alignment horizontal="center"/>
    </xf>
    <xf numFmtId="0" fontId="23" fillId="0" borderId="9" xfId="1" applyFont="1" applyBorder="1"/>
    <xf numFmtId="0" fontId="18" fillId="2" borderId="0" xfId="1" applyFont="1" applyFill="1"/>
    <xf numFmtId="0" fontId="18" fillId="2" borderId="9" xfId="1" applyFont="1" applyFill="1" applyBorder="1" applyAlignment="1">
      <alignment horizontal="center"/>
    </xf>
    <xf numFmtId="0" fontId="23" fillId="2" borderId="9" xfId="1" applyFont="1" applyFill="1" applyBorder="1"/>
    <xf numFmtId="1" fontId="23" fillId="2" borderId="0" xfId="1" applyNumberFormat="1" applyFont="1" applyFill="1"/>
    <xf numFmtId="1" fontId="24" fillId="2" borderId="0" xfId="1" applyNumberFormat="1" applyFont="1" applyFill="1"/>
    <xf numFmtId="0" fontId="25" fillId="2" borderId="0" xfId="1" applyFont="1" applyFill="1"/>
    <xf numFmtId="0" fontId="26" fillId="2" borderId="0" xfId="1" applyFont="1" applyFill="1"/>
    <xf numFmtId="0" fontId="26" fillId="2" borderId="0" xfId="1" applyFont="1" applyFill="1" applyAlignment="1">
      <alignment horizontal="right"/>
    </xf>
    <xf numFmtId="0" fontId="20" fillId="2" borderId="0" xfId="1" applyFont="1" applyFill="1"/>
    <xf numFmtId="0" fontId="22" fillId="2" borderId="0" xfId="1" applyFont="1" applyFill="1"/>
    <xf numFmtId="0" fontId="22" fillId="2" borderId="0" xfId="1" applyFont="1" applyFill="1" applyAlignment="1">
      <alignment horizontal="center"/>
    </xf>
    <xf numFmtId="0" fontId="20" fillId="2" borderId="0" xfId="1" applyFont="1" applyFill="1" applyAlignment="1">
      <alignment horizontal="center"/>
    </xf>
    <xf numFmtId="0" fontId="21" fillId="2" borderId="0" xfId="1" applyFont="1" applyFill="1" applyAlignment="1">
      <alignment horizontal="center"/>
    </xf>
    <xf numFmtId="0" fontId="27" fillId="0" borderId="10" xfId="1" applyFont="1" applyBorder="1" applyAlignment="1">
      <alignment horizontal="center"/>
    </xf>
    <xf numFmtId="0" fontId="28" fillId="0" borderId="10" xfId="1" applyFont="1" applyBorder="1" applyAlignment="1">
      <alignment horizontal="center"/>
    </xf>
    <xf numFmtId="1" fontId="28" fillId="0" borderId="10" xfId="1" applyNumberFormat="1" applyFont="1" applyBorder="1" applyAlignment="1">
      <alignment horizontal="center"/>
    </xf>
    <xf numFmtId="0" fontId="29" fillId="0" borderId="11" xfId="1" applyFont="1" applyBorder="1" applyAlignment="1">
      <alignment horizontal="center"/>
    </xf>
    <xf numFmtId="1" fontId="28" fillId="0" borderId="11" xfId="1" applyNumberFormat="1" applyFont="1" applyBorder="1" applyAlignment="1">
      <alignment horizontal="center"/>
    </xf>
    <xf numFmtId="0" fontId="28" fillId="0" borderId="12" xfId="1" applyFont="1" applyBorder="1" applyAlignment="1">
      <alignment horizontal="center"/>
    </xf>
    <xf numFmtId="0" fontId="19" fillId="0" borderId="13" xfId="1" applyFont="1" applyBorder="1" applyAlignment="1">
      <alignment horizontal="center"/>
    </xf>
    <xf numFmtId="0" fontId="19" fillId="0" borderId="11" xfId="1" applyFont="1" applyBorder="1" applyAlignment="1">
      <alignment horizontal="center"/>
    </xf>
    <xf numFmtId="0" fontId="30" fillId="0" borderId="11" xfId="1" applyFont="1" applyBorder="1" applyAlignment="1">
      <alignment horizontal="center"/>
    </xf>
    <xf numFmtId="0" fontId="22" fillId="0" borderId="11" xfId="1" applyFont="1" applyBorder="1" applyAlignment="1">
      <alignment horizontal="center"/>
    </xf>
    <xf numFmtId="0" fontId="20" fillId="0" borderId="11" xfId="1" applyFont="1" applyBorder="1"/>
    <xf numFmtId="0" fontId="20" fillId="0" borderId="12" xfId="1" applyFont="1" applyBorder="1"/>
    <xf numFmtId="0" fontId="28" fillId="0" borderId="14" xfId="1" applyFont="1" applyBorder="1" applyAlignment="1">
      <alignment horizontal="center"/>
    </xf>
    <xf numFmtId="1" fontId="28" fillId="0" borderId="15" xfId="1" applyNumberFormat="1" applyFont="1" applyBorder="1" applyAlignment="1">
      <alignment horizontal="center"/>
    </xf>
    <xf numFmtId="1" fontId="29" fillId="0" borderId="16" xfId="2" applyNumberFormat="1" applyFont="1" applyBorder="1" applyAlignment="1">
      <alignment horizontal="center"/>
    </xf>
    <xf numFmtId="1" fontId="28" fillId="0" borderId="16" xfId="1" applyNumberFormat="1" applyFont="1" applyBorder="1" applyAlignment="1">
      <alignment horizontal="center"/>
    </xf>
    <xf numFmtId="1" fontId="28" fillId="0" borderId="17" xfId="1" applyNumberFormat="1" applyFont="1" applyBorder="1" applyAlignment="1">
      <alignment horizontal="center"/>
    </xf>
    <xf numFmtId="1" fontId="28" fillId="0" borderId="18" xfId="1" applyNumberFormat="1" applyFont="1" applyBorder="1" applyAlignment="1">
      <alignment horizontal="center"/>
    </xf>
    <xf numFmtId="1" fontId="32" fillId="0" borderId="0" xfId="1" applyNumberFormat="1" applyFont="1" applyAlignment="1">
      <alignment horizontal="center"/>
    </xf>
    <xf numFmtId="1" fontId="22" fillId="0" borderId="0" xfId="1" applyNumberFormat="1" applyFont="1" applyAlignment="1">
      <alignment horizontal="center"/>
    </xf>
    <xf numFmtId="1" fontId="19" fillId="0" borderId="0" xfId="1" applyNumberFormat="1" applyFont="1" applyAlignment="1">
      <alignment horizontal="center"/>
    </xf>
    <xf numFmtId="1" fontId="32" fillId="0" borderId="0" xfId="1" applyNumberFormat="1" applyFont="1"/>
    <xf numFmtId="0" fontId="32" fillId="0" borderId="0" xfId="1" applyFont="1"/>
    <xf numFmtId="0" fontId="18" fillId="0" borderId="18" xfId="1" applyFont="1" applyBorder="1" applyAlignment="1">
      <alignment horizontal="center" vertical="center" textRotation="90" wrapText="1"/>
    </xf>
    <xf numFmtId="0" fontId="18" fillId="0" borderId="18" xfId="1" applyFont="1" applyBorder="1" applyAlignment="1">
      <alignment horizontal="center" vertical="center" textRotation="90"/>
    </xf>
    <xf numFmtId="0" fontId="28" fillId="0" borderId="18" xfId="1" applyFont="1" applyBorder="1" applyAlignment="1">
      <alignment horizontal="center"/>
    </xf>
    <xf numFmtId="1" fontId="29" fillId="0" borderId="0" xfId="2" applyNumberFormat="1" applyFont="1" applyAlignment="1">
      <alignment horizontal="center"/>
    </xf>
    <xf numFmtId="1" fontId="33" fillId="0" borderId="0" xfId="2" applyNumberFormat="1" applyFont="1" applyAlignment="1">
      <alignment horizontal="center"/>
    </xf>
    <xf numFmtId="1" fontId="33" fillId="0" borderId="18" xfId="1" applyNumberFormat="1" applyFont="1" applyBorder="1" applyAlignment="1">
      <alignment horizontal="center"/>
    </xf>
    <xf numFmtId="0" fontId="23" fillId="0" borderId="18" xfId="1" applyFont="1" applyBorder="1" applyAlignment="1">
      <alignment horizontal="center"/>
    </xf>
    <xf numFmtId="1" fontId="23" fillId="0" borderId="17" xfId="1" applyNumberFormat="1" applyFont="1" applyBorder="1" applyAlignment="1">
      <alignment horizontal="center"/>
    </xf>
    <xf numFmtId="1" fontId="24" fillId="0" borderId="0" xfId="2" applyNumberFormat="1" applyFont="1" applyAlignment="1">
      <alignment horizontal="center"/>
    </xf>
    <xf numFmtId="1" fontId="34" fillId="0" borderId="0" xfId="2" applyNumberFormat="1" applyFont="1" applyAlignment="1">
      <alignment horizontal="center"/>
    </xf>
    <xf numFmtId="1" fontId="34" fillId="0" borderId="18" xfId="1" applyNumberFormat="1" applyFont="1" applyBorder="1" applyAlignment="1">
      <alignment horizontal="center"/>
    </xf>
    <xf numFmtId="1" fontId="23" fillId="0" borderId="18" xfId="1" applyNumberFormat="1" applyFont="1" applyBorder="1" applyAlignment="1">
      <alignment horizontal="center"/>
    </xf>
    <xf numFmtId="1" fontId="20" fillId="0" borderId="0" xfId="1" applyNumberFormat="1" applyFont="1" applyAlignment="1">
      <alignment horizontal="center"/>
    </xf>
    <xf numFmtId="1" fontId="20" fillId="0" borderId="0" xfId="1" applyNumberFormat="1" applyFont="1"/>
    <xf numFmtId="1" fontId="35" fillId="0" borderId="0" xfId="2" applyNumberFormat="1" applyFont="1" applyAlignment="1">
      <alignment horizontal="center"/>
    </xf>
    <xf numFmtId="1" fontId="35" fillId="0" borderId="18" xfId="1" applyNumberFormat="1" applyFont="1" applyBorder="1" applyAlignment="1">
      <alignment horizontal="center"/>
    </xf>
    <xf numFmtId="1" fontId="36" fillId="0" borderId="18" xfId="1" applyNumberFormat="1" applyFont="1" applyBorder="1" applyAlignment="1">
      <alignment horizontal="center"/>
    </xf>
    <xf numFmtId="1" fontId="37" fillId="0" borderId="0" xfId="1" applyNumberFormat="1" applyFont="1" applyAlignment="1">
      <alignment horizontal="center"/>
    </xf>
    <xf numFmtId="1" fontId="37" fillId="0" borderId="0" xfId="1" applyNumberFormat="1" applyFont="1"/>
    <xf numFmtId="0" fontId="37" fillId="0" borderId="0" xfId="1" applyFont="1"/>
    <xf numFmtId="1" fontId="36" fillId="0" borderId="17" xfId="1" applyNumberFormat="1" applyFont="1" applyBorder="1" applyAlignment="1">
      <alignment horizontal="center"/>
    </xf>
    <xf numFmtId="0" fontId="23" fillId="0" borderId="18" xfId="1" applyFont="1" applyBorder="1" applyAlignment="1">
      <alignment horizontal="center" vertical="center"/>
    </xf>
    <xf numFmtId="1" fontId="23" fillId="0" borderId="17" xfId="1" applyNumberFormat="1" applyFont="1" applyBorder="1" applyAlignment="1">
      <alignment horizontal="center" vertical="center"/>
    </xf>
    <xf numFmtId="1" fontId="24" fillId="0" borderId="0" xfId="2" applyNumberFormat="1" applyFont="1" applyAlignment="1">
      <alignment horizontal="center" vertical="center"/>
    </xf>
    <xf numFmtId="1" fontId="23" fillId="3" borderId="18" xfId="1" applyNumberFormat="1" applyFont="1" applyFill="1" applyBorder="1" applyAlignment="1">
      <alignment horizontal="center" vertical="center"/>
    </xf>
    <xf numFmtId="1" fontId="23" fillId="0" borderId="17" xfId="1" quotePrefix="1" applyNumberFormat="1" applyFont="1" applyBorder="1" applyAlignment="1">
      <alignment horizontal="center"/>
    </xf>
    <xf numFmtId="1" fontId="23" fillId="0" borderId="0" xfId="1" applyNumberFormat="1" applyFont="1" applyAlignment="1">
      <alignment horizontal="center"/>
    </xf>
    <xf numFmtId="0" fontId="23" fillId="0" borderId="19" xfId="1" applyFont="1" applyBorder="1" applyAlignment="1">
      <alignment horizontal="center"/>
    </xf>
    <xf numFmtId="1" fontId="23" fillId="0" borderId="20" xfId="1" applyNumberFormat="1" applyFont="1" applyBorder="1" applyAlignment="1">
      <alignment horizontal="center"/>
    </xf>
    <xf numFmtId="1" fontId="24" fillId="0" borderId="9" xfId="2" applyNumberFormat="1" applyFont="1" applyBorder="1" applyAlignment="1">
      <alignment horizontal="center"/>
    </xf>
    <xf numFmtId="1" fontId="23" fillId="0" borderId="9" xfId="1" applyNumberFormat="1" applyFont="1" applyBorder="1" applyAlignment="1">
      <alignment horizontal="center"/>
    </xf>
    <xf numFmtId="0" fontId="18" fillId="0" borderId="18" xfId="1" applyFont="1" applyBorder="1" applyAlignment="1">
      <alignment horizontal="center"/>
    </xf>
    <xf numFmtId="1" fontId="24" fillId="0" borderId="0" xfId="1" applyNumberFormat="1" applyFont="1" applyAlignment="1">
      <alignment horizontal="center"/>
    </xf>
    <xf numFmtId="1" fontId="24" fillId="0" borderId="21" xfId="1" applyNumberFormat="1" applyFont="1" applyBorder="1" applyAlignment="1">
      <alignment horizontal="center"/>
    </xf>
    <xf numFmtId="0" fontId="18" fillId="0" borderId="21" xfId="1" applyFont="1" applyBorder="1" applyAlignment="1">
      <alignment horizontal="center"/>
    </xf>
    <xf numFmtId="0" fontId="23" fillId="2" borderId="13" xfId="1" applyFont="1" applyFill="1" applyBorder="1"/>
    <xf numFmtId="1" fontId="23" fillId="2" borderId="11" xfId="1" applyNumberFormat="1" applyFont="1" applyFill="1" applyBorder="1"/>
    <xf numFmtId="1" fontId="24" fillId="2" borderId="11" xfId="1" applyNumberFormat="1" applyFont="1" applyFill="1" applyBorder="1"/>
    <xf numFmtId="1" fontId="28" fillId="0" borderId="14" xfId="1" applyNumberFormat="1" applyFont="1" applyBorder="1" applyAlignment="1">
      <alignment horizontal="center"/>
    </xf>
    <xf numFmtId="1" fontId="35" fillId="2" borderId="0" xfId="2" applyNumberFormat="1" applyFont="1" applyFill="1" applyAlignment="1">
      <alignment horizontal="center"/>
    </xf>
    <xf numFmtId="1" fontId="35" fillId="2" borderId="18" xfId="1" applyNumberFormat="1" applyFont="1" applyFill="1" applyBorder="1" applyAlignment="1">
      <alignment horizontal="center"/>
    </xf>
    <xf numFmtId="0" fontId="37" fillId="2" borderId="0" xfId="1" applyFont="1" applyFill="1"/>
    <xf numFmtId="0" fontId="23" fillId="0" borderId="14" xfId="1" applyFont="1" applyBorder="1" applyAlignment="1">
      <alignment horizontal="center"/>
    </xf>
    <xf numFmtId="1" fontId="23" fillId="0" borderId="15" xfId="1" quotePrefix="1" applyNumberFormat="1" applyFont="1" applyBorder="1" applyAlignment="1">
      <alignment horizontal="center"/>
    </xf>
    <xf numFmtId="1" fontId="24" fillId="0" borderId="16" xfId="2" applyNumberFormat="1" applyFont="1" applyBorder="1" applyAlignment="1">
      <alignment horizontal="center"/>
    </xf>
    <xf numFmtId="0" fontId="18" fillId="0" borderId="10" xfId="1" applyFont="1" applyBorder="1" applyAlignment="1">
      <alignment horizontal="center"/>
    </xf>
    <xf numFmtId="0" fontId="23" fillId="2" borderId="11" xfId="1" applyFont="1" applyFill="1" applyBorder="1"/>
    <xf numFmtId="0" fontId="23" fillId="0" borderId="10" xfId="1" applyFont="1" applyBorder="1" applyAlignment="1">
      <alignment horizontal="center"/>
    </xf>
    <xf numFmtId="1" fontId="23" fillId="0" borderId="12" xfId="1" applyNumberFormat="1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1" fontId="23" fillId="0" borderId="17" xfId="0" applyNumberFormat="1" applyFont="1" applyBorder="1" applyAlignment="1">
      <alignment horizontal="center"/>
    </xf>
    <xf numFmtId="1" fontId="34" fillId="2" borderId="0" xfId="2" applyNumberFormat="1" applyFont="1" applyFill="1" applyAlignment="1">
      <alignment horizontal="center"/>
    </xf>
    <xf numFmtId="1" fontId="34" fillId="2" borderId="18" xfId="1" applyNumberFormat="1" applyFont="1" applyFill="1" applyBorder="1" applyAlignment="1">
      <alignment horizontal="center"/>
    </xf>
    <xf numFmtId="1" fontId="24" fillId="0" borderId="9" xfId="1" applyNumberFormat="1" applyFont="1" applyBorder="1" applyAlignment="1">
      <alignment horizontal="center"/>
    </xf>
    <xf numFmtId="1" fontId="28" fillId="0" borderId="19" xfId="1" applyNumberFormat="1" applyFont="1" applyBorder="1" applyAlignment="1">
      <alignment horizontal="center"/>
    </xf>
    <xf numFmtId="0" fontId="19" fillId="0" borderId="16" xfId="1" applyFont="1" applyBorder="1" applyAlignment="1">
      <alignment horizontal="center"/>
    </xf>
    <xf numFmtId="0" fontId="32" fillId="0" borderId="16" xfId="1" applyFont="1" applyBorder="1"/>
    <xf numFmtId="0" fontId="18" fillId="4" borderId="18" xfId="1" applyFont="1" applyFill="1" applyBorder="1" applyAlignment="1">
      <alignment horizontal="center" vertical="center" textRotation="90"/>
    </xf>
    <xf numFmtId="1" fontId="20" fillId="2" borderId="0" xfId="1" applyNumberFormat="1" applyFont="1" applyFill="1"/>
    <xf numFmtId="0" fontId="18" fillId="0" borderId="19" xfId="1" applyFont="1" applyBorder="1" applyAlignment="1">
      <alignment horizontal="center" vertical="center" textRotation="90" wrapText="1"/>
    </xf>
    <xf numFmtId="0" fontId="18" fillId="4" borderId="19" xfId="1" applyFont="1" applyFill="1" applyBorder="1" applyAlignment="1">
      <alignment horizontal="center" vertical="center" textRotation="90"/>
    </xf>
    <xf numFmtId="1" fontId="28" fillId="0" borderId="0" xfId="2" applyNumberFormat="1" applyFont="1" applyAlignment="1">
      <alignment horizontal="center"/>
    </xf>
    <xf numFmtId="1" fontId="23" fillId="0" borderId="0" xfId="2" applyNumberFormat="1" applyFont="1" applyAlignment="1">
      <alignment horizontal="center"/>
    </xf>
    <xf numFmtId="1" fontId="23" fillId="2" borderId="0" xfId="2" applyNumberFormat="1" applyFont="1" applyFill="1" applyAlignment="1">
      <alignment horizontal="center"/>
    </xf>
    <xf numFmtId="1" fontId="23" fillId="2" borderId="18" xfId="1" applyNumberFormat="1" applyFont="1" applyFill="1" applyBorder="1" applyAlignment="1">
      <alignment horizontal="center"/>
    </xf>
    <xf numFmtId="1" fontId="39" fillId="0" borderId="0" xfId="2" applyNumberFormat="1" applyFont="1" applyAlignment="1">
      <alignment horizontal="center"/>
    </xf>
    <xf numFmtId="1" fontId="39" fillId="0" borderId="18" xfId="1" applyNumberFormat="1" applyFont="1" applyBorder="1" applyAlignment="1">
      <alignment horizontal="center"/>
    </xf>
    <xf numFmtId="1" fontId="18" fillId="0" borderId="0" xfId="1" applyNumberFormat="1" applyFont="1" applyAlignment="1">
      <alignment horizontal="center"/>
    </xf>
    <xf numFmtId="1" fontId="18" fillId="0" borderId="0" xfId="1" applyNumberFormat="1" applyFont="1"/>
    <xf numFmtId="0" fontId="40" fillId="0" borderId="0" xfId="1" applyFont="1" applyAlignment="1">
      <alignment horizontal="center"/>
    </xf>
    <xf numFmtId="1" fontId="36" fillId="0" borderId="0" xfId="2" applyNumberFormat="1" applyFont="1" applyAlignment="1">
      <alignment horizontal="center"/>
    </xf>
    <xf numFmtId="0" fontId="41" fillId="0" borderId="0" xfId="1" applyFont="1" applyAlignment="1">
      <alignment horizontal="center"/>
    </xf>
    <xf numFmtId="0" fontId="18" fillId="0" borderId="19" xfId="1" applyFont="1" applyBorder="1" applyAlignment="1">
      <alignment horizontal="center"/>
    </xf>
    <xf numFmtId="0" fontId="22" fillId="0" borderId="16" xfId="1" applyFont="1" applyBorder="1" applyAlignment="1">
      <alignment horizontal="center"/>
    </xf>
    <xf numFmtId="0" fontId="20" fillId="0" borderId="16" xfId="1" applyFont="1" applyBorder="1"/>
    <xf numFmtId="164" fontId="19" fillId="0" borderId="16" xfId="1" applyNumberFormat="1" applyFont="1" applyBorder="1" applyAlignment="1">
      <alignment horizontal="center"/>
    </xf>
    <xf numFmtId="1" fontId="26" fillId="0" borderId="0" xfId="1" applyNumberFormat="1" applyFont="1"/>
    <xf numFmtId="1" fontId="25" fillId="0" borderId="0" xfId="1" applyNumberFormat="1" applyFont="1"/>
    <xf numFmtId="0" fontId="23" fillId="0" borderId="18" xfId="1" applyFont="1" applyBorder="1" applyAlignment="1">
      <alignment horizontal="right"/>
    </xf>
    <xf numFmtId="0" fontId="23" fillId="0" borderId="10" xfId="1" applyFont="1" applyBorder="1" applyAlignment="1">
      <alignment horizontal="right"/>
    </xf>
    <xf numFmtId="1" fontId="23" fillId="2" borderId="17" xfId="1" applyNumberFormat="1" applyFont="1" applyFill="1" applyBorder="1" applyAlignment="1">
      <alignment horizontal="center"/>
    </xf>
    <xf numFmtId="0" fontId="18" fillId="0" borderId="18" xfId="1" applyFont="1" applyBorder="1" applyAlignment="1">
      <alignment vertical="center" textRotation="90" wrapText="1"/>
    </xf>
    <xf numFmtId="1" fontId="23" fillId="0" borderId="10" xfId="1" applyNumberFormat="1" applyFont="1" applyBorder="1" applyAlignment="1">
      <alignment horizontal="center"/>
    </xf>
    <xf numFmtId="0" fontId="36" fillId="0" borderId="18" xfId="1" applyFont="1" applyBorder="1" applyAlignment="1">
      <alignment horizontal="center"/>
    </xf>
    <xf numFmtId="164" fontId="22" fillId="0" borderId="0" xfId="1" applyNumberFormat="1" applyFont="1" applyAlignment="1">
      <alignment horizontal="center"/>
    </xf>
    <xf numFmtId="164" fontId="19" fillId="0" borderId="0" xfId="1" applyNumberFormat="1" applyFont="1" applyAlignment="1">
      <alignment horizontal="center"/>
    </xf>
    <xf numFmtId="2" fontId="20" fillId="0" borderId="0" xfId="1" applyNumberFormat="1" applyFont="1" applyAlignment="1">
      <alignment horizontal="center"/>
    </xf>
    <xf numFmtId="0" fontId="18" fillId="0" borderId="10" xfId="1" applyFont="1" applyBorder="1"/>
    <xf numFmtId="1" fontId="33" fillId="0" borderId="17" xfId="1" applyNumberFormat="1" applyFont="1" applyBorder="1" applyAlignment="1">
      <alignment horizontal="center"/>
    </xf>
    <xf numFmtId="1" fontId="22" fillId="0" borderId="0" xfId="1" applyNumberFormat="1" applyFont="1"/>
    <xf numFmtId="165" fontId="22" fillId="0" borderId="0" xfId="1" applyNumberFormat="1" applyFont="1" applyAlignment="1">
      <alignment horizontal="center"/>
    </xf>
    <xf numFmtId="1" fontId="36" fillId="3" borderId="18" xfId="1" applyNumberFormat="1" applyFont="1" applyFill="1" applyBorder="1" applyAlignment="1">
      <alignment horizontal="center" vertical="center"/>
    </xf>
    <xf numFmtId="0" fontId="37" fillId="0" borderId="18" xfId="1" applyFont="1" applyBorder="1" applyAlignment="1">
      <alignment horizontal="center" vertical="center" textRotation="90" wrapText="1"/>
    </xf>
    <xf numFmtId="1" fontId="24" fillId="0" borderId="0" xfId="3" applyNumberFormat="1" applyFont="1" applyAlignment="1">
      <alignment horizontal="center"/>
    </xf>
    <xf numFmtId="0" fontId="20" fillId="0" borderId="9" xfId="1" applyFont="1" applyBorder="1"/>
    <xf numFmtId="0" fontId="22" fillId="0" borderId="9" xfId="1" applyFont="1" applyBorder="1" applyAlignment="1">
      <alignment horizontal="center"/>
    </xf>
    <xf numFmtId="0" fontId="18" fillId="0" borderId="10" xfId="1" applyFont="1" applyBorder="1" applyAlignment="1">
      <alignment horizontal="center" vertical="center" textRotation="90" wrapText="1"/>
    </xf>
    <xf numFmtId="1" fontId="28" fillId="0" borderId="0" xfId="1" applyNumberFormat="1" applyFont="1" applyAlignment="1">
      <alignment horizontal="center"/>
    </xf>
    <xf numFmtId="1" fontId="21" fillId="0" borderId="0" xfId="1" applyNumberFormat="1" applyFont="1" applyAlignment="1">
      <alignment horizontal="center"/>
    </xf>
    <xf numFmtId="1" fontId="36" fillId="0" borderId="17" xfId="1" quotePrefix="1" applyNumberFormat="1" applyFont="1" applyBorder="1" applyAlignment="1">
      <alignment horizontal="center"/>
    </xf>
    <xf numFmtId="0" fontId="36" fillId="0" borderId="19" xfId="1" applyFont="1" applyBorder="1" applyAlignment="1">
      <alignment horizontal="center"/>
    </xf>
    <xf numFmtId="1" fontId="36" fillId="0" borderId="20" xfId="1" applyNumberFormat="1" applyFont="1" applyBorder="1" applyAlignment="1">
      <alignment horizontal="center"/>
    </xf>
    <xf numFmtId="0" fontId="23" fillId="0" borderId="18" xfId="1" applyFont="1" applyBorder="1"/>
    <xf numFmtId="0" fontId="19" fillId="0" borderId="0" xfId="1" applyFont="1" applyAlignment="1">
      <alignment horizontal="center"/>
    </xf>
    <xf numFmtId="0" fontId="18" fillId="0" borderId="14" xfId="1" applyFont="1" applyBorder="1" applyAlignment="1">
      <alignment horizontal="center" vertical="center" textRotation="90" wrapText="1"/>
    </xf>
    <xf numFmtId="0" fontId="18" fillId="0" borderId="18" xfId="1" applyFont="1" applyBorder="1" applyAlignment="1">
      <alignment horizontal="center" vertical="center" textRotation="90" wrapText="1"/>
    </xf>
    <xf numFmtId="0" fontId="18" fillId="0" borderId="19" xfId="1" applyFont="1" applyBorder="1" applyAlignment="1">
      <alignment horizontal="center" vertical="center" textRotation="90" wrapText="1"/>
    </xf>
    <xf numFmtId="0" fontId="18" fillId="4" borderId="14" xfId="1" applyFont="1" applyFill="1" applyBorder="1" applyAlignment="1">
      <alignment horizontal="center" vertical="center" textRotation="90"/>
    </xf>
    <xf numFmtId="0" fontId="18" fillId="4" borderId="18" xfId="1" applyFont="1" applyFill="1" applyBorder="1" applyAlignment="1">
      <alignment horizontal="center" vertical="center" textRotation="90"/>
    </xf>
    <xf numFmtId="0" fontId="18" fillId="4" borderId="19" xfId="1" applyFont="1" applyFill="1" applyBorder="1" applyAlignment="1">
      <alignment horizontal="center" vertical="center" textRotation="90"/>
    </xf>
    <xf numFmtId="0" fontId="18" fillId="0" borderId="14" xfId="1" applyFont="1" applyBorder="1" applyAlignment="1">
      <alignment horizontal="center" vertical="center" textRotation="90"/>
    </xf>
    <xf numFmtId="0" fontId="18" fillId="0" borderId="18" xfId="1" applyFont="1" applyBorder="1" applyAlignment="1">
      <alignment horizontal="center" vertical="center" textRotation="90"/>
    </xf>
    <xf numFmtId="0" fontId="18" fillId="0" borderId="19" xfId="1" applyFont="1" applyBorder="1" applyAlignment="1">
      <alignment horizontal="center" vertical="center" textRotation="90"/>
    </xf>
  </cellXfs>
  <cellStyles count="49703">
    <cellStyle name="20% - Accent1 10" xfId="4"/>
    <cellStyle name="20% - Accent1 10 2" xfId="5"/>
    <cellStyle name="20% - Accent1 10 3" xfId="6"/>
    <cellStyle name="20% - Accent1 10 4" xfId="7"/>
    <cellStyle name="20% - Accent1 11" xfId="8"/>
    <cellStyle name="20% - Accent1 11 2" xfId="9"/>
    <cellStyle name="20% - Accent1 11 3" xfId="10"/>
    <cellStyle name="20% - Accent1 11 4" xfId="11"/>
    <cellStyle name="20% - Accent1 12" xfId="12"/>
    <cellStyle name="20% - Accent1 12 2" xfId="13"/>
    <cellStyle name="20% - Accent1 12 3" xfId="14"/>
    <cellStyle name="20% - Accent1 12 4" xfId="15"/>
    <cellStyle name="20% - Accent1 13" xfId="16"/>
    <cellStyle name="20% - Accent1 13 2" xfId="17"/>
    <cellStyle name="20% - Accent1 13 3" xfId="18"/>
    <cellStyle name="20% - Accent1 13 4" xfId="19"/>
    <cellStyle name="20% - Accent1 14" xfId="20"/>
    <cellStyle name="20% - Accent1 14 2" xfId="21"/>
    <cellStyle name="20% - Accent1 14 3" xfId="22"/>
    <cellStyle name="20% - Accent1 14 4" xfId="23"/>
    <cellStyle name="20% - Accent1 15" xfId="24"/>
    <cellStyle name="20% - Accent1 15 2" xfId="25"/>
    <cellStyle name="20% - Accent1 15 3" xfId="26"/>
    <cellStyle name="20% - Accent1 15 4" xfId="27"/>
    <cellStyle name="20% - Accent1 16" xfId="28"/>
    <cellStyle name="20% - Accent1 16 2" xfId="29"/>
    <cellStyle name="20% - Accent1 17" xfId="30"/>
    <cellStyle name="20% - Accent1 17 2" xfId="31"/>
    <cellStyle name="20% - Accent1 18" xfId="32"/>
    <cellStyle name="20% - Accent1 18 2" xfId="33"/>
    <cellStyle name="20% - Accent1 19" xfId="34"/>
    <cellStyle name="20% - Accent1 19 2" xfId="35"/>
    <cellStyle name="20% - Accent1 2" xfId="36"/>
    <cellStyle name="20% - Accent1 2 10" xfId="37"/>
    <cellStyle name="20% - Accent1 2 10 2" xfId="38"/>
    <cellStyle name="20% - Accent1 2 11" xfId="39"/>
    <cellStyle name="20% - Accent1 2 11 2" xfId="40"/>
    <cellStyle name="20% - Accent1 2 12" xfId="41"/>
    <cellStyle name="20% - Accent1 2 12 2" xfId="42"/>
    <cellStyle name="20% - Accent1 2 13" xfId="43"/>
    <cellStyle name="20% - Accent1 2 13 2" xfId="44"/>
    <cellStyle name="20% - Accent1 2 14" xfId="45"/>
    <cellStyle name="20% - Accent1 2 14 2" xfId="46"/>
    <cellStyle name="20% - Accent1 2 2" xfId="47"/>
    <cellStyle name="20% - Accent1 2 3" xfId="48"/>
    <cellStyle name="20% - Accent1 2 4" xfId="49"/>
    <cellStyle name="20% - Accent1 2 5" xfId="50"/>
    <cellStyle name="20% - Accent1 2 6" xfId="51"/>
    <cellStyle name="20% - Accent1 2 7" xfId="52"/>
    <cellStyle name="20% - Accent1 2 8" xfId="53"/>
    <cellStyle name="20% - Accent1 2 9" xfId="54"/>
    <cellStyle name="20% - Accent1 2 9 2" xfId="55"/>
    <cellStyle name="20% - Accent1 20" xfId="56"/>
    <cellStyle name="20% - Accent1 20 2" xfId="57"/>
    <cellStyle name="20% - Accent1 21" xfId="58"/>
    <cellStyle name="20% - Accent1 21 2" xfId="59"/>
    <cellStyle name="20% - Accent1 22" xfId="60"/>
    <cellStyle name="20% - Accent1 22 2" xfId="61"/>
    <cellStyle name="20% - Accent1 23" xfId="62"/>
    <cellStyle name="20% - Accent1 23 2" xfId="63"/>
    <cellStyle name="20% - Accent1 24" xfId="64"/>
    <cellStyle name="20% - Accent1 24 2" xfId="65"/>
    <cellStyle name="20% - Accent1 25" xfId="66"/>
    <cellStyle name="20% - Accent1 25 2" xfId="67"/>
    <cellStyle name="20% - Accent1 26" xfId="68"/>
    <cellStyle name="20% - Accent1 26 2" xfId="69"/>
    <cellStyle name="20% - Accent1 27" xfId="70"/>
    <cellStyle name="20% - Accent1 27 2" xfId="71"/>
    <cellStyle name="20% - Accent1 28" xfId="72"/>
    <cellStyle name="20% - Accent1 28 2" xfId="73"/>
    <cellStyle name="20% - Accent1 29" xfId="74"/>
    <cellStyle name="20% - Accent1 29 2" xfId="75"/>
    <cellStyle name="20% - Accent1 3" xfId="76"/>
    <cellStyle name="20% - Accent1 3 10" xfId="77"/>
    <cellStyle name="20% - Accent1 3 10 10" xfId="78"/>
    <cellStyle name="20% - Accent1 3 10 2" xfId="79"/>
    <cellStyle name="20% - Accent1 3 10 2 2" xfId="80"/>
    <cellStyle name="20% - Accent1 3 10 3" xfId="81"/>
    <cellStyle name="20% - Accent1 3 10 3 2" xfId="82"/>
    <cellStyle name="20% - Accent1 3 10 4" xfId="83"/>
    <cellStyle name="20% - Accent1 3 10 4 2" xfId="84"/>
    <cellStyle name="20% - Accent1 3 10 5" xfId="85"/>
    <cellStyle name="20% - Accent1 3 10 5 2" xfId="86"/>
    <cellStyle name="20% - Accent1 3 10 6" xfId="87"/>
    <cellStyle name="20% - Accent1 3 10 6 2" xfId="88"/>
    <cellStyle name="20% - Accent1 3 10 7" xfId="89"/>
    <cellStyle name="20% - Accent1 3 10 7 2" xfId="90"/>
    <cellStyle name="20% - Accent1 3 10 8" xfId="91"/>
    <cellStyle name="20% - Accent1 3 10 8 2" xfId="92"/>
    <cellStyle name="20% - Accent1 3 10 9" xfId="93"/>
    <cellStyle name="20% - Accent1 3 10 9 2" xfId="94"/>
    <cellStyle name="20% - Accent1 3 11" xfId="95"/>
    <cellStyle name="20% - Accent1 3 11 10" xfId="96"/>
    <cellStyle name="20% - Accent1 3 11 2" xfId="97"/>
    <cellStyle name="20% - Accent1 3 11 2 2" xfId="98"/>
    <cellStyle name="20% - Accent1 3 11 3" xfId="99"/>
    <cellStyle name="20% - Accent1 3 11 3 2" xfId="100"/>
    <cellStyle name="20% - Accent1 3 11 4" xfId="101"/>
    <cellStyle name="20% - Accent1 3 11 4 2" xfId="102"/>
    <cellStyle name="20% - Accent1 3 11 5" xfId="103"/>
    <cellStyle name="20% - Accent1 3 11 5 2" xfId="104"/>
    <cellStyle name="20% - Accent1 3 11 6" xfId="105"/>
    <cellStyle name="20% - Accent1 3 11 6 2" xfId="106"/>
    <cellStyle name="20% - Accent1 3 11 7" xfId="107"/>
    <cellStyle name="20% - Accent1 3 11 7 2" xfId="108"/>
    <cellStyle name="20% - Accent1 3 11 8" xfId="109"/>
    <cellStyle name="20% - Accent1 3 11 8 2" xfId="110"/>
    <cellStyle name="20% - Accent1 3 11 9" xfId="111"/>
    <cellStyle name="20% - Accent1 3 11 9 2" xfId="112"/>
    <cellStyle name="20% - Accent1 3 12" xfId="113"/>
    <cellStyle name="20% - Accent1 3 12 10" xfId="114"/>
    <cellStyle name="20% - Accent1 3 12 2" xfId="115"/>
    <cellStyle name="20% - Accent1 3 12 2 2" xfId="116"/>
    <cellStyle name="20% - Accent1 3 12 3" xfId="117"/>
    <cellStyle name="20% - Accent1 3 12 3 2" xfId="118"/>
    <cellStyle name="20% - Accent1 3 12 4" xfId="119"/>
    <cellStyle name="20% - Accent1 3 12 4 2" xfId="120"/>
    <cellStyle name="20% - Accent1 3 12 5" xfId="121"/>
    <cellStyle name="20% - Accent1 3 12 5 2" xfId="122"/>
    <cellStyle name="20% - Accent1 3 12 6" xfId="123"/>
    <cellStyle name="20% - Accent1 3 12 6 2" xfId="124"/>
    <cellStyle name="20% - Accent1 3 12 7" xfId="125"/>
    <cellStyle name="20% - Accent1 3 12 7 2" xfId="126"/>
    <cellStyle name="20% - Accent1 3 12 8" xfId="127"/>
    <cellStyle name="20% - Accent1 3 12 8 2" xfId="128"/>
    <cellStyle name="20% - Accent1 3 12 9" xfId="129"/>
    <cellStyle name="20% - Accent1 3 12 9 2" xfId="130"/>
    <cellStyle name="20% - Accent1 3 13" xfId="131"/>
    <cellStyle name="20% - Accent1 3 13 2" xfId="132"/>
    <cellStyle name="20% - Accent1 3 14" xfId="133"/>
    <cellStyle name="20% - Accent1 3 14 2" xfId="134"/>
    <cellStyle name="20% - Accent1 3 15" xfId="135"/>
    <cellStyle name="20% - Accent1 3 15 2" xfId="136"/>
    <cellStyle name="20% - Accent1 3 16" xfId="137"/>
    <cellStyle name="20% - Accent1 3 16 2" xfId="138"/>
    <cellStyle name="20% - Accent1 3 17" xfId="139"/>
    <cellStyle name="20% - Accent1 3 17 2" xfId="140"/>
    <cellStyle name="20% - Accent1 3 18" xfId="141"/>
    <cellStyle name="20% - Accent1 3 18 2" xfId="142"/>
    <cellStyle name="20% - Accent1 3 19" xfId="143"/>
    <cellStyle name="20% - Accent1 3 19 2" xfId="144"/>
    <cellStyle name="20% - Accent1 3 2" xfId="145"/>
    <cellStyle name="20% - Accent1 3 2 10" xfId="146"/>
    <cellStyle name="20% - Accent1 3 2 10 2" xfId="147"/>
    <cellStyle name="20% - Accent1 3 2 11" xfId="148"/>
    <cellStyle name="20% - Accent1 3 2 11 2" xfId="149"/>
    <cellStyle name="20% - Accent1 3 2 12" xfId="150"/>
    <cellStyle name="20% - Accent1 3 2 12 2" xfId="151"/>
    <cellStyle name="20% - Accent1 3 2 13" xfId="152"/>
    <cellStyle name="20% - Accent1 3 2 13 2" xfId="153"/>
    <cellStyle name="20% - Accent1 3 2 14" xfId="154"/>
    <cellStyle name="20% - Accent1 3 2 14 2" xfId="155"/>
    <cellStyle name="20% - Accent1 3 2 15" xfId="156"/>
    <cellStyle name="20% - Accent1 3 2 15 2" xfId="157"/>
    <cellStyle name="20% - Accent1 3 2 16" xfId="158"/>
    <cellStyle name="20% - Accent1 3 2 16 2" xfId="159"/>
    <cellStyle name="20% - Accent1 3 2 17" xfId="160"/>
    <cellStyle name="20% - Accent1 3 2 17 2" xfId="161"/>
    <cellStyle name="20% - Accent1 3 2 18" xfId="162"/>
    <cellStyle name="20% - Accent1 3 2 18 2" xfId="163"/>
    <cellStyle name="20% - Accent1 3 2 19" xfId="164"/>
    <cellStyle name="20% - Accent1 3 2 19 2" xfId="165"/>
    <cellStyle name="20% - Accent1 3 2 2" xfId="166"/>
    <cellStyle name="20% - Accent1 3 2 2 2" xfId="167"/>
    <cellStyle name="20% - Accent1 3 2 2 2 2" xfId="168"/>
    <cellStyle name="20% - Accent1 3 2 2 3" xfId="169"/>
    <cellStyle name="20% - Accent1 3 2 2 3 2" xfId="170"/>
    <cellStyle name="20% - Accent1 3 2 2 4" xfId="171"/>
    <cellStyle name="20% - Accent1 3 2 2 4 2" xfId="172"/>
    <cellStyle name="20% - Accent1 3 2 2 5" xfId="173"/>
    <cellStyle name="20% - Accent1 3 2 2 5 2" xfId="174"/>
    <cellStyle name="20% - Accent1 3 2 2 6" xfId="175"/>
    <cellStyle name="20% - Accent1 3 2 2 6 2" xfId="176"/>
    <cellStyle name="20% - Accent1 3 2 2 7" xfId="177"/>
    <cellStyle name="20% - Accent1 3 2 2 7 2" xfId="178"/>
    <cellStyle name="20% - Accent1 3 2 2 8" xfId="179"/>
    <cellStyle name="20% - Accent1 3 2 20" xfId="180"/>
    <cellStyle name="20% - Accent1 3 2 20 2" xfId="181"/>
    <cellStyle name="20% - Accent1 3 2 21" xfId="182"/>
    <cellStyle name="20% - Accent1 3 2 21 2" xfId="183"/>
    <cellStyle name="20% - Accent1 3 2 22" xfId="184"/>
    <cellStyle name="20% - Accent1 3 2 22 2" xfId="185"/>
    <cellStyle name="20% - Accent1 3 2 23" xfId="186"/>
    <cellStyle name="20% - Accent1 3 2 23 2" xfId="187"/>
    <cellStyle name="20% - Accent1 3 2 24" xfId="188"/>
    <cellStyle name="20% - Accent1 3 2 3" xfId="189"/>
    <cellStyle name="20% - Accent1 3 2 3 2" xfId="190"/>
    <cellStyle name="20% - Accent1 3 2 3 2 2" xfId="191"/>
    <cellStyle name="20% - Accent1 3 2 3 3" xfId="192"/>
    <cellStyle name="20% - Accent1 3 2 3 3 2" xfId="193"/>
    <cellStyle name="20% - Accent1 3 2 3 4" xfId="194"/>
    <cellStyle name="20% - Accent1 3 2 3 4 2" xfId="195"/>
    <cellStyle name="20% - Accent1 3 2 3 5" xfId="196"/>
    <cellStyle name="20% - Accent1 3 2 3 5 2" xfId="197"/>
    <cellStyle name="20% - Accent1 3 2 3 6" xfId="198"/>
    <cellStyle name="20% - Accent1 3 2 3 6 2" xfId="199"/>
    <cellStyle name="20% - Accent1 3 2 3 7" xfId="200"/>
    <cellStyle name="20% - Accent1 3 2 3 7 2" xfId="201"/>
    <cellStyle name="20% - Accent1 3 2 3 8" xfId="202"/>
    <cellStyle name="20% - Accent1 3 2 4" xfId="203"/>
    <cellStyle name="20% - Accent1 3 2 4 2" xfId="204"/>
    <cellStyle name="20% - Accent1 3 2 5" xfId="205"/>
    <cellStyle name="20% - Accent1 3 2 5 2" xfId="206"/>
    <cellStyle name="20% - Accent1 3 2 6" xfId="207"/>
    <cellStyle name="20% - Accent1 3 2 6 2" xfId="208"/>
    <cellStyle name="20% - Accent1 3 2 7" xfId="209"/>
    <cellStyle name="20% - Accent1 3 2 7 2" xfId="210"/>
    <cellStyle name="20% - Accent1 3 2 8" xfId="211"/>
    <cellStyle name="20% - Accent1 3 2 8 2" xfId="212"/>
    <cellStyle name="20% - Accent1 3 2 9" xfId="213"/>
    <cellStyle name="20% - Accent1 3 2 9 2" xfId="214"/>
    <cellStyle name="20% - Accent1 3 20" xfId="215"/>
    <cellStyle name="20% - Accent1 3 20 2" xfId="216"/>
    <cellStyle name="20% - Accent1 3 21" xfId="217"/>
    <cellStyle name="20% - Accent1 3 21 2" xfId="218"/>
    <cellStyle name="20% - Accent1 3 22" xfId="219"/>
    <cellStyle name="20% - Accent1 3 22 2" xfId="220"/>
    <cellStyle name="20% - Accent1 3 23" xfId="221"/>
    <cellStyle name="20% - Accent1 3 23 2" xfId="222"/>
    <cellStyle name="20% - Accent1 3 24" xfId="223"/>
    <cellStyle name="20% - Accent1 3 24 2" xfId="224"/>
    <cellStyle name="20% - Accent1 3 25" xfId="225"/>
    <cellStyle name="20% - Accent1 3 25 2" xfId="226"/>
    <cellStyle name="20% - Accent1 3 26" xfId="227"/>
    <cellStyle name="20% - Accent1 3 26 2" xfId="228"/>
    <cellStyle name="20% - Accent1 3 27" xfId="229"/>
    <cellStyle name="20% - Accent1 3 27 2" xfId="230"/>
    <cellStyle name="20% - Accent1 3 28" xfId="231"/>
    <cellStyle name="20% - Accent1 3 28 2" xfId="232"/>
    <cellStyle name="20% - Accent1 3 29" xfId="233"/>
    <cellStyle name="20% - Accent1 3 29 2" xfId="234"/>
    <cellStyle name="20% - Accent1 3 3" xfId="235"/>
    <cellStyle name="20% - Accent1 3 3 10" xfId="236"/>
    <cellStyle name="20% - Accent1 3 3 2" xfId="237"/>
    <cellStyle name="20% - Accent1 3 3 2 2" xfId="238"/>
    <cellStyle name="20% - Accent1 3 3 2 2 2" xfId="239"/>
    <cellStyle name="20% - Accent1 3 3 2 3" xfId="240"/>
    <cellStyle name="20% - Accent1 3 3 2 3 2" xfId="241"/>
    <cellStyle name="20% - Accent1 3 3 2 4" xfId="242"/>
    <cellStyle name="20% - Accent1 3 3 2 4 2" xfId="243"/>
    <cellStyle name="20% - Accent1 3 3 2 5" xfId="244"/>
    <cellStyle name="20% - Accent1 3 3 2 5 2" xfId="245"/>
    <cellStyle name="20% - Accent1 3 3 2 6" xfId="246"/>
    <cellStyle name="20% - Accent1 3 3 2 6 2" xfId="247"/>
    <cellStyle name="20% - Accent1 3 3 2 7" xfId="248"/>
    <cellStyle name="20% - Accent1 3 3 2 7 2" xfId="249"/>
    <cellStyle name="20% - Accent1 3 3 2 8" xfId="250"/>
    <cellStyle name="20% - Accent1 3 3 3" xfId="251"/>
    <cellStyle name="20% - Accent1 3 3 3 2" xfId="252"/>
    <cellStyle name="20% - Accent1 3 3 4" xfId="253"/>
    <cellStyle name="20% - Accent1 3 3 4 2" xfId="254"/>
    <cellStyle name="20% - Accent1 3 3 5" xfId="255"/>
    <cellStyle name="20% - Accent1 3 3 5 2" xfId="256"/>
    <cellStyle name="20% - Accent1 3 3 6" xfId="257"/>
    <cellStyle name="20% - Accent1 3 3 6 2" xfId="258"/>
    <cellStyle name="20% - Accent1 3 3 7" xfId="259"/>
    <cellStyle name="20% - Accent1 3 3 7 2" xfId="260"/>
    <cellStyle name="20% - Accent1 3 3 8" xfId="261"/>
    <cellStyle name="20% - Accent1 3 3 8 2" xfId="262"/>
    <cellStyle name="20% - Accent1 3 3 9" xfId="263"/>
    <cellStyle name="20% - Accent1 3 3 9 2" xfId="264"/>
    <cellStyle name="20% - Accent1 3 30" xfId="265"/>
    <cellStyle name="20% - Accent1 3 30 2" xfId="266"/>
    <cellStyle name="20% - Accent1 3 31" xfId="267"/>
    <cellStyle name="20% - Accent1 3 31 2" xfId="268"/>
    <cellStyle name="20% - Accent1 3 32" xfId="269"/>
    <cellStyle name="20% - Accent1 3 32 2" xfId="270"/>
    <cellStyle name="20% - Accent1 3 33" xfId="271"/>
    <cellStyle name="20% - Accent1 3 33 2" xfId="272"/>
    <cellStyle name="20% - Accent1 3 34" xfId="273"/>
    <cellStyle name="20% - Accent1 3 34 2" xfId="274"/>
    <cellStyle name="20% - Accent1 3 35" xfId="275"/>
    <cellStyle name="20% - Accent1 3 35 2" xfId="276"/>
    <cellStyle name="20% - Accent1 3 36" xfId="277"/>
    <cellStyle name="20% - Accent1 3 36 2" xfId="278"/>
    <cellStyle name="20% - Accent1 3 37" xfId="279"/>
    <cellStyle name="20% - Accent1 3 37 2" xfId="280"/>
    <cellStyle name="20% - Accent1 3 38" xfId="281"/>
    <cellStyle name="20% - Accent1 3 38 2" xfId="282"/>
    <cellStyle name="20% - Accent1 3 39" xfId="283"/>
    <cellStyle name="20% - Accent1 3 39 2" xfId="284"/>
    <cellStyle name="20% - Accent1 3 4" xfId="285"/>
    <cellStyle name="20% - Accent1 3 4 10" xfId="286"/>
    <cellStyle name="20% - Accent1 3 4 2" xfId="287"/>
    <cellStyle name="20% - Accent1 3 4 2 2" xfId="288"/>
    <cellStyle name="20% - Accent1 3 4 3" xfId="289"/>
    <cellStyle name="20% - Accent1 3 4 3 2" xfId="290"/>
    <cellStyle name="20% - Accent1 3 4 4" xfId="291"/>
    <cellStyle name="20% - Accent1 3 4 4 2" xfId="292"/>
    <cellStyle name="20% - Accent1 3 4 5" xfId="293"/>
    <cellStyle name="20% - Accent1 3 4 5 2" xfId="294"/>
    <cellStyle name="20% - Accent1 3 4 6" xfId="295"/>
    <cellStyle name="20% - Accent1 3 4 6 2" xfId="296"/>
    <cellStyle name="20% - Accent1 3 4 7" xfId="297"/>
    <cellStyle name="20% - Accent1 3 4 7 2" xfId="298"/>
    <cellStyle name="20% - Accent1 3 4 8" xfId="299"/>
    <cellStyle name="20% - Accent1 3 4 8 2" xfId="300"/>
    <cellStyle name="20% - Accent1 3 4 9" xfId="301"/>
    <cellStyle name="20% - Accent1 3 4 9 2" xfId="302"/>
    <cellStyle name="20% - Accent1 3 40" xfId="303"/>
    <cellStyle name="20% - Accent1 3 40 2" xfId="304"/>
    <cellStyle name="20% - Accent1 3 41" xfId="305"/>
    <cellStyle name="20% - Accent1 3 41 2" xfId="306"/>
    <cellStyle name="20% - Accent1 3 42" xfId="307"/>
    <cellStyle name="20% - Accent1 3 42 2" xfId="308"/>
    <cellStyle name="20% - Accent1 3 43" xfId="309"/>
    <cellStyle name="20% - Accent1 3 43 2" xfId="310"/>
    <cellStyle name="20% - Accent1 3 44" xfId="311"/>
    <cellStyle name="20% - Accent1 3 44 2" xfId="312"/>
    <cellStyle name="20% - Accent1 3 45" xfId="313"/>
    <cellStyle name="20% - Accent1 3 45 2" xfId="314"/>
    <cellStyle name="20% - Accent1 3 46" xfId="315"/>
    <cellStyle name="20% - Accent1 3 46 2" xfId="316"/>
    <cellStyle name="20% - Accent1 3 47" xfId="317"/>
    <cellStyle name="20% - Accent1 3 47 2" xfId="318"/>
    <cellStyle name="20% - Accent1 3 48" xfId="319"/>
    <cellStyle name="20% - Accent1 3 48 2" xfId="320"/>
    <cellStyle name="20% - Accent1 3 49" xfId="321"/>
    <cellStyle name="20% - Accent1 3 49 2" xfId="322"/>
    <cellStyle name="20% - Accent1 3 5" xfId="323"/>
    <cellStyle name="20% - Accent1 3 5 10" xfId="324"/>
    <cellStyle name="20% - Accent1 3 5 2" xfId="325"/>
    <cellStyle name="20% - Accent1 3 5 2 2" xfId="326"/>
    <cellStyle name="20% - Accent1 3 5 3" xfId="327"/>
    <cellStyle name="20% - Accent1 3 5 3 2" xfId="328"/>
    <cellStyle name="20% - Accent1 3 5 4" xfId="329"/>
    <cellStyle name="20% - Accent1 3 5 4 2" xfId="330"/>
    <cellStyle name="20% - Accent1 3 5 5" xfId="331"/>
    <cellStyle name="20% - Accent1 3 5 5 2" xfId="332"/>
    <cellStyle name="20% - Accent1 3 5 6" xfId="333"/>
    <cellStyle name="20% - Accent1 3 5 6 2" xfId="334"/>
    <cellStyle name="20% - Accent1 3 5 7" xfId="335"/>
    <cellStyle name="20% - Accent1 3 5 7 2" xfId="336"/>
    <cellStyle name="20% - Accent1 3 5 8" xfId="337"/>
    <cellStyle name="20% - Accent1 3 5 8 2" xfId="338"/>
    <cellStyle name="20% - Accent1 3 5 9" xfId="339"/>
    <cellStyle name="20% - Accent1 3 5 9 2" xfId="340"/>
    <cellStyle name="20% - Accent1 3 50" xfId="341"/>
    <cellStyle name="20% - Accent1 3 50 2" xfId="342"/>
    <cellStyle name="20% - Accent1 3 51" xfId="343"/>
    <cellStyle name="20% - Accent1 3 51 2" xfId="344"/>
    <cellStyle name="20% - Accent1 3 52" xfId="345"/>
    <cellStyle name="20% - Accent1 3 52 2" xfId="346"/>
    <cellStyle name="20% - Accent1 3 53" xfId="347"/>
    <cellStyle name="20% - Accent1 3 53 2" xfId="348"/>
    <cellStyle name="20% - Accent1 3 54" xfId="349"/>
    <cellStyle name="20% - Accent1 3 54 2" xfId="350"/>
    <cellStyle name="20% - Accent1 3 55" xfId="351"/>
    <cellStyle name="20% - Accent1 3 55 2" xfId="352"/>
    <cellStyle name="20% - Accent1 3 56" xfId="353"/>
    <cellStyle name="20% - Accent1 3 56 2" xfId="354"/>
    <cellStyle name="20% - Accent1 3 57" xfId="355"/>
    <cellStyle name="20% - Accent1 3 6" xfId="356"/>
    <cellStyle name="20% - Accent1 3 6 10" xfId="357"/>
    <cellStyle name="20% - Accent1 3 6 2" xfId="358"/>
    <cellStyle name="20% - Accent1 3 6 2 2" xfId="359"/>
    <cellStyle name="20% - Accent1 3 6 3" xfId="360"/>
    <cellStyle name="20% - Accent1 3 6 3 2" xfId="361"/>
    <cellStyle name="20% - Accent1 3 6 4" xfId="362"/>
    <cellStyle name="20% - Accent1 3 6 4 2" xfId="363"/>
    <cellStyle name="20% - Accent1 3 6 5" xfId="364"/>
    <cellStyle name="20% - Accent1 3 6 5 2" xfId="365"/>
    <cellStyle name="20% - Accent1 3 6 6" xfId="366"/>
    <cellStyle name="20% - Accent1 3 6 6 2" xfId="367"/>
    <cellStyle name="20% - Accent1 3 6 7" xfId="368"/>
    <cellStyle name="20% - Accent1 3 6 7 2" xfId="369"/>
    <cellStyle name="20% - Accent1 3 6 8" xfId="370"/>
    <cellStyle name="20% - Accent1 3 6 8 2" xfId="371"/>
    <cellStyle name="20% - Accent1 3 6 9" xfId="372"/>
    <cellStyle name="20% - Accent1 3 6 9 2" xfId="373"/>
    <cellStyle name="20% - Accent1 3 7" xfId="374"/>
    <cellStyle name="20% - Accent1 3 7 10" xfId="375"/>
    <cellStyle name="20% - Accent1 3 7 2" xfId="376"/>
    <cellStyle name="20% - Accent1 3 7 2 2" xfId="377"/>
    <cellStyle name="20% - Accent1 3 7 3" xfId="378"/>
    <cellStyle name="20% - Accent1 3 7 3 2" xfId="379"/>
    <cellStyle name="20% - Accent1 3 7 4" xfId="380"/>
    <cellStyle name="20% - Accent1 3 7 4 2" xfId="381"/>
    <cellStyle name="20% - Accent1 3 7 5" xfId="382"/>
    <cellStyle name="20% - Accent1 3 7 5 2" xfId="383"/>
    <cellStyle name="20% - Accent1 3 7 6" xfId="384"/>
    <cellStyle name="20% - Accent1 3 7 6 2" xfId="385"/>
    <cellStyle name="20% - Accent1 3 7 7" xfId="386"/>
    <cellStyle name="20% - Accent1 3 7 7 2" xfId="387"/>
    <cellStyle name="20% - Accent1 3 7 8" xfId="388"/>
    <cellStyle name="20% - Accent1 3 7 8 2" xfId="389"/>
    <cellStyle name="20% - Accent1 3 7 9" xfId="390"/>
    <cellStyle name="20% - Accent1 3 7 9 2" xfId="391"/>
    <cellStyle name="20% - Accent1 3 8" xfId="392"/>
    <cellStyle name="20% - Accent1 3 8 10" xfId="393"/>
    <cellStyle name="20% - Accent1 3 8 2" xfId="394"/>
    <cellStyle name="20% - Accent1 3 8 2 2" xfId="395"/>
    <cellStyle name="20% - Accent1 3 8 3" xfId="396"/>
    <cellStyle name="20% - Accent1 3 8 3 2" xfId="397"/>
    <cellStyle name="20% - Accent1 3 8 4" xfId="398"/>
    <cellStyle name="20% - Accent1 3 8 4 2" xfId="399"/>
    <cellStyle name="20% - Accent1 3 8 5" xfId="400"/>
    <cellStyle name="20% - Accent1 3 8 5 2" xfId="401"/>
    <cellStyle name="20% - Accent1 3 8 6" xfId="402"/>
    <cellStyle name="20% - Accent1 3 8 6 2" xfId="403"/>
    <cellStyle name="20% - Accent1 3 8 7" xfId="404"/>
    <cellStyle name="20% - Accent1 3 8 7 2" xfId="405"/>
    <cellStyle name="20% - Accent1 3 8 8" xfId="406"/>
    <cellStyle name="20% - Accent1 3 8 8 2" xfId="407"/>
    <cellStyle name="20% - Accent1 3 8 9" xfId="408"/>
    <cellStyle name="20% - Accent1 3 8 9 2" xfId="409"/>
    <cellStyle name="20% - Accent1 3 9" xfId="410"/>
    <cellStyle name="20% - Accent1 3 9 10" xfId="411"/>
    <cellStyle name="20% - Accent1 3 9 2" xfId="412"/>
    <cellStyle name="20% - Accent1 3 9 2 2" xfId="413"/>
    <cellStyle name="20% - Accent1 3 9 3" xfId="414"/>
    <cellStyle name="20% - Accent1 3 9 3 2" xfId="415"/>
    <cellStyle name="20% - Accent1 3 9 4" xfId="416"/>
    <cellStyle name="20% - Accent1 3 9 4 2" xfId="417"/>
    <cellStyle name="20% - Accent1 3 9 5" xfId="418"/>
    <cellStyle name="20% - Accent1 3 9 5 2" xfId="419"/>
    <cellStyle name="20% - Accent1 3 9 6" xfId="420"/>
    <cellStyle name="20% - Accent1 3 9 6 2" xfId="421"/>
    <cellStyle name="20% - Accent1 3 9 7" xfId="422"/>
    <cellStyle name="20% - Accent1 3 9 7 2" xfId="423"/>
    <cellStyle name="20% - Accent1 3 9 8" xfId="424"/>
    <cellStyle name="20% - Accent1 3 9 8 2" xfId="425"/>
    <cellStyle name="20% - Accent1 3 9 9" xfId="426"/>
    <cellStyle name="20% - Accent1 3 9 9 2" xfId="427"/>
    <cellStyle name="20% - Accent1 30" xfId="428"/>
    <cellStyle name="20% - Accent1 30 2" xfId="429"/>
    <cellStyle name="20% - Accent1 31" xfId="430"/>
    <cellStyle name="20% - Accent1 31 2" xfId="431"/>
    <cellStyle name="20% - Accent1 32" xfId="432"/>
    <cellStyle name="20% - Accent1 32 2" xfId="433"/>
    <cellStyle name="20% - Accent1 33" xfId="434"/>
    <cellStyle name="20% - Accent1 33 2" xfId="435"/>
    <cellStyle name="20% - Accent1 34" xfId="436"/>
    <cellStyle name="20% - Accent1 34 2" xfId="437"/>
    <cellStyle name="20% - Accent1 35" xfId="438"/>
    <cellStyle name="20% - Accent1 35 2" xfId="439"/>
    <cellStyle name="20% - Accent1 36" xfId="440"/>
    <cellStyle name="20% - Accent1 36 2" xfId="441"/>
    <cellStyle name="20% - Accent1 37" xfId="442"/>
    <cellStyle name="20% - Accent1 37 2" xfId="443"/>
    <cellStyle name="20% - Accent1 38" xfId="444"/>
    <cellStyle name="20% - Accent1 38 2" xfId="445"/>
    <cellStyle name="20% - Accent1 39" xfId="446"/>
    <cellStyle name="20% - Accent1 4" xfId="447"/>
    <cellStyle name="20% - Accent1 4 2" xfId="448"/>
    <cellStyle name="20% - Accent1 4 2 2" xfId="449"/>
    <cellStyle name="20% - Accent1 4 3" xfId="450"/>
    <cellStyle name="20% - Accent1 4 3 2" xfId="451"/>
    <cellStyle name="20% - Accent1 4 4" xfId="452"/>
    <cellStyle name="20% - Accent1 4 4 2" xfId="453"/>
    <cellStyle name="20% - Accent1 4 5" xfId="454"/>
    <cellStyle name="20% - Accent1 4 5 2" xfId="455"/>
    <cellStyle name="20% - Accent1 4 6" xfId="456"/>
    <cellStyle name="20% - Accent1 4 6 2" xfId="457"/>
    <cellStyle name="20% - Accent1 4 7" xfId="458"/>
    <cellStyle name="20% - Accent1 4 7 2" xfId="459"/>
    <cellStyle name="20% - Accent1 4 8" xfId="460"/>
    <cellStyle name="20% - Accent1 4 8 2" xfId="461"/>
    <cellStyle name="20% - Accent1 5" xfId="462"/>
    <cellStyle name="20% - Accent1 5 10" xfId="463"/>
    <cellStyle name="20% - Accent1 5 10 2" xfId="464"/>
    <cellStyle name="20% - Accent1 5 11" xfId="465"/>
    <cellStyle name="20% - Accent1 5 11 2" xfId="466"/>
    <cellStyle name="20% - Accent1 5 12" xfId="467"/>
    <cellStyle name="20% - Accent1 5 12 2" xfId="468"/>
    <cellStyle name="20% - Accent1 5 13" xfId="469"/>
    <cellStyle name="20% - Accent1 5 13 2" xfId="470"/>
    <cellStyle name="20% - Accent1 5 14" xfId="471"/>
    <cellStyle name="20% - Accent1 5 2" xfId="472"/>
    <cellStyle name="20% - Accent1 5 2 2" xfId="473"/>
    <cellStyle name="20% - Accent1 5 2 3" xfId="474"/>
    <cellStyle name="20% - Accent1 5 2 4" xfId="475"/>
    <cellStyle name="20% - Accent1 5 2 5" xfId="476"/>
    <cellStyle name="20% - Accent1 5 2 6" xfId="477"/>
    <cellStyle name="20% - Accent1 5 3" xfId="478"/>
    <cellStyle name="20% - Accent1 5 4" xfId="479"/>
    <cellStyle name="20% - Accent1 5 5" xfId="480"/>
    <cellStyle name="20% - Accent1 5 6" xfId="481"/>
    <cellStyle name="20% - Accent1 5 7" xfId="482"/>
    <cellStyle name="20% - Accent1 5 8" xfId="483"/>
    <cellStyle name="20% - Accent1 5 8 2" xfId="484"/>
    <cellStyle name="20% - Accent1 5 9" xfId="485"/>
    <cellStyle name="20% - Accent1 5 9 2" xfId="486"/>
    <cellStyle name="20% - Accent1 6" xfId="487"/>
    <cellStyle name="20% - Accent1 6 2" xfId="488"/>
    <cellStyle name="20% - Accent1 6 2 2" xfId="489"/>
    <cellStyle name="20% - Accent1 6 2 3" xfId="490"/>
    <cellStyle name="20% - Accent1 6 2 4" xfId="491"/>
    <cellStyle name="20% - Accent1 6 2 5" xfId="492"/>
    <cellStyle name="20% - Accent1 6 2 6" xfId="493"/>
    <cellStyle name="20% - Accent1 6 3" xfId="494"/>
    <cellStyle name="20% - Accent1 6 4" xfId="495"/>
    <cellStyle name="20% - Accent1 6 5" xfId="496"/>
    <cellStyle name="20% - Accent1 6 6" xfId="497"/>
    <cellStyle name="20% - Accent1 6 7" xfId="498"/>
    <cellStyle name="20% - Accent1 6 8" xfId="499"/>
    <cellStyle name="20% - Accent1 6 9" xfId="500"/>
    <cellStyle name="20% - Accent1 7" xfId="501"/>
    <cellStyle name="20% - Accent1 7 2" xfId="502"/>
    <cellStyle name="20% - Accent1 7 3" xfId="503"/>
    <cellStyle name="20% - Accent1 7 4" xfId="504"/>
    <cellStyle name="20% - Accent1 7 5" xfId="505"/>
    <cellStyle name="20% - Accent1 8" xfId="506"/>
    <cellStyle name="20% - Accent1 8 2" xfId="507"/>
    <cellStyle name="20% - Accent1 8 3" xfId="508"/>
    <cellStyle name="20% - Accent1 8 4" xfId="509"/>
    <cellStyle name="20% - Accent1 8 5" xfId="510"/>
    <cellStyle name="20% - Accent1 9" xfId="511"/>
    <cellStyle name="20% - Accent1 9 2" xfId="512"/>
    <cellStyle name="20% - Accent1 9 3" xfId="513"/>
    <cellStyle name="20% - Accent1 9 4" xfId="514"/>
    <cellStyle name="20% - Accent1 9 5" xfId="515"/>
    <cellStyle name="20% - Accent2 10" xfId="516"/>
    <cellStyle name="20% - Accent2 10 2" xfId="517"/>
    <cellStyle name="20% - Accent2 10 3" xfId="518"/>
    <cellStyle name="20% - Accent2 10 4" xfId="519"/>
    <cellStyle name="20% - Accent2 11" xfId="520"/>
    <cellStyle name="20% - Accent2 11 2" xfId="521"/>
    <cellStyle name="20% - Accent2 11 3" xfId="522"/>
    <cellStyle name="20% - Accent2 11 4" xfId="523"/>
    <cellStyle name="20% - Accent2 12" xfId="524"/>
    <cellStyle name="20% - Accent2 12 2" xfId="525"/>
    <cellStyle name="20% - Accent2 12 3" xfId="526"/>
    <cellStyle name="20% - Accent2 12 4" xfId="527"/>
    <cellStyle name="20% - Accent2 13" xfId="528"/>
    <cellStyle name="20% - Accent2 13 2" xfId="529"/>
    <cellStyle name="20% - Accent2 13 3" xfId="530"/>
    <cellStyle name="20% - Accent2 13 4" xfId="531"/>
    <cellStyle name="20% - Accent2 14" xfId="532"/>
    <cellStyle name="20% - Accent2 14 2" xfId="533"/>
    <cellStyle name="20% - Accent2 14 3" xfId="534"/>
    <cellStyle name="20% - Accent2 14 4" xfId="535"/>
    <cellStyle name="20% - Accent2 15" xfId="536"/>
    <cellStyle name="20% - Accent2 15 2" xfId="537"/>
    <cellStyle name="20% - Accent2 15 3" xfId="538"/>
    <cellStyle name="20% - Accent2 15 4" xfId="539"/>
    <cellStyle name="20% - Accent2 16" xfId="540"/>
    <cellStyle name="20% - Accent2 16 2" xfId="541"/>
    <cellStyle name="20% - Accent2 17" xfId="542"/>
    <cellStyle name="20% - Accent2 17 2" xfId="543"/>
    <cellStyle name="20% - Accent2 18" xfId="544"/>
    <cellStyle name="20% - Accent2 18 2" xfId="545"/>
    <cellStyle name="20% - Accent2 19" xfId="546"/>
    <cellStyle name="20% - Accent2 19 2" xfId="547"/>
    <cellStyle name="20% - Accent2 2" xfId="548"/>
    <cellStyle name="20% - Accent2 2 10" xfId="549"/>
    <cellStyle name="20% - Accent2 2 10 2" xfId="550"/>
    <cellStyle name="20% - Accent2 2 11" xfId="551"/>
    <cellStyle name="20% - Accent2 2 11 2" xfId="552"/>
    <cellStyle name="20% - Accent2 2 12" xfId="553"/>
    <cellStyle name="20% - Accent2 2 12 2" xfId="554"/>
    <cellStyle name="20% - Accent2 2 13" xfId="555"/>
    <cellStyle name="20% - Accent2 2 13 2" xfId="556"/>
    <cellStyle name="20% - Accent2 2 14" xfId="557"/>
    <cellStyle name="20% - Accent2 2 14 2" xfId="558"/>
    <cellStyle name="20% - Accent2 2 2" xfId="559"/>
    <cellStyle name="20% - Accent2 2 3" xfId="560"/>
    <cellStyle name="20% - Accent2 2 4" xfId="561"/>
    <cellStyle name="20% - Accent2 2 5" xfId="562"/>
    <cellStyle name="20% - Accent2 2 6" xfId="563"/>
    <cellStyle name="20% - Accent2 2 7" xfId="564"/>
    <cellStyle name="20% - Accent2 2 8" xfId="565"/>
    <cellStyle name="20% - Accent2 2 9" xfId="566"/>
    <cellStyle name="20% - Accent2 2 9 2" xfId="567"/>
    <cellStyle name="20% - Accent2 20" xfId="568"/>
    <cellStyle name="20% - Accent2 20 2" xfId="569"/>
    <cellStyle name="20% - Accent2 21" xfId="570"/>
    <cellStyle name="20% - Accent2 21 2" xfId="571"/>
    <cellStyle name="20% - Accent2 22" xfId="572"/>
    <cellStyle name="20% - Accent2 22 2" xfId="573"/>
    <cellStyle name="20% - Accent2 23" xfId="574"/>
    <cellStyle name="20% - Accent2 23 2" xfId="575"/>
    <cellStyle name="20% - Accent2 24" xfId="576"/>
    <cellStyle name="20% - Accent2 24 2" xfId="577"/>
    <cellStyle name="20% - Accent2 25" xfId="578"/>
    <cellStyle name="20% - Accent2 25 2" xfId="579"/>
    <cellStyle name="20% - Accent2 26" xfId="580"/>
    <cellStyle name="20% - Accent2 26 2" xfId="581"/>
    <cellStyle name="20% - Accent2 27" xfId="582"/>
    <cellStyle name="20% - Accent2 27 2" xfId="583"/>
    <cellStyle name="20% - Accent2 28" xfId="584"/>
    <cellStyle name="20% - Accent2 28 2" xfId="585"/>
    <cellStyle name="20% - Accent2 29" xfId="586"/>
    <cellStyle name="20% - Accent2 29 2" xfId="587"/>
    <cellStyle name="20% - Accent2 3" xfId="588"/>
    <cellStyle name="20% - Accent2 3 10" xfId="589"/>
    <cellStyle name="20% - Accent2 3 10 10" xfId="590"/>
    <cellStyle name="20% - Accent2 3 10 2" xfId="591"/>
    <cellStyle name="20% - Accent2 3 10 2 2" xfId="592"/>
    <cellStyle name="20% - Accent2 3 10 3" xfId="593"/>
    <cellStyle name="20% - Accent2 3 10 3 2" xfId="594"/>
    <cellStyle name="20% - Accent2 3 10 4" xfId="595"/>
    <cellStyle name="20% - Accent2 3 10 4 2" xfId="596"/>
    <cellStyle name="20% - Accent2 3 10 5" xfId="597"/>
    <cellStyle name="20% - Accent2 3 10 5 2" xfId="598"/>
    <cellStyle name="20% - Accent2 3 10 6" xfId="599"/>
    <cellStyle name="20% - Accent2 3 10 6 2" xfId="600"/>
    <cellStyle name="20% - Accent2 3 10 7" xfId="601"/>
    <cellStyle name="20% - Accent2 3 10 7 2" xfId="602"/>
    <cellStyle name="20% - Accent2 3 10 8" xfId="603"/>
    <cellStyle name="20% - Accent2 3 10 8 2" xfId="604"/>
    <cellStyle name="20% - Accent2 3 10 9" xfId="605"/>
    <cellStyle name="20% - Accent2 3 10 9 2" xfId="606"/>
    <cellStyle name="20% - Accent2 3 11" xfId="607"/>
    <cellStyle name="20% - Accent2 3 11 10" xfId="608"/>
    <cellStyle name="20% - Accent2 3 11 2" xfId="609"/>
    <cellStyle name="20% - Accent2 3 11 2 2" xfId="610"/>
    <cellStyle name="20% - Accent2 3 11 3" xfId="611"/>
    <cellStyle name="20% - Accent2 3 11 3 2" xfId="612"/>
    <cellStyle name="20% - Accent2 3 11 4" xfId="613"/>
    <cellStyle name="20% - Accent2 3 11 4 2" xfId="614"/>
    <cellStyle name="20% - Accent2 3 11 5" xfId="615"/>
    <cellStyle name="20% - Accent2 3 11 5 2" xfId="616"/>
    <cellStyle name="20% - Accent2 3 11 6" xfId="617"/>
    <cellStyle name="20% - Accent2 3 11 6 2" xfId="618"/>
    <cellStyle name="20% - Accent2 3 11 7" xfId="619"/>
    <cellStyle name="20% - Accent2 3 11 7 2" xfId="620"/>
    <cellStyle name="20% - Accent2 3 11 8" xfId="621"/>
    <cellStyle name="20% - Accent2 3 11 8 2" xfId="622"/>
    <cellStyle name="20% - Accent2 3 11 9" xfId="623"/>
    <cellStyle name="20% - Accent2 3 11 9 2" xfId="624"/>
    <cellStyle name="20% - Accent2 3 12" xfId="625"/>
    <cellStyle name="20% - Accent2 3 12 10" xfId="626"/>
    <cellStyle name="20% - Accent2 3 12 2" xfId="627"/>
    <cellStyle name="20% - Accent2 3 12 2 2" xfId="628"/>
    <cellStyle name="20% - Accent2 3 12 3" xfId="629"/>
    <cellStyle name="20% - Accent2 3 12 3 2" xfId="630"/>
    <cellStyle name="20% - Accent2 3 12 4" xfId="631"/>
    <cellStyle name="20% - Accent2 3 12 4 2" xfId="632"/>
    <cellStyle name="20% - Accent2 3 12 5" xfId="633"/>
    <cellStyle name="20% - Accent2 3 12 5 2" xfId="634"/>
    <cellStyle name="20% - Accent2 3 12 6" xfId="635"/>
    <cellStyle name="20% - Accent2 3 12 6 2" xfId="636"/>
    <cellStyle name="20% - Accent2 3 12 7" xfId="637"/>
    <cellStyle name="20% - Accent2 3 12 7 2" xfId="638"/>
    <cellStyle name="20% - Accent2 3 12 8" xfId="639"/>
    <cellStyle name="20% - Accent2 3 12 8 2" xfId="640"/>
    <cellStyle name="20% - Accent2 3 12 9" xfId="641"/>
    <cellStyle name="20% - Accent2 3 12 9 2" xfId="642"/>
    <cellStyle name="20% - Accent2 3 13" xfId="643"/>
    <cellStyle name="20% - Accent2 3 13 2" xfId="644"/>
    <cellStyle name="20% - Accent2 3 14" xfId="645"/>
    <cellStyle name="20% - Accent2 3 14 2" xfId="646"/>
    <cellStyle name="20% - Accent2 3 15" xfId="647"/>
    <cellStyle name="20% - Accent2 3 15 2" xfId="648"/>
    <cellStyle name="20% - Accent2 3 16" xfId="649"/>
    <cellStyle name="20% - Accent2 3 16 2" xfId="650"/>
    <cellStyle name="20% - Accent2 3 17" xfId="651"/>
    <cellStyle name="20% - Accent2 3 17 2" xfId="652"/>
    <cellStyle name="20% - Accent2 3 18" xfId="653"/>
    <cellStyle name="20% - Accent2 3 18 2" xfId="654"/>
    <cellStyle name="20% - Accent2 3 19" xfId="655"/>
    <cellStyle name="20% - Accent2 3 19 2" xfId="656"/>
    <cellStyle name="20% - Accent2 3 2" xfId="657"/>
    <cellStyle name="20% - Accent2 3 2 10" xfId="658"/>
    <cellStyle name="20% - Accent2 3 2 10 2" xfId="659"/>
    <cellStyle name="20% - Accent2 3 2 11" xfId="660"/>
    <cellStyle name="20% - Accent2 3 2 11 2" xfId="661"/>
    <cellStyle name="20% - Accent2 3 2 12" xfId="662"/>
    <cellStyle name="20% - Accent2 3 2 12 2" xfId="663"/>
    <cellStyle name="20% - Accent2 3 2 13" xfId="664"/>
    <cellStyle name="20% - Accent2 3 2 13 2" xfId="665"/>
    <cellStyle name="20% - Accent2 3 2 14" xfId="666"/>
    <cellStyle name="20% - Accent2 3 2 14 2" xfId="667"/>
    <cellStyle name="20% - Accent2 3 2 15" xfId="668"/>
    <cellStyle name="20% - Accent2 3 2 15 2" xfId="669"/>
    <cellStyle name="20% - Accent2 3 2 16" xfId="670"/>
    <cellStyle name="20% - Accent2 3 2 16 2" xfId="671"/>
    <cellStyle name="20% - Accent2 3 2 17" xfId="672"/>
    <cellStyle name="20% - Accent2 3 2 17 2" xfId="673"/>
    <cellStyle name="20% - Accent2 3 2 18" xfId="674"/>
    <cellStyle name="20% - Accent2 3 2 18 2" xfId="675"/>
    <cellStyle name="20% - Accent2 3 2 19" xfId="676"/>
    <cellStyle name="20% - Accent2 3 2 19 2" xfId="677"/>
    <cellStyle name="20% - Accent2 3 2 2" xfId="678"/>
    <cellStyle name="20% - Accent2 3 2 2 2" xfId="679"/>
    <cellStyle name="20% - Accent2 3 2 2 2 2" xfId="680"/>
    <cellStyle name="20% - Accent2 3 2 2 3" xfId="681"/>
    <cellStyle name="20% - Accent2 3 2 2 3 2" xfId="682"/>
    <cellStyle name="20% - Accent2 3 2 2 4" xfId="683"/>
    <cellStyle name="20% - Accent2 3 2 2 4 2" xfId="684"/>
    <cellStyle name="20% - Accent2 3 2 2 5" xfId="685"/>
    <cellStyle name="20% - Accent2 3 2 2 5 2" xfId="686"/>
    <cellStyle name="20% - Accent2 3 2 2 6" xfId="687"/>
    <cellStyle name="20% - Accent2 3 2 2 6 2" xfId="688"/>
    <cellStyle name="20% - Accent2 3 2 2 7" xfId="689"/>
    <cellStyle name="20% - Accent2 3 2 2 7 2" xfId="690"/>
    <cellStyle name="20% - Accent2 3 2 2 8" xfId="691"/>
    <cellStyle name="20% - Accent2 3 2 20" xfId="692"/>
    <cellStyle name="20% - Accent2 3 2 20 2" xfId="693"/>
    <cellStyle name="20% - Accent2 3 2 21" xfId="694"/>
    <cellStyle name="20% - Accent2 3 2 21 2" xfId="695"/>
    <cellStyle name="20% - Accent2 3 2 22" xfId="696"/>
    <cellStyle name="20% - Accent2 3 2 22 2" xfId="697"/>
    <cellStyle name="20% - Accent2 3 2 23" xfId="698"/>
    <cellStyle name="20% - Accent2 3 2 23 2" xfId="699"/>
    <cellStyle name="20% - Accent2 3 2 24" xfId="700"/>
    <cellStyle name="20% - Accent2 3 2 3" xfId="701"/>
    <cellStyle name="20% - Accent2 3 2 3 2" xfId="702"/>
    <cellStyle name="20% - Accent2 3 2 3 2 2" xfId="703"/>
    <cellStyle name="20% - Accent2 3 2 3 3" xfId="704"/>
    <cellStyle name="20% - Accent2 3 2 3 3 2" xfId="705"/>
    <cellStyle name="20% - Accent2 3 2 3 4" xfId="706"/>
    <cellStyle name="20% - Accent2 3 2 3 4 2" xfId="707"/>
    <cellStyle name="20% - Accent2 3 2 3 5" xfId="708"/>
    <cellStyle name="20% - Accent2 3 2 3 5 2" xfId="709"/>
    <cellStyle name="20% - Accent2 3 2 3 6" xfId="710"/>
    <cellStyle name="20% - Accent2 3 2 3 6 2" xfId="711"/>
    <cellStyle name="20% - Accent2 3 2 3 7" xfId="712"/>
    <cellStyle name="20% - Accent2 3 2 3 7 2" xfId="713"/>
    <cellStyle name="20% - Accent2 3 2 3 8" xfId="714"/>
    <cellStyle name="20% - Accent2 3 2 4" xfId="715"/>
    <cellStyle name="20% - Accent2 3 2 4 2" xfId="716"/>
    <cellStyle name="20% - Accent2 3 2 5" xfId="717"/>
    <cellStyle name="20% - Accent2 3 2 5 2" xfId="718"/>
    <cellStyle name="20% - Accent2 3 2 6" xfId="719"/>
    <cellStyle name="20% - Accent2 3 2 6 2" xfId="720"/>
    <cellStyle name="20% - Accent2 3 2 7" xfId="721"/>
    <cellStyle name="20% - Accent2 3 2 7 2" xfId="722"/>
    <cellStyle name="20% - Accent2 3 2 8" xfId="723"/>
    <cellStyle name="20% - Accent2 3 2 8 2" xfId="724"/>
    <cellStyle name="20% - Accent2 3 2 9" xfId="725"/>
    <cellStyle name="20% - Accent2 3 2 9 2" xfId="726"/>
    <cellStyle name="20% - Accent2 3 20" xfId="727"/>
    <cellStyle name="20% - Accent2 3 20 2" xfId="728"/>
    <cellStyle name="20% - Accent2 3 21" xfId="729"/>
    <cellStyle name="20% - Accent2 3 21 2" xfId="730"/>
    <cellStyle name="20% - Accent2 3 22" xfId="731"/>
    <cellStyle name="20% - Accent2 3 22 2" xfId="732"/>
    <cellStyle name="20% - Accent2 3 23" xfId="733"/>
    <cellStyle name="20% - Accent2 3 23 2" xfId="734"/>
    <cellStyle name="20% - Accent2 3 24" xfId="735"/>
    <cellStyle name="20% - Accent2 3 24 2" xfId="736"/>
    <cellStyle name="20% - Accent2 3 25" xfId="737"/>
    <cellStyle name="20% - Accent2 3 25 2" xfId="738"/>
    <cellStyle name="20% - Accent2 3 26" xfId="739"/>
    <cellStyle name="20% - Accent2 3 26 2" xfId="740"/>
    <cellStyle name="20% - Accent2 3 27" xfId="741"/>
    <cellStyle name="20% - Accent2 3 27 2" xfId="742"/>
    <cellStyle name="20% - Accent2 3 28" xfId="743"/>
    <cellStyle name="20% - Accent2 3 28 2" xfId="744"/>
    <cellStyle name="20% - Accent2 3 29" xfId="745"/>
    <cellStyle name="20% - Accent2 3 29 2" xfId="746"/>
    <cellStyle name="20% - Accent2 3 3" xfId="747"/>
    <cellStyle name="20% - Accent2 3 3 10" xfId="748"/>
    <cellStyle name="20% - Accent2 3 3 2" xfId="749"/>
    <cellStyle name="20% - Accent2 3 3 2 2" xfId="750"/>
    <cellStyle name="20% - Accent2 3 3 2 2 2" xfId="751"/>
    <cellStyle name="20% - Accent2 3 3 2 3" xfId="752"/>
    <cellStyle name="20% - Accent2 3 3 2 3 2" xfId="753"/>
    <cellStyle name="20% - Accent2 3 3 2 4" xfId="754"/>
    <cellStyle name="20% - Accent2 3 3 2 4 2" xfId="755"/>
    <cellStyle name="20% - Accent2 3 3 2 5" xfId="756"/>
    <cellStyle name="20% - Accent2 3 3 2 5 2" xfId="757"/>
    <cellStyle name="20% - Accent2 3 3 2 6" xfId="758"/>
    <cellStyle name="20% - Accent2 3 3 2 6 2" xfId="759"/>
    <cellStyle name="20% - Accent2 3 3 2 7" xfId="760"/>
    <cellStyle name="20% - Accent2 3 3 2 7 2" xfId="761"/>
    <cellStyle name="20% - Accent2 3 3 2 8" xfId="762"/>
    <cellStyle name="20% - Accent2 3 3 3" xfId="763"/>
    <cellStyle name="20% - Accent2 3 3 3 2" xfId="764"/>
    <cellStyle name="20% - Accent2 3 3 4" xfId="765"/>
    <cellStyle name="20% - Accent2 3 3 4 2" xfId="766"/>
    <cellStyle name="20% - Accent2 3 3 5" xfId="767"/>
    <cellStyle name="20% - Accent2 3 3 5 2" xfId="768"/>
    <cellStyle name="20% - Accent2 3 3 6" xfId="769"/>
    <cellStyle name="20% - Accent2 3 3 6 2" xfId="770"/>
    <cellStyle name="20% - Accent2 3 3 7" xfId="771"/>
    <cellStyle name="20% - Accent2 3 3 7 2" xfId="772"/>
    <cellStyle name="20% - Accent2 3 3 8" xfId="773"/>
    <cellStyle name="20% - Accent2 3 3 8 2" xfId="774"/>
    <cellStyle name="20% - Accent2 3 3 9" xfId="775"/>
    <cellStyle name="20% - Accent2 3 3 9 2" xfId="776"/>
    <cellStyle name="20% - Accent2 3 30" xfId="777"/>
    <cellStyle name="20% - Accent2 3 30 2" xfId="778"/>
    <cellStyle name="20% - Accent2 3 31" xfId="779"/>
    <cellStyle name="20% - Accent2 3 31 2" xfId="780"/>
    <cellStyle name="20% - Accent2 3 32" xfId="781"/>
    <cellStyle name="20% - Accent2 3 32 2" xfId="782"/>
    <cellStyle name="20% - Accent2 3 33" xfId="783"/>
    <cellStyle name="20% - Accent2 3 33 2" xfId="784"/>
    <cellStyle name="20% - Accent2 3 34" xfId="785"/>
    <cellStyle name="20% - Accent2 3 34 2" xfId="786"/>
    <cellStyle name="20% - Accent2 3 35" xfId="787"/>
    <cellStyle name="20% - Accent2 3 35 2" xfId="788"/>
    <cellStyle name="20% - Accent2 3 36" xfId="789"/>
    <cellStyle name="20% - Accent2 3 36 2" xfId="790"/>
    <cellStyle name="20% - Accent2 3 37" xfId="791"/>
    <cellStyle name="20% - Accent2 3 37 2" xfId="792"/>
    <cellStyle name="20% - Accent2 3 38" xfId="793"/>
    <cellStyle name="20% - Accent2 3 38 2" xfId="794"/>
    <cellStyle name="20% - Accent2 3 39" xfId="795"/>
    <cellStyle name="20% - Accent2 3 39 2" xfId="796"/>
    <cellStyle name="20% - Accent2 3 4" xfId="797"/>
    <cellStyle name="20% - Accent2 3 4 10" xfId="798"/>
    <cellStyle name="20% - Accent2 3 4 2" xfId="799"/>
    <cellStyle name="20% - Accent2 3 4 2 2" xfId="800"/>
    <cellStyle name="20% - Accent2 3 4 3" xfId="801"/>
    <cellStyle name="20% - Accent2 3 4 3 2" xfId="802"/>
    <cellStyle name="20% - Accent2 3 4 4" xfId="803"/>
    <cellStyle name="20% - Accent2 3 4 4 2" xfId="804"/>
    <cellStyle name="20% - Accent2 3 4 5" xfId="805"/>
    <cellStyle name="20% - Accent2 3 4 5 2" xfId="806"/>
    <cellStyle name="20% - Accent2 3 4 6" xfId="807"/>
    <cellStyle name="20% - Accent2 3 4 6 2" xfId="808"/>
    <cellStyle name="20% - Accent2 3 4 7" xfId="809"/>
    <cellStyle name="20% - Accent2 3 4 7 2" xfId="810"/>
    <cellStyle name="20% - Accent2 3 4 8" xfId="811"/>
    <cellStyle name="20% - Accent2 3 4 8 2" xfId="812"/>
    <cellStyle name="20% - Accent2 3 4 9" xfId="813"/>
    <cellStyle name="20% - Accent2 3 4 9 2" xfId="814"/>
    <cellStyle name="20% - Accent2 3 40" xfId="815"/>
    <cellStyle name="20% - Accent2 3 40 2" xfId="816"/>
    <cellStyle name="20% - Accent2 3 41" xfId="817"/>
    <cellStyle name="20% - Accent2 3 41 2" xfId="818"/>
    <cellStyle name="20% - Accent2 3 42" xfId="819"/>
    <cellStyle name="20% - Accent2 3 42 2" xfId="820"/>
    <cellStyle name="20% - Accent2 3 43" xfId="821"/>
    <cellStyle name="20% - Accent2 3 43 2" xfId="822"/>
    <cellStyle name="20% - Accent2 3 44" xfId="823"/>
    <cellStyle name="20% - Accent2 3 44 2" xfId="824"/>
    <cellStyle name="20% - Accent2 3 45" xfId="825"/>
    <cellStyle name="20% - Accent2 3 45 2" xfId="826"/>
    <cellStyle name="20% - Accent2 3 46" xfId="827"/>
    <cellStyle name="20% - Accent2 3 46 2" xfId="828"/>
    <cellStyle name="20% - Accent2 3 47" xfId="829"/>
    <cellStyle name="20% - Accent2 3 47 2" xfId="830"/>
    <cellStyle name="20% - Accent2 3 48" xfId="831"/>
    <cellStyle name="20% - Accent2 3 48 2" xfId="832"/>
    <cellStyle name="20% - Accent2 3 49" xfId="833"/>
    <cellStyle name="20% - Accent2 3 49 2" xfId="834"/>
    <cellStyle name="20% - Accent2 3 5" xfId="835"/>
    <cellStyle name="20% - Accent2 3 5 10" xfId="836"/>
    <cellStyle name="20% - Accent2 3 5 2" xfId="837"/>
    <cellStyle name="20% - Accent2 3 5 2 2" xfId="838"/>
    <cellStyle name="20% - Accent2 3 5 3" xfId="839"/>
    <cellStyle name="20% - Accent2 3 5 3 2" xfId="840"/>
    <cellStyle name="20% - Accent2 3 5 4" xfId="841"/>
    <cellStyle name="20% - Accent2 3 5 4 2" xfId="842"/>
    <cellStyle name="20% - Accent2 3 5 5" xfId="843"/>
    <cellStyle name="20% - Accent2 3 5 5 2" xfId="844"/>
    <cellStyle name="20% - Accent2 3 5 6" xfId="845"/>
    <cellStyle name="20% - Accent2 3 5 6 2" xfId="846"/>
    <cellStyle name="20% - Accent2 3 5 7" xfId="847"/>
    <cellStyle name="20% - Accent2 3 5 7 2" xfId="848"/>
    <cellStyle name="20% - Accent2 3 5 8" xfId="849"/>
    <cellStyle name="20% - Accent2 3 5 8 2" xfId="850"/>
    <cellStyle name="20% - Accent2 3 5 9" xfId="851"/>
    <cellStyle name="20% - Accent2 3 5 9 2" xfId="852"/>
    <cellStyle name="20% - Accent2 3 50" xfId="853"/>
    <cellStyle name="20% - Accent2 3 50 2" xfId="854"/>
    <cellStyle name="20% - Accent2 3 51" xfId="855"/>
    <cellStyle name="20% - Accent2 3 51 2" xfId="856"/>
    <cellStyle name="20% - Accent2 3 52" xfId="857"/>
    <cellStyle name="20% - Accent2 3 52 2" xfId="858"/>
    <cellStyle name="20% - Accent2 3 53" xfId="859"/>
    <cellStyle name="20% - Accent2 3 53 2" xfId="860"/>
    <cellStyle name="20% - Accent2 3 54" xfId="861"/>
    <cellStyle name="20% - Accent2 3 54 2" xfId="862"/>
    <cellStyle name="20% - Accent2 3 55" xfId="863"/>
    <cellStyle name="20% - Accent2 3 55 2" xfId="864"/>
    <cellStyle name="20% - Accent2 3 56" xfId="865"/>
    <cellStyle name="20% - Accent2 3 56 2" xfId="866"/>
    <cellStyle name="20% - Accent2 3 57" xfId="867"/>
    <cellStyle name="20% - Accent2 3 6" xfId="868"/>
    <cellStyle name="20% - Accent2 3 6 10" xfId="869"/>
    <cellStyle name="20% - Accent2 3 6 2" xfId="870"/>
    <cellStyle name="20% - Accent2 3 6 2 2" xfId="871"/>
    <cellStyle name="20% - Accent2 3 6 3" xfId="872"/>
    <cellStyle name="20% - Accent2 3 6 3 2" xfId="873"/>
    <cellStyle name="20% - Accent2 3 6 4" xfId="874"/>
    <cellStyle name="20% - Accent2 3 6 4 2" xfId="875"/>
    <cellStyle name="20% - Accent2 3 6 5" xfId="876"/>
    <cellStyle name="20% - Accent2 3 6 5 2" xfId="877"/>
    <cellStyle name="20% - Accent2 3 6 6" xfId="878"/>
    <cellStyle name="20% - Accent2 3 6 6 2" xfId="879"/>
    <cellStyle name="20% - Accent2 3 6 7" xfId="880"/>
    <cellStyle name="20% - Accent2 3 6 7 2" xfId="881"/>
    <cellStyle name="20% - Accent2 3 6 8" xfId="882"/>
    <cellStyle name="20% - Accent2 3 6 8 2" xfId="883"/>
    <cellStyle name="20% - Accent2 3 6 9" xfId="884"/>
    <cellStyle name="20% - Accent2 3 6 9 2" xfId="885"/>
    <cellStyle name="20% - Accent2 3 7" xfId="886"/>
    <cellStyle name="20% - Accent2 3 7 10" xfId="887"/>
    <cellStyle name="20% - Accent2 3 7 2" xfId="888"/>
    <cellStyle name="20% - Accent2 3 7 2 2" xfId="889"/>
    <cellStyle name="20% - Accent2 3 7 3" xfId="890"/>
    <cellStyle name="20% - Accent2 3 7 3 2" xfId="891"/>
    <cellStyle name="20% - Accent2 3 7 4" xfId="892"/>
    <cellStyle name="20% - Accent2 3 7 4 2" xfId="893"/>
    <cellStyle name="20% - Accent2 3 7 5" xfId="894"/>
    <cellStyle name="20% - Accent2 3 7 5 2" xfId="895"/>
    <cellStyle name="20% - Accent2 3 7 6" xfId="896"/>
    <cellStyle name="20% - Accent2 3 7 6 2" xfId="897"/>
    <cellStyle name="20% - Accent2 3 7 7" xfId="898"/>
    <cellStyle name="20% - Accent2 3 7 7 2" xfId="899"/>
    <cellStyle name="20% - Accent2 3 7 8" xfId="900"/>
    <cellStyle name="20% - Accent2 3 7 8 2" xfId="901"/>
    <cellStyle name="20% - Accent2 3 7 9" xfId="902"/>
    <cellStyle name="20% - Accent2 3 7 9 2" xfId="903"/>
    <cellStyle name="20% - Accent2 3 8" xfId="904"/>
    <cellStyle name="20% - Accent2 3 8 10" xfId="905"/>
    <cellStyle name="20% - Accent2 3 8 2" xfId="906"/>
    <cellStyle name="20% - Accent2 3 8 2 2" xfId="907"/>
    <cellStyle name="20% - Accent2 3 8 3" xfId="908"/>
    <cellStyle name="20% - Accent2 3 8 3 2" xfId="909"/>
    <cellStyle name="20% - Accent2 3 8 4" xfId="910"/>
    <cellStyle name="20% - Accent2 3 8 4 2" xfId="911"/>
    <cellStyle name="20% - Accent2 3 8 5" xfId="912"/>
    <cellStyle name="20% - Accent2 3 8 5 2" xfId="913"/>
    <cellStyle name="20% - Accent2 3 8 6" xfId="914"/>
    <cellStyle name="20% - Accent2 3 8 6 2" xfId="915"/>
    <cellStyle name="20% - Accent2 3 8 7" xfId="916"/>
    <cellStyle name="20% - Accent2 3 8 7 2" xfId="917"/>
    <cellStyle name="20% - Accent2 3 8 8" xfId="918"/>
    <cellStyle name="20% - Accent2 3 8 8 2" xfId="919"/>
    <cellStyle name="20% - Accent2 3 8 9" xfId="920"/>
    <cellStyle name="20% - Accent2 3 8 9 2" xfId="921"/>
    <cellStyle name="20% - Accent2 3 9" xfId="922"/>
    <cellStyle name="20% - Accent2 3 9 10" xfId="923"/>
    <cellStyle name="20% - Accent2 3 9 2" xfId="924"/>
    <cellStyle name="20% - Accent2 3 9 2 2" xfId="925"/>
    <cellStyle name="20% - Accent2 3 9 3" xfId="926"/>
    <cellStyle name="20% - Accent2 3 9 3 2" xfId="927"/>
    <cellStyle name="20% - Accent2 3 9 4" xfId="928"/>
    <cellStyle name="20% - Accent2 3 9 4 2" xfId="929"/>
    <cellStyle name="20% - Accent2 3 9 5" xfId="930"/>
    <cellStyle name="20% - Accent2 3 9 5 2" xfId="931"/>
    <cellStyle name="20% - Accent2 3 9 6" xfId="932"/>
    <cellStyle name="20% - Accent2 3 9 6 2" xfId="933"/>
    <cellStyle name="20% - Accent2 3 9 7" xfId="934"/>
    <cellStyle name="20% - Accent2 3 9 7 2" xfId="935"/>
    <cellStyle name="20% - Accent2 3 9 8" xfId="936"/>
    <cellStyle name="20% - Accent2 3 9 8 2" xfId="937"/>
    <cellStyle name="20% - Accent2 3 9 9" xfId="938"/>
    <cellStyle name="20% - Accent2 3 9 9 2" xfId="939"/>
    <cellStyle name="20% - Accent2 30" xfId="940"/>
    <cellStyle name="20% - Accent2 30 2" xfId="941"/>
    <cellStyle name="20% - Accent2 31" xfId="942"/>
    <cellStyle name="20% - Accent2 31 2" xfId="943"/>
    <cellStyle name="20% - Accent2 32" xfId="944"/>
    <cellStyle name="20% - Accent2 32 2" xfId="945"/>
    <cellStyle name="20% - Accent2 33" xfId="946"/>
    <cellStyle name="20% - Accent2 33 2" xfId="947"/>
    <cellStyle name="20% - Accent2 34" xfId="948"/>
    <cellStyle name="20% - Accent2 34 2" xfId="949"/>
    <cellStyle name="20% - Accent2 35" xfId="950"/>
    <cellStyle name="20% - Accent2 35 2" xfId="951"/>
    <cellStyle name="20% - Accent2 36" xfId="952"/>
    <cellStyle name="20% - Accent2 36 2" xfId="953"/>
    <cellStyle name="20% - Accent2 37" xfId="954"/>
    <cellStyle name="20% - Accent2 37 2" xfId="955"/>
    <cellStyle name="20% - Accent2 38" xfId="956"/>
    <cellStyle name="20% - Accent2 38 2" xfId="957"/>
    <cellStyle name="20% - Accent2 39" xfId="958"/>
    <cellStyle name="20% - Accent2 4" xfId="959"/>
    <cellStyle name="20% - Accent2 4 2" xfId="960"/>
    <cellStyle name="20% - Accent2 4 2 2" xfId="961"/>
    <cellStyle name="20% - Accent2 4 3" xfId="962"/>
    <cellStyle name="20% - Accent2 4 3 2" xfId="963"/>
    <cellStyle name="20% - Accent2 4 4" xfId="964"/>
    <cellStyle name="20% - Accent2 4 4 2" xfId="965"/>
    <cellStyle name="20% - Accent2 4 5" xfId="966"/>
    <cellStyle name="20% - Accent2 4 5 2" xfId="967"/>
    <cellStyle name="20% - Accent2 4 6" xfId="968"/>
    <cellStyle name="20% - Accent2 4 6 2" xfId="969"/>
    <cellStyle name="20% - Accent2 4 7" xfId="970"/>
    <cellStyle name="20% - Accent2 4 7 2" xfId="971"/>
    <cellStyle name="20% - Accent2 4 8" xfId="972"/>
    <cellStyle name="20% - Accent2 4 8 2" xfId="973"/>
    <cellStyle name="20% - Accent2 5" xfId="974"/>
    <cellStyle name="20% - Accent2 5 10" xfId="975"/>
    <cellStyle name="20% - Accent2 5 10 2" xfId="976"/>
    <cellStyle name="20% - Accent2 5 11" xfId="977"/>
    <cellStyle name="20% - Accent2 5 11 2" xfId="978"/>
    <cellStyle name="20% - Accent2 5 12" xfId="979"/>
    <cellStyle name="20% - Accent2 5 12 2" xfId="980"/>
    <cellStyle name="20% - Accent2 5 13" xfId="981"/>
    <cellStyle name="20% - Accent2 5 13 2" xfId="982"/>
    <cellStyle name="20% - Accent2 5 14" xfId="983"/>
    <cellStyle name="20% - Accent2 5 2" xfId="984"/>
    <cellStyle name="20% - Accent2 5 2 2" xfId="985"/>
    <cellStyle name="20% - Accent2 5 2 3" xfId="986"/>
    <cellStyle name="20% - Accent2 5 2 4" xfId="987"/>
    <cellStyle name="20% - Accent2 5 2 5" xfId="988"/>
    <cellStyle name="20% - Accent2 5 2 6" xfId="989"/>
    <cellStyle name="20% - Accent2 5 3" xfId="990"/>
    <cellStyle name="20% - Accent2 5 4" xfId="991"/>
    <cellStyle name="20% - Accent2 5 5" xfId="992"/>
    <cellStyle name="20% - Accent2 5 6" xfId="993"/>
    <cellStyle name="20% - Accent2 5 7" xfId="994"/>
    <cellStyle name="20% - Accent2 5 8" xfId="995"/>
    <cellStyle name="20% - Accent2 5 8 2" xfId="996"/>
    <cellStyle name="20% - Accent2 5 9" xfId="997"/>
    <cellStyle name="20% - Accent2 5 9 2" xfId="998"/>
    <cellStyle name="20% - Accent2 6" xfId="999"/>
    <cellStyle name="20% - Accent2 6 2" xfId="1000"/>
    <cellStyle name="20% - Accent2 6 2 2" xfId="1001"/>
    <cellStyle name="20% - Accent2 6 2 3" xfId="1002"/>
    <cellStyle name="20% - Accent2 6 2 4" xfId="1003"/>
    <cellStyle name="20% - Accent2 6 2 5" xfId="1004"/>
    <cellStyle name="20% - Accent2 6 2 6" xfId="1005"/>
    <cellStyle name="20% - Accent2 6 3" xfId="1006"/>
    <cellStyle name="20% - Accent2 6 4" xfId="1007"/>
    <cellStyle name="20% - Accent2 6 5" xfId="1008"/>
    <cellStyle name="20% - Accent2 6 6" xfId="1009"/>
    <cellStyle name="20% - Accent2 6 7" xfId="1010"/>
    <cellStyle name="20% - Accent2 6 8" xfId="1011"/>
    <cellStyle name="20% - Accent2 6 9" xfId="1012"/>
    <cellStyle name="20% - Accent2 7" xfId="1013"/>
    <cellStyle name="20% - Accent2 7 2" xfId="1014"/>
    <cellStyle name="20% - Accent2 7 3" xfId="1015"/>
    <cellStyle name="20% - Accent2 7 4" xfId="1016"/>
    <cellStyle name="20% - Accent2 7 5" xfId="1017"/>
    <cellStyle name="20% - Accent2 8" xfId="1018"/>
    <cellStyle name="20% - Accent2 8 2" xfId="1019"/>
    <cellStyle name="20% - Accent2 8 3" xfId="1020"/>
    <cellStyle name="20% - Accent2 8 4" xfId="1021"/>
    <cellStyle name="20% - Accent2 8 5" xfId="1022"/>
    <cellStyle name="20% - Accent2 9" xfId="1023"/>
    <cellStyle name="20% - Accent2 9 2" xfId="1024"/>
    <cellStyle name="20% - Accent2 9 3" xfId="1025"/>
    <cellStyle name="20% - Accent2 9 4" xfId="1026"/>
    <cellStyle name="20% - Accent2 9 5" xfId="1027"/>
    <cellStyle name="20% - Accent3 10" xfId="1028"/>
    <cellStyle name="20% - Accent3 10 2" xfId="1029"/>
    <cellStyle name="20% - Accent3 10 3" xfId="1030"/>
    <cellStyle name="20% - Accent3 10 4" xfId="1031"/>
    <cellStyle name="20% - Accent3 11" xfId="1032"/>
    <cellStyle name="20% - Accent3 11 2" xfId="1033"/>
    <cellStyle name="20% - Accent3 11 3" xfId="1034"/>
    <cellStyle name="20% - Accent3 11 4" xfId="1035"/>
    <cellStyle name="20% - Accent3 12" xfId="1036"/>
    <cellStyle name="20% - Accent3 12 2" xfId="1037"/>
    <cellStyle name="20% - Accent3 12 3" xfId="1038"/>
    <cellStyle name="20% - Accent3 12 4" xfId="1039"/>
    <cellStyle name="20% - Accent3 13" xfId="1040"/>
    <cellStyle name="20% - Accent3 13 2" xfId="1041"/>
    <cellStyle name="20% - Accent3 13 3" xfId="1042"/>
    <cellStyle name="20% - Accent3 13 4" xfId="1043"/>
    <cellStyle name="20% - Accent3 14" xfId="1044"/>
    <cellStyle name="20% - Accent3 14 2" xfId="1045"/>
    <cellStyle name="20% - Accent3 14 3" xfId="1046"/>
    <cellStyle name="20% - Accent3 14 4" xfId="1047"/>
    <cellStyle name="20% - Accent3 15" xfId="1048"/>
    <cellStyle name="20% - Accent3 15 2" xfId="1049"/>
    <cellStyle name="20% - Accent3 15 3" xfId="1050"/>
    <cellStyle name="20% - Accent3 15 4" xfId="1051"/>
    <cellStyle name="20% - Accent3 16" xfId="1052"/>
    <cellStyle name="20% - Accent3 16 2" xfId="1053"/>
    <cellStyle name="20% - Accent3 17" xfId="1054"/>
    <cellStyle name="20% - Accent3 17 2" xfId="1055"/>
    <cellStyle name="20% - Accent3 18" xfId="1056"/>
    <cellStyle name="20% - Accent3 18 2" xfId="1057"/>
    <cellStyle name="20% - Accent3 19" xfId="1058"/>
    <cellStyle name="20% - Accent3 19 2" xfId="1059"/>
    <cellStyle name="20% - Accent3 2" xfId="1060"/>
    <cellStyle name="20% - Accent3 2 10" xfId="1061"/>
    <cellStyle name="20% - Accent3 2 10 2" xfId="1062"/>
    <cellStyle name="20% - Accent3 2 11" xfId="1063"/>
    <cellStyle name="20% - Accent3 2 11 2" xfId="1064"/>
    <cellStyle name="20% - Accent3 2 12" xfId="1065"/>
    <cellStyle name="20% - Accent3 2 12 2" xfId="1066"/>
    <cellStyle name="20% - Accent3 2 13" xfId="1067"/>
    <cellStyle name="20% - Accent3 2 13 2" xfId="1068"/>
    <cellStyle name="20% - Accent3 2 14" xfId="1069"/>
    <cellStyle name="20% - Accent3 2 14 2" xfId="1070"/>
    <cellStyle name="20% - Accent3 2 2" xfId="1071"/>
    <cellStyle name="20% - Accent3 2 3" xfId="1072"/>
    <cellStyle name="20% - Accent3 2 4" xfId="1073"/>
    <cellStyle name="20% - Accent3 2 5" xfId="1074"/>
    <cellStyle name="20% - Accent3 2 6" xfId="1075"/>
    <cellStyle name="20% - Accent3 2 7" xfId="1076"/>
    <cellStyle name="20% - Accent3 2 8" xfId="1077"/>
    <cellStyle name="20% - Accent3 2 9" xfId="1078"/>
    <cellStyle name="20% - Accent3 2 9 2" xfId="1079"/>
    <cellStyle name="20% - Accent3 20" xfId="1080"/>
    <cellStyle name="20% - Accent3 20 2" xfId="1081"/>
    <cellStyle name="20% - Accent3 21" xfId="1082"/>
    <cellStyle name="20% - Accent3 21 2" xfId="1083"/>
    <cellStyle name="20% - Accent3 22" xfId="1084"/>
    <cellStyle name="20% - Accent3 22 2" xfId="1085"/>
    <cellStyle name="20% - Accent3 23" xfId="1086"/>
    <cellStyle name="20% - Accent3 23 2" xfId="1087"/>
    <cellStyle name="20% - Accent3 24" xfId="1088"/>
    <cellStyle name="20% - Accent3 24 2" xfId="1089"/>
    <cellStyle name="20% - Accent3 25" xfId="1090"/>
    <cellStyle name="20% - Accent3 25 2" xfId="1091"/>
    <cellStyle name="20% - Accent3 26" xfId="1092"/>
    <cellStyle name="20% - Accent3 26 2" xfId="1093"/>
    <cellStyle name="20% - Accent3 27" xfId="1094"/>
    <cellStyle name="20% - Accent3 27 2" xfId="1095"/>
    <cellStyle name="20% - Accent3 28" xfId="1096"/>
    <cellStyle name="20% - Accent3 28 2" xfId="1097"/>
    <cellStyle name="20% - Accent3 29" xfId="1098"/>
    <cellStyle name="20% - Accent3 29 2" xfId="1099"/>
    <cellStyle name="20% - Accent3 3" xfId="1100"/>
    <cellStyle name="20% - Accent3 3 10" xfId="1101"/>
    <cellStyle name="20% - Accent3 3 10 10" xfId="1102"/>
    <cellStyle name="20% - Accent3 3 10 2" xfId="1103"/>
    <cellStyle name="20% - Accent3 3 10 2 2" xfId="1104"/>
    <cellStyle name="20% - Accent3 3 10 3" xfId="1105"/>
    <cellStyle name="20% - Accent3 3 10 3 2" xfId="1106"/>
    <cellStyle name="20% - Accent3 3 10 4" xfId="1107"/>
    <cellStyle name="20% - Accent3 3 10 4 2" xfId="1108"/>
    <cellStyle name="20% - Accent3 3 10 5" xfId="1109"/>
    <cellStyle name="20% - Accent3 3 10 5 2" xfId="1110"/>
    <cellStyle name="20% - Accent3 3 10 6" xfId="1111"/>
    <cellStyle name="20% - Accent3 3 10 6 2" xfId="1112"/>
    <cellStyle name="20% - Accent3 3 10 7" xfId="1113"/>
    <cellStyle name="20% - Accent3 3 10 7 2" xfId="1114"/>
    <cellStyle name="20% - Accent3 3 10 8" xfId="1115"/>
    <cellStyle name="20% - Accent3 3 10 8 2" xfId="1116"/>
    <cellStyle name="20% - Accent3 3 10 9" xfId="1117"/>
    <cellStyle name="20% - Accent3 3 10 9 2" xfId="1118"/>
    <cellStyle name="20% - Accent3 3 11" xfId="1119"/>
    <cellStyle name="20% - Accent3 3 11 10" xfId="1120"/>
    <cellStyle name="20% - Accent3 3 11 2" xfId="1121"/>
    <cellStyle name="20% - Accent3 3 11 2 2" xfId="1122"/>
    <cellStyle name="20% - Accent3 3 11 3" xfId="1123"/>
    <cellStyle name="20% - Accent3 3 11 3 2" xfId="1124"/>
    <cellStyle name="20% - Accent3 3 11 4" xfId="1125"/>
    <cellStyle name="20% - Accent3 3 11 4 2" xfId="1126"/>
    <cellStyle name="20% - Accent3 3 11 5" xfId="1127"/>
    <cellStyle name="20% - Accent3 3 11 5 2" xfId="1128"/>
    <cellStyle name="20% - Accent3 3 11 6" xfId="1129"/>
    <cellStyle name="20% - Accent3 3 11 6 2" xfId="1130"/>
    <cellStyle name="20% - Accent3 3 11 7" xfId="1131"/>
    <cellStyle name="20% - Accent3 3 11 7 2" xfId="1132"/>
    <cellStyle name="20% - Accent3 3 11 8" xfId="1133"/>
    <cellStyle name="20% - Accent3 3 11 8 2" xfId="1134"/>
    <cellStyle name="20% - Accent3 3 11 9" xfId="1135"/>
    <cellStyle name="20% - Accent3 3 11 9 2" xfId="1136"/>
    <cellStyle name="20% - Accent3 3 12" xfId="1137"/>
    <cellStyle name="20% - Accent3 3 12 10" xfId="1138"/>
    <cellStyle name="20% - Accent3 3 12 2" xfId="1139"/>
    <cellStyle name="20% - Accent3 3 12 2 2" xfId="1140"/>
    <cellStyle name="20% - Accent3 3 12 3" xfId="1141"/>
    <cellStyle name="20% - Accent3 3 12 3 2" xfId="1142"/>
    <cellStyle name="20% - Accent3 3 12 4" xfId="1143"/>
    <cellStyle name="20% - Accent3 3 12 4 2" xfId="1144"/>
    <cellStyle name="20% - Accent3 3 12 5" xfId="1145"/>
    <cellStyle name="20% - Accent3 3 12 5 2" xfId="1146"/>
    <cellStyle name="20% - Accent3 3 12 6" xfId="1147"/>
    <cellStyle name="20% - Accent3 3 12 6 2" xfId="1148"/>
    <cellStyle name="20% - Accent3 3 12 7" xfId="1149"/>
    <cellStyle name="20% - Accent3 3 12 7 2" xfId="1150"/>
    <cellStyle name="20% - Accent3 3 12 8" xfId="1151"/>
    <cellStyle name="20% - Accent3 3 12 8 2" xfId="1152"/>
    <cellStyle name="20% - Accent3 3 12 9" xfId="1153"/>
    <cellStyle name="20% - Accent3 3 12 9 2" xfId="1154"/>
    <cellStyle name="20% - Accent3 3 13" xfId="1155"/>
    <cellStyle name="20% - Accent3 3 13 2" xfId="1156"/>
    <cellStyle name="20% - Accent3 3 14" xfId="1157"/>
    <cellStyle name="20% - Accent3 3 14 2" xfId="1158"/>
    <cellStyle name="20% - Accent3 3 15" xfId="1159"/>
    <cellStyle name="20% - Accent3 3 15 2" xfId="1160"/>
    <cellStyle name="20% - Accent3 3 16" xfId="1161"/>
    <cellStyle name="20% - Accent3 3 16 2" xfId="1162"/>
    <cellStyle name="20% - Accent3 3 17" xfId="1163"/>
    <cellStyle name="20% - Accent3 3 17 2" xfId="1164"/>
    <cellStyle name="20% - Accent3 3 18" xfId="1165"/>
    <cellStyle name="20% - Accent3 3 18 2" xfId="1166"/>
    <cellStyle name="20% - Accent3 3 19" xfId="1167"/>
    <cellStyle name="20% - Accent3 3 19 2" xfId="1168"/>
    <cellStyle name="20% - Accent3 3 2" xfId="1169"/>
    <cellStyle name="20% - Accent3 3 2 10" xfId="1170"/>
    <cellStyle name="20% - Accent3 3 2 10 2" xfId="1171"/>
    <cellStyle name="20% - Accent3 3 2 11" xfId="1172"/>
    <cellStyle name="20% - Accent3 3 2 11 2" xfId="1173"/>
    <cellStyle name="20% - Accent3 3 2 12" xfId="1174"/>
    <cellStyle name="20% - Accent3 3 2 12 2" xfId="1175"/>
    <cellStyle name="20% - Accent3 3 2 13" xfId="1176"/>
    <cellStyle name="20% - Accent3 3 2 13 2" xfId="1177"/>
    <cellStyle name="20% - Accent3 3 2 14" xfId="1178"/>
    <cellStyle name="20% - Accent3 3 2 14 2" xfId="1179"/>
    <cellStyle name="20% - Accent3 3 2 15" xfId="1180"/>
    <cellStyle name="20% - Accent3 3 2 15 2" xfId="1181"/>
    <cellStyle name="20% - Accent3 3 2 16" xfId="1182"/>
    <cellStyle name="20% - Accent3 3 2 16 2" xfId="1183"/>
    <cellStyle name="20% - Accent3 3 2 17" xfId="1184"/>
    <cellStyle name="20% - Accent3 3 2 17 2" xfId="1185"/>
    <cellStyle name="20% - Accent3 3 2 18" xfId="1186"/>
    <cellStyle name="20% - Accent3 3 2 18 2" xfId="1187"/>
    <cellStyle name="20% - Accent3 3 2 19" xfId="1188"/>
    <cellStyle name="20% - Accent3 3 2 19 2" xfId="1189"/>
    <cellStyle name="20% - Accent3 3 2 2" xfId="1190"/>
    <cellStyle name="20% - Accent3 3 2 2 2" xfId="1191"/>
    <cellStyle name="20% - Accent3 3 2 2 2 2" xfId="1192"/>
    <cellStyle name="20% - Accent3 3 2 2 3" xfId="1193"/>
    <cellStyle name="20% - Accent3 3 2 2 3 2" xfId="1194"/>
    <cellStyle name="20% - Accent3 3 2 2 4" xfId="1195"/>
    <cellStyle name="20% - Accent3 3 2 2 4 2" xfId="1196"/>
    <cellStyle name="20% - Accent3 3 2 2 5" xfId="1197"/>
    <cellStyle name="20% - Accent3 3 2 2 5 2" xfId="1198"/>
    <cellStyle name="20% - Accent3 3 2 2 6" xfId="1199"/>
    <cellStyle name="20% - Accent3 3 2 2 6 2" xfId="1200"/>
    <cellStyle name="20% - Accent3 3 2 2 7" xfId="1201"/>
    <cellStyle name="20% - Accent3 3 2 2 7 2" xfId="1202"/>
    <cellStyle name="20% - Accent3 3 2 2 8" xfId="1203"/>
    <cellStyle name="20% - Accent3 3 2 20" xfId="1204"/>
    <cellStyle name="20% - Accent3 3 2 20 2" xfId="1205"/>
    <cellStyle name="20% - Accent3 3 2 21" xfId="1206"/>
    <cellStyle name="20% - Accent3 3 2 21 2" xfId="1207"/>
    <cellStyle name="20% - Accent3 3 2 22" xfId="1208"/>
    <cellStyle name="20% - Accent3 3 2 22 2" xfId="1209"/>
    <cellStyle name="20% - Accent3 3 2 23" xfId="1210"/>
    <cellStyle name="20% - Accent3 3 2 23 2" xfId="1211"/>
    <cellStyle name="20% - Accent3 3 2 24" xfId="1212"/>
    <cellStyle name="20% - Accent3 3 2 3" xfId="1213"/>
    <cellStyle name="20% - Accent3 3 2 3 2" xfId="1214"/>
    <cellStyle name="20% - Accent3 3 2 3 2 2" xfId="1215"/>
    <cellStyle name="20% - Accent3 3 2 3 3" xfId="1216"/>
    <cellStyle name="20% - Accent3 3 2 3 3 2" xfId="1217"/>
    <cellStyle name="20% - Accent3 3 2 3 4" xfId="1218"/>
    <cellStyle name="20% - Accent3 3 2 3 4 2" xfId="1219"/>
    <cellStyle name="20% - Accent3 3 2 3 5" xfId="1220"/>
    <cellStyle name="20% - Accent3 3 2 3 5 2" xfId="1221"/>
    <cellStyle name="20% - Accent3 3 2 3 6" xfId="1222"/>
    <cellStyle name="20% - Accent3 3 2 3 6 2" xfId="1223"/>
    <cellStyle name="20% - Accent3 3 2 3 7" xfId="1224"/>
    <cellStyle name="20% - Accent3 3 2 3 7 2" xfId="1225"/>
    <cellStyle name="20% - Accent3 3 2 3 8" xfId="1226"/>
    <cellStyle name="20% - Accent3 3 2 4" xfId="1227"/>
    <cellStyle name="20% - Accent3 3 2 4 2" xfId="1228"/>
    <cellStyle name="20% - Accent3 3 2 5" xfId="1229"/>
    <cellStyle name="20% - Accent3 3 2 5 2" xfId="1230"/>
    <cellStyle name="20% - Accent3 3 2 6" xfId="1231"/>
    <cellStyle name="20% - Accent3 3 2 6 2" xfId="1232"/>
    <cellStyle name="20% - Accent3 3 2 7" xfId="1233"/>
    <cellStyle name="20% - Accent3 3 2 7 2" xfId="1234"/>
    <cellStyle name="20% - Accent3 3 2 8" xfId="1235"/>
    <cellStyle name="20% - Accent3 3 2 8 2" xfId="1236"/>
    <cellStyle name="20% - Accent3 3 2 9" xfId="1237"/>
    <cellStyle name="20% - Accent3 3 2 9 2" xfId="1238"/>
    <cellStyle name="20% - Accent3 3 20" xfId="1239"/>
    <cellStyle name="20% - Accent3 3 20 2" xfId="1240"/>
    <cellStyle name="20% - Accent3 3 21" xfId="1241"/>
    <cellStyle name="20% - Accent3 3 21 2" xfId="1242"/>
    <cellStyle name="20% - Accent3 3 22" xfId="1243"/>
    <cellStyle name="20% - Accent3 3 22 2" xfId="1244"/>
    <cellStyle name="20% - Accent3 3 23" xfId="1245"/>
    <cellStyle name="20% - Accent3 3 23 2" xfId="1246"/>
    <cellStyle name="20% - Accent3 3 24" xfId="1247"/>
    <cellStyle name="20% - Accent3 3 24 2" xfId="1248"/>
    <cellStyle name="20% - Accent3 3 25" xfId="1249"/>
    <cellStyle name="20% - Accent3 3 25 2" xfId="1250"/>
    <cellStyle name="20% - Accent3 3 26" xfId="1251"/>
    <cellStyle name="20% - Accent3 3 26 2" xfId="1252"/>
    <cellStyle name="20% - Accent3 3 27" xfId="1253"/>
    <cellStyle name="20% - Accent3 3 27 2" xfId="1254"/>
    <cellStyle name="20% - Accent3 3 28" xfId="1255"/>
    <cellStyle name="20% - Accent3 3 28 2" xfId="1256"/>
    <cellStyle name="20% - Accent3 3 29" xfId="1257"/>
    <cellStyle name="20% - Accent3 3 29 2" xfId="1258"/>
    <cellStyle name="20% - Accent3 3 3" xfId="1259"/>
    <cellStyle name="20% - Accent3 3 3 10" xfId="1260"/>
    <cellStyle name="20% - Accent3 3 3 2" xfId="1261"/>
    <cellStyle name="20% - Accent3 3 3 2 2" xfId="1262"/>
    <cellStyle name="20% - Accent3 3 3 2 2 2" xfId="1263"/>
    <cellStyle name="20% - Accent3 3 3 2 3" xfId="1264"/>
    <cellStyle name="20% - Accent3 3 3 2 3 2" xfId="1265"/>
    <cellStyle name="20% - Accent3 3 3 2 4" xfId="1266"/>
    <cellStyle name="20% - Accent3 3 3 2 4 2" xfId="1267"/>
    <cellStyle name="20% - Accent3 3 3 2 5" xfId="1268"/>
    <cellStyle name="20% - Accent3 3 3 2 5 2" xfId="1269"/>
    <cellStyle name="20% - Accent3 3 3 2 6" xfId="1270"/>
    <cellStyle name="20% - Accent3 3 3 2 6 2" xfId="1271"/>
    <cellStyle name="20% - Accent3 3 3 2 7" xfId="1272"/>
    <cellStyle name="20% - Accent3 3 3 2 7 2" xfId="1273"/>
    <cellStyle name="20% - Accent3 3 3 2 8" xfId="1274"/>
    <cellStyle name="20% - Accent3 3 3 3" xfId="1275"/>
    <cellStyle name="20% - Accent3 3 3 3 2" xfId="1276"/>
    <cellStyle name="20% - Accent3 3 3 4" xfId="1277"/>
    <cellStyle name="20% - Accent3 3 3 4 2" xfId="1278"/>
    <cellStyle name="20% - Accent3 3 3 5" xfId="1279"/>
    <cellStyle name="20% - Accent3 3 3 5 2" xfId="1280"/>
    <cellStyle name="20% - Accent3 3 3 6" xfId="1281"/>
    <cellStyle name="20% - Accent3 3 3 6 2" xfId="1282"/>
    <cellStyle name="20% - Accent3 3 3 7" xfId="1283"/>
    <cellStyle name="20% - Accent3 3 3 7 2" xfId="1284"/>
    <cellStyle name="20% - Accent3 3 3 8" xfId="1285"/>
    <cellStyle name="20% - Accent3 3 3 8 2" xfId="1286"/>
    <cellStyle name="20% - Accent3 3 3 9" xfId="1287"/>
    <cellStyle name="20% - Accent3 3 3 9 2" xfId="1288"/>
    <cellStyle name="20% - Accent3 3 30" xfId="1289"/>
    <cellStyle name="20% - Accent3 3 30 2" xfId="1290"/>
    <cellStyle name="20% - Accent3 3 31" xfId="1291"/>
    <cellStyle name="20% - Accent3 3 31 2" xfId="1292"/>
    <cellStyle name="20% - Accent3 3 32" xfId="1293"/>
    <cellStyle name="20% - Accent3 3 32 2" xfId="1294"/>
    <cellStyle name="20% - Accent3 3 33" xfId="1295"/>
    <cellStyle name="20% - Accent3 3 33 2" xfId="1296"/>
    <cellStyle name="20% - Accent3 3 34" xfId="1297"/>
    <cellStyle name="20% - Accent3 3 34 2" xfId="1298"/>
    <cellStyle name="20% - Accent3 3 35" xfId="1299"/>
    <cellStyle name="20% - Accent3 3 35 2" xfId="1300"/>
    <cellStyle name="20% - Accent3 3 36" xfId="1301"/>
    <cellStyle name="20% - Accent3 3 36 2" xfId="1302"/>
    <cellStyle name="20% - Accent3 3 37" xfId="1303"/>
    <cellStyle name="20% - Accent3 3 37 2" xfId="1304"/>
    <cellStyle name="20% - Accent3 3 38" xfId="1305"/>
    <cellStyle name="20% - Accent3 3 38 2" xfId="1306"/>
    <cellStyle name="20% - Accent3 3 39" xfId="1307"/>
    <cellStyle name="20% - Accent3 3 39 2" xfId="1308"/>
    <cellStyle name="20% - Accent3 3 4" xfId="1309"/>
    <cellStyle name="20% - Accent3 3 4 10" xfId="1310"/>
    <cellStyle name="20% - Accent3 3 4 2" xfId="1311"/>
    <cellStyle name="20% - Accent3 3 4 2 2" xfId="1312"/>
    <cellStyle name="20% - Accent3 3 4 3" xfId="1313"/>
    <cellStyle name="20% - Accent3 3 4 3 2" xfId="1314"/>
    <cellStyle name="20% - Accent3 3 4 4" xfId="1315"/>
    <cellStyle name="20% - Accent3 3 4 4 2" xfId="1316"/>
    <cellStyle name="20% - Accent3 3 4 5" xfId="1317"/>
    <cellStyle name="20% - Accent3 3 4 5 2" xfId="1318"/>
    <cellStyle name="20% - Accent3 3 4 6" xfId="1319"/>
    <cellStyle name="20% - Accent3 3 4 6 2" xfId="1320"/>
    <cellStyle name="20% - Accent3 3 4 7" xfId="1321"/>
    <cellStyle name="20% - Accent3 3 4 7 2" xfId="1322"/>
    <cellStyle name="20% - Accent3 3 4 8" xfId="1323"/>
    <cellStyle name="20% - Accent3 3 4 8 2" xfId="1324"/>
    <cellStyle name="20% - Accent3 3 4 9" xfId="1325"/>
    <cellStyle name="20% - Accent3 3 4 9 2" xfId="1326"/>
    <cellStyle name="20% - Accent3 3 40" xfId="1327"/>
    <cellStyle name="20% - Accent3 3 40 2" xfId="1328"/>
    <cellStyle name="20% - Accent3 3 41" xfId="1329"/>
    <cellStyle name="20% - Accent3 3 41 2" xfId="1330"/>
    <cellStyle name="20% - Accent3 3 42" xfId="1331"/>
    <cellStyle name="20% - Accent3 3 42 2" xfId="1332"/>
    <cellStyle name="20% - Accent3 3 43" xfId="1333"/>
    <cellStyle name="20% - Accent3 3 43 2" xfId="1334"/>
    <cellStyle name="20% - Accent3 3 44" xfId="1335"/>
    <cellStyle name="20% - Accent3 3 44 2" xfId="1336"/>
    <cellStyle name="20% - Accent3 3 45" xfId="1337"/>
    <cellStyle name="20% - Accent3 3 45 2" xfId="1338"/>
    <cellStyle name="20% - Accent3 3 46" xfId="1339"/>
    <cellStyle name="20% - Accent3 3 46 2" xfId="1340"/>
    <cellStyle name="20% - Accent3 3 47" xfId="1341"/>
    <cellStyle name="20% - Accent3 3 47 2" xfId="1342"/>
    <cellStyle name="20% - Accent3 3 48" xfId="1343"/>
    <cellStyle name="20% - Accent3 3 48 2" xfId="1344"/>
    <cellStyle name="20% - Accent3 3 49" xfId="1345"/>
    <cellStyle name="20% - Accent3 3 49 2" xfId="1346"/>
    <cellStyle name="20% - Accent3 3 5" xfId="1347"/>
    <cellStyle name="20% - Accent3 3 5 10" xfId="1348"/>
    <cellStyle name="20% - Accent3 3 5 2" xfId="1349"/>
    <cellStyle name="20% - Accent3 3 5 2 2" xfId="1350"/>
    <cellStyle name="20% - Accent3 3 5 3" xfId="1351"/>
    <cellStyle name="20% - Accent3 3 5 3 2" xfId="1352"/>
    <cellStyle name="20% - Accent3 3 5 4" xfId="1353"/>
    <cellStyle name="20% - Accent3 3 5 4 2" xfId="1354"/>
    <cellStyle name="20% - Accent3 3 5 5" xfId="1355"/>
    <cellStyle name="20% - Accent3 3 5 5 2" xfId="1356"/>
    <cellStyle name="20% - Accent3 3 5 6" xfId="1357"/>
    <cellStyle name="20% - Accent3 3 5 6 2" xfId="1358"/>
    <cellStyle name="20% - Accent3 3 5 7" xfId="1359"/>
    <cellStyle name="20% - Accent3 3 5 7 2" xfId="1360"/>
    <cellStyle name="20% - Accent3 3 5 8" xfId="1361"/>
    <cellStyle name="20% - Accent3 3 5 8 2" xfId="1362"/>
    <cellStyle name="20% - Accent3 3 5 9" xfId="1363"/>
    <cellStyle name="20% - Accent3 3 5 9 2" xfId="1364"/>
    <cellStyle name="20% - Accent3 3 50" xfId="1365"/>
    <cellStyle name="20% - Accent3 3 50 2" xfId="1366"/>
    <cellStyle name="20% - Accent3 3 51" xfId="1367"/>
    <cellStyle name="20% - Accent3 3 51 2" xfId="1368"/>
    <cellStyle name="20% - Accent3 3 52" xfId="1369"/>
    <cellStyle name="20% - Accent3 3 52 2" xfId="1370"/>
    <cellStyle name="20% - Accent3 3 53" xfId="1371"/>
    <cellStyle name="20% - Accent3 3 53 2" xfId="1372"/>
    <cellStyle name="20% - Accent3 3 54" xfId="1373"/>
    <cellStyle name="20% - Accent3 3 54 2" xfId="1374"/>
    <cellStyle name="20% - Accent3 3 55" xfId="1375"/>
    <cellStyle name="20% - Accent3 3 55 2" xfId="1376"/>
    <cellStyle name="20% - Accent3 3 56" xfId="1377"/>
    <cellStyle name="20% - Accent3 3 56 2" xfId="1378"/>
    <cellStyle name="20% - Accent3 3 57" xfId="1379"/>
    <cellStyle name="20% - Accent3 3 6" xfId="1380"/>
    <cellStyle name="20% - Accent3 3 6 10" xfId="1381"/>
    <cellStyle name="20% - Accent3 3 6 2" xfId="1382"/>
    <cellStyle name="20% - Accent3 3 6 2 2" xfId="1383"/>
    <cellStyle name="20% - Accent3 3 6 3" xfId="1384"/>
    <cellStyle name="20% - Accent3 3 6 3 2" xfId="1385"/>
    <cellStyle name="20% - Accent3 3 6 4" xfId="1386"/>
    <cellStyle name="20% - Accent3 3 6 4 2" xfId="1387"/>
    <cellStyle name="20% - Accent3 3 6 5" xfId="1388"/>
    <cellStyle name="20% - Accent3 3 6 5 2" xfId="1389"/>
    <cellStyle name="20% - Accent3 3 6 6" xfId="1390"/>
    <cellStyle name="20% - Accent3 3 6 6 2" xfId="1391"/>
    <cellStyle name="20% - Accent3 3 6 7" xfId="1392"/>
    <cellStyle name="20% - Accent3 3 6 7 2" xfId="1393"/>
    <cellStyle name="20% - Accent3 3 6 8" xfId="1394"/>
    <cellStyle name="20% - Accent3 3 6 8 2" xfId="1395"/>
    <cellStyle name="20% - Accent3 3 6 9" xfId="1396"/>
    <cellStyle name="20% - Accent3 3 6 9 2" xfId="1397"/>
    <cellStyle name="20% - Accent3 3 7" xfId="1398"/>
    <cellStyle name="20% - Accent3 3 7 10" xfId="1399"/>
    <cellStyle name="20% - Accent3 3 7 2" xfId="1400"/>
    <cellStyle name="20% - Accent3 3 7 2 2" xfId="1401"/>
    <cellStyle name="20% - Accent3 3 7 3" xfId="1402"/>
    <cellStyle name="20% - Accent3 3 7 3 2" xfId="1403"/>
    <cellStyle name="20% - Accent3 3 7 4" xfId="1404"/>
    <cellStyle name="20% - Accent3 3 7 4 2" xfId="1405"/>
    <cellStyle name="20% - Accent3 3 7 5" xfId="1406"/>
    <cellStyle name="20% - Accent3 3 7 5 2" xfId="1407"/>
    <cellStyle name="20% - Accent3 3 7 6" xfId="1408"/>
    <cellStyle name="20% - Accent3 3 7 6 2" xfId="1409"/>
    <cellStyle name="20% - Accent3 3 7 7" xfId="1410"/>
    <cellStyle name="20% - Accent3 3 7 7 2" xfId="1411"/>
    <cellStyle name="20% - Accent3 3 7 8" xfId="1412"/>
    <cellStyle name="20% - Accent3 3 7 8 2" xfId="1413"/>
    <cellStyle name="20% - Accent3 3 7 9" xfId="1414"/>
    <cellStyle name="20% - Accent3 3 7 9 2" xfId="1415"/>
    <cellStyle name="20% - Accent3 3 8" xfId="1416"/>
    <cellStyle name="20% - Accent3 3 8 10" xfId="1417"/>
    <cellStyle name="20% - Accent3 3 8 2" xfId="1418"/>
    <cellStyle name="20% - Accent3 3 8 2 2" xfId="1419"/>
    <cellStyle name="20% - Accent3 3 8 3" xfId="1420"/>
    <cellStyle name="20% - Accent3 3 8 3 2" xfId="1421"/>
    <cellStyle name="20% - Accent3 3 8 4" xfId="1422"/>
    <cellStyle name="20% - Accent3 3 8 4 2" xfId="1423"/>
    <cellStyle name="20% - Accent3 3 8 5" xfId="1424"/>
    <cellStyle name="20% - Accent3 3 8 5 2" xfId="1425"/>
    <cellStyle name="20% - Accent3 3 8 6" xfId="1426"/>
    <cellStyle name="20% - Accent3 3 8 6 2" xfId="1427"/>
    <cellStyle name="20% - Accent3 3 8 7" xfId="1428"/>
    <cellStyle name="20% - Accent3 3 8 7 2" xfId="1429"/>
    <cellStyle name="20% - Accent3 3 8 8" xfId="1430"/>
    <cellStyle name="20% - Accent3 3 8 8 2" xfId="1431"/>
    <cellStyle name="20% - Accent3 3 8 9" xfId="1432"/>
    <cellStyle name="20% - Accent3 3 8 9 2" xfId="1433"/>
    <cellStyle name="20% - Accent3 3 9" xfId="1434"/>
    <cellStyle name="20% - Accent3 3 9 10" xfId="1435"/>
    <cellStyle name="20% - Accent3 3 9 2" xfId="1436"/>
    <cellStyle name="20% - Accent3 3 9 2 2" xfId="1437"/>
    <cellStyle name="20% - Accent3 3 9 3" xfId="1438"/>
    <cellStyle name="20% - Accent3 3 9 3 2" xfId="1439"/>
    <cellStyle name="20% - Accent3 3 9 4" xfId="1440"/>
    <cellStyle name="20% - Accent3 3 9 4 2" xfId="1441"/>
    <cellStyle name="20% - Accent3 3 9 5" xfId="1442"/>
    <cellStyle name="20% - Accent3 3 9 5 2" xfId="1443"/>
    <cellStyle name="20% - Accent3 3 9 6" xfId="1444"/>
    <cellStyle name="20% - Accent3 3 9 6 2" xfId="1445"/>
    <cellStyle name="20% - Accent3 3 9 7" xfId="1446"/>
    <cellStyle name="20% - Accent3 3 9 7 2" xfId="1447"/>
    <cellStyle name="20% - Accent3 3 9 8" xfId="1448"/>
    <cellStyle name="20% - Accent3 3 9 8 2" xfId="1449"/>
    <cellStyle name="20% - Accent3 3 9 9" xfId="1450"/>
    <cellStyle name="20% - Accent3 3 9 9 2" xfId="1451"/>
    <cellStyle name="20% - Accent3 30" xfId="1452"/>
    <cellStyle name="20% - Accent3 30 2" xfId="1453"/>
    <cellStyle name="20% - Accent3 31" xfId="1454"/>
    <cellStyle name="20% - Accent3 31 2" xfId="1455"/>
    <cellStyle name="20% - Accent3 32" xfId="1456"/>
    <cellStyle name="20% - Accent3 32 2" xfId="1457"/>
    <cellStyle name="20% - Accent3 33" xfId="1458"/>
    <cellStyle name="20% - Accent3 33 2" xfId="1459"/>
    <cellStyle name="20% - Accent3 34" xfId="1460"/>
    <cellStyle name="20% - Accent3 34 2" xfId="1461"/>
    <cellStyle name="20% - Accent3 35" xfId="1462"/>
    <cellStyle name="20% - Accent3 35 2" xfId="1463"/>
    <cellStyle name="20% - Accent3 36" xfId="1464"/>
    <cellStyle name="20% - Accent3 36 2" xfId="1465"/>
    <cellStyle name="20% - Accent3 37" xfId="1466"/>
    <cellStyle name="20% - Accent3 37 2" xfId="1467"/>
    <cellStyle name="20% - Accent3 38" xfId="1468"/>
    <cellStyle name="20% - Accent3 38 2" xfId="1469"/>
    <cellStyle name="20% - Accent3 39" xfId="1470"/>
    <cellStyle name="20% - Accent3 4" xfId="1471"/>
    <cellStyle name="20% - Accent3 4 2" xfId="1472"/>
    <cellStyle name="20% - Accent3 4 2 2" xfId="1473"/>
    <cellStyle name="20% - Accent3 4 3" xfId="1474"/>
    <cellStyle name="20% - Accent3 4 3 2" xfId="1475"/>
    <cellStyle name="20% - Accent3 4 4" xfId="1476"/>
    <cellStyle name="20% - Accent3 4 4 2" xfId="1477"/>
    <cellStyle name="20% - Accent3 4 5" xfId="1478"/>
    <cellStyle name="20% - Accent3 4 5 2" xfId="1479"/>
    <cellStyle name="20% - Accent3 4 6" xfId="1480"/>
    <cellStyle name="20% - Accent3 4 6 2" xfId="1481"/>
    <cellStyle name="20% - Accent3 4 7" xfId="1482"/>
    <cellStyle name="20% - Accent3 4 7 2" xfId="1483"/>
    <cellStyle name="20% - Accent3 4 8" xfId="1484"/>
    <cellStyle name="20% - Accent3 4 8 2" xfId="1485"/>
    <cellStyle name="20% - Accent3 5" xfId="1486"/>
    <cellStyle name="20% - Accent3 5 10" xfId="1487"/>
    <cellStyle name="20% - Accent3 5 10 2" xfId="1488"/>
    <cellStyle name="20% - Accent3 5 11" xfId="1489"/>
    <cellStyle name="20% - Accent3 5 11 2" xfId="1490"/>
    <cellStyle name="20% - Accent3 5 12" xfId="1491"/>
    <cellStyle name="20% - Accent3 5 12 2" xfId="1492"/>
    <cellStyle name="20% - Accent3 5 13" xfId="1493"/>
    <cellStyle name="20% - Accent3 5 13 2" xfId="1494"/>
    <cellStyle name="20% - Accent3 5 14" xfId="1495"/>
    <cellStyle name="20% - Accent3 5 2" xfId="1496"/>
    <cellStyle name="20% - Accent3 5 2 2" xfId="1497"/>
    <cellStyle name="20% - Accent3 5 2 3" xfId="1498"/>
    <cellStyle name="20% - Accent3 5 2 4" xfId="1499"/>
    <cellStyle name="20% - Accent3 5 2 5" xfId="1500"/>
    <cellStyle name="20% - Accent3 5 2 6" xfId="1501"/>
    <cellStyle name="20% - Accent3 5 3" xfId="1502"/>
    <cellStyle name="20% - Accent3 5 4" xfId="1503"/>
    <cellStyle name="20% - Accent3 5 5" xfId="1504"/>
    <cellStyle name="20% - Accent3 5 6" xfId="1505"/>
    <cellStyle name="20% - Accent3 5 7" xfId="1506"/>
    <cellStyle name="20% - Accent3 5 8" xfId="1507"/>
    <cellStyle name="20% - Accent3 5 8 2" xfId="1508"/>
    <cellStyle name="20% - Accent3 5 9" xfId="1509"/>
    <cellStyle name="20% - Accent3 5 9 2" xfId="1510"/>
    <cellStyle name="20% - Accent3 6" xfId="1511"/>
    <cellStyle name="20% - Accent3 6 2" xfId="1512"/>
    <cellStyle name="20% - Accent3 6 2 2" xfId="1513"/>
    <cellStyle name="20% - Accent3 6 2 3" xfId="1514"/>
    <cellStyle name="20% - Accent3 6 2 4" xfId="1515"/>
    <cellStyle name="20% - Accent3 6 2 5" xfId="1516"/>
    <cellStyle name="20% - Accent3 6 2 6" xfId="1517"/>
    <cellStyle name="20% - Accent3 6 3" xfId="1518"/>
    <cellStyle name="20% - Accent3 6 4" xfId="1519"/>
    <cellStyle name="20% - Accent3 6 5" xfId="1520"/>
    <cellStyle name="20% - Accent3 6 6" xfId="1521"/>
    <cellStyle name="20% - Accent3 6 7" xfId="1522"/>
    <cellStyle name="20% - Accent3 6 8" xfId="1523"/>
    <cellStyle name="20% - Accent3 6 9" xfId="1524"/>
    <cellStyle name="20% - Accent3 7" xfId="1525"/>
    <cellStyle name="20% - Accent3 7 2" xfId="1526"/>
    <cellStyle name="20% - Accent3 7 3" xfId="1527"/>
    <cellStyle name="20% - Accent3 7 4" xfId="1528"/>
    <cellStyle name="20% - Accent3 7 5" xfId="1529"/>
    <cellStyle name="20% - Accent3 8" xfId="1530"/>
    <cellStyle name="20% - Accent3 8 2" xfId="1531"/>
    <cellStyle name="20% - Accent3 8 3" xfId="1532"/>
    <cellStyle name="20% - Accent3 8 4" xfId="1533"/>
    <cellStyle name="20% - Accent3 8 5" xfId="1534"/>
    <cellStyle name="20% - Accent3 9" xfId="1535"/>
    <cellStyle name="20% - Accent3 9 2" xfId="1536"/>
    <cellStyle name="20% - Accent3 9 3" xfId="1537"/>
    <cellStyle name="20% - Accent3 9 4" xfId="1538"/>
    <cellStyle name="20% - Accent3 9 5" xfId="1539"/>
    <cellStyle name="20% - Accent4 10" xfId="1540"/>
    <cellStyle name="20% - Accent4 10 2" xfId="1541"/>
    <cellStyle name="20% - Accent4 10 3" xfId="1542"/>
    <cellStyle name="20% - Accent4 10 4" xfId="1543"/>
    <cellStyle name="20% - Accent4 11" xfId="1544"/>
    <cellStyle name="20% - Accent4 11 2" xfId="1545"/>
    <cellStyle name="20% - Accent4 11 3" xfId="1546"/>
    <cellStyle name="20% - Accent4 11 4" xfId="1547"/>
    <cellStyle name="20% - Accent4 12" xfId="1548"/>
    <cellStyle name="20% - Accent4 12 2" xfId="1549"/>
    <cellStyle name="20% - Accent4 12 3" xfId="1550"/>
    <cellStyle name="20% - Accent4 12 4" xfId="1551"/>
    <cellStyle name="20% - Accent4 13" xfId="1552"/>
    <cellStyle name="20% - Accent4 13 2" xfId="1553"/>
    <cellStyle name="20% - Accent4 13 3" xfId="1554"/>
    <cellStyle name="20% - Accent4 13 4" xfId="1555"/>
    <cellStyle name="20% - Accent4 14" xfId="1556"/>
    <cellStyle name="20% - Accent4 14 2" xfId="1557"/>
    <cellStyle name="20% - Accent4 14 3" xfId="1558"/>
    <cellStyle name="20% - Accent4 14 4" xfId="1559"/>
    <cellStyle name="20% - Accent4 15" xfId="1560"/>
    <cellStyle name="20% - Accent4 15 2" xfId="1561"/>
    <cellStyle name="20% - Accent4 15 3" xfId="1562"/>
    <cellStyle name="20% - Accent4 15 4" xfId="1563"/>
    <cellStyle name="20% - Accent4 16" xfId="1564"/>
    <cellStyle name="20% - Accent4 16 2" xfId="1565"/>
    <cellStyle name="20% - Accent4 17" xfId="1566"/>
    <cellStyle name="20% - Accent4 17 2" xfId="1567"/>
    <cellStyle name="20% - Accent4 18" xfId="1568"/>
    <cellStyle name="20% - Accent4 18 2" xfId="1569"/>
    <cellStyle name="20% - Accent4 19" xfId="1570"/>
    <cellStyle name="20% - Accent4 19 2" xfId="1571"/>
    <cellStyle name="20% - Accent4 2" xfId="1572"/>
    <cellStyle name="20% - Accent4 2 10" xfId="1573"/>
    <cellStyle name="20% - Accent4 2 10 2" xfId="1574"/>
    <cellStyle name="20% - Accent4 2 11" xfId="1575"/>
    <cellStyle name="20% - Accent4 2 11 2" xfId="1576"/>
    <cellStyle name="20% - Accent4 2 12" xfId="1577"/>
    <cellStyle name="20% - Accent4 2 12 2" xfId="1578"/>
    <cellStyle name="20% - Accent4 2 13" xfId="1579"/>
    <cellStyle name="20% - Accent4 2 13 2" xfId="1580"/>
    <cellStyle name="20% - Accent4 2 14" xfId="1581"/>
    <cellStyle name="20% - Accent4 2 14 2" xfId="1582"/>
    <cellStyle name="20% - Accent4 2 2" xfId="1583"/>
    <cellStyle name="20% - Accent4 2 3" xfId="1584"/>
    <cellStyle name="20% - Accent4 2 4" xfId="1585"/>
    <cellStyle name="20% - Accent4 2 5" xfId="1586"/>
    <cellStyle name="20% - Accent4 2 6" xfId="1587"/>
    <cellStyle name="20% - Accent4 2 7" xfId="1588"/>
    <cellStyle name="20% - Accent4 2 8" xfId="1589"/>
    <cellStyle name="20% - Accent4 2 9" xfId="1590"/>
    <cellStyle name="20% - Accent4 2 9 2" xfId="1591"/>
    <cellStyle name="20% - Accent4 20" xfId="1592"/>
    <cellStyle name="20% - Accent4 20 2" xfId="1593"/>
    <cellStyle name="20% - Accent4 21" xfId="1594"/>
    <cellStyle name="20% - Accent4 21 2" xfId="1595"/>
    <cellStyle name="20% - Accent4 22" xfId="1596"/>
    <cellStyle name="20% - Accent4 22 2" xfId="1597"/>
    <cellStyle name="20% - Accent4 23" xfId="1598"/>
    <cellStyle name="20% - Accent4 23 2" xfId="1599"/>
    <cellStyle name="20% - Accent4 24" xfId="1600"/>
    <cellStyle name="20% - Accent4 24 2" xfId="1601"/>
    <cellStyle name="20% - Accent4 25" xfId="1602"/>
    <cellStyle name="20% - Accent4 25 2" xfId="1603"/>
    <cellStyle name="20% - Accent4 26" xfId="1604"/>
    <cellStyle name="20% - Accent4 26 2" xfId="1605"/>
    <cellStyle name="20% - Accent4 27" xfId="1606"/>
    <cellStyle name="20% - Accent4 27 2" xfId="1607"/>
    <cellStyle name="20% - Accent4 28" xfId="1608"/>
    <cellStyle name="20% - Accent4 28 2" xfId="1609"/>
    <cellStyle name="20% - Accent4 29" xfId="1610"/>
    <cellStyle name="20% - Accent4 29 2" xfId="1611"/>
    <cellStyle name="20% - Accent4 3" xfId="1612"/>
    <cellStyle name="20% - Accent4 3 10" xfId="1613"/>
    <cellStyle name="20% - Accent4 3 10 10" xfId="1614"/>
    <cellStyle name="20% - Accent4 3 10 2" xfId="1615"/>
    <cellStyle name="20% - Accent4 3 10 2 2" xfId="1616"/>
    <cellStyle name="20% - Accent4 3 10 3" xfId="1617"/>
    <cellStyle name="20% - Accent4 3 10 3 2" xfId="1618"/>
    <cellStyle name="20% - Accent4 3 10 4" xfId="1619"/>
    <cellStyle name="20% - Accent4 3 10 4 2" xfId="1620"/>
    <cellStyle name="20% - Accent4 3 10 5" xfId="1621"/>
    <cellStyle name="20% - Accent4 3 10 5 2" xfId="1622"/>
    <cellStyle name="20% - Accent4 3 10 6" xfId="1623"/>
    <cellStyle name="20% - Accent4 3 10 6 2" xfId="1624"/>
    <cellStyle name="20% - Accent4 3 10 7" xfId="1625"/>
    <cellStyle name="20% - Accent4 3 10 7 2" xfId="1626"/>
    <cellStyle name="20% - Accent4 3 10 8" xfId="1627"/>
    <cellStyle name="20% - Accent4 3 10 8 2" xfId="1628"/>
    <cellStyle name="20% - Accent4 3 10 9" xfId="1629"/>
    <cellStyle name="20% - Accent4 3 10 9 2" xfId="1630"/>
    <cellStyle name="20% - Accent4 3 11" xfId="1631"/>
    <cellStyle name="20% - Accent4 3 11 10" xfId="1632"/>
    <cellStyle name="20% - Accent4 3 11 2" xfId="1633"/>
    <cellStyle name="20% - Accent4 3 11 2 2" xfId="1634"/>
    <cellStyle name="20% - Accent4 3 11 3" xfId="1635"/>
    <cellStyle name="20% - Accent4 3 11 3 2" xfId="1636"/>
    <cellStyle name="20% - Accent4 3 11 4" xfId="1637"/>
    <cellStyle name="20% - Accent4 3 11 4 2" xfId="1638"/>
    <cellStyle name="20% - Accent4 3 11 5" xfId="1639"/>
    <cellStyle name="20% - Accent4 3 11 5 2" xfId="1640"/>
    <cellStyle name="20% - Accent4 3 11 6" xfId="1641"/>
    <cellStyle name="20% - Accent4 3 11 6 2" xfId="1642"/>
    <cellStyle name="20% - Accent4 3 11 7" xfId="1643"/>
    <cellStyle name="20% - Accent4 3 11 7 2" xfId="1644"/>
    <cellStyle name="20% - Accent4 3 11 8" xfId="1645"/>
    <cellStyle name="20% - Accent4 3 11 8 2" xfId="1646"/>
    <cellStyle name="20% - Accent4 3 11 9" xfId="1647"/>
    <cellStyle name="20% - Accent4 3 11 9 2" xfId="1648"/>
    <cellStyle name="20% - Accent4 3 12" xfId="1649"/>
    <cellStyle name="20% - Accent4 3 12 10" xfId="1650"/>
    <cellStyle name="20% - Accent4 3 12 2" xfId="1651"/>
    <cellStyle name="20% - Accent4 3 12 2 2" xfId="1652"/>
    <cellStyle name="20% - Accent4 3 12 3" xfId="1653"/>
    <cellStyle name="20% - Accent4 3 12 3 2" xfId="1654"/>
    <cellStyle name="20% - Accent4 3 12 4" xfId="1655"/>
    <cellStyle name="20% - Accent4 3 12 4 2" xfId="1656"/>
    <cellStyle name="20% - Accent4 3 12 5" xfId="1657"/>
    <cellStyle name="20% - Accent4 3 12 5 2" xfId="1658"/>
    <cellStyle name="20% - Accent4 3 12 6" xfId="1659"/>
    <cellStyle name="20% - Accent4 3 12 6 2" xfId="1660"/>
    <cellStyle name="20% - Accent4 3 12 7" xfId="1661"/>
    <cellStyle name="20% - Accent4 3 12 7 2" xfId="1662"/>
    <cellStyle name="20% - Accent4 3 12 8" xfId="1663"/>
    <cellStyle name="20% - Accent4 3 12 8 2" xfId="1664"/>
    <cellStyle name="20% - Accent4 3 12 9" xfId="1665"/>
    <cellStyle name="20% - Accent4 3 12 9 2" xfId="1666"/>
    <cellStyle name="20% - Accent4 3 13" xfId="1667"/>
    <cellStyle name="20% - Accent4 3 13 2" xfId="1668"/>
    <cellStyle name="20% - Accent4 3 14" xfId="1669"/>
    <cellStyle name="20% - Accent4 3 14 2" xfId="1670"/>
    <cellStyle name="20% - Accent4 3 15" xfId="1671"/>
    <cellStyle name="20% - Accent4 3 15 2" xfId="1672"/>
    <cellStyle name="20% - Accent4 3 16" xfId="1673"/>
    <cellStyle name="20% - Accent4 3 16 2" xfId="1674"/>
    <cellStyle name="20% - Accent4 3 17" xfId="1675"/>
    <cellStyle name="20% - Accent4 3 17 2" xfId="1676"/>
    <cellStyle name="20% - Accent4 3 18" xfId="1677"/>
    <cellStyle name="20% - Accent4 3 18 2" xfId="1678"/>
    <cellStyle name="20% - Accent4 3 19" xfId="1679"/>
    <cellStyle name="20% - Accent4 3 19 2" xfId="1680"/>
    <cellStyle name="20% - Accent4 3 2" xfId="1681"/>
    <cellStyle name="20% - Accent4 3 2 10" xfId="1682"/>
    <cellStyle name="20% - Accent4 3 2 10 2" xfId="1683"/>
    <cellStyle name="20% - Accent4 3 2 11" xfId="1684"/>
    <cellStyle name="20% - Accent4 3 2 11 2" xfId="1685"/>
    <cellStyle name="20% - Accent4 3 2 12" xfId="1686"/>
    <cellStyle name="20% - Accent4 3 2 12 2" xfId="1687"/>
    <cellStyle name="20% - Accent4 3 2 13" xfId="1688"/>
    <cellStyle name="20% - Accent4 3 2 13 2" xfId="1689"/>
    <cellStyle name="20% - Accent4 3 2 14" xfId="1690"/>
    <cellStyle name="20% - Accent4 3 2 14 2" xfId="1691"/>
    <cellStyle name="20% - Accent4 3 2 15" xfId="1692"/>
    <cellStyle name="20% - Accent4 3 2 15 2" xfId="1693"/>
    <cellStyle name="20% - Accent4 3 2 16" xfId="1694"/>
    <cellStyle name="20% - Accent4 3 2 16 2" xfId="1695"/>
    <cellStyle name="20% - Accent4 3 2 17" xfId="1696"/>
    <cellStyle name="20% - Accent4 3 2 17 2" xfId="1697"/>
    <cellStyle name="20% - Accent4 3 2 18" xfId="1698"/>
    <cellStyle name="20% - Accent4 3 2 18 2" xfId="1699"/>
    <cellStyle name="20% - Accent4 3 2 19" xfId="1700"/>
    <cellStyle name="20% - Accent4 3 2 19 2" xfId="1701"/>
    <cellStyle name="20% - Accent4 3 2 2" xfId="1702"/>
    <cellStyle name="20% - Accent4 3 2 2 2" xfId="1703"/>
    <cellStyle name="20% - Accent4 3 2 2 2 2" xfId="1704"/>
    <cellStyle name="20% - Accent4 3 2 2 3" xfId="1705"/>
    <cellStyle name="20% - Accent4 3 2 2 3 2" xfId="1706"/>
    <cellStyle name="20% - Accent4 3 2 2 4" xfId="1707"/>
    <cellStyle name="20% - Accent4 3 2 2 4 2" xfId="1708"/>
    <cellStyle name="20% - Accent4 3 2 2 5" xfId="1709"/>
    <cellStyle name="20% - Accent4 3 2 2 5 2" xfId="1710"/>
    <cellStyle name="20% - Accent4 3 2 2 6" xfId="1711"/>
    <cellStyle name="20% - Accent4 3 2 2 6 2" xfId="1712"/>
    <cellStyle name="20% - Accent4 3 2 2 7" xfId="1713"/>
    <cellStyle name="20% - Accent4 3 2 2 7 2" xfId="1714"/>
    <cellStyle name="20% - Accent4 3 2 2 8" xfId="1715"/>
    <cellStyle name="20% - Accent4 3 2 20" xfId="1716"/>
    <cellStyle name="20% - Accent4 3 2 20 2" xfId="1717"/>
    <cellStyle name="20% - Accent4 3 2 21" xfId="1718"/>
    <cellStyle name="20% - Accent4 3 2 21 2" xfId="1719"/>
    <cellStyle name="20% - Accent4 3 2 22" xfId="1720"/>
    <cellStyle name="20% - Accent4 3 2 22 2" xfId="1721"/>
    <cellStyle name="20% - Accent4 3 2 23" xfId="1722"/>
    <cellStyle name="20% - Accent4 3 2 23 2" xfId="1723"/>
    <cellStyle name="20% - Accent4 3 2 24" xfId="1724"/>
    <cellStyle name="20% - Accent4 3 2 3" xfId="1725"/>
    <cellStyle name="20% - Accent4 3 2 3 2" xfId="1726"/>
    <cellStyle name="20% - Accent4 3 2 3 2 2" xfId="1727"/>
    <cellStyle name="20% - Accent4 3 2 3 3" xfId="1728"/>
    <cellStyle name="20% - Accent4 3 2 3 3 2" xfId="1729"/>
    <cellStyle name="20% - Accent4 3 2 3 4" xfId="1730"/>
    <cellStyle name="20% - Accent4 3 2 3 4 2" xfId="1731"/>
    <cellStyle name="20% - Accent4 3 2 3 5" xfId="1732"/>
    <cellStyle name="20% - Accent4 3 2 3 5 2" xfId="1733"/>
    <cellStyle name="20% - Accent4 3 2 3 6" xfId="1734"/>
    <cellStyle name="20% - Accent4 3 2 3 6 2" xfId="1735"/>
    <cellStyle name="20% - Accent4 3 2 3 7" xfId="1736"/>
    <cellStyle name="20% - Accent4 3 2 3 7 2" xfId="1737"/>
    <cellStyle name="20% - Accent4 3 2 3 8" xfId="1738"/>
    <cellStyle name="20% - Accent4 3 2 4" xfId="1739"/>
    <cellStyle name="20% - Accent4 3 2 4 2" xfId="1740"/>
    <cellStyle name="20% - Accent4 3 2 5" xfId="1741"/>
    <cellStyle name="20% - Accent4 3 2 5 2" xfId="1742"/>
    <cellStyle name="20% - Accent4 3 2 6" xfId="1743"/>
    <cellStyle name="20% - Accent4 3 2 6 2" xfId="1744"/>
    <cellStyle name="20% - Accent4 3 2 7" xfId="1745"/>
    <cellStyle name="20% - Accent4 3 2 7 2" xfId="1746"/>
    <cellStyle name="20% - Accent4 3 2 8" xfId="1747"/>
    <cellStyle name="20% - Accent4 3 2 8 2" xfId="1748"/>
    <cellStyle name="20% - Accent4 3 2 9" xfId="1749"/>
    <cellStyle name="20% - Accent4 3 2 9 2" xfId="1750"/>
    <cellStyle name="20% - Accent4 3 20" xfId="1751"/>
    <cellStyle name="20% - Accent4 3 20 2" xfId="1752"/>
    <cellStyle name="20% - Accent4 3 21" xfId="1753"/>
    <cellStyle name="20% - Accent4 3 21 2" xfId="1754"/>
    <cellStyle name="20% - Accent4 3 22" xfId="1755"/>
    <cellStyle name="20% - Accent4 3 22 2" xfId="1756"/>
    <cellStyle name="20% - Accent4 3 23" xfId="1757"/>
    <cellStyle name="20% - Accent4 3 23 2" xfId="1758"/>
    <cellStyle name="20% - Accent4 3 24" xfId="1759"/>
    <cellStyle name="20% - Accent4 3 24 2" xfId="1760"/>
    <cellStyle name="20% - Accent4 3 25" xfId="1761"/>
    <cellStyle name="20% - Accent4 3 25 2" xfId="1762"/>
    <cellStyle name="20% - Accent4 3 26" xfId="1763"/>
    <cellStyle name="20% - Accent4 3 26 2" xfId="1764"/>
    <cellStyle name="20% - Accent4 3 27" xfId="1765"/>
    <cellStyle name="20% - Accent4 3 27 2" xfId="1766"/>
    <cellStyle name="20% - Accent4 3 28" xfId="1767"/>
    <cellStyle name="20% - Accent4 3 28 2" xfId="1768"/>
    <cellStyle name="20% - Accent4 3 29" xfId="1769"/>
    <cellStyle name="20% - Accent4 3 29 2" xfId="1770"/>
    <cellStyle name="20% - Accent4 3 3" xfId="1771"/>
    <cellStyle name="20% - Accent4 3 3 10" xfId="1772"/>
    <cellStyle name="20% - Accent4 3 3 2" xfId="1773"/>
    <cellStyle name="20% - Accent4 3 3 2 2" xfId="1774"/>
    <cellStyle name="20% - Accent4 3 3 2 2 2" xfId="1775"/>
    <cellStyle name="20% - Accent4 3 3 2 3" xfId="1776"/>
    <cellStyle name="20% - Accent4 3 3 2 3 2" xfId="1777"/>
    <cellStyle name="20% - Accent4 3 3 2 4" xfId="1778"/>
    <cellStyle name="20% - Accent4 3 3 2 4 2" xfId="1779"/>
    <cellStyle name="20% - Accent4 3 3 2 5" xfId="1780"/>
    <cellStyle name="20% - Accent4 3 3 2 5 2" xfId="1781"/>
    <cellStyle name="20% - Accent4 3 3 2 6" xfId="1782"/>
    <cellStyle name="20% - Accent4 3 3 2 6 2" xfId="1783"/>
    <cellStyle name="20% - Accent4 3 3 2 7" xfId="1784"/>
    <cellStyle name="20% - Accent4 3 3 2 7 2" xfId="1785"/>
    <cellStyle name="20% - Accent4 3 3 2 8" xfId="1786"/>
    <cellStyle name="20% - Accent4 3 3 3" xfId="1787"/>
    <cellStyle name="20% - Accent4 3 3 3 2" xfId="1788"/>
    <cellStyle name="20% - Accent4 3 3 4" xfId="1789"/>
    <cellStyle name="20% - Accent4 3 3 4 2" xfId="1790"/>
    <cellStyle name="20% - Accent4 3 3 5" xfId="1791"/>
    <cellStyle name="20% - Accent4 3 3 5 2" xfId="1792"/>
    <cellStyle name="20% - Accent4 3 3 6" xfId="1793"/>
    <cellStyle name="20% - Accent4 3 3 6 2" xfId="1794"/>
    <cellStyle name="20% - Accent4 3 3 7" xfId="1795"/>
    <cellStyle name="20% - Accent4 3 3 7 2" xfId="1796"/>
    <cellStyle name="20% - Accent4 3 3 8" xfId="1797"/>
    <cellStyle name="20% - Accent4 3 3 8 2" xfId="1798"/>
    <cellStyle name="20% - Accent4 3 3 9" xfId="1799"/>
    <cellStyle name="20% - Accent4 3 3 9 2" xfId="1800"/>
    <cellStyle name="20% - Accent4 3 30" xfId="1801"/>
    <cellStyle name="20% - Accent4 3 30 2" xfId="1802"/>
    <cellStyle name="20% - Accent4 3 31" xfId="1803"/>
    <cellStyle name="20% - Accent4 3 31 2" xfId="1804"/>
    <cellStyle name="20% - Accent4 3 32" xfId="1805"/>
    <cellStyle name="20% - Accent4 3 32 2" xfId="1806"/>
    <cellStyle name="20% - Accent4 3 33" xfId="1807"/>
    <cellStyle name="20% - Accent4 3 33 2" xfId="1808"/>
    <cellStyle name="20% - Accent4 3 34" xfId="1809"/>
    <cellStyle name="20% - Accent4 3 34 2" xfId="1810"/>
    <cellStyle name="20% - Accent4 3 35" xfId="1811"/>
    <cellStyle name="20% - Accent4 3 35 2" xfId="1812"/>
    <cellStyle name="20% - Accent4 3 36" xfId="1813"/>
    <cellStyle name="20% - Accent4 3 36 2" xfId="1814"/>
    <cellStyle name="20% - Accent4 3 37" xfId="1815"/>
    <cellStyle name="20% - Accent4 3 37 2" xfId="1816"/>
    <cellStyle name="20% - Accent4 3 38" xfId="1817"/>
    <cellStyle name="20% - Accent4 3 38 2" xfId="1818"/>
    <cellStyle name="20% - Accent4 3 39" xfId="1819"/>
    <cellStyle name="20% - Accent4 3 39 2" xfId="1820"/>
    <cellStyle name="20% - Accent4 3 4" xfId="1821"/>
    <cellStyle name="20% - Accent4 3 4 10" xfId="1822"/>
    <cellStyle name="20% - Accent4 3 4 2" xfId="1823"/>
    <cellStyle name="20% - Accent4 3 4 2 2" xfId="1824"/>
    <cellStyle name="20% - Accent4 3 4 3" xfId="1825"/>
    <cellStyle name="20% - Accent4 3 4 3 2" xfId="1826"/>
    <cellStyle name="20% - Accent4 3 4 4" xfId="1827"/>
    <cellStyle name="20% - Accent4 3 4 4 2" xfId="1828"/>
    <cellStyle name="20% - Accent4 3 4 5" xfId="1829"/>
    <cellStyle name="20% - Accent4 3 4 5 2" xfId="1830"/>
    <cellStyle name="20% - Accent4 3 4 6" xfId="1831"/>
    <cellStyle name="20% - Accent4 3 4 6 2" xfId="1832"/>
    <cellStyle name="20% - Accent4 3 4 7" xfId="1833"/>
    <cellStyle name="20% - Accent4 3 4 7 2" xfId="1834"/>
    <cellStyle name="20% - Accent4 3 4 8" xfId="1835"/>
    <cellStyle name="20% - Accent4 3 4 8 2" xfId="1836"/>
    <cellStyle name="20% - Accent4 3 4 9" xfId="1837"/>
    <cellStyle name="20% - Accent4 3 4 9 2" xfId="1838"/>
    <cellStyle name="20% - Accent4 3 40" xfId="1839"/>
    <cellStyle name="20% - Accent4 3 40 2" xfId="1840"/>
    <cellStyle name="20% - Accent4 3 41" xfId="1841"/>
    <cellStyle name="20% - Accent4 3 41 2" xfId="1842"/>
    <cellStyle name="20% - Accent4 3 42" xfId="1843"/>
    <cellStyle name="20% - Accent4 3 42 2" xfId="1844"/>
    <cellStyle name="20% - Accent4 3 43" xfId="1845"/>
    <cellStyle name="20% - Accent4 3 43 2" xfId="1846"/>
    <cellStyle name="20% - Accent4 3 44" xfId="1847"/>
    <cellStyle name="20% - Accent4 3 44 2" xfId="1848"/>
    <cellStyle name="20% - Accent4 3 45" xfId="1849"/>
    <cellStyle name="20% - Accent4 3 45 2" xfId="1850"/>
    <cellStyle name="20% - Accent4 3 46" xfId="1851"/>
    <cellStyle name="20% - Accent4 3 46 2" xfId="1852"/>
    <cellStyle name="20% - Accent4 3 47" xfId="1853"/>
    <cellStyle name="20% - Accent4 3 47 2" xfId="1854"/>
    <cellStyle name="20% - Accent4 3 48" xfId="1855"/>
    <cellStyle name="20% - Accent4 3 48 2" xfId="1856"/>
    <cellStyle name="20% - Accent4 3 49" xfId="1857"/>
    <cellStyle name="20% - Accent4 3 49 2" xfId="1858"/>
    <cellStyle name="20% - Accent4 3 5" xfId="1859"/>
    <cellStyle name="20% - Accent4 3 5 10" xfId="1860"/>
    <cellStyle name="20% - Accent4 3 5 2" xfId="1861"/>
    <cellStyle name="20% - Accent4 3 5 2 2" xfId="1862"/>
    <cellStyle name="20% - Accent4 3 5 3" xfId="1863"/>
    <cellStyle name="20% - Accent4 3 5 3 2" xfId="1864"/>
    <cellStyle name="20% - Accent4 3 5 4" xfId="1865"/>
    <cellStyle name="20% - Accent4 3 5 4 2" xfId="1866"/>
    <cellStyle name="20% - Accent4 3 5 5" xfId="1867"/>
    <cellStyle name="20% - Accent4 3 5 5 2" xfId="1868"/>
    <cellStyle name="20% - Accent4 3 5 6" xfId="1869"/>
    <cellStyle name="20% - Accent4 3 5 6 2" xfId="1870"/>
    <cellStyle name="20% - Accent4 3 5 7" xfId="1871"/>
    <cellStyle name="20% - Accent4 3 5 7 2" xfId="1872"/>
    <cellStyle name="20% - Accent4 3 5 8" xfId="1873"/>
    <cellStyle name="20% - Accent4 3 5 8 2" xfId="1874"/>
    <cellStyle name="20% - Accent4 3 5 9" xfId="1875"/>
    <cellStyle name="20% - Accent4 3 5 9 2" xfId="1876"/>
    <cellStyle name="20% - Accent4 3 50" xfId="1877"/>
    <cellStyle name="20% - Accent4 3 50 2" xfId="1878"/>
    <cellStyle name="20% - Accent4 3 51" xfId="1879"/>
    <cellStyle name="20% - Accent4 3 51 2" xfId="1880"/>
    <cellStyle name="20% - Accent4 3 52" xfId="1881"/>
    <cellStyle name="20% - Accent4 3 52 2" xfId="1882"/>
    <cellStyle name="20% - Accent4 3 53" xfId="1883"/>
    <cellStyle name="20% - Accent4 3 53 2" xfId="1884"/>
    <cellStyle name="20% - Accent4 3 54" xfId="1885"/>
    <cellStyle name="20% - Accent4 3 54 2" xfId="1886"/>
    <cellStyle name="20% - Accent4 3 55" xfId="1887"/>
    <cellStyle name="20% - Accent4 3 55 2" xfId="1888"/>
    <cellStyle name="20% - Accent4 3 56" xfId="1889"/>
    <cellStyle name="20% - Accent4 3 56 2" xfId="1890"/>
    <cellStyle name="20% - Accent4 3 57" xfId="1891"/>
    <cellStyle name="20% - Accent4 3 6" xfId="1892"/>
    <cellStyle name="20% - Accent4 3 6 10" xfId="1893"/>
    <cellStyle name="20% - Accent4 3 6 2" xfId="1894"/>
    <cellStyle name="20% - Accent4 3 6 2 2" xfId="1895"/>
    <cellStyle name="20% - Accent4 3 6 3" xfId="1896"/>
    <cellStyle name="20% - Accent4 3 6 3 2" xfId="1897"/>
    <cellStyle name="20% - Accent4 3 6 4" xfId="1898"/>
    <cellStyle name="20% - Accent4 3 6 4 2" xfId="1899"/>
    <cellStyle name="20% - Accent4 3 6 5" xfId="1900"/>
    <cellStyle name="20% - Accent4 3 6 5 2" xfId="1901"/>
    <cellStyle name="20% - Accent4 3 6 6" xfId="1902"/>
    <cellStyle name="20% - Accent4 3 6 6 2" xfId="1903"/>
    <cellStyle name="20% - Accent4 3 6 7" xfId="1904"/>
    <cellStyle name="20% - Accent4 3 6 7 2" xfId="1905"/>
    <cellStyle name="20% - Accent4 3 6 8" xfId="1906"/>
    <cellStyle name="20% - Accent4 3 6 8 2" xfId="1907"/>
    <cellStyle name="20% - Accent4 3 6 9" xfId="1908"/>
    <cellStyle name="20% - Accent4 3 6 9 2" xfId="1909"/>
    <cellStyle name="20% - Accent4 3 7" xfId="1910"/>
    <cellStyle name="20% - Accent4 3 7 10" xfId="1911"/>
    <cellStyle name="20% - Accent4 3 7 2" xfId="1912"/>
    <cellStyle name="20% - Accent4 3 7 2 2" xfId="1913"/>
    <cellStyle name="20% - Accent4 3 7 3" xfId="1914"/>
    <cellStyle name="20% - Accent4 3 7 3 2" xfId="1915"/>
    <cellStyle name="20% - Accent4 3 7 4" xfId="1916"/>
    <cellStyle name="20% - Accent4 3 7 4 2" xfId="1917"/>
    <cellStyle name="20% - Accent4 3 7 5" xfId="1918"/>
    <cellStyle name="20% - Accent4 3 7 5 2" xfId="1919"/>
    <cellStyle name="20% - Accent4 3 7 6" xfId="1920"/>
    <cellStyle name="20% - Accent4 3 7 6 2" xfId="1921"/>
    <cellStyle name="20% - Accent4 3 7 7" xfId="1922"/>
    <cellStyle name="20% - Accent4 3 7 7 2" xfId="1923"/>
    <cellStyle name="20% - Accent4 3 7 8" xfId="1924"/>
    <cellStyle name="20% - Accent4 3 7 8 2" xfId="1925"/>
    <cellStyle name="20% - Accent4 3 7 9" xfId="1926"/>
    <cellStyle name="20% - Accent4 3 7 9 2" xfId="1927"/>
    <cellStyle name="20% - Accent4 3 8" xfId="1928"/>
    <cellStyle name="20% - Accent4 3 8 10" xfId="1929"/>
    <cellStyle name="20% - Accent4 3 8 2" xfId="1930"/>
    <cellStyle name="20% - Accent4 3 8 2 2" xfId="1931"/>
    <cellStyle name="20% - Accent4 3 8 3" xfId="1932"/>
    <cellStyle name="20% - Accent4 3 8 3 2" xfId="1933"/>
    <cellStyle name="20% - Accent4 3 8 4" xfId="1934"/>
    <cellStyle name="20% - Accent4 3 8 4 2" xfId="1935"/>
    <cellStyle name="20% - Accent4 3 8 5" xfId="1936"/>
    <cellStyle name="20% - Accent4 3 8 5 2" xfId="1937"/>
    <cellStyle name="20% - Accent4 3 8 6" xfId="1938"/>
    <cellStyle name="20% - Accent4 3 8 6 2" xfId="1939"/>
    <cellStyle name="20% - Accent4 3 8 7" xfId="1940"/>
    <cellStyle name="20% - Accent4 3 8 7 2" xfId="1941"/>
    <cellStyle name="20% - Accent4 3 8 8" xfId="1942"/>
    <cellStyle name="20% - Accent4 3 8 8 2" xfId="1943"/>
    <cellStyle name="20% - Accent4 3 8 9" xfId="1944"/>
    <cellStyle name="20% - Accent4 3 8 9 2" xfId="1945"/>
    <cellStyle name="20% - Accent4 3 9" xfId="1946"/>
    <cellStyle name="20% - Accent4 3 9 10" xfId="1947"/>
    <cellStyle name="20% - Accent4 3 9 2" xfId="1948"/>
    <cellStyle name="20% - Accent4 3 9 2 2" xfId="1949"/>
    <cellStyle name="20% - Accent4 3 9 3" xfId="1950"/>
    <cellStyle name="20% - Accent4 3 9 3 2" xfId="1951"/>
    <cellStyle name="20% - Accent4 3 9 4" xfId="1952"/>
    <cellStyle name="20% - Accent4 3 9 4 2" xfId="1953"/>
    <cellStyle name="20% - Accent4 3 9 5" xfId="1954"/>
    <cellStyle name="20% - Accent4 3 9 5 2" xfId="1955"/>
    <cellStyle name="20% - Accent4 3 9 6" xfId="1956"/>
    <cellStyle name="20% - Accent4 3 9 6 2" xfId="1957"/>
    <cellStyle name="20% - Accent4 3 9 7" xfId="1958"/>
    <cellStyle name="20% - Accent4 3 9 7 2" xfId="1959"/>
    <cellStyle name="20% - Accent4 3 9 8" xfId="1960"/>
    <cellStyle name="20% - Accent4 3 9 8 2" xfId="1961"/>
    <cellStyle name="20% - Accent4 3 9 9" xfId="1962"/>
    <cellStyle name="20% - Accent4 3 9 9 2" xfId="1963"/>
    <cellStyle name="20% - Accent4 30" xfId="1964"/>
    <cellStyle name="20% - Accent4 30 2" xfId="1965"/>
    <cellStyle name="20% - Accent4 31" xfId="1966"/>
    <cellStyle name="20% - Accent4 31 2" xfId="1967"/>
    <cellStyle name="20% - Accent4 32" xfId="1968"/>
    <cellStyle name="20% - Accent4 32 2" xfId="1969"/>
    <cellStyle name="20% - Accent4 33" xfId="1970"/>
    <cellStyle name="20% - Accent4 33 2" xfId="1971"/>
    <cellStyle name="20% - Accent4 34" xfId="1972"/>
    <cellStyle name="20% - Accent4 34 2" xfId="1973"/>
    <cellStyle name="20% - Accent4 35" xfId="1974"/>
    <cellStyle name="20% - Accent4 35 2" xfId="1975"/>
    <cellStyle name="20% - Accent4 36" xfId="1976"/>
    <cellStyle name="20% - Accent4 36 2" xfId="1977"/>
    <cellStyle name="20% - Accent4 37" xfId="1978"/>
    <cellStyle name="20% - Accent4 37 2" xfId="1979"/>
    <cellStyle name="20% - Accent4 38" xfId="1980"/>
    <cellStyle name="20% - Accent4 38 2" xfId="1981"/>
    <cellStyle name="20% - Accent4 39" xfId="1982"/>
    <cellStyle name="20% - Accent4 4" xfId="1983"/>
    <cellStyle name="20% - Accent4 4 2" xfId="1984"/>
    <cellStyle name="20% - Accent4 4 2 2" xfId="1985"/>
    <cellStyle name="20% - Accent4 4 3" xfId="1986"/>
    <cellStyle name="20% - Accent4 4 3 2" xfId="1987"/>
    <cellStyle name="20% - Accent4 4 4" xfId="1988"/>
    <cellStyle name="20% - Accent4 4 4 2" xfId="1989"/>
    <cellStyle name="20% - Accent4 4 5" xfId="1990"/>
    <cellStyle name="20% - Accent4 4 5 2" xfId="1991"/>
    <cellStyle name="20% - Accent4 4 6" xfId="1992"/>
    <cellStyle name="20% - Accent4 4 6 2" xfId="1993"/>
    <cellStyle name="20% - Accent4 4 7" xfId="1994"/>
    <cellStyle name="20% - Accent4 4 7 2" xfId="1995"/>
    <cellStyle name="20% - Accent4 4 8" xfId="1996"/>
    <cellStyle name="20% - Accent4 4 8 2" xfId="1997"/>
    <cellStyle name="20% - Accent4 5" xfId="1998"/>
    <cellStyle name="20% - Accent4 5 10" xfId="1999"/>
    <cellStyle name="20% - Accent4 5 10 2" xfId="2000"/>
    <cellStyle name="20% - Accent4 5 11" xfId="2001"/>
    <cellStyle name="20% - Accent4 5 11 2" xfId="2002"/>
    <cellStyle name="20% - Accent4 5 12" xfId="2003"/>
    <cellStyle name="20% - Accent4 5 12 2" xfId="2004"/>
    <cellStyle name="20% - Accent4 5 13" xfId="2005"/>
    <cellStyle name="20% - Accent4 5 13 2" xfId="2006"/>
    <cellStyle name="20% - Accent4 5 14" xfId="2007"/>
    <cellStyle name="20% - Accent4 5 2" xfId="2008"/>
    <cellStyle name="20% - Accent4 5 2 2" xfId="2009"/>
    <cellStyle name="20% - Accent4 5 2 3" xfId="2010"/>
    <cellStyle name="20% - Accent4 5 2 4" xfId="2011"/>
    <cellStyle name="20% - Accent4 5 2 5" xfId="2012"/>
    <cellStyle name="20% - Accent4 5 2 6" xfId="2013"/>
    <cellStyle name="20% - Accent4 5 3" xfId="2014"/>
    <cellStyle name="20% - Accent4 5 4" xfId="2015"/>
    <cellStyle name="20% - Accent4 5 5" xfId="2016"/>
    <cellStyle name="20% - Accent4 5 6" xfId="2017"/>
    <cellStyle name="20% - Accent4 5 7" xfId="2018"/>
    <cellStyle name="20% - Accent4 5 8" xfId="2019"/>
    <cellStyle name="20% - Accent4 5 8 2" xfId="2020"/>
    <cellStyle name="20% - Accent4 5 9" xfId="2021"/>
    <cellStyle name="20% - Accent4 5 9 2" xfId="2022"/>
    <cellStyle name="20% - Accent4 6" xfId="2023"/>
    <cellStyle name="20% - Accent4 6 2" xfId="2024"/>
    <cellStyle name="20% - Accent4 6 2 2" xfId="2025"/>
    <cellStyle name="20% - Accent4 6 2 3" xfId="2026"/>
    <cellStyle name="20% - Accent4 6 2 4" xfId="2027"/>
    <cellStyle name="20% - Accent4 6 2 5" xfId="2028"/>
    <cellStyle name="20% - Accent4 6 2 6" xfId="2029"/>
    <cellStyle name="20% - Accent4 6 3" xfId="2030"/>
    <cellStyle name="20% - Accent4 6 4" xfId="2031"/>
    <cellStyle name="20% - Accent4 6 5" xfId="2032"/>
    <cellStyle name="20% - Accent4 6 6" xfId="2033"/>
    <cellStyle name="20% - Accent4 6 7" xfId="2034"/>
    <cellStyle name="20% - Accent4 6 8" xfId="2035"/>
    <cellStyle name="20% - Accent4 6 9" xfId="2036"/>
    <cellStyle name="20% - Accent4 7" xfId="2037"/>
    <cellStyle name="20% - Accent4 7 2" xfId="2038"/>
    <cellStyle name="20% - Accent4 7 3" xfId="2039"/>
    <cellStyle name="20% - Accent4 7 4" xfId="2040"/>
    <cellStyle name="20% - Accent4 7 5" xfId="2041"/>
    <cellStyle name="20% - Accent4 8" xfId="2042"/>
    <cellStyle name="20% - Accent4 8 2" xfId="2043"/>
    <cellStyle name="20% - Accent4 8 3" xfId="2044"/>
    <cellStyle name="20% - Accent4 8 4" xfId="2045"/>
    <cellStyle name="20% - Accent4 8 5" xfId="2046"/>
    <cellStyle name="20% - Accent4 9" xfId="2047"/>
    <cellStyle name="20% - Accent4 9 2" xfId="2048"/>
    <cellStyle name="20% - Accent4 9 3" xfId="2049"/>
    <cellStyle name="20% - Accent4 9 4" xfId="2050"/>
    <cellStyle name="20% - Accent4 9 5" xfId="2051"/>
    <cellStyle name="20% - Accent5 10" xfId="2052"/>
    <cellStyle name="20% - Accent5 10 2" xfId="2053"/>
    <cellStyle name="20% - Accent5 10 3" xfId="2054"/>
    <cellStyle name="20% - Accent5 10 4" xfId="2055"/>
    <cellStyle name="20% - Accent5 11" xfId="2056"/>
    <cellStyle name="20% - Accent5 11 2" xfId="2057"/>
    <cellStyle name="20% - Accent5 11 3" xfId="2058"/>
    <cellStyle name="20% - Accent5 11 4" xfId="2059"/>
    <cellStyle name="20% - Accent5 12" xfId="2060"/>
    <cellStyle name="20% - Accent5 12 2" xfId="2061"/>
    <cellStyle name="20% - Accent5 12 3" xfId="2062"/>
    <cellStyle name="20% - Accent5 12 4" xfId="2063"/>
    <cellStyle name="20% - Accent5 13" xfId="2064"/>
    <cellStyle name="20% - Accent5 13 2" xfId="2065"/>
    <cellStyle name="20% - Accent5 13 3" xfId="2066"/>
    <cellStyle name="20% - Accent5 13 4" xfId="2067"/>
    <cellStyle name="20% - Accent5 14" xfId="2068"/>
    <cellStyle name="20% - Accent5 14 2" xfId="2069"/>
    <cellStyle name="20% - Accent5 14 3" xfId="2070"/>
    <cellStyle name="20% - Accent5 14 4" xfId="2071"/>
    <cellStyle name="20% - Accent5 15" xfId="2072"/>
    <cellStyle name="20% - Accent5 15 2" xfId="2073"/>
    <cellStyle name="20% - Accent5 15 3" xfId="2074"/>
    <cellStyle name="20% - Accent5 15 4" xfId="2075"/>
    <cellStyle name="20% - Accent5 16" xfId="2076"/>
    <cellStyle name="20% - Accent5 16 2" xfId="2077"/>
    <cellStyle name="20% - Accent5 17" xfId="2078"/>
    <cellStyle name="20% - Accent5 17 2" xfId="2079"/>
    <cellStyle name="20% - Accent5 18" xfId="2080"/>
    <cellStyle name="20% - Accent5 18 2" xfId="2081"/>
    <cellStyle name="20% - Accent5 19" xfId="2082"/>
    <cellStyle name="20% - Accent5 19 2" xfId="2083"/>
    <cellStyle name="20% - Accent5 2" xfId="2084"/>
    <cellStyle name="20% - Accent5 2 10" xfId="2085"/>
    <cellStyle name="20% - Accent5 2 10 2" xfId="2086"/>
    <cellStyle name="20% - Accent5 2 11" xfId="2087"/>
    <cellStyle name="20% - Accent5 2 11 2" xfId="2088"/>
    <cellStyle name="20% - Accent5 2 12" xfId="2089"/>
    <cellStyle name="20% - Accent5 2 12 2" xfId="2090"/>
    <cellStyle name="20% - Accent5 2 13" xfId="2091"/>
    <cellStyle name="20% - Accent5 2 13 2" xfId="2092"/>
    <cellStyle name="20% - Accent5 2 14" xfId="2093"/>
    <cellStyle name="20% - Accent5 2 14 2" xfId="2094"/>
    <cellStyle name="20% - Accent5 2 2" xfId="2095"/>
    <cellStyle name="20% - Accent5 2 3" xfId="2096"/>
    <cellStyle name="20% - Accent5 2 4" xfId="2097"/>
    <cellStyle name="20% - Accent5 2 5" xfId="2098"/>
    <cellStyle name="20% - Accent5 2 6" xfId="2099"/>
    <cellStyle name="20% - Accent5 2 7" xfId="2100"/>
    <cellStyle name="20% - Accent5 2 8" xfId="2101"/>
    <cellStyle name="20% - Accent5 2 9" xfId="2102"/>
    <cellStyle name="20% - Accent5 2 9 2" xfId="2103"/>
    <cellStyle name="20% - Accent5 20" xfId="2104"/>
    <cellStyle name="20% - Accent5 20 2" xfId="2105"/>
    <cellStyle name="20% - Accent5 21" xfId="2106"/>
    <cellStyle name="20% - Accent5 21 2" xfId="2107"/>
    <cellStyle name="20% - Accent5 22" xfId="2108"/>
    <cellStyle name="20% - Accent5 22 2" xfId="2109"/>
    <cellStyle name="20% - Accent5 23" xfId="2110"/>
    <cellStyle name="20% - Accent5 23 2" xfId="2111"/>
    <cellStyle name="20% - Accent5 24" xfId="2112"/>
    <cellStyle name="20% - Accent5 24 2" xfId="2113"/>
    <cellStyle name="20% - Accent5 25" xfId="2114"/>
    <cellStyle name="20% - Accent5 25 2" xfId="2115"/>
    <cellStyle name="20% - Accent5 26" xfId="2116"/>
    <cellStyle name="20% - Accent5 26 2" xfId="2117"/>
    <cellStyle name="20% - Accent5 27" xfId="2118"/>
    <cellStyle name="20% - Accent5 27 2" xfId="2119"/>
    <cellStyle name="20% - Accent5 28" xfId="2120"/>
    <cellStyle name="20% - Accent5 28 2" xfId="2121"/>
    <cellStyle name="20% - Accent5 29" xfId="2122"/>
    <cellStyle name="20% - Accent5 29 2" xfId="2123"/>
    <cellStyle name="20% - Accent5 3" xfId="2124"/>
    <cellStyle name="20% - Accent5 3 10" xfId="2125"/>
    <cellStyle name="20% - Accent5 3 10 10" xfId="2126"/>
    <cellStyle name="20% - Accent5 3 10 2" xfId="2127"/>
    <cellStyle name="20% - Accent5 3 10 2 2" xfId="2128"/>
    <cellStyle name="20% - Accent5 3 10 3" xfId="2129"/>
    <cellStyle name="20% - Accent5 3 10 3 2" xfId="2130"/>
    <cellStyle name="20% - Accent5 3 10 4" xfId="2131"/>
    <cellStyle name="20% - Accent5 3 10 4 2" xfId="2132"/>
    <cellStyle name="20% - Accent5 3 10 5" xfId="2133"/>
    <cellStyle name="20% - Accent5 3 10 5 2" xfId="2134"/>
    <cellStyle name="20% - Accent5 3 10 6" xfId="2135"/>
    <cellStyle name="20% - Accent5 3 10 6 2" xfId="2136"/>
    <cellStyle name="20% - Accent5 3 10 7" xfId="2137"/>
    <cellStyle name="20% - Accent5 3 10 7 2" xfId="2138"/>
    <cellStyle name="20% - Accent5 3 10 8" xfId="2139"/>
    <cellStyle name="20% - Accent5 3 10 8 2" xfId="2140"/>
    <cellStyle name="20% - Accent5 3 10 9" xfId="2141"/>
    <cellStyle name="20% - Accent5 3 10 9 2" xfId="2142"/>
    <cellStyle name="20% - Accent5 3 11" xfId="2143"/>
    <cellStyle name="20% - Accent5 3 11 10" xfId="2144"/>
    <cellStyle name="20% - Accent5 3 11 2" xfId="2145"/>
    <cellStyle name="20% - Accent5 3 11 2 2" xfId="2146"/>
    <cellStyle name="20% - Accent5 3 11 3" xfId="2147"/>
    <cellStyle name="20% - Accent5 3 11 3 2" xfId="2148"/>
    <cellStyle name="20% - Accent5 3 11 4" xfId="2149"/>
    <cellStyle name="20% - Accent5 3 11 4 2" xfId="2150"/>
    <cellStyle name="20% - Accent5 3 11 5" xfId="2151"/>
    <cellStyle name="20% - Accent5 3 11 5 2" xfId="2152"/>
    <cellStyle name="20% - Accent5 3 11 6" xfId="2153"/>
    <cellStyle name="20% - Accent5 3 11 6 2" xfId="2154"/>
    <cellStyle name="20% - Accent5 3 11 7" xfId="2155"/>
    <cellStyle name="20% - Accent5 3 11 7 2" xfId="2156"/>
    <cellStyle name="20% - Accent5 3 11 8" xfId="2157"/>
    <cellStyle name="20% - Accent5 3 11 8 2" xfId="2158"/>
    <cellStyle name="20% - Accent5 3 11 9" xfId="2159"/>
    <cellStyle name="20% - Accent5 3 11 9 2" xfId="2160"/>
    <cellStyle name="20% - Accent5 3 12" xfId="2161"/>
    <cellStyle name="20% - Accent5 3 12 10" xfId="2162"/>
    <cellStyle name="20% - Accent5 3 12 2" xfId="2163"/>
    <cellStyle name="20% - Accent5 3 12 2 2" xfId="2164"/>
    <cellStyle name="20% - Accent5 3 12 3" xfId="2165"/>
    <cellStyle name="20% - Accent5 3 12 3 2" xfId="2166"/>
    <cellStyle name="20% - Accent5 3 12 4" xfId="2167"/>
    <cellStyle name="20% - Accent5 3 12 4 2" xfId="2168"/>
    <cellStyle name="20% - Accent5 3 12 5" xfId="2169"/>
    <cellStyle name="20% - Accent5 3 12 5 2" xfId="2170"/>
    <cellStyle name="20% - Accent5 3 12 6" xfId="2171"/>
    <cellStyle name="20% - Accent5 3 12 6 2" xfId="2172"/>
    <cellStyle name="20% - Accent5 3 12 7" xfId="2173"/>
    <cellStyle name="20% - Accent5 3 12 7 2" xfId="2174"/>
    <cellStyle name="20% - Accent5 3 12 8" xfId="2175"/>
    <cellStyle name="20% - Accent5 3 12 8 2" xfId="2176"/>
    <cellStyle name="20% - Accent5 3 12 9" xfId="2177"/>
    <cellStyle name="20% - Accent5 3 12 9 2" xfId="2178"/>
    <cellStyle name="20% - Accent5 3 13" xfId="2179"/>
    <cellStyle name="20% - Accent5 3 13 2" xfId="2180"/>
    <cellStyle name="20% - Accent5 3 14" xfId="2181"/>
    <cellStyle name="20% - Accent5 3 14 2" xfId="2182"/>
    <cellStyle name="20% - Accent5 3 15" xfId="2183"/>
    <cellStyle name="20% - Accent5 3 15 2" xfId="2184"/>
    <cellStyle name="20% - Accent5 3 16" xfId="2185"/>
    <cellStyle name="20% - Accent5 3 16 2" xfId="2186"/>
    <cellStyle name="20% - Accent5 3 17" xfId="2187"/>
    <cellStyle name="20% - Accent5 3 17 2" xfId="2188"/>
    <cellStyle name="20% - Accent5 3 18" xfId="2189"/>
    <cellStyle name="20% - Accent5 3 18 2" xfId="2190"/>
    <cellStyle name="20% - Accent5 3 19" xfId="2191"/>
    <cellStyle name="20% - Accent5 3 19 2" xfId="2192"/>
    <cellStyle name="20% - Accent5 3 2" xfId="2193"/>
    <cellStyle name="20% - Accent5 3 2 10" xfId="2194"/>
    <cellStyle name="20% - Accent5 3 2 10 2" xfId="2195"/>
    <cellStyle name="20% - Accent5 3 2 11" xfId="2196"/>
    <cellStyle name="20% - Accent5 3 2 11 2" xfId="2197"/>
    <cellStyle name="20% - Accent5 3 2 12" xfId="2198"/>
    <cellStyle name="20% - Accent5 3 2 12 2" xfId="2199"/>
    <cellStyle name="20% - Accent5 3 2 13" xfId="2200"/>
    <cellStyle name="20% - Accent5 3 2 13 2" xfId="2201"/>
    <cellStyle name="20% - Accent5 3 2 14" xfId="2202"/>
    <cellStyle name="20% - Accent5 3 2 14 2" xfId="2203"/>
    <cellStyle name="20% - Accent5 3 2 15" xfId="2204"/>
    <cellStyle name="20% - Accent5 3 2 15 2" xfId="2205"/>
    <cellStyle name="20% - Accent5 3 2 16" xfId="2206"/>
    <cellStyle name="20% - Accent5 3 2 16 2" xfId="2207"/>
    <cellStyle name="20% - Accent5 3 2 17" xfId="2208"/>
    <cellStyle name="20% - Accent5 3 2 17 2" xfId="2209"/>
    <cellStyle name="20% - Accent5 3 2 18" xfId="2210"/>
    <cellStyle name="20% - Accent5 3 2 18 2" xfId="2211"/>
    <cellStyle name="20% - Accent5 3 2 19" xfId="2212"/>
    <cellStyle name="20% - Accent5 3 2 19 2" xfId="2213"/>
    <cellStyle name="20% - Accent5 3 2 2" xfId="2214"/>
    <cellStyle name="20% - Accent5 3 2 2 2" xfId="2215"/>
    <cellStyle name="20% - Accent5 3 2 2 2 2" xfId="2216"/>
    <cellStyle name="20% - Accent5 3 2 2 3" xfId="2217"/>
    <cellStyle name="20% - Accent5 3 2 2 3 2" xfId="2218"/>
    <cellStyle name="20% - Accent5 3 2 2 4" xfId="2219"/>
    <cellStyle name="20% - Accent5 3 2 2 4 2" xfId="2220"/>
    <cellStyle name="20% - Accent5 3 2 2 5" xfId="2221"/>
    <cellStyle name="20% - Accent5 3 2 2 5 2" xfId="2222"/>
    <cellStyle name="20% - Accent5 3 2 2 6" xfId="2223"/>
    <cellStyle name="20% - Accent5 3 2 2 6 2" xfId="2224"/>
    <cellStyle name="20% - Accent5 3 2 2 7" xfId="2225"/>
    <cellStyle name="20% - Accent5 3 2 2 7 2" xfId="2226"/>
    <cellStyle name="20% - Accent5 3 2 2 8" xfId="2227"/>
    <cellStyle name="20% - Accent5 3 2 20" xfId="2228"/>
    <cellStyle name="20% - Accent5 3 2 20 2" xfId="2229"/>
    <cellStyle name="20% - Accent5 3 2 21" xfId="2230"/>
    <cellStyle name="20% - Accent5 3 2 21 2" xfId="2231"/>
    <cellStyle name="20% - Accent5 3 2 22" xfId="2232"/>
    <cellStyle name="20% - Accent5 3 2 22 2" xfId="2233"/>
    <cellStyle name="20% - Accent5 3 2 23" xfId="2234"/>
    <cellStyle name="20% - Accent5 3 2 23 2" xfId="2235"/>
    <cellStyle name="20% - Accent5 3 2 24" xfId="2236"/>
    <cellStyle name="20% - Accent5 3 2 3" xfId="2237"/>
    <cellStyle name="20% - Accent5 3 2 3 2" xfId="2238"/>
    <cellStyle name="20% - Accent5 3 2 3 2 2" xfId="2239"/>
    <cellStyle name="20% - Accent5 3 2 3 3" xfId="2240"/>
    <cellStyle name="20% - Accent5 3 2 3 3 2" xfId="2241"/>
    <cellStyle name="20% - Accent5 3 2 3 4" xfId="2242"/>
    <cellStyle name="20% - Accent5 3 2 3 4 2" xfId="2243"/>
    <cellStyle name="20% - Accent5 3 2 3 5" xfId="2244"/>
    <cellStyle name="20% - Accent5 3 2 3 5 2" xfId="2245"/>
    <cellStyle name="20% - Accent5 3 2 3 6" xfId="2246"/>
    <cellStyle name="20% - Accent5 3 2 3 6 2" xfId="2247"/>
    <cellStyle name="20% - Accent5 3 2 3 7" xfId="2248"/>
    <cellStyle name="20% - Accent5 3 2 3 7 2" xfId="2249"/>
    <cellStyle name="20% - Accent5 3 2 3 8" xfId="2250"/>
    <cellStyle name="20% - Accent5 3 2 4" xfId="2251"/>
    <cellStyle name="20% - Accent5 3 2 4 2" xfId="2252"/>
    <cellStyle name="20% - Accent5 3 2 5" xfId="2253"/>
    <cellStyle name="20% - Accent5 3 2 5 2" xfId="2254"/>
    <cellStyle name="20% - Accent5 3 2 6" xfId="2255"/>
    <cellStyle name="20% - Accent5 3 2 6 2" xfId="2256"/>
    <cellStyle name="20% - Accent5 3 2 7" xfId="2257"/>
    <cellStyle name="20% - Accent5 3 2 7 2" xfId="2258"/>
    <cellStyle name="20% - Accent5 3 2 8" xfId="2259"/>
    <cellStyle name="20% - Accent5 3 2 8 2" xfId="2260"/>
    <cellStyle name="20% - Accent5 3 2 9" xfId="2261"/>
    <cellStyle name="20% - Accent5 3 2 9 2" xfId="2262"/>
    <cellStyle name="20% - Accent5 3 20" xfId="2263"/>
    <cellStyle name="20% - Accent5 3 20 2" xfId="2264"/>
    <cellStyle name="20% - Accent5 3 21" xfId="2265"/>
    <cellStyle name="20% - Accent5 3 21 2" xfId="2266"/>
    <cellStyle name="20% - Accent5 3 22" xfId="2267"/>
    <cellStyle name="20% - Accent5 3 22 2" xfId="2268"/>
    <cellStyle name="20% - Accent5 3 23" xfId="2269"/>
    <cellStyle name="20% - Accent5 3 23 2" xfId="2270"/>
    <cellStyle name="20% - Accent5 3 24" xfId="2271"/>
    <cellStyle name="20% - Accent5 3 24 2" xfId="2272"/>
    <cellStyle name="20% - Accent5 3 25" xfId="2273"/>
    <cellStyle name="20% - Accent5 3 25 2" xfId="2274"/>
    <cellStyle name="20% - Accent5 3 26" xfId="2275"/>
    <cellStyle name="20% - Accent5 3 26 2" xfId="2276"/>
    <cellStyle name="20% - Accent5 3 27" xfId="2277"/>
    <cellStyle name="20% - Accent5 3 27 2" xfId="2278"/>
    <cellStyle name="20% - Accent5 3 28" xfId="2279"/>
    <cellStyle name="20% - Accent5 3 28 2" xfId="2280"/>
    <cellStyle name="20% - Accent5 3 29" xfId="2281"/>
    <cellStyle name="20% - Accent5 3 29 2" xfId="2282"/>
    <cellStyle name="20% - Accent5 3 3" xfId="2283"/>
    <cellStyle name="20% - Accent5 3 3 10" xfId="2284"/>
    <cellStyle name="20% - Accent5 3 3 2" xfId="2285"/>
    <cellStyle name="20% - Accent5 3 3 2 2" xfId="2286"/>
    <cellStyle name="20% - Accent5 3 3 2 2 2" xfId="2287"/>
    <cellStyle name="20% - Accent5 3 3 2 3" xfId="2288"/>
    <cellStyle name="20% - Accent5 3 3 2 3 2" xfId="2289"/>
    <cellStyle name="20% - Accent5 3 3 2 4" xfId="2290"/>
    <cellStyle name="20% - Accent5 3 3 2 4 2" xfId="2291"/>
    <cellStyle name="20% - Accent5 3 3 2 5" xfId="2292"/>
    <cellStyle name="20% - Accent5 3 3 2 5 2" xfId="2293"/>
    <cellStyle name="20% - Accent5 3 3 2 6" xfId="2294"/>
    <cellStyle name="20% - Accent5 3 3 2 6 2" xfId="2295"/>
    <cellStyle name="20% - Accent5 3 3 2 7" xfId="2296"/>
    <cellStyle name="20% - Accent5 3 3 2 7 2" xfId="2297"/>
    <cellStyle name="20% - Accent5 3 3 2 8" xfId="2298"/>
    <cellStyle name="20% - Accent5 3 3 3" xfId="2299"/>
    <cellStyle name="20% - Accent5 3 3 3 2" xfId="2300"/>
    <cellStyle name="20% - Accent5 3 3 4" xfId="2301"/>
    <cellStyle name="20% - Accent5 3 3 4 2" xfId="2302"/>
    <cellStyle name="20% - Accent5 3 3 5" xfId="2303"/>
    <cellStyle name="20% - Accent5 3 3 5 2" xfId="2304"/>
    <cellStyle name="20% - Accent5 3 3 6" xfId="2305"/>
    <cellStyle name="20% - Accent5 3 3 6 2" xfId="2306"/>
    <cellStyle name="20% - Accent5 3 3 7" xfId="2307"/>
    <cellStyle name="20% - Accent5 3 3 7 2" xfId="2308"/>
    <cellStyle name="20% - Accent5 3 3 8" xfId="2309"/>
    <cellStyle name="20% - Accent5 3 3 8 2" xfId="2310"/>
    <cellStyle name="20% - Accent5 3 3 9" xfId="2311"/>
    <cellStyle name="20% - Accent5 3 3 9 2" xfId="2312"/>
    <cellStyle name="20% - Accent5 3 30" xfId="2313"/>
    <cellStyle name="20% - Accent5 3 30 2" xfId="2314"/>
    <cellStyle name="20% - Accent5 3 31" xfId="2315"/>
    <cellStyle name="20% - Accent5 3 31 2" xfId="2316"/>
    <cellStyle name="20% - Accent5 3 32" xfId="2317"/>
    <cellStyle name="20% - Accent5 3 32 2" xfId="2318"/>
    <cellStyle name="20% - Accent5 3 33" xfId="2319"/>
    <cellStyle name="20% - Accent5 3 33 2" xfId="2320"/>
    <cellStyle name="20% - Accent5 3 34" xfId="2321"/>
    <cellStyle name="20% - Accent5 3 34 2" xfId="2322"/>
    <cellStyle name="20% - Accent5 3 35" xfId="2323"/>
    <cellStyle name="20% - Accent5 3 35 2" xfId="2324"/>
    <cellStyle name="20% - Accent5 3 36" xfId="2325"/>
    <cellStyle name="20% - Accent5 3 36 2" xfId="2326"/>
    <cellStyle name="20% - Accent5 3 37" xfId="2327"/>
    <cellStyle name="20% - Accent5 3 37 2" xfId="2328"/>
    <cellStyle name="20% - Accent5 3 38" xfId="2329"/>
    <cellStyle name="20% - Accent5 3 38 2" xfId="2330"/>
    <cellStyle name="20% - Accent5 3 39" xfId="2331"/>
    <cellStyle name="20% - Accent5 3 39 2" xfId="2332"/>
    <cellStyle name="20% - Accent5 3 4" xfId="2333"/>
    <cellStyle name="20% - Accent5 3 4 10" xfId="2334"/>
    <cellStyle name="20% - Accent5 3 4 2" xfId="2335"/>
    <cellStyle name="20% - Accent5 3 4 2 2" xfId="2336"/>
    <cellStyle name="20% - Accent5 3 4 3" xfId="2337"/>
    <cellStyle name="20% - Accent5 3 4 3 2" xfId="2338"/>
    <cellStyle name="20% - Accent5 3 4 4" xfId="2339"/>
    <cellStyle name="20% - Accent5 3 4 4 2" xfId="2340"/>
    <cellStyle name="20% - Accent5 3 4 5" xfId="2341"/>
    <cellStyle name="20% - Accent5 3 4 5 2" xfId="2342"/>
    <cellStyle name="20% - Accent5 3 4 6" xfId="2343"/>
    <cellStyle name="20% - Accent5 3 4 6 2" xfId="2344"/>
    <cellStyle name="20% - Accent5 3 4 7" xfId="2345"/>
    <cellStyle name="20% - Accent5 3 4 7 2" xfId="2346"/>
    <cellStyle name="20% - Accent5 3 4 8" xfId="2347"/>
    <cellStyle name="20% - Accent5 3 4 8 2" xfId="2348"/>
    <cellStyle name="20% - Accent5 3 4 9" xfId="2349"/>
    <cellStyle name="20% - Accent5 3 4 9 2" xfId="2350"/>
    <cellStyle name="20% - Accent5 3 40" xfId="2351"/>
    <cellStyle name="20% - Accent5 3 40 2" xfId="2352"/>
    <cellStyle name="20% - Accent5 3 41" xfId="2353"/>
    <cellStyle name="20% - Accent5 3 41 2" xfId="2354"/>
    <cellStyle name="20% - Accent5 3 42" xfId="2355"/>
    <cellStyle name="20% - Accent5 3 42 2" xfId="2356"/>
    <cellStyle name="20% - Accent5 3 43" xfId="2357"/>
    <cellStyle name="20% - Accent5 3 43 2" xfId="2358"/>
    <cellStyle name="20% - Accent5 3 44" xfId="2359"/>
    <cellStyle name="20% - Accent5 3 44 2" xfId="2360"/>
    <cellStyle name="20% - Accent5 3 45" xfId="2361"/>
    <cellStyle name="20% - Accent5 3 45 2" xfId="2362"/>
    <cellStyle name="20% - Accent5 3 46" xfId="2363"/>
    <cellStyle name="20% - Accent5 3 46 2" xfId="2364"/>
    <cellStyle name="20% - Accent5 3 47" xfId="2365"/>
    <cellStyle name="20% - Accent5 3 47 2" xfId="2366"/>
    <cellStyle name="20% - Accent5 3 48" xfId="2367"/>
    <cellStyle name="20% - Accent5 3 48 2" xfId="2368"/>
    <cellStyle name="20% - Accent5 3 49" xfId="2369"/>
    <cellStyle name="20% - Accent5 3 49 2" xfId="2370"/>
    <cellStyle name="20% - Accent5 3 5" xfId="2371"/>
    <cellStyle name="20% - Accent5 3 5 10" xfId="2372"/>
    <cellStyle name="20% - Accent5 3 5 2" xfId="2373"/>
    <cellStyle name="20% - Accent5 3 5 2 2" xfId="2374"/>
    <cellStyle name="20% - Accent5 3 5 3" xfId="2375"/>
    <cellStyle name="20% - Accent5 3 5 3 2" xfId="2376"/>
    <cellStyle name="20% - Accent5 3 5 4" xfId="2377"/>
    <cellStyle name="20% - Accent5 3 5 4 2" xfId="2378"/>
    <cellStyle name="20% - Accent5 3 5 5" xfId="2379"/>
    <cellStyle name="20% - Accent5 3 5 5 2" xfId="2380"/>
    <cellStyle name="20% - Accent5 3 5 6" xfId="2381"/>
    <cellStyle name="20% - Accent5 3 5 6 2" xfId="2382"/>
    <cellStyle name="20% - Accent5 3 5 7" xfId="2383"/>
    <cellStyle name="20% - Accent5 3 5 7 2" xfId="2384"/>
    <cellStyle name="20% - Accent5 3 5 8" xfId="2385"/>
    <cellStyle name="20% - Accent5 3 5 8 2" xfId="2386"/>
    <cellStyle name="20% - Accent5 3 5 9" xfId="2387"/>
    <cellStyle name="20% - Accent5 3 5 9 2" xfId="2388"/>
    <cellStyle name="20% - Accent5 3 50" xfId="2389"/>
    <cellStyle name="20% - Accent5 3 50 2" xfId="2390"/>
    <cellStyle name="20% - Accent5 3 51" xfId="2391"/>
    <cellStyle name="20% - Accent5 3 51 2" xfId="2392"/>
    <cellStyle name="20% - Accent5 3 52" xfId="2393"/>
    <cellStyle name="20% - Accent5 3 52 2" xfId="2394"/>
    <cellStyle name="20% - Accent5 3 53" xfId="2395"/>
    <cellStyle name="20% - Accent5 3 53 2" xfId="2396"/>
    <cellStyle name="20% - Accent5 3 54" xfId="2397"/>
    <cellStyle name="20% - Accent5 3 54 2" xfId="2398"/>
    <cellStyle name="20% - Accent5 3 55" xfId="2399"/>
    <cellStyle name="20% - Accent5 3 55 2" xfId="2400"/>
    <cellStyle name="20% - Accent5 3 56" xfId="2401"/>
    <cellStyle name="20% - Accent5 3 56 2" xfId="2402"/>
    <cellStyle name="20% - Accent5 3 57" xfId="2403"/>
    <cellStyle name="20% - Accent5 3 6" xfId="2404"/>
    <cellStyle name="20% - Accent5 3 6 10" xfId="2405"/>
    <cellStyle name="20% - Accent5 3 6 2" xfId="2406"/>
    <cellStyle name="20% - Accent5 3 6 2 2" xfId="2407"/>
    <cellStyle name="20% - Accent5 3 6 3" xfId="2408"/>
    <cellStyle name="20% - Accent5 3 6 3 2" xfId="2409"/>
    <cellStyle name="20% - Accent5 3 6 4" xfId="2410"/>
    <cellStyle name="20% - Accent5 3 6 4 2" xfId="2411"/>
    <cellStyle name="20% - Accent5 3 6 5" xfId="2412"/>
    <cellStyle name="20% - Accent5 3 6 5 2" xfId="2413"/>
    <cellStyle name="20% - Accent5 3 6 6" xfId="2414"/>
    <cellStyle name="20% - Accent5 3 6 6 2" xfId="2415"/>
    <cellStyle name="20% - Accent5 3 6 7" xfId="2416"/>
    <cellStyle name="20% - Accent5 3 6 7 2" xfId="2417"/>
    <cellStyle name="20% - Accent5 3 6 8" xfId="2418"/>
    <cellStyle name="20% - Accent5 3 6 8 2" xfId="2419"/>
    <cellStyle name="20% - Accent5 3 6 9" xfId="2420"/>
    <cellStyle name="20% - Accent5 3 6 9 2" xfId="2421"/>
    <cellStyle name="20% - Accent5 3 7" xfId="2422"/>
    <cellStyle name="20% - Accent5 3 7 10" xfId="2423"/>
    <cellStyle name="20% - Accent5 3 7 2" xfId="2424"/>
    <cellStyle name="20% - Accent5 3 7 2 2" xfId="2425"/>
    <cellStyle name="20% - Accent5 3 7 3" xfId="2426"/>
    <cellStyle name="20% - Accent5 3 7 3 2" xfId="2427"/>
    <cellStyle name="20% - Accent5 3 7 4" xfId="2428"/>
    <cellStyle name="20% - Accent5 3 7 4 2" xfId="2429"/>
    <cellStyle name="20% - Accent5 3 7 5" xfId="2430"/>
    <cellStyle name="20% - Accent5 3 7 5 2" xfId="2431"/>
    <cellStyle name="20% - Accent5 3 7 6" xfId="2432"/>
    <cellStyle name="20% - Accent5 3 7 6 2" xfId="2433"/>
    <cellStyle name="20% - Accent5 3 7 7" xfId="2434"/>
    <cellStyle name="20% - Accent5 3 7 7 2" xfId="2435"/>
    <cellStyle name="20% - Accent5 3 7 8" xfId="2436"/>
    <cellStyle name="20% - Accent5 3 7 8 2" xfId="2437"/>
    <cellStyle name="20% - Accent5 3 7 9" xfId="2438"/>
    <cellStyle name="20% - Accent5 3 7 9 2" xfId="2439"/>
    <cellStyle name="20% - Accent5 3 8" xfId="2440"/>
    <cellStyle name="20% - Accent5 3 8 10" xfId="2441"/>
    <cellStyle name="20% - Accent5 3 8 2" xfId="2442"/>
    <cellStyle name="20% - Accent5 3 8 2 2" xfId="2443"/>
    <cellStyle name="20% - Accent5 3 8 3" xfId="2444"/>
    <cellStyle name="20% - Accent5 3 8 3 2" xfId="2445"/>
    <cellStyle name="20% - Accent5 3 8 4" xfId="2446"/>
    <cellStyle name="20% - Accent5 3 8 4 2" xfId="2447"/>
    <cellStyle name="20% - Accent5 3 8 5" xfId="2448"/>
    <cellStyle name="20% - Accent5 3 8 5 2" xfId="2449"/>
    <cellStyle name="20% - Accent5 3 8 6" xfId="2450"/>
    <cellStyle name="20% - Accent5 3 8 6 2" xfId="2451"/>
    <cellStyle name="20% - Accent5 3 8 7" xfId="2452"/>
    <cellStyle name="20% - Accent5 3 8 7 2" xfId="2453"/>
    <cellStyle name="20% - Accent5 3 8 8" xfId="2454"/>
    <cellStyle name="20% - Accent5 3 8 8 2" xfId="2455"/>
    <cellStyle name="20% - Accent5 3 8 9" xfId="2456"/>
    <cellStyle name="20% - Accent5 3 8 9 2" xfId="2457"/>
    <cellStyle name="20% - Accent5 3 9" xfId="2458"/>
    <cellStyle name="20% - Accent5 3 9 10" xfId="2459"/>
    <cellStyle name="20% - Accent5 3 9 2" xfId="2460"/>
    <cellStyle name="20% - Accent5 3 9 2 2" xfId="2461"/>
    <cellStyle name="20% - Accent5 3 9 3" xfId="2462"/>
    <cellStyle name="20% - Accent5 3 9 3 2" xfId="2463"/>
    <cellStyle name="20% - Accent5 3 9 4" xfId="2464"/>
    <cellStyle name="20% - Accent5 3 9 4 2" xfId="2465"/>
    <cellStyle name="20% - Accent5 3 9 5" xfId="2466"/>
    <cellStyle name="20% - Accent5 3 9 5 2" xfId="2467"/>
    <cellStyle name="20% - Accent5 3 9 6" xfId="2468"/>
    <cellStyle name="20% - Accent5 3 9 6 2" xfId="2469"/>
    <cellStyle name="20% - Accent5 3 9 7" xfId="2470"/>
    <cellStyle name="20% - Accent5 3 9 7 2" xfId="2471"/>
    <cellStyle name="20% - Accent5 3 9 8" xfId="2472"/>
    <cellStyle name="20% - Accent5 3 9 8 2" xfId="2473"/>
    <cellStyle name="20% - Accent5 3 9 9" xfId="2474"/>
    <cellStyle name="20% - Accent5 3 9 9 2" xfId="2475"/>
    <cellStyle name="20% - Accent5 30" xfId="2476"/>
    <cellStyle name="20% - Accent5 30 2" xfId="2477"/>
    <cellStyle name="20% - Accent5 31" xfId="2478"/>
    <cellStyle name="20% - Accent5 31 2" xfId="2479"/>
    <cellStyle name="20% - Accent5 32" xfId="2480"/>
    <cellStyle name="20% - Accent5 32 2" xfId="2481"/>
    <cellStyle name="20% - Accent5 33" xfId="2482"/>
    <cellStyle name="20% - Accent5 33 2" xfId="2483"/>
    <cellStyle name="20% - Accent5 34" xfId="2484"/>
    <cellStyle name="20% - Accent5 34 2" xfId="2485"/>
    <cellStyle name="20% - Accent5 35" xfId="2486"/>
    <cellStyle name="20% - Accent5 35 2" xfId="2487"/>
    <cellStyle name="20% - Accent5 36" xfId="2488"/>
    <cellStyle name="20% - Accent5 36 2" xfId="2489"/>
    <cellStyle name="20% - Accent5 37" xfId="2490"/>
    <cellStyle name="20% - Accent5 37 2" xfId="2491"/>
    <cellStyle name="20% - Accent5 38" xfId="2492"/>
    <cellStyle name="20% - Accent5 38 2" xfId="2493"/>
    <cellStyle name="20% - Accent5 39" xfId="2494"/>
    <cellStyle name="20% - Accent5 4" xfId="2495"/>
    <cellStyle name="20% - Accent5 4 2" xfId="2496"/>
    <cellStyle name="20% - Accent5 4 2 2" xfId="2497"/>
    <cellStyle name="20% - Accent5 4 3" xfId="2498"/>
    <cellStyle name="20% - Accent5 4 3 2" xfId="2499"/>
    <cellStyle name="20% - Accent5 4 4" xfId="2500"/>
    <cellStyle name="20% - Accent5 4 4 2" xfId="2501"/>
    <cellStyle name="20% - Accent5 4 5" xfId="2502"/>
    <cellStyle name="20% - Accent5 4 5 2" xfId="2503"/>
    <cellStyle name="20% - Accent5 4 6" xfId="2504"/>
    <cellStyle name="20% - Accent5 4 6 2" xfId="2505"/>
    <cellStyle name="20% - Accent5 4 7" xfId="2506"/>
    <cellStyle name="20% - Accent5 4 7 2" xfId="2507"/>
    <cellStyle name="20% - Accent5 4 8" xfId="2508"/>
    <cellStyle name="20% - Accent5 4 8 2" xfId="2509"/>
    <cellStyle name="20% - Accent5 5" xfId="2510"/>
    <cellStyle name="20% - Accent5 5 10" xfId="2511"/>
    <cellStyle name="20% - Accent5 5 10 2" xfId="2512"/>
    <cellStyle name="20% - Accent5 5 11" xfId="2513"/>
    <cellStyle name="20% - Accent5 5 11 2" xfId="2514"/>
    <cellStyle name="20% - Accent5 5 12" xfId="2515"/>
    <cellStyle name="20% - Accent5 5 12 2" xfId="2516"/>
    <cellStyle name="20% - Accent5 5 13" xfId="2517"/>
    <cellStyle name="20% - Accent5 5 13 2" xfId="2518"/>
    <cellStyle name="20% - Accent5 5 14" xfId="2519"/>
    <cellStyle name="20% - Accent5 5 2" xfId="2520"/>
    <cellStyle name="20% - Accent5 5 2 2" xfId="2521"/>
    <cellStyle name="20% - Accent5 5 2 3" xfId="2522"/>
    <cellStyle name="20% - Accent5 5 2 4" xfId="2523"/>
    <cellStyle name="20% - Accent5 5 2 5" xfId="2524"/>
    <cellStyle name="20% - Accent5 5 2 6" xfId="2525"/>
    <cellStyle name="20% - Accent5 5 3" xfId="2526"/>
    <cellStyle name="20% - Accent5 5 4" xfId="2527"/>
    <cellStyle name="20% - Accent5 5 5" xfId="2528"/>
    <cellStyle name="20% - Accent5 5 6" xfId="2529"/>
    <cellStyle name="20% - Accent5 5 7" xfId="2530"/>
    <cellStyle name="20% - Accent5 5 8" xfId="2531"/>
    <cellStyle name="20% - Accent5 5 8 2" xfId="2532"/>
    <cellStyle name="20% - Accent5 5 9" xfId="2533"/>
    <cellStyle name="20% - Accent5 5 9 2" xfId="2534"/>
    <cellStyle name="20% - Accent5 6" xfId="2535"/>
    <cellStyle name="20% - Accent5 6 2" xfId="2536"/>
    <cellStyle name="20% - Accent5 6 2 2" xfId="2537"/>
    <cellStyle name="20% - Accent5 6 2 3" xfId="2538"/>
    <cellStyle name="20% - Accent5 6 2 4" xfId="2539"/>
    <cellStyle name="20% - Accent5 6 2 5" xfId="2540"/>
    <cellStyle name="20% - Accent5 6 2 6" xfId="2541"/>
    <cellStyle name="20% - Accent5 6 3" xfId="2542"/>
    <cellStyle name="20% - Accent5 6 4" xfId="2543"/>
    <cellStyle name="20% - Accent5 6 5" xfId="2544"/>
    <cellStyle name="20% - Accent5 6 6" xfId="2545"/>
    <cellStyle name="20% - Accent5 6 7" xfId="2546"/>
    <cellStyle name="20% - Accent5 6 8" xfId="2547"/>
    <cellStyle name="20% - Accent5 6 9" xfId="2548"/>
    <cellStyle name="20% - Accent5 7" xfId="2549"/>
    <cellStyle name="20% - Accent5 7 2" xfId="2550"/>
    <cellStyle name="20% - Accent5 7 3" xfId="2551"/>
    <cellStyle name="20% - Accent5 7 4" xfId="2552"/>
    <cellStyle name="20% - Accent5 7 5" xfId="2553"/>
    <cellStyle name="20% - Accent5 8" xfId="2554"/>
    <cellStyle name="20% - Accent5 8 2" xfId="2555"/>
    <cellStyle name="20% - Accent5 8 3" xfId="2556"/>
    <cellStyle name="20% - Accent5 8 4" xfId="2557"/>
    <cellStyle name="20% - Accent5 8 5" xfId="2558"/>
    <cellStyle name="20% - Accent5 9" xfId="2559"/>
    <cellStyle name="20% - Accent5 9 2" xfId="2560"/>
    <cellStyle name="20% - Accent5 9 3" xfId="2561"/>
    <cellStyle name="20% - Accent5 9 4" xfId="2562"/>
    <cellStyle name="20% - Accent5 9 5" xfId="2563"/>
    <cellStyle name="20% - Accent6 10" xfId="2564"/>
    <cellStyle name="20% - Accent6 10 2" xfId="2565"/>
    <cellStyle name="20% - Accent6 10 3" xfId="2566"/>
    <cellStyle name="20% - Accent6 10 4" xfId="2567"/>
    <cellStyle name="20% - Accent6 11" xfId="2568"/>
    <cellStyle name="20% - Accent6 11 2" xfId="2569"/>
    <cellStyle name="20% - Accent6 11 3" xfId="2570"/>
    <cellStyle name="20% - Accent6 11 4" xfId="2571"/>
    <cellStyle name="20% - Accent6 12" xfId="2572"/>
    <cellStyle name="20% - Accent6 12 2" xfId="2573"/>
    <cellStyle name="20% - Accent6 12 3" xfId="2574"/>
    <cellStyle name="20% - Accent6 12 4" xfId="2575"/>
    <cellStyle name="20% - Accent6 13" xfId="2576"/>
    <cellStyle name="20% - Accent6 13 2" xfId="2577"/>
    <cellStyle name="20% - Accent6 13 3" xfId="2578"/>
    <cellStyle name="20% - Accent6 13 4" xfId="2579"/>
    <cellStyle name="20% - Accent6 14" xfId="2580"/>
    <cellStyle name="20% - Accent6 14 2" xfId="2581"/>
    <cellStyle name="20% - Accent6 14 3" xfId="2582"/>
    <cellStyle name="20% - Accent6 14 4" xfId="2583"/>
    <cellStyle name="20% - Accent6 15" xfId="2584"/>
    <cellStyle name="20% - Accent6 15 2" xfId="2585"/>
    <cellStyle name="20% - Accent6 15 3" xfId="2586"/>
    <cellStyle name="20% - Accent6 15 4" xfId="2587"/>
    <cellStyle name="20% - Accent6 16" xfId="2588"/>
    <cellStyle name="20% - Accent6 16 2" xfId="2589"/>
    <cellStyle name="20% - Accent6 17" xfId="2590"/>
    <cellStyle name="20% - Accent6 17 2" xfId="2591"/>
    <cellStyle name="20% - Accent6 18" xfId="2592"/>
    <cellStyle name="20% - Accent6 18 2" xfId="2593"/>
    <cellStyle name="20% - Accent6 19" xfId="2594"/>
    <cellStyle name="20% - Accent6 19 2" xfId="2595"/>
    <cellStyle name="20% - Accent6 2" xfId="2596"/>
    <cellStyle name="20% - Accent6 2 10" xfId="2597"/>
    <cellStyle name="20% - Accent6 2 10 2" xfId="2598"/>
    <cellStyle name="20% - Accent6 2 11" xfId="2599"/>
    <cellStyle name="20% - Accent6 2 11 2" xfId="2600"/>
    <cellStyle name="20% - Accent6 2 12" xfId="2601"/>
    <cellStyle name="20% - Accent6 2 12 2" xfId="2602"/>
    <cellStyle name="20% - Accent6 2 13" xfId="2603"/>
    <cellStyle name="20% - Accent6 2 13 2" xfId="2604"/>
    <cellStyle name="20% - Accent6 2 14" xfId="2605"/>
    <cellStyle name="20% - Accent6 2 14 2" xfId="2606"/>
    <cellStyle name="20% - Accent6 2 2" xfId="2607"/>
    <cellStyle name="20% - Accent6 2 3" xfId="2608"/>
    <cellStyle name="20% - Accent6 2 4" xfId="2609"/>
    <cellStyle name="20% - Accent6 2 5" xfId="2610"/>
    <cellStyle name="20% - Accent6 2 6" xfId="2611"/>
    <cellStyle name="20% - Accent6 2 7" xfId="2612"/>
    <cellStyle name="20% - Accent6 2 8" xfId="2613"/>
    <cellStyle name="20% - Accent6 2 9" xfId="2614"/>
    <cellStyle name="20% - Accent6 2 9 2" xfId="2615"/>
    <cellStyle name="20% - Accent6 20" xfId="2616"/>
    <cellStyle name="20% - Accent6 20 2" xfId="2617"/>
    <cellStyle name="20% - Accent6 21" xfId="2618"/>
    <cellStyle name="20% - Accent6 21 2" xfId="2619"/>
    <cellStyle name="20% - Accent6 22" xfId="2620"/>
    <cellStyle name="20% - Accent6 22 2" xfId="2621"/>
    <cellStyle name="20% - Accent6 23" xfId="2622"/>
    <cellStyle name="20% - Accent6 23 2" xfId="2623"/>
    <cellStyle name="20% - Accent6 24" xfId="2624"/>
    <cellStyle name="20% - Accent6 24 2" xfId="2625"/>
    <cellStyle name="20% - Accent6 25" xfId="2626"/>
    <cellStyle name="20% - Accent6 25 2" xfId="2627"/>
    <cellStyle name="20% - Accent6 26" xfId="2628"/>
    <cellStyle name="20% - Accent6 26 2" xfId="2629"/>
    <cellStyle name="20% - Accent6 27" xfId="2630"/>
    <cellStyle name="20% - Accent6 27 2" xfId="2631"/>
    <cellStyle name="20% - Accent6 28" xfId="2632"/>
    <cellStyle name="20% - Accent6 28 2" xfId="2633"/>
    <cellStyle name="20% - Accent6 29" xfId="2634"/>
    <cellStyle name="20% - Accent6 29 2" xfId="2635"/>
    <cellStyle name="20% - Accent6 3" xfId="2636"/>
    <cellStyle name="20% - Accent6 3 10" xfId="2637"/>
    <cellStyle name="20% - Accent6 3 10 10" xfId="2638"/>
    <cellStyle name="20% - Accent6 3 10 2" xfId="2639"/>
    <cellStyle name="20% - Accent6 3 10 2 2" xfId="2640"/>
    <cellStyle name="20% - Accent6 3 10 3" xfId="2641"/>
    <cellStyle name="20% - Accent6 3 10 3 2" xfId="2642"/>
    <cellStyle name="20% - Accent6 3 10 4" xfId="2643"/>
    <cellStyle name="20% - Accent6 3 10 4 2" xfId="2644"/>
    <cellStyle name="20% - Accent6 3 10 5" xfId="2645"/>
    <cellStyle name="20% - Accent6 3 10 5 2" xfId="2646"/>
    <cellStyle name="20% - Accent6 3 10 6" xfId="2647"/>
    <cellStyle name="20% - Accent6 3 10 6 2" xfId="2648"/>
    <cellStyle name="20% - Accent6 3 10 7" xfId="2649"/>
    <cellStyle name="20% - Accent6 3 10 7 2" xfId="2650"/>
    <cellStyle name="20% - Accent6 3 10 8" xfId="2651"/>
    <cellStyle name="20% - Accent6 3 10 8 2" xfId="2652"/>
    <cellStyle name="20% - Accent6 3 10 9" xfId="2653"/>
    <cellStyle name="20% - Accent6 3 10 9 2" xfId="2654"/>
    <cellStyle name="20% - Accent6 3 11" xfId="2655"/>
    <cellStyle name="20% - Accent6 3 11 10" xfId="2656"/>
    <cellStyle name="20% - Accent6 3 11 2" xfId="2657"/>
    <cellStyle name="20% - Accent6 3 11 2 2" xfId="2658"/>
    <cellStyle name="20% - Accent6 3 11 3" xfId="2659"/>
    <cellStyle name="20% - Accent6 3 11 3 2" xfId="2660"/>
    <cellStyle name="20% - Accent6 3 11 4" xfId="2661"/>
    <cellStyle name="20% - Accent6 3 11 4 2" xfId="2662"/>
    <cellStyle name="20% - Accent6 3 11 5" xfId="2663"/>
    <cellStyle name="20% - Accent6 3 11 5 2" xfId="2664"/>
    <cellStyle name="20% - Accent6 3 11 6" xfId="2665"/>
    <cellStyle name="20% - Accent6 3 11 6 2" xfId="2666"/>
    <cellStyle name="20% - Accent6 3 11 7" xfId="2667"/>
    <cellStyle name="20% - Accent6 3 11 7 2" xfId="2668"/>
    <cellStyle name="20% - Accent6 3 11 8" xfId="2669"/>
    <cellStyle name="20% - Accent6 3 11 8 2" xfId="2670"/>
    <cellStyle name="20% - Accent6 3 11 9" xfId="2671"/>
    <cellStyle name="20% - Accent6 3 11 9 2" xfId="2672"/>
    <cellStyle name="20% - Accent6 3 12" xfId="2673"/>
    <cellStyle name="20% - Accent6 3 12 10" xfId="2674"/>
    <cellStyle name="20% - Accent6 3 12 2" xfId="2675"/>
    <cellStyle name="20% - Accent6 3 12 2 2" xfId="2676"/>
    <cellStyle name="20% - Accent6 3 12 3" xfId="2677"/>
    <cellStyle name="20% - Accent6 3 12 3 2" xfId="2678"/>
    <cellStyle name="20% - Accent6 3 12 4" xfId="2679"/>
    <cellStyle name="20% - Accent6 3 12 4 2" xfId="2680"/>
    <cellStyle name="20% - Accent6 3 12 5" xfId="2681"/>
    <cellStyle name="20% - Accent6 3 12 5 2" xfId="2682"/>
    <cellStyle name="20% - Accent6 3 12 6" xfId="2683"/>
    <cellStyle name="20% - Accent6 3 12 6 2" xfId="2684"/>
    <cellStyle name="20% - Accent6 3 12 7" xfId="2685"/>
    <cellStyle name="20% - Accent6 3 12 7 2" xfId="2686"/>
    <cellStyle name="20% - Accent6 3 12 8" xfId="2687"/>
    <cellStyle name="20% - Accent6 3 12 8 2" xfId="2688"/>
    <cellStyle name="20% - Accent6 3 12 9" xfId="2689"/>
    <cellStyle name="20% - Accent6 3 12 9 2" xfId="2690"/>
    <cellStyle name="20% - Accent6 3 13" xfId="2691"/>
    <cellStyle name="20% - Accent6 3 13 2" xfId="2692"/>
    <cellStyle name="20% - Accent6 3 14" xfId="2693"/>
    <cellStyle name="20% - Accent6 3 14 2" xfId="2694"/>
    <cellStyle name="20% - Accent6 3 15" xfId="2695"/>
    <cellStyle name="20% - Accent6 3 15 2" xfId="2696"/>
    <cellStyle name="20% - Accent6 3 16" xfId="2697"/>
    <cellStyle name="20% - Accent6 3 16 2" xfId="2698"/>
    <cellStyle name="20% - Accent6 3 17" xfId="2699"/>
    <cellStyle name="20% - Accent6 3 17 2" xfId="2700"/>
    <cellStyle name="20% - Accent6 3 18" xfId="2701"/>
    <cellStyle name="20% - Accent6 3 18 2" xfId="2702"/>
    <cellStyle name="20% - Accent6 3 19" xfId="2703"/>
    <cellStyle name="20% - Accent6 3 19 2" xfId="2704"/>
    <cellStyle name="20% - Accent6 3 2" xfId="2705"/>
    <cellStyle name="20% - Accent6 3 2 10" xfId="2706"/>
    <cellStyle name="20% - Accent6 3 2 10 2" xfId="2707"/>
    <cellStyle name="20% - Accent6 3 2 11" xfId="2708"/>
    <cellStyle name="20% - Accent6 3 2 11 2" xfId="2709"/>
    <cellStyle name="20% - Accent6 3 2 12" xfId="2710"/>
    <cellStyle name="20% - Accent6 3 2 12 2" xfId="2711"/>
    <cellStyle name="20% - Accent6 3 2 13" xfId="2712"/>
    <cellStyle name="20% - Accent6 3 2 13 2" xfId="2713"/>
    <cellStyle name="20% - Accent6 3 2 14" xfId="2714"/>
    <cellStyle name="20% - Accent6 3 2 14 2" xfId="2715"/>
    <cellStyle name="20% - Accent6 3 2 15" xfId="2716"/>
    <cellStyle name="20% - Accent6 3 2 15 2" xfId="2717"/>
    <cellStyle name="20% - Accent6 3 2 16" xfId="2718"/>
    <cellStyle name="20% - Accent6 3 2 16 2" xfId="2719"/>
    <cellStyle name="20% - Accent6 3 2 17" xfId="2720"/>
    <cellStyle name="20% - Accent6 3 2 17 2" xfId="2721"/>
    <cellStyle name="20% - Accent6 3 2 18" xfId="2722"/>
    <cellStyle name="20% - Accent6 3 2 18 2" xfId="2723"/>
    <cellStyle name="20% - Accent6 3 2 19" xfId="2724"/>
    <cellStyle name="20% - Accent6 3 2 19 2" xfId="2725"/>
    <cellStyle name="20% - Accent6 3 2 2" xfId="2726"/>
    <cellStyle name="20% - Accent6 3 2 2 2" xfId="2727"/>
    <cellStyle name="20% - Accent6 3 2 2 2 2" xfId="2728"/>
    <cellStyle name="20% - Accent6 3 2 2 3" xfId="2729"/>
    <cellStyle name="20% - Accent6 3 2 2 3 2" xfId="2730"/>
    <cellStyle name="20% - Accent6 3 2 2 4" xfId="2731"/>
    <cellStyle name="20% - Accent6 3 2 2 4 2" xfId="2732"/>
    <cellStyle name="20% - Accent6 3 2 2 5" xfId="2733"/>
    <cellStyle name="20% - Accent6 3 2 2 5 2" xfId="2734"/>
    <cellStyle name="20% - Accent6 3 2 2 6" xfId="2735"/>
    <cellStyle name="20% - Accent6 3 2 2 6 2" xfId="2736"/>
    <cellStyle name="20% - Accent6 3 2 2 7" xfId="2737"/>
    <cellStyle name="20% - Accent6 3 2 2 7 2" xfId="2738"/>
    <cellStyle name="20% - Accent6 3 2 2 8" xfId="2739"/>
    <cellStyle name="20% - Accent6 3 2 20" xfId="2740"/>
    <cellStyle name="20% - Accent6 3 2 20 2" xfId="2741"/>
    <cellStyle name="20% - Accent6 3 2 21" xfId="2742"/>
    <cellStyle name="20% - Accent6 3 2 21 2" xfId="2743"/>
    <cellStyle name="20% - Accent6 3 2 22" xfId="2744"/>
    <cellStyle name="20% - Accent6 3 2 22 2" xfId="2745"/>
    <cellStyle name="20% - Accent6 3 2 23" xfId="2746"/>
    <cellStyle name="20% - Accent6 3 2 23 2" xfId="2747"/>
    <cellStyle name="20% - Accent6 3 2 24" xfId="2748"/>
    <cellStyle name="20% - Accent6 3 2 3" xfId="2749"/>
    <cellStyle name="20% - Accent6 3 2 3 2" xfId="2750"/>
    <cellStyle name="20% - Accent6 3 2 3 2 2" xfId="2751"/>
    <cellStyle name="20% - Accent6 3 2 3 3" xfId="2752"/>
    <cellStyle name="20% - Accent6 3 2 3 3 2" xfId="2753"/>
    <cellStyle name="20% - Accent6 3 2 3 4" xfId="2754"/>
    <cellStyle name="20% - Accent6 3 2 3 4 2" xfId="2755"/>
    <cellStyle name="20% - Accent6 3 2 3 5" xfId="2756"/>
    <cellStyle name="20% - Accent6 3 2 3 5 2" xfId="2757"/>
    <cellStyle name="20% - Accent6 3 2 3 6" xfId="2758"/>
    <cellStyle name="20% - Accent6 3 2 3 6 2" xfId="2759"/>
    <cellStyle name="20% - Accent6 3 2 3 7" xfId="2760"/>
    <cellStyle name="20% - Accent6 3 2 3 7 2" xfId="2761"/>
    <cellStyle name="20% - Accent6 3 2 3 8" xfId="2762"/>
    <cellStyle name="20% - Accent6 3 2 4" xfId="2763"/>
    <cellStyle name="20% - Accent6 3 2 4 2" xfId="2764"/>
    <cellStyle name="20% - Accent6 3 2 5" xfId="2765"/>
    <cellStyle name="20% - Accent6 3 2 5 2" xfId="2766"/>
    <cellStyle name="20% - Accent6 3 2 6" xfId="2767"/>
    <cellStyle name="20% - Accent6 3 2 6 2" xfId="2768"/>
    <cellStyle name="20% - Accent6 3 2 7" xfId="2769"/>
    <cellStyle name="20% - Accent6 3 2 7 2" xfId="2770"/>
    <cellStyle name="20% - Accent6 3 2 8" xfId="2771"/>
    <cellStyle name="20% - Accent6 3 2 8 2" xfId="2772"/>
    <cellStyle name="20% - Accent6 3 2 9" xfId="2773"/>
    <cellStyle name="20% - Accent6 3 2 9 2" xfId="2774"/>
    <cellStyle name="20% - Accent6 3 20" xfId="2775"/>
    <cellStyle name="20% - Accent6 3 20 2" xfId="2776"/>
    <cellStyle name="20% - Accent6 3 21" xfId="2777"/>
    <cellStyle name="20% - Accent6 3 21 2" xfId="2778"/>
    <cellStyle name="20% - Accent6 3 22" xfId="2779"/>
    <cellStyle name="20% - Accent6 3 22 2" xfId="2780"/>
    <cellStyle name="20% - Accent6 3 23" xfId="2781"/>
    <cellStyle name="20% - Accent6 3 23 2" xfId="2782"/>
    <cellStyle name="20% - Accent6 3 24" xfId="2783"/>
    <cellStyle name="20% - Accent6 3 24 2" xfId="2784"/>
    <cellStyle name="20% - Accent6 3 25" xfId="2785"/>
    <cellStyle name="20% - Accent6 3 25 2" xfId="2786"/>
    <cellStyle name="20% - Accent6 3 26" xfId="2787"/>
    <cellStyle name="20% - Accent6 3 26 2" xfId="2788"/>
    <cellStyle name="20% - Accent6 3 27" xfId="2789"/>
    <cellStyle name="20% - Accent6 3 27 2" xfId="2790"/>
    <cellStyle name="20% - Accent6 3 28" xfId="2791"/>
    <cellStyle name="20% - Accent6 3 28 2" xfId="2792"/>
    <cellStyle name="20% - Accent6 3 29" xfId="2793"/>
    <cellStyle name="20% - Accent6 3 29 2" xfId="2794"/>
    <cellStyle name="20% - Accent6 3 3" xfId="2795"/>
    <cellStyle name="20% - Accent6 3 3 10" xfId="2796"/>
    <cellStyle name="20% - Accent6 3 3 2" xfId="2797"/>
    <cellStyle name="20% - Accent6 3 3 2 2" xfId="2798"/>
    <cellStyle name="20% - Accent6 3 3 2 2 2" xfId="2799"/>
    <cellStyle name="20% - Accent6 3 3 2 3" xfId="2800"/>
    <cellStyle name="20% - Accent6 3 3 2 3 2" xfId="2801"/>
    <cellStyle name="20% - Accent6 3 3 2 4" xfId="2802"/>
    <cellStyle name="20% - Accent6 3 3 2 4 2" xfId="2803"/>
    <cellStyle name="20% - Accent6 3 3 2 5" xfId="2804"/>
    <cellStyle name="20% - Accent6 3 3 2 5 2" xfId="2805"/>
    <cellStyle name="20% - Accent6 3 3 2 6" xfId="2806"/>
    <cellStyle name="20% - Accent6 3 3 2 6 2" xfId="2807"/>
    <cellStyle name="20% - Accent6 3 3 2 7" xfId="2808"/>
    <cellStyle name="20% - Accent6 3 3 2 7 2" xfId="2809"/>
    <cellStyle name="20% - Accent6 3 3 2 8" xfId="2810"/>
    <cellStyle name="20% - Accent6 3 3 3" xfId="2811"/>
    <cellStyle name="20% - Accent6 3 3 3 2" xfId="2812"/>
    <cellStyle name="20% - Accent6 3 3 4" xfId="2813"/>
    <cellStyle name="20% - Accent6 3 3 4 2" xfId="2814"/>
    <cellStyle name="20% - Accent6 3 3 5" xfId="2815"/>
    <cellStyle name="20% - Accent6 3 3 5 2" xfId="2816"/>
    <cellStyle name="20% - Accent6 3 3 6" xfId="2817"/>
    <cellStyle name="20% - Accent6 3 3 6 2" xfId="2818"/>
    <cellStyle name="20% - Accent6 3 3 7" xfId="2819"/>
    <cellStyle name="20% - Accent6 3 3 7 2" xfId="2820"/>
    <cellStyle name="20% - Accent6 3 3 8" xfId="2821"/>
    <cellStyle name="20% - Accent6 3 3 8 2" xfId="2822"/>
    <cellStyle name="20% - Accent6 3 3 9" xfId="2823"/>
    <cellStyle name="20% - Accent6 3 3 9 2" xfId="2824"/>
    <cellStyle name="20% - Accent6 3 30" xfId="2825"/>
    <cellStyle name="20% - Accent6 3 30 2" xfId="2826"/>
    <cellStyle name="20% - Accent6 3 31" xfId="2827"/>
    <cellStyle name="20% - Accent6 3 31 2" xfId="2828"/>
    <cellStyle name="20% - Accent6 3 32" xfId="2829"/>
    <cellStyle name="20% - Accent6 3 32 2" xfId="2830"/>
    <cellStyle name="20% - Accent6 3 33" xfId="2831"/>
    <cellStyle name="20% - Accent6 3 33 2" xfId="2832"/>
    <cellStyle name="20% - Accent6 3 34" xfId="2833"/>
    <cellStyle name="20% - Accent6 3 34 2" xfId="2834"/>
    <cellStyle name="20% - Accent6 3 35" xfId="2835"/>
    <cellStyle name="20% - Accent6 3 35 2" xfId="2836"/>
    <cellStyle name="20% - Accent6 3 36" xfId="2837"/>
    <cellStyle name="20% - Accent6 3 36 2" xfId="2838"/>
    <cellStyle name="20% - Accent6 3 37" xfId="2839"/>
    <cellStyle name="20% - Accent6 3 37 2" xfId="2840"/>
    <cellStyle name="20% - Accent6 3 38" xfId="2841"/>
    <cellStyle name="20% - Accent6 3 38 2" xfId="2842"/>
    <cellStyle name="20% - Accent6 3 39" xfId="2843"/>
    <cellStyle name="20% - Accent6 3 39 2" xfId="2844"/>
    <cellStyle name="20% - Accent6 3 4" xfId="2845"/>
    <cellStyle name="20% - Accent6 3 4 10" xfId="2846"/>
    <cellStyle name="20% - Accent6 3 4 2" xfId="2847"/>
    <cellStyle name="20% - Accent6 3 4 2 2" xfId="2848"/>
    <cellStyle name="20% - Accent6 3 4 3" xfId="2849"/>
    <cellStyle name="20% - Accent6 3 4 3 2" xfId="2850"/>
    <cellStyle name="20% - Accent6 3 4 4" xfId="2851"/>
    <cellStyle name="20% - Accent6 3 4 4 2" xfId="2852"/>
    <cellStyle name="20% - Accent6 3 4 5" xfId="2853"/>
    <cellStyle name="20% - Accent6 3 4 5 2" xfId="2854"/>
    <cellStyle name="20% - Accent6 3 4 6" xfId="2855"/>
    <cellStyle name="20% - Accent6 3 4 6 2" xfId="2856"/>
    <cellStyle name="20% - Accent6 3 4 7" xfId="2857"/>
    <cellStyle name="20% - Accent6 3 4 7 2" xfId="2858"/>
    <cellStyle name="20% - Accent6 3 4 8" xfId="2859"/>
    <cellStyle name="20% - Accent6 3 4 8 2" xfId="2860"/>
    <cellStyle name="20% - Accent6 3 4 9" xfId="2861"/>
    <cellStyle name="20% - Accent6 3 4 9 2" xfId="2862"/>
    <cellStyle name="20% - Accent6 3 40" xfId="2863"/>
    <cellStyle name="20% - Accent6 3 40 2" xfId="2864"/>
    <cellStyle name="20% - Accent6 3 41" xfId="2865"/>
    <cellStyle name="20% - Accent6 3 41 2" xfId="2866"/>
    <cellStyle name="20% - Accent6 3 42" xfId="2867"/>
    <cellStyle name="20% - Accent6 3 42 2" xfId="2868"/>
    <cellStyle name="20% - Accent6 3 43" xfId="2869"/>
    <cellStyle name="20% - Accent6 3 43 2" xfId="2870"/>
    <cellStyle name="20% - Accent6 3 44" xfId="2871"/>
    <cellStyle name="20% - Accent6 3 44 2" xfId="2872"/>
    <cellStyle name="20% - Accent6 3 45" xfId="2873"/>
    <cellStyle name="20% - Accent6 3 45 2" xfId="2874"/>
    <cellStyle name="20% - Accent6 3 46" xfId="2875"/>
    <cellStyle name="20% - Accent6 3 46 2" xfId="2876"/>
    <cellStyle name="20% - Accent6 3 47" xfId="2877"/>
    <cellStyle name="20% - Accent6 3 47 2" xfId="2878"/>
    <cellStyle name="20% - Accent6 3 48" xfId="2879"/>
    <cellStyle name="20% - Accent6 3 48 2" xfId="2880"/>
    <cellStyle name="20% - Accent6 3 49" xfId="2881"/>
    <cellStyle name="20% - Accent6 3 49 2" xfId="2882"/>
    <cellStyle name="20% - Accent6 3 5" xfId="2883"/>
    <cellStyle name="20% - Accent6 3 5 10" xfId="2884"/>
    <cellStyle name="20% - Accent6 3 5 2" xfId="2885"/>
    <cellStyle name="20% - Accent6 3 5 2 2" xfId="2886"/>
    <cellStyle name="20% - Accent6 3 5 3" xfId="2887"/>
    <cellStyle name="20% - Accent6 3 5 3 2" xfId="2888"/>
    <cellStyle name="20% - Accent6 3 5 4" xfId="2889"/>
    <cellStyle name="20% - Accent6 3 5 4 2" xfId="2890"/>
    <cellStyle name="20% - Accent6 3 5 5" xfId="2891"/>
    <cellStyle name="20% - Accent6 3 5 5 2" xfId="2892"/>
    <cellStyle name="20% - Accent6 3 5 6" xfId="2893"/>
    <cellStyle name="20% - Accent6 3 5 6 2" xfId="2894"/>
    <cellStyle name="20% - Accent6 3 5 7" xfId="2895"/>
    <cellStyle name="20% - Accent6 3 5 7 2" xfId="2896"/>
    <cellStyle name="20% - Accent6 3 5 8" xfId="2897"/>
    <cellStyle name="20% - Accent6 3 5 8 2" xfId="2898"/>
    <cellStyle name="20% - Accent6 3 5 9" xfId="2899"/>
    <cellStyle name="20% - Accent6 3 5 9 2" xfId="2900"/>
    <cellStyle name="20% - Accent6 3 50" xfId="2901"/>
    <cellStyle name="20% - Accent6 3 50 2" xfId="2902"/>
    <cellStyle name="20% - Accent6 3 51" xfId="2903"/>
    <cellStyle name="20% - Accent6 3 51 2" xfId="2904"/>
    <cellStyle name="20% - Accent6 3 52" xfId="2905"/>
    <cellStyle name="20% - Accent6 3 52 2" xfId="2906"/>
    <cellStyle name="20% - Accent6 3 53" xfId="2907"/>
    <cellStyle name="20% - Accent6 3 53 2" xfId="2908"/>
    <cellStyle name="20% - Accent6 3 54" xfId="2909"/>
    <cellStyle name="20% - Accent6 3 54 2" xfId="2910"/>
    <cellStyle name="20% - Accent6 3 55" xfId="2911"/>
    <cellStyle name="20% - Accent6 3 55 2" xfId="2912"/>
    <cellStyle name="20% - Accent6 3 56" xfId="2913"/>
    <cellStyle name="20% - Accent6 3 56 2" xfId="2914"/>
    <cellStyle name="20% - Accent6 3 57" xfId="2915"/>
    <cellStyle name="20% - Accent6 3 6" xfId="2916"/>
    <cellStyle name="20% - Accent6 3 6 10" xfId="2917"/>
    <cellStyle name="20% - Accent6 3 6 2" xfId="2918"/>
    <cellStyle name="20% - Accent6 3 6 2 2" xfId="2919"/>
    <cellStyle name="20% - Accent6 3 6 3" xfId="2920"/>
    <cellStyle name="20% - Accent6 3 6 3 2" xfId="2921"/>
    <cellStyle name="20% - Accent6 3 6 4" xfId="2922"/>
    <cellStyle name="20% - Accent6 3 6 4 2" xfId="2923"/>
    <cellStyle name="20% - Accent6 3 6 5" xfId="2924"/>
    <cellStyle name="20% - Accent6 3 6 5 2" xfId="2925"/>
    <cellStyle name="20% - Accent6 3 6 6" xfId="2926"/>
    <cellStyle name="20% - Accent6 3 6 6 2" xfId="2927"/>
    <cellStyle name="20% - Accent6 3 6 7" xfId="2928"/>
    <cellStyle name="20% - Accent6 3 6 7 2" xfId="2929"/>
    <cellStyle name="20% - Accent6 3 6 8" xfId="2930"/>
    <cellStyle name="20% - Accent6 3 6 8 2" xfId="2931"/>
    <cellStyle name="20% - Accent6 3 6 9" xfId="2932"/>
    <cellStyle name="20% - Accent6 3 6 9 2" xfId="2933"/>
    <cellStyle name="20% - Accent6 3 7" xfId="2934"/>
    <cellStyle name="20% - Accent6 3 7 10" xfId="2935"/>
    <cellStyle name="20% - Accent6 3 7 2" xfId="2936"/>
    <cellStyle name="20% - Accent6 3 7 2 2" xfId="2937"/>
    <cellStyle name="20% - Accent6 3 7 3" xfId="2938"/>
    <cellStyle name="20% - Accent6 3 7 3 2" xfId="2939"/>
    <cellStyle name="20% - Accent6 3 7 4" xfId="2940"/>
    <cellStyle name="20% - Accent6 3 7 4 2" xfId="2941"/>
    <cellStyle name="20% - Accent6 3 7 5" xfId="2942"/>
    <cellStyle name="20% - Accent6 3 7 5 2" xfId="2943"/>
    <cellStyle name="20% - Accent6 3 7 6" xfId="2944"/>
    <cellStyle name="20% - Accent6 3 7 6 2" xfId="2945"/>
    <cellStyle name="20% - Accent6 3 7 7" xfId="2946"/>
    <cellStyle name="20% - Accent6 3 7 7 2" xfId="2947"/>
    <cellStyle name="20% - Accent6 3 7 8" xfId="2948"/>
    <cellStyle name="20% - Accent6 3 7 8 2" xfId="2949"/>
    <cellStyle name="20% - Accent6 3 7 9" xfId="2950"/>
    <cellStyle name="20% - Accent6 3 7 9 2" xfId="2951"/>
    <cellStyle name="20% - Accent6 3 8" xfId="2952"/>
    <cellStyle name="20% - Accent6 3 8 10" xfId="2953"/>
    <cellStyle name="20% - Accent6 3 8 2" xfId="2954"/>
    <cellStyle name="20% - Accent6 3 8 2 2" xfId="2955"/>
    <cellStyle name="20% - Accent6 3 8 3" xfId="2956"/>
    <cellStyle name="20% - Accent6 3 8 3 2" xfId="2957"/>
    <cellStyle name="20% - Accent6 3 8 4" xfId="2958"/>
    <cellStyle name="20% - Accent6 3 8 4 2" xfId="2959"/>
    <cellStyle name="20% - Accent6 3 8 5" xfId="2960"/>
    <cellStyle name="20% - Accent6 3 8 5 2" xfId="2961"/>
    <cellStyle name="20% - Accent6 3 8 6" xfId="2962"/>
    <cellStyle name="20% - Accent6 3 8 6 2" xfId="2963"/>
    <cellStyle name="20% - Accent6 3 8 7" xfId="2964"/>
    <cellStyle name="20% - Accent6 3 8 7 2" xfId="2965"/>
    <cellStyle name="20% - Accent6 3 8 8" xfId="2966"/>
    <cellStyle name="20% - Accent6 3 8 8 2" xfId="2967"/>
    <cellStyle name="20% - Accent6 3 8 9" xfId="2968"/>
    <cellStyle name="20% - Accent6 3 8 9 2" xfId="2969"/>
    <cellStyle name="20% - Accent6 3 9" xfId="2970"/>
    <cellStyle name="20% - Accent6 3 9 10" xfId="2971"/>
    <cellStyle name="20% - Accent6 3 9 2" xfId="2972"/>
    <cellStyle name="20% - Accent6 3 9 2 2" xfId="2973"/>
    <cellStyle name="20% - Accent6 3 9 3" xfId="2974"/>
    <cellStyle name="20% - Accent6 3 9 3 2" xfId="2975"/>
    <cellStyle name="20% - Accent6 3 9 4" xfId="2976"/>
    <cellStyle name="20% - Accent6 3 9 4 2" xfId="2977"/>
    <cellStyle name="20% - Accent6 3 9 5" xfId="2978"/>
    <cellStyle name="20% - Accent6 3 9 5 2" xfId="2979"/>
    <cellStyle name="20% - Accent6 3 9 6" xfId="2980"/>
    <cellStyle name="20% - Accent6 3 9 6 2" xfId="2981"/>
    <cellStyle name="20% - Accent6 3 9 7" xfId="2982"/>
    <cellStyle name="20% - Accent6 3 9 7 2" xfId="2983"/>
    <cellStyle name="20% - Accent6 3 9 8" xfId="2984"/>
    <cellStyle name="20% - Accent6 3 9 8 2" xfId="2985"/>
    <cellStyle name="20% - Accent6 3 9 9" xfId="2986"/>
    <cellStyle name="20% - Accent6 3 9 9 2" xfId="2987"/>
    <cellStyle name="20% - Accent6 30" xfId="2988"/>
    <cellStyle name="20% - Accent6 30 2" xfId="2989"/>
    <cellStyle name="20% - Accent6 31" xfId="2990"/>
    <cellStyle name="20% - Accent6 31 2" xfId="2991"/>
    <cellStyle name="20% - Accent6 32" xfId="2992"/>
    <cellStyle name="20% - Accent6 32 2" xfId="2993"/>
    <cellStyle name="20% - Accent6 33" xfId="2994"/>
    <cellStyle name="20% - Accent6 33 2" xfId="2995"/>
    <cellStyle name="20% - Accent6 34" xfId="2996"/>
    <cellStyle name="20% - Accent6 34 2" xfId="2997"/>
    <cellStyle name="20% - Accent6 35" xfId="2998"/>
    <cellStyle name="20% - Accent6 35 2" xfId="2999"/>
    <cellStyle name="20% - Accent6 36" xfId="3000"/>
    <cellStyle name="20% - Accent6 36 2" xfId="3001"/>
    <cellStyle name="20% - Accent6 37" xfId="3002"/>
    <cellStyle name="20% - Accent6 37 2" xfId="3003"/>
    <cellStyle name="20% - Accent6 38" xfId="3004"/>
    <cellStyle name="20% - Accent6 38 2" xfId="3005"/>
    <cellStyle name="20% - Accent6 39" xfId="3006"/>
    <cellStyle name="20% - Accent6 4" xfId="3007"/>
    <cellStyle name="20% - Accent6 4 2" xfId="3008"/>
    <cellStyle name="20% - Accent6 4 2 2" xfId="3009"/>
    <cellStyle name="20% - Accent6 4 3" xfId="3010"/>
    <cellStyle name="20% - Accent6 4 3 2" xfId="3011"/>
    <cellStyle name="20% - Accent6 4 4" xfId="3012"/>
    <cellStyle name="20% - Accent6 4 4 2" xfId="3013"/>
    <cellStyle name="20% - Accent6 4 5" xfId="3014"/>
    <cellStyle name="20% - Accent6 4 5 2" xfId="3015"/>
    <cellStyle name="20% - Accent6 4 6" xfId="3016"/>
    <cellStyle name="20% - Accent6 4 6 2" xfId="3017"/>
    <cellStyle name="20% - Accent6 4 7" xfId="3018"/>
    <cellStyle name="20% - Accent6 4 7 2" xfId="3019"/>
    <cellStyle name="20% - Accent6 4 8" xfId="3020"/>
    <cellStyle name="20% - Accent6 4 8 2" xfId="3021"/>
    <cellStyle name="20% - Accent6 5" xfId="3022"/>
    <cellStyle name="20% - Accent6 5 10" xfId="3023"/>
    <cellStyle name="20% - Accent6 5 10 2" xfId="3024"/>
    <cellStyle name="20% - Accent6 5 11" xfId="3025"/>
    <cellStyle name="20% - Accent6 5 11 2" xfId="3026"/>
    <cellStyle name="20% - Accent6 5 12" xfId="3027"/>
    <cellStyle name="20% - Accent6 5 12 2" xfId="3028"/>
    <cellStyle name="20% - Accent6 5 13" xfId="3029"/>
    <cellStyle name="20% - Accent6 5 13 2" xfId="3030"/>
    <cellStyle name="20% - Accent6 5 14" xfId="3031"/>
    <cellStyle name="20% - Accent6 5 2" xfId="3032"/>
    <cellStyle name="20% - Accent6 5 2 2" xfId="3033"/>
    <cellStyle name="20% - Accent6 5 2 3" xfId="3034"/>
    <cellStyle name="20% - Accent6 5 2 4" xfId="3035"/>
    <cellStyle name="20% - Accent6 5 2 5" xfId="3036"/>
    <cellStyle name="20% - Accent6 5 2 6" xfId="3037"/>
    <cellStyle name="20% - Accent6 5 3" xfId="3038"/>
    <cellStyle name="20% - Accent6 5 4" xfId="3039"/>
    <cellStyle name="20% - Accent6 5 5" xfId="3040"/>
    <cellStyle name="20% - Accent6 5 6" xfId="3041"/>
    <cellStyle name="20% - Accent6 5 7" xfId="3042"/>
    <cellStyle name="20% - Accent6 5 8" xfId="3043"/>
    <cellStyle name="20% - Accent6 5 8 2" xfId="3044"/>
    <cellStyle name="20% - Accent6 5 9" xfId="3045"/>
    <cellStyle name="20% - Accent6 5 9 2" xfId="3046"/>
    <cellStyle name="20% - Accent6 6" xfId="3047"/>
    <cellStyle name="20% - Accent6 6 2" xfId="3048"/>
    <cellStyle name="20% - Accent6 6 2 2" xfId="3049"/>
    <cellStyle name="20% - Accent6 6 2 3" xfId="3050"/>
    <cellStyle name="20% - Accent6 6 2 4" xfId="3051"/>
    <cellStyle name="20% - Accent6 6 2 5" xfId="3052"/>
    <cellStyle name="20% - Accent6 6 2 6" xfId="3053"/>
    <cellStyle name="20% - Accent6 6 3" xfId="3054"/>
    <cellStyle name="20% - Accent6 6 4" xfId="3055"/>
    <cellStyle name="20% - Accent6 6 5" xfId="3056"/>
    <cellStyle name="20% - Accent6 6 6" xfId="3057"/>
    <cellStyle name="20% - Accent6 6 7" xfId="3058"/>
    <cellStyle name="20% - Accent6 6 8" xfId="3059"/>
    <cellStyle name="20% - Accent6 6 9" xfId="3060"/>
    <cellStyle name="20% - Accent6 7" xfId="3061"/>
    <cellStyle name="20% - Accent6 7 2" xfId="3062"/>
    <cellStyle name="20% - Accent6 7 3" xfId="3063"/>
    <cellStyle name="20% - Accent6 7 4" xfId="3064"/>
    <cellStyle name="20% - Accent6 7 5" xfId="3065"/>
    <cellStyle name="20% - Accent6 8" xfId="3066"/>
    <cellStyle name="20% - Accent6 8 2" xfId="3067"/>
    <cellStyle name="20% - Accent6 8 3" xfId="3068"/>
    <cellStyle name="20% - Accent6 8 4" xfId="3069"/>
    <cellStyle name="20% - Accent6 8 5" xfId="3070"/>
    <cellStyle name="20% - Accent6 9" xfId="3071"/>
    <cellStyle name="20% - Accent6 9 2" xfId="3072"/>
    <cellStyle name="20% - Accent6 9 3" xfId="3073"/>
    <cellStyle name="20% - Accent6 9 4" xfId="3074"/>
    <cellStyle name="20% - Accent6 9 5" xfId="3075"/>
    <cellStyle name="40% - Accent1 10" xfId="3076"/>
    <cellStyle name="40% - Accent1 10 2" xfId="3077"/>
    <cellStyle name="40% - Accent1 10 3" xfId="3078"/>
    <cellStyle name="40% - Accent1 10 4" xfId="3079"/>
    <cellStyle name="40% - Accent1 11" xfId="3080"/>
    <cellStyle name="40% - Accent1 11 2" xfId="3081"/>
    <cellStyle name="40% - Accent1 11 3" xfId="3082"/>
    <cellStyle name="40% - Accent1 11 4" xfId="3083"/>
    <cellStyle name="40% - Accent1 12" xfId="3084"/>
    <cellStyle name="40% - Accent1 12 2" xfId="3085"/>
    <cellStyle name="40% - Accent1 12 3" xfId="3086"/>
    <cellStyle name="40% - Accent1 12 4" xfId="3087"/>
    <cellStyle name="40% - Accent1 13" xfId="3088"/>
    <cellStyle name="40% - Accent1 13 2" xfId="3089"/>
    <cellStyle name="40% - Accent1 13 3" xfId="3090"/>
    <cellStyle name="40% - Accent1 13 4" xfId="3091"/>
    <cellStyle name="40% - Accent1 14" xfId="3092"/>
    <cellStyle name="40% - Accent1 14 2" xfId="3093"/>
    <cellStyle name="40% - Accent1 14 3" xfId="3094"/>
    <cellStyle name="40% - Accent1 14 4" xfId="3095"/>
    <cellStyle name="40% - Accent1 15" xfId="3096"/>
    <cellStyle name="40% - Accent1 15 2" xfId="3097"/>
    <cellStyle name="40% - Accent1 15 3" xfId="3098"/>
    <cellStyle name="40% - Accent1 15 4" xfId="3099"/>
    <cellStyle name="40% - Accent1 16" xfId="3100"/>
    <cellStyle name="40% - Accent1 16 2" xfId="3101"/>
    <cellStyle name="40% - Accent1 17" xfId="3102"/>
    <cellStyle name="40% - Accent1 17 2" xfId="3103"/>
    <cellStyle name="40% - Accent1 18" xfId="3104"/>
    <cellStyle name="40% - Accent1 18 2" xfId="3105"/>
    <cellStyle name="40% - Accent1 19" xfId="3106"/>
    <cellStyle name="40% - Accent1 19 2" xfId="3107"/>
    <cellStyle name="40% - Accent1 2" xfId="3108"/>
    <cellStyle name="40% - Accent1 2 10" xfId="3109"/>
    <cellStyle name="40% - Accent1 2 10 2" xfId="3110"/>
    <cellStyle name="40% - Accent1 2 11" xfId="3111"/>
    <cellStyle name="40% - Accent1 2 11 2" xfId="3112"/>
    <cellStyle name="40% - Accent1 2 12" xfId="3113"/>
    <cellStyle name="40% - Accent1 2 12 2" xfId="3114"/>
    <cellStyle name="40% - Accent1 2 13" xfId="3115"/>
    <cellStyle name="40% - Accent1 2 13 2" xfId="3116"/>
    <cellStyle name="40% - Accent1 2 14" xfId="3117"/>
    <cellStyle name="40% - Accent1 2 14 2" xfId="3118"/>
    <cellStyle name="40% - Accent1 2 2" xfId="3119"/>
    <cellStyle name="40% - Accent1 2 3" xfId="3120"/>
    <cellStyle name="40% - Accent1 2 4" xfId="3121"/>
    <cellStyle name="40% - Accent1 2 5" xfId="3122"/>
    <cellStyle name="40% - Accent1 2 6" xfId="3123"/>
    <cellStyle name="40% - Accent1 2 7" xfId="3124"/>
    <cellStyle name="40% - Accent1 2 8" xfId="3125"/>
    <cellStyle name="40% - Accent1 2 9" xfId="3126"/>
    <cellStyle name="40% - Accent1 2 9 2" xfId="3127"/>
    <cellStyle name="40% - Accent1 20" xfId="3128"/>
    <cellStyle name="40% - Accent1 20 2" xfId="3129"/>
    <cellStyle name="40% - Accent1 21" xfId="3130"/>
    <cellStyle name="40% - Accent1 21 2" xfId="3131"/>
    <cellStyle name="40% - Accent1 22" xfId="3132"/>
    <cellStyle name="40% - Accent1 22 2" xfId="3133"/>
    <cellStyle name="40% - Accent1 23" xfId="3134"/>
    <cellStyle name="40% - Accent1 23 2" xfId="3135"/>
    <cellStyle name="40% - Accent1 24" xfId="3136"/>
    <cellStyle name="40% - Accent1 24 2" xfId="3137"/>
    <cellStyle name="40% - Accent1 25" xfId="3138"/>
    <cellStyle name="40% - Accent1 25 2" xfId="3139"/>
    <cellStyle name="40% - Accent1 26" xfId="3140"/>
    <cellStyle name="40% - Accent1 26 2" xfId="3141"/>
    <cellStyle name="40% - Accent1 27" xfId="3142"/>
    <cellStyle name="40% - Accent1 27 2" xfId="3143"/>
    <cellStyle name="40% - Accent1 28" xfId="3144"/>
    <cellStyle name="40% - Accent1 28 2" xfId="3145"/>
    <cellStyle name="40% - Accent1 29" xfId="3146"/>
    <cellStyle name="40% - Accent1 29 2" xfId="3147"/>
    <cellStyle name="40% - Accent1 3" xfId="3148"/>
    <cellStyle name="40% - Accent1 3 10" xfId="3149"/>
    <cellStyle name="40% - Accent1 3 10 10" xfId="3150"/>
    <cellStyle name="40% - Accent1 3 10 2" xfId="3151"/>
    <cellStyle name="40% - Accent1 3 10 2 2" xfId="3152"/>
    <cellStyle name="40% - Accent1 3 10 3" xfId="3153"/>
    <cellStyle name="40% - Accent1 3 10 3 2" xfId="3154"/>
    <cellStyle name="40% - Accent1 3 10 4" xfId="3155"/>
    <cellStyle name="40% - Accent1 3 10 4 2" xfId="3156"/>
    <cellStyle name="40% - Accent1 3 10 5" xfId="3157"/>
    <cellStyle name="40% - Accent1 3 10 5 2" xfId="3158"/>
    <cellStyle name="40% - Accent1 3 10 6" xfId="3159"/>
    <cellStyle name="40% - Accent1 3 10 6 2" xfId="3160"/>
    <cellStyle name="40% - Accent1 3 10 7" xfId="3161"/>
    <cellStyle name="40% - Accent1 3 10 7 2" xfId="3162"/>
    <cellStyle name="40% - Accent1 3 10 8" xfId="3163"/>
    <cellStyle name="40% - Accent1 3 10 8 2" xfId="3164"/>
    <cellStyle name="40% - Accent1 3 10 9" xfId="3165"/>
    <cellStyle name="40% - Accent1 3 10 9 2" xfId="3166"/>
    <cellStyle name="40% - Accent1 3 11" xfId="3167"/>
    <cellStyle name="40% - Accent1 3 11 10" xfId="3168"/>
    <cellStyle name="40% - Accent1 3 11 2" xfId="3169"/>
    <cellStyle name="40% - Accent1 3 11 2 2" xfId="3170"/>
    <cellStyle name="40% - Accent1 3 11 3" xfId="3171"/>
    <cellStyle name="40% - Accent1 3 11 3 2" xfId="3172"/>
    <cellStyle name="40% - Accent1 3 11 4" xfId="3173"/>
    <cellStyle name="40% - Accent1 3 11 4 2" xfId="3174"/>
    <cellStyle name="40% - Accent1 3 11 5" xfId="3175"/>
    <cellStyle name="40% - Accent1 3 11 5 2" xfId="3176"/>
    <cellStyle name="40% - Accent1 3 11 6" xfId="3177"/>
    <cellStyle name="40% - Accent1 3 11 6 2" xfId="3178"/>
    <cellStyle name="40% - Accent1 3 11 7" xfId="3179"/>
    <cellStyle name="40% - Accent1 3 11 7 2" xfId="3180"/>
    <cellStyle name="40% - Accent1 3 11 8" xfId="3181"/>
    <cellStyle name="40% - Accent1 3 11 8 2" xfId="3182"/>
    <cellStyle name="40% - Accent1 3 11 9" xfId="3183"/>
    <cellStyle name="40% - Accent1 3 11 9 2" xfId="3184"/>
    <cellStyle name="40% - Accent1 3 12" xfId="3185"/>
    <cellStyle name="40% - Accent1 3 12 10" xfId="3186"/>
    <cellStyle name="40% - Accent1 3 12 2" xfId="3187"/>
    <cellStyle name="40% - Accent1 3 12 2 2" xfId="3188"/>
    <cellStyle name="40% - Accent1 3 12 3" xfId="3189"/>
    <cellStyle name="40% - Accent1 3 12 3 2" xfId="3190"/>
    <cellStyle name="40% - Accent1 3 12 4" xfId="3191"/>
    <cellStyle name="40% - Accent1 3 12 4 2" xfId="3192"/>
    <cellStyle name="40% - Accent1 3 12 5" xfId="3193"/>
    <cellStyle name="40% - Accent1 3 12 5 2" xfId="3194"/>
    <cellStyle name="40% - Accent1 3 12 6" xfId="3195"/>
    <cellStyle name="40% - Accent1 3 12 6 2" xfId="3196"/>
    <cellStyle name="40% - Accent1 3 12 7" xfId="3197"/>
    <cellStyle name="40% - Accent1 3 12 7 2" xfId="3198"/>
    <cellStyle name="40% - Accent1 3 12 8" xfId="3199"/>
    <cellStyle name="40% - Accent1 3 12 8 2" xfId="3200"/>
    <cellStyle name="40% - Accent1 3 12 9" xfId="3201"/>
    <cellStyle name="40% - Accent1 3 12 9 2" xfId="3202"/>
    <cellStyle name="40% - Accent1 3 13" xfId="3203"/>
    <cellStyle name="40% - Accent1 3 13 2" xfId="3204"/>
    <cellStyle name="40% - Accent1 3 14" xfId="3205"/>
    <cellStyle name="40% - Accent1 3 14 2" xfId="3206"/>
    <cellStyle name="40% - Accent1 3 15" xfId="3207"/>
    <cellStyle name="40% - Accent1 3 15 2" xfId="3208"/>
    <cellStyle name="40% - Accent1 3 16" xfId="3209"/>
    <cellStyle name="40% - Accent1 3 16 2" xfId="3210"/>
    <cellStyle name="40% - Accent1 3 17" xfId="3211"/>
    <cellStyle name="40% - Accent1 3 17 2" xfId="3212"/>
    <cellStyle name="40% - Accent1 3 18" xfId="3213"/>
    <cellStyle name="40% - Accent1 3 18 2" xfId="3214"/>
    <cellStyle name="40% - Accent1 3 19" xfId="3215"/>
    <cellStyle name="40% - Accent1 3 19 2" xfId="3216"/>
    <cellStyle name="40% - Accent1 3 2" xfId="3217"/>
    <cellStyle name="40% - Accent1 3 2 10" xfId="3218"/>
    <cellStyle name="40% - Accent1 3 2 10 2" xfId="3219"/>
    <cellStyle name="40% - Accent1 3 2 11" xfId="3220"/>
    <cellStyle name="40% - Accent1 3 2 11 2" xfId="3221"/>
    <cellStyle name="40% - Accent1 3 2 12" xfId="3222"/>
    <cellStyle name="40% - Accent1 3 2 12 2" xfId="3223"/>
    <cellStyle name="40% - Accent1 3 2 13" xfId="3224"/>
    <cellStyle name="40% - Accent1 3 2 13 2" xfId="3225"/>
    <cellStyle name="40% - Accent1 3 2 14" xfId="3226"/>
    <cellStyle name="40% - Accent1 3 2 14 2" xfId="3227"/>
    <cellStyle name="40% - Accent1 3 2 15" xfId="3228"/>
    <cellStyle name="40% - Accent1 3 2 15 2" xfId="3229"/>
    <cellStyle name="40% - Accent1 3 2 16" xfId="3230"/>
    <cellStyle name="40% - Accent1 3 2 16 2" xfId="3231"/>
    <cellStyle name="40% - Accent1 3 2 17" xfId="3232"/>
    <cellStyle name="40% - Accent1 3 2 17 2" xfId="3233"/>
    <cellStyle name="40% - Accent1 3 2 18" xfId="3234"/>
    <cellStyle name="40% - Accent1 3 2 18 2" xfId="3235"/>
    <cellStyle name="40% - Accent1 3 2 19" xfId="3236"/>
    <cellStyle name="40% - Accent1 3 2 19 2" xfId="3237"/>
    <cellStyle name="40% - Accent1 3 2 2" xfId="3238"/>
    <cellStyle name="40% - Accent1 3 2 2 2" xfId="3239"/>
    <cellStyle name="40% - Accent1 3 2 2 2 2" xfId="3240"/>
    <cellStyle name="40% - Accent1 3 2 2 3" xfId="3241"/>
    <cellStyle name="40% - Accent1 3 2 2 3 2" xfId="3242"/>
    <cellStyle name="40% - Accent1 3 2 2 4" xfId="3243"/>
    <cellStyle name="40% - Accent1 3 2 2 4 2" xfId="3244"/>
    <cellStyle name="40% - Accent1 3 2 2 5" xfId="3245"/>
    <cellStyle name="40% - Accent1 3 2 2 5 2" xfId="3246"/>
    <cellStyle name="40% - Accent1 3 2 2 6" xfId="3247"/>
    <cellStyle name="40% - Accent1 3 2 2 6 2" xfId="3248"/>
    <cellStyle name="40% - Accent1 3 2 2 7" xfId="3249"/>
    <cellStyle name="40% - Accent1 3 2 2 7 2" xfId="3250"/>
    <cellStyle name="40% - Accent1 3 2 2 8" xfId="3251"/>
    <cellStyle name="40% - Accent1 3 2 20" xfId="3252"/>
    <cellStyle name="40% - Accent1 3 2 20 2" xfId="3253"/>
    <cellStyle name="40% - Accent1 3 2 21" xfId="3254"/>
    <cellStyle name="40% - Accent1 3 2 21 2" xfId="3255"/>
    <cellStyle name="40% - Accent1 3 2 22" xfId="3256"/>
    <cellStyle name="40% - Accent1 3 2 22 2" xfId="3257"/>
    <cellStyle name="40% - Accent1 3 2 23" xfId="3258"/>
    <cellStyle name="40% - Accent1 3 2 23 2" xfId="3259"/>
    <cellStyle name="40% - Accent1 3 2 24" xfId="3260"/>
    <cellStyle name="40% - Accent1 3 2 3" xfId="3261"/>
    <cellStyle name="40% - Accent1 3 2 3 2" xfId="3262"/>
    <cellStyle name="40% - Accent1 3 2 3 2 2" xfId="3263"/>
    <cellStyle name="40% - Accent1 3 2 3 3" xfId="3264"/>
    <cellStyle name="40% - Accent1 3 2 3 3 2" xfId="3265"/>
    <cellStyle name="40% - Accent1 3 2 3 4" xfId="3266"/>
    <cellStyle name="40% - Accent1 3 2 3 4 2" xfId="3267"/>
    <cellStyle name="40% - Accent1 3 2 3 5" xfId="3268"/>
    <cellStyle name="40% - Accent1 3 2 3 5 2" xfId="3269"/>
    <cellStyle name="40% - Accent1 3 2 3 6" xfId="3270"/>
    <cellStyle name="40% - Accent1 3 2 3 6 2" xfId="3271"/>
    <cellStyle name="40% - Accent1 3 2 3 7" xfId="3272"/>
    <cellStyle name="40% - Accent1 3 2 3 7 2" xfId="3273"/>
    <cellStyle name="40% - Accent1 3 2 3 8" xfId="3274"/>
    <cellStyle name="40% - Accent1 3 2 4" xfId="3275"/>
    <cellStyle name="40% - Accent1 3 2 4 2" xfId="3276"/>
    <cellStyle name="40% - Accent1 3 2 5" xfId="3277"/>
    <cellStyle name="40% - Accent1 3 2 5 2" xfId="3278"/>
    <cellStyle name="40% - Accent1 3 2 6" xfId="3279"/>
    <cellStyle name="40% - Accent1 3 2 6 2" xfId="3280"/>
    <cellStyle name="40% - Accent1 3 2 7" xfId="3281"/>
    <cellStyle name="40% - Accent1 3 2 7 2" xfId="3282"/>
    <cellStyle name="40% - Accent1 3 2 8" xfId="3283"/>
    <cellStyle name="40% - Accent1 3 2 8 2" xfId="3284"/>
    <cellStyle name="40% - Accent1 3 2 9" xfId="3285"/>
    <cellStyle name="40% - Accent1 3 2 9 2" xfId="3286"/>
    <cellStyle name="40% - Accent1 3 20" xfId="3287"/>
    <cellStyle name="40% - Accent1 3 20 2" xfId="3288"/>
    <cellStyle name="40% - Accent1 3 21" xfId="3289"/>
    <cellStyle name="40% - Accent1 3 21 2" xfId="3290"/>
    <cellStyle name="40% - Accent1 3 22" xfId="3291"/>
    <cellStyle name="40% - Accent1 3 22 2" xfId="3292"/>
    <cellStyle name="40% - Accent1 3 23" xfId="3293"/>
    <cellStyle name="40% - Accent1 3 23 2" xfId="3294"/>
    <cellStyle name="40% - Accent1 3 24" xfId="3295"/>
    <cellStyle name="40% - Accent1 3 24 2" xfId="3296"/>
    <cellStyle name="40% - Accent1 3 25" xfId="3297"/>
    <cellStyle name="40% - Accent1 3 25 2" xfId="3298"/>
    <cellStyle name="40% - Accent1 3 26" xfId="3299"/>
    <cellStyle name="40% - Accent1 3 26 2" xfId="3300"/>
    <cellStyle name="40% - Accent1 3 27" xfId="3301"/>
    <cellStyle name="40% - Accent1 3 27 2" xfId="3302"/>
    <cellStyle name="40% - Accent1 3 28" xfId="3303"/>
    <cellStyle name="40% - Accent1 3 28 2" xfId="3304"/>
    <cellStyle name="40% - Accent1 3 29" xfId="3305"/>
    <cellStyle name="40% - Accent1 3 29 2" xfId="3306"/>
    <cellStyle name="40% - Accent1 3 3" xfId="3307"/>
    <cellStyle name="40% - Accent1 3 3 10" xfId="3308"/>
    <cellStyle name="40% - Accent1 3 3 2" xfId="3309"/>
    <cellStyle name="40% - Accent1 3 3 2 2" xfId="3310"/>
    <cellStyle name="40% - Accent1 3 3 2 2 2" xfId="3311"/>
    <cellStyle name="40% - Accent1 3 3 2 3" xfId="3312"/>
    <cellStyle name="40% - Accent1 3 3 2 3 2" xfId="3313"/>
    <cellStyle name="40% - Accent1 3 3 2 4" xfId="3314"/>
    <cellStyle name="40% - Accent1 3 3 2 4 2" xfId="3315"/>
    <cellStyle name="40% - Accent1 3 3 2 5" xfId="3316"/>
    <cellStyle name="40% - Accent1 3 3 2 5 2" xfId="3317"/>
    <cellStyle name="40% - Accent1 3 3 2 6" xfId="3318"/>
    <cellStyle name="40% - Accent1 3 3 2 6 2" xfId="3319"/>
    <cellStyle name="40% - Accent1 3 3 2 7" xfId="3320"/>
    <cellStyle name="40% - Accent1 3 3 2 7 2" xfId="3321"/>
    <cellStyle name="40% - Accent1 3 3 2 8" xfId="3322"/>
    <cellStyle name="40% - Accent1 3 3 3" xfId="3323"/>
    <cellStyle name="40% - Accent1 3 3 3 2" xfId="3324"/>
    <cellStyle name="40% - Accent1 3 3 4" xfId="3325"/>
    <cellStyle name="40% - Accent1 3 3 4 2" xfId="3326"/>
    <cellStyle name="40% - Accent1 3 3 5" xfId="3327"/>
    <cellStyle name="40% - Accent1 3 3 5 2" xfId="3328"/>
    <cellStyle name="40% - Accent1 3 3 6" xfId="3329"/>
    <cellStyle name="40% - Accent1 3 3 6 2" xfId="3330"/>
    <cellStyle name="40% - Accent1 3 3 7" xfId="3331"/>
    <cellStyle name="40% - Accent1 3 3 7 2" xfId="3332"/>
    <cellStyle name="40% - Accent1 3 3 8" xfId="3333"/>
    <cellStyle name="40% - Accent1 3 3 8 2" xfId="3334"/>
    <cellStyle name="40% - Accent1 3 3 9" xfId="3335"/>
    <cellStyle name="40% - Accent1 3 3 9 2" xfId="3336"/>
    <cellStyle name="40% - Accent1 3 30" xfId="3337"/>
    <cellStyle name="40% - Accent1 3 30 2" xfId="3338"/>
    <cellStyle name="40% - Accent1 3 31" xfId="3339"/>
    <cellStyle name="40% - Accent1 3 31 2" xfId="3340"/>
    <cellStyle name="40% - Accent1 3 32" xfId="3341"/>
    <cellStyle name="40% - Accent1 3 32 2" xfId="3342"/>
    <cellStyle name="40% - Accent1 3 33" xfId="3343"/>
    <cellStyle name="40% - Accent1 3 33 2" xfId="3344"/>
    <cellStyle name="40% - Accent1 3 34" xfId="3345"/>
    <cellStyle name="40% - Accent1 3 34 2" xfId="3346"/>
    <cellStyle name="40% - Accent1 3 35" xfId="3347"/>
    <cellStyle name="40% - Accent1 3 35 2" xfId="3348"/>
    <cellStyle name="40% - Accent1 3 36" xfId="3349"/>
    <cellStyle name="40% - Accent1 3 36 2" xfId="3350"/>
    <cellStyle name="40% - Accent1 3 37" xfId="3351"/>
    <cellStyle name="40% - Accent1 3 37 2" xfId="3352"/>
    <cellStyle name="40% - Accent1 3 38" xfId="3353"/>
    <cellStyle name="40% - Accent1 3 38 2" xfId="3354"/>
    <cellStyle name="40% - Accent1 3 39" xfId="3355"/>
    <cellStyle name="40% - Accent1 3 39 2" xfId="3356"/>
    <cellStyle name="40% - Accent1 3 4" xfId="3357"/>
    <cellStyle name="40% - Accent1 3 4 10" xfId="3358"/>
    <cellStyle name="40% - Accent1 3 4 2" xfId="3359"/>
    <cellStyle name="40% - Accent1 3 4 2 2" xfId="3360"/>
    <cellStyle name="40% - Accent1 3 4 3" xfId="3361"/>
    <cellStyle name="40% - Accent1 3 4 3 2" xfId="3362"/>
    <cellStyle name="40% - Accent1 3 4 4" xfId="3363"/>
    <cellStyle name="40% - Accent1 3 4 4 2" xfId="3364"/>
    <cellStyle name="40% - Accent1 3 4 5" xfId="3365"/>
    <cellStyle name="40% - Accent1 3 4 5 2" xfId="3366"/>
    <cellStyle name="40% - Accent1 3 4 6" xfId="3367"/>
    <cellStyle name="40% - Accent1 3 4 6 2" xfId="3368"/>
    <cellStyle name="40% - Accent1 3 4 7" xfId="3369"/>
    <cellStyle name="40% - Accent1 3 4 7 2" xfId="3370"/>
    <cellStyle name="40% - Accent1 3 4 8" xfId="3371"/>
    <cellStyle name="40% - Accent1 3 4 8 2" xfId="3372"/>
    <cellStyle name="40% - Accent1 3 4 9" xfId="3373"/>
    <cellStyle name="40% - Accent1 3 4 9 2" xfId="3374"/>
    <cellStyle name="40% - Accent1 3 40" xfId="3375"/>
    <cellStyle name="40% - Accent1 3 40 2" xfId="3376"/>
    <cellStyle name="40% - Accent1 3 41" xfId="3377"/>
    <cellStyle name="40% - Accent1 3 41 2" xfId="3378"/>
    <cellStyle name="40% - Accent1 3 42" xfId="3379"/>
    <cellStyle name="40% - Accent1 3 42 2" xfId="3380"/>
    <cellStyle name="40% - Accent1 3 43" xfId="3381"/>
    <cellStyle name="40% - Accent1 3 43 2" xfId="3382"/>
    <cellStyle name="40% - Accent1 3 44" xfId="3383"/>
    <cellStyle name="40% - Accent1 3 44 2" xfId="3384"/>
    <cellStyle name="40% - Accent1 3 45" xfId="3385"/>
    <cellStyle name="40% - Accent1 3 45 2" xfId="3386"/>
    <cellStyle name="40% - Accent1 3 46" xfId="3387"/>
    <cellStyle name="40% - Accent1 3 46 2" xfId="3388"/>
    <cellStyle name="40% - Accent1 3 47" xfId="3389"/>
    <cellStyle name="40% - Accent1 3 47 2" xfId="3390"/>
    <cellStyle name="40% - Accent1 3 48" xfId="3391"/>
    <cellStyle name="40% - Accent1 3 48 2" xfId="3392"/>
    <cellStyle name="40% - Accent1 3 49" xfId="3393"/>
    <cellStyle name="40% - Accent1 3 49 2" xfId="3394"/>
    <cellStyle name="40% - Accent1 3 5" xfId="3395"/>
    <cellStyle name="40% - Accent1 3 5 10" xfId="3396"/>
    <cellStyle name="40% - Accent1 3 5 2" xfId="3397"/>
    <cellStyle name="40% - Accent1 3 5 2 2" xfId="3398"/>
    <cellStyle name="40% - Accent1 3 5 3" xfId="3399"/>
    <cellStyle name="40% - Accent1 3 5 3 2" xfId="3400"/>
    <cellStyle name="40% - Accent1 3 5 4" xfId="3401"/>
    <cellStyle name="40% - Accent1 3 5 4 2" xfId="3402"/>
    <cellStyle name="40% - Accent1 3 5 5" xfId="3403"/>
    <cellStyle name="40% - Accent1 3 5 5 2" xfId="3404"/>
    <cellStyle name="40% - Accent1 3 5 6" xfId="3405"/>
    <cellStyle name="40% - Accent1 3 5 6 2" xfId="3406"/>
    <cellStyle name="40% - Accent1 3 5 7" xfId="3407"/>
    <cellStyle name="40% - Accent1 3 5 7 2" xfId="3408"/>
    <cellStyle name="40% - Accent1 3 5 8" xfId="3409"/>
    <cellStyle name="40% - Accent1 3 5 8 2" xfId="3410"/>
    <cellStyle name="40% - Accent1 3 5 9" xfId="3411"/>
    <cellStyle name="40% - Accent1 3 5 9 2" xfId="3412"/>
    <cellStyle name="40% - Accent1 3 50" xfId="3413"/>
    <cellStyle name="40% - Accent1 3 50 2" xfId="3414"/>
    <cellStyle name="40% - Accent1 3 51" xfId="3415"/>
    <cellStyle name="40% - Accent1 3 51 2" xfId="3416"/>
    <cellStyle name="40% - Accent1 3 52" xfId="3417"/>
    <cellStyle name="40% - Accent1 3 52 2" xfId="3418"/>
    <cellStyle name="40% - Accent1 3 53" xfId="3419"/>
    <cellStyle name="40% - Accent1 3 53 2" xfId="3420"/>
    <cellStyle name="40% - Accent1 3 54" xfId="3421"/>
    <cellStyle name="40% - Accent1 3 54 2" xfId="3422"/>
    <cellStyle name="40% - Accent1 3 55" xfId="3423"/>
    <cellStyle name="40% - Accent1 3 55 2" xfId="3424"/>
    <cellStyle name="40% - Accent1 3 56" xfId="3425"/>
    <cellStyle name="40% - Accent1 3 56 2" xfId="3426"/>
    <cellStyle name="40% - Accent1 3 57" xfId="3427"/>
    <cellStyle name="40% - Accent1 3 6" xfId="3428"/>
    <cellStyle name="40% - Accent1 3 6 10" xfId="3429"/>
    <cellStyle name="40% - Accent1 3 6 2" xfId="3430"/>
    <cellStyle name="40% - Accent1 3 6 2 2" xfId="3431"/>
    <cellStyle name="40% - Accent1 3 6 3" xfId="3432"/>
    <cellStyle name="40% - Accent1 3 6 3 2" xfId="3433"/>
    <cellStyle name="40% - Accent1 3 6 4" xfId="3434"/>
    <cellStyle name="40% - Accent1 3 6 4 2" xfId="3435"/>
    <cellStyle name="40% - Accent1 3 6 5" xfId="3436"/>
    <cellStyle name="40% - Accent1 3 6 5 2" xfId="3437"/>
    <cellStyle name="40% - Accent1 3 6 6" xfId="3438"/>
    <cellStyle name="40% - Accent1 3 6 6 2" xfId="3439"/>
    <cellStyle name="40% - Accent1 3 6 7" xfId="3440"/>
    <cellStyle name="40% - Accent1 3 6 7 2" xfId="3441"/>
    <cellStyle name="40% - Accent1 3 6 8" xfId="3442"/>
    <cellStyle name="40% - Accent1 3 6 8 2" xfId="3443"/>
    <cellStyle name="40% - Accent1 3 6 9" xfId="3444"/>
    <cellStyle name="40% - Accent1 3 6 9 2" xfId="3445"/>
    <cellStyle name="40% - Accent1 3 7" xfId="3446"/>
    <cellStyle name="40% - Accent1 3 7 10" xfId="3447"/>
    <cellStyle name="40% - Accent1 3 7 2" xfId="3448"/>
    <cellStyle name="40% - Accent1 3 7 2 2" xfId="3449"/>
    <cellStyle name="40% - Accent1 3 7 3" xfId="3450"/>
    <cellStyle name="40% - Accent1 3 7 3 2" xfId="3451"/>
    <cellStyle name="40% - Accent1 3 7 4" xfId="3452"/>
    <cellStyle name="40% - Accent1 3 7 4 2" xfId="3453"/>
    <cellStyle name="40% - Accent1 3 7 5" xfId="3454"/>
    <cellStyle name="40% - Accent1 3 7 5 2" xfId="3455"/>
    <cellStyle name="40% - Accent1 3 7 6" xfId="3456"/>
    <cellStyle name="40% - Accent1 3 7 6 2" xfId="3457"/>
    <cellStyle name="40% - Accent1 3 7 7" xfId="3458"/>
    <cellStyle name="40% - Accent1 3 7 7 2" xfId="3459"/>
    <cellStyle name="40% - Accent1 3 7 8" xfId="3460"/>
    <cellStyle name="40% - Accent1 3 7 8 2" xfId="3461"/>
    <cellStyle name="40% - Accent1 3 7 9" xfId="3462"/>
    <cellStyle name="40% - Accent1 3 7 9 2" xfId="3463"/>
    <cellStyle name="40% - Accent1 3 8" xfId="3464"/>
    <cellStyle name="40% - Accent1 3 8 10" xfId="3465"/>
    <cellStyle name="40% - Accent1 3 8 2" xfId="3466"/>
    <cellStyle name="40% - Accent1 3 8 2 2" xfId="3467"/>
    <cellStyle name="40% - Accent1 3 8 3" xfId="3468"/>
    <cellStyle name="40% - Accent1 3 8 3 2" xfId="3469"/>
    <cellStyle name="40% - Accent1 3 8 4" xfId="3470"/>
    <cellStyle name="40% - Accent1 3 8 4 2" xfId="3471"/>
    <cellStyle name="40% - Accent1 3 8 5" xfId="3472"/>
    <cellStyle name="40% - Accent1 3 8 5 2" xfId="3473"/>
    <cellStyle name="40% - Accent1 3 8 6" xfId="3474"/>
    <cellStyle name="40% - Accent1 3 8 6 2" xfId="3475"/>
    <cellStyle name="40% - Accent1 3 8 7" xfId="3476"/>
    <cellStyle name="40% - Accent1 3 8 7 2" xfId="3477"/>
    <cellStyle name="40% - Accent1 3 8 8" xfId="3478"/>
    <cellStyle name="40% - Accent1 3 8 8 2" xfId="3479"/>
    <cellStyle name="40% - Accent1 3 8 9" xfId="3480"/>
    <cellStyle name="40% - Accent1 3 8 9 2" xfId="3481"/>
    <cellStyle name="40% - Accent1 3 9" xfId="3482"/>
    <cellStyle name="40% - Accent1 3 9 10" xfId="3483"/>
    <cellStyle name="40% - Accent1 3 9 2" xfId="3484"/>
    <cellStyle name="40% - Accent1 3 9 2 2" xfId="3485"/>
    <cellStyle name="40% - Accent1 3 9 3" xfId="3486"/>
    <cellStyle name="40% - Accent1 3 9 3 2" xfId="3487"/>
    <cellStyle name="40% - Accent1 3 9 4" xfId="3488"/>
    <cellStyle name="40% - Accent1 3 9 4 2" xfId="3489"/>
    <cellStyle name="40% - Accent1 3 9 5" xfId="3490"/>
    <cellStyle name="40% - Accent1 3 9 5 2" xfId="3491"/>
    <cellStyle name="40% - Accent1 3 9 6" xfId="3492"/>
    <cellStyle name="40% - Accent1 3 9 6 2" xfId="3493"/>
    <cellStyle name="40% - Accent1 3 9 7" xfId="3494"/>
    <cellStyle name="40% - Accent1 3 9 7 2" xfId="3495"/>
    <cellStyle name="40% - Accent1 3 9 8" xfId="3496"/>
    <cellStyle name="40% - Accent1 3 9 8 2" xfId="3497"/>
    <cellStyle name="40% - Accent1 3 9 9" xfId="3498"/>
    <cellStyle name="40% - Accent1 3 9 9 2" xfId="3499"/>
    <cellStyle name="40% - Accent1 30" xfId="3500"/>
    <cellStyle name="40% - Accent1 30 2" xfId="3501"/>
    <cellStyle name="40% - Accent1 31" xfId="3502"/>
    <cellStyle name="40% - Accent1 31 2" xfId="3503"/>
    <cellStyle name="40% - Accent1 32" xfId="3504"/>
    <cellStyle name="40% - Accent1 32 2" xfId="3505"/>
    <cellStyle name="40% - Accent1 33" xfId="3506"/>
    <cellStyle name="40% - Accent1 33 2" xfId="3507"/>
    <cellStyle name="40% - Accent1 34" xfId="3508"/>
    <cellStyle name="40% - Accent1 34 2" xfId="3509"/>
    <cellStyle name="40% - Accent1 35" xfId="3510"/>
    <cellStyle name="40% - Accent1 35 2" xfId="3511"/>
    <cellStyle name="40% - Accent1 36" xfId="3512"/>
    <cellStyle name="40% - Accent1 36 2" xfId="3513"/>
    <cellStyle name="40% - Accent1 37" xfId="3514"/>
    <cellStyle name="40% - Accent1 37 2" xfId="3515"/>
    <cellStyle name="40% - Accent1 38" xfId="3516"/>
    <cellStyle name="40% - Accent1 38 2" xfId="3517"/>
    <cellStyle name="40% - Accent1 39" xfId="3518"/>
    <cellStyle name="40% - Accent1 4" xfId="3519"/>
    <cellStyle name="40% - Accent1 4 2" xfId="3520"/>
    <cellStyle name="40% - Accent1 4 2 2" xfId="3521"/>
    <cellStyle name="40% - Accent1 4 3" xfId="3522"/>
    <cellStyle name="40% - Accent1 4 3 2" xfId="3523"/>
    <cellStyle name="40% - Accent1 4 4" xfId="3524"/>
    <cellStyle name="40% - Accent1 4 4 2" xfId="3525"/>
    <cellStyle name="40% - Accent1 4 5" xfId="3526"/>
    <cellStyle name="40% - Accent1 4 5 2" xfId="3527"/>
    <cellStyle name="40% - Accent1 4 6" xfId="3528"/>
    <cellStyle name="40% - Accent1 4 6 2" xfId="3529"/>
    <cellStyle name="40% - Accent1 4 7" xfId="3530"/>
    <cellStyle name="40% - Accent1 4 7 2" xfId="3531"/>
    <cellStyle name="40% - Accent1 4 8" xfId="3532"/>
    <cellStyle name="40% - Accent1 4 8 2" xfId="3533"/>
    <cellStyle name="40% - Accent1 5" xfId="3534"/>
    <cellStyle name="40% - Accent1 5 10" xfId="3535"/>
    <cellStyle name="40% - Accent1 5 10 2" xfId="3536"/>
    <cellStyle name="40% - Accent1 5 11" xfId="3537"/>
    <cellStyle name="40% - Accent1 5 11 2" xfId="3538"/>
    <cellStyle name="40% - Accent1 5 12" xfId="3539"/>
    <cellStyle name="40% - Accent1 5 12 2" xfId="3540"/>
    <cellStyle name="40% - Accent1 5 13" xfId="3541"/>
    <cellStyle name="40% - Accent1 5 13 2" xfId="3542"/>
    <cellStyle name="40% - Accent1 5 14" xfId="3543"/>
    <cellStyle name="40% - Accent1 5 2" xfId="3544"/>
    <cellStyle name="40% - Accent1 5 2 2" xfId="3545"/>
    <cellStyle name="40% - Accent1 5 2 3" xfId="3546"/>
    <cellStyle name="40% - Accent1 5 2 4" xfId="3547"/>
    <cellStyle name="40% - Accent1 5 2 5" xfId="3548"/>
    <cellStyle name="40% - Accent1 5 2 6" xfId="3549"/>
    <cellStyle name="40% - Accent1 5 3" xfId="3550"/>
    <cellStyle name="40% - Accent1 5 4" xfId="3551"/>
    <cellStyle name="40% - Accent1 5 5" xfId="3552"/>
    <cellStyle name="40% - Accent1 5 6" xfId="3553"/>
    <cellStyle name="40% - Accent1 5 7" xfId="3554"/>
    <cellStyle name="40% - Accent1 5 8" xfId="3555"/>
    <cellStyle name="40% - Accent1 5 8 2" xfId="3556"/>
    <cellStyle name="40% - Accent1 5 9" xfId="3557"/>
    <cellStyle name="40% - Accent1 5 9 2" xfId="3558"/>
    <cellStyle name="40% - Accent1 6" xfId="3559"/>
    <cellStyle name="40% - Accent1 6 2" xfId="3560"/>
    <cellStyle name="40% - Accent1 6 2 2" xfId="3561"/>
    <cellStyle name="40% - Accent1 6 2 3" xfId="3562"/>
    <cellStyle name="40% - Accent1 6 2 4" xfId="3563"/>
    <cellStyle name="40% - Accent1 6 2 5" xfId="3564"/>
    <cellStyle name="40% - Accent1 6 2 6" xfId="3565"/>
    <cellStyle name="40% - Accent1 6 3" xfId="3566"/>
    <cellStyle name="40% - Accent1 6 4" xfId="3567"/>
    <cellStyle name="40% - Accent1 6 5" xfId="3568"/>
    <cellStyle name="40% - Accent1 6 6" xfId="3569"/>
    <cellStyle name="40% - Accent1 6 7" xfId="3570"/>
    <cellStyle name="40% - Accent1 6 8" xfId="3571"/>
    <cellStyle name="40% - Accent1 6 9" xfId="3572"/>
    <cellStyle name="40% - Accent1 7" xfId="3573"/>
    <cellStyle name="40% - Accent1 7 2" xfId="3574"/>
    <cellStyle name="40% - Accent1 7 3" xfId="3575"/>
    <cellStyle name="40% - Accent1 7 4" xfId="3576"/>
    <cellStyle name="40% - Accent1 7 5" xfId="3577"/>
    <cellStyle name="40% - Accent1 8" xfId="3578"/>
    <cellStyle name="40% - Accent1 8 2" xfId="3579"/>
    <cellStyle name="40% - Accent1 8 3" xfId="3580"/>
    <cellStyle name="40% - Accent1 8 4" xfId="3581"/>
    <cellStyle name="40% - Accent1 8 5" xfId="3582"/>
    <cellStyle name="40% - Accent1 9" xfId="3583"/>
    <cellStyle name="40% - Accent1 9 2" xfId="3584"/>
    <cellStyle name="40% - Accent1 9 3" xfId="3585"/>
    <cellStyle name="40% - Accent1 9 4" xfId="3586"/>
    <cellStyle name="40% - Accent1 9 5" xfId="3587"/>
    <cellStyle name="40% - Accent2 10" xfId="3588"/>
    <cellStyle name="40% - Accent2 10 2" xfId="3589"/>
    <cellStyle name="40% - Accent2 10 3" xfId="3590"/>
    <cellStyle name="40% - Accent2 10 4" xfId="3591"/>
    <cellStyle name="40% - Accent2 11" xfId="3592"/>
    <cellStyle name="40% - Accent2 11 2" xfId="3593"/>
    <cellStyle name="40% - Accent2 11 3" xfId="3594"/>
    <cellStyle name="40% - Accent2 11 4" xfId="3595"/>
    <cellStyle name="40% - Accent2 12" xfId="3596"/>
    <cellStyle name="40% - Accent2 12 2" xfId="3597"/>
    <cellStyle name="40% - Accent2 12 3" xfId="3598"/>
    <cellStyle name="40% - Accent2 12 4" xfId="3599"/>
    <cellStyle name="40% - Accent2 13" xfId="3600"/>
    <cellStyle name="40% - Accent2 13 2" xfId="3601"/>
    <cellStyle name="40% - Accent2 13 3" xfId="3602"/>
    <cellStyle name="40% - Accent2 13 4" xfId="3603"/>
    <cellStyle name="40% - Accent2 14" xfId="3604"/>
    <cellStyle name="40% - Accent2 14 2" xfId="3605"/>
    <cellStyle name="40% - Accent2 14 3" xfId="3606"/>
    <cellStyle name="40% - Accent2 14 4" xfId="3607"/>
    <cellStyle name="40% - Accent2 15" xfId="3608"/>
    <cellStyle name="40% - Accent2 15 2" xfId="3609"/>
    <cellStyle name="40% - Accent2 15 3" xfId="3610"/>
    <cellStyle name="40% - Accent2 15 4" xfId="3611"/>
    <cellStyle name="40% - Accent2 16" xfId="3612"/>
    <cellStyle name="40% - Accent2 16 2" xfId="3613"/>
    <cellStyle name="40% - Accent2 17" xfId="3614"/>
    <cellStyle name="40% - Accent2 17 2" xfId="3615"/>
    <cellStyle name="40% - Accent2 18" xfId="3616"/>
    <cellStyle name="40% - Accent2 18 2" xfId="3617"/>
    <cellStyle name="40% - Accent2 19" xfId="3618"/>
    <cellStyle name="40% - Accent2 19 2" xfId="3619"/>
    <cellStyle name="40% - Accent2 2" xfId="3620"/>
    <cellStyle name="40% - Accent2 2 10" xfId="3621"/>
    <cellStyle name="40% - Accent2 2 10 2" xfId="3622"/>
    <cellStyle name="40% - Accent2 2 11" xfId="3623"/>
    <cellStyle name="40% - Accent2 2 11 2" xfId="3624"/>
    <cellStyle name="40% - Accent2 2 12" xfId="3625"/>
    <cellStyle name="40% - Accent2 2 12 2" xfId="3626"/>
    <cellStyle name="40% - Accent2 2 13" xfId="3627"/>
    <cellStyle name="40% - Accent2 2 13 2" xfId="3628"/>
    <cellStyle name="40% - Accent2 2 14" xfId="3629"/>
    <cellStyle name="40% - Accent2 2 14 2" xfId="3630"/>
    <cellStyle name="40% - Accent2 2 2" xfId="3631"/>
    <cellStyle name="40% - Accent2 2 3" xfId="3632"/>
    <cellStyle name="40% - Accent2 2 4" xfId="3633"/>
    <cellStyle name="40% - Accent2 2 5" xfId="3634"/>
    <cellStyle name="40% - Accent2 2 6" xfId="3635"/>
    <cellStyle name="40% - Accent2 2 7" xfId="3636"/>
    <cellStyle name="40% - Accent2 2 8" xfId="3637"/>
    <cellStyle name="40% - Accent2 2 9" xfId="3638"/>
    <cellStyle name="40% - Accent2 2 9 2" xfId="3639"/>
    <cellStyle name="40% - Accent2 20" xfId="3640"/>
    <cellStyle name="40% - Accent2 20 2" xfId="3641"/>
    <cellStyle name="40% - Accent2 21" xfId="3642"/>
    <cellStyle name="40% - Accent2 21 2" xfId="3643"/>
    <cellStyle name="40% - Accent2 22" xfId="3644"/>
    <cellStyle name="40% - Accent2 22 2" xfId="3645"/>
    <cellStyle name="40% - Accent2 23" xfId="3646"/>
    <cellStyle name="40% - Accent2 23 2" xfId="3647"/>
    <cellStyle name="40% - Accent2 24" xfId="3648"/>
    <cellStyle name="40% - Accent2 24 2" xfId="3649"/>
    <cellStyle name="40% - Accent2 25" xfId="3650"/>
    <cellStyle name="40% - Accent2 25 2" xfId="3651"/>
    <cellStyle name="40% - Accent2 26" xfId="3652"/>
    <cellStyle name="40% - Accent2 26 2" xfId="3653"/>
    <cellStyle name="40% - Accent2 27" xfId="3654"/>
    <cellStyle name="40% - Accent2 27 2" xfId="3655"/>
    <cellStyle name="40% - Accent2 28" xfId="3656"/>
    <cellStyle name="40% - Accent2 28 2" xfId="3657"/>
    <cellStyle name="40% - Accent2 29" xfId="3658"/>
    <cellStyle name="40% - Accent2 29 2" xfId="3659"/>
    <cellStyle name="40% - Accent2 3" xfId="3660"/>
    <cellStyle name="40% - Accent2 3 10" xfId="3661"/>
    <cellStyle name="40% - Accent2 3 10 10" xfId="3662"/>
    <cellStyle name="40% - Accent2 3 10 2" xfId="3663"/>
    <cellStyle name="40% - Accent2 3 10 2 2" xfId="3664"/>
    <cellStyle name="40% - Accent2 3 10 3" xfId="3665"/>
    <cellStyle name="40% - Accent2 3 10 3 2" xfId="3666"/>
    <cellStyle name="40% - Accent2 3 10 4" xfId="3667"/>
    <cellStyle name="40% - Accent2 3 10 4 2" xfId="3668"/>
    <cellStyle name="40% - Accent2 3 10 5" xfId="3669"/>
    <cellStyle name="40% - Accent2 3 10 5 2" xfId="3670"/>
    <cellStyle name="40% - Accent2 3 10 6" xfId="3671"/>
    <cellStyle name="40% - Accent2 3 10 6 2" xfId="3672"/>
    <cellStyle name="40% - Accent2 3 10 7" xfId="3673"/>
    <cellStyle name="40% - Accent2 3 10 7 2" xfId="3674"/>
    <cellStyle name="40% - Accent2 3 10 8" xfId="3675"/>
    <cellStyle name="40% - Accent2 3 10 8 2" xfId="3676"/>
    <cellStyle name="40% - Accent2 3 10 9" xfId="3677"/>
    <cellStyle name="40% - Accent2 3 10 9 2" xfId="3678"/>
    <cellStyle name="40% - Accent2 3 11" xfId="3679"/>
    <cellStyle name="40% - Accent2 3 11 10" xfId="3680"/>
    <cellStyle name="40% - Accent2 3 11 2" xfId="3681"/>
    <cellStyle name="40% - Accent2 3 11 2 2" xfId="3682"/>
    <cellStyle name="40% - Accent2 3 11 3" xfId="3683"/>
    <cellStyle name="40% - Accent2 3 11 3 2" xfId="3684"/>
    <cellStyle name="40% - Accent2 3 11 4" xfId="3685"/>
    <cellStyle name="40% - Accent2 3 11 4 2" xfId="3686"/>
    <cellStyle name="40% - Accent2 3 11 5" xfId="3687"/>
    <cellStyle name="40% - Accent2 3 11 5 2" xfId="3688"/>
    <cellStyle name="40% - Accent2 3 11 6" xfId="3689"/>
    <cellStyle name="40% - Accent2 3 11 6 2" xfId="3690"/>
    <cellStyle name="40% - Accent2 3 11 7" xfId="3691"/>
    <cellStyle name="40% - Accent2 3 11 7 2" xfId="3692"/>
    <cellStyle name="40% - Accent2 3 11 8" xfId="3693"/>
    <cellStyle name="40% - Accent2 3 11 8 2" xfId="3694"/>
    <cellStyle name="40% - Accent2 3 11 9" xfId="3695"/>
    <cellStyle name="40% - Accent2 3 11 9 2" xfId="3696"/>
    <cellStyle name="40% - Accent2 3 12" xfId="3697"/>
    <cellStyle name="40% - Accent2 3 12 10" xfId="3698"/>
    <cellStyle name="40% - Accent2 3 12 2" xfId="3699"/>
    <cellStyle name="40% - Accent2 3 12 2 2" xfId="3700"/>
    <cellStyle name="40% - Accent2 3 12 3" xfId="3701"/>
    <cellStyle name="40% - Accent2 3 12 3 2" xfId="3702"/>
    <cellStyle name="40% - Accent2 3 12 4" xfId="3703"/>
    <cellStyle name="40% - Accent2 3 12 4 2" xfId="3704"/>
    <cellStyle name="40% - Accent2 3 12 5" xfId="3705"/>
    <cellStyle name="40% - Accent2 3 12 5 2" xfId="3706"/>
    <cellStyle name="40% - Accent2 3 12 6" xfId="3707"/>
    <cellStyle name="40% - Accent2 3 12 6 2" xfId="3708"/>
    <cellStyle name="40% - Accent2 3 12 7" xfId="3709"/>
    <cellStyle name="40% - Accent2 3 12 7 2" xfId="3710"/>
    <cellStyle name="40% - Accent2 3 12 8" xfId="3711"/>
    <cellStyle name="40% - Accent2 3 12 8 2" xfId="3712"/>
    <cellStyle name="40% - Accent2 3 12 9" xfId="3713"/>
    <cellStyle name="40% - Accent2 3 12 9 2" xfId="3714"/>
    <cellStyle name="40% - Accent2 3 13" xfId="3715"/>
    <cellStyle name="40% - Accent2 3 13 2" xfId="3716"/>
    <cellStyle name="40% - Accent2 3 14" xfId="3717"/>
    <cellStyle name="40% - Accent2 3 14 2" xfId="3718"/>
    <cellStyle name="40% - Accent2 3 15" xfId="3719"/>
    <cellStyle name="40% - Accent2 3 15 2" xfId="3720"/>
    <cellStyle name="40% - Accent2 3 16" xfId="3721"/>
    <cellStyle name="40% - Accent2 3 16 2" xfId="3722"/>
    <cellStyle name="40% - Accent2 3 17" xfId="3723"/>
    <cellStyle name="40% - Accent2 3 17 2" xfId="3724"/>
    <cellStyle name="40% - Accent2 3 18" xfId="3725"/>
    <cellStyle name="40% - Accent2 3 18 2" xfId="3726"/>
    <cellStyle name="40% - Accent2 3 19" xfId="3727"/>
    <cellStyle name="40% - Accent2 3 19 2" xfId="3728"/>
    <cellStyle name="40% - Accent2 3 2" xfId="3729"/>
    <cellStyle name="40% - Accent2 3 2 10" xfId="3730"/>
    <cellStyle name="40% - Accent2 3 2 10 2" xfId="3731"/>
    <cellStyle name="40% - Accent2 3 2 11" xfId="3732"/>
    <cellStyle name="40% - Accent2 3 2 11 2" xfId="3733"/>
    <cellStyle name="40% - Accent2 3 2 12" xfId="3734"/>
    <cellStyle name="40% - Accent2 3 2 12 2" xfId="3735"/>
    <cellStyle name="40% - Accent2 3 2 13" xfId="3736"/>
    <cellStyle name="40% - Accent2 3 2 13 2" xfId="3737"/>
    <cellStyle name="40% - Accent2 3 2 14" xfId="3738"/>
    <cellStyle name="40% - Accent2 3 2 14 2" xfId="3739"/>
    <cellStyle name="40% - Accent2 3 2 15" xfId="3740"/>
    <cellStyle name="40% - Accent2 3 2 15 2" xfId="3741"/>
    <cellStyle name="40% - Accent2 3 2 16" xfId="3742"/>
    <cellStyle name="40% - Accent2 3 2 16 2" xfId="3743"/>
    <cellStyle name="40% - Accent2 3 2 17" xfId="3744"/>
    <cellStyle name="40% - Accent2 3 2 17 2" xfId="3745"/>
    <cellStyle name="40% - Accent2 3 2 18" xfId="3746"/>
    <cellStyle name="40% - Accent2 3 2 18 2" xfId="3747"/>
    <cellStyle name="40% - Accent2 3 2 19" xfId="3748"/>
    <cellStyle name="40% - Accent2 3 2 19 2" xfId="3749"/>
    <cellStyle name="40% - Accent2 3 2 2" xfId="3750"/>
    <cellStyle name="40% - Accent2 3 2 2 2" xfId="3751"/>
    <cellStyle name="40% - Accent2 3 2 2 2 2" xfId="3752"/>
    <cellStyle name="40% - Accent2 3 2 2 3" xfId="3753"/>
    <cellStyle name="40% - Accent2 3 2 2 3 2" xfId="3754"/>
    <cellStyle name="40% - Accent2 3 2 2 4" xfId="3755"/>
    <cellStyle name="40% - Accent2 3 2 2 4 2" xfId="3756"/>
    <cellStyle name="40% - Accent2 3 2 2 5" xfId="3757"/>
    <cellStyle name="40% - Accent2 3 2 2 5 2" xfId="3758"/>
    <cellStyle name="40% - Accent2 3 2 2 6" xfId="3759"/>
    <cellStyle name="40% - Accent2 3 2 2 6 2" xfId="3760"/>
    <cellStyle name="40% - Accent2 3 2 2 7" xfId="3761"/>
    <cellStyle name="40% - Accent2 3 2 2 7 2" xfId="3762"/>
    <cellStyle name="40% - Accent2 3 2 2 8" xfId="3763"/>
    <cellStyle name="40% - Accent2 3 2 20" xfId="3764"/>
    <cellStyle name="40% - Accent2 3 2 20 2" xfId="3765"/>
    <cellStyle name="40% - Accent2 3 2 21" xfId="3766"/>
    <cellStyle name="40% - Accent2 3 2 21 2" xfId="3767"/>
    <cellStyle name="40% - Accent2 3 2 22" xfId="3768"/>
    <cellStyle name="40% - Accent2 3 2 22 2" xfId="3769"/>
    <cellStyle name="40% - Accent2 3 2 23" xfId="3770"/>
    <cellStyle name="40% - Accent2 3 2 23 2" xfId="3771"/>
    <cellStyle name="40% - Accent2 3 2 24" xfId="3772"/>
    <cellStyle name="40% - Accent2 3 2 3" xfId="3773"/>
    <cellStyle name="40% - Accent2 3 2 3 2" xfId="3774"/>
    <cellStyle name="40% - Accent2 3 2 3 2 2" xfId="3775"/>
    <cellStyle name="40% - Accent2 3 2 3 3" xfId="3776"/>
    <cellStyle name="40% - Accent2 3 2 3 3 2" xfId="3777"/>
    <cellStyle name="40% - Accent2 3 2 3 4" xfId="3778"/>
    <cellStyle name="40% - Accent2 3 2 3 4 2" xfId="3779"/>
    <cellStyle name="40% - Accent2 3 2 3 5" xfId="3780"/>
    <cellStyle name="40% - Accent2 3 2 3 5 2" xfId="3781"/>
    <cellStyle name="40% - Accent2 3 2 3 6" xfId="3782"/>
    <cellStyle name="40% - Accent2 3 2 3 6 2" xfId="3783"/>
    <cellStyle name="40% - Accent2 3 2 3 7" xfId="3784"/>
    <cellStyle name="40% - Accent2 3 2 3 7 2" xfId="3785"/>
    <cellStyle name="40% - Accent2 3 2 3 8" xfId="3786"/>
    <cellStyle name="40% - Accent2 3 2 4" xfId="3787"/>
    <cellStyle name="40% - Accent2 3 2 4 2" xfId="3788"/>
    <cellStyle name="40% - Accent2 3 2 5" xfId="3789"/>
    <cellStyle name="40% - Accent2 3 2 5 2" xfId="3790"/>
    <cellStyle name="40% - Accent2 3 2 6" xfId="3791"/>
    <cellStyle name="40% - Accent2 3 2 6 2" xfId="3792"/>
    <cellStyle name="40% - Accent2 3 2 7" xfId="3793"/>
    <cellStyle name="40% - Accent2 3 2 7 2" xfId="3794"/>
    <cellStyle name="40% - Accent2 3 2 8" xfId="3795"/>
    <cellStyle name="40% - Accent2 3 2 8 2" xfId="3796"/>
    <cellStyle name="40% - Accent2 3 2 9" xfId="3797"/>
    <cellStyle name="40% - Accent2 3 2 9 2" xfId="3798"/>
    <cellStyle name="40% - Accent2 3 20" xfId="3799"/>
    <cellStyle name="40% - Accent2 3 20 2" xfId="3800"/>
    <cellStyle name="40% - Accent2 3 21" xfId="3801"/>
    <cellStyle name="40% - Accent2 3 21 2" xfId="3802"/>
    <cellStyle name="40% - Accent2 3 22" xfId="3803"/>
    <cellStyle name="40% - Accent2 3 22 2" xfId="3804"/>
    <cellStyle name="40% - Accent2 3 23" xfId="3805"/>
    <cellStyle name="40% - Accent2 3 23 2" xfId="3806"/>
    <cellStyle name="40% - Accent2 3 24" xfId="3807"/>
    <cellStyle name="40% - Accent2 3 24 2" xfId="3808"/>
    <cellStyle name="40% - Accent2 3 25" xfId="3809"/>
    <cellStyle name="40% - Accent2 3 25 2" xfId="3810"/>
    <cellStyle name="40% - Accent2 3 26" xfId="3811"/>
    <cellStyle name="40% - Accent2 3 26 2" xfId="3812"/>
    <cellStyle name="40% - Accent2 3 27" xfId="3813"/>
    <cellStyle name="40% - Accent2 3 27 2" xfId="3814"/>
    <cellStyle name="40% - Accent2 3 28" xfId="3815"/>
    <cellStyle name="40% - Accent2 3 28 2" xfId="3816"/>
    <cellStyle name="40% - Accent2 3 29" xfId="3817"/>
    <cellStyle name="40% - Accent2 3 29 2" xfId="3818"/>
    <cellStyle name="40% - Accent2 3 3" xfId="3819"/>
    <cellStyle name="40% - Accent2 3 3 10" xfId="3820"/>
    <cellStyle name="40% - Accent2 3 3 2" xfId="3821"/>
    <cellStyle name="40% - Accent2 3 3 2 2" xfId="3822"/>
    <cellStyle name="40% - Accent2 3 3 2 2 2" xfId="3823"/>
    <cellStyle name="40% - Accent2 3 3 2 3" xfId="3824"/>
    <cellStyle name="40% - Accent2 3 3 2 3 2" xfId="3825"/>
    <cellStyle name="40% - Accent2 3 3 2 4" xfId="3826"/>
    <cellStyle name="40% - Accent2 3 3 2 4 2" xfId="3827"/>
    <cellStyle name="40% - Accent2 3 3 2 5" xfId="3828"/>
    <cellStyle name="40% - Accent2 3 3 2 5 2" xfId="3829"/>
    <cellStyle name="40% - Accent2 3 3 2 6" xfId="3830"/>
    <cellStyle name="40% - Accent2 3 3 2 6 2" xfId="3831"/>
    <cellStyle name="40% - Accent2 3 3 2 7" xfId="3832"/>
    <cellStyle name="40% - Accent2 3 3 2 7 2" xfId="3833"/>
    <cellStyle name="40% - Accent2 3 3 2 8" xfId="3834"/>
    <cellStyle name="40% - Accent2 3 3 3" xfId="3835"/>
    <cellStyle name="40% - Accent2 3 3 3 2" xfId="3836"/>
    <cellStyle name="40% - Accent2 3 3 4" xfId="3837"/>
    <cellStyle name="40% - Accent2 3 3 4 2" xfId="3838"/>
    <cellStyle name="40% - Accent2 3 3 5" xfId="3839"/>
    <cellStyle name="40% - Accent2 3 3 5 2" xfId="3840"/>
    <cellStyle name="40% - Accent2 3 3 6" xfId="3841"/>
    <cellStyle name="40% - Accent2 3 3 6 2" xfId="3842"/>
    <cellStyle name="40% - Accent2 3 3 7" xfId="3843"/>
    <cellStyle name="40% - Accent2 3 3 7 2" xfId="3844"/>
    <cellStyle name="40% - Accent2 3 3 8" xfId="3845"/>
    <cellStyle name="40% - Accent2 3 3 8 2" xfId="3846"/>
    <cellStyle name="40% - Accent2 3 3 9" xfId="3847"/>
    <cellStyle name="40% - Accent2 3 3 9 2" xfId="3848"/>
    <cellStyle name="40% - Accent2 3 30" xfId="3849"/>
    <cellStyle name="40% - Accent2 3 30 2" xfId="3850"/>
    <cellStyle name="40% - Accent2 3 31" xfId="3851"/>
    <cellStyle name="40% - Accent2 3 31 2" xfId="3852"/>
    <cellStyle name="40% - Accent2 3 32" xfId="3853"/>
    <cellStyle name="40% - Accent2 3 32 2" xfId="3854"/>
    <cellStyle name="40% - Accent2 3 33" xfId="3855"/>
    <cellStyle name="40% - Accent2 3 33 2" xfId="3856"/>
    <cellStyle name="40% - Accent2 3 34" xfId="3857"/>
    <cellStyle name="40% - Accent2 3 34 2" xfId="3858"/>
    <cellStyle name="40% - Accent2 3 35" xfId="3859"/>
    <cellStyle name="40% - Accent2 3 35 2" xfId="3860"/>
    <cellStyle name="40% - Accent2 3 36" xfId="3861"/>
    <cellStyle name="40% - Accent2 3 36 2" xfId="3862"/>
    <cellStyle name="40% - Accent2 3 37" xfId="3863"/>
    <cellStyle name="40% - Accent2 3 37 2" xfId="3864"/>
    <cellStyle name="40% - Accent2 3 38" xfId="3865"/>
    <cellStyle name="40% - Accent2 3 38 2" xfId="3866"/>
    <cellStyle name="40% - Accent2 3 39" xfId="3867"/>
    <cellStyle name="40% - Accent2 3 39 2" xfId="3868"/>
    <cellStyle name="40% - Accent2 3 4" xfId="3869"/>
    <cellStyle name="40% - Accent2 3 4 10" xfId="3870"/>
    <cellStyle name="40% - Accent2 3 4 2" xfId="3871"/>
    <cellStyle name="40% - Accent2 3 4 2 2" xfId="3872"/>
    <cellStyle name="40% - Accent2 3 4 3" xfId="3873"/>
    <cellStyle name="40% - Accent2 3 4 3 2" xfId="3874"/>
    <cellStyle name="40% - Accent2 3 4 4" xfId="3875"/>
    <cellStyle name="40% - Accent2 3 4 4 2" xfId="3876"/>
    <cellStyle name="40% - Accent2 3 4 5" xfId="3877"/>
    <cellStyle name="40% - Accent2 3 4 5 2" xfId="3878"/>
    <cellStyle name="40% - Accent2 3 4 6" xfId="3879"/>
    <cellStyle name="40% - Accent2 3 4 6 2" xfId="3880"/>
    <cellStyle name="40% - Accent2 3 4 7" xfId="3881"/>
    <cellStyle name="40% - Accent2 3 4 7 2" xfId="3882"/>
    <cellStyle name="40% - Accent2 3 4 8" xfId="3883"/>
    <cellStyle name="40% - Accent2 3 4 8 2" xfId="3884"/>
    <cellStyle name="40% - Accent2 3 4 9" xfId="3885"/>
    <cellStyle name="40% - Accent2 3 4 9 2" xfId="3886"/>
    <cellStyle name="40% - Accent2 3 40" xfId="3887"/>
    <cellStyle name="40% - Accent2 3 40 2" xfId="3888"/>
    <cellStyle name="40% - Accent2 3 41" xfId="3889"/>
    <cellStyle name="40% - Accent2 3 41 2" xfId="3890"/>
    <cellStyle name="40% - Accent2 3 42" xfId="3891"/>
    <cellStyle name="40% - Accent2 3 42 2" xfId="3892"/>
    <cellStyle name="40% - Accent2 3 43" xfId="3893"/>
    <cellStyle name="40% - Accent2 3 43 2" xfId="3894"/>
    <cellStyle name="40% - Accent2 3 44" xfId="3895"/>
    <cellStyle name="40% - Accent2 3 44 2" xfId="3896"/>
    <cellStyle name="40% - Accent2 3 45" xfId="3897"/>
    <cellStyle name="40% - Accent2 3 45 2" xfId="3898"/>
    <cellStyle name="40% - Accent2 3 46" xfId="3899"/>
    <cellStyle name="40% - Accent2 3 46 2" xfId="3900"/>
    <cellStyle name="40% - Accent2 3 47" xfId="3901"/>
    <cellStyle name="40% - Accent2 3 47 2" xfId="3902"/>
    <cellStyle name="40% - Accent2 3 48" xfId="3903"/>
    <cellStyle name="40% - Accent2 3 48 2" xfId="3904"/>
    <cellStyle name="40% - Accent2 3 49" xfId="3905"/>
    <cellStyle name="40% - Accent2 3 49 2" xfId="3906"/>
    <cellStyle name="40% - Accent2 3 5" xfId="3907"/>
    <cellStyle name="40% - Accent2 3 5 10" xfId="3908"/>
    <cellStyle name="40% - Accent2 3 5 2" xfId="3909"/>
    <cellStyle name="40% - Accent2 3 5 2 2" xfId="3910"/>
    <cellStyle name="40% - Accent2 3 5 3" xfId="3911"/>
    <cellStyle name="40% - Accent2 3 5 3 2" xfId="3912"/>
    <cellStyle name="40% - Accent2 3 5 4" xfId="3913"/>
    <cellStyle name="40% - Accent2 3 5 4 2" xfId="3914"/>
    <cellStyle name="40% - Accent2 3 5 5" xfId="3915"/>
    <cellStyle name="40% - Accent2 3 5 5 2" xfId="3916"/>
    <cellStyle name="40% - Accent2 3 5 6" xfId="3917"/>
    <cellStyle name="40% - Accent2 3 5 6 2" xfId="3918"/>
    <cellStyle name="40% - Accent2 3 5 7" xfId="3919"/>
    <cellStyle name="40% - Accent2 3 5 7 2" xfId="3920"/>
    <cellStyle name="40% - Accent2 3 5 8" xfId="3921"/>
    <cellStyle name="40% - Accent2 3 5 8 2" xfId="3922"/>
    <cellStyle name="40% - Accent2 3 5 9" xfId="3923"/>
    <cellStyle name="40% - Accent2 3 5 9 2" xfId="3924"/>
    <cellStyle name="40% - Accent2 3 50" xfId="3925"/>
    <cellStyle name="40% - Accent2 3 50 2" xfId="3926"/>
    <cellStyle name="40% - Accent2 3 51" xfId="3927"/>
    <cellStyle name="40% - Accent2 3 51 2" xfId="3928"/>
    <cellStyle name="40% - Accent2 3 52" xfId="3929"/>
    <cellStyle name="40% - Accent2 3 52 2" xfId="3930"/>
    <cellStyle name="40% - Accent2 3 53" xfId="3931"/>
    <cellStyle name="40% - Accent2 3 53 2" xfId="3932"/>
    <cellStyle name="40% - Accent2 3 54" xfId="3933"/>
    <cellStyle name="40% - Accent2 3 54 2" xfId="3934"/>
    <cellStyle name="40% - Accent2 3 55" xfId="3935"/>
    <cellStyle name="40% - Accent2 3 55 2" xfId="3936"/>
    <cellStyle name="40% - Accent2 3 56" xfId="3937"/>
    <cellStyle name="40% - Accent2 3 56 2" xfId="3938"/>
    <cellStyle name="40% - Accent2 3 57" xfId="3939"/>
    <cellStyle name="40% - Accent2 3 6" xfId="3940"/>
    <cellStyle name="40% - Accent2 3 6 10" xfId="3941"/>
    <cellStyle name="40% - Accent2 3 6 2" xfId="3942"/>
    <cellStyle name="40% - Accent2 3 6 2 2" xfId="3943"/>
    <cellStyle name="40% - Accent2 3 6 3" xfId="3944"/>
    <cellStyle name="40% - Accent2 3 6 3 2" xfId="3945"/>
    <cellStyle name="40% - Accent2 3 6 4" xfId="3946"/>
    <cellStyle name="40% - Accent2 3 6 4 2" xfId="3947"/>
    <cellStyle name="40% - Accent2 3 6 5" xfId="3948"/>
    <cellStyle name="40% - Accent2 3 6 5 2" xfId="3949"/>
    <cellStyle name="40% - Accent2 3 6 6" xfId="3950"/>
    <cellStyle name="40% - Accent2 3 6 6 2" xfId="3951"/>
    <cellStyle name="40% - Accent2 3 6 7" xfId="3952"/>
    <cellStyle name="40% - Accent2 3 6 7 2" xfId="3953"/>
    <cellStyle name="40% - Accent2 3 6 8" xfId="3954"/>
    <cellStyle name="40% - Accent2 3 6 8 2" xfId="3955"/>
    <cellStyle name="40% - Accent2 3 6 9" xfId="3956"/>
    <cellStyle name="40% - Accent2 3 6 9 2" xfId="3957"/>
    <cellStyle name="40% - Accent2 3 7" xfId="3958"/>
    <cellStyle name="40% - Accent2 3 7 10" xfId="3959"/>
    <cellStyle name="40% - Accent2 3 7 2" xfId="3960"/>
    <cellStyle name="40% - Accent2 3 7 2 2" xfId="3961"/>
    <cellStyle name="40% - Accent2 3 7 3" xfId="3962"/>
    <cellStyle name="40% - Accent2 3 7 3 2" xfId="3963"/>
    <cellStyle name="40% - Accent2 3 7 4" xfId="3964"/>
    <cellStyle name="40% - Accent2 3 7 4 2" xfId="3965"/>
    <cellStyle name="40% - Accent2 3 7 5" xfId="3966"/>
    <cellStyle name="40% - Accent2 3 7 5 2" xfId="3967"/>
    <cellStyle name="40% - Accent2 3 7 6" xfId="3968"/>
    <cellStyle name="40% - Accent2 3 7 6 2" xfId="3969"/>
    <cellStyle name="40% - Accent2 3 7 7" xfId="3970"/>
    <cellStyle name="40% - Accent2 3 7 7 2" xfId="3971"/>
    <cellStyle name="40% - Accent2 3 7 8" xfId="3972"/>
    <cellStyle name="40% - Accent2 3 7 8 2" xfId="3973"/>
    <cellStyle name="40% - Accent2 3 7 9" xfId="3974"/>
    <cellStyle name="40% - Accent2 3 7 9 2" xfId="3975"/>
    <cellStyle name="40% - Accent2 3 8" xfId="3976"/>
    <cellStyle name="40% - Accent2 3 8 10" xfId="3977"/>
    <cellStyle name="40% - Accent2 3 8 2" xfId="3978"/>
    <cellStyle name="40% - Accent2 3 8 2 2" xfId="3979"/>
    <cellStyle name="40% - Accent2 3 8 3" xfId="3980"/>
    <cellStyle name="40% - Accent2 3 8 3 2" xfId="3981"/>
    <cellStyle name="40% - Accent2 3 8 4" xfId="3982"/>
    <cellStyle name="40% - Accent2 3 8 4 2" xfId="3983"/>
    <cellStyle name="40% - Accent2 3 8 5" xfId="3984"/>
    <cellStyle name="40% - Accent2 3 8 5 2" xfId="3985"/>
    <cellStyle name="40% - Accent2 3 8 6" xfId="3986"/>
    <cellStyle name="40% - Accent2 3 8 6 2" xfId="3987"/>
    <cellStyle name="40% - Accent2 3 8 7" xfId="3988"/>
    <cellStyle name="40% - Accent2 3 8 7 2" xfId="3989"/>
    <cellStyle name="40% - Accent2 3 8 8" xfId="3990"/>
    <cellStyle name="40% - Accent2 3 8 8 2" xfId="3991"/>
    <cellStyle name="40% - Accent2 3 8 9" xfId="3992"/>
    <cellStyle name="40% - Accent2 3 8 9 2" xfId="3993"/>
    <cellStyle name="40% - Accent2 3 9" xfId="3994"/>
    <cellStyle name="40% - Accent2 3 9 10" xfId="3995"/>
    <cellStyle name="40% - Accent2 3 9 2" xfId="3996"/>
    <cellStyle name="40% - Accent2 3 9 2 2" xfId="3997"/>
    <cellStyle name="40% - Accent2 3 9 3" xfId="3998"/>
    <cellStyle name="40% - Accent2 3 9 3 2" xfId="3999"/>
    <cellStyle name="40% - Accent2 3 9 4" xfId="4000"/>
    <cellStyle name="40% - Accent2 3 9 4 2" xfId="4001"/>
    <cellStyle name="40% - Accent2 3 9 5" xfId="4002"/>
    <cellStyle name="40% - Accent2 3 9 5 2" xfId="4003"/>
    <cellStyle name="40% - Accent2 3 9 6" xfId="4004"/>
    <cellStyle name="40% - Accent2 3 9 6 2" xfId="4005"/>
    <cellStyle name="40% - Accent2 3 9 7" xfId="4006"/>
    <cellStyle name="40% - Accent2 3 9 7 2" xfId="4007"/>
    <cellStyle name="40% - Accent2 3 9 8" xfId="4008"/>
    <cellStyle name="40% - Accent2 3 9 8 2" xfId="4009"/>
    <cellStyle name="40% - Accent2 3 9 9" xfId="4010"/>
    <cellStyle name="40% - Accent2 3 9 9 2" xfId="4011"/>
    <cellStyle name="40% - Accent2 30" xfId="4012"/>
    <cellStyle name="40% - Accent2 30 2" xfId="4013"/>
    <cellStyle name="40% - Accent2 31" xfId="4014"/>
    <cellStyle name="40% - Accent2 31 2" xfId="4015"/>
    <cellStyle name="40% - Accent2 32" xfId="4016"/>
    <cellStyle name="40% - Accent2 32 2" xfId="4017"/>
    <cellStyle name="40% - Accent2 33" xfId="4018"/>
    <cellStyle name="40% - Accent2 33 2" xfId="4019"/>
    <cellStyle name="40% - Accent2 34" xfId="4020"/>
    <cellStyle name="40% - Accent2 34 2" xfId="4021"/>
    <cellStyle name="40% - Accent2 35" xfId="4022"/>
    <cellStyle name="40% - Accent2 35 2" xfId="4023"/>
    <cellStyle name="40% - Accent2 36" xfId="4024"/>
    <cellStyle name="40% - Accent2 36 2" xfId="4025"/>
    <cellStyle name="40% - Accent2 37" xfId="4026"/>
    <cellStyle name="40% - Accent2 37 2" xfId="4027"/>
    <cellStyle name="40% - Accent2 38" xfId="4028"/>
    <cellStyle name="40% - Accent2 38 2" xfId="4029"/>
    <cellStyle name="40% - Accent2 39" xfId="4030"/>
    <cellStyle name="40% - Accent2 4" xfId="4031"/>
    <cellStyle name="40% - Accent2 4 2" xfId="4032"/>
    <cellStyle name="40% - Accent2 4 2 2" xfId="4033"/>
    <cellStyle name="40% - Accent2 4 3" xfId="4034"/>
    <cellStyle name="40% - Accent2 4 3 2" xfId="4035"/>
    <cellStyle name="40% - Accent2 4 4" xfId="4036"/>
    <cellStyle name="40% - Accent2 4 4 2" xfId="4037"/>
    <cellStyle name="40% - Accent2 4 5" xfId="4038"/>
    <cellStyle name="40% - Accent2 4 5 2" xfId="4039"/>
    <cellStyle name="40% - Accent2 4 6" xfId="4040"/>
    <cellStyle name="40% - Accent2 4 6 2" xfId="4041"/>
    <cellStyle name="40% - Accent2 4 7" xfId="4042"/>
    <cellStyle name="40% - Accent2 4 7 2" xfId="4043"/>
    <cellStyle name="40% - Accent2 4 8" xfId="4044"/>
    <cellStyle name="40% - Accent2 4 8 2" xfId="4045"/>
    <cellStyle name="40% - Accent2 5" xfId="4046"/>
    <cellStyle name="40% - Accent2 5 10" xfId="4047"/>
    <cellStyle name="40% - Accent2 5 10 2" xfId="4048"/>
    <cellStyle name="40% - Accent2 5 11" xfId="4049"/>
    <cellStyle name="40% - Accent2 5 11 2" xfId="4050"/>
    <cellStyle name="40% - Accent2 5 12" xfId="4051"/>
    <cellStyle name="40% - Accent2 5 12 2" xfId="4052"/>
    <cellStyle name="40% - Accent2 5 13" xfId="4053"/>
    <cellStyle name="40% - Accent2 5 13 2" xfId="4054"/>
    <cellStyle name="40% - Accent2 5 14" xfId="4055"/>
    <cellStyle name="40% - Accent2 5 2" xfId="4056"/>
    <cellStyle name="40% - Accent2 5 2 2" xfId="4057"/>
    <cellStyle name="40% - Accent2 5 2 3" xfId="4058"/>
    <cellStyle name="40% - Accent2 5 2 4" xfId="4059"/>
    <cellStyle name="40% - Accent2 5 2 5" xfId="4060"/>
    <cellStyle name="40% - Accent2 5 2 6" xfId="4061"/>
    <cellStyle name="40% - Accent2 5 3" xfId="4062"/>
    <cellStyle name="40% - Accent2 5 4" xfId="4063"/>
    <cellStyle name="40% - Accent2 5 5" xfId="4064"/>
    <cellStyle name="40% - Accent2 5 6" xfId="4065"/>
    <cellStyle name="40% - Accent2 5 7" xfId="4066"/>
    <cellStyle name="40% - Accent2 5 8" xfId="4067"/>
    <cellStyle name="40% - Accent2 5 8 2" xfId="4068"/>
    <cellStyle name="40% - Accent2 5 9" xfId="4069"/>
    <cellStyle name="40% - Accent2 5 9 2" xfId="4070"/>
    <cellStyle name="40% - Accent2 6" xfId="4071"/>
    <cellStyle name="40% - Accent2 6 2" xfId="4072"/>
    <cellStyle name="40% - Accent2 6 2 2" xfId="4073"/>
    <cellStyle name="40% - Accent2 6 2 3" xfId="4074"/>
    <cellStyle name="40% - Accent2 6 2 4" xfId="4075"/>
    <cellStyle name="40% - Accent2 6 2 5" xfId="4076"/>
    <cellStyle name="40% - Accent2 6 2 6" xfId="4077"/>
    <cellStyle name="40% - Accent2 6 3" xfId="4078"/>
    <cellStyle name="40% - Accent2 6 4" xfId="4079"/>
    <cellStyle name="40% - Accent2 6 5" xfId="4080"/>
    <cellStyle name="40% - Accent2 6 6" xfId="4081"/>
    <cellStyle name="40% - Accent2 6 7" xfId="4082"/>
    <cellStyle name="40% - Accent2 6 8" xfId="4083"/>
    <cellStyle name="40% - Accent2 6 9" xfId="4084"/>
    <cellStyle name="40% - Accent2 7" xfId="4085"/>
    <cellStyle name="40% - Accent2 7 2" xfId="4086"/>
    <cellStyle name="40% - Accent2 7 3" xfId="4087"/>
    <cellStyle name="40% - Accent2 7 4" xfId="4088"/>
    <cellStyle name="40% - Accent2 7 5" xfId="4089"/>
    <cellStyle name="40% - Accent2 8" xfId="4090"/>
    <cellStyle name="40% - Accent2 8 2" xfId="4091"/>
    <cellStyle name="40% - Accent2 8 3" xfId="4092"/>
    <cellStyle name="40% - Accent2 8 4" xfId="4093"/>
    <cellStyle name="40% - Accent2 8 5" xfId="4094"/>
    <cellStyle name="40% - Accent2 9" xfId="4095"/>
    <cellStyle name="40% - Accent2 9 2" xfId="4096"/>
    <cellStyle name="40% - Accent2 9 3" xfId="4097"/>
    <cellStyle name="40% - Accent2 9 4" xfId="4098"/>
    <cellStyle name="40% - Accent2 9 5" xfId="4099"/>
    <cellStyle name="40% - Accent3 10" xfId="4100"/>
    <cellStyle name="40% - Accent3 10 2" xfId="4101"/>
    <cellStyle name="40% - Accent3 10 3" xfId="4102"/>
    <cellStyle name="40% - Accent3 10 4" xfId="4103"/>
    <cellStyle name="40% - Accent3 11" xfId="4104"/>
    <cellStyle name="40% - Accent3 11 2" xfId="4105"/>
    <cellStyle name="40% - Accent3 11 3" xfId="4106"/>
    <cellStyle name="40% - Accent3 11 4" xfId="4107"/>
    <cellStyle name="40% - Accent3 12" xfId="4108"/>
    <cellStyle name="40% - Accent3 12 2" xfId="4109"/>
    <cellStyle name="40% - Accent3 12 3" xfId="4110"/>
    <cellStyle name="40% - Accent3 12 4" xfId="4111"/>
    <cellStyle name="40% - Accent3 13" xfId="4112"/>
    <cellStyle name="40% - Accent3 13 2" xfId="4113"/>
    <cellStyle name="40% - Accent3 13 3" xfId="4114"/>
    <cellStyle name="40% - Accent3 13 4" xfId="4115"/>
    <cellStyle name="40% - Accent3 14" xfId="4116"/>
    <cellStyle name="40% - Accent3 14 2" xfId="4117"/>
    <cellStyle name="40% - Accent3 14 3" xfId="4118"/>
    <cellStyle name="40% - Accent3 14 4" xfId="4119"/>
    <cellStyle name="40% - Accent3 15" xfId="4120"/>
    <cellStyle name="40% - Accent3 15 2" xfId="4121"/>
    <cellStyle name="40% - Accent3 15 3" xfId="4122"/>
    <cellStyle name="40% - Accent3 15 4" xfId="4123"/>
    <cellStyle name="40% - Accent3 16" xfId="4124"/>
    <cellStyle name="40% - Accent3 16 2" xfId="4125"/>
    <cellStyle name="40% - Accent3 17" xfId="4126"/>
    <cellStyle name="40% - Accent3 17 2" xfId="4127"/>
    <cellStyle name="40% - Accent3 18" xfId="4128"/>
    <cellStyle name="40% - Accent3 18 2" xfId="4129"/>
    <cellStyle name="40% - Accent3 19" xfId="4130"/>
    <cellStyle name="40% - Accent3 19 2" xfId="4131"/>
    <cellStyle name="40% - Accent3 2" xfId="4132"/>
    <cellStyle name="40% - Accent3 2 10" xfId="4133"/>
    <cellStyle name="40% - Accent3 2 10 2" xfId="4134"/>
    <cellStyle name="40% - Accent3 2 11" xfId="4135"/>
    <cellStyle name="40% - Accent3 2 11 2" xfId="4136"/>
    <cellStyle name="40% - Accent3 2 12" xfId="4137"/>
    <cellStyle name="40% - Accent3 2 12 2" xfId="4138"/>
    <cellStyle name="40% - Accent3 2 13" xfId="4139"/>
    <cellStyle name="40% - Accent3 2 13 2" xfId="4140"/>
    <cellStyle name="40% - Accent3 2 14" xfId="4141"/>
    <cellStyle name="40% - Accent3 2 14 2" xfId="4142"/>
    <cellStyle name="40% - Accent3 2 2" xfId="4143"/>
    <cellStyle name="40% - Accent3 2 3" xfId="4144"/>
    <cellStyle name="40% - Accent3 2 4" xfId="4145"/>
    <cellStyle name="40% - Accent3 2 5" xfId="4146"/>
    <cellStyle name="40% - Accent3 2 6" xfId="4147"/>
    <cellStyle name="40% - Accent3 2 7" xfId="4148"/>
    <cellStyle name="40% - Accent3 2 8" xfId="4149"/>
    <cellStyle name="40% - Accent3 2 9" xfId="4150"/>
    <cellStyle name="40% - Accent3 2 9 2" xfId="4151"/>
    <cellStyle name="40% - Accent3 20" xfId="4152"/>
    <cellStyle name="40% - Accent3 20 2" xfId="4153"/>
    <cellStyle name="40% - Accent3 21" xfId="4154"/>
    <cellStyle name="40% - Accent3 21 2" xfId="4155"/>
    <cellStyle name="40% - Accent3 22" xfId="4156"/>
    <cellStyle name="40% - Accent3 22 2" xfId="4157"/>
    <cellStyle name="40% - Accent3 23" xfId="4158"/>
    <cellStyle name="40% - Accent3 23 2" xfId="4159"/>
    <cellStyle name="40% - Accent3 24" xfId="4160"/>
    <cellStyle name="40% - Accent3 24 2" xfId="4161"/>
    <cellStyle name="40% - Accent3 25" xfId="4162"/>
    <cellStyle name="40% - Accent3 25 2" xfId="4163"/>
    <cellStyle name="40% - Accent3 26" xfId="4164"/>
    <cellStyle name="40% - Accent3 26 2" xfId="4165"/>
    <cellStyle name="40% - Accent3 27" xfId="4166"/>
    <cellStyle name="40% - Accent3 27 2" xfId="4167"/>
    <cellStyle name="40% - Accent3 28" xfId="4168"/>
    <cellStyle name="40% - Accent3 28 2" xfId="4169"/>
    <cellStyle name="40% - Accent3 29" xfId="4170"/>
    <cellStyle name="40% - Accent3 29 2" xfId="4171"/>
    <cellStyle name="40% - Accent3 3" xfId="4172"/>
    <cellStyle name="40% - Accent3 3 10" xfId="4173"/>
    <cellStyle name="40% - Accent3 3 10 10" xfId="4174"/>
    <cellStyle name="40% - Accent3 3 10 2" xfId="4175"/>
    <cellStyle name="40% - Accent3 3 10 2 2" xfId="4176"/>
    <cellStyle name="40% - Accent3 3 10 3" xfId="4177"/>
    <cellStyle name="40% - Accent3 3 10 3 2" xfId="4178"/>
    <cellStyle name="40% - Accent3 3 10 4" xfId="4179"/>
    <cellStyle name="40% - Accent3 3 10 4 2" xfId="4180"/>
    <cellStyle name="40% - Accent3 3 10 5" xfId="4181"/>
    <cellStyle name="40% - Accent3 3 10 5 2" xfId="4182"/>
    <cellStyle name="40% - Accent3 3 10 6" xfId="4183"/>
    <cellStyle name="40% - Accent3 3 10 6 2" xfId="4184"/>
    <cellStyle name="40% - Accent3 3 10 7" xfId="4185"/>
    <cellStyle name="40% - Accent3 3 10 7 2" xfId="4186"/>
    <cellStyle name="40% - Accent3 3 10 8" xfId="4187"/>
    <cellStyle name="40% - Accent3 3 10 8 2" xfId="4188"/>
    <cellStyle name="40% - Accent3 3 10 9" xfId="4189"/>
    <cellStyle name="40% - Accent3 3 10 9 2" xfId="4190"/>
    <cellStyle name="40% - Accent3 3 11" xfId="4191"/>
    <cellStyle name="40% - Accent3 3 11 10" xfId="4192"/>
    <cellStyle name="40% - Accent3 3 11 2" xfId="4193"/>
    <cellStyle name="40% - Accent3 3 11 2 2" xfId="4194"/>
    <cellStyle name="40% - Accent3 3 11 3" xfId="4195"/>
    <cellStyle name="40% - Accent3 3 11 3 2" xfId="4196"/>
    <cellStyle name="40% - Accent3 3 11 4" xfId="4197"/>
    <cellStyle name="40% - Accent3 3 11 4 2" xfId="4198"/>
    <cellStyle name="40% - Accent3 3 11 5" xfId="4199"/>
    <cellStyle name="40% - Accent3 3 11 5 2" xfId="4200"/>
    <cellStyle name="40% - Accent3 3 11 6" xfId="4201"/>
    <cellStyle name="40% - Accent3 3 11 6 2" xfId="4202"/>
    <cellStyle name="40% - Accent3 3 11 7" xfId="4203"/>
    <cellStyle name="40% - Accent3 3 11 7 2" xfId="4204"/>
    <cellStyle name="40% - Accent3 3 11 8" xfId="4205"/>
    <cellStyle name="40% - Accent3 3 11 8 2" xfId="4206"/>
    <cellStyle name="40% - Accent3 3 11 9" xfId="4207"/>
    <cellStyle name="40% - Accent3 3 11 9 2" xfId="4208"/>
    <cellStyle name="40% - Accent3 3 12" xfId="4209"/>
    <cellStyle name="40% - Accent3 3 12 10" xfId="4210"/>
    <cellStyle name="40% - Accent3 3 12 2" xfId="4211"/>
    <cellStyle name="40% - Accent3 3 12 2 2" xfId="4212"/>
    <cellStyle name="40% - Accent3 3 12 3" xfId="4213"/>
    <cellStyle name="40% - Accent3 3 12 3 2" xfId="4214"/>
    <cellStyle name="40% - Accent3 3 12 4" xfId="4215"/>
    <cellStyle name="40% - Accent3 3 12 4 2" xfId="4216"/>
    <cellStyle name="40% - Accent3 3 12 5" xfId="4217"/>
    <cellStyle name="40% - Accent3 3 12 5 2" xfId="4218"/>
    <cellStyle name="40% - Accent3 3 12 6" xfId="4219"/>
    <cellStyle name="40% - Accent3 3 12 6 2" xfId="4220"/>
    <cellStyle name="40% - Accent3 3 12 7" xfId="4221"/>
    <cellStyle name="40% - Accent3 3 12 7 2" xfId="4222"/>
    <cellStyle name="40% - Accent3 3 12 8" xfId="4223"/>
    <cellStyle name="40% - Accent3 3 12 8 2" xfId="4224"/>
    <cellStyle name="40% - Accent3 3 12 9" xfId="4225"/>
    <cellStyle name="40% - Accent3 3 12 9 2" xfId="4226"/>
    <cellStyle name="40% - Accent3 3 13" xfId="4227"/>
    <cellStyle name="40% - Accent3 3 13 2" xfId="4228"/>
    <cellStyle name="40% - Accent3 3 14" xfId="4229"/>
    <cellStyle name="40% - Accent3 3 14 2" xfId="4230"/>
    <cellStyle name="40% - Accent3 3 15" xfId="4231"/>
    <cellStyle name="40% - Accent3 3 15 2" xfId="4232"/>
    <cellStyle name="40% - Accent3 3 16" xfId="4233"/>
    <cellStyle name="40% - Accent3 3 16 2" xfId="4234"/>
    <cellStyle name="40% - Accent3 3 17" xfId="4235"/>
    <cellStyle name="40% - Accent3 3 17 2" xfId="4236"/>
    <cellStyle name="40% - Accent3 3 18" xfId="4237"/>
    <cellStyle name="40% - Accent3 3 18 2" xfId="4238"/>
    <cellStyle name="40% - Accent3 3 19" xfId="4239"/>
    <cellStyle name="40% - Accent3 3 19 2" xfId="4240"/>
    <cellStyle name="40% - Accent3 3 2" xfId="4241"/>
    <cellStyle name="40% - Accent3 3 2 10" xfId="4242"/>
    <cellStyle name="40% - Accent3 3 2 10 2" xfId="4243"/>
    <cellStyle name="40% - Accent3 3 2 11" xfId="4244"/>
    <cellStyle name="40% - Accent3 3 2 11 2" xfId="4245"/>
    <cellStyle name="40% - Accent3 3 2 12" xfId="4246"/>
    <cellStyle name="40% - Accent3 3 2 12 2" xfId="4247"/>
    <cellStyle name="40% - Accent3 3 2 13" xfId="4248"/>
    <cellStyle name="40% - Accent3 3 2 13 2" xfId="4249"/>
    <cellStyle name="40% - Accent3 3 2 14" xfId="4250"/>
    <cellStyle name="40% - Accent3 3 2 14 2" xfId="4251"/>
    <cellStyle name="40% - Accent3 3 2 15" xfId="4252"/>
    <cellStyle name="40% - Accent3 3 2 15 2" xfId="4253"/>
    <cellStyle name="40% - Accent3 3 2 16" xfId="4254"/>
    <cellStyle name="40% - Accent3 3 2 16 2" xfId="4255"/>
    <cellStyle name="40% - Accent3 3 2 17" xfId="4256"/>
    <cellStyle name="40% - Accent3 3 2 17 2" xfId="4257"/>
    <cellStyle name="40% - Accent3 3 2 18" xfId="4258"/>
    <cellStyle name="40% - Accent3 3 2 18 2" xfId="4259"/>
    <cellStyle name="40% - Accent3 3 2 19" xfId="4260"/>
    <cellStyle name="40% - Accent3 3 2 19 2" xfId="4261"/>
    <cellStyle name="40% - Accent3 3 2 2" xfId="4262"/>
    <cellStyle name="40% - Accent3 3 2 2 2" xfId="4263"/>
    <cellStyle name="40% - Accent3 3 2 2 2 2" xfId="4264"/>
    <cellStyle name="40% - Accent3 3 2 2 3" xfId="4265"/>
    <cellStyle name="40% - Accent3 3 2 2 3 2" xfId="4266"/>
    <cellStyle name="40% - Accent3 3 2 2 4" xfId="4267"/>
    <cellStyle name="40% - Accent3 3 2 2 4 2" xfId="4268"/>
    <cellStyle name="40% - Accent3 3 2 2 5" xfId="4269"/>
    <cellStyle name="40% - Accent3 3 2 2 5 2" xfId="4270"/>
    <cellStyle name="40% - Accent3 3 2 2 6" xfId="4271"/>
    <cellStyle name="40% - Accent3 3 2 2 6 2" xfId="4272"/>
    <cellStyle name="40% - Accent3 3 2 2 7" xfId="4273"/>
    <cellStyle name="40% - Accent3 3 2 2 7 2" xfId="4274"/>
    <cellStyle name="40% - Accent3 3 2 2 8" xfId="4275"/>
    <cellStyle name="40% - Accent3 3 2 20" xfId="4276"/>
    <cellStyle name="40% - Accent3 3 2 20 2" xfId="4277"/>
    <cellStyle name="40% - Accent3 3 2 21" xfId="4278"/>
    <cellStyle name="40% - Accent3 3 2 21 2" xfId="4279"/>
    <cellStyle name="40% - Accent3 3 2 22" xfId="4280"/>
    <cellStyle name="40% - Accent3 3 2 22 2" xfId="4281"/>
    <cellStyle name="40% - Accent3 3 2 23" xfId="4282"/>
    <cellStyle name="40% - Accent3 3 2 23 2" xfId="4283"/>
    <cellStyle name="40% - Accent3 3 2 24" xfId="4284"/>
    <cellStyle name="40% - Accent3 3 2 3" xfId="4285"/>
    <cellStyle name="40% - Accent3 3 2 3 2" xfId="4286"/>
    <cellStyle name="40% - Accent3 3 2 3 2 2" xfId="4287"/>
    <cellStyle name="40% - Accent3 3 2 3 3" xfId="4288"/>
    <cellStyle name="40% - Accent3 3 2 3 3 2" xfId="4289"/>
    <cellStyle name="40% - Accent3 3 2 3 4" xfId="4290"/>
    <cellStyle name="40% - Accent3 3 2 3 4 2" xfId="4291"/>
    <cellStyle name="40% - Accent3 3 2 3 5" xfId="4292"/>
    <cellStyle name="40% - Accent3 3 2 3 5 2" xfId="4293"/>
    <cellStyle name="40% - Accent3 3 2 3 6" xfId="4294"/>
    <cellStyle name="40% - Accent3 3 2 3 6 2" xfId="4295"/>
    <cellStyle name="40% - Accent3 3 2 3 7" xfId="4296"/>
    <cellStyle name="40% - Accent3 3 2 3 7 2" xfId="4297"/>
    <cellStyle name="40% - Accent3 3 2 3 8" xfId="4298"/>
    <cellStyle name="40% - Accent3 3 2 4" xfId="4299"/>
    <cellStyle name="40% - Accent3 3 2 4 2" xfId="4300"/>
    <cellStyle name="40% - Accent3 3 2 5" xfId="4301"/>
    <cellStyle name="40% - Accent3 3 2 5 2" xfId="4302"/>
    <cellStyle name="40% - Accent3 3 2 6" xfId="4303"/>
    <cellStyle name="40% - Accent3 3 2 6 2" xfId="4304"/>
    <cellStyle name="40% - Accent3 3 2 7" xfId="4305"/>
    <cellStyle name="40% - Accent3 3 2 7 2" xfId="4306"/>
    <cellStyle name="40% - Accent3 3 2 8" xfId="4307"/>
    <cellStyle name="40% - Accent3 3 2 8 2" xfId="4308"/>
    <cellStyle name="40% - Accent3 3 2 9" xfId="4309"/>
    <cellStyle name="40% - Accent3 3 2 9 2" xfId="4310"/>
    <cellStyle name="40% - Accent3 3 20" xfId="4311"/>
    <cellStyle name="40% - Accent3 3 20 2" xfId="4312"/>
    <cellStyle name="40% - Accent3 3 21" xfId="4313"/>
    <cellStyle name="40% - Accent3 3 21 2" xfId="4314"/>
    <cellStyle name="40% - Accent3 3 22" xfId="4315"/>
    <cellStyle name="40% - Accent3 3 22 2" xfId="4316"/>
    <cellStyle name="40% - Accent3 3 23" xfId="4317"/>
    <cellStyle name="40% - Accent3 3 23 2" xfId="4318"/>
    <cellStyle name="40% - Accent3 3 24" xfId="4319"/>
    <cellStyle name="40% - Accent3 3 24 2" xfId="4320"/>
    <cellStyle name="40% - Accent3 3 25" xfId="4321"/>
    <cellStyle name="40% - Accent3 3 25 2" xfId="4322"/>
    <cellStyle name="40% - Accent3 3 26" xfId="4323"/>
    <cellStyle name="40% - Accent3 3 26 2" xfId="4324"/>
    <cellStyle name="40% - Accent3 3 27" xfId="4325"/>
    <cellStyle name="40% - Accent3 3 27 2" xfId="4326"/>
    <cellStyle name="40% - Accent3 3 28" xfId="4327"/>
    <cellStyle name="40% - Accent3 3 28 2" xfId="4328"/>
    <cellStyle name="40% - Accent3 3 29" xfId="4329"/>
    <cellStyle name="40% - Accent3 3 29 2" xfId="4330"/>
    <cellStyle name="40% - Accent3 3 3" xfId="4331"/>
    <cellStyle name="40% - Accent3 3 3 10" xfId="4332"/>
    <cellStyle name="40% - Accent3 3 3 2" xfId="4333"/>
    <cellStyle name="40% - Accent3 3 3 2 2" xfId="4334"/>
    <cellStyle name="40% - Accent3 3 3 2 2 2" xfId="4335"/>
    <cellStyle name="40% - Accent3 3 3 2 3" xfId="4336"/>
    <cellStyle name="40% - Accent3 3 3 2 3 2" xfId="4337"/>
    <cellStyle name="40% - Accent3 3 3 2 4" xfId="4338"/>
    <cellStyle name="40% - Accent3 3 3 2 4 2" xfId="4339"/>
    <cellStyle name="40% - Accent3 3 3 2 5" xfId="4340"/>
    <cellStyle name="40% - Accent3 3 3 2 5 2" xfId="4341"/>
    <cellStyle name="40% - Accent3 3 3 2 6" xfId="4342"/>
    <cellStyle name="40% - Accent3 3 3 2 6 2" xfId="4343"/>
    <cellStyle name="40% - Accent3 3 3 2 7" xfId="4344"/>
    <cellStyle name="40% - Accent3 3 3 2 7 2" xfId="4345"/>
    <cellStyle name="40% - Accent3 3 3 2 8" xfId="4346"/>
    <cellStyle name="40% - Accent3 3 3 3" xfId="4347"/>
    <cellStyle name="40% - Accent3 3 3 3 2" xfId="4348"/>
    <cellStyle name="40% - Accent3 3 3 4" xfId="4349"/>
    <cellStyle name="40% - Accent3 3 3 4 2" xfId="4350"/>
    <cellStyle name="40% - Accent3 3 3 5" xfId="4351"/>
    <cellStyle name="40% - Accent3 3 3 5 2" xfId="4352"/>
    <cellStyle name="40% - Accent3 3 3 6" xfId="4353"/>
    <cellStyle name="40% - Accent3 3 3 6 2" xfId="4354"/>
    <cellStyle name="40% - Accent3 3 3 7" xfId="4355"/>
    <cellStyle name="40% - Accent3 3 3 7 2" xfId="4356"/>
    <cellStyle name="40% - Accent3 3 3 8" xfId="4357"/>
    <cellStyle name="40% - Accent3 3 3 8 2" xfId="4358"/>
    <cellStyle name="40% - Accent3 3 3 9" xfId="4359"/>
    <cellStyle name="40% - Accent3 3 3 9 2" xfId="4360"/>
    <cellStyle name="40% - Accent3 3 30" xfId="4361"/>
    <cellStyle name="40% - Accent3 3 30 2" xfId="4362"/>
    <cellStyle name="40% - Accent3 3 31" xfId="4363"/>
    <cellStyle name="40% - Accent3 3 31 2" xfId="4364"/>
    <cellStyle name="40% - Accent3 3 32" xfId="4365"/>
    <cellStyle name="40% - Accent3 3 32 2" xfId="4366"/>
    <cellStyle name="40% - Accent3 3 33" xfId="4367"/>
    <cellStyle name="40% - Accent3 3 33 2" xfId="4368"/>
    <cellStyle name="40% - Accent3 3 34" xfId="4369"/>
    <cellStyle name="40% - Accent3 3 34 2" xfId="4370"/>
    <cellStyle name="40% - Accent3 3 35" xfId="4371"/>
    <cellStyle name="40% - Accent3 3 35 2" xfId="4372"/>
    <cellStyle name="40% - Accent3 3 36" xfId="4373"/>
    <cellStyle name="40% - Accent3 3 36 2" xfId="4374"/>
    <cellStyle name="40% - Accent3 3 37" xfId="4375"/>
    <cellStyle name="40% - Accent3 3 37 2" xfId="4376"/>
    <cellStyle name="40% - Accent3 3 38" xfId="4377"/>
    <cellStyle name="40% - Accent3 3 38 2" xfId="4378"/>
    <cellStyle name="40% - Accent3 3 39" xfId="4379"/>
    <cellStyle name="40% - Accent3 3 39 2" xfId="4380"/>
    <cellStyle name="40% - Accent3 3 4" xfId="4381"/>
    <cellStyle name="40% - Accent3 3 4 10" xfId="4382"/>
    <cellStyle name="40% - Accent3 3 4 2" xfId="4383"/>
    <cellStyle name="40% - Accent3 3 4 2 2" xfId="4384"/>
    <cellStyle name="40% - Accent3 3 4 3" xfId="4385"/>
    <cellStyle name="40% - Accent3 3 4 3 2" xfId="4386"/>
    <cellStyle name="40% - Accent3 3 4 4" xfId="4387"/>
    <cellStyle name="40% - Accent3 3 4 4 2" xfId="4388"/>
    <cellStyle name="40% - Accent3 3 4 5" xfId="4389"/>
    <cellStyle name="40% - Accent3 3 4 5 2" xfId="4390"/>
    <cellStyle name="40% - Accent3 3 4 6" xfId="4391"/>
    <cellStyle name="40% - Accent3 3 4 6 2" xfId="4392"/>
    <cellStyle name="40% - Accent3 3 4 7" xfId="4393"/>
    <cellStyle name="40% - Accent3 3 4 7 2" xfId="4394"/>
    <cellStyle name="40% - Accent3 3 4 8" xfId="4395"/>
    <cellStyle name="40% - Accent3 3 4 8 2" xfId="4396"/>
    <cellStyle name="40% - Accent3 3 4 9" xfId="4397"/>
    <cellStyle name="40% - Accent3 3 4 9 2" xfId="4398"/>
    <cellStyle name="40% - Accent3 3 40" xfId="4399"/>
    <cellStyle name="40% - Accent3 3 40 2" xfId="4400"/>
    <cellStyle name="40% - Accent3 3 41" xfId="4401"/>
    <cellStyle name="40% - Accent3 3 41 2" xfId="4402"/>
    <cellStyle name="40% - Accent3 3 42" xfId="4403"/>
    <cellStyle name="40% - Accent3 3 42 2" xfId="4404"/>
    <cellStyle name="40% - Accent3 3 43" xfId="4405"/>
    <cellStyle name="40% - Accent3 3 43 2" xfId="4406"/>
    <cellStyle name="40% - Accent3 3 44" xfId="4407"/>
    <cellStyle name="40% - Accent3 3 44 2" xfId="4408"/>
    <cellStyle name="40% - Accent3 3 45" xfId="4409"/>
    <cellStyle name="40% - Accent3 3 45 2" xfId="4410"/>
    <cellStyle name="40% - Accent3 3 46" xfId="4411"/>
    <cellStyle name="40% - Accent3 3 46 2" xfId="4412"/>
    <cellStyle name="40% - Accent3 3 47" xfId="4413"/>
    <cellStyle name="40% - Accent3 3 47 2" xfId="4414"/>
    <cellStyle name="40% - Accent3 3 48" xfId="4415"/>
    <cellStyle name="40% - Accent3 3 48 2" xfId="4416"/>
    <cellStyle name="40% - Accent3 3 49" xfId="4417"/>
    <cellStyle name="40% - Accent3 3 49 2" xfId="4418"/>
    <cellStyle name="40% - Accent3 3 5" xfId="4419"/>
    <cellStyle name="40% - Accent3 3 5 10" xfId="4420"/>
    <cellStyle name="40% - Accent3 3 5 2" xfId="4421"/>
    <cellStyle name="40% - Accent3 3 5 2 2" xfId="4422"/>
    <cellStyle name="40% - Accent3 3 5 3" xfId="4423"/>
    <cellStyle name="40% - Accent3 3 5 3 2" xfId="4424"/>
    <cellStyle name="40% - Accent3 3 5 4" xfId="4425"/>
    <cellStyle name="40% - Accent3 3 5 4 2" xfId="4426"/>
    <cellStyle name="40% - Accent3 3 5 5" xfId="4427"/>
    <cellStyle name="40% - Accent3 3 5 5 2" xfId="4428"/>
    <cellStyle name="40% - Accent3 3 5 6" xfId="4429"/>
    <cellStyle name="40% - Accent3 3 5 6 2" xfId="4430"/>
    <cellStyle name="40% - Accent3 3 5 7" xfId="4431"/>
    <cellStyle name="40% - Accent3 3 5 7 2" xfId="4432"/>
    <cellStyle name="40% - Accent3 3 5 8" xfId="4433"/>
    <cellStyle name="40% - Accent3 3 5 8 2" xfId="4434"/>
    <cellStyle name="40% - Accent3 3 5 9" xfId="4435"/>
    <cellStyle name="40% - Accent3 3 5 9 2" xfId="4436"/>
    <cellStyle name="40% - Accent3 3 50" xfId="4437"/>
    <cellStyle name="40% - Accent3 3 50 2" xfId="4438"/>
    <cellStyle name="40% - Accent3 3 51" xfId="4439"/>
    <cellStyle name="40% - Accent3 3 51 2" xfId="4440"/>
    <cellStyle name="40% - Accent3 3 52" xfId="4441"/>
    <cellStyle name="40% - Accent3 3 52 2" xfId="4442"/>
    <cellStyle name="40% - Accent3 3 53" xfId="4443"/>
    <cellStyle name="40% - Accent3 3 53 2" xfId="4444"/>
    <cellStyle name="40% - Accent3 3 54" xfId="4445"/>
    <cellStyle name="40% - Accent3 3 54 2" xfId="4446"/>
    <cellStyle name="40% - Accent3 3 55" xfId="4447"/>
    <cellStyle name="40% - Accent3 3 55 2" xfId="4448"/>
    <cellStyle name="40% - Accent3 3 56" xfId="4449"/>
    <cellStyle name="40% - Accent3 3 56 2" xfId="4450"/>
    <cellStyle name="40% - Accent3 3 57" xfId="4451"/>
    <cellStyle name="40% - Accent3 3 6" xfId="4452"/>
    <cellStyle name="40% - Accent3 3 6 10" xfId="4453"/>
    <cellStyle name="40% - Accent3 3 6 2" xfId="4454"/>
    <cellStyle name="40% - Accent3 3 6 2 2" xfId="4455"/>
    <cellStyle name="40% - Accent3 3 6 3" xfId="4456"/>
    <cellStyle name="40% - Accent3 3 6 3 2" xfId="4457"/>
    <cellStyle name="40% - Accent3 3 6 4" xfId="4458"/>
    <cellStyle name="40% - Accent3 3 6 4 2" xfId="4459"/>
    <cellStyle name="40% - Accent3 3 6 5" xfId="4460"/>
    <cellStyle name="40% - Accent3 3 6 5 2" xfId="4461"/>
    <cellStyle name="40% - Accent3 3 6 6" xfId="4462"/>
    <cellStyle name="40% - Accent3 3 6 6 2" xfId="4463"/>
    <cellStyle name="40% - Accent3 3 6 7" xfId="4464"/>
    <cellStyle name="40% - Accent3 3 6 7 2" xfId="4465"/>
    <cellStyle name="40% - Accent3 3 6 8" xfId="4466"/>
    <cellStyle name="40% - Accent3 3 6 8 2" xfId="4467"/>
    <cellStyle name="40% - Accent3 3 6 9" xfId="4468"/>
    <cellStyle name="40% - Accent3 3 6 9 2" xfId="4469"/>
    <cellStyle name="40% - Accent3 3 7" xfId="4470"/>
    <cellStyle name="40% - Accent3 3 7 10" xfId="4471"/>
    <cellStyle name="40% - Accent3 3 7 2" xfId="4472"/>
    <cellStyle name="40% - Accent3 3 7 2 2" xfId="4473"/>
    <cellStyle name="40% - Accent3 3 7 3" xfId="4474"/>
    <cellStyle name="40% - Accent3 3 7 3 2" xfId="4475"/>
    <cellStyle name="40% - Accent3 3 7 4" xfId="4476"/>
    <cellStyle name="40% - Accent3 3 7 4 2" xfId="4477"/>
    <cellStyle name="40% - Accent3 3 7 5" xfId="4478"/>
    <cellStyle name="40% - Accent3 3 7 5 2" xfId="4479"/>
    <cellStyle name="40% - Accent3 3 7 6" xfId="4480"/>
    <cellStyle name="40% - Accent3 3 7 6 2" xfId="4481"/>
    <cellStyle name="40% - Accent3 3 7 7" xfId="4482"/>
    <cellStyle name="40% - Accent3 3 7 7 2" xfId="4483"/>
    <cellStyle name="40% - Accent3 3 7 8" xfId="4484"/>
    <cellStyle name="40% - Accent3 3 7 8 2" xfId="4485"/>
    <cellStyle name="40% - Accent3 3 7 9" xfId="4486"/>
    <cellStyle name="40% - Accent3 3 7 9 2" xfId="4487"/>
    <cellStyle name="40% - Accent3 3 8" xfId="4488"/>
    <cellStyle name="40% - Accent3 3 8 10" xfId="4489"/>
    <cellStyle name="40% - Accent3 3 8 2" xfId="4490"/>
    <cellStyle name="40% - Accent3 3 8 2 2" xfId="4491"/>
    <cellStyle name="40% - Accent3 3 8 3" xfId="4492"/>
    <cellStyle name="40% - Accent3 3 8 3 2" xfId="4493"/>
    <cellStyle name="40% - Accent3 3 8 4" xfId="4494"/>
    <cellStyle name="40% - Accent3 3 8 4 2" xfId="4495"/>
    <cellStyle name="40% - Accent3 3 8 5" xfId="4496"/>
    <cellStyle name="40% - Accent3 3 8 5 2" xfId="4497"/>
    <cellStyle name="40% - Accent3 3 8 6" xfId="4498"/>
    <cellStyle name="40% - Accent3 3 8 6 2" xfId="4499"/>
    <cellStyle name="40% - Accent3 3 8 7" xfId="4500"/>
    <cellStyle name="40% - Accent3 3 8 7 2" xfId="4501"/>
    <cellStyle name="40% - Accent3 3 8 8" xfId="4502"/>
    <cellStyle name="40% - Accent3 3 8 8 2" xfId="4503"/>
    <cellStyle name="40% - Accent3 3 8 9" xfId="4504"/>
    <cellStyle name="40% - Accent3 3 8 9 2" xfId="4505"/>
    <cellStyle name="40% - Accent3 3 9" xfId="4506"/>
    <cellStyle name="40% - Accent3 3 9 10" xfId="4507"/>
    <cellStyle name="40% - Accent3 3 9 2" xfId="4508"/>
    <cellStyle name="40% - Accent3 3 9 2 2" xfId="4509"/>
    <cellStyle name="40% - Accent3 3 9 3" xfId="4510"/>
    <cellStyle name="40% - Accent3 3 9 3 2" xfId="4511"/>
    <cellStyle name="40% - Accent3 3 9 4" xfId="4512"/>
    <cellStyle name="40% - Accent3 3 9 4 2" xfId="4513"/>
    <cellStyle name="40% - Accent3 3 9 5" xfId="4514"/>
    <cellStyle name="40% - Accent3 3 9 5 2" xfId="4515"/>
    <cellStyle name="40% - Accent3 3 9 6" xfId="4516"/>
    <cellStyle name="40% - Accent3 3 9 6 2" xfId="4517"/>
    <cellStyle name="40% - Accent3 3 9 7" xfId="4518"/>
    <cellStyle name="40% - Accent3 3 9 7 2" xfId="4519"/>
    <cellStyle name="40% - Accent3 3 9 8" xfId="4520"/>
    <cellStyle name="40% - Accent3 3 9 8 2" xfId="4521"/>
    <cellStyle name="40% - Accent3 3 9 9" xfId="4522"/>
    <cellStyle name="40% - Accent3 3 9 9 2" xfId="4523"/>
    <cellStyle name="40% - Accent3 30" xfId="4524"/>
    <cellStyle name="40% - Accent3 30 2" xfId="4525"/>
    <cellStyle name="40% - Accent3 31" xfId="4526"/>
    <cellStyle name="40% - Accent3 31 2" xfId="4527"/>
    <cellStyle name="40% - Accent3 32" xfId="4528"/>
    <cellStyle name="40% - Accent3 32 2" xfId="4529"/>
    <cellStyle name="40% - Accent3 33" xfId="4530"/>
    <cellStyle name="40% - Accent3 33 2" xfId="4531"/>
    <cellStyle name="40% - Accent3 34" xfId="4532"/>
    <cellStyle name="40% - Accent3 34 2" xfId="4533"/>
    <cellStyle name="40% - Accent3 35" xfId="4534"/>
    <cellStyle name="40% - Accent3 35 2" xfId="4535"/>
    <cellStyle name="40% - Accent3 36" xfId="4536"/>
    <cellStyle name="40% - Accent3 36 2" xfId="4537"/>
    <cellStyle name="40% - Accent3 37" xfId="4538"/>
    <cellStyle name="40% - Accent3 37 2" xfId="4539"/>
    <cellStyle name="40% - Accent3 38" xfId="4540"/>
    <cellStyle name="40% - Accent3 38 2" xfId="4541"/>
    <cellStyle name="40% - Accent3 39" xfId="4542"/>
    <cellStyle name="40% - Accent3 4" xfId="4543"/>
    <cellStyle name="40% - Accent3 4 2" xfId="4544"/>
    <cellStyle name="40% - Accent3 4 2 2" xfId="4545"/>
    <cellStyle name="40% - Accent3 4 3" xfId="4546"/>
    <cellStyle name="40% - Accent3 4 3 2" xfId="4547"/>
    <cellStyle name="40% - Accent3 4 4" xfId="4548"/>
    <cellStyle name="40% - Accent3 4 4 2" xfId="4549"/>
    <cellStyle name="40% - Accent3 4 5" xfId="4550"/>
    <cellStyle name="40% - Accent3 4 5 2" xfId="4551"/>
    <cellStyle name="40% - Accent3 4 6" xfId="4552"/>
    <cellStyle name="40% - Accent3 4 6 2" xfId="4553"/>
    <cellStyle name="40% - Accent3 4 7" xfId="4554"/>
    <cellStyle name="40% - Accent3 4 7 2" xfId="4555"/>
    <cellStyle name="40% - Accent3 4 8" xfId="4556"/>
    <cellStyle name="40% - Accent3 4 8 2" xfId="4557"/>
    <cellStyle name="40% - Accent3 5" xfId="4558"/>
    <cellStyle name="40% - Accent3 5 10" xfId="4559"/>
    <cellStyle name="40% - Accent3 5 10 2" xfId="4560"/>
    <cellStyle name="40% - Accent3 5 11" xfId="4561"/>
    <cellStyle name="40% - Accent3 5 11 2" xfId="4562"/>
    <cellStyle name="40% - Accent3 5 12" xfId="4563"/>
    <cellStyle name="40% - Accent3 5 12 2" xfId="4564"/>
    <cellStyle name="40% - Accent3 5 13" xfId="4565"/>
    <cellStyle name="40% - Accent3 5 13 2" xfId="4566"/>
    <cellStyle name="40% - Accent3 5 14" xfId="4567"/>
    <cellStyle name="40% - Accent3 5 2" xfId="4568"/>
    <cellStyle name="40% - Accent3 5 2 2" xfId="4569"/>
    <cellStyle name="40% - Accent3 5 2 3" xfId="4570"/>
    <cellStyle name="40% - Accent3 5 2 4" xfId="4571"/>
    <cellStyle name="40% - Accent3 5 2 5" xfId="4572"/>
    <cellStyle name="40% - Accent3 5 2 6" xfId="4573"/>
    <cellStyle name="40% - Accent3 5 3" xfId="4574"/>
    <cellStyle name="40% - Accent3 5 4" xfId="4575"/>
    <cellStyle name="40% - Accent3 5 5" xfId="4576"/>
    <cellStyle name="40% - Accent3 5 6" xfId="4577"/>
    <cellStyle name="40% - Accent3 5 7" xfId="4578"/>
    <cellStyle name="40% - Accent3 5 8" xfId="4579"/>
    <cellStyle name="40% - Accent3 5 8 2" xfId="4580"/>
    <cellStyle name="40% - Accent3 5 9" xfId="4581"/>
    <cellStyle name="40% - Accent3 5 9 2" xfId="4582"/>
    <cellStyle name="40% - Accent3 6" xfId="4583"/>
    <cellStyle name="40% - Accent3 6 2" xfId="4584"/>
    <cellStyle name="40% - Accent3 6 2 2" xfId="4585"/>
    <cellStyle name="40% - Accent3 6 2 3" xfId="4586"/>
    <cellStyle name="40% - Accent3 6 2 4" xfId="4587"/>
    <cellStyle name="40% - Accent3 6 2 5" xfId="4588"/>
    <cellStyle name="40% - Accent3 6 2 6" xfId="4589"/>
    <cellStyle name="40% - Accent3 6 3" xfId="4590"/>
    <cellStyle name="40% - Accent3 6 4" xfId="4591"/>
    <cellStyle name="40% - Accent3 6 5" xfId="4592"/>
    <cellStyle name="40% - Accent3 6 6" xfId="4593"/>
    <cellStyle name="40% - Accent3 6 7" xfId="4594"/>
    <cellStyle name="40% - Accent3 6 8" xfId="4595"/>
    <cellStyle name="40% - Accent3 6 9" xfId="4596"/>
    <cellStyle name="40% - Accent3 7" xfId="4597"/>
    <cellStyle name="40% - Accent3 7 2" xfId="4598"/>
    <cellStyle name="40% - Accent3 7 3" xfId="4599"/>
    <cellStyle name="40% - Accent3 7 4" xfId="4600"/>
    <cellStyle name="40% - Accent3 7 5" xfId="4601"/>
    <cellStyle name="40% - Accent3 8" xfId="4602"/>
    <cellStyle name="40% - Accent3 8 2" xfId="4603"/>
    <cellStyle name="40% - Accent3 8 3" xfId="4604"/>
    <cellStyle name="40% - Accent3 8 4" xfId="4605"/>
    <cellStyle name="40% - Accent3 8 5" xfId="4606"/>
    <cellStyle name="40% - Accent3 9" xfId="4607"/>
    <cellStyle name="40% - Accent3 9 2" xfId="4608"/>
    <cellStyle name="40% - Accent3 9 3" xfId="4609"/>
    <cellStyle name="40% - Accent3 9 4" xfId="4610"/>
    <cellStyle name="40% - Accent3 9 5" xfId="4611"/>
    <cellStyle name="40% - Accent4 10" xfId="4612"/>
    <cellStyle name="40% - Accent4 10 2" xfId="4613"/>
    <cellStyle name="40% - Accent4 10 3" xfId="4614"/>
    <cellStyle name="40% - Accent4 10 4" xfId="4615"/>
    <cellStyle name="40% - Accent4 11" xfId="4616"/>
    <cellStyle name="40% - Accent4 11 2" xfId="4617"/>
    <cellStyle name="40% - Accent4 11 3" xfId="4618"/>
    <cellStyle name="40% - Accent4 11 4" xfId="4619"/>
    <cellStyle name="40% - Accent4 12" xfId="4620"/>
    <cellStyle name="40% - Accent4 12 2" xfId="4621"/>
    <cellStyle name="40% - Accent4 12 3" xfId="4622"/>
    <cellStyle name="40% - Accent4 12 4" xfId="4623"/>
    <cellStyle name="40% - Accent4 13" xfId="4624"/>
    <cellStyle name="40% - Accent4 13 2" xfId="4625"/>
    <cellStyle name="40% - Accent4 13 3" xfId="4626"/>
    <cellStyle name="40% - Accent4 13 4" xfId="4627"/>
    <cellStyle name="40% - Accent4 14" xfId="4628"/>
    <cellStyle name="40% - Accent4 14 2" xfId="4629"/>
    <cellStyle name="40% - Accent4 14 3" xfId="4630"/>
    <cellStyle name="40% - Accent4 14 4" xfId="4631"/>
    <cellStyle name="40% - Accent4 15" xfId="4632"/>
    <cellStyle name="40% - Accent4 15 2" xfId="4633"/>
    <cellStyle name="40% - Accent4 15 3" xfId="4634"/>
    <cellStyle name="40% - Accent4 15 4" xfId="4635"/>
    <cellStyle name="40% - Accent4 16" xfId="4636"/>
    <cellStyle name="40% - Accent4 16 2" xfId="4637"/>
    <cellStyle name="40% - Accent4 17" xfId="4638"/>
    <cellStyle name="40% - Accent4 17 2" xfId="4639"/>
    <cellStyle name="40% - Accent4 18" xfId="4640"/>
    <cellStyle name="40% - Accent4 18 2" xfId="4641"/>
    <cellStyle name="40% - Accent4 19" xfId="4642"/>
    <cellStyle name="40% - Accent4 19 2" xfId="4643"/>
    <cellStyle name="40% - Accent4 2" xfId="4644"/>
    <cellStyle name="40% - Accent4 2 10" xfId="4645"/>
    <cellStyle name="40% - Accent4 2 10 2" xfId="4646"/>
    <cellStyle name="40% - Accent4 2 11" xfId="4647"/>
    <cellStyle name="40% - Accent4 2 11 2" xfId="4648"/>
    <cellStyle name="40% - Accent4 2 12" xfId="4649"/>
    <cellStyle name="40% - Accent4 2 12 2" xfId="4650"/>
    <cellStyle name="40% - Accent4 2 13" xfId="4651"/>
    <cellStyle name="40% - Accent4 2 13 2" xfId="4652"/>
    <cellStyle name="40% - Accent4 2 14" xfId="4653"/>
    <cellStyle name="40% - Accent4 2 14 2" xfId="4654"/>
    <cellStyle name="40% - Accent4 2 2" xfId="4655"/>
    <cellStyle name="40% - Accent4 2 3" xfId="4656"/>
    <cellStyle name="40% - Accent4 2 4" xfId="4657"/>
    <cellStyle name="40% - Accent4 2 5" xfId="4658"/>
    <cellStyle name="40% - Accent4 2 6" xfId="4659"/>
    <cellStyle name="40% - Accent4 2 7" xfId="4660"/>
    <cellStyle name="40% - Accent4 2 8" xfId="4661"/>
    <cellStyle name="40% - Accent4 2 9" xfId="4662"/>
    <cellStyle name="40% - Accent4 2 9 2" xfId="4663"/>
    <cellStyle name="40% - Accent4 20" xfId="4664"/>
    <cellStyle name="40% - Accent4 20 2" xfId="4665"/>
    <cellStyle name="40% - Accent4 21" xfId="4666"/>
    <cellStyle name="40% - Accent4 21 2" xfId="4667"/>
    <cellStyle name="40% - Accent4 22" xfId="4668"/>
    <cellStyle name="40% - Accent4 22 2" xfId="4669"/>
    <cellStyle name="40% - Accent4 23" xfId="4670"/>
    <cellStyle name="40% - Accent4 23 2" xfId="4671"/>
    <cellStyle name="40% - Accent4 24" xfId="4672"/>
    <cellStyle name="40% - Accent4 24 2" xfId="4673"/>
    <cellStyle name="40% - Accent4 25" xfId="4674"/>
    <cellStyle name="40% - Accent4 25 2" xfId="4675"/>
    <cellStyle name="40% - Accent4 26" xfId="4676"/>
    <cellStyle name="40% - Accent4 26 2" xfId="4677"/>
    <cellStyle name="40% - Accent4 27" xfId="4678"/>
    <cellStyle name="40% - Accent4 27 2" xfId="4679"/>
    <cellStyle name="40% - Accent4 28" xfId="4680"/>
    <cellStyle name="40% - Accent4 28 2" xfId="4681"/>
    <cellStyle name="40% - Accent4 29" xfId="4682"/>
    <cellStyle name="40% - Accent4 29 2" xfId="4683"/>
    <cellStyle name="40% - Accent4 3" xfId="4684"/>
    <cellStyle name="40% - Accent4 3 10" xfId="4685"/>
    <cellStyle name="40% - Accent4 3 10 10" xfId="4686"/>
    <cellStyle name="40% - Accent4 3 10 2" xfId="4687"/>
    <cellStyle name="40% - Accent4 3 10 2 2" xfId="4688"/>
    <cellStyle name="40% - Accent4 3 10 3" xfId="4689"/>
    <cellStyle name="40% - Accent4 3 10 3 2" xfId="4690"/>
    <cellStyle name="40% - Accent4 3 10 4" xfId="4691"/>
    <cellStyle name="40% - Accent4 3 10 4 2" xfId="4692"/>
    <cellStyle name="40% - Accent4 3 10 5" xfId="4693"/>
    <cellStyle name="40% - Accent4 3 10 5 2" xfId="4694"/>
    <cellStyle name="40% - Accent4 3 10 6" xfId="4695"/>
    <cellStyle name="40% - Accent4 3 10 6 2" xfId="4696"/>
    <cellStyle name="40% - Accent4 3 10 7" xfId="4697"/>
    <cellStyle name="40% - Accent4 3 10 7 2" xfId="4698"/>
    <cellStyle name="40% - Accent4 3 10 8" xfId="4699"/>
    <cellStyle name="40% - Accent4 3 10 8 2" xfId="4700"/>
    <cellStyle name="40% - Accent4 3 10 9" xfId="4701"/>
    <cellStyle name="40% - Accent4 3 10 9 2" xfId="4702"/>
    <cellStyle name="40% - Accent4 3 11" xfId="4703"/>
    <cellStyle name="40% - Accent4 3 11 10" xfId="4704"/>
    <cellStyle name="40% - Accent4 3 11 2" xfId="4705"/>
    <cellStyle name="40% - Accent4 3 11 2 2" xfId="4706"/>
    <cellStyle name="40% - Accent4 3 11 3" xfId="4707"/>
    <cellStyle name="40% - Accent4 3 11 3 2" xfId="4708"/>
    <cellStyle name="40% - Accent4 3 11 4" xfId="4709"/>
    <cellStyle name="40% - Accent4 3 11 4 2" xfId="4710"/>
    <cellStyle name="40% - Accent4 3 11 5" xfId="4711"/>
    <cellStyle name="40% - Accent4 3 11 5 2" xfId="4712"/>
    <cellStyle name="40% - Accent4 3 11 6" xfId="4713"/>
    <cellStyle name="40% - Accent4 3 11 6 2" xfId="4714"/>
    <cellStyle name="40% - Accent4 3 11 7" xfId="4715"/>
    <cellStyle name="40% - Accent4 3 11 7 2" xfId="4716"/>
    <cellStyle name="40% - Accent4 3 11 8" xfId="4717"/>
    <cellStyle name="40% - Accent4 3 11 8 2" xfId="4718"/>
    <cellStyle name="40% - Accent4 3 11 9" xfId="4719"/>
    <cellStyle name="40% - Accent4 3 11 9 2" xfId="4720"/>
    <cellStyle name="40% - Accent4 3 12" xfId="4721"/>
    <cellStyle name="40% - Accent4 3 12 10" xfId="4722"/>
    <cellStyle name="40% - Accent4 3 12 2" xfId="4723"/>
    <cellStyle name="40% - Accent4 3 12 2 2" xfId="4724"/>
    <cellStyle name="40% - Accent4 3 12 3" xfId="4725"/>
    <cellStyle name="40% - Accent4 3 12 3 2" xfId="4726"/>
    <cellStyle name="40% - Accent4 3 12 4" xfId="4727"/>
    <cellStyle name="40% - Accent4 3 12 4 2" xfId="4728"/>
    <cellStyle name="40% - Accent4 3 12 5" xfId="4729"/>
    <cellStyle name="40% - Accent4 3 12 5 2" xfId="4730"/>
    <cellStyle name="40% - Accent4 3 12 6" xfId="4731"/>
    <cellStyle name="40% - Accent4 3 12 6 2" xfId="4732"/>
    <cellStyle name="40% - Accent4 3 12 7" xfId="4733"/>
    <cellStyle name="40% - Accent4 3 12 7 2" xfId="4734"/>
    <cellStyle name="40% - Accent4 3 12 8" xfId="4735"/>
    <cellStyle name="40% - Accent4 3 12 8 2" xfId="4736"/>
    <cellStyle name="40% - Accent4 3 12 9" xfId="4737"/>
    <cellStyle name="40% - Accent4 3 12 9 2" xfId="4738"/>
    <cellStyle name="40% - Accent4 3 13" xfId="4739"/>
    <cellStyle name="40% - Accent4 3 13 2" xfId="4740"/>
    <cellStyle name="40% - Accent4 3 14" xfId="4741"/>
    <cellStyle name="40% - Accent4 3 14 2" xfId="4742"/>
    <cellStyle name="40% - Accent4 3 15" xfId="4743"/>
    <cellStyle name="40% - Accent4 3 15 2" xfId="4744"/>
    <cellStyle name="40% - Accent4 3 16" xfId="4745"/>
    <cellStyle name="40% - Accent4 3 16 2" xfId="4746"/>
    <cellStyle name="40% - Accent4 3 17" xfId="4747"/>
    <cellStyle name="40% - Accent4 3 17 2" xfId="4748"/>
    <cellStyle name="40% - Accent4 3 18" xfId="4749"/>
    <cellStyle name="40% - Accent4 3 18 2" xfId="4750"/>
    <cellStyle name="40% - Accent4 3 19" xfId="4751"/>
    <cellStyle name="40% - Accent4 3 19 2" xfId="4752"/>
    <cellStyle name="40% - Accent4 3 2" xfId="4753"/>
    <cellStyle name="40% - Accent4 3 2 10" xfId="4754"/>
    <cellStyle name="40% - Accent4 3 2 10 2" xfId="4755"/>
    <cellStyle name="40% - Accent4 3 2 11" xfId="4756"/>
    <cellStyle name="40% - Accent4 3 2 11 2" xfId="4757"/>
    <cellStyle name="40% - Accent4 3 2 12" xfId="4758"/>
    <cellStyle name="40% - Accent4 3 2 12 2" xfId="4759"/>
    <cellStyle name="40% - Accent4 3 2 13" xfId="4760"/>
    <cellStyle name="40% - Accent4 3 2 13 2" xfId="4761"/>
    <cellStyle name="40% - Accent4 3 2 14" xfId="4762"/>
    <cellStyle name="40% - Accent4 3 2 14 2" xfId="4763"/>
    <cellStyle name="40% - Accent4 3 2 15" xfId="4764"/>
    <cellStyle name="40% - Accent4 3 2 15 2" xfId="4765"/>
    <cellStyle name="40% - Accent4 3 2 16" xfId="4766"/>
    <cellStyle name="40% - Accent4 3 2 16 2" xfId="4767"/>
    <cellStyle name="40% - Accent4 3 2 17" xfId="4768"/>
    <cellStyle name="40% - Accent4 3 2 17 2" xfId="4769"/>
    <cellStyle name="40% - Accent4 3 2 18" xfId="4770"/>
    <cellStyle name="40% - Accent4 3 2 18 2" xfId="4771"/>
    <cellStyle name="40% - Accent4 3 2 19" xfId="4772"/>
    <cellStyle name="40% - Accent4 3 2 19 2" xfId="4773"/>
    <cellStyle name="40% - Accent4 3 2 2" xfId="4774"/>
    <cellStyle name="40% - Accent4 3 2 2 2" xfId="4775"/>
    <cellStyle name="40% - Accent4 3 2 2 2 2" xfId="4776"/>
    <cellStyle name="40% - Accent4 3 2 2 3" xfId="4777"/>
    <cellStyle name="40% - Accent4 3 2 2 3 2" xfId="4778"/>
    <cellStyle name="40% - Accent4 3 2 2 4" xfId="4779"/>
    <cellStyle name="40% - Accent4 3 2 2 4 2" xfId="4780"/>
    <cellStyle name="40% - Accent4 3 2 2 5" xfId="4781"/>
    <cellStyle name="40% - Accent4 3 2 2 5 2" xfId="4782"/>
    <cellStyle name="40% - Accent4 3 2 2 6" xfId="4783"/>
    <cellStyle name="40% - Accent4 3 2 2 6 2" xfId="4784"/>
    <cellStyle name="40% - Accent4 3 2 2 7" xfId="4785"/>
    <cellStyle name="40% - Accent4 3 2 2 7 2" xfId="4786"/>
    <cellStyle name="40% - Accent4 3 2 2 8" xfId="4787"/>
    <cellStyle name="40% - Accent4 3 2 20" xfId="4788"/>
    <cellStyle name="40% - Accent4 3 2 20 2" xfId="4789"/>
    <cellStyle name="40% - Accent4 3 2 21" xfId="4790"/>
    <cellStyle name="40% - Accent4 3 2 21 2" xfId="4791"/>
    <cellStyle name="40% - Accent4 3 2 22" xfId="4792"/>
    <cellStyle name="40% - Accent4 3 2 22 2" xfId="4793"/>
    <cellStyle name="40% - Accent4 3 2 23" xfId="4794"/>
    <cellStyle name="40% - Accent4 3 2 23 2" xfId="4795"/>
    <cellStyle name="40% - Accent4 3 2 24" xfId="4796"/>
    <cellStyle name="40% - Accent4 3 2 3" xfId="4797"/>
    <cellStyle name="40% - Accent4 3 2 3 2" xfId="4798"/>
    <cellStyle name="40% - Accent4 3 2 3 2 2" xfId="4799"/>
    <cellStyle name="40% - Accent4 3 2 3 3" xfId="4800"/>
    <cellStyle name="40% - Accent4 3 2 3 3 2" xfId="4801"/>
    <cellStyle name="40% - Accent4 3 2 3 4" xfId="4802"/>
    <cellStyle name="40% - Accent4 3 2 3 4 2" xfId="4803"/>
    <cellStyle name="40% - Accent4 3 2 3 5" xfId="4804"/>
    <cellStyle name="40% - Accent4 3 2 3 5 2" xfId="4805"/>
    <cellStyle name="40% - Accent4 3 2 3 6" xfId="4806"/>
    <cellStyle name="40% - Accent4 3 2 3 6 2" xfId="4807"/>
    <cellStyle name="40% - Accent4 3 2 3 7" xfId="4808"/>
    <cellStyle name="40% - Accent4 3 2 3 7 2" xfId="4809"/>
    <cellStyle name="40% - Accent4 3 2 3 8" xfId="4810"/>
    <cellStyle name="40% - Accent4 3 2 4" xfId="4811"/>
    <cellStyle name="40% - Accent4 3 2 4 2" xfId="4812"/>
    <cellStyle name="40% - Accent4 3 2 5" xfId="4813"/>
    <cellStyle name="40% - Accent4 3 2 5 2" xfId="4814"/>
    <cellStyle name="40% - Accent4 3 2 6" xfId="4815"/>
    <cellStyle name="40% - Accent4 3 2 6 2" xfId="4816"/>
    <cellStyle name="40% - Accent4 3 2 7" xfId="4817"/>
    <cellStyle name="40% - Accent4 3 2 7 2" xfId="4818"/>
    <cellStyle name="40% - Accent4 3 2 8" xfId="4819"/>
    <cellStyle name="40% - Accent4 3 2 8 2" xfId="4820"/>
    <cellStyle name="40% - Accent4 3 2 9" xfId="4821"/>
    <cellStyle name="40% - Accent4 3 2 9 2" xfId="4822"/>
    <cellStyle name="40% - Accent4 3 20" xfId="4823"/>
    <cellStyle name="40% - Accent4 3 20 2" xfId="4824"/>
    <cellStyle name="40% - Accent4 3 21" xfId="4825"/>
    <cellStyle name="40% - Accent4 3 21 2" xfId="4826"/>
    <cellStyle name="40% - Accent4 3 22" xfId="4827"/>
    <cellStyle name="40% - Accent4 3 22 2" xfId="4828"/>
    <cellStyle name="40% - Accent4 3 23" xfId="4829"/>
    <cellStyle name="40% - Accent4 3 23 2" xfId="4830"/>
    <cellStyle name="40% - Accent4 3 24" xfId="4831"/>
    <cellStyle name="40% - Accent4 3 24 2" xfId="4832"/>
    <cellStyle name="40% - Accent4 3 25" xfId="4833"/>
    <cellStyle name="40% - Accent4 3 25 2" xfId="4834"/>
    <cellStyle name="40% - Accent4 3 26" xfId="4835"/>
    <cellStyle name="40% - Accent4 3 26 2" xfId="4836"/>
    <cellStyle name="40% - Accent4 3 27" xfId="4837"/>
    <cellStyle name="40% - Accent4 3 27 2" xfId="4838"/>
    <cellStyle name="40% - Accent4 3 28" xfId="4839"/>
    <cellStyle name="40% - Accent4 3 28 2" xfId="4840"/>
    <cellStyle name="40% - Accent4 3 29" xfId="4841"/>
    <cellStyle name="40% - Accent4 3 29 2" xfId="4842"/>
    <cellStyle name="40% - Accent4 3 3" xfId="4843"/>
    <cellStyle name="40% - Accent4 3 3 10" xfId="4844"/>
    <cellStyle name="40% - Accent4 3 3 2" xfId="4845"/>
    <cellStyle name="40% - Accent4 3 3 2 2" xfId="4846"/>
    <cellStyle name="40% - Accent4 3 3 2 2 2" xfId="4847"/>
    <cellStyle name="40% - Accent4 3 3 2 3" xfId="4848"/>
    <cellStyle name="40% - Accent4 3 3 2 3 2" xfId="4849"/>
    <cellStyle name="40% - Accent4 3 3 2 4" xfId="4850"/>
    <cellStyle name="40% - Accent4 3 3 2 4 2" xfId="4851"/>
    <cellStyle name="40% - Accent4 3 3 2 5" xfId="4852"/>
    <cellStyle name="40% - Accent4 3 3 2 5 2" xfId="4853"/>
    <cellStyle name="40% - Accent4 3 3 2 6" xfId="4854"/>
    <cellStyle name="40% - Accent4 3 3 2 6 2" xfId="4855"/>
    <cellStyle name="40% - Accent4 3 3 2 7" xfId="4856"/>
    <cellStyle name="40% - Accent4 3 3 2 7 2" xfId="4857"/>
    <cellStyle name="40% - Accent4 3 3 2 8" xfId="4858"/>
    <cellStyle name="40% - Accent4 3 3 3" xfId="4859"/>
    <cellStyle name="40% - Accent4 3 3 3 2" xfId="4860"/>
    <cellStyle name="40% - Accent4 3 3 4" xfId="4861"/>
    <cellStyle name="40% - Accent4 3 3 4 2" xfId="4862"/>
    <cellStyle name="40% - Accent4 3 3 5" xfId="4863"/>
    <cellStyle name="40% - Accent4 3 3 5 2" xfId="4864"/>
    <cellStyle name="40% - Accent4 3 3 6" xfId="4865"/>
    <cellStyle name="40% - Accent4 3 3 6 2" xfId="4866"/>
    <cellStyle name="40% - Accent4 3 3 7" xfId="4867"/>
    <cellStyle name="40% - Accent4 3 3 7 2" xfId="4868"/>
    <cellStyle name="40% - Accent4 3 3 8" xfId="4869"/>
    <cellStyle name="40% - Accent4 3 3 8 2" xfId="4870"/>
    <cellStyle name="40% - Accent4 3 3 9" xfId="4871"/>
    <cellStyle name="40% - Accent4 3 3 9 2" xfId="4872"/>
    <cellStyle name="40% - Accent4 3 30" xfId="4873"/>
    <cellStyle name="40% - Accent4 3 30 2" xfId="4874"/>
    <cellStyle name="40% - Accent4 3 31" xfId="4875"/>
    <cellStyle name="40% - Accent4 3 31 2" xfId="4876"/>
    <cellStyle name="40% - Accent4 3 32" xfId="4877"/>
    <cellStyle name="40% - Accent4 3 32 2" xfId="4878"/>
    <cellStyle name="40% - Accent4 3 33" xfId="4879"/>
    <cellStyle name="40% - Accent4 3 33 2" xfId="4880"/>
    <cellStyle name="40% - Accent4 3 34" xfId="4881"/>
    <cellStyle name="40% - Accent4 3 34 2" xfId="4882"/>
    <cellStyle name="40% - Accent4 3 35" xfId="4883"/>
    <cellStyle name="40% - Accent4 3 35 2" xfId="4884"/>
    <cellStyle name="40% - Accent4 3 36" xfId="4885"/>
    <cellStyle name="40% - Accent4 3 36 2" xfId="4886"/>
    <cellStyle name="40% - Accent4 3 37" xfId="4887"/>
    <cellStyle name="40% - Accent4 3 37 2" xfId="4888"/>
    <cellStyle name="40% - Accent4 3 38" xfId="4889"/>
    <cellStyle name="40% - Accent4 3 38 2" xfId="4890"/>
    <cellStyle name="40% - Accent4 3 39" xfId="4891"/>
    <cellStyle name="40% - Accent4 3 39 2" xfId="4892"/>
    <cellStyle name="40% - Accent4 3 4" xfId="4893"/>
    <cellStyle name="40% - Accent4 3 4 10" xfId="4894"/>
    <cellStyle name="40% - Accent4 3 4 2" xfId="4895"/>
    <cellStyle name="40% - Accent4 3 4 2 2" xfId="4896"/>
    <cellStyle name="40% - Accent4 3 4 3" xfId="4897"/>
    <cellStyle name="40% - Accent4 3 4 3 2" xfId="4898"/>
    <cellStyle name="40% - Accent4 3 4 4" xfId="4899"/>
    <cellStyle name="40% - Accent4 3 4 4 2" xfId="4900"/>
    <cellStyle name="40% - Accent4 3 4 5" xfId="4901"/>
    <cellStyle name="40% - Accent4 3 4 5 2" xfId="4902"/>
    <cellStyle name="40% - Accent4 3 4 6" xfId="4903"/>
    <cellStyle name="40% - Accent4 3 4 6 2" xfId="4904"/>
    <cellStyle name="40% - Accent4 3 4 7" xfId="4905"/>
    <cellStyle name="40% - Accent4 3 4 7 2" xfId="4906"/>
    <cellStyle name="40% - Accent4 3 4 8" xfId="4907"/>
    <cellStyle name="40% - Accent4 3 4 8 2" xfId="4908"/>
    <cellStyle name="40% - Accent4 3 4 9" xfId="4909"/>
    <cellStyle name="40% - Accent4 3 4 9 2" xfId="4910"/>
    <cellStyle name="40% - Accent4 3 40" xfId="4911"/>
    <cellStyle name="40% - Accent4 3 40 2" xfId="4912"/>
    <cellStyle name="40% - Accent4 3 41" xfId="4913"/>
    <cellStyle name="40% - Accent4 3 41 2" xfId="4914"/>
    <cellStyle name="40% - Accent4 3 42" xfId="4915"/>
    <cellStyle name="40% - Accent4 3 42 2" xfId="4916"/>
    <cellStyle name="40% - Accent4 3 43" xfId="4917"/>
    <cellStyle name="40% - Accent4 3 43 2" xfId="4918"/>
    <cellStyle name="40% - Accent4 3 44" xfId="4919"/>
    <cellStyle name="40% - Accent4 3 44 2" xfId="4920"/>
    <cellStyle name="40% - Accent4 3 45" xfId="4921"/>
    <cellStyle name="40% - Accent4 3 45 2" xfId="4922"/>
    <cellStyle name="40% - Accent4 3 46" xfId="4923"/>
    <cellStyle name="40% - Accent4 3 46 2" xfId="4924"/>
    <cellStyle name="40% - Accent4 3 47" xfId="4925"/>
    <cellStyle name="40% - Accent4 3 47 2" xfId="4926"/>
    <cellStyle name="40% - Accent4 3 48" xfId="4927"/>
    <cellStyle name="40% - Accent4 3 48 2" xfId="4928"/>
    <cellStyle name="40% - Accent4 3 49" xfId="4929"/>
    <cellStyle name="40% - Accent4 3 49 2" xfId="4930"/>
    <cellStyle name="40% - Accent4 3 5" xfId="4931"/>
    <cellStyle name="40% - Accent4 3 5 10" xfId="4932"/>
    <cellStyle name="40% - Accent4 3 5 2" xfId="4933"/>
    <cellStyle name="40% - Accent4 3 5 2 2" xfId="4934"/>
    <cellStyle name="40% - Accent4 3 5 3" xfId="4935"/>
    <cellStyle name="40% - Accent4 3 5 3 2" xfId="4936"/>
    <cellStyle name="40% - Accent4 3 5 4" xfId="4937"/>
    <cellStyle name="40% - Accent4 3 5 4 2" xfId="4938"/>
    <cellStyle name="40% - Accent4 3 5 5" xfId="4939"/>
    <cellStyle name="40% - Accent4 3 5 5 2" xfId="4940"/>
    <cellStyle name="40% - Accent4 3 5 6" xfId="4941"/>
    <cellStyle name="40% - Accent4 3 5 6 2" xfId="4942"/>
    <cellStyle name="40% - Accent4 3 5 7" xfId="4943"/>
    <cellStyle name="40% - Accent4 3 5 7 2" xfId="4944"/>
    <cellStyle name="40% - Accent4 3 5 8" xfId="4945"/>
    <cellStyle name="40% - Accent4 3 5 8 2" xfId="4946"/>
    <cellStyle name="40% - Accent4 3 5 9" xfId="4947"/>
    <cellStyle name="40% - Accent4 3 5 9 2" xfId="4948"/>
    <cellStyle name="40% - Accent4 3 50" xfId="4949"/>
    <cellStyle name="40% - Accent4 3 50 2" xfId="4950"/>
    <cellStyle name="40% - Accent4 3 51" xfId="4951"/>
    <cellStyle name="40% - Accent4 3 51 2" xfId="4952"/>
    <cellStyle name="40% - Accent4 3 52" xfId="4953"/>
    <cellStyle name="40% - Accent4 3 52 2" xfId="4954"/>
    <cellStyle name="40% - Accent4 3 53" xfId="4955"/>
    <cellStyle name="40% - Accent4 3 53 2" xfId="4956"/>
    <cellStyle name="40% - Accent4 3 54" xfId="4957"/>
    <cellStyle name="40% - Accent4 3 54 2" xfId="4958"/>
    <cellStyle name="40% - Accent4 3 55" xfId="4959"/>
    <cellStyle name="40% - Accent4 3 55 2" xfId="4960"/>
    <cellStyle name="40% - Accent4 3 56" xfId="4961"/>
    <cellStyle name="40% - Accent4 3 56 2" xfId="4962"/>
    <cellStyle name="40% - Accent4 3 57" xfId="4963"/>
    <cellStyle name="40% - Accent4 3 6" xfId="4964"/>
    <cellStyle name="40% - Accent4 3 6 10" xfId="4965"/>
    <cellStyle name="40% - Accent4 3 6 2" xfId="4966"/>
    <cellStyle name="40% - Accent4 3 6 2 2" xfId="4967"/>
    <cellStyle name="40% - Accent4 3 6 3" xfId="4968"/>
    <cellStyle name="40% - Accent4 3 6 3 2" xfId="4969"/>
    <cellStyle name="40% - Accent4 3 6 4" xfId="4970"/>
    <cellStyle name="40% - Accent4 3 6 4 2" xfId="4971"/>
    <cellStyle name="40% - Accent4 3 6 5" xfId="4972"/>
    <cellStyle name="40% - Accent4 3 6 5 2" xfId="4973"/>
    <cellStyle name="40% - Accent4 3 6 6" xfId="4974"/>
    <cellStyle name="40% - Accent4 3 6 6 2" xfId="4975"/>
    <cellStyle name="40% - Accent4 3 6 7" xfId="4976"/>
    <cellStyle name="40% - Accent4 3 6 7 2" xfId="4977"/>
    <cellStyle name="40% - Accent4 3 6 8" xfId="4978"/>
    <cellStyle name="40% - Accent4 3 6 8 2" xfId="4979"/>
    <cellStyle name="40% - Accent4 3 6 9" xfId="4980"/>
    <cellStyle name="40% - Accent4 3 6 9 2" xfId="4981"/>
    <cellStyle name="40% - Accent4 3 7" xfId="4982"/>
    <cellStyle name="40% - Accent4 3 7 10" xfId="4983"/>
    <cellStyle name="40% - Accent4 3 7 2" xfId="4984"/>
    <cellStyle name="40% - Accent4 3 7 2 2" xfId="4985"/>
    <cellStyle name="40% - Accent4 3 7 3" xfId="4986"/>
    <cellStyle name="40% - Accent4 3 7 3 2" xfId="4987"/>
    <cellStyle name="40% - Accent4 3 7 4" xfId="4988"/>
    <cellStyle name="40% - Accent4 3 7 4 2" xfId="4989"/>
    <cellStyle name="40% - Accent4 3 7 5" xfId="4990"/>
    <cellStyle name="40% - Accent4 3 7 5 2" xfId="4991"/>
    <cellStyle name="40% - Accent4 3 7 6" xfId="4992"/>
    <cellStyle name="40% - Accent4 3 7 6 2" xfId="4993"/>
    <cellStyle name="40% - Accent4 3 7 7" xfId="4994"/>
    <cellStyle name="40% - Accent4 3 7 7 2" xfId="4995"/>
    <cellStyle name="40% - Accent4 3 7 8" xfId="4996"/>
    <cellStyle name="40% - Accent4 3 7 8 2" xfId="4997"/>
    <cellStyle name="40% - Accent4 3 7 9" xfId="4998"/>
    <cellStyle name="40% - Accent4 3 7 9 2" xfId="4999"/>
    <cellStyle name="40% - Accent4 3 8" xfId="5000"/>
    <cellStyle name="40% - Accent4 3 8 10" xfId="5001"/>
    <cellStyle name="40% - Accent4 3 8 2" xfId="5002"/>
    <cellStyle name="40% - Accent4 3 8 2 2" xfId="5003"/>
    <cellStyle name="40% - Accent4 3 8 3" xfId="5004"/>
    <cellStyle name="40% - Accent4 3 8 3 2" xfId="5005"/>
    <cellStyle name="40% - Accent4 3 8 4" xfId="5006"/>
    <cellStyle name="40% - Accent4 3 8 4 2" xfId="5007"/>
    <cellStyle name="40% - Accent4 3 8 5" xfId="5008"/>
    <cellStyle name="40% - Accent4 3 8 5 2" xfId="5009"/>
    <cellStyle name="40% - Accent4 3 8 6" xfId="5010"/>
    <cellStyle name="40% - Accent4 3 8 6 2" xfId="5011"/>
    <cellStyle name="40% - Accent4 3 8 7" xfId="5012"/>
    <cellStyle name="40% - Accent4 3 8 7 2" xfId="5013"/>
    <cellStyle name="40% - Accent4 3 8 8" xfId="5014"/>
    <cellStyle name="40% - Accent4 3 8 8 2" xfId="5015"/>
    <cellStyle name="40% - Accent4 3 8 9" xfId="5016"/>
    <cellStyle name="40% - Accent4 3 8 9 2" xfId="5017"/>
    <cellStyle name="40% - Accent4 3 9" xfId="5018"/>
    <cellStyle name="40% - Accent4 3 9 10" xfId="5019"/>
    <cellStyle name="40% - Accent4 3 9 2" xfId="5020"/>
    <cellStyle name="40% - Accent4 3 9 2 2" xfId="5021"/>
    <cellStyle name="40% - Accent4 3 9 3" xfId="5022"/>
    <cellStyle name="40% - Accent4 3 9 3 2" xfId="5023"/>
    <cellStyle name="40% - Accent4 3 9 4" xfId="5024"/>
    <cellStyle name="40% - Accent4 3 9 4 2" xfId="5025"/>
    <cellStyle name="40% - Accent4 3 9 5" xfId="5026"/>
    <cellStyle name="40% - Accent4 3 9 5 2" xfId="5027"/>
    <cellStyle name="40% - Accent4 3 9 6" xfId="5028"/>
    <cellStyle name="40% - Accent4 3 9 6 2" xfId="5029"/>
    <cellStyle name="40% - Accent4 3 9 7" xfId="5030"/>
    <cellStyle name="40% - Accent4 3 9 7 2" xfId="5031"/>
    <cellStyle name="40% - Accent4 3 9 8" xfId="5032"/>
    <cellStyle name="40% - Accent4 3 9 8 2" xfId="5033"/>
    <cellStyle name="40% - Accent4 3 9 9" xfId="5034"/>
    <cellStyle name="40% - Accent4 3 9 9 2" xfId="5035"/>
    <cellStyle name="40% - Accent4 30" xfId="5036"/>
    <cellStyle name="40% - Accent4 30 2" xfId="5037"/>
    <cellStyle name="40% - Accent4 31" xfId="5038"/>
    <cellStyle name="40% - Accent4 31 2" xfId="5039"/>
    <cellStyle name="40% - Accent4 32" xfId="5040"/>
    <cellStyle name="40% - Accent4 32 2" xfId="5041"/>
    <cellStyle name="40% - Accent4 33" xfId="5042"/>
    <cellStyle name="40% - Accent4 33 2" xfId="5043"/>
    <cellStyle name="40% - Accent4 34" xfId="5044"/>
    <cellStyle name="40% - Accent4 34 2" xfId="5045"/>
    <cellStyle name="40% - Accent4 35" xfId="5046"/>
    <cellStyle name="40% - Accent4 35 2" xfId="5047"/>
    <cellStyle name="40% - Accent4 36" xfId="5048"/>
    <cellStyle name="40% - Accent4 36 2" xfId="5049"/>
    <cellStyle name="40% - Accent4 37" xfId="5050"/>
    <cellStyle name="40% - Accent4 37 2" xfId="5051"/>
    <cellStyle name="40% - Accent4 38" xfId="5052"/>
    <cellStyle name="40% - Accent4 38 2" xfId="5053"/>
    <cellStyle name="40% - Accent4 39" xfId="5054"/>
    <cellStyle name="40% - Accent4 4" xfId="5055"/>
    <cellStyle name="40% - Accent4 4 2" xfId="5056"/>
    <cellStyle name="40% - Accent4 4 2 2" xfId="5057"/>
    <cellStyle name="40% - Accent4 4 3" xfId="5058"/>
    <cellStyle name="40% - Accent4 4 3 2" xfId="5059"/>
    <cellStyle name="40% - Accent4 4 4" xfId="5060"/>
    <cellStyle name="40% - Accent4 4 4 2" xfId="5061"/>
    <cellStyle name="40% - Accent4 4 5" xfId="5062"/>
    <cellStyle name="40% - Accent4 4 5 2" xfId="5063"/>
    <cellStyle name="40% - Accent4 4 6" xfId="5064"/>
    <cellStyle name="40% - Accent4 4 6 2" xfId="5065"/>
    <cellStyle name="40% - Accent4 4 7" xfId="5066"/>
    <cellStyle name="40% - Accent4 4 7 2" xfId="5067"/>
    <cellStyle name="40% - Accent4 4 8" xfId="5068"/>
    <cellStyle name="40% - Accent4 4 8 2" xfId="5069"/>
    <cellStyle name="40% - Accent4 5" xfId="5070"/>
    <cellStyle name="40% - Accent4 5 10" xfId="5071"/>
    <cellStyle name="40% - Accent4 5 10 2" xfId="5072"/>
    <cellStyle name="40% - Accent4 5 11" xfId="5073"/>
    <cellStyle name="40% - Accent4 5 11 2" xfId="5074"/>
    <cellStyle name="40% - Accent4 5 12" xfId="5075"/>
    <cellStyle name="40% - Accent4 5 12 2" xfId="5076"/>
    <cellStyle name="40% - Accent4 5 13" xfId="5077"/>
    <cellStyle name="40% - Accent4 5 13 2" xfId="5078"/>
    <cellStyle name="40% - Accent4 5 14" xfId="5079"/>
    <cellStyle name="40% - Accent4 5 2" xfId="5080"/>
    <cellStyle name="40% - Accent4 5 2 2" xfId="5081"/>
    <cellStyle name="40% - Accent4 5 2 3" xfId="5082"/>
    <cellStyle name="40% - Accent4 5 2 4" xfId="5083"/>
    <cellStyle name="40% - Accent4 5 2 5" xfId="5084"/>
    <cellStyle name="40% - Accent4 5 2 6" xfId="5085"/>
    <cellStyle name="40% - Accent4 5 3" xfId="5086"/>
    <cellStyle name="40% - Accent4 5 4" xfId="5087"/>
    <cellStyle name="40% - Accent4 5 5" xfId="5088"/>
    <cellStyle name="40% - Accent4 5 6" xfId="5089"/>
    <cellStyle name="40% - Accent4 5 7" xfId="5090"/>
    <cellStyle name="40% - Accent4 5 8" xfId="5091"/>
    <cellStyle name="40% - Accent4 5 8 2" xfId="5092"/>
    <cellStyle name="40% - Accent4 5 9" xfId="5093"/>
    <cellStyle name="40% - Accent4 5 9 2" xfId="5094"/>
    <cellStyle name="40% - Accent4 6" xfId="5095"/>
    <cellStyle name="40% - Accent4 6 2" xfId="5096"/>
    <cellStyle name="40% - Accent4 6 2 2" xfId="5097"/>
    <cellStyle name="40% - Accent4 6 2 3" xfId="5098"/>
    <cellStyle name="40% - Accent4 6 2 4" xfId="5099"/>
    <cellStyle name="40% - Accent4 6 2 5" xfId="5100"/>
    <cellStyle name="40% - Accent4 6 2 6" xfId="5101"/>
    <cellStyle name="40% - Accent4 6 3" xfId="5102"/>
    <cellStyle name="40% - Accent4 6 4" xfId="5103"/>
    <cellStyle name="40% - Accent4 6 5" xfId="5104"/>
    <cellStyle name="40% - Accent4 6 6" xfId="5105"/>
    <cellStyle name="40% - Accent4 6 7" xfId="5106"/>
    <cellStyle name="40% - Accent4 6 8" xfId="5107"/>
    <cellStyle name="40% - Accent4 6 9" xfId="5108"/>
    <cellStyle name="40% - Accent4 7" xfId="5109"/>
    <cellStyle name="40% - Accent4 7 2" xfId="5110"/>
    <cellStyle name="40% - Accent4 7 3" xfId="5111"/>
    <cellStyle name="40% - Accent4 7 4" xfId="5112"/>
    <cellStyle name="40% - Accent4 7 5" xfId="5113"/>
    <cellStyle name="40% - Accent4 8" xfId="5114"/>
    <cellStyle name="40% - Accent4 8 2" xfId="5115"/>
    <cellStyle name="40% - Accent4 8 3" xfId="5116"/>
    <cellStyle name="40% - Accent4 8 4" xfId="5117"/>
    <cellStyle name="40% - Accent4 8 5" xfId="5118"/>
    <cellStyle name="40% - Accent4 9" xfId="5119"/>
    <cellStyle name="40% - Accent4 9 2" xfId="5120"/>
    <cellStyle name="40% - Accent4 9 3" xfId="5121"/>
    <cellStyle name="40% - Accent4 9 4" xfId="5122"/>
    <cellStyle name="40% - Accent4 9 5" xfId="5123"/>
    <cellStyle name="40% - Accent5 10" xfId="5124"/>
    <cellStyle name="40% - Accent5 10 2" xfId="5125"/>
    <cellStyle name="40% - Accent5 10 3" xfId="5126"/>
    <cellStyle name="40% - Accent5 10 4" xfId="5127"/>
    <cellStyle name="40% - Accent5 11" xfId="5128"/>
    <cellStyle name="40% - Accent5 11 2" xfId="5129"/>
    <cellStyle name="40% - Accent5 11 3" xfId="5130"/>
    <cellStyle name="40% - Accent5 11 4" xfId="5131"/>
    <cellStyle name="40% - Accent5 12" xfId="5132"/>
    <cellStyle name="40% - Accent5 12 2" xfId="5133"/>
    <cellStyle name="40% - Accent5 12 3" xfId="5134"/>
    <cellStyle name="40% - Accent5 12 4" xfId="5135"/>
    <cellStyle name="40% - Accent5 13" xfId="5136"/>
    <cellStyle name="40% - Accent5 13 2" xfId="5137"/>
    <cellStyle name="40% - Accent5 13 3" xfId="5138"/>
    <cellStyle name="40% - Accent5 13 4" xfId="5139"/>
    <cellStyle name="40% - Accent5 14" xfId="5140"/>
    <cellStyle name="40% - Accent5 14 2" xfId="5141"/>
    <cellStyle name="40% - Accent5 14 3" xfId="5142"/>
    <cellStyle name="40% - Accent5 14 4" xfId="5143"/>
    <cellStyle name="40% - Accent5 15" xfId="5144"/>
    <cellStyle name="40% - Accent5 15 2" xfId="5145"/>
    <cellStyle name="40% - Accent5 15 3" xfId="5146"/>
    <cellStyle name="40% - Accent5 15 4" xfId="5147"/>
    <cellStyle name="40% - Accent5 16" xfId="5148"/>
    <cellStyle name="40% - Accent5 16 2" xfId="5149"/>
    <cellStyle name="40% - Accent5 17" xfId="5150"/>
    <cellStyle name="40% - Accent5 17 2" xfId="5151"/>
    <cellStyle name="40% - Accent5 18" xfId="5152"/>
    <cellStyle name="40% - Accent5 18 2" xfId="5153"/>
    <cellStyle name="40% - Accent5 19" xfId="5154"/>
    <cellStyle name="40% - Accent5 19 2" xfId="5155"/>
    <cellStyle name="40% - Accent5 2" xfId="5156"/>
    <cellStyle name="40% - Accent5 2 10" xfId="5157"/>
    <cellStyle name="40% - Accent5 2 10 2" xfId="5158"/>
    <cellStyle name="40% - Accent5 2 11" xfId="5159"/>
    <cellStyle name="40% - Accent5 2 11 2" xfId="5160"/>
    <cellStyle name="40% - Accent5 2 12" xfId="5161"/>
    <cellStyle name="40% - Accent5 2 12 2" xfId="5162"/>
    <cellStyle name="40% - Accent5 2 13" xfId="5163"/>
    <cellStyle name="40% - Accent5 2 13 2" xfId="5164"/>
    <cellStyle name="40% - Accent5 2 14" xfId="5165"/>
    <cellStyle name="40% - Accent5 2 14 2" xfId="5166"/>
    <cellStyle name="40% - Accent5 2 2" xfId="5167"/>
    <cellStyle name="40% - Accent5 2 3" xfId="5168"/>
    <cellStyle name="40% - Accent5 2 4" xfId="5169"/>
    <cellStyle name="40% - Accent5 2 5" xfId="5170"/>
    <cellStyle name="40% - Accent5 2 6" xfId="5171"/>
    <cellStyle name="40% - Accent5 2 7" xfId="5172"/>
    <cellStyle name="40% - Accent5 2 8" xfId="5173"/>
    <cellStyle name="40% - Accent5 2 9" xfId="5174"/>
    <cellStyle name="40% - Accent5 2 9 2" xfId="5175"/>
    <cellStyle name="40% - Accent5 20" xfId="5176"/>
    <cellStyle name="40% - Accent5 20 2" xfId="5177"/>
    <cellStyle name="40% - Accent5 21" xfId="5178"/>
    <cellStyle name="40% - Accent5 21 2" xfId="5179"/>
    <cellStyle name="40% - Accent5 22" xfId="5180"/>
    <cellStyle name="40% - Accent5 22 2" xfId="5181"/>
    <cellStyle name="40% - Accent5 23" xfId="5182"/>
    <cellStyle name="40% - Accent5 23 2" xfId="5183"/>
    <cellStyle name="40% - Accent5 24" xfId="5184"/>
    <cellStyle name="40% - Accent5 24 2" xfId="5185"/>
    <cellStyle name="40% - Accent5 25" xfId="5186"/>
    <cellStyle name="40% - Accent5 25 2" xfId="5187"/>
    <cellStyle name="40% - Accent5 26" xfId="5188"/>
    <cellStyle name="40% - Accent5 26 2" xfId="5189"/>
    <cellStyle name="40% - Accent5 27" xfId="5190"/>
    <cellStyle name="40% - Accent5 27 2" xfId="5191"/>
    <cellStyle name="40% - Accent5 28" xfId="5192"/>
    <cellStyle name="40% - Accent5 28 2" xfId="5193"/>
    <cellStyle name="40% - Accent5 29" xfId="5194"/>
    <cellStyle name="40% - Accent5 29 2" xfId="5195"/>
    <cellStyle name="40% - Accent5 3" xfId="5196"/>
    <cellStyle name="40% - Accent5 3 10" xfId="5197"/>
    <cellStyle name="40% - Accent5 3 10 10" xfId="5198"/>
    <cellStyle name="40% - Accent5 3 10 2" xfId="5199"/>
    <cellStyle name="40% - Accent5 3 10 2 2" xfId="5200"/>
    <cellStyle name="40% - Accent5 3 10 3" xfId="5201"/>
    <cellStyle name="40% - Accent5 3 10 3 2" xfId="5202"/>
    <cellStyle name="40% - Accent5 3 10 4" xfId="5203"/>
    <cellStyle name="40% - Accent5 3 10 4 2" xfId="5204"/>
    <cellStyle name="40% - Accent5 3 10 5" xfId="5205"/>
    <cellStyle name="40% - Accent5 3 10 5 2" xfId="5206"/>
    <cellStyle name="40% - Accent5 3 10 6" xfId="5207"/>
    <cellStyle name="40% - Accent5 3 10 6 2" xfId="5208"/>
    <cellStyle name="40% - Accent5 3 10 7" xfId="5209"/>
    <cellStyle name="40% - Accent5 3 10 7 2" xfId="5210"/>
    <cellStyle name="40% - Accent5 3 10 8" xfId="5211"/>
    <cellStyle name="40% - Accent5 3 10 8 2" xfId="5212"/>
    <cellStyle name="40% - Accent5 3 10 9" xfId="5213"/>
    <cellStyle name="40% - Accent5 3 10 9 2" xfId="5214"/>
    <cellStyle name="40% - Accent5 3 11" xfId="5215"/>
    <cellStyle name="40% - Accent5 3 11 10" xfId="5216"/>
    <cellStyle name="40% - Accent5 3 11 2" xfId="5217"/>
    <cellStyle name="40% - Accent5 3 11 2 2" xfId="5218"/>
    <cellStyle name="40% - Accent5 3 11 3" xfId="5219"/>
    <cellStyle name="40% - Accent5 3 11 3 2" xfId="5220"/>
    <cellStyle name="40% - Accent5 3 11 4" xfId="5221"/>
    <cellStyle name="40% - Accent5 3 11 4 2" xfId="5222"/>
    <cellStyle name="40% - Accent5 3 11 5" xfId="5223"/>
    <cellStyle name="40% - Accent5 3 11 5 2" xfId="5224"/>
    <cellStyle name="40% - Accent5 3 11 6" xfId="5225"/>
    <cellStyle name="40% - Accent5 3 11 6 2" xfId="5226"/>
    <cellStyle name="40% - Accent5 3 11 7" xfId="5227"/>
    <cellStyle name="40% - Accent5 3 11 7 2" xfId="5228"/>
    <cellStyle name="40% - Accent5 3 11 8" xfId="5229"/>
    <cellStyle name="40% - Accent5 3 11 8 2" xfId="5230"/>
    <cellStyle name="40% - Accent5 3 11 9" xfId="5231"/>
    <cellStyle name="40% - Accent5 3 11 9 2" xfId="5232"/>
    <cellStyle name="40% - Accent5 3 12" xfId="5233"/>
    <cellStyle name="40% - Accent5 3 12 10" xfId="5234"/>
    <cellStyle name="40% - Accent5 3 12 2" xfId="5235"/>
    <cellStyle name="40% - Accent5 3 12 2 2" xfId="5236"/>
    <cellStyle name="40% - Accent5 3 12 3" xfId="5237"/>
    <cellStyle name="40% - Accent5 3 12 3 2" xfId="5238"/>
    <cellStyle name="40% - Accent5 3 12 4" xfId="5239"/>
    <cellStyle name="40% - Accent5 3 12 4 2" xfId="5240"/>
    <cellStyle name="40% - Accent5 3 12 5" xfId="5241"/>
    <cellStyle name="40% - Accent5 3 12 5 2" xfId="5242"/>
    <cellStyle name="40% - Accent5 3 12 6" xfId="5243"/>
    <cellStyle name="40% - Accent5 3 12 6 2" xfId="5244"/>
    <cellStyle name="40% - Accent5 3 12 7" xfId="5245"/>
    <cellStyle name="40% - Accent5 3 12 7 2" xfId="5246"/>
    <cellStyle name="40% - Accent5 3 12 8" xfId="5247"/>
    <cellStyle name="40% - Accent5 3 12 8 2" xfId="5248"/>
    <cellStyle name="40% - Accent5 3 12 9" xfId="5249"/>
    <cellStyle name="40% - Accent5 3 12 9 2" xfId="5250"/>
    <cellStyle name="40% - Accent5 3 13" xfId="5251"/>
    <cellStyle name="40% - Accent5 3 13 2" xfId="5252"/>
    <cellStyle name="40% - Accent5 3 14" xfId="5253"/>
    <cellStyle name="40% - Accent5 3 14 2" xfId="5254"/>
    <cellStyle name="40% - Accent5 3 15" xfId="5255"/>
    <cellStyle name="40% - Accent5 3 15 2" xfId="5256"/>
    <cellStyle name="40% - Accent5 3 16" xfId="5257"/>
    <cellStyle name="40% - Accent5 3 16 2" xfId="5258"/>
    <cellStyle name="40% - Accent5 3 17" xfId="5259"/>
    <cellStyle name="40% - Accent5 3 17 2" xfId="5260"/>
    <cellStyle name="40% - Accent5 3 18" xfId="5261"/>
    <cellStyle name="40% - Accent5 3 18 2" xfId="5262"/>
    <cellStyle name="40% - Accent5 3 19" xfId="5263"/>
    <cellStyle name="40% - Accent5 3 19 2" xfId="5264"/>
    <cellStyle name="40% - Accent5 3 2" xfId="5265"/>
    <cellStyle name="40% - Accent5 3 2 10" xfId="5266"/>
    <cellStyle name="40% - Accent5 3 2 10 2" xfId="5267"/>
    <cellStyle name="40% - Accent5 3 2 11" xfId="5268"/>
    <cellStyle name="40% - Accent5 3 2 11 2" xfId="5269"/>
    <cellStyle name="40% - Accent5 3 2 12" xfId="5270"/>
    <cellStyle name="40% - Accent5 3 2 12 2" xfId="5271"/>
    <cellStyle name="40% - Accent5 3 2 13" xfId="5272"/>
    <cellStyle name="40% - Accent5 3 2 13 2" xfId="5273"/>
    <cellStyle name="40% - Accent5 3 2 14" xfId="5274"/>
    <cellStyle name="40% - Accent5 3 2 14 2" xfId="5275"/>
    <cellStyle name="40% - Accent5 3 2 15" xfId="5276"/>
    <cellStyle name="40% - Accent5 3 2 15 2" xfId="5277"/>
    <cellStyle name="40% - Accent5 3 2 16" xfId="5278"/>
    <cellStyle name="40% - Accent5 3 2 16 2" xfId="5279"/>
    <cellStyle name="40% - Accent5 3 2 17" xfId="5280"/>
    <cellStyle name="40% - Accent5 3 2 17 2" xfId="5281"/>
    <cellStyle name="40% - Accent5 3 2 18" xfId="5282"/>
    <cellStyle name="40% - Accent5 3 2 18 2" xfId="5283"/>
    <cellStyle name="40% - Accent5 3 2 19" xfId="5284"/>
    <cellStyle name="40% - Accent5 3 2 19 2" xfId="5285"/>
    <cellStyle name="40% - Accent5 3 2 2" xfId="5286"/>
    <cellStyle name="40% - Accent5 3 2 2 2" xfId="5287"/>
    <cellStyle name="40% - Accent5 3 2 2 2 2" xfId="5288"/>
    <cellStyle name="40% - Accent5 3 2 2 3" xfId="5289"/>
    <cellStyle name="40% - Accent5 3 2 2 3 2" xfId="5290"/>
    <cellStyle name="40% - Accent5 3 2 2 4" xfId="5291"/>
    <cellStyle name="40% - Accent5 3 2 2 4 2" xfId="5292"/>
    <cellStyle name="40% - Accent5 3 2 2 5" xfId="5293"/>
    <cellStyle name="40% - Accent5 3 2 2 5 2" xfId="5294"/>
    <cellStyle name="40% - Accent5 3 2 2 6" xfId="5295"/>
    <cellStyle name="40% - Accent5 3 2 2 6 2" xfId="5296"/>
    <cellStyle name="40% - Accent5 3 2 2 7" xfId="5297"/>
    <cellStyle name="40% - Accent5 3 2 2 7 2" xfId="5298"/>
    <cellStyle name="40% - Accent5 3 2 2 8" xfId="5299"/>
    <cellStyle name="40% - Accent5 3 2 20" xfId="5300"/>
    <cellStyle name="40% - Accent5 3 2 20 2" xfId="5301"/>
    <cellStyle name="40% - Accent5 3 2 21" xfId="5302"/>
    <cellStyle name="40% - Accent5 3 2 21 2" xfId="5303"/>
    <cellStyle name="40% - Accent5 3 2 22" xfId="5304"/>
    <cellStyle name="40% - Accent5 3 2 22 2" xfId="5305"/>
    <cellStyle name="40% - Accent5 3 2 23" xfId="5306"/>
    <cellStyle name="40% - Accent5 3 2 23 2" xfId="5307"/>
    <cellStyle name="40% - Accent5 3 2 24" xfId="5308"/>
    <cellStyle name="40% - Accent5 3 2 3" xfId="5309"/>
    <cellStyle name="40% - Accent5 3 2 3 2" xfId="5310"/>
    <cellStyle name="40% - Accent5 3 2 3 2 2" xfId="5311"/>
    <cellStyle name="40% - Accent5 3 2 3 3" xfId="5312"/>
    <cellStyle name="40% - Accent5 3 2 3 3 2" xfId="5313"/>
    <cellStyle name="40% - Accent5 3 2 3 4" xfId="5314"/>
    <cellStyle name="40% - Accent5 3 2 3 4 2" xfId="5315"/>
    <cellStyle name="40% - Accent5 3 2 3 5" xfId="5316"/>
    <cellStyle name="40% - Accent5 3 2 3 5 2" xfId="5317"/>
    <cellStyle name="40% - Accent5 3 2 3 6" xfId="5318"/>
    <cellStyle name="40% - Accent5 3 2 3 6 2" xfId="5319"/>
    <cellStyle name="40% - Accent5 3 2 3 7" xfId="5320"/>
    <cellStyle name="40% - Accent5 3 2 3 7 2" xfId="5321"/>
    <cellStyle name="40% - Accent5 3 2 3 8" xfId="5322"/>
    <cellStyle name="40% - Accent5 3 2 4" xfId="5323"/>
    <cellStyle name="40% - Accent5 3 2 4 2" xfId="5324"/>
    <cellStyle name="40% - Accent5 3 2 5" xfId="5325"/>
    <cellStyle name="40% - Accent5 3 2 5 2" xfId="5326"/>
    <cellStyle name="40% - Accent5 3 2 6" xfId="5327"/>
    <cellStyle name="40% - Accent5 3 2 6 2" xfId="5328"/>
    <cellStyle name="40% - Accent5 3 2 7" xfId="5329"/>
    <cellStyle name="40% - Accent5 3 2 7 2" xfId="5330"/>
    <cellStyle name="40% - Accent5 3 2 8" xfId="5331"/>
    <cellStyle name="40% - Accent5 3 2 8 2" xfId="5332"/>
    <cellStyle name="40% - Accent5 3 2 9" xfId="5333"/>
    <cellStyle name="40% - Accent5 3 2 9 2" xfId="5334"/>
    <cellStyle name="40% - Accent5 3 20" xfId="5335"/>
    <cellStyle name="40% - Accent5 3 20 2" xfId="5336"/>
    <cellStyle name="40% - Accent5 3 21" xfId="5337"/>
    <cellStyle name="40% - Accent5 3 21 2" xfId="5338"/>
    <cellStyle name="40% - Accent5 3 22" xfId="5339"/>
    <cellStyle name="40% - Accent5 3 22 2" xfId="5340"/>
    <cellStyle name="40% - Accent5 3 23" xfId="5341"/>
    <cellStyle name="40% - Accent5 3 23 2" xfId="5342"/>
    <cellStyle name="40% - Accent5 3 24" xfId="5343"/>
    <cellStyle name="40% - Accent5 3 24 2" xfId="5344"/>
    <cellStyle name="40% - Accent5 3 25" xfId="5345"/>
    <cellStyle name="40% - Accent5 3 25 2" xfId="5346"/>
    <cellStyle name="40% - Accent5 3 26" xfId="5347"/>
    <cellStyle name="40% - Accent5 3 26 2" xfId="5348"/>
    <cellStyle name="40% - Accent5 3 27" xfId="5349"/>
    <cellStyle name="40% - Accent5 3 27 2" xfId="5350"/>
    <cellStyle name="40% - Accent5 3 28" xfId="5351"/>
    <cellStyle name="40% - Accent5 3 28 2" xfId="5352"/>
    <cellStyle name="40% - Accent5 3 29" xfId="5353"/>
    <cellStyle name="40% - Accent5 3 29 2" xfId="5354"/>
    <cellStyle name="40% - Accent5 3 3" xfId="5355"/>
    <cellStyle name="40% - Accent5 3 3 10" xfId="5356"/>
    <cellStyle name="40% - Accent5 3 3 2" xfId="5357"/>
    <cellStyle name="40% - Accent5 3 3 2 2" xfId="5358"/>
    <cellStyle name="40% - Accent5 3 3 2 2 2" xfId="5359"/>
    <cellStyle name="40% - Accent5 3 3 2 3" xfId="5360"/>
    <cellStyle name="40% - Accent5 3 3 2 3 2" xfId="5361"/>
    <cellStyle name="40% - Accent5 3 3 2 4" xfId="5362"/>
    <cellStyle name="40% - Accent5 3 3 2 4 2" xfId="5363"/>
    <cellStyle name="40% - Accent5 3 3 2 5" xfId="5364"/>
    <cellStyle name="40% - Accent5 3 3 2 5 2" xfId="5365"/>
    <cellStyle name="40% - Accent5 3 3 2 6" xfId="5366"/>
    <cellStyle name="40% - Accent5 3 3 2 6 2" xfId="5367"/>
    <cellStyle name="40% - Accent5 3 3 2 7" xfId="5368"/>
    <cellStyle name="40% - Accent5 3 3 2 7 2" xfId="5369"/>
    <cellStyle name="40% - Accent5 3 3 2 8" xfId="5370"/>
    <cellStyle name="40% - Accent5 3 3 3" xfId="5371"/>
    <cellStyle name="40% - Accent5 3 3 3 2" xfId="5372"/>
    <cellStyle name="40% - Accent5 3 3 4" xfId="5373"/>
    <cellStyle name="40% - Accent5 3 3 4 2" xfId="5374"/>
    <cellStyle name="40% - Accent5 3 3 5" xfId="5375"/>
    <cellStyle name="40% - Accent5 3 3 5 2" xfId="5376"/>
    <cellStyle name="40% - Accent5 3 3 6" xfId="5377"/>
    <cellStyle name="40% - Accent5 3 3 6 2" xfId="5378"/>
    <cellStyle name="40% - Accent5 3 3 7" xfId="5379"/>
    <cellStyle name="40% - Accent5 3 3 7 2" xfId="5380"/>
    <cellStyle name="40% - Accent5 3 3 8" xfId="5381"/>
    <cellStyle name="40% - Accent5 3 3 8 2" xfId="5382"/>
    <cellStyle name="40% - Accent5 3 3 9" xfId="5383"/>
    <cellStyle name="40% - Accent5 3 3 9 2" xfId="5384"/>
    <cellStyle name="40% - Accent5 3 30" xfId="5385"/>
    <cellStyle name="40% - Accent5 3 30 2" xfId="5386"/>
    <cellStyle name="40% - Accent5 3 31" xfId="5387"/>
    <cellStyle name="40% - Accent5 3 31 2" xfId="5388"/>
    <cellStyle name="40% - Accent5 3 32" xfId="5389"/>
    <cellStyle name="40% - Accent5 3 32 2" xfId="5390"/>
    <cellStyle name="40% - Accent5 3 33" xfId="5391"/>
    <cellStyle name="40% - Accent5 3 33 2" xfId="5392"/>
    <cellStyle name="40% - Accent5 3 34" xfId="5393"/>
    <cellStyle name="40% - Accent5 3 34 2" xfId="5394"/>
    <cellStyle name="40% - Accent5 3 35" xfId="5395"/>
    <cellStyle name="40% - Accent5 3 35 2" xfId="5396"/>
    <cellStyle name="40% - Accent5 3 36" xfId="5397"/>
    <cellStyle name="40% - Accent5 3 36 2" xfId="5398"/>
    <cellStyle name="40% - Accent5 3 37" xfId="5399"/>
    <cellStyle name="40% - Accent5 3 37 2" xfId="5400"/>
    <cellStyle name="40% - Accent5 3 38" xfId="5401"/>
    <cellStyle name="40% - Accent5 3 38 2" xfId="5402"/>
    <cellStyle name="40% - Accent5 3 39" xfId="5403"/>
    <cellStyle name="40% - Accent5 3 39 2" xfId="5404"/>
    <cellStyle name="40% - Accent5 3 4" xfId="5405"/>
    <cellStyle name="40% - Accent5 3 4 10" xfId="5406"/>
    <cellStyle name="40% - Accent5 3 4 2" xfId="5407"/>
    <cellStyle name="40% - Accent5 3 4 2 2" xfId="5408"/>
    <cellStyle name="40% - Accent5 3 4 3" xfId="5409"/>
    <cellStyle name="40% - Accent5 3 4 3 2" xfId="5410"/>
    <cellStyle name="40% - Accent5 3 4 4" xfId="5411"/>
    <cellStyle name="40% - Accent5 3 4 4 2" xfId="5412"/>
    <cellStyle name="40% - Accent5 3 4 5" xfId="5413"/>
    <cellStyle name="40% - Accent5 3 4 5 2" xfId="5414"/>
    <cellStyle name="40% - Accent5 3 4 6" xfId="5415"/>
    <cellStyle name="40% - Accent5 3 4 6 2" xfId="5416"/>
    <cellStyle name="40% - Accent5 3 4 7" xfId="5417"/>
    <cellStyle name="40% - Accent5 3 4 7 2" xfId="5418"/>
    <cellStyle name="40% - Accent5 3 4 8" xfId="5419"/>
    <cellStyle name="40% - Accent5 3 4 8 2" xfId="5420"/>
    <cellStyle name="40% - Accent5 3 4 9" xfId="5421"/>
    <cellStyle name="40% - Accent5 3 4 9 2" xfId="5422"/>
    <cellStyle name="40% - Accent5 3 40" xfId="5423"/>
    <cellStyle name="40% - Accent5 3 40 2" xfId="5424"/>
    <cellStyle name="40% - Accent5 3 41" xfId="5425"/>
    <cellStyle name="40% - Accent5 3 41 2" xfId="5426"/>
    <cellStyle name="40% - Accent5 3 42" xfId="5427"/>
    <cellStyle name="40% - Accent5 3 42 2" xfId="5428"/>
    <cellStyle name="40% - Accent5 3 43" xfId="5429"/>
    <cellStyle name="40% - Accent5 3 43 2" xfId="5430"/>
    <cellStyle name="40% - Accent5 3 44" xfId="5431"/>
    <cellStyle name="40% - Accent5 3 44 2" xfId="5432"/>
    <cellStyle name="40% - Accent5 3 45" xfId="5433"/>
    <cellStyle name="40% - Accent5 3 45 2" xfId="5434"/>
    <cellStyle name="40% - Accent5 3 46" xfId="5435"/>
    <cellStyle name="40% - Accent5 3 46 2" xfId="5436"/>
    <cellStyle name="40% - Accent5 3 47" xfId="5437"/>
    <cellStyle name="40% - Accent5 3 47 2" xfId="5438"/>
    <cellStyle name="40% - Accent5 3 48" xfId="5439"/>
    <cellStyle name="40% - Accent5 3 48 2" xfId="5440"/>
    <cellStyle name="40% - Accent5 3 49" xfId="5441"/>
    <cellStyle name="40% - Accent5 3 49 2" xfId="5442"/>
    <cellStyle name="40% - Accent5 3 5" xfId="5443"/>
    <cellStyle name="40% - Accent5 3 5 10" xfId="5444"/>
    <cellStyle name="40% - Accent5 3 5 2" xfId="5445"/>
    <cellStyle name="40% - Accent5 3 5 2 2" xfId="5446"/>
    <cellStyle name="40% - Accent5 3 5 3" xfId="5447"/>
    <cellStyle name="40% - Accent5 3 5 3 2" xfId="5448"/>
    <cellStyle name="40% - Accent5 3 5 4" xfId="5449"/>
    <cellStyle name="40% - Accent5 3 5 4 2" xfId="5450"/>
    <cellStyle name="40% - Accent5 3 5 5" xfId="5451"/>
    <cellStyle name="40% - Accent5 3 5 5 2" xfId="5452"/>
    <cellStyle name="40% - Accent5 3 5 6" xfId="5453"/>
    <cellStyle name="40% - Accent5 3 5 6 2" xfId="5454"/>
    <cellStyle name="40% - Accent5 3 5 7" xfId="5455"/>
    <cellStyle name="40% - Accent5 3 5 7 2" xfId="5456"/>
    <cellStyle name="40% - Accent5 3 5 8" xfId="5457"/>
    <cellStyle name="40% - Accent5 3 5 8 2" xfId="5458"/>
    <cellStyle name="40% - Accent5 3 5 9" xfId="5459"/>
    <cellStyle name="40% - Accent5 3 5 9 2" xfId="5460"/>
    <cellStyle name="40% - Accent5 3 50" xfId="5461"/>
    <cellStyle name="40% - Accent5 3 50 2" xfId="5462"/>
    <cellStyle name="40% - Accent5 3 51" xfId="5463"/>
    <cellStyle name="40% - Accent5 3 51 2" xfId="5464"/>
    <cellStyle name="40% - Accent5 3 52" xfId="5465"/>
    <cellStyle name="40% - Accent5 3 52 2" xfId="5466"/>
    <cellStyle name="40% - Accent5 3 53" xfId="5467"/>
    <cellStyle name="40% - Accent5 3 53 2" xfId="5468"/>
    <cellStyle name="40% - Accent5 3 54" xfId="5469"/>
    <cellStyle name="40% - Accent5 3 54 2" xfId="5470"/>
    <cellStyle name="40% - Accent5 3 55" xfId="5471"/>
    <cellStyle name="40% - Accent5 3 55 2" xfId="5472"/>
    <cellStyle name="40% - Accent5 3 56" xfId="5473"/>
    <cellStyle name="40% - Accent5 3 56 2" xfId="5474"/>
    <cellStyle name="40% - Accent5 3 57" xfId="5475"/>
    <cellStyle name="40% - Accent5 3 6" xfId="5476"/>
    <cellStyle name="40% - Accent5 3 6 10" xfId="5477"/>
    <cellStyle name="40% - Accent5 3 6 2" xfId="5478"/>
    <cellStyle name="40% - Accent5 3 6 2 2" xfId="5479"/>
    <cellStyle name="40% - Accent5 3 6 3" xfId="5480"/>
    <cellStyle name="40% - Accent5 3 6 3 2" xfId="5481"/>
    <cellStyle name="40% - Accent5 3 6 4" xfId="5482"/>
    <cellStyle name="40% - Accent5 3 6 4 2" xfId="5483"/>
    <cellStyle name="40% - Accent5 3 6 5" xfId="5484"/>
    <cellStyle name="40% - Accent5 3 6 5 2" xfId="5485"/>
    <cellStyle name="40% - Accent5 3 6 6" xfId="5486"/>
    <cellStyle name="40% - Accent5 3 6 6 2" xfId="5487"/>
    <cellStyle name="40% - Accent5 3 6 7" xfId="5488"/>
    <cellStyle name="40% - Accent5 3 6 7 2" xfId="5489"/>
    <cellStyle name="40% - Accent5 3 6 8" xfId="5490"/>
    <cellStyle name="40% - Accent5 3 6 8 2" xfId="5491"/>
    <cellStyle name="40% - Accent5 3 6 9" xfId="5492"/>
    <cellStyle name="40% - Accent5 3 6 9 2" xfId="5493"/>
    <cellStyle name="40% - Accent5 3 7" xfId="5494"/>
    <cellStyle name="40% - Accent5 3 7 10" xfId="5495"/>
    <cellStyle name="40% - Accent5 3 7 2" xfId="5496"/>
    <cellStyle name="40% - Accent5 3 7 2 2" xfId="5497"/>
    <cellStyle name="40% - Accent5 3 7 3" xfId="5498"/>
    <cellStyle name="40% - Accent5 3 7 3 2" xfId="5499"/>
    <cellStyle name="40% - Accent5 3 7 4" xfId="5500"/>
    <cellStyle name="40% - Accent5 3 7 4 2" xfId="5501"/>
    <cellStyle name="40% - Accent5 3 7 5" xfId="5502"/>
    <cellStyle name="40% - Accent5 3 7 5 2" xfId="5503"/>
    <cellStyle name="40% - Accent5 3 7 6" xfId="5504"/>
    <cellStyle name="40% - Accent5 3 7 6 2" xfId="5505"/>
    <cellStyle name="40% - Accent5 3 7 7" xfId="5506"/>
    <cellStyle name="40% - Accent5 3 7 7 2" xfId="5507"/>
    <cellStyle name="40% - Accent5 3 7 8" xfId="5508"/>
    <cellStyle name="40% - Accent5 3 7 8 2" xfId="5509"/>
    <cellStyle name="40% - Accent5 3 7 9" xfId="5510"/>
    <cellStyle name="40% - Accent5 3 7 9 2" xfId="5511"/>
    <cellStyle name="40% - Accent5 3 8" xfId="5512"/>
    <cellStyle name="40% - Accent5 3 8 10" xfId="5513"/>
    <cellStyle name="40% - Accent5 3 8 2" xfId="5514"/>
    <cellStyle name="40% - Accent5 3 8 2 2" xfId="5515"/>
    <cellStyle name="40% - Accent5 3 8 3" xfId="5516"/>
    <cellStyle name="40% - Accent5 3 8 3 2" xfId="5517"/>
    <cellStyle name="40% - Accent5 3 8 4" xfId="5518"/>
    <cellStyle name="40% - Accent5 3 8 4 2" xfId="5519"/>
    <cellStyle name="40% - Accent5 3 8 5" xfId="5520"/>
    <cellStyle name="40% - Accent5 3 8 5 2" xfId="5521"/>
    <cellStyle name="40% - Accent5 3 8 6" xfId="5522"/>
    <cellStyle name="40% - Accent5 3 8 6 2" xfId="5523"/>
    <cellStyle name="40% - Accent5 3 8 7" xfId="5524"/>
    <cellStyle name="40% - Accent5 3 8 7 2" xfId="5525"/>
    <cellStyle name="40% - Accent5 3 8 8" xfId="5526"/>
    <cellStyle name="40% - Accent5 3 8 8 2" xfId="5527"/>
    <cellStyle name="40% - Accent5 3 8 9" xfId="5528"/>
    <cellStyle name="40% - Accent5 3 8 9 2" xfId="5529"/>
    <cellStyle name="40% - Accent5 3 9" xfId="5530"/>
    <cellStyle name="40% - Accent5 3 9 10" xfId="5531"/>
    <cellStyle name="40% - Accent5 3 9 2" xfId="5532"/>
    <cellStyle name="40% - Accent5 3 9 2 2" xfId="5533"/>
    <cellStyle name="40% - Accent5 3 9 3" xfId="5534"/>
    <cellStyle name="40% - Accent5 3 9 3 2" xfId="5535"/>
    <cellStyle name="40% - Accent5 3 9 4" xfId="5536"/>
    <cellStyle name="40% - Accent5 3 9 4 2" xfId="5537"/>
    <cellStyle name="40% - Accent5 3 9 5" xfId="5538"/>
    <cellStyle name="40% - Accent5 3 9 5 2" xfId="5539"/>
    <cellStyle name="40% - Accent5 3 9 6" xfId="5540"/>
    <cellStyle name="40% - Accent5 3 9 6 2" xfId="5541"/>
    <cellStyle name="40% - Accent5 3 9 7" xfId="5542"/>
    <cellStyle name="40% - Accent5 3 9 7 2" xfId="5543"/>
    <cellStyle name="40% - Accent5 3 9 8" xfId="5544"/>
    <cellStyle name="40% - Accent5 3 9 8 2" xfId="5545"/>
    <cellStyle name="40% - Accent5 3 9 9" xfId="5546"/>
    <cellStyle name="40% - Accent5 3 9 9 2" xfId="5547"/>
    <cellStyle name="40% - Accent5 30" xfId="5548"/>
    <cellStyle name="40% - Accent5 30 2" xfId="5549"/>
    <cellStyle name="40% - Accent5 31" xfId="5550"/>
    <cellStyle name="40% - Accent5 31 2" xfId="5551"/>
    <cellStyle name="40% - Accent5 32" xfId="5552"/>
    <cellStyle name="40% - Accent5 32 2" xfId="5553"/>
    <cellStyle name="40% - Accent5 33" xfId="5554"/>
    <cellStyle name="40% - Accent5 33 2" xfId="5555"/>
    <cellStyle name="40% - Accent5 34" xfId="5556"/>
    <cellStyle name="40% - Accent5 34 2" xfId="5557"/>
    <cellStyle name="40% - Accent5 35" xfId="5558"/>
    <cellStyle name="40% - Accent5 35 2" xfId="5559"/>
    <cellStyle name="40% - Accent5 36" xfId="5560"/>
    <cellStyle name="40% - Accent5 36 2" xfId="5561"/>
    <cellStyle name="40% - Accent5 37" xfId="5562"/>
    <cellStyle name="40% - Accent5 37 2" xfId="5563"/>
    <cellStyle name="40% - Accent5 38" xfId="5564"/>
    <cellStyle name="40% - Accent5 38 2" xfId="5565"/>
    <cellStyle name="40% - Accent5 39" xfId="5566"/>
    <cellStyle name="40% - Accent5 4" xfId="5567"/>
    <cellStyle name="40% - Accent5 4 2" xfId="5568"/>
    <cellStyle name="40% - Accent5 4 2 2" xfId="5569"/>
    <cellStyle name="40% - Accent5 4 3" xfId="5570"/>
    <cellStyle name="40% - Accent5 4 3 2" xfId="5571"/>
    <cellStyle name="40% - Accent5 4 4" xfId="5572"/>
    <cellStyle name="40% - Accent5 4 4 2" xfId="5573"/>
    <cellStyle name="40% - Accent5 4 5" xfId="5574"/>
    <cellStyle name="40% - Accent5 4 5 2" xfId="5575"/>
    <cellStyle name="40% - Accent5 4 6" xfId="5576"/>
    <cellStyle name="40% - Accent5 4 6 2" xfId="5577"/>
    <cellStyle name="40% - Accent5 4 7" xfId="5578"/>
    <cellStyle name="40% - Accent5 4 7 2" xfId="5579"/>
    <cellStyle name="40% - Accent5 4 8" xfId="5580"/>
    <cellStyle name="40% - Accent5 4 8 2" xfId="5581"/>
    <cellStyle name="40% - Accent5 5" xfId="5582"/>
    <cellStyle name="40% - Accent5 5 10" xfId="5583"/>
    <cellStyle name="40% - Accent5 5 10 2" xfId="5584"/>
    <cellStyle name="40% - Accent5 5 11" xfId="5585"/>
    <cellStyle name="40% - Accent5 5 11 2" xfId="5586"/>
    <cellStyle name="40% - Accent5 5 12" xfId="5587"/>
    <cellStyle name="40% - Accent5 5 12 2" xfId="5588"/>
    <cellStyle name="40% - Accent5 5 13" xfId="5589"/>
    <cellStyle name="40% - Accent5 5 13 2" xfId="5590"/>
    <cellStyle name="40% - Accent5 5 14" xfId="5591"/>
    <cellStyle name="40% - Accent5 5 2" xfId="5592"/>
    <cellStyle name="40% - Accent5 5 2 2" xfId="5593"/>
    <cellStyle name="40% - Accent5 5 2 3" xfId="5594"/>
    <cellStyle name="40% - Accent5 5 2 4" xfId="5595"/>
    <cellStyle name="40% - Accent5 5 2 5" xfId="5596"/>
    <cellStyle name="40% - Accent5 5 2 6" xfId="5597"/>
    <cellStyle name="40% - Accent5 5 3" xfId="5598"/>
    <cellStyle name="40% - Accent5 5 4" xfId="5599"/>
    <cellStyle name="40% - Accent5 5 5" xfId="5600"/>
    <cellStyle name="40% - Accent5 5 6" xfId="5601"/>
    <cellStyle name="40% - Accent5 5 7" xfId="5602"/>
    <cellStyle name="40% - Accent5 5 8" xfId="5603"/>
    <cellStyle name="40% - Accent5 5 8 2" xfId="5604"/>
    <cellStyle name="40% - Accent5 5 9" xfId="5605"/>
    <cellStyle name="40% - Accent5 5 9 2" xfId="5606"/>
    <cellStyle name="40% - Accent5 6" xfId="5607"/>
    <cellStyle name="40% - Accent5 6 2" xfId="5608"/>
    <cellStyle name="40% - Accent5 6 2 2" xfId="5609"/>
    <cellStyle name="40% - Accent5 6 2 3" xfId="5610"/>
    <cellStyle name="40% - Accent5 6 2 4" xfId="5611"/>
    <cellStyle name="40% - Accent5 6 2 5" xfId="5612"/>
    <cellStyle name="40% - Accent5 6 2 6" xfId="5613"/>
    <cellStyle name="40% - Accent5 6 3" xfId="5614"/>
    <cellStyle name="40% - Accent5 6 4" xfId="5615"/>
    <cellStyle name="40% - Accent5 6 5" xfId="5616"/>
    <cellStyle name="40% - Accent5 6 6" xfId="5617"/>
    <cellStyle name="40% - Accent5 6 7" xfId="5618"/>
    <cellStyle name="40% - Accent5 6 8" xfId="5619"/>
    <cellStyle name="40% - Accent5 6 9" xfId="5620"/>
    <cellStyle name="40% - Accent5 7" xfId="5621"/>
    <cellStyle name="40% - Accent5 7 2" xfId="5622"/>
    <cellStyle name="40% - Accent5 7 3" xfId="5623"/>
    <cellStyle name="40% - Accent5 7 4" xfId="5624"/>
    <cellStyle name="40% - Accent5 7 5" xfId="5625"/>
    <cellStyle name="40% - Accent5 8" xfId="5626"/>
    <cellStyle name="40% - Accent5 8 2" xfId="5627"/>
    <cellStyle name="40% - Accent5 8 3" xfId="5628"/>
    <cellStyle name="40% - Accent5 8 4" xfId="5629"/>
    <cellStyle name="40% - Accent5 8 5" xfId="5630"/>
    <cellStyle name="40% - Accent5 9" xfId="5631"/>
    <cellStyle name="40% - Accent5 9 2" xfId="5632"/>
    <cellStyle name="40% - Accent5 9 3" xfId="5633"/>
    <cellStyle name="40% - Accent5 9 4" xfId="5634"/>
    <cellStyle name="40% - Accent5 9 5" xfId="5635"/>
    <cellStyle name="40% - Accent6 10" xfId="5636"/>
    <cellStyle name="40% - Accent6 10 2" xfId="5637"/>
    <cellStyle name="40% - Accent6 10 3" xfId="5638"/>
    <cellStyle name="40% - Accent6 10 4" xfId="5639"/>
    <cellStyle name="40% - Accent6 11" xfId="5640"/>
    <cellStyle name="40% - Accent6 11 2" xfId="5641"/>
    <cellStyle name="40% - Accent6 11 3" xfId="5642"/>
    <cellStyle name="40% - Accent6 11 4" xfId="5643"/>
    <cellStyle name="40% - Accent6 12" xfId="5644"/>
    <cellStyle name="40% - Accent6 12 2" xfId="5645"/>
    <cellStyle name="40% - Accent6 12 3" xfId="5646"/>
    <cellStyle name="40% - Accent6 12 4" xfId="5647"/>
    <cellStyle name="40% - Accent6 13" xfId="5648"/>
    <cellStyle name="40% - Accent6 13 2" xfId="5649"/>
    <cellStyle name="40% - Accent6 13 3" xfId="5650"/>
    <cellStyle name="40% - Accent6 13 4" xfId="5651"/>
    <cellStyle name="40% - Accent6 14" xfId="5652"/>
    <cellStyle name="40% - Accent6 14 2" xfId="5653"/>
    <cellStyle name="40% - Accent6 14 3" xfId="5654"/>
    <cellStyle name="40% - Accent6 14 4" xfId="5655"/>
    <cellStyle name="40% - Accent6 15" xfId="5656"/>
    <cellStyle name="40% - Accent6 15 2" xfId="5657"/>
    <cellStyle name="40% - Accent6 15 3" xfId="5658"/>
    <cellStyle name="40% - Accent6 15 4" xfId="5659"/>
    <cellStyle name="40% - Accent6 16" xfId="5660"/>
    <cellStyle name="40% - Accent6 16 2" xfId="5661"/>
    <cellStyle name="40% - Accent6 17" xfId="5662"/>
    <cellStyle name="40% - Accent6 17 2" xfId="5663"/>
    <cellStyle name="40% - Accent6 18" xfId="5664"/>
    <cellStyle name="40% - Accent6 18 2" xfId="5665"/>
    <cellStyle name="40% - Accent6 19" xfId="5666"/>
    <cellStyle name="40% - Accent6 19 2" xfId="5667"/>
    <cellStyle name="40% - Accent6 2" xfId="5668"/>
    <cellStyle name="40% - Accent6 2 10" xfId="5669"/>
    <cellStyle name="40% - Accent6 2 10 2" xfId="5670"/>
    <cellStyle name="40% - Accent6 2 11" xfId="5671"/>
    <cellStyle name="40% - Accent6 2 11 2" xfId="5672"/>
    <cellStyle name="40% - Accent6 2 12" xfId="5673"/>
    <cellStyle name="40% - Accent6 2 12 2" xfId="5674"/>
    <cellStyle name="40% - Accent6 2 13" xfId="5675"/>
    <cellStyle name="40% - Accent6 2 13 2" xfId="5676"/>
    <cellStyle name="40% - Accent6 2 14" xfId="5677"/>
    <cellStyle name="40% - Accent6 2 14 2" xfId="5678"/>
    <cellStyle name="40% - Accent6 2 2" xfId="5679"/>
    <cellStyle name="40% - Accent6 2 3" xfId="5680"/>
    <cellStyle name="40% - Accent6 2 4" xfId="5681"/>
    <cellStyle name="40% - Accent6 2 5" xfId="5682"/>
    <cellStyle name="40% - Accent6 2 6" xfId="5683"/>
    <cellStyle name="40% - Accent6 2 7" xfId="5684"/>
    <cellStyle name="40% - Accent6 2 8" xfId="5685"/>
    <cellStyle name="40% - Accent6 2 9" xfId="5686"/>
    <cellStyle name="40% - Accent6 2 9 2" xfId="5687"/>
    <cellStyle name="40% - Accent6 20" xfId="5688"/>
    <cellStyle name="40% - Accent6 20 2" xfId="5689"/>
    <cellStyle name="40% - Accent6 21" xfId="5690"/>
    <cellStyle name="40% - Accent6 21 2" xfId="5691"/>
    <cellStyle name="40% - Accent6 22" xfId="5692"/>
    <cellStyle name="40% - Accent6 22 2" xfId="5693"/>
    <cellStyle name="40% - Accent6 23" xfId="5694"/>
    <cellStyle name="40% - Accent6 23 2" xfId="5695"/>
    <cellStyle name="40% - Accent6 24" xfId="5696"/>
    <cellStyle name="40% - Accent6 24 2" xfId="5697"/>
    <cellStyle name="40% - Accent6 25" xfId="5698"/>
    <cellStyle name="40% - Accent6 25 2" xfId="5699"/>
    <cellStyle name="40% - Accent6 26" xfId="5700"/>
    <cellStyle name="40% - Accent6 26 2" xfId="5701"/>
    <cellStyle name="40% - Accent6 27" xfId="5702"/>
    <cellStyle name="40% - Accent6 27 2" xfId="5703"/>
    <cellStyle name="40% - Accent6 28" xfId="5704"/>
    <cellStyle name="40% - Accent6 28 2" xfId="5705"/>
    <cellStyle name="40% - Accent6 29" xfId="5706"/>
    <cellStyle name="40% - Accent6 29 2" xfId="5707"/>
    <cellStyle name="40% - Accent6 3" xfId="5708"/>
    <cellStyle name="40% - Accent6 3 10" xfId="5709"/>
    <cellStyle name="40% - Accent6 3 10 10" xfId="5710"/>
    <cellStyle name="40% - Accent6 3 10 2" xfId="5711"/>
    <cellStyle name="40% - Accent6 3 10 2 2" xfId="5712"/>
    <cellStyle name="40% - Accent6 3 10 3" xfId="5713"/>
    <cellStyle name="40% - Accent6 3 10 3 2" xfId="5714"/>
    <cellStyle name="40% - Accent6 3 10 4" xfId="5715"/>
    <cellStyle name="40% - Accent6 3 10 4 2" xfId="5716"/>
    <cellStyle name="40% - Accent6 3 10 5" xfId="5717"/>
    <cellStyle name="40% - Accent6 3 10 5 2" xfId="5718"/>
    <cellStyle name="40% - Accent6 3 10 6" xfId="5719"/>
    <cellStyle name="40% - Accent6 3 10 6 2" xfId="5720"/>
    <cellStyle name="40% - Accent6 3 10 7" xfId="5721"/>
    <cellStyle name="40% - Accent6 3 10 7 2" xfId="5722"/>
    <cellStyle name="40% - Accent6 3 10 8" xfId="5723"/>
    <cellStyle name="40% - Accent6 3 10 8 2" xfId="5724"/>
    <cellStyle name="40% - Accent6 3 10 9" xfId="5725"/>
    <cellStyle name="40% - Accent6 3 10 9 2" xfId="5726"/>
    <cellStyle name="40% - Accent6 3 11" xfId="5727"/>
    <cellStyle name="40% - Accent6 3 11 10" xfId="5728"/>
    <cellStyle name="40% - Accent6 3 11 2" xfId="5729"/>
    <cellStyle name="40% - Accent6 3 11 2 2" xfId="5730"/>
    <cellStyle name="40% - Accent6 3 11 3" xfId="5731"/>
    <cellStyle name="40% - Accent6 3 11 3 2" xfId="5732"/>
    <cellStyle name="40% - Accent6 3 11 4" xfId="5733"/>
    <cellStyle name="40% - Accent6 3 11 4 2" xfId="5734"/>
    <cellStyle name="40% - Accent6 3 11 5" xfId="5735"/>
    <cellStyle name="40% - Accent6 3 11 5 2" xfId="5736"/>
    <cellStyle name="40% - Accent6 3 11 6" xfId="5737"/>
    <cellStyle name="40% - Accent6 3 11 6 2" xfId="5738"/>
    <cellStyle name="40% - Accent6 3 11 7" xfId="5739"/>
    <cellStyle name="40% - Accent6 3 11 7 2" xfId="5740"/>
    <cellStyle name="40% - Accent6 3 11 8" xfId="5741"/>
    <cellStyle name="40% - Accent6 3 11 8 2" xfId="5742"/>
    <cellStyle name="40% - Accent6 3 11 9" xfId="5743"/>
    <cellStyle name="40% - Accent6 3 11 9 2" xfId="5744"/>
    <cellStyle name="40% - Accent6 3 12" xfId="5745"/>
    <cellStyle name="40% - Accent6 3 12 10" xfId="5746"/>
    <cellStyle name="40% - Accent6 3 12 2" xfId="5747"/>
    <cellStyle name="40% - Accent6 3 12 2 2" xfId="5748"/>
    <cellStyle name="40% - Accent6 3 12 3" xfId="5749"/>
    <cellStyle name="40% - Accent6 3 12 3 2" xfId="5750"/>
    <cellStyle name="40% - Accent6 3 12 4" xfId="5751"/>
    <cellStyle name="40% - Accent6 3 12 4 2" xfId="5752"/>
    <cellStyle name="40% - Accent6 3 12 5" xfId="5753"/>
    <cellStyle name="40% - Accent6 3 12 5 2" xfId="5754"/>
    <cellStyle name="40% - Accent6 3 12 6" xfId="5755"/>
    <cellStyle name="40% - Accent6 3 12 6 2" xfId="5756"/>
    <cellStyle name="40% - Accent6 3 12 7" xfId="5757"/>
    <cellStyle name="40% - Accent6 3 12 7 2" xfId="5758"/>
    <cellStyle name="40% - Accent6 3 12 8" xfId="5759"/>
    <cellStyle name="40% - Accent6 3 12 8 2" xfId="5760"/>
    <cellStyle name="40% - Accent6 3 12 9" xfId="5761"/>
    <cellStyle name="40% - Accent6 3 12 9 2" xfId="5762"/>
    <cellStyle name="40% - Accent6 3 13" xfId="5763"/>
    <cellStyle name="40% - Accent6 3 13 2" xfId="5764"/>
    <cellStyle name="40% - Accent6 3 14" xfId="5765"/>
    <cellStyle name="40% - Accent6 3 14 2" xfId="5766"/>
    <cellStyle name="40% - Accent6 3 15" xfId="5767"/>
    <cellStyle name="40% - Accent6 3 15 2" xfId="5768"/>
    <cellStyle name="40% - Accent6 3 16" xfId="5769"/>
    <cellStyle name="40% - Accent6 3 16 2" xfId="5770"/>
    <cellStyle name="40% - Accent6 3 17" xfId="5771"/>
    <cellStyle name="40% - Accent6 3 17 2" xfId="5772"/>
    <cellStyle name="40% - Accent6 3 18" xfId="5773"/>
    <cellStyle name="40% - Accent6 3 18 2" xfId="5774"/>
    <cellStyle name="40% - Accent6 3 19" xfId="5775"/>
    <cellStyle name="40% - Accent6 3 19 2" xfId="5776"/>
    <cellStyle name="40% - Accent6 3 2" xfId="5777"/>
    <cellStyle name="40% - Accent6 3 2 10" xfId="5778"/>
    <cellStyle name="40% - Accent6 3 2 10 2" xfId="5779"/>
    <cellStyle name="40% - Accent6 3 2 11" xfId="5780"/>
    <cellStyle name="40% - Accent6 3 2 11 2" xfId="5781"/>
    <cellStyle name="40% - Accent6 3 2 12" xfId="5782"/>
    <cellStyle name="40% - Accent6 3 2 12 2" xfId="5783"/>
    <cellStyle name="40% - Accent6 3 2 13" xfId="5784"/>
    <cellStyle name="40% - Accent6 3 2 13 2" xfId="5785"/>
    <cellStyle name="40% - Accent6 3 2 14" xfId="5786"/>
    <cellStyle name="40% - Accent6 3 2 14 2" xfId="5787"/>
    <cellStyle name="40% - Accent6 3 2 15" xfId="5788"/>
    <cellStyle name="40% - Accent6 3 2 15 2" xfId="5789"/>
    <cellStyle name="40% - Accent6 3 2 16" xfId="5790"/>
    <cellStyle name="40% - Accent6 3 2 16 2" xfId="5791"/>
    <cellStyle name="40% - Accent6 3 2 17" xfId="5792"/>
    <cellStyle name="40% - Accent6 3 2 17 2" xfId="5793"/>
    <cellStyle name="40% - Accent6 3 2 18" xfId="5794"/>
    <cellStyle name="40% - Accent6 3 2 18 2" xfId="5795"/>
    <cellStyle name="40% - Accent6 3 2 19" xfId="5796"/>
    <cellStyle name="40% - Accent6 3 2 19 2" xfId="5797"/>
    <cellStyle name="40% - Accent6 3 2 2" xfId="5798"/>
    <cellStyle name="40% - Accent6 3 2 2 2" xfId="5799"/>
    <cellStyle name="40% - Accent6 3 2 2 2 2" xfId="5800"/>
    <cellStyle name="40% - Accent6 3 2 2 3" xfId="5801"/>
    <cellStyle name="40% - Accent6 3 2 2 3 2" xfId="5802"/>
    <cellStyle name="40% - Accent6 3 2 2 4" xfId="5803"/>
    <cellStyle name="40% - Accent6 3 2 2 4 2" xfId="5804"/>
    <cellStyle name="40% - Accent6 3 2 2 5" xfId="5805"/>
    <cellStyle name="40% - Accent6 3 2 2 5 2" xfId="5806"/>
    <cellStyle name="40% - Accent6 3 2 2 6" xfId="5807"/>
    <cellStyle name="40% - Accent6 3 2 2 6 2" xfId="5808"/>
    <cellStyle name="40% - Accent6 3 2 2 7" xfId="5809"/>
    <cellStyle name="40% - Accent6 3 2 2 7 2" xfId="5810"/>
    <cellStyle name="40% - Accent6 3 2 2 8" xfId="5811"/>
    <cellStyle name="40% - Accent6 3 2 20" xfId="5812"/>
    <cellStyle name="40% - Accent6 3 2 20 2" xfId="5813"/>
    <cellStyle name="40% - Accent6 3 2 21" xfId="5814"/>
    <cellStyle name="40% - Accent6 3 2 21 2" xfId="5815"/>
    <cellStyle name="40% - Accent6 3 2 22" xfId="5816"/>
    <cellStyle name="40% - Accent6 3 2 22 2" xfId="5817"/>
    <cellStyle name="40% - Accent6 3 2 23" xfId="5818"/>
    <cellStyle name="40% - Accent6 3 2 23 2" xfId="5819"/>
    <cellStyle name="40% - Accent6 3 2 24" xfId="5820"/>
    <cellStyle name="40% - Accent6 3 2 3" xfId="5821"/>
    <cellStyle name="40% - Accent6 3 2 3 2" xfId="5822"/>
    <cellStyle name="40% - Accent6 3 2 3 2 2" xfId="5823"/>
    <cellStyle name="40% - Accent6 3 2 3 3" xfId="5824"/>
    <cellStyle name="40% - Accent6 3 2 3 3 2" xfId="5825"/>
    <cellStyle name="40% - Accent6 3 2 3 4" xfId="5826"/>
    <cellStyle name="40% - Accent6 3 2 3 4 2" xfId="5827"/>
    <cellStyle name="40% - Accent6 3 2 3 5" xfId="5828"/>
    <cellStyle name="40% - Accent6 3 2 3 5 2" xfId="5829"/>
    <cellStyle name="40% - Accent6 3 2 3 6" xfId="5830"/>
    <cellStyle name="40% - Accent6 3 2 3 6 2" xfId="5831"/>
    <cellStyle name="40% - Accent6 3 2 3 7" xfId="5832"/>
    <cellStyle name="40% - Accent6 3 2 3 7 2" xfId="5833"/>
    <cellStyle name="40% - Accent6 3 2 3 8" xfId="5834"/>
    <cellStyle name="40% - Accent6 3 2 4" xfId="5835"/>
    <cellStyle name="40% - Accent6 3 2 4 2" xfId="5836"/>
    <cellStyle name="40% - Accent6 3 2 5" xfId="5837"/>
    <cellStyle name="40% - Accent6 3 2 5 2" xfId="5838"/>
    <cellStyle name="40% - Accent6 3 2 6" xfId="5839"/>
    <cellStyle name="40% - Accent6 3 2 6 2" xfId="5840"/>
    <cellStyle name="40% - Accent6 3 2 7" xfId="5841"/>
    <cellStyle name="40% - Accent6 3 2 7 2" xfId="5842"/>
    <cellStyle name="40% - Accent6 3 2 8" xfId="5843"/>
    <cellStyle name="40% - Accent6 3 2 8 2" xfId="5844"/>
    <cellStyle name="40% - Accent6 3 2 9" xfId="5845"/>
    <cellStyle name="40% - Accent6 3 2 9 2" xfId="5846"/>
    <cellStyle name="40% - Accent6 3 20" xfId="5847"/>
    <cellStyle name="40% - Accent6 3 20 2" xfId="5848"/>
    <cellStyle name="40% - Accent6 3 21" xfId="5849"/>
    <cellStyle name="40% - Accent6 3 21 2" xfId="5850"/>
    <cellStyle name="40% - Accent6 3 22" xfId="5851"/>
    <cellStyle name="40% - Accent6 3 22 2" xfId="5852"/>
    <cellStyle name="40% - Accent6 3 23" xfId="5853"/>
    <cellStyle name="40% - Accent6 3 23 2" xfId="5854"/>
    <cellStyle name="40% - Accent6 3 24" xfId="5855"/>
    <cellStyle name="40% - Accent6 3 24 2" xfId="5856"/>
    <cellStyle name="40% - Accent6 3 25" xfId="5857"/>
    <cellStyle name="40% - Accent6 3 25 2" xfId="5858"/>
    <cellStyle name="40% - Accent6 3 26" xfId="5859"/>
    <cellStyle name="40% - Accent6 3 26 2" xfId="5860"/>
    <cellStyle name="40% - Accent6 3 27" xfId="5861"/>
    <cellStyle name="40% - Accent6 3 27 2" xfId="5862"/>
    <cellStyle name="40% - Accent6 3 28" xfId="5863"/>
    <cellStyle name="40% - Accent6 3 28 2" xfId="5864"/>
    <cellStyle name="40% - Accent6 3 29" xfId="5865"/>
    <cellStyle name="40% - Accent6 3 29 2" xfId="5866"/>
    <cellStyle name="40% - Accent6 3 3" xfId="5867"/>
    <cellStyle name="40% - Accent6 3 3 10" xfId="5868"/>
    <cellStyle name="40% - Accent6 3 3 2" xfId="5869"/>
    <cellStyle name="40% - Accent6 3 3 2 2" xfId="5870"/>
    <cellStyle name="40% - Accent6 3 3 2 2 2" xfId="5871"/>
    <cellStyle name="40% - Accent6 3 3 2 3" xfId="5872"/>
    <cellStyle name="40% - Accent6 3 3 2 3 2" xfId="5873"/>
    <cellStyle name="40% - Accent6 3 3 2 4" xfId="5874"/>
    <cellStyle name="40% - Accent6 3 3 2 4 2" xfId="5875"/>
    <cellStyle name="40% - Accent6 3 3 2 5" xfId="5876"/>
    <cellStyle name="40% - Accent6 3 3 2 5 2" xfId="5877"/>
    <cellStyle name="40% - Accent6 3 3 2 6" xfId="5878"/>
    <cellStyle name="40% - Accent6 3 3 2 6 2" xfId="5879"/>
    <cellStyle name="40% - Accent6 3 3 2 7" xfId="5880"/>
    <cellStyle name="40% - Accent6 3 3 2 7 2" xfId="5881"/>
    <cellStyle name="40% - Accent6 3 3 2 8" xfId="5882"/>
    <cellStyle name="40% - Accent6 3 3 3" xfId="5883"/>
    <cellStyle name="40% - Accent6 3 3 3 2" xfId="5884"/>
    <cellStyle name="40% - Accent6 3 3 4" xfId="5885"/>
    <cellStyle name="40% - Accent6 3 3 4 2" xfId="5886"/>
    <cellStyle name="40% - Accent6 3 3 5" xfId="5887"/>
    <cellStyle name="40% - Accent6 3 3 5 2" xfId="5888"/>
    <cellStyle name="40% - Accent6 3 3 6" xfId="5889"/>
    <cellStyle name="40% - Accent6 3 3 6 2" xfId="5890"/>
    <cellStyle name="40% - Accent6 3 3 7" xfId="5891"/>
    <cellStyle name="40% - Accent6 3 3 7 2" xfId="5892"/>
    <cellStyle name="40% - Accent6 3 3 8" xfId="5893"/>
    <cellStyle name="40% - Accent6 3 3 8 2" xfId="5894"/>
    <cellStyle name="40% - Accent6 3 3 9" xfId="5895"/>
    <cellStyle name="40% - Accent6 3 3 9 2" xfId="5896"/>
    <cellStyle name="40% - Accent6 3 30" xfId="5897"/>
    <cellStyle name="40% - Accent6 3 30 2" xfId="5898"/>
    <cellStyle name="40% - Accent6 3 31" xfId="5899"/>
    <cellStyle name="40% - Accent6 3 31 2" xfId="5900"/>
    <cellStyle name="40% - Accent6 3 32" xfId="5901"/>
    <cellStyle name="40% - Accent6 3 32 2" xfId="5902"/>
    <cellStyle name="40% - Accent6 3 33" xfId="5903"/>
    <cellStyle name="40% - Accent6 3 33 2" xfId="5904"/>
    <cellStyle name="40% - Accent6 3 34" xfId="5905"/>
    <cellStyle name="40% - Accent6 3 34 2" xfId="5906"/>
    <cellStyle name="40% - Accent6 3 35" xfId="5907"/>
    <cellStyle name="40% - Accent6 3 35 2" xfId="5908"/>
    <cellStyle name="40% - Accent6 3 36" xfId="5909"/>
    <cellStyle name="40% - Accent6 3 36 2" xfId="5910"/>
    <cellStyle name="40% - Accent6 3 37" xfId="5911"/>
    <cellStyle name="40% - Accent6 3 37 2" xfId="5912"/>
    <cellStyle name="40% - Accent6 3 38" xfId="5913"/>
    <cellStyle name="40% - Accent6 3 38 2" xfId="5914"/>
    <cellStyle name="40% - Accent6 3 39" xfId="5915"/>
    <cellStyle name="40% - Accent6 3 39 2" xfId="5916"/>
    <cellStyle name="40% - Accent6 3 4" xfId="5917"/>
    <cellStyle name="40% - Accent6 3 4 10" xfId="5918"/>
    <cellStyle name="40% - Accent6 3 4 2" xfId="5919"/>
    <cellStyle name="40% - Accent6 3 4 2 2" xfId="5920"/>
    <cellStyle name="40% - Accent6 3 4 3" xfId="5921"/>
    <cellStyle name="40% - Accent6 3 4 3 2" xfId="5922"/>
    <cellStyle name="40% - Accent6 3 4 4" xfId="5923"/>
    <cellStyle name="40% - Accent6 3 4 4 2" xfId="5924"/>
    <cellStyle name="40% - Accent6 3 4 5" xfId="5925"/>
    <cellStyle name="40% - Accent6 3 4 5 2" xfId="5926"/>
    <cellStyle name="40% - Accent6 3 4 6" xfId="5927"/>
    <cellStyle name="40% - Accent6 3 4 6 2" xfId="5928"/>
    <cellStyle name="40% - Accent6 3 4 7" xfId="5929"/>
    <cellStyle name="40% - Accent6 3 4 7 2" xfId="5930"/>
    <cellStyle name="40% - Accent6 3 4 8" xfId="5931"/>
    <cellStyle name="40% - Accent6 3 4 8 2" xfId="5932"/>
    <cellStyle name="40% - Accent6 3 4 9" xfId="5933"/>
    <cellStyle name="40% - Accent6 3 4 9 2" xfId="5934"/>
    <cellStyle name="40% - Accent6 3 40" xfId="5935"/>
    <cellStyle name="40% - Accent6 3 40 2" xfId="5936"/>
    <cellStyle name="40% - Accent6 3 41" xfId="5937"/>
    <cellStyle name="40% - Accent6 3 41 2" xfId="5938"/>
    <cellStyle name="40% - Accent6 3 42" xfId="5939"/>
    <cellStyle name="40% - Accent6 3 42 2" xfId="5940"/>
    <cellStyle name="40% - Accent6 3 43" xfId="5941"/>
    <cellStyle name="40% - Accent6 3 43 2" xfId="5942"/>
    <cellStyle name="40% - Accent6 3 44" xfId="5943"/>
    <cellStyle name="40% - Accent6 3 44 2" xfId="5944"/>
    <cellStyle name="40% - Accent6 3 45" xfId="5945"/>
    <cellStyle name="40% - Accent6 3 45 2" xfId="5946"/>
    <cellStyle name="40% - Accent6 3 46" xfId="5947"/>
    <cellStyle name="40% - Accent6 3 46 2" xfId="5948"/>
    <cellStyle name="40% - Accent6 3 47" xfId="5949"/>
    <cellStyle name="40% - Accent6 3 47 2" xfId="5950"/>
    <cellStyle name="40% - Accent6 3 48" xfId="5951"/>
    <cellStyle name="40% - Accent6 3 48 2" xfId="5952"/>
    <cellStyle name="40% - Accent6 3 49" xfId="5953"/>
    <cellStyle name="40% - Accent6 3 49 2" xfId="5954"/>
    <cellStyle name="40% - Accent6 3 5" xfId="5955"/>
    <cellStyle name="40% - Accent6 3 5 10" xfId="5956"/>
    <cellStyle name="40% - Accent6 3 5 2" xfId="5957"/>
    <cellStyle name="40% - Accent6 3 5 2 2" xfId="5958"/>
    <cellStyle name="40% - Accent6 3 5 3" xfId="5959"/>
    <cellStyle name="40% - Accent6 3 5 3 2" xfId="5960"/>
    <cellStyle name="40% - Accent6 3 5 4" xfId="5961"/>
    <cellStyle name="40% - Accent6 3 5 4 2" xfId="5962"/>
    <cellStyle name="40% - Accent6 3 5 5" xfId="5963"/>
    <cellStyle name="40% - Accent6 3 5 5 2" xfId="5964"/>
    <cellStyle name="40% - Accent6 3 5 6" xfId="5965"/>
    <cellStyle name="40% - Accent6 3 5 6 2" xfId="5966"/>
    <cellStyle name="40% - Accent6 3 5 7" xfId="5967"/>
    <cellStyle name="40% - Accent6 3 5 7 2" xfId="5968"/>
    <cellStyle name="40% - Accent6 3 5 8" xfId="5969"/>
    <cellStyle name="40% - Accent6 3 5 8 2" xfId="5970"/>
    <cellStyle name="40% - Accent6 3 5 9" xfId="5971"/>
    <cellStyle name="40% - Accent6 3 5 9 2" xfId="5972"/>
    <cellStyle name="40% - Accent6 3 50" xfId="5973"/>
    <cellStyle name="40% - Accent6 3 50 2" xfId="5974"/>
    <cellStyle name="40% - Accent6 3 51" xfId="5975"/>
    <cellStyle name="40% - Accent6 3 51 2" xfId="5976"/>
    <cellStyle name="40% - Accent6 3 52" xfId="5977"/>
    <cellStyle name="40% - Accent6 3 52 2" xfId="5978"/>
    <cellStyle name="40% - Accent6 3 53" xfId="5979"/>
    <cellStyle name="40% - Accent6 3 53 2" xfId="5980"/>
    <cellStyle name="40% - Accent6 3 54" xfId="5981"/>
    <cellStyle name="40% - Accent6 3 54 2" xfId="5982"/>
    <cellStyle name="40% - Accent6 3 55" xfId="5983"/>
    <cellStyle name="40% - Accent6 3 55 2" xfId="5984"/>
    <cellStyle name="40% - Accent6 3 56" xfId="5985"/>
    <cellStyle name="40% - Accent6 3 56 2" xfId="5986"/>
    <cellStyle name="40% - Accent6 3 57" xfId="5987"/>
    <cellStyle name="40% - Accent6 3 6" xfId="5988"/>
    <cellStyle name="40% - Accent6 3 6 10" xfId="5989"/>
    <cellStyle name="40% - Accent6 3 6 2" xfId="5990"/>
    <cellStyle name="40% - Accent6 3 6 2 2" xfId="5991"/>
    <cellStyle name="40% - Accent6 3 6 3" xfId="5992"/>
    <cellStyle name="40% - Accent6 3 6 3 2" xfId="5993"/>
    <cellStyle name="40% - Accent6 3 6 4" xfId="5994"/>
    <cellStyle name="40% - Accent6 3 6 4 2" xfId="5995"/>
    <cellStyle name="40% - Accent6 3 6 5" xfId="5996"/>
    <cellStyle name="40% - Accent6 3 6 5 2" xfId="5997"/>
    <cellStyle name="40% - Accent6 3 6 6" xfId="5998"/>
    <cellStyle name="40% - Accent6 3 6 6 2" xfId="5999"/>
    <cellStyle name="40% - Accent6 3 6 7" xfId="6000"/>
    <cellStyle name="40% - Accent6 3 6 7 2" xfId="6001"/>
    <cellStyle name="40% - Accent6 3 6 8" xfId="6002"/>
    <cellStyle name="40% - Accent6 3 6 8 2" xfId="6003"/>
    <cellStyle name="40% - Accent6 3 6 9" xfId="6004"/>
    <cellStyle name="40% - Accent6 3 6 9 2" xfId="6005"/>
    <cellStyle name="40% - Accent6 3 7" xfId="6006"/>
    <cellStyle name="40% - Accent6 3 7 10" xfId="6007"/>
    <cellStyle name="40% - Accent6 3 7 2" xfId="6008"/>
    <cellStyle name="40% - Accent6 3 7 2 2" xfId="6009"/>
    <cellStyle name="40% - Accent6 3 7 3" xfId="6010"/>
    <cellStyle name="40% - Accent6 3 7 3 2" xfId="6011"/>
    <cellStyle name="40% - Accent6 3 7 4" xfId="6012"/>
    <cellStyle name="40% - Accent6 3 7 4 2" xfId="6013"/>
    <cellStyle name="40% - Accent6 3 7 5" xfId="6014"/>
    <cellStyle name="40% - Accent6 3 7 5 2" xfId="6015"/>
    <cellStyle name="40% - Accent6 3 7 6" xfId="6016"/>
    <cellStyle name="40% - Accent6 3 7 6 2" xfId="6017"/>
    <cellStyle name="40% - Accent6 3 7 7" xfId="6018"/>
    <cellStyle name="40% - Accent6 3 7 7 2" xfId="6019"/>
    <cellStyle name="40% - Accent6 3 7 8" xfId="6020"/>
    <cellStyle name="40% - Accent6 3 7 8 2" xfId="6021"/>
    <cellStyle name="40% - Accent6 3 7 9" xfId="6022"/>
    <cellStyle name="40% - Accent6 3 7 9 2" xfId="6023"/>
    <cellStyle name="40% - Accent6 3 8" xfId="6024"/>
    <cellStyle name="40% - Accent6 3 8 10" xfId="6025"/>
    <cellStyle name="40% - Accent6 3 8 2" xfId="6026"/>
    <cellStyle name="40% - Accent6 3 8 2 2" xfId="6027"/>
    <cellStyle name="40% - Accent6 3 8 3" xfId="6028"/>
    <cellStyle name="40% - Accent6 3 8 3 2" xfId="6029"/>
    <cellStyle name="40% - Accent6 3 8 4" xfId="6030"/>
    <cellStyle name="40% - Accent6 3 8 4 2" xfId="6031"/>
    <cellStyle name="40% - Accent6 3 8 5" xfId="6032"/>
    <cellStyle name="40% - Accent6 3 8 5 2" xfId="6033"/>
    <cellStyle name="40% - Accent6 3 8 6" xfId="6034"/>
    <cellStyle name="40% - Accent6 3 8 6 2" xfId="6035"/>
    <cellStyle name="40% - Accent6 3 8 7" xfId="6036"/>
    <cellStyle name="40% - Accent6 3 8 7 2" xfId="6037"/>
    <cellStyle name="40% - Accent6 3 8 8" xfId="6038"/>
    <cellStyle name="40% - Accent6 3 8 8 2" xfId="6039"/>
    <cellStyle name="40% - Accent6 3 8 9" xfId="6040"/>
    <cellStyle name="40% - Accent6 3 8 9 2" xfId="6041"/>
    <cellStyle name="40% - Accent6 3 9" xfId="6042"/>
    <cellStyle name="40% - Accent6 3 9 10" xfId="6043"/>
    <cellStyle name="40% - Accent6 3 9 2" xfId="6044"/>
    <cellStyle name="40% - Accent6 3 9 2 2" xfId="6045"/>
    <cellStyle name="40% - Accent6 3 9 3" xfId="6046"/>
    <cellStyle name="40% - Accent6 3 9 3 2" xfId="6047"/>
    <cellStyle name="40% - Accent6 3 9 4" xfId="6048"/>
    <cellStyle name="40% - Accent6 3 9 4 2" xfId="6049"/>
    <cellStyle name="40% - Accent6 3 9 5" xfId="6050"/>
    <cellStyle name="40% - Accent6 3 9 5 2" xfId="6051"/>
    <cellStyle name="40% - Accent6 3 9 6" xfId="6052"/>
    <cellStyle name="40% - Accent6 3 9 6 2" xfId="6053"/>
    <cellStyle name="40% - Accent6 3 9 7" xfId="6054"/>
    <cellStyle name="40% - Accent6 3 9 7 2" xfId="6055"/>
    <cellStyle name="40% - Accent6 3 9 8" xfId="6056"/>
    <cellStyle name="40% - Accent6 3 9 8 2" xfId="6057"/>
    <cellStyle name="40% - Accent6 3 9 9" xfId="6058"/>
    <cellStyle name="40% - Accent6 3 9 9 2" xfId="6059"/>
    <cellStyle name="40% - Accent6 30" xfId="6060"/>
    <cellStyle name="40% - Accent6 30 2" xfId="6061"/>
    <cellStyle name="40% - Accent6 31" xfId="6062"/>
    <cellStyle name="40% - Accent6 31 2" xfId="6063"/>
    <cellStyle name="40% - Accent6 32" xfId="6064"/>
    <cellStyle name="40% - Accent6 32 2" xfId="6065"/>
    <cellStyle name="40% - Accent6 33" xfId="6066"/>
    <cellStyle name="40% - Accent6 33 2" xfId="6067"/>
    <cellStyle name="40% - Accent6 34" xfId="6068"/>
    <cellStyle name="40% - Accent6 34 2" xfId="6069"/>
    <cellStyle name="40% - Accent6 35" xfId="6070"/>
    <cellStyle name="40% - Accent6 35 2" xfId="6071"/>
    <cellStyle name="40% - Accent6 36" xfId="6072"/>
    <cellStyle name="40% - Accent6 36 2" xfId="6073"/>
    <cellStyle name="40% - Accent6 37" xfId="6074"/>
    <cellStyle name="40% - Accent6 37 2" xfId="6075"/>
    <cellStyle name="40% - Accent6 38" xfId="6076"/>
    <cellStyle name="40% - Accent6 38 2" xfId="6077"/>
    <cellStyle name="40% - Accent6 39" xfId="6078"/>
    <cellStyle name="40% - Accent6 4" xfId="6079"/>
    <cellStyle name="40% - Accent6 4 2" xfId="6080"/>
    <cellStyle name="40% - Accent6 4 2 2" xfId="6081"/>
    <cellStyle name="40% - Accent6 4 3" xfId="6082"/>
    <cellStyle name="40% - Accent6 4 3 2" xfId="6083"/>
    <cellStyle name="40% - Accent6 4 4" xfId="6084"/>
    <cellStyle name="40% - Accent6 4 4 2" xfId="6085"/>
    <cellStyle name="40% - Accent6 4 5" xfId="6086"/>
    <cellStyle name="40% - Accent6 4 5 2" xfId="6087"/>
    <cellStyle name="40% - Accent6 4 6" xfId="6088"/>
    <cellStyle name="40% - Accent6 4 6 2" xfId="6089"/>
    <cellStyle name="40% - Accent6 4 7" xfId="6090"/>
    <cellStyle name="40% - Accent6 4 7 2" xfId="6091"/>
    <cellStyle name="40% - Accent6 4 8" xfId="6092"/>
    <cellStyle name="40% - Accent6 4 8 2" xfId="6093"/>
    <cellStyle name="40% - Accent6 5" xfId="6094"/>
    <cellStyle name="40% - Accent6 5 10" xfId="6095"/>
    <cellStyle name="40% - Accent6 5 10 2" xfId="6096"/>
    <cellStyle name="40% - Accent6 5 11" xfId="6097"/>
    <cellStyle name="40% - Accent6 5 11 2" xfId="6098"/>
    <cellStyle name="40% - Accent6 5 12" xfId="6099"/>
    <cellStyle name="40% - Accent6 5 12 2" xfId="6100"/>
    <cellStyle name="40% - Accent6 5 13" xfId="6101"/>
    <cellStyle name="40% - Accent6 5 13 2" xfId="6102"/>
    <cellStyle name="40% - Accent6 5 14" xfId="6103"/>
    <cellStyle name="40% - Accent6 5 2" xfId="6104"/>
    <cellStyle name="40% - Accent6 5 2 2" xfId="6105"/>
    <cellStyle name="40% - Accent6 5 2 3" xfId="6106"/>
    <cellStyle name="40% - Accent6 5 2 4" xfId="6107"/>
    <cellStyle name="40% - Accent6 5 2 5" xfId="6108"/>
    <cellStyle name="40% - Accent6 5 2 6" xfId="6109"/>
    <cellStyle name="40% - Accent6 5 3" xfId="6110"/>
    <cellStyle name="40% - Accent6 5 4" xfId="6111"/>
    <cellStyle name="40% - Accent6 5 5" xfId="6112"/>
    <cellStyle name="40% - Accent6 5 6" xfId="6113"/>
    <cellStyle name="40% - Accent6 5 7" xfId="6114"/>
    <cellStyle name="40% - Accent6 5 8" xfId="6115"/>
    <cellStyle name="40% - Accent6 5 8 2" xfId="6116"/>
    <cellStyle name="40% - Accent6 5 9" xfId="6117"/>
    <cellStyle name="40% - Accent6 5 9 2" xfId="6118"/>
    <cellStyle name="40% - Accent6 6" xfId="6119"/>
    <cellStyle name="40% - Accent6 6 2" xfId="6120"/>
    <cellStyle name="40% - Accent6 6 2 2" xfId="6121"/>
    <cellStyle name="40% - Accent6 6 2 3" xfId="6122"/>
    <cellStyle name="40% - Accent6 6 2 4" xfId="6123"/>
    <cellStyle name="40% - Accent6 6 2 5" xfId="6124"/>
    <cellStyle name="40% - Accent6 6 2 6" xfId="6125"/>
    <cellStyle name="40% - Accent6 6 3" xfId="6126"/>
    <cellStyle name="40% - Accent6 6 4" xfId="6127"/>
    <cellStyle name="40% - Accent6 6 5" xfId="6128"/>
    <cellStyle name="40% - Accent6 6 6" xfId="6129"/>
    <cellStyle name="40% - Accent6 6 7" xfId="6130"/>
    <cellStyle name="40% - Accent6 6 8" xfId="6131"/>
    <cellStyle name="40% - Accent6 6 9" xfId="6132"/>
    <cellStyle name="40% - Accent6 7" xfId="6133"/>
    <cellStyle name="40% - Accent6 7 2" xfId="6134"/>
    <cellStyle name="40% - Accent6 7 3" xfId="6135"/>
    <cellStyle name="40% - Accent6 7 4" xfId="6136"/>
    <cellStyle name="40% - Accent6 7 5" xfId="6137"/>
    <cellStyle name="40% - Accent6 8" xfId="6138"/>
    <cellStyle name="40% - Accent6 8 2" xfId="6139"/>
    <cellStyle name="40% - Accent6 8 3" xfId="6140"/>
    <cellStyle name="40% - Accent6 8 4" xfId="6141"/>
    <cellStyle name="40% - Accent6 8 5" xfId="6142"/>
    <cellStyle name="40% - Accent6 9" xfId="6143"/>
    <cellStyle name="40% - Accent6 9 2" xfId="6144"/>
    <cellStyle name="40% - Accent6 9 3" xfId="6145"/>
    <cellStyle name="40% - Accent6 9 4" xfId="6146"/>
    <cellStyle name="40% - Accent6 9 5" xfId="6147"/>
    <cellStyle name="60% - Accent1 10" xfId="6148"/>
    <cellStyle name="60% - Accent1 10 2" xfId="6149"/>
    <cellStyle name="60% - Accent1 11" xfId="6150"/>
    <cellStyle name="60% - Accent1 12" xfId="6151"/>
    <cellStyle name="60% - Accent1 13" xfId="6152"/>
    <cellStyle name="60% - Accent1 14" xfId="6153"/>
    <cellStyle name="60% - Accent1 15" xfId="6154"/>
    <cellStyle name="60% - Accent1 16" xfId="6155"/>
    <cellStyle name="60% - Accent1 17" xfId="6156"/>
    <cellStyle name="60% - Accent1 18" xfId="6157"/>
    <cellStyle name="60% - Accent1 19" xfId="6158"/>
    <cellStyle name="60% - Accent1 2" xfId="6159"/>
    <cellStyle name="60% - Accent1 2 2" xfId="6160"/>
    <cellStyle name="60% - Accent1 2 3" xfId="6161"/>
    <cellStyle name="60% - Accent1 2 4" xfId="6162"/>
    <cellStyle name="60% - Accent1 2 5" xfId="6163"/>
    <cellStyle name="60% - Accent1 2 6" xfId="6164"/>
    <cellStyle name="60% - Accent1 2 7" xfId="6165"/>
    <cellStyle name="60% - Accent1 2 8" xfId="6166"/>
    <cellStyle name="60% - Accent1 20" xfId="6167"/>
    <cellStyle name="60% - Accent1 21" xfId="6168"/>
    <cellStyle name="60% - Accent1 22" xfId="6169"/>
    <cellStyle name="60% - Accent1 23" xfId="6170"/>
    <cellStyle name="60% - Accent1 24" xfId="6171"/>
    <cellStyle name="60% - Accent1 25" xfId="6172"/>
    <cellStyle name="60% - Accent1 26" xfId="6173"/>
    <cellStyle name="60% - Accent1 27" xfId="6174"/>
    <cellStyle name="60% - Accent1 28" xfId="6175"/>
    <cellStyle name="60% - Accent1 29" xfId="6176"/>
    <cellStyle name="60% - Accent1 3" xfId="6177"/>
    <cellStyle name="60% - Accent1 30" xfId="6178"/>
    <cellStyle name="60% - Accent1 31" xfId="6179"/>
    <cellStyle name="60% - Accent1 32" xfId="6180"/>
    <cellStyle name="60% - Accent1 33" xfId="6181"/>
    <cellStyle name="60% - Accent1 34" xfId="6182"/>
    <cellStyle name="60% - Accent1 35" xfId="6183"/>
    <cellStyle name="60% - Accent1 36" xfId="6184"/>
    <cellStyle name="60% - Accent1 37" xfId="6185"/>
    <cellStyle name="60% - Accent1 38" xfId="6186"/>
    <cellStyle name="60% - Accent1 39" xfId="6187"/>
    <cellStyle name="60% - Accent1 4" xfId="6188"/>
    <cellStyle name="60% - Accent1 4 2" xfId="6189"/>
    <cellStyle name="60% - Accent1 4 3" xfId="6190"/>
    <cellStyle name="60% - Accent1 4 4" xfId="6191"/>
    <cellStyle name="60% - Accent1 5" xfId="6192"/>
    <cellStyle name="60% - Accent1 5 10" xfId="6193"/>
    <cellStyle name="60% - Accent1 5 11" xfId="6194"/>
    <cellStyle name="60% - Accent1 5 2" xfId="6195"/>
    <cellStyle name="60% - Accent1 5 2 2" xfId="6196"/>
    <cellStyle name="60% - Accent1 5 2 3" xfId="6197"/>
    <cellStyle name="60% - Accent1 5 2 4" xfId="6198"/>
    <cellStyle name="60% - Accent1 5 2 5" xfId="6199"/>
    <cellStyle name="60% - Accent1 5 2 6" xfId="6200"/>
    <cellStyle name="60% - Accent1 5 3" xfId="6201"/>
    <cellStyle name="60% - Accent1 5 4" xfId="6202"/>
    <cellStyle name="60% - Accent1 5 5" xfId="6203"/>
    <cellStyle name="60% - Accent1 5 6" xfId="6204"/>
    <cellStyle name="60% - Accent1 5 7" xfId="6205"/>
    <cellStyle name="60% - Accent1 5 8" xfId="6206"/>
    <cellStyle name="60% - Accent1 5 9" xfId="6207"/>
    <cellStyle name="60% - Accent1 6" xfId="6208"/>
    <cellStyle name="60% - Accent1 6 2" xfId="6209"/>
    <cellStyle name="60% - Accent1 6 2 2" xfId="6210"/>
    <cellStyle name="60% - Accent1 6 2 3" xfId="6211"/>
    <cellStyle name="60% - Accent1 6 2 4" xfId="6212"/>
    <cellStyle name="60% - Accent1 6 2 5" xfId="6213"/>
    <cellStyle name="60% - Accent1 6 2 6" xfId="6214"/>
    <cellStyle name="60% - Accent1 6 3" xfId="6215"/>
    <cellStyle name="60% - Accent1 6 4" xfId="6216"/>
    <cellStyle name="60% - Accent1 6 5" xfId="6217"/>
    <cellStyle name="60% - Accent1 6 6" xfId="6218"/>
    <cellStyle name="60% - Accent1 6 7" xfId="6219"/>
    <cellStyle name="60% - Accent1 6 8" xfId="6220"/>
    <cellStyle name="60% - Accent1 6 9" xfId="6221"/>
    <cellStyle name="60% - Accent1 7" xfId="6222"/>
    <cellStyle name="60% - Accent1 7 2" xfId="6223"/>
    <cellStyle name="60% - Accent1 7 3" xfId="6224"/>
    <cellStyle name="60% - Accent1 7 4" xfId="6225"/>
    <cellStyle name="60% - Accent1 8" xfId="6226"/>
    <cellStyle name="60% - Accent1 8 2" xfId="6227"/>
    <cellStyle name="60% - Accent1 8 3" xfId="6228"/>
    <cellStyle name="60% - Accent1 8 4" xfId="6229"/>
    <cellStyle name="60% - Accent1 9" xfId="6230"/>
    <cellStyle name="60% - Accent1 9 2" xfId="6231"/>
    <cellStyle name="60% - Accent1 9 3" xfId="6232"/>
    <cellStyle name="60% - Accent2 10" xfId="6233"/>
    <cellStyle name="60% - Accent2 10 2" xfId="6234"/>
    <cellStyle name="60% - Accent2 11" xfId="6235"/>
    <cellStyle name="60% - Accent2 12" xfId="6236"/>
    <cellStyle name="60% - Accent2 13" xfId="6237"/>
    <cellStyle name="60% - Accent2 14" xfId="6238"/>
    <cellStyle name="60% - Accent2 15" xfId="6239"/>
    <cellStyle name="60% - Accent2 16" xfId="6240"/>
    <cellStyle name="60% - Accent2 17" xfId="6241"/>
    <cellStyle name="60% - Accent2 18" xfId="6242"/>
    <cellStyle name="60% - Accent2 19" xfId="6243"/>
    <cellStyle name="60% - Accent2 2" xfId="6244"/>
    <cellStyle name="60% - Accent2 2 2" xfId="6245"/>
    <cellStyle name="60% - Accent2 2 3" xfId="6246"/>
    <cellStyle name="60% - Accent2 2 4" xfId="6247"/>
    <cellStyle name="60% - Accent2 2 5" xfId="6248"/>
    <cellStyle name="60% - Accent2 2 6" xfId="6249"/>
    <cellStyle name="60% - Accent2 2 7" xfId="6250"/>
    <cellStyle name="60% - Accent2 2 8" xfId="6251"/>
    <cellStyle name="60% - Accent2 20" xfId="6252"/>
    <cellStyle name="60% - Accent2 21" xfId="6253"/>
    <cellStyle name="60% - Accent2 22" xfId="6254"/>
    <cellStyle name="60% - Accent2 23" xfId="6255"/>
    <cellStyle name="60% - Accent2 24" xfId="6256"/>
    <cellStyle name="60% - Accent2 25" xfId="6257"/>
    <cellStyle name="60% - Accent2 26" xfId="6258"/>
    <cellStyle name="60% - Accent2 27" xfId="6259"/>
    <cellStyle name="60% - Accent2 28" xfId="6260"/>
    <cellStyle name="60% - Accent2 29" xfId="6261"/>
    <cellStyle name="60% - Accent2 3" xfId="6262"/>
    <cellStyle name="60% - Accent2 30" xfId="6263"/>
    <cellStyle name="60% - Accent2 31" xfId="6264"/>
    <cellStyle name="60% - Accent2 32" xfId="6265"/>
    <cellStyle name="60% - Accent2 33" xfId="6266"/>
    <cellStyle name="60% - Accent2 34" xfId="6267"/>
    <cellStyle name="60% - Accent2 35" xfId="6268"/>
    <cellStyle name="60% - Accent2 36" xfId="6269"/>
    <cellStyle name="60% - Accent2 37" xfId="6270"/>
    <cellStyle name="60% - Accent2 38" xfId="6271"/>
    <cellStyle name="60% - Accent2 39" xfId="6272"/>
    <cellStyle name="60% - Accent2 4" xfId="6273"/>
    <cellStyle name="60% - Accent2 4 2" xfId="6274"/>
    <cellStyle name="60% - Accent2 4 3" xfId="6275"/>
    <cellStyle name="60% - Accent2 4 4" xfId="6276"/>
    <cellStyle name="60% - Accent2 5" xfId="6277"/>
    <cellStyle name="60% - Accent2 5 10" xfId="6278"/>
    <cellStyle name="60% - Accent2 5 11" xfId="6279"/>
    <cellStyle name="60% - Accent2 5 2" xfId="6280"/>
    <cellStyle name="60% - Accent2 5 2 2" xfId="6281"/>
    <cellStyle name="60% - Accent2 5 2 3" xfId="6282"/>
    <cellStyle name="60% - Accent2 5 2 4" xfId="6283"/>
    <cellStyle name="60% - Accent2 5 2 5" xfId="6284"/>
    <cellStyle name="60% - Accent2 5 2 6" xfId="6285"/>
    <cellStyle name="60% - Accent2 5 3" xfId="6286"/>
    <cellStyle name="60% - Accent2 5 4" xfId="6287"/>
    <cellStyle name="60% - Accent2 5 5" xfId="6288"/>
    <cellStyle name="60% - Accent2 5 6" xfId="6289"/>
    <cellStyle name="60% - Accent2 5 7" xfId="6290"/>
    <cellStyle name="60% - Accent2 5 8" xfId="6291"/>
    <cellStyle name="60% - Accent2 5 9" xfId="6292"/>
    <cellStyle name="60% - Accent2 6" xfId="6293"/>
    <cellStyle name="60% - Accent2 6 2" xfId="6294"/>
    <cellStyle name="60% - Accent2 6 2 2" xfId="6295"/>
    <cellStyle name="60% - Accent2 6 2 3" xfId="6296"/>
    <cellStyle name="60% - Accent2 6 2 4" xfId="6297"/>
    <cellStyle name="60% - Accent2 6 2 5" xfId="6298"/>
    <cellStyle name="60% - Accent2 6 2 6" xfId="6299"/>
    <cellStyle name="60% - Accent2 6 3" xfId="6300"/>
    <cellStyle name="60% - Accent2 6 4" xfId="6301"/>
    <cellStyle name="60% - Accent2 6 5" xfId="6302"/>
    <cellStyle name="60% - Accent2 6 6" xfId="6303"/>
    <cellStyle name="60% - Accent2 6 7" xfId="6304"/>
    <cellStyle name="60% - Accent2 6 8" xfId="6305"/>
    <cellStyle name="60% - Accent2 6 9" xfId="6306"/>
    <cellStyle name="60% - Accent2 7" xfId="6307"/>
    <cellStyle name="60% - Accent2 7 2" xfId="6308"/>
    <cellStyle name="60% - Accent2 7 3" xfId="6309"/>
    <cellStyle name="60% - Accent2 7 4" xfId="6310"/>
    <cellStyle name="60% - Accent2 8" xfId="6311"/>
    <cellStyle name="60% - Accent2 8 2" xfId="6312"/>
    <cellStyle name="60% - Accent2 8 3" xfId="6313"/>
    <cellStyle name="60% - Accent2 8 4" xfId="6314"/>
    <cellStyle name="60% - Accent2 9" xfId="6315"/>
    <cellStyle name="60% - Accent2 9 2" xfId="6316"/>
    <cellStyle name="60% - Accent2 9 3" xfId="6317"/>
    <cellStyle name="60% - Accent3 10" xfId="6318"/>
    <cellStyle name="60% - Accent3 10 2" xfId="6319"/>
    <cellStyle name="60% - Accent3 11" xfId="6320"/>
    <cellStyle name="60% - Accent3 12" xfId="6321"/>
    <cellStyle name="60% - Accent3 13" xfId="6322"/>
    <cellStyle name="60% - Accent3 14" xfId="6323"/>
    <cellStyle name="60% - Accent3 15" xfId="6324"/>
    <cellStyle name="60% - Accent3 16" xfId="6325"/>
    <cellStyle name="60% - Accent3 17" xfId="6326"/>
    <cellStyle name="60% - Accent3 18" xfId="6327"/>
    <cellStyle name="60% - Accent3 19" xfId="6328"/>
    <cellStyle name="60% - Accent3 2" xfId="6329"/>
    <cellStyle name="60% - Accent3 2 2" xfId="6330"/>
    <cellStyle name="60% - Accent3 2 3" xfId="6331"/>
    <cellStyle name="60% - Accent3 2 4" xfId="6332"/>
    <cellStyle name="60% - Accent3 2 5" xfId="6333"/>
    <cellStyle name="60% - Accent3 2 6" xfId="6334"/>
    <cellStyle name="60% - Accent3 2 7" xfId="6335"/>
    <cellStyle name="60% - Accent3 2 8" xfId="6336"/>
    <cellStyle name="60% - Accent3 20" xfId="6337"/>
    <cellStyle name="60% - Accent3 21" xfId="6338"/>
    <cellStyle name="60% - Accent3 22" xfId="6339"/>
    <cellStyle name="60% - Accent3 23" xfId="6340"/>
    <cellStyle name="60% - Accent3 24" xfId="6341"/>
    <cellStyle name="60% - Accent3 25" xfId="6342"/>
    <cellStyle name="60% - Accent3 26" xfId="6343"/>
    <cellStyle name="60% - Accent3 27" xfId="6344"/>
    <cellStyle name="60% - Accent3 28" xfId="6345"/>
    <cellStyle name="60% - Accent3 29" xfId="6346"/>
    <cellStyle name="60% - Accent3 3" xfId="6347"/>
    <cellStyle name="60% - Accent3 30" xfId="6348"/>
    <cellStyle name="60% - Accent3 31" xfId="6349"/>
    <cellStyle name="60% - Accent3 32" xfId="6350"/>
    <cellStyle name="60% - Accent3 33" xfId="6351"/>
    <cellStyle name="60% - Accent3 34" xfId="6352"/>
    <cellStyle name="60% - Accent3 35" xfId="6353"/>
    <cellStyle name="60% - Accent3 36" xfId="6354"/>
    <cellStyle name="60% - Accent3 37" xfId="6355"/>
    <cellStyle name="60% - Accent3 38" xfId="6356"/>
    <cellStyle name="60% - Accent3 39" xfId="6357"/>
    <cellStyle name="60% - Accent3 4" xfId="6358"/>
    <cellStyle name="60% - Accent3 4 2" xfId="6359"/>
    <cellStyle name="60% - Accent3 4 3" xfId="6360"/>
    <cellStyle name="60% - Accent3 4 4" xfId="6361"/>
    <cellStyle name="60% - Accent3 5" xfId="6362"/>
    <cellStyle name="60% - Accent3 5 10" xfId="6363"/>
    <cellStyle name="60% - Accent3 5 11" xfId="6364"/>
    <cellStyle name="60% - Accent3 5 2" xfId="6365"/>
    <cellStyle name="60% - Accent3 5 2 2" xfId="6366"/>
    <cellStyle name="60% - Accent3 5 2 3" xfId="6367"/>
    <cellStyle name="60% - Accent3 5 2 4" xfId="6368"/>
    <cellStyle name="60% - Accent3 5 2 5" xfId="6369"/>
    <cellStyle name="60% - Accent3 5 2 6" xfId="6370"/>
    <cellStyle name="60% - Accent3 5 3" xfId="6371"/>
    <cellStyle name="60% - Accent3 5 4" xfId="6372"/>
    <cellStyle name="60% - Accent3 5 5" xfId="6373"/>
    <cellStyle name="60% - Accent3 5 6" xfId="6374"/>
    <cellStyle name="60% - Accent3 5 7" xfId="6375"/>
    <cellStyle name="60% - Accent3 5 8" xfId="6376"/>
    <cellStyle name="60% - Accent3 5 9" xfId="6377"/>
    <cellStyle name="60% - Accent3 6" xfId="6378"/>
    <cellStyle name="60% - Accent3 6 2" xfId="6379"/>
    <cellStyle name="60% - Accent3 6 2 2" xfId="6380"/>
    <cellStyle name="60% - Accent3 6 2 3" xfId="6381"/>
    <cellStyle name="60% - Accent3 6 2 4" xfId="6382"/>
    <cellStyle name="60% - Accent3 6 2 5" xfId="6383"/>
    <cellStyle name="60% - Accent3 6 2 6" xfId="6384"/>
    <cellStyle name="60% - Accent3 6 3" xfId="6385"/>
    <cellStyle name="60% - Accent3 6 4" xfId="6386"/>
    <cellStyle name="60% - Accent3 6 5" xfId="6387"/>
    <cellStyle name="60% - Accent3 6 6" xfId="6388"/>
    <cellStyle name="60% - Accent3 6 7" xfId="6389"/>
    <cellStyle name="60% - Accent3 6 8" xfId="6390"/>
    <cellStyle name="60% - Accent3 6 9" xfId="6391"/>
    <cellStyle name="60% - Accent3 7" xfId="6392"/>
    <cellStyle name="60% - Accent3 7 2" xfId="6393"/>
    <cellStyle name="60% - Accent3 7 3" xfId="6394"/>
    <cellStyle name="60% - Accent3 7 4" xfId="6395"/>
    <cellStyle name="60% - Accent3 8" xfId="6396"/>
    <cellStyle name="60% - Accent3 8 2" xfId="6397"/>
    <cellStyle name="60% - Accent3 8 3" xfId="6398"/>
    <cellStyle name="60% - Accent3 8 4" xfId="6399"/>
    <cellStyle name="60% - Accent3 9" xfId="6400"/>
    <cellStyle name="60% - Accent3 9 2" xfId="6401"/>
    <cellStyle name="60% - Accent3 9 3" xfId="6402"/>
    <cellStyle name="60% - Accent4 10" xfId="6403"/>
    <cellStyle name="60% - Accent4 10 2" xfId="6404"/>
    <cellStyle name="60% - Accent4 11" xfId="6405"/>
    <cellStyle name="60% - Accent4 12" xfId="6406"/>
    <cellStyle name="60% - Accent4 13" xfId="6407"/>
    <cellStyle name="60% - Accent4 14" xfId="6408"/>
    <cellStyle name="60% - Accent4 15" xfId="6409"/>
    <cellStyle name="60% - Accent4 16" xfId="6410"/>
    <cellStyle name="60% - Accent4 17" xfId="6411"/>
    <cellStyle name="60% - Accent4 18" xfId="6412"/>
    <cellStyle name="60% - Accent4 19" xfId="6413"/>
    <cellStyle name="60% - Accent4 2" xfId="6414"/>
    <cellStyle name="60% - Accent4 2 2" xfId="6415"/>
    <cellStyle name="60% - Accent4 2 3" xfId="6416"/>
    <cellStyle name="60% - Accent4 2 4" xfId="6417"/>
    <cellStyle name="60% - Accent4 2 5" xfId="6418"/>
    <cellStyle name="60% - Accent4 2 6" xfId="6419"/>
    <cellStyle name="60% - Accent4 2 7" xfId="6420"/>
    <cellStyle name="60% - Accent4 2 8" xfId="6421"/>
    <cellStyle name="60% - Accent4 20" xfId="6422"/>
    <cellStyle name="60% - Accent4 21" xfId="6423"/>
    <cellStyle name="60% - Accent4 22" xfId="6424"/>
    <cellStyle name="60% - Accent4 23" xfId="6425"/>
    <cellStyle name="60% - Accent4 24" xfId="6426"/>
    <cellStyle name="60% - Accent4 25" xfId="6427"/>
    <cellStyle name="60% - Accent4 26" xfId="6428"/>
    <cellStyle name="60% - Accent4 27" xfId="6429"/>
    <cellStyle name="60% - Accent4 28" xfId="6430"/>
    <cellStyle name="60% - Accent4 29" xfId="6431"/>
    <cellStyle name="60% - Accent4 3" xfId="6432"/>
    <cellStyle name="60% - Accent4 30" xfId="6433"/>
    <cellStyle name="60% - Accent4 31" xfId="6434"/>
    <cellStyle name="60% - Accent4 32" xfId="6435"/>
    <cellStyle name="60% - Accent4 33" xfId="6436"/>
    <cellStyle name="60% - Accent4 34" xfId="6437"/>
    <cellStyle name="60% - Accent4 35" xfId="6438"/>
    <cellStyle name="60% - Accent4 36" xfId="6439"/>
    <cellStyle name="60% - Accent4 37" xfId="6440"/>
    <cellStyle name="60% - Accent4 38" xfId="6441"/>
    <cellStyle name="60% - Accent4 39" xfId="6442"/>
    <cellStyle name="60% - Accent4 4" xfId="6443"/>
    <cellStyle name="60% - Accent4 4 2" xfId="6444"/>
    <cellStyle name="60% - Accent4 4 3" xfId="6445"/>
    <cellStyle name="60% - Accent4 4 4" xfId="6446"/>
    <cellStyle name="60% - Accent4 5" xfId="6447"/>
    <cellStyle name="60% - Accent4 5 10" xfId="6448"/>
    <cellStyle name="60% - Accent4 5 11" xfId="6449"/>
    <cellStyle name="60% - Accent4 5 2" xfId="6450"/>
    <cellStyle name="60% - Accent4 5 2 2" xfId="6451"/>
    <cellStyle name="60% - Accent4 5 2 3" xfId="6452"/>
    <cellStyle name="60% - Accent4 5 2 4" xfId="6453"/>
    <cellStyle name="60% - Accent4 5 2 5" xfId="6454"/>
    <cellStyle name="60% - Accent4 5 2 6" xfId="6455"/>
    <cellStyle name="60% - Accent4 5 3" xfId="6456"/>
    <cellStyle name="60% - Accent4 5 4" xfId="6457"/>
    <cellStyle name="60% - Accent4 5 5" xfId="6458"/>
    <cellStyle name="60% - Accent4 5 6" xfId="6459"/>
    <cellStyle name="60% - Accent4 5 7" xfId="6460"/>
    <cellStyle name="60% - Accent4 5 8" xfId="6461"/>
    <cellStyle name="60% - Accent4 5 9" xfId="6462"/>
    <cellStyle name="60% - Accent4 6" xfId="6463"/>
    <cellStyle name="60% - Accent4 6 2" xfId="6464"/>
    <cellStyle name="60% - Accent4 6 2 2" xfId="6465"/>
    <cellStyle name="60% - Accent4 6 2 3" xfId="6466"/>
    <cellStyle name="60% - Accent4 6 2 4" xfId="6467"/>
    <cellStyle name="60% - Accent4 6 2 5" xfId="6468"/>
    <cellStyle name="60% - Accent4 6 2 6" xfId="6469"/>
    <cellStyle name="60% - Accent4 6 3" xfId="6470"/>
    <cellStyle name="60% - Accent4 6 4" xfId="6471"/>
    <cellStyle name="60% - Accent4 6 5" xfId="6472"/>
    <cellStyle name="60% - Accent4 6 6" xfId="6473"/>
    <cellStyle name="60% - Accent4 6 7" xfId="6474"/>
    <cellStyle name="60% - Accent4 6 8" xfId="6475"/>
    <cellStyle name="60% - Accent4 6 9" xfId="6476"/>
    <cellStyle name="60% - Accent4 7" xfId="6477"/>
    <cellStyle name="60% - Accent4 7 2" xfId="6478"/>
    <cellStyle name="60% - Accent4 7 3" xfId="6479"/>
    <cellStyle name="60% - Accent4 7 4" xfId="6480"/>
    <cellStyle name="60% - Accent4 8" xfId="6481"/>
    <cellStyle name="60% - Accent4 8 2" xfId="6482"/>
    <cellStyle name="60% - Accent4 8 3" xfId="6483"/>
    <cellStyle name="60% - Accent4 8 4" xfId="6484"/>
    <cellStyle name="60% - Accent4 9" xfId="6485"/>
    <cellStyle name="60% - Accent4 9 2" xfId="6486"/>
    <cellStyle name="60% - Accent4 9 3" xfId="6487"/>
    <cellStyle name="60% - Accent5 10" xfId="6488"/>
    <cellStyle name="60% - Accent5 10 2" xfId="6489"/>
    <cellStyle name="60% - Accent5 11" xfId="6490"/>
    <cellStyle name="60% - Accent5 12" xfId="6491"/>
    <cellStyle name="60% - Accent5 13" xfId="6492"/>
    <cellStyle name="60% - Accent5 14" xfId="6493"/>
    <cellStyle name="60% - Accent5 15" xfId="6494"/>
    <cellStyle name="60% - Accent5 16" xfId="6495"/>
    <cellStyle name="60% - Accent5 17" xfId="6496"/>
    <cellStyle name="60% - Accent5 18" xfId="6497"/>
    <cellStyle name="60% - Accent5 19" xfId="6498"/>
    <cellStyle name="60% - Accent5 2" xfId="6499"/>
    <cellStyle name="60% - Accent5 2 2" xfId="6500"/>
    <cellStyle name="60% - Accent5 2 3" xfId="6501"/>
    <cellStyle name="60% - Accent5 2 4" xfId="6502"/>
    <cellStyle name="60% - Accent5 2 5" xfId="6503"/>
    <cellStyle name="60% - Accent5 2 6" xfId="6504"/>
    <cellStyle name="60% - Accent5 2 7" xfId="6505"/>
    <cellStyle name="60% - Accent5 2 8" xfId="6506"/>
    <cellStyle name="60% - Accent5 20" xfId="6507"/>
    <cellStyle name="60% - Accent5 21" xfId="6508"/>
    <cellStyle name="60% - Accent5 22" xfId="6509"/>
    <cellStyle name="60% - Accent5 23" xfId="6510"/>
    <cellStyle name="60% - Accent5 24" xfId="6511"/>
    <cellStyle name="60% - Accent5 25" xfId="6512"/>
    <cellStyle name="60% - Accent5 26" xfId="6513"/>
    <cellStyle name="60% - Accent5 27" xfId="6514"/>
    <cellStyle name="60% - Accent5 28" xfId="6515"/>
    <cellStyle name="60% - Accent5 29" xfId="6516"/>
    <cellStyle name="60% - Accent5 3" xfId="6517"/>
    <cellStyle name="60% - Accent5 30" xfId="6518"/>
    <cellStyle name="60% - Accent5 31" xfId="6519"/>
    <cellStyle name="60% - Accent5 32" xfId="6520"/>
    <cellStyle name="60% - Accent5 33" xfId="6521"/>
    <cellStyle name="60% - Accent5 34" xfId="6522"/>
    <cellStyle name="60% - Accent5 35" xfId="6523"/>
    <cellStyle name="60% - Accent5 36" xfId="6524"/>
    <cellStyle name="60% - Accent5 37" xfId="6525"/>
    <cellStyle name="60% - Accent5 38" xfId="6526"/>
    <cellStyle name="60% - Accent5 39" xfId="6527"/>
    <cellStyle name="60% - Accent5 4" xfId="6528"/>
    <cellStyle name="60% - Accent5 4 2" xfId="6529"/>
    <cellStyle name="60% - Accent5 4 3" xfId="6530"/>
    <cellStyle name="60% - Accent5 4 4" xfId="6531"/>
    <cellStyle name="60% - Accent5 5" xfId="6532"/>
    <cellStyle name="60% - Accent5 5 10" xfId="6533"/>
    <cellStyle name="60% - Accent5 5 11" xfId="6534"/>
    <cellStyle name="60% - Accent5 5 2" xfId="6535"/>
    <cellStyle name="60% - Accent5 5 2 2" xfId="6536"/>
    <cellStyle name="60% - Accent5 5 2 3" xfId="6537"/>
    <cellStyle name="60% - Accent5 5 2 4" xfId="6538"/>
    <cellStyle name="60% - Accent5 5 2 5" xfId="6539"/>
    <cellStyle name="60% - Accent5 5 2 6" xfId="6540"/>
    <cellStyle name="60% - Accent5 5 3" xfId="6541"/>
    <cellStyle name="60% - Accent5 5 4" xfId="6542"/>
    <cellStyle name="60% - Accent5 5 5" xfId="6543"/>
    <cellStyle name="60% - Accent5 5 6" xfId="6544"/>
    <cellStyle name="60% - Accent5 5 7" xfId="6545"/>
    <cellStyle name="60% - Accent5 5 8" xfId="6546"/>
    <cellStyle name="60% - Accent5 5 9" xfId="6547"/>
    <cellStyle name="60% - Accent5 6" xfId="6548"/>
    <cellStyle name="60% - Accent5 6 2" xfId="6549"/>
    <cellStyle name="60% - Accent5 6 2 2" xfId="6550"/>
    <cellStyle name="60% - Accent5 6 2 3" xfId="6551"/>
    <cellStyle name="60% - Accent5 6 2 4" xfId="6552"/>
    <cellStyle name="60% - Accent5 6 2 5" xfId="6553"/>
    <cellStyle name="60% - Accent5 6 2 6" xfId="6554"/>
    <cellStyle name="60% - Accent5 6 3" xfId="6555"/>
    <cellStyle name="60% - Accent5 6 4" xfId="6556"/>
    <cellStyle name="60% - Accent5 6 5" xfId="6557"/>
    <cellStyle name="60% - Accent5 6 6" xfId="6558"/>
    <cellStyle name="60% - Accent5 6 7" xfId="6559"/>
    <cellStyle name="60% - Accent5 6 8" xfId="6560"/>
    <cellStyle name="60% - Accent5 6 9" xfId="6561"/>
    <cellStyle name="60% - Accent5 7" xfId="6562"/>
    <cellStyle name="60% - Accent5 7 2" xfId="6563"/>
    <cellStyle name="60% - Accent5 7 3" xfId="6564"/>
    <cellStyle name="60% - Accent5 7 4" xfId="6565"/>
    <cellStyle name="60% - Accent5 8" xfId="6566"/>
    <cellStyle name="60% - Accent5 8 2" xfId="6567"/>
    <cellStyle name="60% - Accent5 8 3" xfId="6568"/>
    <cellStyle name="60% - Accent5 8 4" xfId="6569"/>
    <cellStyle name="60% - Accent5 9" xfId="6570"/>
    <cellStyle name="60% - Accent5 9 2" xfId="6571"/>
    <cellStyle name="60% - Accent5 9 3" xfId="6572"/>
    <cellStyle name="60% - Accent6 10" xfId="6573"/>
    <cellStyle name="60% - Accent6 10 2" xfId="6574"/>
    <cellStyle name="60% - Accent6 11" xfId="6575"/>
    <cellStyle name="60% - Accent6 12" xfId="6576"/>
    <cellStyle name="60% - Accent6 13" xfId="6577"/>
    <cellStyle name="60% - Accent6 14" xfId="6578"/>
    <cellStyle name="60% - Accent6 15" xfId="6579"/>
    <cellStyle name="60% - Accent6 16" xfId="6580"/>
    <cellStyle name="60% - Accent6 17" xfId="6581"/>
    <cellStyle name="60% - Accent6 18" xfId="6582"/>
    <cellStyle name="60% - Accent6 19" xfId="6583"/>
    <cellStyle name="60% - Accent6 2" xfId="6584"/>
    <cellStyle name="60% - Accent6 2 2" xfId="6585"/>
    <cellStyle name="60% - Accent6 2 3" xfId="6586"/>
    <cellStyle name="60% - Accent6 2 4" xfId="6587"/>
    <cellStyle name="60% - Accent6 2 5" xfId="6588"/>
    <cellStyle name="60% - Accent6 2 6" xfId="6589"/>
    <cellStyle name="60% - Accent6 2 7" xfId="6590"/>
    <cellStyle name="60% - Accent6 2 8" xfId="6591"/>
    <cellStyle name="60% - Accent6 20" xfId="6592"/>
    <cellStyle name="60% - Accent6 21" xfId="6593"/>
    <cellStyle name="60% - Accent6 22" xfId="6594"/>
    <cellStyle name="60% - Accent6 23" xfId="6595"/>
    <cellStyle name="60% - Accent6 24" xfId="6596"/>
    <cellStyle name="60% - Accent6 25" xfId="6597"/>
    <cellStyle name="60% - Accent6 26" xfId="6598"/>
    <cellStyle name="60% - Accent6 27" xfId="6599"/>
    <cellStyle name="60% - Accent6 28" xfId="6600"/>
    <cellStyle name="60% - Accent6 29" xfId="6601"/>
    <cellStyle name="60% - Accent6 3" xfId="6602"/>
    <cellStyle name="60% - Accent6 30" xfId="6603"/>
    <cellStyle name="60% - Accent6 31" xfId="6604"/>
    <cellStyle name="60% - Accent6 32" xfId="6605"/>
    <cellStyle name="60% - Accent6 33" xfId="6606"/>
    <cellStyle name="60% - Accent6 34" xfId="6607"/>
    <cellStyle name="60% - Accent6 35" xfId="6608"/>
    <cellStyle name="60% - Accent6 36" xfId="6609"/>
    <cellStyle name="60% - Accent6 37" xfId="6610"/>
    <cellStyle name="60% - Accent6 38" xfId="6611"/>
    <cellStyle name="60% - Accent6 39" xfId="6612"/>
    <cellStyle name="60% - Accent6 4" xfId="6613"/>
    <cellStyle name="60% - Accent6 4 2" xfId="6614"/>
    <cellStyle name="60% - Accent6 4 3" xfId="6615"/>
    <cellStyle name="60% - Accent6 4 4" xfId="6616"/>
    <cellStyle name="60% - Accent6 5" xfId="6617"/>
    <cellStyle name="60% - Accent6 5 10" xfId="6618"/>
    <cellStyle name="60% - Accent6 5 11" xfId="6619"/>
    <cellStyle name="60% - Accent6 5 2" xfId="6620"/>
    <cellStyle name="60% - Accent6 5 2 2" xfId="6621"/>
    <cellStyle name="60% - Accent6 5 2 3" xfId="6622"/>
    <cellStyle name="60% - Accent6 5 2 4" xfId="6623"/>
    <cellStyle name="60% - Accent6 5 2 5" xfId="6624"/>
    <cellStyle name="60% - Accent6 5 2 6" xfId="6625"/>
    <cellStyle name="60% - Accent6 5 3" xfId="6626"/>
    <cellStyle name="60% - Accent6 5 4" xfId="6627"/>
    <cellStyle name="60% - Accent6 5 5" xfId="6628"/>
    <cellStyle name="60% - Accent6 5 6" xfId="6629"/>
    <cellStyle name="60% - Accent6 5 7" xfId="6630"/>
    <cellStyle name="60% - Accent6 5 8" xfId="6631"/>
    <cellStyle name="60% - Accent6 5 9" xfId="6632"/>
    <cellStyle name="60% - Accent6 6" xfId="6633"/>
    <cellStyle name="60% - Accent6 6 2" xfId="6634"/>
    <cellStyle name="60% - Accent6 6 2 2" xfId="6635"/>
    <cellStyle name="60% - Accent6 6 2 3" xfId="6636"/>
    <cellStyle name="60% - Accent6 6 2 4" xfId="6637"/>
    <cellStyle name="60% - Accent6 6 2 5" xfId="6638"/>
    <cellStyle name="60% - Accent6 6 2 6" xfId="6639"/>
    <cellStyle name="60% - Accent6 6 3" xfId="6640"/>
    <cellStyle name="60% - Accent6 6 4" xfId="6641"/>
    <cellStyle name="60% - Accent6 6 5" xfId="6642"/>
    <cellStyle name="60% - Accent6 6 6" xfId="6643"/>
    <cellStyle name="60% - Accent6 6 7" xfId="6644"/>
    <cellStyle name="60% - Accent6 6 8" xfId="6645"/>
    <cellStyle name="60% - Accent6 6 9" xfId="6646"/>
    <cellStyle name="60% - Accent6 7" xfId="6647"/>
    <cellStyle name="60% - Accent6 7 2" xfId="6648"/>
    <cellStyle name="60% - Accent6 7 3" xfId="6649"/>
    <cellStyle name="60% - Accent6 7 4" xfId="6650"/>
    <cellStyle name="60% - Accent6 8" xfId="6651"/>
    <cellStyle name="60% - Accent6 8 2" xfId="6652"/>
    <cellStyle name="60% - Accent6 8 3" xfId="6653"/>
    <cellStyle name="60% - Accent6 8 4" xfId="6654"/>
    <cellStyle name="60% - Accent6 9" xfId="6655"/>
    <cellStyle name="60% - Accent6 9 2" xfId="6656"/>
    <cellStyle name="60% - Accent6 9 3" xfId="6657"/>
    <cellStyle name="Accent1 10" xfId="6658"/>
    <cellStyle name="Accent1 10 2" xfId="6659"/>
    <cellStyle name="Accent1 11" xfId="6660"/>
    <cellStyle name="Accent1 12" xfId="6661"/>
    <cellStyle name="Accent1 13" xfId="6662"/>
    <cellStyle name="Accent1 14" xfId="6663"/>
    <cellStyle name="Accent1 15" xfId="6664"/>
    <cellStyle name="Accent1 16" xfId="6665"/>
    <cellStyle name="Accent1 17" xfId="6666"/>
    <cellStyle name="Accent1 18" xfId="6667"/>
    <cellStyle name="Accent1 19" xfId="6668"/>
    <cellStyle name="Accent1 2" xfId="6669"/>
    <cellStyle name="Accent1 2 2" xfId="6670"/>
    <cellStyle name="Accent1 2 3" xfId="6671"/>
    <cellStyle name="Accent1 2 4" xfId="6672"/>
    <cellStyle name="Accent1 2 5" xfId="6673"/>
    <cellStyle name="Accent1 2 6" xfId="6674"/>
    <cellStyle name="Accent1 2 7" xfId="6675"/>
    <cellStyle name="Accent1 2 8" xfId="6676"/>
    <cellStyle name="Accent1 20" xfId="6677"/>
    <cellStyle name="Accent1 21" xfId="6678"/>
    <cellStyle name="Accent1 22" xfId="6679"/>
    <cellStyle name="Accent1 23" xfId="6680"/>
    <cellStyle name="Accent1 24" xfId="6681"/>
    <cellStyle name="Accent1 25" xfId="6682"/>
    <cellStyle name="Accent1 26" xfId="6683"/>
    <cellStyle name="Accent1 27" xfId="6684"/>
    <cellStyle name="Accent1 28" xfId="6685"/>
    <cellStyle name="Accent1 29" xfId="6686"/>
    <cellStyle name="Accent1 3" xfId="6687"/>
    <cellStyle name="Accent1 30" xfId="6688"/>
    <cellStyle name="Accent1 31" xfId="6689"/>
    <cellStyle name="Accent1 32" xfId="6690"/>
    <cellStyle name="Accent1 33" xfId="6691"/>
    <cellStyle name="Accent1 34" xfId="6692"/>
    <cellStyle name="Accent1 35" xfId="6693"/>
    <cellStyle name="Accent1 36" xfId="6694"/>
    <cellStyle name="Accent1 37" xfId="6695"/>
    <cellStyle name="Accent1 38" xfId="6696"/>
    <cellStyle name="Accent1 39" xfId="6697"/>
    <cellStyle name="Accent1 4" xfId="6698"/>
    <cellStyle name="Accent1 4 2" xfId="6699"/>
    <cellStyle name="Accent1 4 3" xfId="6700"/>
    <cellStyle name="Accent1 4 4" xfId="6701"/>
    <cellStyle name="Accent1 5" xfId="6702"/>
    <cellStyle name="Accent1 5 10" xfId="6703"/>
    <cellStyle name="Accent1 5 11" xfId="6704"/>
    <cellStyle name="Accent1 5 2" xfId="6705"/>
    <cellStyle name="Accent1 5 2 2" xfId="6706"/>
    <cellStyle name="Accent1 5 2 3" xfId="6707"/>
    <cellStyle name="Accent1 5 2 4" xfId="6708"/>
    <cellStyle name="Accent1 5 2 5" xfId="6709"/>
    <cellStyle name="Accent1 5 2 6" xfId="6710"/>
    <cellStyle name="Accent1 5 3" xfId="6711"/>
    <cellStyle name="Accent1 5 4" xfId="6712"/>
    <cellStyle name="Accent1 5 5" xfId="6713"/>
    <cellStyle name="Accent1 5 6" xfId="6714"/>
    <cellStyle name="Accent1 5 7" xfId="6715"/>
    <cellStyle name="Accent1 5 8" xfId="6716"/>
    <cellStyle name="Accent1 5 9" xfId="6717"/>
    <cellStyle name="Accent1 6" xfId="6718"/>
    <cellStyle name="Accent1 6 2" xfId="6719"/>
    <cellStyle name="Accent1 6 2 2" xfId="6720"/>
    <cellStyle name="Accent1 6 2 3" xfId="6721"/>
    <cellStyle name="Accent1 6 2 4" xfId="6722"/>
    <cellStyle name="Accent1 6 2 5" xfId="6723"/>
    <cellStyle name="Accent1 6 2 6" xfId="6724"/>
    <cellStyle name="Accent1 6 3" xfId="6725"/>
    <cellStyle name="Accent1 6 4" xfId="6726"/>
    <cellStyle name="Accent1 6 5" xfId="6727"/>
    <cellStyle name="Accent1 6 6" xfId="6728"/>
    <cellStyle name="Accent1 6 7" xfId="6729"/>
    <cellStyle name="Accent1 6 8" xfId="6730"/>
    <cellStyle name="Accent1 6 9" xfId="6731"/>
    <cellStyle name="Accent1 7" xfId="6732"/>
    <cellStyle name="Accent1 7 2" xfId="6733"/>
    <cellStyle name="Accent1 7 3" xfId="6734"/>
    <cellStyle name="Accent1 7 4" xfId="6735"/>
    <cellStyle name="Accent1 8" xfId="6736"/>
    <cellStyle name="Accent1 8 2" xfId="6737"/>
    <cellStyle name="Accent1 8 3" xfId="6738"/>
    <cellStyle name="Accent1 8 4" xfId="6739"/>
    <cellStyle name="Accent1 9" xfId="6740"/>
    <cellStyle name="Accent1 9 2" xfId="6741"/>
    <cellStyle name="Accent1 9 3" xfId="6742"/>
    <cellStyle name="Accent2 10" xfId="6743"/>
    <cellStyle name="Accent2 10 2" xfId="6744"/>
    <cellStyle name="Accent2 11" xfId="6745"/>
    <cellStyle name="Accent2 12" xfId="6746"/>
    <cellStyle name="Accent2 13" xfId="6747"/>
    <cellStyle name="Accent2 14" xfId="6748"/>
    <cellStyle name="Accent2 15" xfId="6749"/>
    <cellStyle name="Accent2 16" xfId="6750"/>
    <cellStyle name="Accent2 17" xfId="6751"/>
    <cellStyle name="Accent2 18" xfId="6752"/>
    <cellStyle name="Accent2 19" xfId="6753"/>
    <cellStyle name="Accent2 2" xfId="6754"/>
    <cellStyle name="Accent2 2 2" xfId="6755"/>
    <cellStyle name="Accent2 2 3" xfId="6756"/>
    <cellStyle name="Accent2 2 4" xfId="6757"/>
    <cellStyle name="Accent2 2 5" xfId="6758"/>
    <cellStyle name="Accent2 2 6" xfId="6759"/>
    <cellStyle name="Accent2 2 7" xfId="6760"/>
    <cellStyle name="Accent2 2 8" xfId="6761"/>
    <cellStyle name="Accent2 20" xfId="6762"/>
    <cellStyle name="Accent2 21" xfId="6763"/>
    <cellStyle name="Accent2 22" xfId="6764"/>
    <cellStyle name="Accent2 23" xfId="6765"/>
    <cellStyle name="Accent2 24" xfId="6766"/>
    <cellStyle name="Accent2 25" xfId="6767"/>
    <cellStyle name="Accent2 26" xfId="6768"/>
    <cellStyle name="Accent2 27" xfId="6769"/>
    <cellStyle name="Accent2 28" xfId="6770"/>
    <cellStyle name="Accent2 29" xfId="6771"/>
    <cellStyle name="Accent2 3" xfId="6772"/>
    <cellStyle name="Accent2 30" xfId="6773"/>
    <cellStyle name="Accent2 31" xfId="6774"/>
    <cellStyle name="Accent2 32" xfId="6775"/>
    <cellStyle name="Accent2 33" xfId="6776"/>
    <cellStyle name="Accent2 34" xfId="6777"/>
    <cellStyle name="Accent2 35" xfId="6778"/>
    <cellStyle name="Accent2 36" xfId="6779"/>
    <cellStyle name="Accent2 37" xfId="6780"/>
    <cellStyle name="Accent2 38" xfId="6781"/>
    <cellStyle name="Accent2 39" xfId="6782"/>
    <cellStyle name="Accent2 4" xfId="6783"/>
    <cellStyle name="Accent2 4 2" xfId="6784"/>
    <cellStyle name="Accent2 4 3" xfId="6785"/>
    <cellStyle name="Accent2 4 4" xfId="6786"/>
    <cellStyle name="Accent2 5" xfId="6787"/>
    <cellStyle name="Accent2 5 10" xfId="6788"/>
    <cellStyle name="Accent2 5 11" xfId="6789"/>
    <cellStyle name="Accent2 5 2" xfId="6790"/>
    <cellStyle name="Accent2 5 2 2" xfId="6791"/>
    <cellStyle name="Accent2 5 2 3" xfId="6792"/>
    <cellStyle name="Accent2 5 2 4" xfId="6793"/>
    <cellStyle name="Accent2 5 2 5" xfId="6794"/>
    <cellStyle name="Accent2 5 2 6" xfId="6795"/>
    <cellStyle name="Accent2 5 3" xfId="6796"/>
    <cellStyle name="Accent2 5 4" xfId="6797"/>
    <cellStyle name="Accent2 5 5" xfId="6798"/>
    <cellStyle name="Accent2 5 6" xfId="6799"/>
    <cellStyle name="Accent2 5 7" xfId="6800"/>
    <cellStyle name="Accent2 5 8" xfId="6801"/>
    <cellStyle name="Accent2 5 9" xfId="6802"/>
    <cellStyle name="Accent2 6" xfId="6803"/>
    <cellStyle name="Accent2 6 2" xfId="6804"/>
    <cellStyle name="Accent2 6 2 2" xfId="6805"/>
    <cellStyle name="Accent2 6 2 3" xfId="6806"/>
    <cellStyle name="Accent2 6 2 4" xfId="6807"/>
    <cellStyle name="Accent2 6 2 5" xfId="6808"/>
    <cellStyle name="Accent2 6 2 6" xfId="6809"/>
    <cellStyle name="Accent2 6 3" xfId="6810"/>
    <cellStyle name="Accent2 6 4" xfId="6811"/>
    <cellStyle name="Accent2 6 5" xfId="6812"/>
    <cellStyle name="Accent2 6 6" xfId="6813"/>
    <cellStyle name="Accent2 6 7" xfId="6814"/>
    <cellStyle name="Accent2 6 8" xfId="6815"/>
    <cellStyle name="Accent2 6 9" xfId="6816"/>
    <cellStyle name="Accent2 7" xfId="6817"/>
    <cellStyle name="Accent2 7 2" xfId="6818"/>
    <cellStyle name="Accent2 7 3" xfId="6819"/>
    <cellStyle name="Accent2 7 4" xfId="6820"/>
    <cellStyle name="Accent2 8" xfId="6821"/>
    <cellStyle name="Accent2 8 2" xfId="6822"/>
    <cellStyle name="Accent2 8 3" xfId="6823"/>
    <cellStyle name="Accent2 8 4" xfId="6824"/>
    <cellStyle name="Accent2 9" xfId="6825"/>
    <cellStyle name="Accent2 9 2" xfId="6826"/>
    <cellStyle name="Accent2 9 3" xfId="6827"/>
    <cellStyle name="Accent3 10" xfId="6828"/>
    <cellStyle name="Accent3 10 2" xfId="6829"/>
    <cellStyle name="Accent3 11" xfId="6830"/>
    <cellStyle name="Accent3 12" xfId="6831"/>
    <cellStyle name="Accent3 13" xfId="6832"/>
    <cellStyle name="Accent3 14" xfId="6833"/>
    <cellStyle name="Accent3 15" xfId="6834"/>
    <cellStyle name="Accent3 16" xfId="6835"/>
    <cellStyle name="Accent3 17" xfId="6836"/>
    <cellStyle name="Accent3 18" xfId="6837"/>
    <cellStyle name="Accent3 19" xfId="6838"/>
    <cellStyle name="Accent3 2" xfId="6839"/>
    <cellStyle name="Accent3 2 2" xfId="6840"/>
    <cellStyle name="Accent3 2 3" xfId="6841"/>
    <cellStyle name="Accent3 2 4" xfId="6842"/>
    <cellStyle name="Accent3 2 5" xfId="6843"/>
    <cellStyle name="Accent3 2 6" xfId="6844"/>
    <cellStyle name="Accent3 2 7" xfId="6845"/>
    <cellStyle name="Accent3 2 8" xfId="6846"/>
    <cellStyle name="Accent3 20" xfId="6847"/>
    <cellStyle name="Accent3 21" xfId="6848"/>
    <cellStyle name="Accent3 22" xfId="6849"/>
    <cellStyle name="Accent3 23" xfId="6850"/>
    <cellStyle name="Accent3 24" xfId="6851"/>
    <cellStyle name="Accent3 25" xfId="6852"/>
    <cellStyle name="Accent3 26" xfId="6853"/>
    <cellStyle name="Accent3 27" xfId="6854"/>
    <cellStyle name="Accent3 28" xfId="6855"/>
    <cellStyle name="Accent3 29" xfId="6856"/>
    <cellStyle name="Accent3 3" xfId="6857"/>
    <cellStyle name="Accent3 30" xfId="6858"/>
    <cellStyle name="Accent3 31" xfId="6859"/>
    <cellStyle name="Accent3 32" xfId="6860"/>
    <cellStyle name="Accent3 33" xfId="6861"/>
    <cellStyle name="Accent3 34" xfId="6862"/>
    <cellStyle name="Accent3 35" xfId="6863"/>
    <cellStyle name="Accent3 36" xfId="6864"/>
    <cellStyle name="Accent3 37" xfId="6865"/>
    <cellStyle name="Accent3 38" xfId="6866"/>
    <cellStyle name="Accent3 39" xfId="6867"/>
    <cellStyle name="Accent3 4" xfId="6868"/>
    <cellStyle name="Accent3 4 2" xfId="6869"/>
    <cellStyle name="Accent3 4 3" xfId="6870"/>
    <cellStyle name="Accent3 4 4" xfId="6871"/>
    <cellStyle name="Accent3 5" xfId="6872"/>
    <cellStyle name="Accent3 5 10" xfId="6873"/>
    <cellStyle name="Accent3 5 11" xfId="6874"/>
    <cellStyle name="Accent3 5 2" xfId="6875"/>
    <cellStyle name="Accent3 5 2 2" xfId="6876"/>
    <cellStyle name="Accent3 5 2 3" xfId="6877"/>
    <cellStyle name="Accent3 5 2 4" xfId="6878"/>
    <cellStyle name="Accent3 5 2 5" xfId="6879"/>
    <cellStyle name="Accent3 5 2 6" xfId="6880"/>
    <cellStyle name="Accent3 5 3" xfId="6881"/>
    <cellStyle name="Accent3 5 4" xfId="6882"/>
    <cellStyle name="Accent3 5 5" xfId="6883"/>
    <cellStyle name="Accent3 5 6" xfId="6884"/>
    <cellStyle name="Accent3 5 7" xfId="6885"/>
    <cellStyle name="Accent3 5 8" xfId="6886"/>
    <cellStyle name="Accent3 5 9" xfId="6887"/>
    <cellStyle name="Accent3 6" xfId="6888"/>
    <cellStyle name="Accent3 6 2" xfId="6889"/>
    <cellStyle name="Accent3 6 2 2" xfId="6890"/>
    <cellStyle name="Accent3 6 2 3" xfId="6891"/>
    <cellStyle name="Accent3 6 2 4" xfId="6892"/>
    <cellStyle name="Accent3 6 2 5" xfId="6893"/>
    <cellStyle name="Accent3 6 2 6" xfId="6894"/>
    <cellStyle name="Accent3 6 3" xfId="6895"/>
    <cellStyle name="Accent3 6 4" xfId="6896"/>
    <cellStyle name="Accent3 6 5" xfId="6897"/>
    <cellStyle name="Accent3 6 6" xfId="6898"/>
    <cellStyle name="Accent3 6 7" xfId="6899"/>
    <cellStyle name="Accent3 6 8" xfId="6900"/>
    <cellStyle name="Accent3 6 9" xfId="6901"/>
    <cellStyle name="Accent3 7" xfId="6902"/>
    <cellStyle name="Accent3 7 2" xfId="6903"/>
    <cellStyle name="Accent3 7 3" xfId="6904"/>
    <cellStyle name="Accent3 7 4" xfId="6905"/>
    <cellStyle name="Accent3 8" xfId="6906"/>
    <cellStyle name="Accent3 8 2" xfId="6907"/>
    <cellStyle name="Accent3 8 3" xfId="6908"/>
    <cellStyle name="Accent3 8 4" xfId="6909"/>
    <cellStyle name="Accent3 9" xfId="6910"/>
    <cellStyle name="Accent3 9 2" xfId="6911"/>
    <cellStyle name="Accent3 9 3" xfId="6912"/>
    <cellStyle name="Accent4 10" xfId="6913"/>
    <cellStyle name="Accent4 10 2" xfId="6914"/>
    <cellStyle name="Accent4 11" xfId="6915"/>
    <cellStyle name="Accent4 12" xfId="6916"/>
    <cellStyle name="Accent4 13" xfId="6917"/>
    <cellStyle name="Accent4 14" xfId="6918"/>
    <cellStyle name="Accent4 15" xfId="6919"/>
    <cellStyle name="Accent4 16" xfId="6920"/>
    <cellStyle name="Accent4 17" xfId="6921"/>
    <cellStyle name="Accent4 18" xfId="6922"/>
    <cellStyle name="Accent4 19" xfId="6923"/>
    <cellStyle name="Accent4 2" xfId="6924"/>
    <cellStyle name="Accent4 2 2" xfId="6925"/>
    <cellStyle name="Accent4 2 3" xfId="6926"/>
    <cellStyle name="Accent4 2 4" xfId="6927"/>
    <cellStyle name="Accent4 2 5" xfId="6928"/>
    <cellStyle name="Accent4 2 6" xfId="6929"/>
    <cellStyle name="Accent4 2 7" xfId="6930"/>
    <cellStyle name="Accent4 2 8" xfId="6931"/>
    <cellStyle name="Accent4 20" xfId="6932"/>
    <cellStyle name="Accent4 21" xfId="6933"/>
    <cellStyle name="Accent4 22" xfId="6934"/>
    <cellStyle name="Accent4 23" xfId="6935"/>
    <cellStyle name="Accent4 24" xfId="6936"/>
    <cellStyle name="Accent4 25" xfId="6937"/>
    <cellStyle name="Accent4 26" xfId="6938"/>
    <cellStyle name="Accent4 27" xfId="6939"/>
    <cellStyle name="Accent4 28" xfId="6940"/>
    <cellStyle name="Accent4 29" xfId="6941"/>
    <cellStyle name="Accent4 3" xfId="6942"/>
    <cellStyle name="Accent4 30" xfId="6943"/>
    <cellStyle name="Accent4 31" xfId="6944"/>
    <cellStyle name="Accent4 32" xfId="6945"/>
    <cellStyle name="Accent4 33" xfId="6946"/>
    <cellStyle name="Accent4 34" xfId="6947"/>
    <cellStyle name="Accent4 35" xfId="6948"/>
    <cellStyle name="Accent4 36" xfId="6949"/>
    <cellStyle name="Accent4 37" xfId="6950"/>
    <cellStyle name="Accent4 38" xfId="6951"/>
    <cellStyle name="Accent4 39" xfId="6952"/>
    <cellStyle name="Accent4 4" xfId="6953"/>
    <cellStyle name="Accent4 4 2" xfId="6954"/>
    <cellStyle name="Accent4 4 3" xfId="6955"/>
    <cellStyle name="Accent4 4 4" xfId="6956"/>
    <cellStyle name="Accent4 5" xfId="6957"/>
    <cellStyle name="Accent4 5 10" xfId="6958"/>
    <cellStyle name="Accent4 5 11" xfId="6959"/>
    <cellStyle name="Accent4 5 2" xfId="6960"/>
    <cellStyle name="Accent4 5 2 2" xfId="6961"/>
    <cellStyle name="Accent4 5 2 3" xfId="6962"/>
    <cellStyle name="Accent4 5 2 4" xfId="6963"/>
    <cellStyle name="Accent4 5 2 5" xfId="6964"/>
    <cellStyle name="Accent4 5 2 6" xfId="6965"/>
    <cellStyle name="Accent4 5 3" xfId="6966"/>
    <cellStyle name="Accent4 5 4" xfId="6967"/>
    <cellStyle name="Accent4 5 5" xfId="6968"/>
    <cellStyle name="Accent4 5 6" xfId="6969"/>
    <cellStyle name="Accent4 5 7" xfId="6970"/>
    <cellStyle name="Accent4 5 8" xfId="6971"/>
    <cellStyle name="Accent4 5 9" xfId="6972"/>
    <cellStyle name="Accent4 6" xfId="6973"/>
    <cellStyle name="Accent4 6 2" xfId="6974"/>
    <cellStyle name="Accent4 6 2 2" xfId="6975"/>
    <cellStyle name="Accent4 6 2 3" xfId="6976"/>
    <cellStyle name="Accent4 6 2 4" xfId="6977"/>
    <cellStyle name="Accent4 6 2 5" xfId="6978"/>
    <cellStyle name="Accent4 6 2 6" xfId="6979"/>
    <cellStyle name="Accent4 6 3" xfId="6980"/>
    <cellStyle name="Accent4 6 4" xfId="6981"/>
    <cellStyle name="Accent4 6 5" xfId="6982"/>
    <cellStyle name="Accent4 6 6" xfId="6983"/>
    <cellStyle name="Accent4 6 7" xfId="6984"/>
    <cellStyle name="Accent4 6 8" xfId="6985"/>
    <cellStyle name="Accent4 6 9" xfId="6986"/>
    <cellStyle name="Accent4 7" xfId="6987"/>
    <cellStyle name="Accent4 7 2" xfId="6988"/>
    <cellStyle name="Accent4 7 3" xfId="6989"/>
    <cellStyle name="Accent4 7 4" xfId="6990"/>
    <cellStyle name="Accent4 8" xfId="6991"/>
    <cellStyle name="Accent4 8 2" xfId="6992"/>
    <cellStyle name="Accent4 8 3" xfId="6993"/>
    <cellStyle name="Accent4 8 4" xfId="6994"/>
    <cellStyle name="Accent4 9" xfId="6995"/>
    <cellStyle name="Accent4 9 2" xfId="6996"/>
    <cellStyle name="Accent4 9 3" xfId="6997"/>
    <cellStyle name="Accent5 10" xfId="6998"/>
    <cellStyle name="Accent5 10 2" xfId="6999"/>
    <cellStyle name="Accent5 11" xfId="7000"/>
    <cellStyle name="Accent5 12" xfId="7001"/>
    <cellStyle name="Accent5 13" xfId="7002"/>
    <cellStyle name="Accent5 14" xfId="7003"/>
    <cellStyle name="Accent5 15" xfId="7004"/>
    <cellStyle name="Accent5 16" xfId="7005"/>
    <cellStyle name="Accent5 17" xfId="7006"/>
    <cellStyle name="Accent5 18" xfId="7007"/>
    <cellStyle name="Accent5 19" xfId="7008"/>
    <cellStyle name="Accent5 2" xfId="7009"/>
    <cellStyle name="Accent5 2 2" xfId="7010"/>
    <cellStyle name="Accent5 2 3" xfId="7011"/>
    <cellStyle name="Accent5 2 4" xfId="7012"/>
    <cellStyle name="Accent5 2 5" xfId="7013"/>
    <cellStyle name="Accent5 2 6" xfId="7014"/>
    <cellStyle name="Accent5 2 7" xfId="7015"/>
    <cellStyle name="Accent5 2 8" xfId="7016"/>
    <cellStyle name="Accent5 20" xfId="7017"/>
    <cellStyle name="Accent5 21" xfId="7018"/>
    <cellStyle name="Accent5 22" xfId="7019"/>
    <cellStyle name="Accent5 23" xfId="7020"/>
    <cellStyle name="Accent5 24" xfId="7021"/>
    <cellStyle name="Accent5 25" xfId="7022"/>
    <cellStyle name="Accent5 26" xfId="7023"/>
    <cellStyle name="Accent5 27" xfId="7024"/>
    <cellStyle name="Accent5 28" xfId="7025"/>
    <cellStyle name="Accent5 29" xfId="7026"/>
    <cellStyle name="Accent5 3" xfId="7027"/>
    <cellStyle name="Accent5 30" xfId="7028"/>
    <cellStyle name="Accent5 31" xfId="7029"/>
    <cellStyle name="Accent5 32" xfId="7030"/>
    <cellStyle name="Accent5 33" xfId="7031"/>
    <cellStyle name="Accent5 34" xfId="7032"/>
    <cellStyle name="Accent5 35" xfId="7033"/>
    <cellStyle name="Accent5 36" xfId="7034"/>
    <cellStyle name="Accent5 37" xfId="7035"/>
    <cellStyle name="Accent5 38" xfId="7036"/>
    <cellStyle name="Accent5 39" xfId="7037"/>
    <cellStyle name="Accent5 4" xfId="7038"/>
    <cellStyle name="Accent5 4 2" xfId="7039"/>
    <cellStyle name="Accent5 4 3" xfId="7040"/>
    <cellStyle name="Accent5 4 4" xfId="7041"/>
    <cellStyle name="Accent5 5" xfId="7042"/>
    <cellStyle name="Accent5 5 10" xfId="7043"/>
    <cellStyle name="Accent5 5 11" xfId="7044"/>
    <cellStyle name="Accent5 5 2" xfId="7045"/>
    <cellStyle name="Accent5 5 2 2" xfId="7046"/>
    <cellStyle name="Accent5 5 2 3" xfId="7047"/>
    <cellStyle name="Accent5 5 2 4" xfId="7048"/>
    <cellStyle name="Accent5 5 2 5" xfId="7049"/>
    <cellStyle name="Accent5 5 2 6" xfId="7050"/>
    <cellStyle name="Accent5 5 3" xfId="7051"/>
    <cellStyle name="Accent5 5 4" xfId="7052"/>
    <cellStyle name="Accent5 5 5" xfId="7053"/>
    <cellStyle name="Accent5 5 6" xfId="7054"/>
    <cellStyle name="Accent5 5 7" xfId="7055"/>
    <cellStyle name="Accent5 5 8" xfId="7056"/>
    <cellStyle name="Accent5 5 9" xfId="7057"/>
    <cellStyle name="Accent5 6" xfId="7058"/>
    <cellStyle name="Accent5 6 2" xfId="7059"/>
    <cellStyle name="Accent5 6 2 2" xfId="7060"/>
    <cellStyle name="Accent5 6 2 3" xfId="7061"/>
    <cellStyle name="Accent5 6 2 4" xfId="7062"/>
    <cellStyle name="Accent5 6 2 5" xfId="7063"/>
    <cellStyle name="Accent5 6 2 6" xfId="7064"/>
    <cellStyle name="Accent5 6 3" xfId="7065"/>
    <cellStyle name="Accent5 6 4" xfId="7066"/>
    <cellStyle name="Accent5 6 5" xfId="7067"/>
    <cellStyle name="Accent5 6 6" xfId="7068"/>
    <cellStyle name="Accent5 6 7" xfId="7069"/>
    <cellStyle name="Accent5 6 8" xfId="7070"/>
    <cellStyle name="Accent5 6 9" xfId="7071"/>
    <cellStyle name="Accent5 7" xfId="7072"/>
    <cellStyle name="Accent5 7 2" xfId="7073"/>
    <cellStyle name="Accent5 7 3" xfId="7074"/>
    <cellStyle name="Accent5 7 4" xfId="7075"/>
    <cellStyle name="Accent5 8" xfId="7076"/>
    <cellStyle name="Accent5 8 2" xfId="7077"/>
    <cellStyle name="Accent5 8 3" xfId="7078"/>
    <cellStyle name="Accent5 8 4" xfId="7079"/>
    <cellStyle name="Accent5 9" xfId="7080"/>
    <cellStyle name="Accent5 9 2" xfId="7081"/>
    <cellStyle name="Accent5 9 3" xfId="7082"/>
    <cellStyle name="Accent6 10" xfId="7083"/>
    <cellStyle name="Accent6 10 2" xfId="7084"/>
    <cellStyle name="Accent6 11" xfId="7085"/>
    <cellStyle name="Accent6 12" xfId="7086"/>
    <cellStyle name="Accent6 13" xfId="7087"/>
    <cellStyle name="Accent6 14" xfId="7088"/>
    <cellStyle name="Accent6 15" xfId="7089"/>
    <cellStyle name="Accent6 16" xfId="7090"/>
    <cellStyle name="Accent6 17" xfId="7091"/>
    <cellStyle name="Accent6 18" xfId="7092"/>
    <cellStyle name="Accent6 19" xfId="7093"/>
    <cellStyle name="Accent6 2" xfId="7094"/>
    <cellStyle name="Accent6 2 2" xfId="7095"/>
    <cellStyle name="Accent6 2 3" xfId="7096"/>
    <cellStyle name="Accent6 2 4" xfId="7097"/>
    <cellStyle name="Accent6 2 5" xfId="7098"/>
    <cellStyle name="Accent6 2 6" xfId="7099"/>
    <cellStyle name="Accent6 2 7" xfId="7100"/>
    <cellStyle name="Accent6 2 8" xfId="7101"/>
    <cellStyle name="Accent6 20" xfId="7102"/>
    <cellStyle name="Accent6 21" xfId="7103"/>
    <cellStyle name="Accent6 22" xfId="7104"/>
    <cellStyle name="Accent6 23" xfId="7105"/>
    <cellStyle name="Accent6 24" xfId="7106"/>
    <cellStyle name="Accent6 25" xfId="7107"/>
    <cellStyle name="Accent6 26" xfId="7108"/>
    <cellStyle name="Accent6 27" xfId="7109"/>
    <cellStyle name="Accent6 28" xfId="7110"/>
    <cellStyle name="Accent6 29" xfId="7111"/>
    <cellStyle name="Accent6 3" xfId="7112"/>
    <cellStyle name="Accent6 30" xfId="7113"/>
    <cellStyle name="Accent6 31" xfId="7114"/>
    <cellStyle name="Accent6 32" xfId="7115"/>
    <cellStyle name="Accent6 33" xfId="7116"/>
    <cellStyle name="Accent6 34" xfId="7117"/>
    <cellStyle name="Accent6 35" xfId="7118"/>
    <cellStyle name="Accent6 36" xfId="7119"/>
    <cellStyle name="Accent6 37" xfId="7120"/>
    <cellStyle name="Accent6 38" xfId="7121"/>
    <cellStyle name="Accent6 39" xfId="7122"/>
    <cellStyle name="Accent6 4" xfId="7123"/>
    <cellStyle name="Accent6 4 2" xfId="7124"/>
    <cellStyle name="Accent6 4 3" xfId="7125"/>
    <cellStyle name="Accent6 4 4" xfId="7126"/>
    <cellStyle name="Accent6 5" xfId="7127"/>
    <cellStyle name="Accent6 5 10" xfId="7128"/>
    <cellStyle name="Accent6 5 11" xfId="7129"/>
    <cellStyle name="Accent6 5 2" xfId="7130"/>
    <cellStyle name="Accent6 5 2 2" xfId="7131"/>
    <cellStyle name="Accent6 5 2 3" xfId="7132"/>
    <cellStyle name="Accent6 5 2 4" xfId="7133"/>
    <cellStyle name="Accent6 5 2 5" xfId="7134"/>
    <cellStyle name="Accent6 5 2 6" xfId="7135"/>
    <cellStyle name="Accent6 5 3" xfId="7136"/>
    <cellStyle name="Accent6 5 4" xfId="7137"/>
    <cellStyle name="Accent6 5 5" xfId="7138"/>
    <cellStyle name="Accent6 5 6" xfId="7139"/>
    <cellStyle name="Accent6 5 7" xfId="7140"/>
    <cellStyle name="Accent6 5 8" xfId="7141"/>
    <cellStyle name="Accent6 5 9" xfId="7142"/>
    <cellStyle name="Accent6 6" xfId="7143"/>
    <cellStyle name="Accent6 6 2" xfId="7144"/>
    <cellStyle name="Accent6 6 2 2" xfId="7145"/>
    <cellStyle name="Accent6 6 2 3" xfId="7146"/>
    <cellStyle name="Accent6 6 2 4" xfId="7147"/>
    <cellStyle name="Accent6 6 2 5" xfId="7148"/>
    <cellStyle name="Accent6 6 2 6" xfId="7149"/>
    <cellStyle name="Accent6 6 3" xfId="7150"/>
    <cellStyle name="Accent6 6 4" xfId="7151"/>
    <cellStyle name="Accent6 6 5" xfId="7152"/>
    <cellStyle name="Accent6 6 6" xfId="7153"/>
    <cellStyle name="Accent6 6 7" xfId="7154"/>
    <cellStyle name="Accent6 6 8" xfId="7155"/>
    <cellStyle name="Accent6 6 9" xfId="7156"/>
    <cellStyle name="Accent6 7" xfId="7157"/>
    <cellStyle name="Accent6 7 2" xfId="7158"/>
    <cellStyle name="Accent6 7 3" xfId="7159"/>
    <cellStyle name="Accent6 7 4" xfId="7160"/>
    <cellStyle name="Accent6 8" xfId="7161"/>
    <cellStyle name="Accent6 8 2" xfId="7162"/>
    <cellStyle name="Accent6 8 3" xfId="7163"/>
    <cellStyle name="Accent6 8 4" xfId="7164"/>
    <cellStyle name="Accent6 9" xfId="7165"/>
    <cellStyle name="Accent6 9 2" xfId="7166"/>
    <cellStyle name="Accent6 9 3" xfId="7167"/>
    <cellStyle name="Bad 10" xfId="7168"/>
    <cellStyle name="Bad 10 2" xfId="7169"/>
    <cellStyle name="Bad 11" xfId="7170"/>
    <cellStyle name="Bad 12" xfId="7171"/>
    <cellStyle name="Bad 13" xfId="7172"/>
    <cellStyle name="Bad 14" xfId="7173"/>
    <cellStyle name="Bad 15" xfId="7174"/>
    <cellStyle name="Bad 16" xfId="7175"/>
    <cellStyle name="Bad 17" xfId="7176"/>
    <cellStyle name="Bad 18" xfId="7177"/>
    <cellStyle name="Bad 19" xfId="7178"/>
    <cellStyle name="Bad 2" xfId="7179"/>
    <cellStyle name="Bad 2 2" xfId="7180"/>
    <cellStyle name="Bad 2 3" xfId="7181"/>
    <cellStyle name="Bad 2 4" xfId="7182"/>
    <cellStyle name="Bad 2 5" xfId="7183"/>
    <cellStyle name="Bad 2 6" xfId="7184"/>
    <cellStyle name="Bad 2 7" xfId="7185"/>
    <cellStyle name="Bad 2 8" xfId="7186"/>
    <cellStyle name="Bad 20" xfId="7187"/>
    <cellStyle name="Bad 21" xfId="7188"/>
    <cellStyle name="Bad 22" xfId="7189"/>
    <cellStyle name="Bad 23" xfId="7190"/>
    <cellStyle name="Bad 24" xfId="7191"/>
    <cellStyle name="Bad 25" xfId="7192"/>
    <cellStyle name="Bad 26" xfId="7193"/>
    <cellStyle name="Bad 27" xfId="7194"/>
    <cellStyle name="Bad 28" xfId="7195"/>
    <cellStyle name="Bad 29" xfId="7196"/>
    <cellStyle name="Bad 3" xfId="7197"/>
    <cellStyle name="Bad 30" xfId="7198"/>
    <cellStyle name="Bad 31" xfId="7199"/>
    <cellStyle name="Bad 32" xfId="7200"/>
    <cellStyle name="Bad 33" xfId="7201"/>
    <cellStyle name="Bad 34" xfId="7202"/>
    <cellStyle name="Bad 35" xfId="7203"/>
    <cellStyle name="Bad 36" xfId="7204"/>
    <cellStyle name="Bad 37" xfId="7205"/>
    <cellStyle name="Bad 38" xfId="7206"/>
    <cellStyle name="Bad 39" xfId="7207"/>
    <cellStyle name="Bad 4" xfId="7208"/>
    <cellStyle name="Bad 4 2" xfId="7209"/>
    <cellStyle name="Bad 4 3" xfId="7210"/>
    <cellStyle name="Bad 4 4" xfId="7211"/>
    <cellStyle name="Bad 5" xfId="7212"/>
    <cellStyle name="Bad 5 10" xfId="7213"/>
    <cellStyle name="Bad 5 11" xfId="7214"/>
    <cellStyle name="Bad 5 2" xfId="7215"/>
    <cellStyle name="Bad 5 2 2" xfId="7216"/>
    <cellStyle name="Bad 5 2 3" xfId="7217"/>
    <cellStyle name="Bad 5 2 4" xfId="7218"/>
    <cellStyle name="Bad 5 2 5" xfId="7219"/>
    <cellStyle name="Bad 5 2 6" xfId="7220"/>
    <cellStyle name="Bad 5 3" xfId="7221"/>
    <cellStyle name="Bad 5 4" xfId="7222"/>
    <cellStyle name="Bad 5 5" xfId="7223"/>
    <cellStyle name="Bad 5 6" xfId="7224"/>
    <cellStyle name="Bad 5 7" xfId="7225"/>
    <cellStyle name="Bad 5 8" xfId="7226"/>
    <cellStyle name="Bad 5 9" xfId="7227"/>
    <cellStyle name="Bad 6" xfId="7228"/>
    <cellStyle name="Bad 6 2" xfId="7229"/>
    <cellStyle name="Bad 6 2 2" xfId="7230"/>
    <cellStyle name="Bad 6 2 3" xfId="7231"/>
    <cellStyle name="Bad 6 2 4" xfId="7232"/>
    <cellStyle name="Bad 6 2 5" xfId="7233"/>
    <cellStyle name="Bad 6 2 6" xfId="7234"/>
    <cellStyle name="Bad 6 3" xfId="7235"/>
    <cellStyle name="Bad 6 4" xfId="7236"/>
    <cellStyle name="Bad 6 5" xfId="7237"/>
    <cellStyle name="Bad 6 6" xfId="7238"/>
    <cellStyle name="Bad 6 7" xfId="7239"/>
    <cellStyle name="Bad 6 8" xfId="7240"/>
    <cellStyle name="Bad 6 9" xfId="7241"/>
    <cellStyle name="Bad 7" xfId="7242"/>
    <cellStyle name="Bad 7 2" xfId="7243"/>
    <cellStyle name="Bad 7 3" xfId="7244"/>
    <cellStyle name="Bad 7 4" xfId="7245"/>
    <cellStyle name="Bad 8" xfId="7246"/>
    <cellStyle name="Bad 8 2" xfId="7247"/>
    <cellStyle name="Bad 8 3" xfId="7248"/>
    <cellStyle name="Bad 8 4" xfId="7249"/>
    <cellStyle name="Bad 9" xfId="7250"/>
    <cellStyle name="Bad 9 2" xfId="7251"/>
    <cellStyle name="Bad 9 3" xfId="7252"/>
    <cellStyle name="Calculation 10" xfId="7253"/>
    <cellStyle name="Calculation 10 10" xfId="7254"/>
    <cellStyle name="Calculation 10 11" xfId="7255"/>
    <cellStyle name="Calculation 10 12" xfId="7256"/>
    <cellStyle name="Calculation 10 13" xfId="7257"/>
    <cellStyle name="Calculation 10 2" xfId="7258"/>
    <cellStyle name="Calculation 10 2 2" xfId="7259"/>
    <cellStyle name="Calculation 10 2 3" xfId="7260"/>
    <cellStyle name="Calculation 10 3" xfId="7261"/>
    <cellStyle name="Calculation 10 3 2" xfId="7262"/>
    <cellStyle name="Calculation 10 4" xfId="7263"/>
    <cellStyle name="Calculation 10 4 2" xfId="7264"/>
    <cellStyle name="Calculation 10 5" xfId="7265"/>
    <cellStyle name="Calculation 10 5 2" xfId="7266"/>
    <cellStyle name="Calculation 10 5 3" xfId="7267"/>
    <cellStyle name="Calculation 10 5 4" xfId="7268"/>
    <cellStyle name="Calculation 10 5 5" xfId="7269"/>
    <cellStyle name="Calculation 10 5 6" xfId="7270"/>
    <cellStyle name="Calculation 10 6" xfId="7271"/>
    <cellStyle name="Calculation 10 6 2" xfId="7272"/>
    <cellStyle name="Calculation 10 7" xfId="7273"/>
    <cellStyle name="Calculation 10 7 2" xfId="7274"/>
    <cellStyle name="Calculation 10 8" xfId="7275"/>
    <cellStyle name="Calculation 10 8 2" xfId="7276"/>
    <cellStyle name="Calculation 10 9" xfId="7277"/>
    <cellStyle name="Calculation 10 9 2" xfId="7278"/>
    <cellStyle name="Calculation 11" xfId="7279"/>
    <cellStyle name="Calculation 11 10" xfId="7280"/>
    <cellStyle name="Calculation 11 11" xfId="7281"/>
    <cellStyle name="Calculation 11 12" xfId="7282"/>
    <cellStyle name="Calculation 11 13" xfId="7283"/>
    <cellStyle name="Calculation 11 2" xfId="7284"/>
    <cellStyle name="Calculation 11 2 2" xfId="7285"/>
    <cellStyle name="Calculation 11 2 3" xfId="7286"/>
    <cellStyle name="Calculation 11 3" xfId="7287"/>
    <cellStyle name="Calculation 11 3 2" xfId="7288"/>
    <cellStyle name="Calculation 11 4" xfId="7289"/>
    <cellStyle name="Calculation 11 4 2" xfId="7290"/>
    <cellStyle name="Calculation 11 5" xfId="7291"/>
    <cellStyle name="Calculation 11 5 2" xfId="7292"/>
    <cellStyle name="Calculation 11 5 3" xfId="7293"/>
    <cellStyle name="Calculation 11 5 4" xfId="7294"/>
    <cellStyle name="Calculation 11 5 5" xfId="7295"/>
    <cellStyle name="Calculation 11 5 6" xfId="7296"/>
    <cellStyle name="Calculation 11 6" xfId="7297"/>
    <cellStyle name="Calculation 11 6 2" xfId="7298"/>
    <cellStyle name="Calculation 11 7" xfId="7299"/>
    <cellStyle name="Calculation 11 7 2" xfId="7300"/>
    <cellStyle name="Calculation 11 8" xfId="7301"/>
    <cellStyle name="Calculation 11 8 2" xfId="7302"/>
    <cellStyle name="Calculation 11 9" xfId="7303"/>
    <cellStyle name="Calculation 11 9 2" xfId="7304"/>
    <cellStyle name="Calculation 12" xfId="7305"/>
    <cellStyle name="Calculation 12 10" xfId="7306"/>
    <cellStyle name="Calculation 12 11" xfId="7307"/>
    <cellStyle name="Calculation 12 12" xfId="7308"/>
    <cellStyle name="Calculation 12 13" xfId="7309"/>
    <cellStyle name="Calculation 12 2" xfId="7310"/>
    <cellStyle name="Calculation 12 2 2" xfId="7311"/>
    <cellStyle name="Calculation 12 2 3" xfId="7312"/>
    <cellStyle name="Calculation 12 3" xfId="7313"/>
    <cellStyle name="Calculation 12 3 2" xfId="7314"/>
    <cellStyle name="Calculation 12 4" xfId="7315"/>
    <cellStyle name="Calculation 12 4 2" xfId="7316"/>
    <cellStyle name="Calculation 12 5" xfId="7317"/>
    <cellStyle name="Calculation 12 5 2" xfId="7318"/>
    <cellStyle name="Calculation 12 5 3" xfId="7319"/>
    <cellStyle name="Calculation 12 5 4" xfId="7320"/>
    <cellStyle name="Calculation 12 5 5" xfId="7321"/>
    <cellStyle name="Calculation 12 5 6" xfId="7322"/>
    <cellStyle name="Calculation 12 6" xfId="7323"/>
    <cellStyle name="Calculation 12 6 2" xfId="7324"/>
    <cellStyle name="Calculation 12 7" xfId="7325"/>
    <cellStyle name="Calculation 12 7 2" xfId="7326"/>
    <cellStyle name="Calculation 12 8" xfId="7327"/>
    <cellStyle name="Calculation 12 8 2" xfId="7328"/>
    <cellStyle name="Calculation 12 9" xfId="7329"/>
    <cellStyle name="Calculation 12 9 2" xfId="7330"/>
    <cellStyle name="Calculation 13" xfId="7331"/>
    <cellStyle name="Calculation 13 10" xfId="7332"/>
    <cellStyle name="Calculation 13 11" xfId="7333"/>
    <cellStyle name="Calculation 13 12" xfId="7334"/>
    <cellStyle name="Calculation 13 13" xfId="7335"/>
    <cellStyle name="Calculation 13 2" xfId="7336"/>
    <cellStyle name="Calculation 13 2 2" xfId="7337"/>
    <cellStyle name="Calculation 13 2 3" xfId="7338"/>
    <cellStyle name="Calculation 13 3" xfId="7339"/>
    <cellStyle name="Calculation 13 3 2" xfId="7340"/>
    <cellStyle name="Calculation 13 4" xfId="7341"/>
    <cellStyle name="Calculation 13 4 2" xfId="7342"/>
    <cellStyle name="Calculation 13 5" xfId="7343"/>
    <cellStyle name="Calculation 13 5 2" xfId="7344"/>
    <cellStyle name="Calculation 13 5 3" xfId="7345"/>
    <cellStyle name="Calculation 13 5 4" xfId="7346"/>
    <cellStyle name="Calculation 13 5 5" xfId="7347"/>
    <cellStyle name="Calculation 13 5 6" xfId="7348"/>
    <cellStyle name="Calculation 13 6" xfId="7349"/>
    <cellStyle name="Calculation 13 6 2" xfId="7350"/>
    <cellStyle name="Calculation 13 7" xfId="7351"/>
    <cellStyle name="Calculation 13 7 2" xfId="7352"/>
    <cellStyle name="Calculation 13 8" xfId="7353"/>
    <cellStyle name="Calculation 13 8 2" xfId="7354"/>
    <cellStyle name="Calculation 13 9" xfId="7355"/>
    <cellStyle name="Calculation 13 9 2" xfId="7356"/>
    <cellStyle name="Calculation 14" xfId="7357"/>
    <cellStyle name="Calculation 14 10" xfId="7358"/>
    <cellStyle name="Calculation 14 11" xfId="7359"/>
    <cellStyle name="Calculation 14 2" xfId="7360"/>
    <cellStyle name="Calculation 14 2 2" xfId="7361"/>
    <cellStyle name="Calculation 14 2 3" xfId="7362"/>
    <cellStyle name="Calculation 14 2 4" xfId="7363"/>
    <cellStyle name="Calculation 14 2 5" xfId="7364"/>
    <cellStyle name="Calculation 14 2 6" xfId="7365"/>
    <cellStyle name="Calculation 14 3" xfId="7366"/>
    <cellStyle name="Calculation 14 3 2" xfId="7367"/>
    <cellStyle name="Calculation 14 4" xfId="7368"/>
    <cellStyle name="Calculation 14 4 2" xfId="7369"/>
    <cellStyle name="Calculation 14 5" xfId="7370"/>
    <cellStyle name="Calculation 14 5 2" xfId="7371"/>
    <cellStyle name="Calculation 14 6" xfId="7372"/>
    <cellStyle name="Calculation 14 6 2" xfId="7373"/>
    <cellStyle name="Calculation 14 7" xfId="7374"/>
    <cellStyle name="Calculation 14 7 2" xfId="7375"/>
    <cellStyle name="Calculation 14 8" xfId="7376"/>
    <cellStyle name="Calculation 14 9" xfId="7377"/>
    <cellStyle name="Calculation 15" xfId="7378"/>
    <cellStyle name="Calculation 15 10" xfId="7379"/>
    <cellStyle name="Calculation 15 11" xfId="7380"/>
    <cellStyle name="Calculation 15 2" xfId="7381"/>
    <cellStyle name="Calculation 15 2 2" xfId="7382"/>
    <cellStyle name="Calculation 15 2 3" xfId="7383"/>
    <cellStyle name="Calculation 15 2 4" xfId="7384"/>
    <cellStyle name="Calculation 15 2 5" xfId="7385"/>
    <cellStyle name="Calculation 15 2 6" xfId="7386"/>
    <cellStyle name="Calculation 15 3" xfId="7387"/>
    <cellStyle name="Calculation 15 3 2" xfId="7388"/>
    <cellStyle name="Calculation 15 4" xfId="7389"/>
    <cellStyle name="Calculation 15 4 2" xfId="7390"/>
    <cellStyle name="Calculation 15 5" xfId="7391"/>
    <cellStyle name="Calculation 15 5 2" xfId="7392"/>
    <cellStyle name="Calculation 15 6" xfId="7393"/>
    <cellStyle name="Calculation 15 6 2" xfId="7394"/>
    <cellStyle name="Calculation 15 7" xfId="7395"/>
    <cellStyle name="Calculation 15 7 2" xfId="7396"/>
    <cellStyle name="Calculation 15 8" xfId="7397"/>
    <cellStyle name="Calculation 15 9" xfId="7398"/>
    <cellStyle name="Calculation 16" xfId="7399"/>
    <cellStyle name="Calculation 16 10" xfId="7400"/>
    <cellStyle name="Calculation 16 11" xfId="7401"/>
    <cellStyle name="Calculation 16 2" xfId="7402"/>
    <cellStyle name="Calculation 16 2 2" xfId="7403"/>
    <cellStyle name="Calculation 16 2 3" xfId="7404"/>
    <cellStyle name="Calculation 16 2 4" xfId="7405"/>
    <cellStyle name="Calculation 16 2 5" xfId="7406"/>
    <cellStyle name="Calculation 16 2 6" xfId="7407"/>
    <cellStyle name="Calculation 16 3" xfId="7408"/>
    <cellStyle name="Calculation 16 3 2" xfId="7409"/>
    <cellStyle name="Calculation 16 4" xfId="7410"/>
    <cellStyle name="Calculation 16 4 2" xfId="7411"/>
    <cellStyle name="Calculation 16 5" xfId="7412"/>
    <cellStyle name="Calculation 16 5 2" xfId="7413"/>
    <cellStyle name="Calculation 16 6" xfId="7414"/>
    <cellStyle name="Calculation 16 6 2" xfId="7415"/>
    <cellStyle name="Calculation 16 7" xfId="7416"/>
    <cellStyle name="Calculation 16 7 2" xfId="7417"/>
    <cellStyle name="Calculation 16 8" xfId="7418"/>
    <cellStyle name="Calculation 16 9" xfId="7419"/>
    <cellStyle name="Calculation 17" xfId="7420"/>
    <cellStyle name="Calculation 17 10" xfId="7421"/>
    <cellStyle name="Calculation 17 11" xfId="7422"/>
    <cellStyle name="Calculation 17 2" xfId="7423"/>
    <cellStyle name="Calculation 17 2 2" xfId="7424"/>
    <cellStyle name="Calculation 17 2 3" xfId="7425"/>
    <cellStyle name="Calculation 17 2 4" xfId="7426"/>
    <cellStyle name="Calculation 17 2 5" xfId="7427"/>
    <cellStyle name="Calculation 17 2 6" xfId="7428"/>
    <cellStyle name="Calculation 17 3" xfId="7429"/>
    <cellStyle name="Calculation 17 3 2" xfId="7430"/>
    <cellStyle name="Calculation 17 4" xfId="7431"/>
    <cellStyle name="Calculation 17 4 2" xfId="7432"/>
    <cellStyle name="Calculation 17 5" xfId="7433"/>
    <cellStyle name="Calculation 17 5 2" xfId="7434"/>
    <cellStyle name="Calculation 17 6" xfId="7435"/>
    <cellStyle name="Calculation 17 6 2" xfId="7436"/>
    <cellStyle name="Calculation 17 7" xfId="7437"/>
    <cellStyle name="Calculation 17 7 2" xfId="7438"/>
    <cellStyle name="Calculation 17 8" xfId="7439"/>
    <cellStyle name="Calculation 17 9" xfId="7440"/>
    <cellStyle name="Calculation 18" xfId="7441"/>
    <cellStyle name="Calculation 18 10" xfId="7442"/>
    <cellStyle name="Calculation 18 11" xfId="7443"/>
    <cellStyle name="Calculation 18 2" xfId="7444"/>
    <cellStyle name="Calculation 18 2 2" xfId="7445"/>
    <cellStyle name="Calculation 18 2 3" xfId="7446"/>
    <cellStyle name="Calculation 18 2 4" xfId="7447"/>
    <cellStyle name="Calculation 18 2 5" xfId="7448"/>
    <cellStyle name="Calculation 18 2 6" xfId="7449"/>
    <cellStyle name="Calculation 18 3" xfId="7450"/>
    <cellStyle name="Calculation 18 3 2" xfId="7451"/>
    <cellStyle name="Calculation 18 4" xfId="7452"/>
    <cellStyle name="Calculation 18 4 2" xfId="7453"/>
    <cellStyle name="Calculation 18 5" xfId="7454"/>
    <cellStyle name="Calculation 18 5 2" xfId="7455"/>
    <cellStyle name="Calculation 18 6" xfId="7456"/>
    <cellStyle name="Calculation 18 6 2" xfId="7457"/>
    <cellStyle name="Calculation 18 7" xfId="7458"/>
    <cellStyle name="Calculation 18 7 2" xfId="7459"/>
    <cellStyle name="Calculation 18 8" xfId="7460"/>
    <cellStyle name="Calculation 18 9" xfId="7461"/>
    <cellStyle name="Calculation 19" xfId="7462"/>
    <cellStyle name="Calculation 19 10" xfId="7463"/>
    <cellStyle name="Calculation 19 11" xfId="7464"/>
    <cellStyle name="Calculation 19 2" xfId="7465"/>
    <cellStyle name="Calculation 19 2 2" xfId="7466"/>
    <cellStyle name="Calculation 19 2 3" xfId="7467"/>
    <cellStyle name="Calculation 19 2 4" xfId="7468"/>
    <cellStyle name="Calculation 19 2 5" xfId="7469"/>
    <cellStyle name="Calculation 19 2 6" xfId="7470"/>
    <cellStyle name="Calculation 19 3" xfId="7471"/>
    <cellStyle name="Calculation 19 3 2" xfId="7472"/>
    <cellStyle name="Calculation 19 4" xfId="7473"/>
    <cellStyle name="Calculation 19 4 2" xfId="7474"/>
    <cellStyle name="Calculation 19 5" xfId="7475"/>
    <cellStyle name="Calculation 19 5 2" xfId="7476"/>
    <cellStyle name="Calculation 19 6" xfId="7477"/>
    <cellStyle name="Calculation 19 6 2" xfId="7478"/>
    <cellStyle name="Calculation 19 7" xfId="7479"/>
    <cellStyle name="Calculation 19 7 2" xfId="7480"/>
    <cellStyle name="Calculation 19 8" xfId="7481"/>
    <cellStyle name="Calculation 19 9" xfId="7482"/>
    <cellStyle name="Calculation 2" xfId="7483"/>
    <cellStyle name="Calculation 2 10" xfId="7484"/>
    <cellStyle name="Calculation 2 10 2" xfId="7485"/>
    <cellStyle name="Calculation 2 10 2 2" xfId="7486"/>
    <cellStyle name="Calculation 2 10 3" xfId="7487"/>
    <cellStyle name="Calculation 2 10 3 2" xfId="7488"/>
    <cellStyle name="Calculation 2 10 4" xfId="7489"/>
    <cellStyle name="Calculation 2 10 4 2" xfId="7490"/>
    <cellStyle name="Calculation 2 10 5" xfId="7491"/>
    <cellStyle name="Calculation 2 11" xfId="7492"/>
    <cellStyle name="Calculation 2 11 2" xfId="7493"/>
    <cellStyle name="Calculation 2 11 2 2" xfId="7494"/>
    <cellStyle name="Calculation 2 11 3" xfId="7495"/>
    <cellStyle name="Calculation 2 11 3 2" xfId="7496"/>
    <cellStyle name="Calculation 2 11 4" xfId="7497"/>
    <cellStyle name="Calculation 2 11 4 2" xfId="7498"/>
    <cellStyle name="Calculation 2 11 5" xfId="7499"/>
    <cellStyle name="Calculation 2 12" xfId="7500"/>
    <cellStyle name="Calculation 2 12 2" xfId="7501"/>
    <cellStyle name="Calculation 2 12 2 2" xfId="7502"/>
    <cellStyle name="Calculation 2 12 3" xfId="7503"/>
    <cellStyle name="Calculation 2 12 3 2" xfId="7504"/>
    <cellStyle name="Calculation 2 12 4" xfId="7505"/>
    <cellStyle name="Calculation 2 12 4 2" xfId="7506"/>
    <cellStyle name="Calculation 2 12 5" xfId="7507"/>
    <cellStyle name="Calculation 2 13" xfId="7508"/>
    <cellStyle name="Calculation 2 13 2" xfId="7509"/>
    <cellStyle name="Calculation 2 13 2 2" xfId="7510"/>
    <cellStyle name="Calculation 2 13 3" xfId="7511"/>
    <cellStyle name="Calculation 2 13 3 2" xfId="7512"/>
    <cellStyle name="Calculation 2 13 4" xfId="7513"/>
    <cellStyle name="Calculation 2 13 4 2" xfId="7514"/>
    <cellStyle name="Calculation 2 13 5" xfId="7515"/>
    <cellStyle name="Calculation 2 14" xfId="7516"/>
    <cellStyle name="Calculation 2 14 2" xfId="7517"/>
    <cellStyle name="Calculation 2 14 2 2" xfId="7518"/>
    <cellStyle name="Calculation 2 14 3" xfId="7519"/>
    <cellStyle name="Calculation 2 14 3 2" xfId="7520"/>
    <cellStyle name="Calculation 2 14 4" xfId="7521"/>
    <cellStyle name="Calculation 2 14 4 2" xfId="7522"/>
    <cellStyle name="Calculation 2 14 5" xfId="7523"/>
    <cellStyle name="Calculation 2 15" xfId="7524"/>
    <cellStyle name="Calculation 2 15 2" xfId="7525"/>
    <cellStyle name="Calculation 2 15 2 2" xfId="7526"/>
    <cellStyle name="Calculation 2 15 3" xfId="7527"/>
    <cellStyle name="Calculation 2 15 3 2" xfId="7528"/>
    <cellStyle name="Calculation 2 15 4" xfId="7529"/>
    <cellStyle name="Calculation 2 15 4 2" xfId="7530"/>
    <cellStyle name="Calculation 2 15 5" xfId="7531"/>
    <cellStyle name="Calculation 2 16" xfId="7532"/>
    <cellStyle name="Calculation 2 16 2" xfId="7533"/>
    <cellStyle name="Calculation 2 17" xfId="7534"/>
    <cellStyle name="Calculation 2 17 2" xfId="7535"/>
    <cellStyle name="Calculation 2 18" xfId="7536"/>
    <cellStyle name="Calculation 2 18 2" xfId="7537"/>
    <cellStyle name="Calculation 2 19" xfId="7538"/>
    <cellStyle name="Calculation 2 19 2" xfId="7539"/>
    <cellStyle name="Calculation 2 2" xfId="7540"/>
    <cellStyle name="Calculation 2 2 10" xfId="7541"/>
    <cellStyle name="Calculation 2 2 10 2" xfId="7542"/>
    <cellStyle name="Calculation 2 2 10 2 2" xfId="7543"/>
    <cellStyle name="Calculation 2 2 10 3" xfId="7544"/>
    <cellStyle name="Calculation 2 2 10 3 2" xfId="7545"/>
    <cellStyle name="Calculation 2 2 10 4" xfId="7546"/>
    <cellStyle name="Calculation 2 2 10 4 2" xfId="7547"/>
    <cellStyle name="Calculation 2 2 10 5" xfId="7548"/>
    <cellStyle name="Calculation 2 2 11" xfId="7549"/>
    <cellStyle name="Calculation 2 2 11 2" xfId="7550"/>
    <cellStyle name="Calculation 2 2 11 2 2" xfId="7551"/>
    <cellStyle name="Calculation 2 2 11 3" xfId="7552"/>
    <cellStyle name="Calculation 2 2 11 3 2" xfId="7553"/>
    <cellStyle name="Calculation 2 2 11 4" xfId="7554"/>
    <cellStyle name="Calculation 2 2 11 4 2" xfId="7555"/>
    <cellStyle name="Calculation 2 2 11 5" xfId="7556"/>
    <cellStyle name="Calculation 2 2 12" xfId="7557"/>
    <cellStyle name="Calculation 2 2 12 2" xfId="7558"/>
    <cellStyle name="Calculation 2 2 12 2 2" xfId="7559"/>
    <cellStyle name="Calculation 2 2 12 3" xfId="7560"/>
    <cellStyle name="Calculation 2 2 12 3 2" xfId="7561"/>
    <cellStyle name="Calculation 2 2 12 4" xfId="7562"/>
    <cellStyle name="Calculation 2 2 12 4 2" xfId="7563"/>
    <cellStyle name="Calculation 2 2 12 5" xfId="7564"/>
    <cellStyle name="Calculation 2 2 13" xfId="7565"/>
    <cellStyle name="Calculation 2 2 13 2" xfId="7566"/>
    <cellStyle name="Calculation 2 2 13 2 2" xfId="7567"/>
    <cellStyle name="Calculation 2 2 13 3" xfId="7568"/>
    <cellStyle name="Calculation 2 2 13 3 2" xfId="7569"/>
    <cellStyle name="Calculation 2 2 13 4" xfId="7570"/>
    <cellStyle name="Calculation 2 2 13 4 2" xfId="7571"/>
    <cellStyle name="Calculation 2 2 13 5" xfId="7572"/>
    <cellStyle name="Calculation 2 2 14" xfId="7573"/>
    <cellStyle name="Calculation 2 2 14 2" xfId="7574"/>
    <cellStyle name="Calculation 2 2 14 2 2" xfId="7575"/>
    <cellStyle name="Calculation 2 2 14 3" xfId="7576"/>
    <cellStyle name="Calculation 2 2 14 3 2" xfId="7577"/>
    <cellStyle name="Calculation 2 2 14 4" xfId="7578"/>
    <cellStyle name="Calculation 2 2 14 4 2" xfId="7579"/>
    <cellStyle name="Calculation 2 2 14 5" xfId="7580"/>
    <cellStyle name="Calculation 2 2 15" xfId="7581"/>
    <cellStyle name="Calculation 2 2 15 2" xfId="7582"/>
    <cellStyle name="Calculation 2 2 16" xfId="7583"/>
    <cellStyle name="Calculation 2 2 16 2" xfId="7584"/>
    <cellStyle name="Calculation 2 2 17" xfId="7585"/>
    <cellStyle name="Calculation 2 2 17 2" xfId="7586"/>
    <cellStyle name="Calculation 2 2 18" xfId="7587"/>
    <cellStyle name="Calculation 2 2 18 2" xfId="7588"/>
    <cellStyle name="Calculation 2 2 19" xfId="7589"/>
    <cellStyle name="Calculation 2 2 19 2" xfId="7590"/>
    <cellStyle name="Calculation 2 2 2" xfId="7591"/>
    <cellStyle name="Calculation 2 2 2 10" xfId="7592"/>
    <cellStyle name="Calculation 2 2 2 10 2" xfId="7593"/>
    <cellStyle name="Calculation 2 2 2 11" xfId="7594"/>
    <cellStyle name="Calculation 2 2 2 11 2" xfId="7595"/>
    <cellStyle name="Calculation 2 2 2 12" xfId="7596"/>
    <cellStyle name="Calculation 2 2 2 12 2" xfId="7597"/>
    <cellStyle name="Calculation 2 2 2 13" xfId="7598"/>
    <cellStyle name="Calculation 2 2 2 13 2" xfId="7599"/>
    <cellStyle name="Calculation 2 2 2 14" xfId="7600"/>
    <cellStyle name="Calculation 2 2 2 14 2" xfId="7601"/>
    <cellStyle name="Calculation 2 2 2 15" xfId="7602"/>
    <cellStyle name="Calculation 2 2 2 15 2" xfId="7603"/>
    <cellStyle name="Calculation 2 2 2 16" xfId="7604"/>
    <cellStyle name="Calculation 2 2 2 16 2" xfId="7605"/>
    <cellStyle name="Calculation 2 2 2 17" xfId="7606"/>
    <cellStyle name="Calculation 2 2 2 17 2" xfId="7607"/>
    <cellStyle name="Calculation 2 2 2 18" xfId="7608"/>
    <cellStyle name="Calculation 2 2 2 18 2" xfId="7609"/>
    <cellStyle name="Calculation 2 2 2 19" xfId="7610"/>
    <cellStyle name="Calculation 2 2 2 19 2" xfId="7611"/>
    <cellStyle name="Calculation 2 2 2 2" xfId="7612"/>
    <cellStyle name="Calculation 2 2 2 2 2" xfId="7613"/>
    <cellStyle name="Calculation 2 2 2 2 3" xfId="7614"/>
    <cellStyle name="Calculation 2 2 2 20" xfId="7615"/>
    <cellStyle name="Calculation 2 2 2 20 2" xfId="7616"/>
    <cellStyle name="Calculation 2 2 2 21" xfId="7617"/>
    <cellStyle name="Calculation 2 2 2 21 2" xfId="7618"/>
    <cellStyle name="Calculation 2 2 2 22" xfId="7619"/>
    <cellStyle name="Calculation 2 2 2 22 2" xfId="7620"/>
    <cellStyle name="Calculation 2 2 2 23" xfId="7621"/>
    <cellStyle name="Calculation 2 2 2 23 2" xfId="7622"/>
    <cellStyle name="Calculation 2 2 2 24" xfId="7623"/>
    <cellStyle name="Calculation 2 2 2 24 2" xfId="7624"/>
    <cellStyle name="Calculation 2 2 2 25" xfId="7625"/>
    <cellStyle name="Calculation 2 2 2 25 2" xfId="7626"/>
    <cellStyle name="Calculation 2 2 2 26" xfId="7627"/>
    <cellStyle name="Calculation 2 2 2 26 2" xfId="7628"/>
    <cellStyle name="Calculation 2 2 2 27" xfId="7629"/>
    <cellStyle name="Calculation 2 2 2 27 2" xfId="7630"/>
    <cellStyle name="Calculation 2 2 2 28" xfId="7631"/>
    <cellStyle name="Calculation 2 2 2 28 2" xfId="7632"/>
    <cellStyle name="Calculation 2 2 2 29" xfId="7633"/>
    <cellStyle name="Calculation 2 2 2 29 2" xfId="7634"/>
    <cellStyle name="Calculation 2 2 2 3" xfId="7635"/>
    <cellStyle name="Calculation 2 2 2 3 2" xfId="7636"/>
    <cellStyle name="Calculation 2 2 2 3 3" xfId="7637"/>
    <cellStyle name="Calculation 2 2 2 30" xfId="7638"/>
    <cellStyle name="Calculation 2 2 2 30 2" xfId="7639"/>
    <cellStyle name="Calculation 2 2 2 31" xfId="7640"/>
    <cellStyle name="Calculation 2 2 2 4" xfId="7641"/>
    <cellStyle name="Calculation 2 2 2 4 2" xfId="7642"/>
    <cellStyle name="Calculation 2 2 2 5" xfId="7643"/>
    <cellStyle name="Calculation 2 2 2 5 2" xfId="7644"/>
    <cellStyle name="Calculation 2 2 2 6" xfId="7645"/>
    <cellStyle name="Calculation 2 2 2 6 2" xfId="7646"/>
    <cellStyle name="Calculation 2 2 2 7" xfId="7647"/>
    <cellStyle name="Calculation 2 2 2 7 2" xfId="7648"/>
    <cellStyle name="Calculation 2 2 2 8" xfId="7649"/>
    <cellStyle name="Calculation 2 2 2 8 2" xfId="7650"/>
    <cellStyle name="Calculation 2 2 2 9" xfId="7651"/>
    <cellStyle name="Calculation 2 2 2 9 2" xfId="7652"/>
    <cellStyle name="Calculation 2 2 20" xfId="7653"/>
    <cellStyle name="Calculation 2 2 20 2" xfId="7654"/>
    <cellStyle name="Calculation 2 2 21" xfId="7655"/>
    <cellStyle name="Calculation 2 2 21 2" xfId="7656"/>
    <cellStyle name="Calculation 2 2 22" xfId="7657"/>
    <cellStyle name="Calculation 2 2 22 2" xfId="7658"/>
    <cellStyle name="Calculation 2 2 23" xfId="7659"/>
    <cellStyle name="Calculation 2 2 23 2" xfId="7660"/>
    <cellStyle name="Calculation 2 2 24" xfId="7661"/>
    <cellStyle name="Calculation 2 2 24 2" xfId="7662"/>
    <cellStyle name="Calculation 2 2 25" xfId="7663"/>
    <cellStyle name="Calculation 2 2 25 2" xfId="7664"/>
    <cellStyle name="Calculation 2 2 26" xfId="7665"/>
    <cellStyle name="Calculation 2 2 26 2" xfId="7666"/>
    <cellStyle name="Calculation 2 2 27" xfId="7667"/>
    <cellStyle name="Calculation 2 2 27 2" xfId="7668"/>
    <cellStyle name="Calculation 2 2 28" xfId="7669"/>
    <cellStyle name="Calculation 2 2 28 2" xfId="7670"/>
    <cellStyle name="Calculation 2 2 29" xfId="7671"/>
    <cellStyle name="Calculation 2 2 29 2" xfId="7672"/>
    <cellStyle name="Calculation 2 2 3" xfId="7673"/>
    <cellStyle name="Calculation 2 2 3 2" xfId="7674"/>
    <cellStyle name="Calculation 2 2 3 2 2" xfId="7675"/>
    <cellStyle name="Calculation 2 2 3 3" xfId="7676"/>
    <cellStyle name="Calculation 2 2 3 3 2" xfId="7677"/>
    <cellStyle name="Calculation 2 2 3 4" xfId="7678"/>
    <cellStyle name="Calculation 2 2 3 4 2" xfId="7679"/>
    <cellStyle name="Calculation 2 2 3 5" xfId="7680"/>
    <cellStyle name="Calculation 2 2 30" xfId="7681"/>
    <cellStyle name="Calculation 2 2 30 2" xfId="7682"/>
    <cellStyle name="Calculation 2 2 31" xfId="7683"/>
    <cellStyle name="Calculation 2 2 31 2" xfId="7684"/>
    <cellStyle name="Calculation 2 2 32" xfId="7685"/>
    <cellStyle name="Calculation 2 2 32 2" xfId="7686"/>
    <cellStyle name="Calculation 2 2 33" xfId="7687"/>
    <cellStyle name="Calculation 2 2 33 2" xfId="7688"/>
    <cellStyle name="Calculation 2 2 34" xfId="7689"/>
    <cellStyle name="Calculation 2 2 34 2" xfId="7690"/>
    <cellStyle name="Calculation 2 2 35" xfId="7691"/>
    <cellStyle name="Calculation 2 2 35 2" xfId="7692"/>
    <cellStyle name="Calculation 2 2 36" xfId="7693"/>
    <cellStyle name="Calculation 2 2 36 2" xfId="7694"/>
    <cellStyle name="Calculation 2 2 37" xfId="7695"/>
    <cellStyle name="Calculation 2 2 37 2" xfId="7696"/>
    <cellStyle name="Calculation 2 2 38" xfId="7697"/>
    <cellStyle name="Calculation 2 2 38 2" xfId="7698"/>
    <cellStyle name="Calculation 2 2 39" xfId="7699"/>
    <cellStyle name="Calculation 2 2 39 2" xfId="7700"/>
    <cellStyle name="Calculation 2 2 4" xfId="7701"/>
    <cellStyle name="Calculation 2 2 4 2" xfId="7702"/>
    <cellStyle name="Calculation 2 2 4 2 2" xfId="7703"/>
    <cellStyle name="Calculation 2 2 4 3" xfId="7704"/>
    <cellStyle name="Calculation 2 2 4 3 2" xfId="7705"/>
    <cellStyle name="Calculation 2 2 4 4" xfId="7706"/>
    <cellStyle name="Calculation 2 2 4 4 2" xfId="7707"/>
    <cellStyle name="Calculation 2 2 4 5" xfId="7708"/>
    <cellStyle name="Calculation 2 2 40" xfId="7709"/>
    <cellStyle name="Calculation 2 2 40 2" xfId="7710"/>
    <cellStyle name="Calculation 2 2 41" xfId="7711"/>
    <cellStyle name="Calculation 2 2 41 2" xfId="7712"/>
    <cellStyle name="Calculation 2 2 42" xfId="7713"/>
    <cellStyle name="Calculation 2 2 42 2" xfId="7714"/>
    <cellStyle name="Calculation 2 2 43" xfId="7715"/>
    <cellStyle name="Calculation 2 2 43 2" xfId="7716"/>
    <cellStyle name="Calculation 2 2 44" xfId="7717"/>
    <cellStyle name="Calculation 2 2 44 2" xfId="7718"/>
    <cellStyle name="Calculation 2 2 45" xfId="7719"/>
    <cellStyle name="Calculation 2 2 45 2" xfId="7720"/>
    <cellStyle name="Calculation 2 2 46" xfId="7721"/>
    <cellStyle name="Calculation 2 2 46 2" xfId="7722"/>
    <cellStyle name="Calculation 2 2 47" xfId="7723"/>
    <cellStyle name="Calculation 2 2 47 2" xfId="7724"/>
    <cellStyle name="Calculation 2 2 48" xfId="7725"/>
    <cellStyle name="Calculation 2 2 48 2" xfId="7726"/>
    <cellStyle name="Calculation 2 2 49" xfId="7727"/>
    <cellStyle name="Calculation 2 2 49 2" xfId="7728"/>
    <cellStyle name="Calculation 2 2 5" xfId="7729"/>
    <cellStyle name="Calculation 2 2 5 2" xfId="7730"/>
    <cellStyle name="Calculation 2 2 5 2 2" xfId="7731"/>
    <cellStyle name="Calculation 2 2 5 3" xfId="7732"/>
    <cellStyle name="Calculation 2 2 5 3 2" xfId="7733"/>
    <cellStyle name="Calculation 2 2 5 4" xfId="7734"/>
    <cellStyle name="Calculation 2 2 5 4 2" xfId="7735"/>
    <cellStyle name="Calculation 2 2 5 5" xfId="7736"/>
    <cellStyle name="Calculation 2 2 50" xfId="7737"/>
    <cellStyle name="Calculation 2 2 50 2" xfId="7738"/>
    <cellStyle name="Calculation 2 2 51" xfId="7739"/>
    <cellStyle name="Calculation 2 2 51 2" xfId="7740"/>
    <cellStyle name="Calculation 2 2 52" xfId="7741"/>
    <cellStyle name="Calculation 2 2 52 2" xfId="7742"/>
    <cellStyle name="Calculation 2 2 53" xfId="7743"/>
    <cellStyle name="Calculation 2 2 53 2" xfId="7744"/>
    <cellStyle name="Calculation 2 2 54" xfId="7745"/>
    <cellStyle name="Calculation 2 2 54 2" xfId="7746"/>
    <cellStyle name="Calculation 2 2 55" xfId="7747"/>
    <cellStyle name="Calculation 2 2 55 2" xfId="7748"/>
    <cellStyle name="Calculation 2 2 56" xfId="7749"/>
    <cellStyle name="Calculation 2 2 56 2" xfId="7750"/>
    <cellStyle name="Calculation 2 2 57" xfId="7751"/>
    <cellStyle name="Calculation 2 2 57 2" xfId="7752"/>
    <cellStyle name="Calculation 2 2 58" xfId="7753"/>
    <cellStyle name="Calculation 2 2 58 2" xfId="7754"/>
    <cellStyle name="Calculation 2 2 59" xfId="7755"/>
    <cellStyle name="Calculation 2 2 59 2" xfId="7756"/>
    <cellStyle name="Calculation 2 2 6" xfId="7757"/>
    <cellStyle name="Calculation 2 2 6 2" xfId="7758"/>
    <cellStyle name="Calculation 2 2 6 2 2" xfId="7759"/>
    <cellStyle name="Calculation 2 2 6 3" xfId="7760"/>
    <cellStyle name="Calculation 2 2 6 3 2" xfId="7761"/>
    <cellStyle name="Calculation 2 2 6 4" xfId="7762"/>
    <cellStyle name="Calculation 2 2 6 4 2" xfId="7763"/>
    <cellStyle name="Calculation 2 2 6 5" xfId="7764"/>
    <cellStyle name="Calculation 2 2 60" xfId="7765"/>
    <cellStyle name="Calculation 2 2 60 2" xfId="7766"/>
    <cellStyle name="Calculation 2 2 61" xfId="7767"/>
    <cellStyle name="Calculation 2 2 61 2" xfId="7768"/>
    <cellStyle name="Calculation 2 2 62" xfId="7769"/>
    <cellStyle name="Calculation 2 2 7" xfId="7770"/>
    <cellStyle name="Calculation 2 2 7 2" xfId="7771"/>
    <cellStyle name="Calculation 2 2 7 2 2" xfId="7772"/>
    <cellStyle name="Calculation 2 2 7 3" xfId="7773"/>
    <cellStyle name="Calculation 2 2 7 3 2" xfId="7774"/>
    <cellStyle name="Calculation 2 2 7 4" xfId="7775"/>
    <cellStyle name="Calculation 2 2 7 4 2" xfId="7776"/>
    <cellStyle name="Calculation 2 2 7 5" xfId="7777"/>
    <cellStyle name="Calculation 2 2 8" xfId="7778"/>
    <cellStyle name="Calculation 2 2 8 2" xfId="7779"/>
    <cellStyle name="Calculation 2 2 8 2 2" xfId="7780"/>
    <cellStyle name="Calculation 2 2 8 3" xfId="7781"/>
    <cellStyle name="Calculation 2 2 8 3 2" xfId="7782"/>
    <cellStyle name="Calculation 2 2 8 4" xfId="7783"/>
    <cellStyle name="Calculation 2 2 8 4 2" xfId="7784"/>
    <cellStyle name="Calculation 2 2 8 5" xfId="7785"/>
    <cellStyle name="Calculation 2 2 9" xfId="7786"/>
    <cellStyle name="Calculation 2 2 9 2" xfId="7787"/>
    <cellStyle name="Calculation 2 2 9 2 2" xfId="7788"/>
    <cellStyle name="Calculation 2 2 9 3" xfId="7789"/>
    <cellStyle name="Calculation 2 2 9 3 2" xfId="7790"/>
    <cellStyle name="Calculation 2 2 9 4" xfId="7791"/>
    <cellStyle name="Calculation 2 2 9 4 2" xfId="7792"/>
    <cellStyle name="Calculation 2 2 9 5" xfId="7793"/>
    <cellStyle name="Calculation 2 20" xfId="7794"/>
    <cellStyle name="Calculation 2 20 2" xfId="7795"/>
    <cellStyle name="Calculation 2 21" xfId="7796"/>
    <cellStyle name="Calculation 2 21 2" xfId="7797"/>
    <cellStyle name="Calculation 2 22" xfId="7798"/>
    <cellStyle name="Calculation 2 22 2" xfId="7799"/>
    <cellStyle name="Calculation 2 23" xfId="7800"/>
    <cellStyle name="Calculation 2 23 2" xfId="7801"/>
    <cellStyle name="Calculation 2 24" xfId="7802"/>
    <cellStyle name="Calculation 2 24 2" xfId="7803"/>
    <cellStyle name="Calculation 2 25" xfId="7804"/>
    <cellStyle name="Calculation 2 25 2" xfId="7805"/>
    <cellStyle name="Calculation 2 26" xfId="7806"/>
    <cellStyle name="Calculation 2 26 2" xfId="7807"/>
    <cellStyle name="Calculation 2 27" xfId="7808"/>
    <cellStyle name="Calculation 2 27 2" xfId="7809"/>
    <cellStyle name="Calculation 2 28" xfId="7810"/>
    <cellStyle name="Calculation 2 28 2" xfId="7811"/>
    <cellStyle name="Calculation 2 29" xfId="7812"/>
    <cellStyle name="Calculation 2 29 2" xfId="7813"/>
    <cellStyle name="Calculation 2 3" xfId="7814"/>
    <cellStyle name="Calculation 2 3 10" xfId="7815"/>
    <cellStyle name="Calculation 2 3 10 2" xfId="7816"/>
    <cellStyle name="Calculation 2 3 11" xfId="7817"/>
    <cellStyle name="Calculation 2 3 11 2" xfId="7818"/>
    <cellStyle name="Calculation 2 3 12" xfId="7819"/>
    <cellStyle name="Calculation 2 3 12 2" xfId="7820"/>
    <cellStyle name="Calculation 2 3 13" xfId="7821"/>
    <cellStyle name="Calculation 2 3 13 2" xfId="7822"/>
    <cellStyle name="Calculation 2 3 14" xfId="7823"/>
    <cellStyle name="Calculation 2 3 14 2" xfId="7824"/>
    <cellStyle name="Calculation 2 3 15" xfId="7825"/>
    <cellStyle name="Calculation 2 3 15 2" xfId="7826"/>
    <cellStyle name="Calculation 2 3 16" xfId="7827"/>
    <cellStyle name="Calculation 2 3 16 2" xfId="7828"/>
    <cellStyle name="Calculation 2 3 17" xfId="7829"/>
    <cellStyle name="Calculation 2 3 17 2" xfId="7830"/>
    <cellStyle name="Calculation 2 3 18" xfId="7831"/>
    <cellStyle name="Calculation 2 3 18 2" xfId="7832"/>
    <cellStyle name="Calculation 2 3 19" xfId="7833"/>
    <cellStyle name="Calculation 2 3 19 2" xfId="7834"/>
    <cellStyle name="Calculation 2 3 2" xfId="7835"/>
    <cellStyle name="Calculation 2 3 2 2" xfId="7836"/>
    <cellStyle name="Calculation 2 3 2 3" xfId="7837"/>
    <cellStyle name="Calculation 2 3 20" xfId="7838"/>
    <cellStyle name="Calculation 2 3 20 2" xfId="7839"/>
    <cellStyle name="Calculation 2 3 21" xfId="7840"/>
    <cellStyle name="Calculation 2 3 21 2" xfId="7841"/>
    <cellStyle name="Calculation 2 3 22" xfId="7842"/>
    <cellStyle name="Calculation 2 3 22 2" xfId="7843"/>
    <cellStyle name="Calculation 2 3 23" xfId="7844"/>
    <cellStyle name="Calculation 2 3 23 2" xfId="7845"/>
    <cellStyle name="Calculation 2 3 24" xfId="7846"/>
    <cellStyle name="Calculation 2 3 24 2" xfId="7847"/>
    <cellStyle name="Calculation 2 3 25" xfId="7848"/>
    <cellStyle name="Calculation 2 3 25 2" xfId="7849"/>
    <cellStyle name="Calculation 2 3 26" xfId="7850"/>
    <cellStyle name="Calculation 2 3 26 2" xfId="7851"/>
    <cellStyle name="Calculation 2 3 27" xfId="7852"/>
    <cellStyle name="Calculation 2 3 27 2" xfId="7853"/>
    <cellStyle name="Calculation 2 3 28" xfId="7854"/>
    <cellStyle name="Calculation 2 3 28 2" xfId="7855"/>
    <cellStyle name="Calculation 2 3 29" xfId="7856"/>
    <cellStyle name="Calculation 2 3 29 2" xfId="7857"/>
    <cellStyle name="Calculation 2 3 3" xfId="7858"/>
    <cellStyle name="Calculation 2 3 3 2" xfId="7859"/>
    <cellStyle name="Calculation 2 3 3 3" xfId="7860"/>
    <cellStyle name="Calculation 2 3 30" xfId="7861"/>
    <cellStyle name="Calculation 2 3 30 2" xfId="7862"/>
    <cellStyle name="Calculation 2 3 31" xfId="7863"/>
    <cellStyle name="Calculation 2 3 4" xfId="7864"/>
    <cellStyle name="Calculation 2 3 4 2" xfId="7865"/>
    <cellStyle name="Calculation 2 3 5" xfId="7866"/>
    <cellStyle name="Calculation 2 3 5 2" xfId="7867"/>
    <cellStyle name="Calculation 2 3 6" xfId="7868"/>
    <cellStyle name="Calculation 2 3 6 2" xfId="7869"/>
    <cellStyle name="Calculation 2 3 7" xfId="7870"/>
    <cellStyle name="Calculation 2 3 7 2" xfId="7871"/>
    <cellStyle name="Calculation 2 3 8" xfId="7872"/>
    <cellStyle name="Calculation 2 3 8 2" xfId="7873"/>
    <cellStyle name="Calculation 2 3 9" xfId="7874"/>
    <cellStyle name="Calculation 2 3 9 2" xfId="7875"/>
    <cellStyle name="Calculation 2 30" xfId="7876"/>
    <cellStyle name="Calculation 2 30 2" xfId="7877"/>
    <cellStyle name="Calculation 2 31" xfId="7878"/>
    <cellStyle name="Calculation 2 31 2" xfId="7879"/>
    <cellStyle name="Calculation 2 32" xfId="7880"/>
    <cellStyle name="Calculation 2 32 2" xfId="7881"/>
    <cellStyle name="Calculation 2 33" xfId="7882"/>
    <cellStyle name="Calculation 2 33 2" xfId="7883"/>
    <cellStyle name="Calculation 2 34" xfId="7884"/>
    <cellStyle name="Calculation 2 34 2" xfId="7885"/>
    <cellStyle name="Calculation 2 35" xfId="7886"/>
    <cellStyle name="Calculation 2 35 2" xfId="7887"/>
    <cellStyle name="Calculation 2 36" xfId="7888"/>
    <cellStyle name="Calculation 2 36 2" xfId="7889"/>
    <cellStyle name="Calculation 2 37" xfId="7890"/>
    <cellStyle name="Calculation 2 37 2" xfId="7891"/>
    <cellStyle name="Calculation 2 38" xfId="7892"/>
    <cellStyle name="Calculation 2 38 2" xfId="7893"/>
    <cellStyle name="Calculation 2 39" xfId="7894"/>
    <cellStyle name="Calculation 2 39 2" xfId="7895"/>
    <cellStyle name="Calculation 2 4" xfId="7896"/>
    <cellStyle name="Calculation 2 4 2" xfId="7897"/>
    <cellStyle name="Calculation 2 4 2 2" xfId="7898"/>
    <cellStyle name="Calculation 2 4 3" xfId="7899"/>
    <cellStyle name="Calculation 2 4 3 2" xfId="7900"/>
    <cellStyle name="Calculation 2 4 4" xfId="7901"/>
    <cellStyle name="Calculation 2 4 4 2" xfId="7902"/>
    <cellStyle name="Calculation 2 4 5" xfId="7903"/>
    <cellStyle name="Calculation 2 40" xfId="7904"/>
    <cellStyle name="Calculation 2 40 2" xfId="7905"/>
    <cellStyle name="Calculation 2 41" xfId="7906"/>
    <cellStyle name="Calculation 2 41 2" xfId="7907"/>
    <cellStyle name="Calculation 2 42" xfId="7908"/>
    <cellStyle name="Calculation 2 42 2" xfId="7909"/>
    <cellStyle name="Calculation 2 43" xfId="7910"/>
    <cellStyle name="Calculation 2 43 2" xfId="7911"/>
    <cellStyle name="Calculation 2 44" xfId="7912"/>
    <cellStyle name="Calculation 2 44 2" xfId="7913"/>
    <cellStyle name="Calculation 2 45" xfId="7914"/>
    <cellStyle name="Calculation 2 45 2" xfId="7915"/>
    <cellStyle name="Calculation 2 46" xfId="7916"/>
    <cellStyle name="Calculation 2 46 2" xfId="7917"/>
    <cellStyle name="Calculation 2 47" xfId="7918"/>
    <cellStyle name="Calculation 2 47 2" xfId="7919"/>
    <cellStyle name="Calculation 2 48" xfId="7920"/>
    <cellStyle name="Calculation 2 48 2" xfId="7921"/>
    <cellStyle name="Calculation 2 49" xfId="7922"/>
    <cellStyle name="Calculation 2 49 2" xfId="7923"/>
    <cellStyle name="Calculation 2 5" xfId="7924"/>
    <cellStyle name="Calculation 2 5 2" xfId="7925"/>
    <cellStyle name="Calculation 2 5 2 2" xfId="7926"/>
    <cellStyle name="Calculation 2 5 3" xfId="7927"/>
    <cellStyle name="Calculation 2 5 3 2" xfId="7928"/>
    <cellStyle name="Calculation 2 5 4" xfId="7929"/>
    <cellStyle name="Calculation 2 5 4 2" xfId="7930"/>
    <cellStyle name="Calculation 2 5 5" xfId="7931"/>
    <cellStyle name="Calculation 2 50" xfId="7932"/>
    <cellStyle name="Calculation 2 50 2" xfId="7933"/>
    <cellStyle name="Calculation 2 51" xfId="7934"/>
    <cellStyle name="Calculation 2 51 2" xfId="7935"/>
    <cellStyle name="Calculation 2 52" xfId="7936"/>
    <cellStyle name="Calculation 2 52 2" xfId="7937"/>
    <cellStyle name="Calculation 2 53" xfId="7938"/>
    <cellStyle name="Calculation 2 53 2" xfId="7939"/>
    <cellStyle name="Calculation 2 54" xfId="7940"/>
    <cellStyle name="Calculation 2 54 2" xfId="7941"/>
    <cellStyle name="Calculation 2 55" xfId="7942"/>
    <cellStyle name="Calculation 2 55 2" xfId="7943"/>
    <cellStyle name="Calculation 2 56" xfId="7944"/>
    <cellStyle name="Calculation 2 56 2" xfId="7945"/>
    <cellStyle name="Calculation 2 57" xfId="7946"/>
    <cellStyle name="Calculation 2 57 2" xfId="7947"/>
    <cellStyle name="Calculation 2 58" xfId="7948"/>
    <cellStyle name="Calculation 2 58 2" xfId="7949"/>
    <cellStyle name="Calculation 2 59" xfId="7950"/>
    <cellStyle name="Calculation 2 59 2" xfId="7951"/>
    <cellStyle name="Calculation 2 6" xfId="7952"/>
    <cellStyle name="Calculation 2 6 2" xfId="7953"/>
    <cellStyle name="Calculation 2 6 2 2" xfId="7954"/>
    <cellStyle name="Calculation 2 6 3" xfId="7955"/>
    <cellStyle name="Calculation 2 6 3 2" xfId="7956"/>
    <cellStyle name="Calculation 2 6 4" xfId="7957"/>
    <cellStyle name="Calculation 2 6 4 2" xfId="7958"/>
    <cellStyle name="Calculation 2 6 5" xfId="7959"/>
    <cellStyle name="Calculation 2 60" xfId="7960"/>
    <cellStyle name="Calculation 2 60 2" xfId="7961"/>
    <cellStyle name="Calculation 2 61" xfId="7962"/>
    <cellStyle name="Calculation 2 61 2" xfId="7963"/>
    <cellStyle name="Calculation 2 62" xfId="7964"/>
    <cellStyle name="Calculation 2 62 2" xfId="7965"/>
    <cellStyle name="Calculation 2 63" xfId="7966"/>
    <cellStyle name="Calculation 2 63 2" xfId="7967"/>
    <cellStyle name="Calculation 2 64" xfId="7968"/>
    <cellStyle name="Calculation 2 7" xfId="7969"/>
    <cellStyle name="Calculation 2 7 2" xfId="7970"/>
    <cellStyle name="Calculation 2 7 2 2" xfId="7971"/>
    <cellStyle name="Calculation 2 7 3" xfId="7972"/>
    <cellStyle name="Calculation 2 7 3 2" xfId="7973"/>
    <cellStyle name="Calculation 2 7 4" xfId="7974"/>
    <cellStyle name="Calculation 2 7 4 2" xfId="7975"/>
    <cellStyle name="Calculation 2 7 5" xfId="7976"/>
    <cellStyle name="Calculation 2 8" xfId="7977"/>
    <cellStyle name="Calculation 2 8 2" xfId="7978"/>
    <cellStyle name="Calculation 2 8 2 2" xfId="7979"/>
    <cellStyle name="Calculation 2 8 3" xfId="7980"/>
    <cellStyle name="Calculation 2 8 3 2" xfId="7981"/>
    <cellStyle name="Calculation 2 8 4" xfId="7982"/>
    <cellStyle name="Calculation 2 8 4 2" xfId="7983"/>
    <cellStyle name="Calculation 2 8 5" xfId="7984"/>
    <cellStyle name="Calculation 2 9" xfId="7985"/>
    <cellStyle name="Calculation 2 9 2" xfId="7986"/>
    <cellStyle name="Calculation 2 9 2 2" xfId="7987"/>
    <cellStyle name="Calculation 2 9 3" xfId="7988"/>
    <cellStyle name="Calculation 2 9 3 2" xfId="7989"/>
    <cellStyle name="Calculation 2 9 4" xfId="7990"/>
    <cellStyle name="Calculation 2 9 4 2" xfId="7991"/>
    <cellStyle name="Calculation 2 9 5" xfId="7992"/>
    <cellStyle name="Calculation 20" xfId="7993"/>
    <cellStyle name="Calculation 20 2" xfId="7994"/>
    <cellStyle name="Calculation 21" xfId="7995"/>
    <cellStyle name="Calculation 21 2" xfId="7996"/>
    <cellStyle name="Calculation 22" xfId="7997"/>
    <cellStyle name="Calculation 22 2" xfId="7998"/>
    <cellStyle name="Calculation 23" xfId="7999"/>
    <cellStyle name="Calculation 23 2" xfId="8000"/>
    <cellStyle name="Calculation 24" xfId="8001"/>
    <cellStyle name="Calculation 24 2" xfId="8002"/>
    <cellStyle name="Calculation 25" xfId="8003"/>
    <cellStyle name="Calculation 25 2" xfId="8004"/>
    <cellStyle name="Calculation 26" xfId="8005"/>
    <cellStyle name="Calculation 26 2" xfId="8006"/>
    <cellStyle name="Calculation 27" xfId="8007"/>
    <cellStyle name="Calculation 27 2" xfId="8008"/>
    <cellStyle name="Calculation 28" xfId="8009"/>
    <cellStyle name="Calculation 28 2" xfId="8010"/>
    <cellStyle name="Calculation 29" xfId="8011"/>
    <cellStyle name="Calculation 29 2" xfId="8012"/>
    <cellStyle name="Calculation 3" xfId="8013"/>
    <cellStyle name="Calculation 30" xfId="8014"/>
    <cellStyle name="Calculation 30 2" xfId="8015"/>
    <cellStyle name="Calculation 31" xfId="8016"/>
    <cellStyle name="Calculation 31 2" xfId="8017"/>
    <cellStyle name="Calculation 32" xfId="8018"/>
    <cellStyle name="Calculation 32 2" xfId="8019"/>
    <cellStyle name="Calculation 33" xfId="8020"/>
    <cellStyle name="Calculation 33 2" xfId="8021"/>
    <cellStyle name="Calculation 34" xfId="8022"/>
    <cellStyle name="Calculation 34 2" xfId="8023"/>
    <cellStyle name="Calculation 35" xfId="8024"/>
    <cellStyle name="Calculation 35 2" xfId="8025"/>
    <cellStyle name="Calculation 36" xfId="8026"/>
    <cellStyle name="Calculation 36 2" xfId="8027"/>
    <cellStyle name="Calculation 37" xfId="8028"/>
    <cellStyle name="Calculation 37 2" xfId="8029"/>
    <cellStyle name="Calculation 38" xfId="8030"/>
    <cellStyle name="Calculation 38 2" xfId="8031"/>
    <cellStyle name="Calculation 39" xfId="8032"/>
    <cellStyle name="Calculation 39 2" xfId="8033"/>
    <cellStyle name="Calculation 4" xfId="8034"/>
    <cellStyle name="Calculation 4 10" xfId="8035"/>
    <cellStyle name="Calculation 4 10 2" xfId="8036"/>
    <cellStyle name="Calculation 4 11" xfId="8037"/>
    <cellStyle name="Calculation 4 11 2" xfId="8038"/>
    <cellStyle name="Calculation 4 12" xfId="8039"/>
    <cellStyle name="Calculation 4 12 2" xfId="8040"/>
    <cellStyle name="Calculation 4 13" xfId="8041"/>
    <cellStyle name="Calculation 4 13 2" xfId="8042"/>
    <cellStyle name="Calculation 4 14" xfId="8043"/>
    <cellStyle name="Calculation 4 14 2" xfId="8044"/>
    <cellStyle name="Calculation 4 15" xfId="8045"/>
    <cellStyle name="Calculation 4 15 2" xfId="8046"/>
    <cellStyle name="Calculation 4 16" xfId="8047"/>
    <cellStyle name="Calculation 4 16 2" xfId="8048"/>
    <cellStyle name="Calculation 4 17" xfId="8049"/>
    <cellStyle name="Calculation 4 17 2" xfId="8050"/>
    <cellStyle name="Calculation 4 18" xfId="8051"/>
    <cellStyle name="Calculation 4 18 2" xfId="8052"/>
    <cellStyle name="Calculation 4 19" xfId="8053"/>
    <cellStyle name="Calculation 4 19 2" xfId="8054"/>
    <cellStyle name="Calculation 4 2" xfId="8055"/>
    <cellStyle name="Calculation 4 2 10" xfId="8056"/>
    <cellStyle name="Calculation 4 2 10 2" xfId="8057"/>
    <cellStyle name="Calculation 4 2 11" xfId="8058"/>
    <cellStyle name="Calculation 4 2 11 2" xfId="8059"/>
    <cellStyle name="Calculation 4 2 12" xfId="8060"/>
    <cellStyle name="Calculation 4 2 12 2" xfId="8061"/>
    <cellStyle name="Calculation 4 2 13" xfId="8062"/>
    <cellStyle name="Calculation 4 2 13 2" xfId="8063"/>
    <cellStyle name="Calculation 4 2 14" xfId="8064"/>
    <cellStyle name="Calculation 4 2 14 2" xfId="8065"/>
    <cellStyle name="Calculation 4 2 15" xfId="8066"/>
    <cellStyle name="Calculation 4 2 15 2" xfId="8067"/>
    <cellStyle name="Calculation 4 2 16" xfId="8068"/>
    <cellStyle name="Calculation 4 2 16 2" xfId="8069"/>
    <cellStyle name="Calculation 4 2 17" xfId="8070"/>
    <cellStyle name="Calculation 4 2 17 2" xfId="8071"/>
    <cellStyle name="Calculation 4 2 18" xfId="8072"/>
    <cellStyle name="Calculation 4 2 18 2" xfId="8073"/>
    <cellStyle name="Calculation 4 2 19" xfId="8074"/>
    <cellStyle name="Calculation 4 2 19 2" xfId="8075"/>
    <cellStyle name="Calculation 4 2 2" xfId="8076"/>
    <cellStyle name="Calculation 4 2 2 2" xfId="8077"/>
    <cellStyle name="Calculation 4 2 2 3" xfId="8078"/>
    <cellStyle name="Calculation 4 2 20" xfId="8079"/>
    <cellStyle name="Calculation 4 2 20 2" xfId="8080"/>
    <cellStyle name="Calculation 4 2 21" xfId="8081"/>
    <cellStyle name="Calculation 4 2 21 2" xfId="8082"/>
    <cellStyle name="Calculation 4 2 22" xfId="8083"/>
    <cellStyle name="Calculation 4 2 22 2" xfId="8084"/>
    <cellStyle name="Calculation 4 2 23" xfId="8085"/>
    <cellStyle name="Calculation 4 2 23 2" xfId="8086"/>
    <cellStyle name="Calculation 4 2 24" xfId="8087"/>
    <cellStyle name="Calculation 4 2 24 2" xfId="8088"/>
    <cellStyle name="Calculation 4 2 25" xfId="8089"/>
    <cellStyle name="Calculation 4 2 25 2" xfId="8090"/>
    <cellStyle name="Calculation 4 2 26" xfId="8091"/>
    <cellStyle name="Calculation 4 2 26 2" xfId="8092"/>
    <cellStyle name="Calculation 4 2 27" xfId="8093"/>
    <cellStyle name="Calculation 4 2 27 2" xfId="8094"/>
    <cellStyle name="Calculation 4 2 28" xfId="8095"/>
    <cellStyle name="Calculation 4 2 28 2" xfId="8096"/>
    <cellStyle name="Calculation 4 2 29" xfId="8097"/>
    <cellStyle name="Calculation 4 2 29 2" xfId="8098"/>
    <cellStyle name="Calculation 4 2 3" xfId="8099"/>
    <cellStyle name="Calculation 4 2 3 2" xfId="8100"/>
    <cellStyle name="Calculation 4 2 3 3" xfId="8101"/>
    <cellStyle name="Calculation 4 2 30" xfId="8102"/>
    <cellStyle name="Calculation 4 2 30 2" xfId="8103"/>
    <cellStyle name="Calculation 4 2 31" xfId="8104"/>
    <cellStyle name="Calculation 4 2 4" xfId="8105"/>
    <cellStyle name="Calculation 4 2 4 2" xfId="8106"/>
    <cellStyle name="Calculation 4 2 5" xfId="8107"/>
    <cellStyle name="Calculation 4 2 5 2" xfId="8108"/>
    <cellStyle name="Calculation 4 2 6" xfId="8109"/>
    <cellStyle name="Calculation 4 2 6 2" xfId="8110"/>
    <cellStyle name="Calculation 4 2 7" xfId="8111"/>
    <cellStyle name="Calculation 4 2 7 2" xfId="8112"/>
    <cellStyle name="Calculation 4 2 8" xfId="8113"/>
    <cellStyle name="Calculation 4 2 8 2" xfId="8114"/>
    <cellStyle name="Calculation 4 2 9" xfId="8115"/>
    <cellStyle name="Calculation 4 2 9 2" xfId="8116"/>
    <cellStyle name="Calculation 4 20" xfId="8117"/>
    <cellStyle name="Calculation 4 20 2" xfId="8118"/>
    <cellStyle name="Calculation 4 21" xfId="8119"/>
    <cellStyle name="Calculation 4 21 2" xfId="8120"/>
    <cellStyle name="Calculation 4 22" xfId="8121"/>
    <cellStyle name="Calculation 4 22 2" xfId="8122"/>
    <cellStyle name="Calculation 4 23" xfId="8123"/>
    <cellStyle name="Calculation 4 23 2" xfId="8124"/>
    <cellStyle name="Calculation 4 24" xfId="8125"/>
    <cellStyle name="Calculation 4 24 2" xfId="8126"/>
    <cellStyle name="Calculation 4 25" xfId="8127"/>
    <cellStyle name="Calculation 4 25 2" xfId="8128"/>
    <cellStyle name="Calculation 4 26" xfId="8129"/>
    <cellStyle name="Calculation 4 26 2" xfId="8130"/>
    <cellStyle name="Calculation 4 27" xfId="8131"/>
    <cellStyle name="Calculation 4 27 2" xfId="8132"/>
    <cellStyle name="Calculation 4 28" xfId="8133"/>
    <cellStyle name="Calculation 4 28 2" xfId="8134"/>
    <cellStyle name="Calculation 4 29" xfId="8135"/>
    <cellStyle name="Calculation 4 29 2" xfId="8136"/>
    <cellStyle name="Calculation 4 3" xfId="8137"/>
    <cellStyle name="Calculation 4 3 2" xfId="8138"/>
    <cellStyle name="Calculation 4 3 2 2" xfId="8139"/>
    <cellStyle name="Calculation 4 3 3" xfId="8140"/>
    <cellStyle name="Calculation 4 3 3 2" xfId="8141"/>
    <cellStyle name="Calculation 4 3 4" xfId="8142"/>
    <cellStyle name="Calculation 4 3 4 2" xfId="8143"/>
    <cellStyle name="Calculation 4 3 5" xfId="8144"/>
    <cellStyle name="Calculation 4 30" xfId="8145"/>
    <cellStyle name="Calculation 4 30 2" xfId="8146"/>
    <cellStyle name="Calculation 4 31" xfId="8147"/>
    <cellStyle name="Calculation 4 31 2" xfId="8148"/>
    <cellStyle name="Calculation 4 32" xfId="8149"/>
    <cellStyle name="Calculation 4 32 2" xfId="8150"/>
    <cellStyle name="Calculation 4 33" xfId="8151"/>
    <cellStyle name="Calculation 4 33 2" xfId="8152"/>
    <cellStyle name="Calculation 4 34" xfId="8153"/>
    <cellStyle name="Calculation 4 34 2" xfId="8154"/>
    <cellStyle name="Calculation 4 35" xfId="8155"/>
    <cellStyle name="Calculation 4 35 2" xfId="8156"/>
    <cellStyle name="Calculation 4 36" xfId="8157"/>
    <cellStyle name="Calculation 4 36 2" xfId="8158"/>
    <cellStyle name="Calculation 4 37" xfId="8159"/>
    <cellStyle name="Calculation 4 37 2" xfId="8160"/>
    <cellStyle name="Calculation 4 38" xfId="8161"/>
    <cellStyle name="Calculation 4 38 2" xfId="8162"/>
    <cellStyle name="Calculation 4 39" xfId="8163"/>
    <cellStyle name="Calculation 4 39 2" xfId="8164"/>
    <cellStyle name="Calculation 4 4" xfId="8165"/>
    <cellStyle name="Calculation 4 4 2" xfId="8166"/>
    <cellStyle name="Calculation 4 4 2 2" xfId="8167"/>
    <cellStyle name="Calculation 4 4 3" xfId="8168"/>
    <cellStyle name="Calculation 4 4 3 2" xfId="8169"/>
    <cellStyle name="Calculation 4 4 4" xfId="8170"/>
    <cellStyle name="Calculation 4 4 4 2" xfId="8171"/>
    <cellStyle name="Calculation 4 4 5" xfId="8172"/>
    <cellStyle name="Calculation 4 40" xfId="8173"/>
    <cellStyle name="Calculation 4 40 2" xfId="8174"/>
    <cellStyle name="Calculation 4 41" xfId="8175"/>
    <cellStyle name="Calculation 4 41 2" xfId="8176"/>
    <cellStyle name="Calculation 4 42" xfId="8177"/>
    <cellStyle name="Calculation 4 42 2" xfId="8178"/>
    <cellStyle name="Calculation 4 43" xfId="8179"/>
    <cellStyle name="Calculation 4 43 2" xfId="8180"/>
    <cellStyle name="Calculation 4 44" xfId="8181"/>
    <cellStyle name="Calculation 4 44 2" xfId="8182"/>
    <cellStyle name="Calculation 4 45" xfId="8183"/>
    <cellStyle name="Calculation 4 45 2" xfId="8184"/>
    <cellStyle name="Calculation 4 46" xfId="8185"/>
    <cellStyle name="Calculation 4 46 2" xfId="8186"/>
    <cellStyle name="Calculation 4 47" xfId="8187"/>
    <cellStyle name="Calculation 4 47 2" xfId="8188"/>
    <cellStyle name="Calculation 4 48" xfId="8189"/>
    <cellStyle name="Calculation 4 48 2" xfId="8190"/>
    <cellStyle name="Calculation 4 49" xfId="8191"/>
    <cellStyle name="Calculation 4 49 2" xfId="8192"/>
    <cellStyle name="Calculation 4 5" xfId="8193"/>
    <cellStyle name="Calculation 4 5 2" xfId="8194"/>
    <cellStyle name="Calculation 4 5 2 2" xfId="8195"/>
    <cellStyle name="Calculation 4 5 3" xfId="8196"/>
    <cellStyle name="Calculation 4 5 3 2" xfId="8197"/>
    <cellStyle name="Calculation 4 5 4" xfId="8198"/>
    <cellStyle name="Calculation 4 5 4 2" xfId="8199"/>
    <cellStyle name="Calculation 4 5 5" xfId="8200"/>
    <cellStyle name="Calculation 4 50" xfId="8201"/>
    <cellStyle name="Calculation 4 50 2" xfId="8202"/>
    <cellStyle name="Calculation 4 51" xfId="8203"/>
    <cellStyle name="Calculation 4 51 2" xfId="8204"/>
    <cellStyle name="Calculation 4 52" xfId="8205"/>
    <cellStyle name="Calculation 4 52 2" xfId="8206"/>
    <cellStyle name="Calculation 4 53" xfId="8207"/>
    <cellStyle name="Calculation 4 53 2" xfId="8208"/>
    <cellStyle name="Calculation 4 54" xfId="8209"/>
    <cellStyle name="Calculation 4 54 2" xfId="8210"/>
    <cellStyle name="Calculation 4 55" xfId="8211"/>
    <cellStyle name="Calculation 4 55 2" xfId="8212"/>
    <cellStyle name="Calculation 4 56" xfId="8213"/>
    <cellStyle name="Calculation 4 56 2" xfId="8214"/>
    <cellStyle name="Calculation 4 57" xfId="8215"/>
    <cellStyle name="Calculation 4 6" xfId="8216"/>
    <cellStyle name="Calculation 4 6 2" xfId="8217"/>
    <cellStyle name="Calculation 4 6 2 2" xfId="8218"/>
    <cellStyle name="Calculation 4 6 3" xfId="8219"/>
    <cellStyle name="Calculation 4 6 3 2" xfId="8220"/>
    <cellStyle name="Calculation 4 6 4" xfId="8221"/>
    <cellStyle name="Calculation 4 6 4 2" xfId="8222"/>
    <cellStyle name="Calculation 4 6 5" xfId="8223"/>
    <cellStyle name="Calculation 4 7" xfId="8224"/>
    <cellStyle name="Calculation 4 7 2" xfId="8225"/>
    <cellStyle name="Calculation 4 7 2 2" xfId="8226"/>
    <cellStyle name="Calculation 4 7 3" xfId="8227"/>
    <cellStyle name="Calculation 4 7 3 2" xfId="8228"/>
    <cellStyle name="Calculation 4 7 4" xfId="8229"/>
    <cellStyle name="Calculation 4 7 4 2" xfId="8230"/>
    <cellStyle name="Calculation 4 7 5" xfId="8231"/>
    <cellStyle name="Calculation 4 8" xfId="8232"/>
    <cellStyle name="Calculation 4 8 2" xfId="8233"/>
    <cellStyle name="Calculation 4 8 2 2" xfId="8234"/>
    <cellStyle name="Calculation 4 8 3" xfId="8235"/>
    <cellStyle name="Calculation 4 8 3 2" xfId="8236"/>
    <cellStyle name="Calculation 4 8 4" xfId="8237"/>
    <cellStyle name="Calculation 4 8 4 2" xfId="8238"/>
    <cellStyle name="Calculation 4 8 5" xfId="8239"/>
    <cellStyle name="Calculation 4 9" xfId="8240"/>
    <cellStyle name="Calculation 4 9 2" xfId="8241"/>
    <cellStyle name="Calculation 4 9 2 2" xfId="8242"/>
    <cellStyle name="Calculation 4 9 3" xfId="8243"/>
    <cellStyle name="Calculation 4 9 3 2" xfId="8244"/>
    <cellStyle name="Calculation 4 9 4" xfId="8245"/>
    <cellStyle name="Calculation 4 9 4 2" xfId="8246"/>
    <cellStyle name="Calculation 4 9 5" xfId="8247"/>
    <cellStyle name="Calculation 40" xfId="8248"/>
    <cellStyle name="Calculation 40 2" xfId="8249"/>
    <cellStyle name="Calculation 41" xfId="8250"/>
    <cellStyle name="Calculation 41 2" xfId="8251"/>
    <cellStyle name="Calculation 42" xfId="8252"/>
    <cellStyle name="Calculation 42 2" xfId="8253"/>
    <cellStyle name="Calculation 43" xfId="8254"/>
    <cellStyle name="Calculation 43 2" xfId="8255"/>
    <cellStyle name="Calculation 44" xfId="8256"/>
    <cellStyle name="Calculation 44 2" xfId="8257"/>
    <cellStyle name="Calculation 45" xfId="8258"/>
    <cellStyle name="Calculation 45 2" xfId="8259"/>
    <cellStyle name="Calculation 46" xfId="8260"/>
    <cellStyle name="Calculation 46 2" xfId="8261"/>
    <cellStyle name="Calculation 47" xfId="8262"/>
    <cellStyle name="Calculation 47 2" xfId="8263"/>
    <cellStyle name="Calculation 48" xfId="8264"/>
    <cellStyle name="Calculation 48 2" xfId="8265"/>
    <cellStyle name="Calculation 49" xfId="8266"/>
    <cellStyle name="Calculation 49 2" xfId="8267"/>
    <cellStyle name="Calculation 5" xfId="8268"/>
    <cellStyle name="Calculation 5 10" xfId="8269"/>
    <cellStyle name="Calculation 5 10 2" xfId="8270"/>
    <cellStyle name="Calculation 5 11" xfId="8271"/>
    <cellStyle name="Calculation 5 11 2" xfId="8272"/>
    <cellStyle name="Calculation 5 12" xfId="8273"/>
    <cellStyle name="Calculation 5 12 2" xfId="8274"/>
    <cellStyle name="Calculation 5 13" xfId="8275"/>
    <cellStyle name="Calculation 5 13 2" xfId="8276"/>
    <cellStyle name="Calculation 5 14" xfId="8277"/>
    <cellStyle name="Calculation 5 14 2" xfId="8278"/>
    <cellStyle name="Calculation 5 15" xfId="8279"/>
    <cellStyle name="Calculation 5 15 2" xfId="8280"/>
    <cellStyle name="Calculation 5 16" xfId="8281"/>
    <cellStyle name="Calculation 5 16 2" xfId="8282"/>
    <cellStyle name="Calculation 5 17" xfId="8283"/>
    <cellStyle name="Calculation 5 17 2" xfId="8284"/>
    <cellStyle name="Calculation 5 18" xfId="8285"/>
    <cellStyle name="Calculation 5 18 2" xfId="8286"/>
    <cellStyle name="Calculation 5 19" xfId="8287"/>
    <cellStyle name="Calculation 5 19 2" xfId="8288"/>
    <cellStyle name="Calculation 5 2" xfId="8289"/>
    <cellStyle name="Calculation 5 2 2" xfId="8290"/>
    <cellStyle name="Calculation 5 2 3" xfId="8291"/>
    <cellStyle name="Calculation 5 20" xfId="8292"/>
    <cellStyle name="Calculation 5 20 2" xfId="8293"/>
    <cellStyle name="Calculation 5 21" xfId="8294"/>
    <cellStyle name="Calculation 5 21 2" xfId="8295"/>
    <cellStyle name="Calculation 5 22" xfId="8296"/>
    <cellStyle name="Calculation 5 22 2" xfId="8297"/>
    <cellStyle name="Calculation 5 23" xfId="8298"/>
    <cellStyle name="Calculation 5 23 2" xfId="8299"/>
    <cellStyle name="Calculation 5 24" xfId="8300"/>
    <cellStyle name="Calculation 5 24 2" xfId="8301"/>
    <cellStyle name="Calculation 5 25" xfId="8302"/>
    <cellStyle name="Calculation 5 25 2" xfId="8303"/>
    <cellStyle name="Calculation 5 26" xfId="8304"/>
    <cellStyle name="Calculation 5 26 2" xfId="8305"/>
    <cellStyle name="Calculation 5 27" xfId="8306"/>
    <cellStyle name="Calculation 5 27 2" xfId="8307"/>
    <cellStyle name="Calculation 5 28" xfId="8308"/>
    <cellStyle name="Calculation 5 28 2" xfId="8309"/>
    <cellStyle name="Calculation 5 29" xfId="8310"/>
    <cellStyle name="Calculation 5 29 2" xfId="8311"/>
    <cellStyle name="Calculation 5 3" xfId="8312"/>
    <cellStyle name="Calculation 5 3 2" xfId="8313"/>
    <cellStyle name="Calculation 5 3 3" xfId="8314"/>
    <cellStyle name="Calculation 5 30" xfId="8315"/>
    <cellStyle name="Calculation 5 30 2" xfId="8316"/>
    <cellStyle name="Calculation 5 31" xfId="8317"/>
    <cellStyle name="Calculation 5 4" xfId="8318"/>
    <cellStyle name="Calculation 5 4 2" xfId="8319"/>
    <cellStyle name="Calculation 5 5" xfId="8320"/>
    <cellStyle name="Calculation 5 5 2" xfId="8321"/>
    <cellStyle name="Calculation 5 6" xfId="8322"/>
    <cellStyle name="Calculation 5 6 2" xfId="8323"/>
    <cellStyle name="Calculation 5 7" xfId="8324"/>
    <cellStyle name="Calculation 5 7 2" xfId="8325"/>
    <cellStyle name="Calculation 5 8" xfId="8326"/>
    <cellStyle name="Calculation 5 8 2" xfId="8327"/>
    <cellStyle name="Calculation 5 9" xfId="8328"/>
    <cellStyle name="Calculation 5 9 2" xfId="8329"/>
    <cellStyle name="Calculation 50" xfId="8330"/>
    <cellStyle name="Calculation 50 2" xfId="8331"/>
    <cellStyle name="Calculation 51" xfId="8332"/>
    <cellStyle name="Calculation 51 2" xfId="8333"/>
    <cellStyle name="Calculation 52" xfId="8334"/>
    <cellStyle name="Calculation 52 2" xfId="8335"/>
    <cellStyle name="Calculation 53" xfId="8336"/>
    <cellStyle name="Calculation 53 2" xfId="8337"/>
    <cellStyle name="Calculation 54" xfId="8338"/>
    <cellStyle name="Calculation 54 2" xfId="8339"/>
    <cellStyle name="Calculation 55" xfId="8340"/>
    <cellStyle name="Calculation 55 2" xfId="8341"/>
    <cellStyle name="Calculation 56" xfId="8342"/>
    <cellStyle name="Calculation 56 2" xfId="8343"/>
    <cellStyle name="Calculation 57" xfId="8344"/>
    <cellStyle name="Calculation 57 2" xfId="8345"/>
    <cellStyle name="Calculation 58" xfId="8346"/>
    <cellStyle name="Calculation 58 2" xfId="8347"/>
    <cellStyle name="Calculation 59" xfId="8348"/>
    <cellStyle name="Calculation 59 2" xfId="8349"/>
    <cellStyle name="Calculation 6" xfId="8350"/>
    <cellStyle name="Calculation 6 2" xfId="8351"/>
    <cellStyle name="Calculation 6 2 2" xfId="8352"/>
    <cellStyle name="Calculation 6 3" xfId="8353"/>
    <cellStyle name="Calculation 6 3 2" xfId="8354"/>
    <cellStyle name="Calculation 6 4" xfId="8355"/>
    <cellStyle name="Calculation 6 4 2" xfId="8356"/>
    <cellStyle name="Calculation 6 5" xfId="8357"/>
    <cellStyle name="Calculation 60" xfId="8358"/>
    <cellStyle name="Calculation 60 2" xfId="8359"/>
    <cellStyle name="Calculation 61" xfId="8360"/>
    <cellStyle name="Calculation 61 2" xfId="8361"/>
    <cellStyle name="Calculation 62" xfId="8362"/>
    <cellStyle name="Calculation 63" xfId="8363"/>
    <cellStyle name="Calculation 64" xfId="8364"/>
    <cellStyle name="Calculation 65" xfId="8365"/>
    <cellStyle name="Calculation 66" xfId="8366"/>
    <cellStyle name="Calculation 67" xfId="8367"/>
    <cellStyle name="Calculation 68" xfId="8368"/>
    <cellStyle name="Calculation 68 2" xfId="8369"/>
    <cellStyle name="Calculation 69" xfId="8370"/>
    <cellStyle name="Calculation 69 2" xfId="8371"/>
    <cellStyle name="Calculation 7" xfId="8372"/>
    <cellStyle name="Calculation 7 10" xfId="8373"/>
    <cellStyle name="Calculation 7 11" xfId="8374"/>
    <cellStyle name="Calculation 7 12" xfId="8375"/>
    <cellStyle name="Calculation 7 13" xfId="8376"/>
    <cellStyle name="Calculation 7 2" xfId="8377"/>
    <cellStyle name="Calculation 7 2 2" xfId="8378"/>
    <cellStyle name="Calculation 7 2 3" xfId="8379"/>
    <cellStyle name="Calculation 7 3" xfId="8380"/>
    <cellStyle name="Calculation 7 3 2" xfId="8381"/>
    <cellStyle name="Calculation 7 4" xfId="8382"/>
    <cellStyle name="Calculation 7 4 2" xfId="8383"/>
    <cellStyle name="Calculation 7 5" xfId="8384"/>
    <cellStyle name="Calculation 7 5 2" xfId="8385"/>
    <cellStyle name="Calculation 7 5 3" xfId="8386"/>
    <cellStyle name="Calculation 7 5 4" xfId="8387"/>
    <cellStyle name="Calculation 7 5 5" xfId="8388"/>
    <cellStyle name="Calculation 7 5 6" xfId="8389"/>
    <cellStyle name="Calculation 7 6" xfId="8390"/>
    <cellStyle name="Calculation 7 6 2" xfId="8391"/>
    <cellStyle name="Calculation 7 7" xfId="8392"/>
    <cellStyle name="Calculation 7 7 2" xfId="8393"/>
    <cellStyle name="Calculation 7 8" xfId="8394"/>
    <cellStyle name="Calculation 7 8 2" xfId="8395"/>
    <cellStyle name="Calculation 7 9" xfId="8396"/>
    <cellStyle name="Calculation 7 9 2" xfId="8397"/>
    <cellStyle name="Calculation 70" xfId="8398"/>
    <cellStyle name="Calculation 70 2" xfId="8399"/>
    <cellStyle name="Calculation 71" xfId="8400"/>
    <cellStyle name="Calculation 72" xfId="8401"/>
    <cellStyle name="Calculation 73" xfId="8402"/>
    <cellStyle name="Calculation 74" xfId="8403"/>
    <cellStyle name="Calculation 75" xfId="8404"/>
    <cellStyle name="Calculation 76" xfId="8405"/>
    <cellStyle name="Calculation 77" xfId="8406"/>
    <cellStyle name="Calculation 78" xfId="8407"/>
    <cellStyle name="Calculation 79" xfId="8408"/>
    <cellStyle name="Calculation 8" xfId="8409"/>
    <cellStyle name="Calculation 8 10" xfId="8410"/>
    <cellStyle name="Calculation 8 11" xfId="8411"/>
    <cellStyle name="Calculation 8 12" xfId="8412"/>
    <cellStyle name="Calculation 8 13" xfId="8413"/>
    <cellStyle name="Calculation 8 2" xfId="8414"/>
    <cellStyle name="Calculation 8 2 2" xfId="8415"/>
    <cellStyle name="Calculation 8 2 3" xfId="8416"/>
    <cellStyle name="Calculation 8 3" xfId="8417"/>
    <cellStyle name="Calculation 8 3 2" xfId="8418"/>
    <cellStyle name="Calculation 8 4" xfId="8419"/>
    <cellStyle name="Calculation 8 4 2" xfId="8420"/>
    <cellStyle name="Calculation 8 5" xfId="8421"/>
    <cellStyle name="Calculation 8 5 2" xfId="8422"/>
    <cellStyle name="Calculation 8 5 3" xfId="8423"/>
    <cellStyle name="Calculation 8 5 4" xfId="8424"/>
    <cellStyle name="Calculation 8 5 5" xfId="8425"/>
    <cellStyle name="Calculation 8 5 6" xfId="8426"/>
    <cellStyle name="Calculation 8 6" xfId="8427"/>
    <cellStyle name="Calculation 8 6 2" xfId="8428"/>
    <cellStyle name="Calculation 8 7" xfId="8429"/>
    <cellStyle name="Calculation 8 7 2" xfId="8430"/>
    <cellStyle name="Calculation 8 8" xfId="8431"/>
    <cellStyle name="Calculation 8 8 2" xfId="8432"/>
    <cellStyle name="Calculation 8 9" xfId="8433"/>
    <cellStyle name="Calculation 8 9 2" xfId="8434"/>
    <cellStyle name="Calculation 80" xfId="8435"/>
    <cellStyle name="Calculation 81" xfId="8436"/>
    <cellStyle name="Calculation 82" xfId="8437"/>
    <cellStyle name="Calculation 83" xfId="8438"/>
    <cellStyle name="Calculation 84" xfId="8439"/>
    <cellStyle name="Calculation 85" xfId="8440"/>
    <cellStyle name="Calculation 85 2" xfId="8441"/>
    <cellStyle name="Calculation 86" xfId="8442"/>
    <cellStyle name="Calculation 86 2" xfId="8443"/>
    <cellStyle name="Calculation 87" xfId="8444"/>
    <cellStyle name="Calculation 88" xfId="8445"/>
    <cellStyle name="Calculation 9" xfId="8446"/>
    <cellStyle name="Calculation 9 10" xfId="8447"/>
    <cellStyle name="Calculation 9 11" xfId="8448"/>
    <cellStyle name="Calculation 9 12" xfId="8449"/>
    <cellStyle name="Calculation 9 13" xfId="8450"/>
    <cellStyle name="Calculation 9 2" xfId="8451"/>
    <cellStyle name="Calculation 9 2 2" xfId="8452"/>
    <cellStyle name="Calculation 9 2 3" xfId="8453"/>
    <cellStyle name="Calculation 9 3" xfId="8454"/>
    <cellStyle name="Calculation 9 3 2" xfId="8455"/>
    <cellStyle name="Calculation 9 4" xfId="8456"/>
    <cellStyle name="Calculation 9 4 2" xfId="8457"/>
    <cellStyle name="Calculation 9 5" xfId="8458"/>
    <cellStyle name="Calculation 9 5 2" xfId="8459"/>
    <cellStyle name="Calculation 9 5 3" xfId="8460"/>
    <cellStyle name="Calculation 9 5 4" xfId="8461"/>
    <cellStyle name="Calculation 9 5 5" xfId="8462"/>
    <cellStyle name="Calculation 9 5 6" xfId="8463"/>
    <cellStyle name="Calculation 9 6" xfId="8464"/>
    <cellStyle name="Calculation 9 6 2" xfId="8465"/>
    <cellStyle name="Calculation 9 7" xfId="8466"/>
    <cellStyle name="Calculation 9 7 2" xfId="8467"/>
    <cellStyle name="Calculation 9 8" xfId="8468"/>
    <cellStyle name="Calculation 9 8 2" xfId="8469"/>
    <cellStyle name="Calculation 9 9" xfId="8470"/>
    <cellStyle name="Calculation 9 9 2" xfId="8471"/>
    <cellStyle name="Check Cell 10" xfId="8472"/>
    <cellStyle name="Check Cell 10 2" xfId="8473"/>
    <cellStyle name="Check Cell 11" xfId="8474"/>
    <cellStyle name="Check Cell 12" xfId="8475"/>
    <cellStyle name="Check Cell 13" xfId="8476"/>
    <cellStyle name="Check Cell 14" xfId="8477"/>
    <cellStyle name="Check Cell 15" xfId="8478"/>
    <cellStyle name="Check Cell 16" xfId="8479"/>
    <cellStyle name="Check Cell 17" xfId="8480"/>
    <cellStyle name="Check Cell 18" xfId="8481"/>
    <cellStyle name="Check Cell 19" xfId="8482"/>
    <cellStyle name="Check Cell 2" xfId="8483"/>
    <cellStyle name="Check Cell 2 2" xfId="8484"/>
    <cellStyle name="Check Cell 2 3" xfId="8485"/>
    <cellStyle name="Check Cell 2 4" xfId="8486"/>
    <cellStyle name="Check Cell 2 5" xfId="8487"/>
    <cellStyle name="Check Cell 2 6" xfId="8488"/>
    <cellStyle name="Check Cell 2 7" xfId="8489"/>
    <cellStyle name="Check Cell 2 8" xfId="8490"/>
    <cellStyle name="Check Cell 20" xfId="8491"/>
    <cellStyle name="Check Cell 21" xfId="8492"/>
    <cellStyle name="Check Cell 22" xfId="8493"/>
    <cellStyle name="Check Cell 23" xfId="8494"/>
    <cellStyle name="Check Cell 24" xfId="8495"/>
    <cellStyle name="Check Cell 25" xfId="8496"/>
    <cellStyle name="Check Cell 26" xfId="8497"/>
    <cellStyle name="Check Cell 27" xfId="8498"/>
    <cellStyle name="Check Cell 28" xfId="8499"/>
    <cellStyle name="Check Cell 29" xfId="8500"/>
    <cellStyle name="Check Cell 3" xfId="8501"/>
    <cellStyle name="Check Cell 30" xfId="8502"/>
    <cellStyle name="Check Cell 31" xfId="8503"/>
    <cellStyle name="Check Cell 32" xfId="8504"/>
    <cellStyle name="Check Cell 33" xfId="8505"/>
    <cellStyle name="Check Cell 34" xfId="8506"/>
    <cellStyle name="Check Cell 35" xfId="8507"/>
    <cellStyle name="Check Cell 36" xfId="8508"/>
    <cellStyle name="Check Cell 37" xfId="8509"/>
    <cellStyle name="Check Cell 38" xfId="8510"/>
    <cellStyle name="Check Cell 39" xfId="8511"/>
    <cellStyle name="Check Cell 4" xfId="8512"/>
    <cellStyle name="Check Cell 4 2" xfId="8513"/>
    <cellStyle name="Check Cell 4 3" xfId="8514"/>
    <cellStyle name="Check Cell 4 4" xfId="8515"/>
    <cellStyle name="Check Cell 5" xfId="8516"/>
    <cellStyle name="Check Cell 5 10" xfId="8517"/>
    <cellStyle name="Check Cell 5 11" xfId="8518"/>
    <cellStyle name="Check Cell 5 2" xfId="8519"/>
    <cellStyle name="Check Cell 5 2 2" xfId="8520"/>
    <cellStyle name="Check Cell 5 2 3" xfId="8521"/>
    <cellStyle name="Check Cell 5 2 4" xfId="8522"/>
    <cellStyle name="Check Cell 5 2 5" xfId="8523"/>
    <cellStyle name="Check Cell 5 2 6" xfId="8524"/>
    <cellStyle name="Check Cell 5 3" xfId="8525"/>
    <cellStyle name="Check Cell 5 4" xfId="8526"/>
    <cellStyle name="Check Cell 5 5" xfId="8527"/>
    <cellStyle name="Check Cell 5 6" xfId="8528"/>
    <cellStyle name="Check Cell 5 7" xfId="8529"/>
    <cellStyle name="Check Cell 5 8" xfId="8530"/>
    <cellStyle name="Check Cell 5 9" xfId="8531"/>
    <cellStyle name="Check Cell 6" xfId="8532"/>
    <cellStyle name="Check Cell 6 2" xfId="8533"/>
    <cellStyle name="Check Cell 6 2 2" xfId="8534"/>
    <cellStyle name="Check Cell 6 2 3" xfId="8535"/>
    <cellStyle name="Check Cell 6 2 4" xfId="8536"/>
    <cellStyle name="Check Cell 6 2 5" xfId="8537"/>
    <cellStyle name="Check Cell 6 2 6" xfId="8538"/>
    <cellStyle name="Check Cell 6 3" xfId="8539"/>
    <cellStyle name="Check Cell 6 4" xfId="8540"/>
    <cellStyle name="Check Cell 6 5" xfId="8541"/>
    <cellStyle name="Check Cell 6 6" xfId="8542"/>
    <cellStyle name="Check Cell 6 7" xfId="8543"/>
    <cellStyle name="Check Cell 6 8" xfId="8544"/>
    <cellStyle name="Check Cell 6 9" xfId="8545"/>
    <cellStyle name="Check Cell 7" xfId="8546"/>
    <cellStyle name="Check Cell 7 2" xfId="8547"/>
    <cellStyle name="Check Cell 7 3" xfId="8548"/>
    <cellStyle name="Check Cell 7 4" xfId="8549"/>
    <cellStyle name="Check Cell 8" xfId="8550"/>
    <cellStyle name="Check Cell 8 2" xfId="8551"/>
    <cellStyle name="Check Cell 8 3" xfId="8552"/>
    <cellStyle name="Check Cell 8 4" xfId="8553"/>
    <cellStyle name="Check Cell 9" xfId="8554"/>
    <cellStyle name="Check Cell 9 2" xfId="8555"/>
    <cellStyle name="Check Cell 9 3" xfId="8556"/>
    <cellStyle name="Comma 2" xfId="8557"/>
    <cellStyle name="Comma 2 2" xfId="8558"/>
    <cellStyle name="Comma 2 2 2" xfId="8559"/>
    <cellStyle name="Comma 2 3" xfId="8560"/>
    <cellStyle name="Comma 2 4" xfId="8561"/>
    <cellStyle name="Comma 2 5" xfId="8562"/>
    <cellStyle name="Comma 2 6" xfId="8563"/>
    <cellStyle name="Comma 2 7" xfId="8564"/>
    <cellStyle name="Comma 2 8" xfId="8565"/>
    <cellStyle name="Comma 3" xfId="8566"/>
    <cellStyle name="Currency 2" xfId="8567"/>
    <cellStyle name="Currency 2 2" xfId="8568"/>
    <cellStyle name="Explanatory Text 10" xfId="8569"/>
    <cellStyle name="Explanatory Text 10 2" xfId="8570"/>
    <cellStyle name="Explanatory Text 11" xfId="8571"/>
    <cellStyle name="Explanatory Text 12" xfId="8572"/>
    <cellStyle name="Explanatory Text 13" xfId="8573"/>
    <cellStyle name="Explanatory Text 14" xfId="8574"/>
    <cellStyle name="Explanatory Text 15" xfId="8575"/>
    <cellStyle name="Explanatory Text 16" xfId="8576"/>
    <cellStyle name="Explanatory Text 17" xfId="8577"/>
    <cellStyle name="Explanatory Text 18" xfId="8578"/>
    <cellStyle name="Explanatory Text 19" xfId="8579"/>
    <cellStyle name="Explanatory Text 2" xfId="8580"/>
    <cellStyle name="Explanatory Text 2 2" xfId="8581"/>
    <cellStyle name="Explanatory Text 2 3" xfId="8582"/>
    <cellStyle name="Explanatory Text 2 4" xfId="8583"/>
    <cellStyle name="Explanatory Text 2 5" xfId="8584"/>
    <cellStyle name="Explanatory Text 2 6" xfId="8585"/>
    <cellStyle name="Explanatory Text 2 7" xfId="8586"/>
    <cellStyle name="Explanatory Text 2 8" xfId="8587"/>
    <cellStyle name="Explanatory Text 20" xfId="8588"/>
    <cellStyle name="Explanatory Text 21" xfId="8589"/>
    <cellStyle name="Explanatory Text 22" xfId="8590"/>
    <cellStyle name="Explanatory Text 23" xfId="8591"/>
    <cellStyle name="Explanatory Text 24" xfId="8592"/>
    <cellStyle name="Explanatory Text 25" xfId="8593"/>
    <cellStyle name="Explanatory Text 26" xfId="8594"/>
    <cellStyle name="Explanatory Text 27" xfId="8595"/>
    <cellStyle name="Explanatory Text 28" xfId="8596"/>
    <cellStyle name="Explanatory Text 29" xfId="8597"/>
    <cellStyle name="Explanatory Text 3" xfId="8598"/>
    <cellStyle name="Explanatory Text 30" xfId="8599"/>
    <cellStyle name="Explanatory Text 31" xfId="8600"/>
    <cellStyle name="Explanatory Text 32" xfId="8601"/>
    <cellStyle name="Explanatory Text 33" xfId="8602"/>
    <cellStyle name="Explanatory Text 34" xfId="8603"/>
    <cellStyle name="Explanatory Text 35" xfId="8604"/>
    <cellStyle name="Explanatory Text 36" xfId="8605"/>
    <cellStyle name="Explanatory Text 37" xfId="8606"/>
    <cellStyle name="Explanatory Text 38" xfId="8607"/>
    <cellStyle name="Explanatory Text 4" xfId="8608"/>
    <cellStyle name="Explanatory Text 4 2" xfId="8609"/>
    <cellStyle name="Explanatory Text 4 3" xfId="8610"/>
    <cellStyle name="Explanatory Text 4 4" xfId="8611"/>
    <cellStyle name="Explanatory Text 5" xfId="8612"/>
    <cellStyle name="Explanatory Text 5 10" xfId="8613"/>
    <cellStyle name="Explanatory Text 5 11" xfId="8614"/>
    <cellStyle name="Explanatory Text 5 2" xfId="8615"/>
    <cellStyle name="Explanatory Text 5 2 2" xfId="8616"/>
    <cellStyle name="Explanatory Text 5 2 3" xfId="8617"/>
    <cellStyle name="Explanatory Text 5 2 4" xfId="8618"/>
    <cellStyle name="Explanatory Text 5 2 5" xfId="8619"/>
    <cellStyle name="Explanatory Text 5 2 6" xfId="8620"/>
    <cellStyle name="Explanatory Text 5 3" xfId="8621"/>
    <cellStyle name="Explanatory Text 5 4" xfId="8622"/>
    <cellStyle name="Explanatory Text 5 5" xfId="8623"/>
    <cellStyle name="Explanatory Text 5 6" xfId="8624"/>
    <cellStyle name="Explanatory Text 5 7" xfId="8625"/>
    <cellStyle name="Explanatory Text 5 8" xfId="8626"/>
    <cellStyle name="Explanatory Text 5 9" xfId="8627"/>
    <cellStyle name="Explanatory Text 6" xfId="8628"/>
    <cellStyle name="Explanatory Text 6 2" xfId="8629"/>
    <cellStyle name="Explanatory Text 6 2 2" xfId="8630"/>
    <cellStyle name="Explanatory Text 6 2 3" xfId="8631"/>
    <cellStyle name="Explanatory Text 6 2 4" xfId="8632"/>
    <cellStyle name="Explanatory Text 6 2 5" xfId="8633"/>
    <cellStyle name="Explanatory Text 6 2 6" xfId="8634"/>
    <cellStyle name="Explanatory Text 6 3" xfId="8635"/>
    <cellStyle name="Explanatory Text 6 4" xfId="8636"/>
    <cellStyle name="Explanatory Text 6 5" xfId="8637"/>
    <cellStyle name="Explanatory Text 6 6" xfId="8638"/>
    <cellStyle name="Explanatory Text 6 7" xfId="8639"/>
    <cellStyle name="Explanatory Text 6 8" xfId="8640"/>
    <cellStyle name="Explanatory Text 6 9" xfId="8641"/>
    <cellStyle name="Explanatory Text 7" xfId="8642"/>
    <cellStyle name="Explanatory Text 7 2" xfId="8643"/>
    <cellStyle name="Explanatory Text 7 3" xfId="8644"/>
    <cellStyle name="Explanatory Text 7 4" xfId="8645"/>
    <cellStyle name="Explanatory Text 8" xfId="8646"/>
    <cellStyle name="Explanatory Text 8 2" xfId="8647"/>
    <cellStyle name="Explanatory Text 8 3" xfId="8648"/>
    <cellStyle name="Explanatory Text 8 4" xfId="8649"/>
    <cellStyle name="Explanatory Text 9" xfId="8650"/>
    <cellStyle name="Explanatory Text 9 2" xfId="8651"/>
    <cellStyle name="Explanatory Text 9 3" xfId="8652"/>
    <cellStyle name="Good 10" xfId="8653"/>
    <cellStyle name="Good 10 2" xfId="8654"/>
    <cellStyle name="Good 11" xfId="8655"/>
    <cellStyle name="Good 12" xfId="8656"/>
    <cellStyle name="Good 13" xfId="8657"/>
    <cellStyle name="Good 14" xfId="8658"/>
    <cellStyle name="Good 15" xfId="8659"/>
    <cellStyle name="Good 16" xfId="8660"/>
    <cellStyle name="Good 17" xfId="8661"/>
    <cellStyle name="Good 18" xfId="8662"/>
    <cellStyle name="Good 19" xfId="8663"/>
    <cellStyle name="Good 2" xfId="8664"/>
    <cellStyle name="Good 2 2" xfId="8665"/>
    <cellStyle name="Good 2 3" xfId="8666"/>
    <cellStyle name="Good 2 4" xfId="8667"/>
    <cellStyle name="Good 2 5" xfId="8668"/>
    <cellStyle name="Good 2 6" xfId="8669"/>
    <cellStyle name="Good 2 7" xfId="8670"/>
    <cellStyle name="Good 2 8" xfId="8671"/>
    <cellStyle name="Good 20" xfId="8672"/>
    <cellStyle name="Good 21" xfId="8673"/>
    <cellStyle name="Good 22" xfId="8674"/>
    <cellStyle name="Good 23" xfId="8675"/>
    <cellStyle name="Good 24" xfId="8676"/>
    <cellStyle name="Good 25" xfId="8677"/>
    <cellStyle name="Good 26" xfId="8678"/>
    <cellStyle name="Good 27" xfId="8679"/>
    <cellStyle name="Good 28" xfId="8680"/>
    <cellStyle name="Good 29" xfId="8681"/>
    <cellStyle name="Good 3" xfId="8682"/>
    <cellStyle name="Good 30" xfId="8683"/>
    <cellStyle name="Good 31" xfId="8684"/>
    <cellStyle name="Good 32" xfId="8685"/>
    <cellStyle name="Good 33" xfId="8686"/>
    <cellStyle name="Good 34" xfId="8687"/>
    <cellStyle name="Good 35" xfId="8688"/>
    <cellStyle name="Good 36" xfId="8689"/>
    <cellStyle name="Good 37" xfId="8690"/>
    <cellStyle name="Good 38" xfId="8691"/>
    <cellStyle name="Good 39" xfId="8692"/>
    <cellStyle name="Good 4" xfId="8693"/>
    <cellStyle name="Good 4 2" xfId="8694"/>
    <cellStyle name="Good 4 3" xfId="8695"/>
    <cellStyle name="Good 4 4" xfId="8696"/>
    <cellStyle name="Good 5" xfId="8697"/>
    <cellStyle name="Good 5 10" xfId="8698"/>
    <cellStyle name="Good 5 11" xfId="8699"/>
    <cellStyle name="Good 5 2" xfId="8700"/>
    <cellStyle name="Good 5 2 2" xfId="8701"/>
    <cellStyle name="Good 5 2 3" xfId="8702"/>
    <cellStyle name="Good 5 2 4" xfId="8703"/>
    <cellStyle name="Good 5 2 5" xfId="8704"/>
    <cellStyle name="Good 5 2 6" xfId="8705"/>
    <cellStyle name="Good 5 3" xfId="8706"/>
    <cellStyle name="Good 5 4" xfId="8707"/>
    <cellStyle name="Good 5 5" xfId="8708"/>
    <cellStyle name="Good 5 6" xfId="8709"/>
    <cellStyle name="Good 5 7" xfId="8710"/>
    <cellStyle name="Good 5 8" xfId="8711"/>
    <cellStyle name="Good 5 9" xfId="8712"/>
    <cellStyle name="Good 6" xfId="8713"/>
    <cellStyle name="Good 6 2" xfId="8714"/>
    <cellStyle name="Good 6 2 2" xfId="8715"/>
    <cellStyle name="Good 6 2 3" xfId="8716"/>
    <cellStyle name="Good 6 2 4" xfId="8717"/>
    <cellStyle name="Good 6 2 5" xfId="8718"/>
    <cellStyle name="Good 6 2 6" xfId="8719"/>
    <cellStyle name="Good 6 3" xfId="8720"/>
    <cellStyle name="Good 6 4" xfId="8721"/>
    <cellStyle name="Good 6 5" xfId="8722"/>
    <cellStyle name="Good 6 6" xfId="8723"/>
    <cellStyle name="Good 6 7" xfId="8724"/>
    <cellStyle name="Good 6 8" xfId="8725"/>
    <cellStyle name="Good 6 9" xfId="8726"/>
    <cellStyle name="Good 7" xfId="8727"/>
    <cellStyle name="Good 7 2" xfId="8728"/>
    <cellStyle name="Good 7 3" xfId="8729"/>
    <cellStyle name="Good 7 4" xfId="8730"/>
    <cellStyle name="Good 8" xfId="8731"/>
    <cellStyle name="Good 8 2" xfId="8732"/>
    <cellStyle name="Good 8 3" xfId="8733"/>
    <cellStyle name="Good 8 4" xfId="8734"/>
    <cellStyle name="Good 9" xfId="8735"/>
    <cellStyle name="Good 9 2" xfId="8736"/>
    <cellStyle name="Good 9 3" xfId="8737"/>
    <cellStyle name="Heading 1 10" xfId="8738"/>
    <cellStyle name="Heading 1 10 2" xfId="8739"/>
    <cellStyle name="Heading 1 11" xfId="8740"/>
    <cellStyle name="Heading 1 12" xfId="8741"/>
    <cellStyle name="Heading 1 13" xfId="8742"/>
    <cellStyle name="Heading 1 14" xfId="8743"/>
    <cellStyle name="Heading 1 15" xfId="8744"/>
    <cellStyle name="Heading 1 16" xfId="8745"/>
    <cellStyle name="Heading 1 17" xfId="8746"/>
    <cellStyle name="Heading 1 18" xfId="8747"/>
    <cellStyle name="Heading 1 19" xfId="8748"/>
    <cellStyle name="Heading 1 2" xfId="8749"/>
    <cellStyle name="Heading 1 2 2" xfId="8750"/>
    <cellStyle name="Heading 1 2 3" xfId="8751"/>
    <cellStyle name="Heading 1 2 4" xfId="8752"/>
    <cellStyle name="Heading 1 2 5" xfId="8753"/>
    <cellStyle name="Heading 1 2 6" xfId="8754"/>
    <cellStyle name="Heading 1 2 7" xfId="8755"/>
    <cellStyle name="Heading 1 2 8" xfId="8756"/>
    <cellStyle name="Heading 1 20" xfId="8757"/>
    <cellStyle name="Heading 1 21" xfId="8758"/>
    <cellStyle name="Heading 1 22" xfId="8759"/>
    <cellStyle name="Heading 1 23" xfId="8760"/>
    <cellStyle name="Heading 1 24" xfId="8761"/>
    <cellStyle name="Heading 1 25" xfId="8762"/>
    <cellStyle name="Heading 1 26" xfId="8763"/>
    <cellStyle name="Heading 1 27" xfId="8764"/>
    <cellStyle name="Heading 1 28" xfId="8765"/>
    <cellStyle name="Heading 1 29" xfId="8766"/>
    <cellStyle name="Heading 1 3" xfId="8767"/>
    <cellStyle name="Heading 1 30" xfId="8768"/>
    <cellStyle name="Heading 1 31" xfId="8769"/>
    <cellStyle name="Heading 1 32" xfId="8770"/>
    <cellStyle name="Heading 1 33" xfId="8771"/>
    <cellStyle name="Heading 1 34" xfId="8772"/>
    <cellStyle name="Heading 1 35" xfId="8773"/>
    <cellStyle name="Heading 1 36" xfId="8774"/>
    <cellStyle name="Heading 1 37" xfId="8775"/>
    <cellStyle name="Heading 1 38" xfId="8776"/>
    <cellStyle name="Heading 1 4" xfId="8777"/>
    <cellStyle name="Heading 1 4 2" xfId="8778"/>
    <cellStyle name="Heading 1 4 3" xfId="8779"/>
    <cellStyle name="Heading 1 4 4" xfId="8780"/>
    <cellStyle name="Heading 1 5" xfId="8781"/>
    <cellStyle name="Heading 1 5 10" xfId="8782"/>
    <cellStyle name="Heading 1 5 11" xfId="8783"/>
    <cellStyle name="Heading 1 5 2" xfId="8784"/>
    <cellStyle name="Heading 1 5 2 2" xfId="8785"/>
    <cellStyle name="Heading 1 5 2 3" xfId="8786"/>
    <cellStyle name="Heading 1 5 2 4" xfId="8787"/>
    <cellStyle name="Heading 1 5 2 5" xfId="8788"/>
    <cellStyle name="Heading 1 5 2 6" xfId="8789"/>
    <cellStyle name="Heading 1 5 3" xfId="8790"/>
    <cellStyle name="Heading 1 5 4" xfId="8791"/>
    <cellStyle name="Heading 1 5 5" xfId="8792"/>
    <cellStyle name="Heading 1 5 6" xfId="8793"/>
    <cellStyle name="Heading 1 5 7" xfId="8794"/>
    <cellStyle name="Heading 1 5 8" xfId="8795"/>
    <cellStyle name="Heading 1 5 9" xfId="8796"/>
    <cellStyle name="Heading 1 6" xfId="8797"/>
    <cellStyle name="Heading 1 6 2" xfId="8798"/>
    <cellStyle name="Heading 1 6 2 2" xfId="8799"/>
    <cellStyle name="Heading 1 6 2 3" xfId="8800"/>
    <cellStyle name="Heading 1 6 2 4" xfId="8801"/>
    <cellStyle name="Heading 1 6 2 5" xfId="8802"/>
    <cellStyle name="Heading 1 6 2 6" xfId="8803"/>
    <cellStyle name="Heading 1 6 3" xfId="8804"/>
    <cellStyle name="Heading 1 6 4" xfId="8805"/>
    <cellStyle name="Heading 1 6 5" xfId="8806"/>
    <cellStyle name="Heading 1 6 6" xfId="8807"/>
    <cellStyle name="Heading 1 6 7" xfId="8808"/>
    <cellStyle name="Heading 1 6 8" xfId="8809"/>
    <cellStyle name="Heading 1 6 9" xfId="8810"/>
    <cellStyle name="Heading 1 7" xfId="8811"/>
    <cellStyle name="Heading 1 7 2" xfId="8812"/>
    <cellStyle name="Heading 1 7 3" xfId="8813"/>
    <cellStyle name="Heading 1 7 4" xfId="8814"/>
    <cellStyle name="Heading 1 8" xfId="8815"/>
    <cellStyle name="Heading 1 8 2" xfId="8816"/>
    <cellStyle name="Heading 1 8 3" xfId="8817"/>
    <cellStyle name="Heading 1 8 4" xfId="8818"/>
    <cellStyle name="Heading 1 9" xfId="8819"/>
    <cellStyle name="Heading 1 9 2" xfId="8820"/>
    <cellStyle name="Heading 1 9 3" xfId="8821"/>
    <cellStyle name="Heading 2 10" xfId="8822"/>
    <cellStyle name="Heading 2 10 2" xfId="8823"/>
    <cellStyle name="Heading 2 11" xfId="8824"/>
    <cellStyle name="Heading 2 12" xfId="8825"/>
    <cellStyle name="Heading 2 13" xfId="8826"/>
    <cellStyle name="Heading 2 14" xfId="8827"/>
    <cellStyle name="Heading 2 15" xfId="8828"/>
    <cellStyle name="Heading 2 16" xfId="8829"/>
    <cellStyle name="Heading 2 17" xfId="8830"/>
    <cellStyle name="Heading 2 18" xfId="8831"/>
    <cellStyle name="Heading 2 19" xfId="8832"/>
    <cellStyle name="Heading 2 2" xfId="8833"/>
    <cellStyle name="Heading 2 2 2" xfId="8834"/>
    <cellStyle name="Heading 2 2 3" xfId="8835"/>
    <cellStyle name="Heading 2 2 4" xfId="8836"/>
    <cellStyle name="Heading 2 2 5" xfId="8837"/>
    <cellStyle name="Heading 2 2 6" xfId="8838"/>
    <cellStyle name="Heading 2 2 7" xfId="8839"/>
    <cellStyle name="Heading 2 2 8" xfId="8840"/>
    <cellStyle name="Heading 2 20" xfId="8841"/>
    <cellStyle name="Heading 2 21" xfId="8842"/>
    <cellStyle name="Heading 2 22" xfId="8843"/>
    <cellStyle name="Heading 2 23" xfId="8844"/>
    <cellStyle name="Heading 2 24" xfId="8845"/>
    <cellStyle name="Heading 2 25" xfId="8846"/>
    <cellStyle name="Heading 2 26" xfId="8847"/>
    <cellStyle name="Heading 2 27" xfId="8848"/>
    <cellStyle name="Heading 2 28" xfId="8849"/>
    <cellStyle name="Heading 2 29" xfId="8850"/>
    <cellStyle name="Heading 2 3" xfId="8851"/>
    <cellStyle name="Heading 2 30" xfId="8852"/>
    <cellStyle name="Heading 2 31" xfId="8853"/>
    <cellStyle name="Heading 2 32" xfId="8854"/>
    <cellStyle name="Heading 2 33" xfId="8855"/>
    <cellStyle name="Heading 2 34" xfId="8856"/>
    <cellStyle name="Heading 2 35" xfId="8857"/>
    <cellStyle name="Heading 2 36" xfId="8858"/>
    <cellStyle name="Heading 2 37" xfId="8859"/>
    <cellStyle name="Heading 2 38" xfId="8860"/>
    <cellStyle name="Heading 2 4" xfId="8861"/>
    <cellStyle name="Heading 2 4 2" xfId="8862"/>
    <cellStyle name="Heading 2 4 3" xfId="8863"/>
    <cellStyle name="Heading 2 4 4" xfId="8864"/>
    <cellStyle name="Heading 2 5" xfId="8865"/>
    <cellStyle name="Heading 2 5 10" xfId="8866"/>
    <cellStyle name="Heading 2 5 11" xfId="8867"/>
    <cellStyle name="Heading 2 5 2" xfId="8868"/>
    <cellStyle name="Heading 2 5 2 2" xfId="8869"/>
    <cellStyle name="Heading 2 5 2 3" xfId="8870"/>
    <cellStyle name="Heading 2 5 2 4" xfId="8871"/>
    <cellStyle name="Heading 2 5 2 5" xfId="8872"/>
    <cellStyle name="Heading 2 5 2 6" xfId="8873"/>
    <cellStyle name="Heading 2 5 3" xfId="8874"/>
    <cellStyle name="Heading 2 5 4" xfId="8875"/>
    <cellStyle name="Heading 2 5 5" xfId="8876"/>
    <cellStyle name="Heading 2 5 6" xfId="8877"/>
    <cellStyle name="Heading 2 5 7" xfId="8878"/>
    <cellStyle name="Heading 2 5 8" xfId="8879"/>
    <cellStyle name="Heading 2 5 9" xfId="8880"/>
    <cellStyle name="Heading 2 6" xfId="8881"/>
    <cellStyle name="Heading 2 6 2" xfId="8882"/>
    <cellStyle name="Heading 2 6 2 2" xfId="8883"/>
    <cellStyle name="Heading 2 6 2 3" xfId="8884"/>
    <cellStyle name="Heading 2 6 2 4" xfId="8885"/>
    <cellStyle name="Heading 2 6 2 5" xfId="8886"/>
    <cellStyle name="Heading 2 6 2 6" xfId="8887"/>
    <cellStyle name="Heading 2 6 3" xfId="8888"/>
    <cellStyle name="Heading 2 6 4" xfId="8889"/>
    <cellStyle name="Heading 2 6 5" xfId="8890"/>
    <cellStyle name="Heading 2 6 6" xfId="8891"/>
    <cellStyle name="Heading 2 6 7" xfId="8892"/>
    <cellStyle name="Heading 2 6 8" xfId="8893"/>
    <cellStyle name="Heading 2 6 9" xfId="8894"/>
    <cellStyle name="Heading 2 7" xfId="8895"/>
    <cellStyle name="Heading 2 7 2" xfId="8896"/>
    <cellStyle name="Heading 2 7 3" xfId="8897"/>
    <cellStyle name="Heading 2 7 4" xfId="8898"/>
    <cellStyle name="Heading 2 8" xfId="8899"/>
    <cellStyle name="Heading 2 8 2" xfId="8900"/>
    <cellStyle name="Heading 2 8 3" xfId="8901"/>
    <cellStyle name="Heading 2 8 4" xfId="8902"/>
    <cellStyle name="Heading 2 9" xfId="8903"/>
    <cellStyle name="Heading 2 9 2" xfId="8904"/>
    <cellStyle name="Heading 2 9 3" xfId="8905"/>
    <cellStyle name="Heading 3 10" xfId="8906"/>
    <cellStyle name="Heading 3 10 2" xfId="8907"/>
    <cellStyle name="Heading 3 11" xfId="8908"/>
    <cellStyle name="Heading 3 12" xfId="8909"/>
    <cellStyle name="Heading 3 13" xfId="8910"/>
    <cellStyle name="Heading 3 14" xfId="8911"/>
    <cellStyle name="Heading 3 15" xfId="8912"/>
    <cellStyle name="Heading 3 16" xfId="8913"/>
    <cellStyle name="Heading 3 17" xfId="8914"/>
    <cellStyle name="Heading 3 18" xfId="8915"/>
    <cellStyle name="Heading 3 19" xfId="8916"/>
    <cellStyle name="Heading 3 2" xfId="8917"/>
    <cellStyle name="Heading 3 2 2" xfId="8918"/>
    <cellStyle name="Heading 3 2 3" xfId="8919"/>
    <cellStyle name="Heading 3 2 4" xfId="8920"/>
    <cellStyle name="Heading 3 2 5" xfId="8921"/>
    <cellStyle name="Heading 3 2 6" xfId="8922"/>
    <cellStyle name="Heading 3 2 7" xfId="8923"/>
    <cellStyle name="Heading 3 2 8" xfId="8924"/>
    <cellStyle name="Heading 3 20" xfId="8925"/>
    <cellStyle name="Heading 3 21" xfId="8926"/>
    <cellStyle name="Heading 3 22" xfId="8927"/>
    <cellStyle name="Heading 3 23" xfId="8928"/>
    <cellStyle name="Heading 3 24" xfId="8929"/>
    <cellStyle name="Heading 3 25" xfId="8930"/>
    <cellStyle name="Heading 3 26" xfId="8931"/>
    <cellStyle name="Heading 3 27" xfId="8932"/>
    <cellStyle name="Heading 3 28" xfId="8933"/>
    <cellStyle name="Heading 3 29" xfId="8934"/>
    <cellStyle name="Heading 3 3" xfId="8935"/>
    <cellStyle name="Heading 3 30" xfId="8936"/>
    <cellStyle name="Heading 3 31" xfId="8937"/>
    <cellStyle name="Heading 3 32" xfId="8938"/>
    <cellStyle name="Heading 3 33" xfId="8939"/>
    <cellStyle name="Heading 3 34" xfId="8940"/>
    <cellStyle name="Heading 3 35" xfId="8941"/>
    <cellStyle name="Heading 3 36" xfId="8942"/>
    <cellStyle name="Heading 3 37" xfId="8943"/>
    <cellStyle name="Heading 3 38" xfId="8944"/>
    <cellStyle name="Heading 3 39" xfId="8945"/>
    <cellStyle name="Heading 3 4" xfId="8946"/>
    <cellStyle name="Heading 3 4 2" xfId="8947"/>
    <cellStyle name="Heading 3 4 3" xfId="8948"/>
    <cellStyle name="Heading 3 4 4" xfId="8949"/>
    <cellStyle name="Heading 3 5" xfId="8950"/>
    <cellStyle name="Heading 3 5 10" xfId="8951"/>
    <cellStyle name="Heading 3 5 11" xfId="8952"/>
    <cellStyle name="Heading 3 5 2" xfId="8953"/>
    <cellStyle name="Heading 3 5 2 2" xfId="8954"/>
    <cellStyle name="Heading 3 5 2 3" xfId="8955"/>
    <cellStyle name="Heading 3 5 2 4" xfId="8956"/>
    <cellStyle name="Heading 3 5 2 5" xfId="8957"/>
    <cellStyle name="Heading 3 5 2 6" xfId="8958"/>
    <cellStyle name="Heading 3 5 3" xfId="8959"/>
    <cellStyle name="Heading 3 5 4" xfId="8960"/>
    <cellStyle name="Heading 3 5 5" xfId="8961"/>
    <cellStyle name="Heading 3 5 6" xfId="8962"/>
    <cellStyle name="Heading 3 5 7" xfId="8963"/>
    <cellStyle name="Heading 3 5 8" xfId="8964"/>
    <cellStyle name="Heading 3 5 9" xfId="8965"/>
    <cellStyle name="Heading 3 6" xfId="8966"/>
    <cellStyle name="Heading 3 6 2" xfId="8967"/>
    <cellStyle name="Heading 3 6 2 2" xfId="8968"/>
    <cellStyle name="Heading 3 6 2 3" xfId="8969"/>
    <cellStyle name="Heading 3 6 2 4" xfId="8970"/>
    <cellStyle name="Heading 3 6 2 5" xfId="8971"/>
    <cellStyle name="Heading 3 6 2 6" xfId="8972"/>
    <cellStyle name="Heading 3 6 3" xfId="8973"/>
    <cellStyle name="Heading 3 6 4" xfId="8974"/>
    <cellStyle name="Heading 3 6 5" xfId="8975"/>
    <cellStyle name="Heading 3 6 6" xfId="8976"/>
    <cellStyle name="Heading 3 6 7" xfId="8977"/>
    <cellStyle name="Heading 3 6 8" xfId="8978"/>
    <cellStyle name="Heading 3 6 9" xfId="8979"/>
    <cellStyle name="Heading 3 7" xfId="8980"/>
    <cellStyle name="Heading 3 7 2" xfId="8981"/>
    <cellStyle name="Heading 3 7 3" xfId="8982"/>
    <cellStyle name="Heading 3 7 4" xfId="8983"/>
    <cellStyle name="Heading 3 8" xfId="8984"/>
    <cellStyle name="Heading 3 8 2" xfId="8985"/>
    <cellStyle name="Heading 3 8 3" xfId="8986"/>
    <cellStyle name="Heading 3 8 4" xfId="8987"/>
    <cellStyle name="Heading 3 9" xfId="8988"/>
    <cellStyle name="Heading 3 9 2" xfId="8989"/>
    <cellStyle name="Heading 3 9 3" xfId="8990"/>
    <cellStyle name="Heading 4 10" xfId="8991"/>
    <cellStyle name="Heading 4 10 2" xfId="8992"/>
    <cellStyle name="Heading 4 11" xfId="8993"/>
    <cellStyle name="Heading 4 12" xfId="8994"/>
    <cellStyle name="Heading 4 13" xfId="8995"/>
    <cellStyle name="Heading 4 14" xfId="8996"/>
    <cellStyle name="Heading 4 15" xfId="8997"/>
    <cellStyle name="Heading 4 16" xfId="8998"/>
    <cellStyle name="Heading 4 17" xfId="8999"/>
    <cellStyle name="Heading 4 18" xfId="9000"/>
    <cellStyle name="Heading 4 19" xfId="9001"/>
    <cellStyle name="Heading 4 2" xfId="9002"/>
    <cellStyle name="Heading 4 2 2" xfId="9003"/>
    <cellStyle name="Heading 4 2 3" xfId="9004"/>
    <cellStyle name="Heading 4 2 4" xfId="9005"/>
    <cellStyle name="Heading 4 2 5" xfId="9006"/>
    <cellStyle name="Heading 4 2 6" xfId="9007"/>
    <cellStyle name="Heading 4 2 7" xfId="9008"/>
    <cellStyle name="Heading 4 2 8" xfId="9009"/>
    <cellStyle name="Heading 4 20" xfId="9010"/>
    <cellStyle name="Heading 4 21" xfId="9011"/>
    <cellStyle name="Heading 4 22" xfId="9012"/>
    <cellStyle name="Heading 4 23" xfId="9013"/>
    <cellStyle name="Heading 4 24" xfId="9014"/>
    <cellStyle name="Heading 4 25" xfId="9015"/>
    <cellStyle name="Heading 4 26" xfId="9016"/>
    <cellStyle name="Heading 4 27" xfId="9017"/>
    <cellStyle name="Heading 4 28" xfId="9018"/>
    <cellStyle name="Heading 4 29" xfId="9019"/>
    <cellStyle name="Heading 4 3" xfId="9020"/>
    <cellStyle name="Heading 4 30" xfId="9021"/>
    <cellStyle name="Heading 4 31" xfId="9022"/>
    <cellStyle name="Heading 4 32" xfId="9023"/>
    <cellStyle name="Heading 4 33" xfId="9024"/>
    <cellStyle name="Heading 4 34" xfId="9025"/>
    <cellStyle name="Heading 4 35" xfId="9026"/>
    <cellStyle name="Heading 4 36" xfId="9027"/>
    <cellStyle name="Heading 4 37" xfId="9028"/>
    <cellStyle name="Heading 4 38" xfId="9029"/>
    <cellStyle name="Heading 4 4" xfId="9030"/>
    <cellStyle name="Heading 4 4 2" xfId="9031"/>
    <cellStyle name="Heading 4 4 3" xfId="9032"/>
    <cellStyle name="Heading 4 4 4" xfId="9033"/>
    <cellStyle name="Heading 4 5" xfId="9034"/>
    <cellStyle name="Heading 4 5 10" xfId="9035"/>
    <cellStyle name="Heading 4 5 11" xfId="9036"/>
    <cellStyle name="Heading 4 5 2" xfId="9037"/>
    <cellStyle name="Heading 4 5 2 2" xfId="9038"/>
    <cellStyle name="Heading 4 5 2 3" xfId="9039"/>
    <cellStyle name="Heading 4 5 2 4" xfId="9040"/>
    <cellStyle name="Heading 4 5 2 5" xfId="9041"/>
    <cellStyle name="Heading 4 5 2 6" xfId="9042"/>
    <cellStyle name="Heading 4 5 3" xfId="9043"/>
    <cellStyle name="Heading 4 5 4" xfId="9044"/>
    <cellStyle name="Heading 4 5 5" xfId="9045"/>
    <cellStyle name="Heading 4 5 6" xfId="9046"/>
    <cellStyle name="Heading 4 5 7" xfId="9047"/>
    <cellStyle name="Heading 4 5 8" xfId="9048"/>
    <cellStyle name="Heading 4 5 9" xfId="9049"/>
    <cellStyle name="Heading 4 6" xfId="9050"/>
    <cellStyle name="Heading 4 6 2" xfId="9051"/>
    <cellStyle name="Heading 4 6 2 2" xfId="9052"/>
    <cellStyle name="Heading 4 6 2 3" xfId="9053"/>
    <cellStyle name="Heading 4 6 2 4" xfId="9054"/>
    <cellStyle name="Heading 4 6 2 5" xfId="9055"/>
    <cellStyle name="Heading 4 6 2 6" xfId="9056"/>
    <cellStyle name="Heading 4 6 3" xfId="9057"/>
    <cellStyle name="Heading 4 6 4" xfId="9058"/>
    <cellStyle name="Heading 4 6 5" xfId="9059"/>
    <cellStyle name="Heading 4 6 6" xfId="9060"/>
    <cellStyle name="Heading 4 6 7" xfId="9061"/>
    <cellStyle name="Heading 4 6 8" xfId="9062"/>
    <cellStyle name="Heading 4 6 9" xfId="9063"/>
    <cellStyle name="Heading 4 7" xfId="9064"/>
    <cellStyle name="Heading 4 7 2" xfId="9065"/>
    <cellStyle name="Heading 4 7 3" xfId="9066"/>
    <cellStyle name="Heading 4 7 4" xfId="9067"/>
    <cellStyle name="Heading 4 8" xfId="9068"/>
    <cellStyle name="Heading 4 8 2" xfId="9069"/>
    <cellStyle name="Heading 4 8 3" xfId="9070"/>
    <cellStyle name="Heading 4 8 4" xfId="9071"/>
    <cellStyle name="Heading 4 9" xfId="9072"/>
    <cellStyle name="Heading 4 9 2" xfId="9073"/>
    <cellStyle name="Heading 4 9 3" xfId="9074"/>
    <cellStyle name="Hyperlink 2" xfId="9075"/>
    <cellStyle name="Hyperlink 3" xfId="9076"/>
    <cellStyle name="Input 10" xfId="9077"/>
    <cellStyle name="Input 10 10" xfId="9078"/>
    <cellStyle name="Input 10 11" xfId="9079"/>
    <cellStyle name="Input 10 12" xfId="9080"/>
    <cellStyle name="Input 10 13" xfId="9081"/>
    <cellStyle name="Input 10 2" xfId="9082"/>
    <cellStyle name="Input 10 2 2" xfId="9083"/>
    <cellStyle name="Input 10 2 3" xfId="9084"/>
    <cellStyle name="Input 10 3" xfId="9085"/>
    <cellStyle name="Input 10 3 2" xfId="9086"/>
    <cellStyle name="Input 10 4" xfId="9087"/>
    <cellStyle name="Input 10 4 2" xfId="9088"/>
    <cellStyle name="Input 10 5" xfId="9089"/>
    <cellStyle name="Input 10 5 2" xfId="9090"/>
    <cellStyle name="Input 10 5 3" xfId="9091"/>
    <cellStyle name="Input 10 5 4" xfId="9092"/>
    <cellStyle name="Input 10 5 5" xfId="9093"/>
    <cellStyle name="Input 10 5 6" xfId="9094"/>
    <cellStyle name="Input 10 6" xfId="9095"/>
    <cellStyle name="Input 10 6 2" xfId="9096"/>
    <cellStyle name="Input 10 7" xfId="9097"/>
    <cellStyle name="Input 10 7 2" xfId="9098"/>
    <cellStyle name="Input 10 8" xfId="9099"/>
    <cellStyle name="Input 10 8 2" xfId="9100"/>
    <cellStyle name="Input 10 9" xfId="9101"/>
    <cellStyle name="Input 10 9 2" xfId="9102"/>
    <cellStyle name="Input 11" xfId="9103"/>
    <cellStyle name="Input 11 10" xfId="9104"/>
    <cellStyle name="Input 11 11" xfId="9105"/>
    <cellStyle name="Input 11 12" xfId="9106"/>
    <cellStyle name="Input 11 13" xfId="9107"/>
    <cellStyle name="Input 11 2" xfId="9108"/>
    <cellStyle name="Input 11 2 2" xfId="9109"/>
    <cellStyle name="Input 11 2 3" xfId="9110"/>
    <cellStyle name="Input 11 3" xfId="9111"/>
    <cellStyle name="Input 11 3 2" xfId="9112"/>
    <cellStyle name="Input 11 4" xfId="9113"/>
    <cellStyle name="Input 11 4 2" xfId="9114"/>
    <cellStyle name="Input 11 5" xfId="9115"/>
    <cellStyle name="Input 11 5 2" xfId="9116"/>
    <cellStyle name="Input 11 5 3" xfId="9117"/>
    <cellStyle name="Input 11 5 4" xfId="9118"/>
    <cellStyle name="Input 11 5 5" xfId="9119"/>
    <cellStyle name="Input 11 5 6" xfId="9120"/>
    <cellStyle name="Input 11 6" xfId="9121"/>
    <cellStyle name="Input 11 6 2" xfId="9122"/>
    <cellStyle name="Input 11 7" xfId="9123"/>
    <cellStyle name="Input 11 7 2" xfId="9124"/>
    <cellStyle name="Input 11 8" xfId="9125"/>
    <cellStyle name="Input 11 8 2" xfId="9126"/>
    <cellStyle name="Input 11 9" xfId="9127"/>
    <cellStyle name="Input 11 9 2" xfId="9128"/>
    <cellStyle name="Input 12" xfId="9129"/>
    <cellStyle name="Input 12 10" xfId="9130"/>
    <cellStyle name="Input 12 11" xfId="9131"/>
    <cellStyle name="Input 12 12" xfId="9132"/>
    <cellStyle name="Input 12 13" xfId="9133"/>
    <cellStyle name="Input 12 2" xfId="9134"/>
    <cellStyle name="Input 12 2 2" xfId="9135"/>
    <cellStyle name="Input 12 2 3" xfId="9136"/>
    <cellStyle name="Input 12 3" xfId="9137"/>
    <cellStyle name="Input 12 3 2" xfId="9138"/>
    <cellStyle name="Input 12 4" xfId="9139"/>
    <cellStyle name="Input 12 4 2" xfId="9140"/>
    <cellStyle name="Input 12 5" xfId="9141"/>
    <cellStyle name="Input 12 5 2" xfId="9142"/>
    <cellStyle name="Input 12 5 3" xfId="9143"/>
    <cellStyle name="Input 12 5 4" xfId="9144"/>
    <cellStyle name="Input 12 5 5" xfId="9145"/>
    <cellStyle name="Input 12 5 6" xfId="9146"/>
    <cellStyle name="Input 12 6" xfId="9147"/>
    <cellStyle name="Input 12 6 2" xfId="9148"/>
    <cellStyle name="Input 12 7" xfId="9149"/>
    <cellStyle name="Input 12 7 2" xfId="9150"/>
    <cellStyle name="Input 12 8" xfId="9151"/>
    <cellStyle name="Input 12 8 2" xfId="9152"/>
    <cellStyle name="Input 12 9" xfId="9153"/>
    <cellStyle name="Input 12 9 2" xfId="9154"/>
    <cellStyle name="Input 13" xfId="9155"/>
    <cellStyle name="Input 13 10" xfId="9156"/>
    <cellStyle name="Input 13 11" xfId="9157"/>
    <cellStyle name="Input 13 12" xfId="9158"/>
    <cellStyle name="Input 13 13" xfId="9159"/>
    <cellStyle name="Input 13 2" xfId="9160"/>
    <cellStyle name="Input 13 2 2" xfId="9161"/>
    <cellStyle name="Input 13 2 3" xfId="9162"/>
    <cellStyle name="Input 13 3" xfId="9163"/>
    <cellStyle name="Input 13 3 2" xfId="9164"/>
    <cellStyle name="Input 13 4" xfId="9165"/>
    <cellStyle name="Input 13 4 2" xfId="9166"/>
    <cellStyle name="Input 13 5" xfId="9167"/>
    <cellStyle name="Input 13 5 2" xfId="9168"/>
    <cellStyle name="Input 13 5 3" xfId="9169"/>
    <cellStyle name="Input 13 5 4" xfId="9170"/>
    <cellStyle name="Input 13 5 5" xfId="9171"/>
    <cellStyle name="Input 13 5 6" xfId="9172"/>
    <cellStyle name="Input 13 6" xfId="9173"/>
    <cellStyle name="Input 13 6 2" xfId="9174"/>
    <cellStyle name="Input 13 7" xfId="9175"/>
    <cellStyle name="Input 13 7 2" xfId="9176"/>
    <cellStyle name="Input 13 8" xfId="9177"/>
    <cellStyle name="Input 13 8 2" xfId="9178"/>
    <cellStyle name="Input 13 9" xfId="9179"/>
    <cellStyle name="Input 13 9 2" xfId="9180"/>
    <cellStyle name="Input 14" xfId="9181"/>
    <cellStyle name="Input 14 10" xfId="9182"/>
    <cellStyle name="Input 14 11" xfId="9183"/>
    <cellStyle name="Input 14 2" xfId="9184"/>
    <cellStyle name="Input 14 2 2" xfId="9185"/>
    <cellStyle name="Input 14 2 3" xfId="9186"/>
    <cellStyle name="Input 14 2 4" xfId="9187"/>
    <cellStyle name="Input 14 2 5" xfId="9188"/>
    <cellStyle name="Input 14 2 6" xfId="9189"/>
    <cellStyle name="Input 14 3" xfId="9190"/>
    <cellStyle name="Input 14 3 2" xfId="9191"/>
    <cellStyle name="Input 14 4" xfId="9192"/>
    <cellStyle name="Input 14 4 2" xfId="9193"/>
    <cellStyle name="Input 14 5" xfId="9194"/>
    <cellStyle name="Input 14 5 2" xfId="9195"/>
    <cellStyle name="Input 14 6" xfId="9196"/>
    <cellStyle name="Input 14 6 2" xfId="9197"/>
    <cellStyle name="Input 14 7" xfId="9198"/>
    <cellStyle name="Input 14 7 2" xfId="9199"/>
    <cellStyle name="Input 14 8" xfId="9200"/>
    <cellStyle name="Input 14 9" xfId="9201"/>
    <cellStyle name="Input 15" xfId="9202"/>
    <cellStyle name="Input 15 10" xfId="9203"/>
    <cellStyle name="Input 15 11" xfId="9204"/>
    <cellStyle name="Input 15 2" xfId="9205"/>
    <cellStyle name="Input 15 2 2" xfId="9206"/>
    <cellStyle name="Input 15 2 3" xfId="9207"/>
    <cellStyle name="Input 15 2 4" xfId="9208"/>
    <cellStyle name="Input 15 2 5" xfId="9209"/>
    <cellStyle name="Input 15 2 6" xfId="9210"/>
    <cellStyle name="Input 15 3" xfId="9211"/>
    <cellStyle name="Input 15 3 2" xfId="9212"/>
    <cellStyle name="Input 15 4" xfId="9213"/>
    <cellStyle name="Input 15 4 2" xfId="9214"/>
    <cellStyle name="Input 15 5" xfId="9215"/>
    <cellStyle name="Input 15 5 2" xfId="9216"/>
    <cellStyle name="Input 15 6" xfId="9217"/>
    <cellStyle name="Input 15 6 2" xfId="9218"/>
    <cellStyle name="Input 15 7" xfId="9219"/>
    <cellStyle name="Input 15 7 2" xfId="9220"/>
    <cellStyle name="Input 15 8" xfId="9221"/>
    <cellStyle name="Input 15 9" xfId="9222"/>
    <cellStyle name="Input 16" xfId="9223"/>
    <cellStyle name="Input 16 10" xfId="9224"/>
    <cellStyle name="Input 16 11" xfId="9225"/>
    <cellStyle name="Input 16 2" xfId="9226"/>
    <cellStyle name="Input 16 2 2" xfId="9227"/>
    <cellStyle name="Input 16 2 3" xfId="9228"/>
    <cellStyle name="Input 16 2 4" xfId="9229"/>
    <cellStyle name="Input 16 2 5" xfId="9230"/>
    <cellStyle name="Input 16 2 6" xfId="9231"/>
    <cellStyle name="Input 16 3" xfId="9232"/>
    <cellStyle name="Input 16 3 2" xfId="9233"/>
    <cellStyle name="Input 16 4" xfId="9234"/>
    <cellStyle name="Input 16 4 2" xfId="9235"/>
    <cellStyle name="Input 16 5" xfId="9236"/>
    <cellStyle name="Input 16 5 2" xfId="9237"/>
    <cellStyle name="Input 16 6" xfId="9238"/>
    <cellStyle name="Input 16 6 2" xfId="9239"/>
    <cellStyle name="Input 16 7" xfId="9240"/>
    <cellStyle name="Input 16 7 2" xfId="9241"/>
    <cellStyle name="Input 16 8" xfId="9242"/>
    <cellStyle name="Input 16 9" xfId="9243"/>
    <cellStyle name="Input 17" xfId="9244"/>
    <cellStyle name="Input 17 10" xfId="9245"/>
    <cellStyle name="Input 17 11" xfId="9246"/>
    <cellStyle name="Input 17 2" xfId="9247"/>
    <cellStyle name="Input 17 2 2" xfId="9248"/>
    <cellStyle name="Input 17 2 3" xfId="9249"/>
    <cellStyle name="Input 17 2 4" xfId="9250"/>
    <cellStyle name="Input 17 2 5" xfId="9251"/>
    <cellStyle name="Input 17 2 6" xfId="9252"/>
    <cellStyle name="Input 17 3" xfId="9253"/>
    <cellStyle name="Input 17 3 2" xfId="9254"/>
    <cellStyle name="Input 17 4" xfId="9255"/>
    <cellStyle name="Input 17 4 2" xfId="9256"/>
    <cellStyle name="Input 17 5" xfId="9257"/>
    <cellStyle name="Input 17 5 2" xfId="9258"/>
    <cellStyle name="Input 17 6" xfId="9259"/>
    <cellStyle name="Input 17 6 2" xfId="9260"/>
    <cellStyle name="Input 17 7" xfId="9261"/>
    <cellStyle name="Input 17 7 2" xfId="9262"/>
    <cellStyle name="Input 17 8" xfId="9263"/>
    <cellStyle name="Input 17 9" xfId="9264"/>
    <cellStyle name="Input 18" xfId="9265"/>
    <cellStyle name="Input 18 10" xfId="9266"/>
    <cellStyle name="Input 18 11" xfId="9267"/>
    <cellStyle name="Input 18 2" xfId="9268"/>
    <cellStyle name="Input 18 2 2" xfId="9269"/>
    <cellStyle name="Input 18 2 3" xfId="9270"/>
    <cellStyle name="Input 18 2 4" xfId="9271"/>
    <cellStyle name="Input 18 2 5" xfId="9272"/>
    <cellStyle name="Input 18 2 6" xfId="9273"/>
    <cellStyle name="Input 18 3" xfId="9274"/>
    <cellStyle name="Input 18 3 2" xfId="9275"/>
    <cellStyle name="Input 18 4" xfId="9276"/>
    <cellStyle name="Input 18 4 2" xfId="9277"/>
    <cellStyle name="Input 18 5" xfId="9278"/>
    <cellStyle name="Input 18 5 2" xfId="9279"/>
    <cellStyle name="Input 18 6" xfId="9280"/>
    <cellStyle name="Input 18 6 2" xfId="9281"/>
    <cellStyle name="Input 18 7" xfId="9282"/>
    <cellStyle name="Input 18 7 2" xfId="9283"/>
    <cellStyle name="Input 18 8" xfId="9284"/>
    <cellStyle name="Input 18 9" xfId="9285"/>
    <cellStyle name="Input 19" xfId="9286"/>
    <cellStyle name="Input 19 10" xfId="9287"/>
    <cellStyle name="Input 19 11" xfId="9288"/>
    <cellStyle name="Input 19 2" xfId="9289"/>
    <cellStyle name="Input 19 2 2" xfId="9290"/>
    <cellStyle name="Input 19 2 3" xfId="9291"/>
    <cellStyle name="Input 19 2 4" xfId="9292"/>
    <cellStyle name="Input 19 2 5" xfId="9293"/>
    <cellStyle name="Input 19 2 6" xfId="9294"/>
    <cellStyle name="Input 19 3" xfId="9295"/>
    <cellStyle name="Input 19 3 2" xfId="9296"/>
    <cellStyle name="Input 19 4" xfId="9297"/>
    <cellStyle name="Input 19 4 2" xfId="9298"/>
    <cellStyle name="Input 19 5" xfId="9299"/>
    <cellStyle name="Input 19 5 2" xfId="9300"/>
    <cellStyle name="Input 19 6" xfId="9301"/>
    <cellStyle name="Input 19 6 2" xfId="9302"/>
    <cellStyle name="Input 19 7" xfId="9303"/>
    <cellStyle name="Input 19 7 2" xfId="9304"/>
    <cellStyle name="Input 19 8" xfId="9305"/>
    <cellStyle name="Input 19 9" xfId="9306"/>
    <cellStyle name="Input 2" xfId="9307"/>
    <cellStyle name="Input 2 10" xfId="9308"/>
    <cellStyle name="Input 2 10 2" xfId="9309"/>
    <cellStyle name="Input 2 10 2 2" xfId="9310"/>
    <cellStyle name="Input 2 10 3" xfId="9311"/>
    <cellStyle name="Input 2 10 3 2" xfId="9312"/>
    <cellStyle name="Input 2 10 4" xfId="9313"/>
    <cellStyle name="Input 2 10 4 2" xfId="9314"/>
    <cellStyle name="Input 2 10 5" xfId="9315"/>
    <cellStyle name="Input 2 11" xfId="9316"/>
    <cellStyle name="Input 2 11 2" xfId="9317"/>
    <cellStyle name="Input 2 11 2 2" xfId="9318"/>
    <cellStyle name="Input 2 11 3" xfId="9319"/>
    <cellStyle name="Input 2 11 3 2" xfId="9320"/>
    <cellStyle name="Input 2 11 4" xfId="9321"/>
    <cellStyle name="Input 2 11 4 2" xfId="9322"/>
    <cellStyle name="Input 2 11 5" xfId="9323"/>
    <cellStyle name="Input 2 12" xfId="9324"/>
    <cellStyle name="Input 2 12 2" xfId="9325"/>
    <cellStyle name="Input 2 12 2 2" xfId="9326"/>
    <cellStyle name="Input 2 12 3" xfId="9327"/>
    <cellStyle name="Input 2 12 3 2" xfId="9328"/>
    <cellStyle name="Input 2 12 4" xfId="9329"/>
    <cellStyle name="Input 2 12 4 2" xfId="9330"/>
    <cellStyle name="Input 2 12 5" xfId="9331"/>
    <cellStyle name="Input 2 13" xfId="9332"/>
    <cellStyle name="Input 2 13 2" xfId="9333"/>
    <cellStyle name="Input 2 13 2 2" xfId="9334"/>
    <cellStyle name="Input 2 13 3" xfId="9335"/>
    <cellStyle name="Input 2 13 3 2" xfId="9336"/>
    <cellStyle name="Input 2 13 4" xfId="9337"/>
    <cellStyle name="Input 2 13 4 2" xfId="9338"/>
    <cellStyle name="Input 2 13 5" xfId="9339"/>
    <cellStyle name="Input 2 14" xfId="9340"/>
    <cellStyle name="Input 2 14 2" xfId="9341"/>
    <cellStyle name="Input 2 14 2 2" xfId="9342"/>
    <cellStyle name="Input 2 14 3" xfId="9343"/>
    <cellStyle name="Input 2 14 3 2" xfId="9344"/>
    <cellStyle name="Input 2 14 4" xfId="9345"/>
    <cellStyle name="Input 2 14 4 2" xfId="9346"/>
    <cellStyle name="Input 2 14 5" xfId="9347"/>
    <cellStyle name="Input 2 15" xfId="9348"/>
    <cellStyle name="Input 2 15 2" xfId="9349"/>
    <cellStyle name="Input 2 15 2 2" xfId="9350"/>
    <cellStyle name="Input 2 15 3" xfId="9351"/>
    <cellStyle name="Input 2 15 3 2" xfId="9352"/>
    <cellStyle name="Input 2 15 4" xfId="9353"/>
    <cellStyle name="Input 2 15 4 2" xfId="9354"/>
    <cellStyle name="Input 2 15 5" xfId="9355"/>
    <cellStyle name="Input 2 16" xfId="9356"/>
    <cellStyle name="Input 2 16 2" xfId="9357"/>
    <cellStyle name="Input 2 17" xfId="9358"/>
    <cellStyle name="Input 2 17 2" xfId="9359"/>
    <cellStyle name="Input 2 18" xfId="9360"/>
    <cellStyle name="Input 2 18 2" xfId="9361"/>
    <cellStyle name="Input 2 19" xfId="9362"/>
    <cellStyle name="Input 2 19 2" xfId="9363"/>
    <cellStyle name="Input 2 2" xfId="9364"/>
    <cellStyle name="Input 2 2 10" xfId="9365"/>
    <cellStyle name="Input 2 2 10 2" xfId="9366"/>
    <cellStyle name="Input 2 2 10 2 2" xfId="9367"/>
    <cellStyle name="Input 2 2 10 3" xfId="9368"/>
    <cellStyle name="Input 2 2 10 3 2" xfId="9369"/>
    <cellStyle name="Input 2 2 10 4" xfId="9370"/>
    <cellStyle name="Input 2 2 10 4 2" xfId="9371"/>
    <cellStyle name="Input 2 2 10 5" xfId="9372"/>
    <cellStyle name="Input 2 2 11" xfId="9373"/>
    <cellStyle name="Input 2 2 11 2" xfId="9374"/>
    <cellStyle name="Input 2 2 11 2 2" xfId="9375"/>
    <cellStyle name="Input 2 2 11 3" xfId="9376"/>
    <cellStyle name="Input 2 2 11 3 2" xfId="9377"/>
    <cellStyle name="Input 2 2 11 4" xfId="9378"/>
    <cellStyle name="Input 2 2 11 4 2" xfId="9379"/>
    <cellStyle name="Input 2 2 11 5" xfId="9380"/>
    <cellStyle name="Input 2 2 12" xfId="9381"/>
    <cellStyle name="Input 2 2 12 2" xfId="9382"/>
    <cellStyle name="Input 2 2 12 2 2" xfId="9383"/>
    <cellStyle name="Input 2 2 12 3" xfId="9384"/>
    <cellStyle name="Input 2 2 12 3 2" xfId="9385"/>
    <cellStyle name="Input 2 2 12 4" xfId="9386"/>
    <cellStyle name="Input 2 2 12 4 2" xfId="9387"/>
    <cellStyle name="Input 2 2 12 5" xfId="9388"/>
    <cellStyle name="Input 2 2 13" xfId="9389"/>
    <cellStyle name="Input 2 2 13 2" xfId="9390"/>
    <cellStyle name="Input 2 2 13 2 2" xfId="9391"/>
    <cellStyle name="Input 2 2 13 3" xfId="9392"/>
    <cellStyle name="Input 2 2 13 3 2" xfId="9393"/>
    <cellStyle name="Input 2 2 13 4" xfId="9394"/>
    <cellStyle name="Input 2 2 13 4 2" xfId="9395"/>
    <cellStyle name="Input 2 2 13 5" xfId="9396"/>
    <cellStyle name="Input 2 2 14" xfId="9397"/>
    <cellStyle name="Input 2 2 14 2" xfId="9398"/>
    <cellStyle name="Input 2 2 14 2 2" xfId="9399"/>
    <cellStyle name="Input 2 2 14 3" xfId="9400"/>
    <cellStyle name="Input 2 2 14 3 2" xfId="9401"/>
    <cellStyle name="Input 2 2 14 4" xfId="9402"/>
    <cellStyle name="Input 2 2 14 4 2" xfId="9403"/>
    <cellStyle name="Input 2 2 14 5" xfId="9404"/>
    <cellStyle name="Input 2 2 15" xfId="9405"/>
    <cellStyle name="Input 2 2 15 2" xfId="9406"/>
    <cellStyle name="Input 2 2 16" xfId="9407"/>
    <cellStyle name="Input 2 2 16 2" xfId="9408"/>
    <cellStyle name="Input 2 2 17" xfId="9409"/>
    <cellStyle name="Input 2 2 17 2" xfId="9410"/>
    <cellStyle name="Input 2 2 18" xfId="9411"/>
    <cellStyle name="Input 2 2 18 2" xfId="9412"/>
    <cellStyle name="Input 2 2 19" xfId="9413"/>
    <cellStyle name="Input 2 2 19 2" xfId="9414"/>
    <cellStyle name="Input 2 2 2" xfId="9415"/>
    <cellStyle name="Input 2 2 2 10" xfId="9416"/>
    <cellStyle name="Input 2 2 2 10 2" xfId="9417"/>
    <cellStyle name="Input 2 2 2 11" xfId="9418"/>
    <cellStyle name="Input 2 2 2 11 2" xfId="9419"/>
    <cellStyle name="Input 2 2 2 12" xfId="9420"/>
    <cellStyle name="Input 2 2 2 12 2" xfId="9421"/>
    <cellStyle name="Input 2 2 2 13" xfId="9422"/>
    <cellStyle name="Input 2 2 2 13 2" xfId="9423"/>
    <cellStyle name="Input 2 2 2 14" xfId="9424"/>
    <cellStyle name="Input 2 2 2 14 2" xfId="9425"/>
    <cellStyle name="Input 2 2 2 15" xfId="9426"/>
    <cellStyle name="Input 2 2 2 15 2" xfId="9427"/>
    <cellStyle name="Input 2 2 2 16" xfId="9428"/>
    <cellStyle name="Input 2 2 2 16 2" xfId="9429"/>
    <cellStyle name="Input 2 2 2 17" xfId="9430"/>
    <cellStyle name="Input 2 2 2 17 2" xfId="9431"/>
    <cellStyle name="Input 2 2 2 18" xfId="9432"/>
    <cellStyle name="Input 2 2 2 18 2" xfId="9433"/>
    <cellStyle name="Input 2 2 2 19" xfId="9434"/>
    <cellStyle name="Input 2 2 2 19 2" xfId="9435"/>
    <cellStyle name="Input 2 2 2 2" xfId="9436"/>
    <cellStyle name="Input 2 2 2 2 2" xfId="9437"/>
    <cellStyle name="Input 2 2 2 2 3" xfId="9438"/>
    <cellStyle name="Input 2 2 2 20" xfId="9439"/>
    <cellStyle name="Input 2 2 2 20 2" xfId="9440"/>
    <cellStyle name="Input 2 2 2 21" xfId="9441"/>
    <cellStyle name="Input 2 2 2 21 2" xfId="9442"/>
    <cellStyle name="Input 2 2 2 22" xfId="9443"/>
    <cellStyle name="Input 2 2 2 22 2" xfId="9444"/>
    <cellStyle name="Input 2 2 2 23" xfId="9445"/>
    <cellStyle name="Input 2 2 2 23 2" xfId="9446"/>
    <cellStyle name="Input 2 2 2 24" xfId="9447"/>
    <cellStyle name="Input 2 2 2 24 2" xfId="9448"/>
    <cellStyle name="Input 2 2 2 25" xfId="9449"/>
    <cellStyle name="Input 2 2 2 25 2" xfId="9450"/>
    <cellStyle name="Input 2 2 2 26" xfId="9451"/>
    <cellStyle name="Input 2 2 2 26 2" xfId="9452"/>
    <cellStyle name="Input 2 2 2 27" xfId="9453"/>
    <cellStyle name="Input 2 2 2 27 2" xfId="9454"/>
    <cellStyle name="Input 2 2 2 28" xfId="9455"/>
    <cellStyle name="Input 2 2 2 28 2" xfId="9456"/>
    <cellStyle name="Input 2 2 2 29" xfId="9457"/>
    <cellStyle name="Input 2 2 2 29 2" xfId="9458"/>
    <cellStyle name="Input 2 2 2 3" xfId="9459"/>
    <cellStyle name="Input 2 2 2 3 2" xfId="9460"/>
    <cellStyle name="Input 2 2 2 3 3" xfId="9461"/>
    <cellStyle name="Input 2 2 2 30" xfId="9462"/>
    <cellStyle name="Input 2 2 2 30 2" xfId="9463"/>
    <cellStyle name="Input 2 2 2 31" xfId="9464"/>
    <cellStyle name="Input 2 2 2 4" xfId="9465"/>
    <cellStyle name="Input 2 2 2 4 2" xfId="9466"/>
    <cellStyle name="Input 2 2 2 5" xfId="9467"/>
    <cellStyle name="Input 2 2 2 5 2" xfId="9468"/>
    <cellStyle name="Input 2 2 2 6" xfId="9469"/>
    <cellStyle name="Input 2 2 2 6 2" xfId="9470"/>
    <cellStyle name="Input 2 2 2 7" xfId="9471"/>
    <cellStyle name="Input 2 2 2 7 2" xfId="9472"/>
    <cellStyle name="Input 2 2 2 8" xfId="9473"/>
    <cellStyle name="Input 2 2 2 8 2" xfId="9474"/>
    <cellStyle name="Input 2 2 2 9" xfId="9475"/>
    <cellStyle name="Input 2 2 2 9 2" xfId="9476"/>
    <cellStyle name="Input 2 2 20" xfId="9477"/>
    <cellStyle name="Input 2 2 20 2" xfId="9478"/>
    <cellStyle name="Input 2 2 21" xfId="9479"/>
    <cellStyle name="Input 2 2 21 2" xfId="9480"/>
    <cellStyle name="Input 2 2 22" xfId="9481"/>
    <cellStyle name="Input 2 2 22 2" xfId="9482"/>
    <cellStyle name="Input 2 2 23" xfId="9483"/>
    <cellStyle name="Input 2 2 23 2" xfId="9484"/>
    <cellStyle name="Input 2 2 24" xfId="9485"/>
    <cellStyle name="Input 2 2 24 2" xfId="9486"/>
    <cellStyle name="Input 2 2 25" xfId="9487"/>
    <cellStyle name="Input 2 2 25 2" xfId="9488"/>
    <cellStyle name="Input 2 2 26" xfId="9489"/>
    <cellStyle name="Input 2 2 26 2" xfId="9490"/>
    <cellStyle name="Input 2 2 27" xfId="9491"/>
    <cellStyle name="Input 2 2 27 2" xfId="9492"/>
    <cellStyle name="Input 2 2 28" xfId="9493"/>
    <cellStyle name="Input 2 2 28 2" xfId="9494"/>
    <cellStyle name="Input 2 2 29" xfId="9495"/>
    <cellStyle name="Input 2 2 29 2" xfId="9496"/>
    <cellStyle name="Input 2 2 3" xfId="9497"/>
    <cellStyle name="Input 2 2 3 2" xfId="9498"/>
    <cellStyle name="Input 2 2 3 2 2" xfId="9499"/>
    <cellStyle name="Input 2 2 3 3" xfId="9500"/>
    <cellStyle name="Input 2 2 3 3 2" xfId="9501"/>
    <cellStyle name="Input 2 2 3 4" xfId="9502"/>
    <cellStyle name="Input 2 2 3 4 2" xfId="9503"/>
    <cellStyle name="Input 2 2 3 5" xfId="9504"/>
    <cellStyle name="Input 2 2 30" xfId="9505"/>
    <cellStyle name="Input 2 2 30 2" xfId="9506"/>
    <cellStyle name="Input 2 2 31" xfId="9507"/>
    <cellStyle name="Input 2 2 31 2" xfId="9508"/>
    <cellStyle name="Input 2 2 32" xfId="9509"/>
    <cellStyle name="Input 2 2 32 2" xfId="9510"/>
    <cellStyle name="Input 2 2 33" xfId="9511"/>
    <cellStyle name="Input 2 2 33 2" xfId="9512"/>
    <cellStyle name="Input 2 2 34" xfId="9513"/>
    <cellStyle name="Input 2 2 34 2" xfId="9514"/>
    <cellStyle name="Input 2 2 35" xfId="9515"/>
    <cellStyle name="Input 2 2 35 2" xfId="9516"/>
    <cellStyle name="Input 2 2 36" xfId="9517"/>
    <cellStyle name="Input 2 2 36 2" xfId="9518"/>
    <cellStyle name="Input 2 2 37" xfId="9519"/>
    <cellStyle name="Input 2 2 37 2" xfId="9520"/>
    <cellStyle name="Input 2 2 38" xfId="9521"/>
    <cellStyle name="Input 2 2 38 2" xfId="9522"/>
    <cellStyle name="Input 2 2 39" xfId="9523"/>
    <cellStyle name="Input 2 2 39 2" xfId="9524"/>
    <cellStyle name="Input 2 2 4" xfId="9525"/>
    <cellStyle name="Input 2 2 4 2" xfId="9526"/>
    <cellStyle name="Input 2 2 4 2 2" xfId="9527"/>
    <cellStyle name="Input 2 2 4 3" xfId="9528"/>
    <cellStyle name="Input 2 2 4 3 2" xfId="9529"/>
    <cellStyle name="Input 2 2 4 4" xfId="9530"/>
    <cellStyle name="Input 2 2 4 4 2" xfId="9531"/>
    <cellStyle name="Input 2 2 4 5" xfId="9532"/>
    <cellStyle name="Input 2 2 40" xfId="9533"/>
    <cellStyle name="Input 2 2 40 2" xfId="9534"/>
    <cellStyle name="Input 2 2 41" xfId="9535"/>
    <cellStyle name="Input 2 2 41 2" xfId="9536"/>
    <cellStyle name="Input 2 2 42" xfId="9537"/>
    <cellStyle name="Input 2 2 42 2" xfId="9538"/>
    <cellStyle name="Input 2 2 43" xfId="9539"/>
    <cellStyle name="Input 2 2 43 2" xfId="9540"/>
    <cellStyle name="Input 2 2 44" xfId="9541"/>
    <cellStyle name="Input 2 2 44 2" xfId="9542"/>
    <cellStyle name="Input 2 2 45" xfId="9543"/>
    <cellStyle name="Input 2 2 45 2" xfId="9544"/>
    <cellStyle name="Input 2 2 46" xfId="9545"/>
    <cellStyle name="Input 2 2 46 2" xfId="9546"/>
    <cellStyle name="Input 2 2 47" xfId="9547"/>
    <cellStyle name="Input 2 2 47 2" xfId="9548"/>
    <cellStyle name="Input 2 2 48" xfId="9549"/>
    <cellStyle name="Input 2 2 48 2" xfId="9550"/>
    <cellStyle name="Input 2 2 49" xfId="9551"/>
    <cellStyle name="Input 2 2 49 2" xfId="9552"/>
    <cellStyle name="Input 2 2 5" xfId="9553"/>
    <cellStyle name="Input 2 2 5 2" xfId="9554"/>
    <cellStyle name="Input 2 2 5 2 2" xfId="9555"/>
    <cellStyle name="Input 2 2 5 3" xfId="9556"/>
    <cellStyle name="Input 2 2 5 3 2" xfId="9557"/>
    <cellStyle name="Input 2 2 5 4" xfId="9558"/>
    <cellStyle name="Input 2 2 5 4 2" xfId="9559"/>
    <cellStyle name="Input 2 2 5 5" xfId="9560"/>
    <cellStyle name="Input 2 2 50" xfId="9561"/>
    <cellStyle name="Input 2 2 50 2" xfId="9562"/>
    <cellStyle name="Input 2 2 51" xfId="9563"/>
    <cellStyle name="Input 2 2 51 2" xfId="9564"/>
    <cellStyle name="Input 2 2 52" xfId="9565"/>
    <cellStyle name="Input 2 2 52 2" xfId="9566"/>
    <cellStyle name="Input 2 2 53" xfId="9567"/>
    <cellStyle name="Input 2 2 53 2" xfId="9568"/>
    <cellStyle name="Input 2 2 54" xfId="9569"/>
    <cellStyle name="Input 2 2 54 2" xfId="9570"/>
    <cellStyle name="Input 2 2 55" xfId="9571"/>
    <cellStyle name="Input 2 2 55 2" xfId="9572"/>
    <cellStyle name="Input 2 2 56" xfId="9573"/>
    <cellStyle name="Input 2 2 56 2" xfId="9574"/>
    <cellStyle name="Input 2 2 57" xfId="9575"/>
    <cellStyle name="Input 2 2 57 2" xfId="9576"/>
    <cellStyle name="Input 2 2 58" xfId="9577"/>
    <cellStyle name="Input 2 2 58 2" xfId="9578"/>
    <cellStyle name="Input 2 2 59" xfId="9579"/>
    <cellStyle name="Input 2 2 59 2" xfId="9580"/>
    <cellStyle name="Input 2 2 6" xfId="9581"/>
    <cellStyle name="Input 2 2 6 2" xfId="9582"/>
    <cellStyle name="Input 2 2 6 2 2" xfId="9583"/>
    <cellStyle name="Input 2 2 6 3" xfId="9584"/>
    <cellStyle name="Input 2 2 6 3 2" xfId="9585"/>
    <cellStyle name="Input 2 2 6 4" xfId="9586"/>
    <cellStyle name="Input 2 2 6 4 2" xfId="9587"/>
    <cellStyle name="Input 2 2 6 5" xfId="9588"/>
    <cellStyle name="Input 2 2 60" xfId="9589"/>
    <cellStyle name="Input 2 2 60 2" xfId="9590"/>
    <cellStyle name="Input 2 2 61" xfId="9591"/>
    <cellStyle name="Input 2 2 61 2" xfId="9592"/>
    <cellStyle name="Input 2 2 62" xfId="9593"/>
    <cellStyle name="Input 2 2 7" xfId="9594"/>
    <cellStyle name="Input 2 2 7 2" xfId="9595"/>
    <cellStyle name="Input 2 2 7 2 2" xfId="9596"/>
    <cellStyle name="Input 2 2 7 3" xfId="9597"/>
    <cellStyle name="Input 2 2 7 3 2" xfId="9598"/>
    <cellStyle name="Input 2 2 7 4" xfId="9599"/>
    <cellStyle name="Input 2 2 7 4 2" xfId="9600"/>
    <cellStyle name="Input 2 2 7 5" xfId="9601"/>
    <cellStyle name="Input 2 2 8" xfId="9602"/>
    <cellStyle name="Input 2 2 8 2" xfId="9603"/>
    <cellStyle name="Input 2 2 8 2 2" xfId="9604"/>
    <cellStyle name="Input 2 2 8 3" xfId="9605"/>
    <cellStyle name="Input 2 2 8 3 2" xfId="9606"/>
    <cellStyle name="Input 2 2 8 4" xfId="9607"/>
    <cellStyle name="Input 2 2 8 4 2" xfId="9608"/>
    <cellStyle name="Input 2 2 8 5" xfId="9609"/>
    <cellStyle name="Input 2 2 9" xfId="9610"/>
    <cellStyle name="Input 2 2 9 2" xfId="9611"/>
    <cellStyle name="Input 2 2 9 2 2" xfId="9612"/>
    <cellStyle name="Input 2 2 9 3" xfId="9613"/>
    <cellStyle name="Input 2 2 9 3 2" xfId="9614"/>
    <cellStyle name="Input 2 2 9 4" xfId="9615"/>
    <cellStyle name="Input 2 2 9 4 2" xfId="9616"/>
    <cellStyle name="Input 2 2 9 5" xfId="9617"/>
    <cellStyle name="Input 2 20" xfId="9618"/>
    <cellStyle name="Input 2 20 2" xfId="9619"/>
    <cellStyle name="Input 2 21" xfId="9620"/>
    <cellStyle name="Input 2 21 2" xfId="9621"/>
    <cellStyle name="Input 2 22" xfId="9622"/>
    <cellStyle name="Input 2 22 2" xfId="9623"/>
    <cellStyle name="Input 2 23" xfId="9624"/>
    <cellStyle name="Input 2 23 2" xfId="9625"/>
    <cellStyle name="Input 2 24" xfId="9626"/>
    <cellStyle name="Input 2 24 2" xfId="9627"/>
    <cellStyle name="Input 2 25" xfId="9628"/>
    <cellStyle name="Input 2 25 2" xfId="9629"/>
    <cellStyle name="Input 2 26" xfId="9630"/>
    <cellStyle name="Input 2 26 2" xfId="9631"/>
    <cellStyle name="Input 2 27" xfId="9632"/>
    <cellStyle name="Input 2 27 2" xfId="9633"/>
    <cellStyle name="Input 2 28" xfId="9634"/>
    <cellStyle name="Input 2 28 2" xfId="9635"/>
    <cellStyle name="Input 2 29" xfId="9636"/>
    <cellStyle name="Input 2 29 2" xfId="9637"/>
    <cellStyle name="Input 2 3" xfId="9638"/>
    <cellStyle name="Input 2 3 10" xfId="9639"/>
    <cellStyle name="Input 2 3 10 2" xfId="9640"/>
    <cellStyle name="Input 2 3 11" xfId="9641"/>
    <cellStyle name="Input 2 3 11 2" xfId="9642"/>
    <cellStyle name="Input 2 3 12" xfId="9643"/>
    <cellStyle name="Input 2 3 12 2" xfId="9644"/>
    <cellStyle name="Input 2 3 13" xfId="9645"/>
    <cellStyle name="Input 2 3 13 2" xfId="9646"/>
    <cellStyle name="Input 2 3 14" xfId="9647"/>
    <cellStyle name="Input 2 3 14 2" xfId="9648"/>
    <cellStyle name="Input 2 3 15" xfId="9649"/>
    <cellStyle name="Input 2 3 15 2" xfId="9650"/>
    <cellStyle name="Input 2 3 16" xfId="9651"/>
    <cellStyle name="Input 2 3 16 2" xfId="9652"/>
    <cellStyle name="Input 2 3 17" xfId="9653"/>
    <cellStyle name="Input 2 3 17 2" xfId="9654"/>
    <cellStyle name="Input 2 3 18" xfId="9655"/>
    <cellStyle name="Input 2 3 18 2" xfId="9656"/>
    <cellStyle name="Input 2 3 19" xfId="9657"/>
    <cellStyle name="Input 2 3 19 2" xfId="9658"/>
    <cellStyle name="Input 2 3 2" xfId="9659"/>
    <cellStyle name="Input 2 3 2 2" xfId="9660"/>
    <cellStyle name="Input 2 3 2 3" xfId="9661"/>
    <cellStyle name="Input 2 3 20" xfId="9662"/>
    <cellStyle name="Input 2 3 20 2" xfId="9663"/>
    <cellStyle name="Input 2 3 21" xfId="9664"/>
    <cellStyle name="Input 2 3 21 2" xfId="9665"/>
    <cellStyle name="Input 2 3 22" xfId="9666"/>
    <cellStyle name="Input 2 3 22 2" xfId="9667"/>
    <cellStyle name="Input 2 3 23" xfId="9668"/>
    <cellStyle name="Input 2 3 23 2" xfId="9669"/>
    <cellStyle name="Input 2 3 24" xfId="9670"/>
    <cellStyle name="Input 2 3 24 2" xfId="9671"/>
    <cellStyle name="Input 2 3 25" xfId="9672"/>
    <cellStyle name="Input 2 3 25 2" xfId="9673"/>
    <cellStyle name="Input 2 3 26" xfId="9674"/>
    <cellStyle name="Input 2 3 26 2" xfId="9675"/>
    <cellStyle name="Input 2 3 27" xfId="9676"/>
    <cellStyle name="Input 2 3 27 2" xfId="9677"/>
    <cellStyle name="Input 2 3 28" xfId="9678"/>
    <cellStyle name="Input 2 3 28 2" xfId="9679"/>
    <cellStyle name="Input 2 3 29" xfId="9680"/>
    <cellStyle name="Input 2 3 29 2" xfId="9681"/>
    <cellStyle name="Input 2 3 3" xfId="9682"/>
    <cellStyle name="Input 2 3 3 2" xfId="9683"/>
    <cellStyle name="Input 2 3 3 3" xfId="9684"/>
    <cellStyle name="Input 2 3 30" xfId="9685"/>
    <cellStyle name="Input 2 3 30 2" xfId="9686"/>
    <cellStyle name="Input 2 3 31" xfId="9687"/>
    <cellStyle name="Input 2 3 4" xfId="9688"/>
    <cellStyle name="Input 2 3 4 2" xfId="9689"/>
    <cellStyle name="Input 2 3 5" xfId="9690"/>
    <cellStyle name="Input 2 3 5 2" xfId="9691"/>
    <cellStyle name="Input 2 3 6" xfId="9692"/>
    <cellStyle name="Input 2 3 6 2" xfId="9693"/>
    <cellStyle name="Input 2 3 7" xfId="9694"/>
    <cellStyle name="Input 2 3 7 2" xfId="9695"/>
    <cellStyle name="Input 2 3 8" xfId="9696"/>
    <cellStyle name="Input 2 3 8 2" xfId="9697"/>
    <cellStyle name="Input 2 3 9" xfId="9698"/>
    <cellStyle name="Input 2 3 9 2" xfId="9699"/>
    <cellStyle name="Input 2 30" xfId="9700"/>
    <cellStyle name="Input 2 30 2" xfId="9701"/>
    <cellStyle name="Input 2 31" xfId="9702"/>
    <cellStyle name="Input 2 31 2" xfId="9703"/>
    <cellStyle name="Input 2 32" xfId="9704"/>
    <cellStyle name="Input 2 32 2" xfId="9705"/>
    <cellStyle name="Input 2 33" xfId="9706"/>
    <cellStyle name="Input 2 33 2" xfId="9707"/>
    <cellStyle name="Input 2 34" xfId="9708"/>
    <cellStyle name="Input 2 34 2" xfId="9709"/>
    <cellStyle name="Input 2 35" xfId="9710"/>
    <cellStyle name="Input 2 35 2" xfId="9711"/>
    <cellStyle name="Input 2 36" xfId="9712"/>
    <cellStyle name="Input 2 36 2" xfId="9713"/>
    <cellStyle name="Input 2 37" xfId="9714"/>
    <cellStyle name="Input 2 37 2" xfId="9715"/>
    <cellStyle name="Input 2 38" xfId="9716"/>
    <cellStyle name="Input 2 38 2" xfId="9717"/>
    <cellStyle name="Input 2 39" xfId="9718"/>
    <cellStyle name="Input 2 39 2" xfId="9719"/>
    <cellStyle name="Input 2 4" xfId="9720"/>
    <cellStyle name="Input 2 4 2" xfId="9721"/>
    <cellStyle name="Input 2 4 2 2" xfId="9722"/>
    <cellStyle name="Input 2 4 3" xfId="9723"/>
    <cellStyle name="Input 2 4 3 2" xfId="9724"/>
    <cellStyle name="Input 2 4 4" xfId="9725"/>
    <cellStyle name="Input 2 4 4 2" xfId="9726"/>
    <cellStyle name="Input 2 4 5" xfId="9727"/>
    <cellStyle name="Input 2 40" xfId="9728"/>
    <cellStyle name="Input 2 40 2" xfId="9729"/>
    <cellStyle name="Input 2 41" xfId="9730"/>
    <cellStyle name="Input 2 41 2" xfId="9731"/>
    <cellStyle name="Input 2 42" xfId="9732"/>
    <cellStyle name="Input 2 42 2" xfId="9733"/>
    <cellStyle name="Input 2 43" xfId="9734"/>
    <cellStyle name="Input 2 43 2" xfId="9735"/>
    <cellStyle name="Input 2 44" xfId="9736"/>
    <cellStyle name="Input 2 44 2" xfId="9737"/>
    <cellStyle name="Input 2 45" xfId="9738"/>
    <cellStyle name="Input 2 45 2" xfId="9739"/>
    <cellStyle name="Input 2 46" xfId="9740"/>
    <cellStyle name="Input 2 46 2" xfId="9741"/>
    <cellStyle name="Input 2 47" xfId="9742"/>
    <cellStyle name="Input 2 47 2" xfId="9743"/>
    <cellStyle name="Input 2 48" xfId="9744"/>
    <cellStyle name="Input 2 48 2" xfId="9745"/>
    <cellStyle name="Input 2 49" xfId="9746"/>
    <cellStyle name="Input 2 49 2" xfId="9747"/>
    <cellStyle name="Input 2 5" xfId="9748"/>
    <cellStyle name="Input 2 5 2" xfId="9749"/>
    <cellStyle name="Input 2 5 2 2" xfId="9750"/>
    <cellStyle name="Input 2 5 3" xfId="9751"/>
    <cellStyle name="Input 2 5 3 2" xfId="9752"/>
    <cellStyle name="Input 2 5 4" xfId="9753"/>
    <cellStyle name="Input 2 5 4 2" xfId="9754"/>
    <cellStyle name="Input 2 5 5" xfId="9755"/>
    <cellStyle name="Input 2 50" xfId="9756"/>
    <cellStyle name="Input 2 50 2" xfId="9757"/>
    <cellStyle name="Input 2 51" xfId="9758"/>
    <cellStyle name="Input 2 51 2" xfId="9759"/>
    <cellStyle name="Input 2 52" xfId="9760"/>
    <cellStyle name="Input 2 52 2" xfId="9761"/>
    <cellStyle name="Input 2 53" xfId="9762"/>
    <cellStyle name="Input 2 53 2" xfId="9763"/>
    <cellStyle name="Input 2 54" xfId="9764"/>
    <cellStyle name="Input 2 54 2" xfId="9765"/>
    <cellStyle name="Input 2 55" xfId="9766"/>
    <cellStyle name="Input 2 55 2" xfId="9767"/>
    <cellStyle name="Input 2 56" xfId="9768"/>
    <cellStyle name="Input 2 56 2" xfId="9769"/>
    <cellStyle name="Input 2 57" xfId="9770"/>
    <cellStyle name="Input 2 57 2" xfId="9771"/>
    <cellStyle name="Input 2 58" xfId="9772"/>
    <cellStyle name="Input 2 58 2" xfId="9773"/>
    <cellStyle name="Input 2 59" xfId="9774"/>
    <cellStyle name="Input 2 59 2" xfId="9775"/>
    <cellStyle name="Input 2 6" xfId="9776"/>
    <cellStyle name="Input 2 6 2" xfId="9777"/>
    <cellStyle name="Input 2 6 2 2" xfId="9778"/>
    <cellStyle name="Input 2 6 3" xfId="9779"/>
    <cellStyle name="Input 2 6 3 2" xfId="9780"/>
    <cellStyle name="Input 2 6 4" xfId="9781"/>
    <cellStyle name="Input 2 6 4 2" xfId="9782"/>
    <cellStyle name="Input 2 6 5" xfId="9783"/>
    <cellStyle name="Input 2 60" xfId="9784"/>
    <cellStyle name="Input 2 60 2" xfId="9785"/>
    <cellStyle name="Input 2 61" xfId="9786"/>
    <cellStyle name="Input 2 61 2" xfId="9787"/>
    <cellStyle name="Input 2 62" xfId="9788"/>
    <cellStyle name="Input 2 62 2" xfId="9789"/>
    <cellStyle name="Input 2 63" xfId="9790"/>
    <cellStyle name="Input 2 63 2" xfId="9791"/>
    <cellStyle name="Input 2 64" xfId="9792"/>
    <cellStyle name="Input 2 7" xfId="9793"/>
    <cellStyle name="Input 2 7 2" xfId="9794"/>
    <cellStyle name="Input 2 7 2 2" xfId="9795"/>
    <cellStyle name="Input 2 7 3" xfId="9796"/>
    <cellStyle name="Input 2 7 3 2" xfId="9797"/>
    <cellStyle name="Input 2 7 4" xfId="9798"/>
    <cellStyle name="Input 2 7 4 2" xfId="9799"/>
    <cellStyle name="Input 2 7 5" xfId="9800"/>
    <cellStyle name="Input 2 8" xfId="9801"/>
    <cellStyle name="Input 2 8 2" xfId="9802"/>
    <cellStyle name="Input 2 8 2 2" xfId="9803"/>
    <cellStyle name="Input 2 8 3" xfId="9804"/>
    <cellStyle name="Input 2 8 3 2" xfId="9805"/>
    <cellStyle name="Input 2 8 4" xfId="9806"/>
    <cellStyle name="Input 2 8 4 2" xfId="9807"/>
    <cellStyle name="Input 2 8 5" xfId="9808"/>
    <cellStyle name="Input 2 9" xfId="9809"/>
    <cellStyle name="Input 2 9 2" xfId="9810"/>
    <cellStyle name="Input 2 9 2 2" xfId="9811"/>
    <cellStyle name="Input 2 9 3" xfId="9812"/>
    <cellStyle name="Input 2 9 3 2" xfId="9813"/>
    <cellStyle name="Input 2 9 4" xfId="9814"/>
    <cellStyle name="Input 2 9 4 2" xfId="9815"/>
    <cellStyle name="Input 2 9 5" xfId="9816"/>
    <cellStyle name="Input 20" xfId="9817"/>
    <cellStyle name="Input 20 2" xfId="9818"/>
    <cellStyle name="Input 21" xfId="9819"/>
    <cellStyle name="Input 21 2" xfId="9820"/>
    <cellStyle name="Input 22" xfId="9821"/>
    <cellStyle name="Input 22 2" xfId="9822"/>
    <cellStyle name="Input 23" xfId="9823"/>
    <cellStyle name="Input 23 2" xfId="9824"/>
    <cellStyle name="Input 24" xfId="9825"/>
    <cellStyle name="Input 24 2" xfId="9826"/>
    <cellStyle name="Input 25" xfId="9827"/>
    <cellStyle name="Input 25 2" xfId="9828"/>
    <cellStyle name="Input 26" xfId="9829"/>
    <cellStyle name="Input 26 2" xfId="9830"/>
    <cellStyle name="Input 27" xfId="9831"/>
    <cellStyle name="Input 27 2" xfId="9832"/>
    <cellStyle name="Input 28" xfId="9833"/>
    <cellStyle name="Input 28 2" xfId="9834"/>
    <cellStyle name="Input 29" xfId="9835"/>
    <cellStyle name="Input 29 2" xfId="9836"/>
    <cellStyle name="Input 3" xfId="9837"/>
    <cellStyle name="Input 30" xfId="9838"/>
    <cellStyle name="Input 30 2" xfId="9839"/>
    <cellStyle name="Input 31" xfId="9840"/>
    <cellStyle name="Input 31 2" xfId="9841"/>
    <cellStyle name="Input 32" xfId="9842"/>
    <cellStyle name="Input 32 2" xfId="9843"/>
    <cellStyle name="Input 33" xfId="9844"/>
    <cellStyle name="Input 33 2" xfId="9845"/>
    <cellStyle name="Input 34" xfId="9846"/>
    <cellStyle name="Input 34 2" xfId="9847"/>
    <cellStyle name="Input 35" xfId="9848"/>
    <cellStyle name="Input 35 2" xfId="9849"/>
    <cellStyle name="Input 36" xfId="9850"/>
    <cellStyle name="Input 36 2" xfId="9851"/>
    <cellStyle name="Input 37" xfId="9852"/>
    <cellStyle name="Input 37 2" xfId="9853"/>
    <cellStyle name="Input 38" xfId="9854"/>
    <cellStyle name="Input 38 2" xfId="9855"/>
    <cellStyle name="Input 39" xfId="9856"/>
    <cellStyle name="Input 39 2" xfId="9857"/>
    <cellStyle name="Input 4" xfId="9858"/>
    <cellStyle name="Input 4 10" xfId="9859"/>
    <cellStyle name="Input 4 10 2" xfId="9860"/>
    <cellStyle name="Input 4 11" xfId="9861"/>
    <cellStyle name="Input 4 11 2" xfId="9862"/>
    <cellStyle name="Input 4 12" xfId="9863"/>
    <cellStyle name="Input 4 12 2" xfId="9864"/>
    <cellStyle name="Input 4 13" xfId="9865"/>
    <cellStyle name="Input 4 13 2" xfId="9866"/>
    <cellStyle name="Input 4 14" xfId="9867"/>
    <cellStyle name="Input 4 14 2" xfId="9868"/>
    <cellStyle name="Input 4 15" xfId="9869"/>
    <cellStyle name="Input 4 15 2" xfId="9870"/>
    <cellStyle name="Input 4 16" xfId="9871"/>
    <cellStyle name="Input 4 16 2" xfId="9872"/>
    <cellStyle name="Input 4 17" xfId="9873"/>
    <cellStyle name="Input 4 17 2" xfId="9874"/>
    <cellStyle name="Input 4 18" xfId="9875"/>
    <cellStyle name="Input 4 18 2" xfId="9876"/>
    <cellStyle name="Input 4 19" xfId="9877"/>
    <cellStyle name="Input 4 19 2" xfId="9878"/>
    <cellStyle name="Input 4 2" xfId="9879"/>
    <cellStyle name="Input 4 2 10" xfId="9880"/>
    <cellStyle name="Input 4 2 10 2" xfId="9881"/>
    <cellStyle name="Input 4 2 11" xfId="9882"/>
    <cellStyle name="Input 4 2 11 2" xfId="9883"/>
    <cellStyle name="Input 4 2 12" xfId="9884"/>
    <cellStyle name="Input 4 2 12 2" xfId="9885"/>
    <cellStyle name="Input 4 2 13" xfId="9886"/>
    <cellStyle name="Input 4 2 13 2" xfId="9887"/>
    <cellStyle name="Input 4 2 14" xfId="9888"/>
    <cellStyle name="Input 4 2 14 2" xfId="9889"/>
    <cellStyle name="Input 4 2 15" xfId="9890"/>
    <cellStyle name="Input 4 2 15 2" xfId="9891"/>
    <cellStyle name="Input 4 2 16" xfId="9892"/>
    <cellStyle name="Input 4 2 16 2" xfId="9893"/>
    <cellStyle name="Input 4 2 17" xfId="9894"/>
    <cellStyle name="Input 4 2 17 2" xfId="9895"/>
    <cellStyle name="Input 4 2 18" xfId="9896"/>
    <cellStyle name="Input 4 2 18 2" xfId="9897"/>
    <cellStyle name="Input 4 2 19" xfId="9898"/>
    <cellStyle name="Input 4 2 19 2" xfId="9899"/>
    <cellStyle name="Input 4 2 2" xfId="9900"/>
    <cellStyle name="Input 4 2 2 2" xfId="9901"/>
    <cellStyle name="Input 4 2 2 3" xfId="9902"/>
    <cellStyle name="Input 4 2 20" xfId="9903"/>
    <cellStyle name="Input 4 2 20 2" xfId="9904"/>
    <cellStyle name="Input 4 2 21" xfId="9905"/>
    <cellStyle name="Input 4 2 21 2" xfId="9906"/>
    <cellStyle name="Input 4 2 22" xfId="9907"/>
    <cellStyle name="Input 4 2 22 2" xfId="9908"/>
    <cellStyle name="Input 4 2 23" xfId="9909"/>
    <cellStyle name="Input 4 2 23 2" xfId="9910"/>
    <cellStyle name="Input 4 2 24" xfId="9911"/>
    <cellStyle name="Input 4 2 24 2" xfId="9912"/>
    <cellStyle name="Input 4 2 25" xfId="9913"/>
    <cellStyle name="Input 4 2 25 2" xfId="9914"/>
    <cellStyle name="Input 4 2 26" xfId="9915"/>
    <cellStyle name="Input 4 2 26 2" xfId="9916"/>
    <cellStyle name="Input 4 2 27" xfId="9917"/>
    <cellStyle name="Input 4 2 27 2" xfId="9918"/>
    <cellStyle name="Input 4 2 28" xfId="9919"/>
    <cellStyle name="Input 4 2 28 2" xfId="9920"/>
    <cellStyle name="Input 4 2 29" xfId="9921"/>
    <cellStyle name="Input 4 2 29 2" xfId="9922"/>
    <cellStyle name="Input 4 2 3" xfId="9923"/>
    <cellStyle name="Input 4 2 3 2" xfId="9924"/>
    <cellStyle name="Input 4 2 3 3" xfId="9925"/>
    <cellStyle name="Input 4 2 30" xfId="9926"/>
    <cellStyle name="Input 4 2 30 2" xfId="9927"/>
    <cellStyle name="Input 4 2 31" xfId="9928"/>
    <cellStyle name="Input 4 2 4" xfId="9929"/>
    <cellStyle name="Input 4 2 4 2" xfId="9930"/>
    <cellStyle name="Input 4 2 5" xfId="9931"/>
    <cellStyle name="Input 4 2 5 2" xfId="9932"/>
    <cellStyle name="Input 4 2 6" xfId="9933"/>
    <cellStyle name="Input 4 2 6 2" xfId="9934"/>
    <cellStyle name="Input 4 2 7" xfId="9935"/>
    <cellStyle name="Input 4 2 7 2" xfId="9936"/>
    <cellStyle name="Input 4 2 8" xfId="9937"/>
    <cellStyle name="Input 4 2 8 2" xfId="9938"/>
    <cellStyle name="Input 4 2 9" xfId="9939"/>
    <cellStyle name="Input 4 2 9 2" xfId="9940"/>
    <cellStyle name="Input 4 20" xfId="9941"/>
    <cellStyle name="Input 4 20 2" xfId="9942"/>
    <cellStyle name="Input 4 21" xfId="9943"/>
    <cellStyle name="Input 4 21 2" xfId="9944"/>
    <cellStyle name="Input 4 22" xfId="9945"/>
    <cellStyle name="Input 4 22 2" xfId="9946"/>
    <cellStyle name="Input 4 23" xfId="9947"/>
    <cellStyle name="Input 4 23 2" xfId="9948"/>
    <cellStyle name="Input 4 24" xfId="9949"/>
    <cellStyle name="Input 4 24 2" xfId="9950"/>
    <cellStyle name="Input 4 25" xfId="9951"/>
    <cellStyle name="Input 4 25 2" xfId="9952"/>
    <cellStyle name="Input 4 26" xfId="9953"/>
    <cellStyle name="Input 4 26 2" xfId="9954"/>
    <cellStyle name="Input 4 27" xfId="9955"/>
    <cellStyle name="Input 4 27 2" xfId="9956"/>
    <cellStyle name="Input 4 28" xfId="9957"/>
    <cellStyle name="Input 4 28 2" xfId="9958"/>
    <cellStyle name="Input 4 29" xfId="9959"/>
    <cellStyle name="Input 4 29 2" xfId="9960"/>
    <cellStyle name="Input 4 3" xfId="9961"/>
    <cellStyle name="Input 4 3 2" xfId="9962"/>
    <cellStyle name="Input 4 3 2 2" xfId="9963"/>
    <cellStyle name="Input 4 3 3" xfId="9964"/>
    <cellStyle name="Input 4 3 3 2" xfId="9965"/>
    <cellStyle name="Input 4 3 4" xfId="9966"/>
    <cellStyle name="Input 4 3 4 2" xfId="9967"/>
    <cellStyle name="Input 4 3 5" xfId="9968"/>
    <cellStyle name="Input 4 30" xfId="9969"/>
    <cellStyle name="Input 4 30 2" xfId="9970"/>
    <cellStyle name="Input 4 31" xfId="9971"/>
    <cellStyle name="Input 4 31 2" xfId="9972"/>
    <cellStyle name="Input 4 32" xfId="9973"/>
    <cellStyle name="Input 4 32 2" xfId="9974"/>
    <cellStyle name="Input 4 33" xfId="9975"/>
    <cellStyle name="Input 4 33 2" xfId="9976"/>
    <cellStyle name="Input 4 34" xfId="9977"/>
    <cellStyle name="Input 4 34 2" xfId="9978"/>
    <cellStyle name="Input 4 35" xfId="9979"/>
    <cellStyle name="Input 4 35 2" xfId="9980"/>
    <cellStyle name="Input 4 36" xfId="9981"/>
    <cellStyle name="Input 4 36 2" xfId="9982"/>
    <cellStyle name="Input 4 37" xfId="9983"/>
    <cellStyle name="Input 4 37 2" xfId="9984"/>
    <cellStyle name="Input 4 38" xfId="9985"/>
    <cellStyle name="Input 4 38 2" xfId="9986"/>
    <cellStyle name="Input 4 39" xfId="9987"/>
    <cellStyle name="Input 4 39 2" xfId="9988"/>
    <cellStyle name="Input 4 4" xfId="9989"/>
    <cellStyle name="Input 4 4 2" xfId="9990"/>
    <cellStyle name="Input 4 4 2 2" xfId="9991"/>
    <cellStyle name="Input 4 4 3" xfId="9992"/>
    <cellStyle name="Input 4 4 3 2" xfId="9993"/>
    <cellStyle name="Input 4 4 4" xfId="9994"/>
    <cellStyle name="Input 4 4 4 2" xfId="9995"/>
    <cellStyle name="Input 4 4 5" xfId="9996"/>
    <cellStyle name="Input 4 40" xfId="9997"/>
    <cellStyle name="Input 4 40 2" xfId="9998"/>
    <cellStyle name="Input 4 41" xfId="9999"/>
    <cellStyle name="Input 4 41 2" xfId="10000"/>
    <cellStyle name="Input 4 42" xfId="10001"/>
    <cellStyle name="Input 4 42 2" xfId="10002"/>
    <cellStyle name="Input 4 43" xfId="10003"/>
    <cellStyle name="Input 4 43 2" xfId="10004"/>
    <cellStyle name="Input 4 44" xfId="10005"/>
    <cellStyle name="Input 4 44 2" xfId="10006"/>
    <cellStyle name="Input 4 45" xfId="10007"/>
    <cellStyle name="Input 4 45 2" xfId="10008"/>
    <cellStyle name="Input 4 46" xfId="10009"/>
    <cellStyle name="Input 4 46 2" xfId="10010"/>
    <cellStyle name="Input 4 47" xfId="10011"/>
    <cellStyle name="Input 4 47 2" xfId="10012"/>
    <cellStyle name="Input 4 48" xfId="10013"/>
    <cellStyle name="Input 4 48 2" xfId="10014"/>
    <cellStyle name="Input 4 49" xfId="10015"/>
    <cellStyle name="Input 4 49 2" xfId="10016"/>
    <cellStyle name="Input 4 5" xfId="10017"/>
    <cellStyle name="Input 4 5 2" xfId="10018"/>
    <cellStyle name="Input 4 5 2 2" xfId="10019"/>
    <cellStyle name="Input 4 5 3" xfId="10020"/>
    <cellStyle name="Input 4 5 3 2" xfId="10021"/>
    <cellStyle name="Input 4 5 4" xfId="10022"/>
    <cellStyle name="Input 4 5 4 2" xfId="10023"/>
    <cellStyle name="Input 4 5 5" xfId="10024"/>
    <cellStyle name="Input 4 50" xfId="10025"/>
    <cellStyle name="Input 4 50 2" xfId="10026"/>
    <cellStyle name="Input 4 51" xfId="10027"/>
    <cellStyle name="Input 4 51 2" xfId="10028"/>
    <cellStyle name="Input 4 52" xfId="10029"/>
    <cellStyle name="Input 4 52 2" xfId="10030"/>
    <cellStyle name="Input 4 53" xfId="10031"/>
    <cellStyle name="Input 4 53 2" xfId="10032"/>
    <cellStyle name="Input 4 54" xfId="10033"/>
    <cellStyle name="Input 4 54 2" xfId="10034"/>
    <cellStyle name="Input 4 55" xfId="10035"/>
    <cellStyle name="Input 4 55 2" xfId="10036"/>
    <cellStyle name="Input 4 56" xfId="10037"/>
    <cellStyle name="Input 4 56 2" xfId="10038"/>
    <cellStyle name="Input 4 57" xfId="10039"/>
    <cellStyle name="Input 4 6" xfId="10040"/>
    <cellStyle name="Input 4 6 2" xfId="10041"/>
    <cellStyle name="Input 4 6 2 2" xfId="10042"/>
    <cellStyle name="Input 4 6 3" xfId="10043"/>
    <cellStyle name="Input 4 6 3 2" xfId="10044"/>
    <cellStyle name="Input 4 6 4" xfId="10045"/>
    <cellStyle name="Input 4 6 4 2" xfId="10046"/>
    <cellStyle name="Input 4 6 5" xfId="10047"/>
    <cellStyle name="Input 4 7" xfId="10048"/>
    <cellStyle name="Input 4 7 2" xfId="10049"/>
    <cellStyle name="Input 4 7 2 2" xfId="10050"/>
    <cellStyle name="Input 4 7 3" xfId="10051"/>
    <cellStyle name="Input 4 7 3 2" xfId="10052"/>
    <cellStyle name="Input 4 7 4" xfId="10053"/>
    <cellStyle name="Input 4 7 4 2" xfId="10054"/>
    <cellStyle name="Input 4 7 5" xfId="10055"/>
    <cellStyle name="Input 4 8" xfId="10056"/>
    <cellStyle name="Input 4 8 2" xfId="10057"/>
    <cellStyle name="Input 4 8 2 2" xfId="10058"/>
    <cellStyle name="Input 4 8 3" xfId="10059"/>
    <cellStyle name="Input 4 8 3 2" xfId="10060"/>
    <cellStyle name="Input 4 8 4" xfId="10061"/>
    <cellStyle name="Input 4 8 4 2" xfId="10062"/>
    <cellStyle name="Input 4 8 5" xfId="10063"/>
    <cellStyle name="Input 4 9" xfId="10064"/>
    <cellStyle name="Input 4 9 2" xfId="10065"/>
    <cellStyle name="Input 4 9 2 2" xfId="10066"/>
    <cellStyle name="Input 4 9 3" xfId="10067"/>
    <cellStyle name="Input 4 9 3 2" xfId="10068"/>
    <cellStyle name="Input 4 9 4" xfId="10069"/>
    <cellStyle name="Input 4 9 4 2" xfId="10070"/>
    <cellStyle name="Input 4 9 5" xfId="10071"/>
    <cellStyle name="Input 40" xfId="10072"/>
    <cellStyle name="Input 40 2" xfId="10073"/>
    <cellStyle name="Input 41" xfId="10074"/>
    <cellStyle name="Input 41 2" xfId="10075"/>
    <cellStyle name="Input 42" xfId="10076"/>
    <cellStyle name="Input 42 2" xfId="10077"/>
    <cellStyle name="Input 43" xfId="10078"/>
    <cellStyle name="Input 43 2" xfId="10079"/>
    <cellStyle name="Input 44" xfId="10080"/>
    <cellStyle name="Input 44 2" xfId="10081"/>
    <cellStyle name="Input 45" xfId="10082"/>
    <cellStyle name="Input 45 2" xfId="10083"/>
    <cellStyle name="Input 46" xfId="10084"/>
    <cellStyle name="Input 46 2" xfId="10085"/>
    <cellStyle name="Input 47" xfId="10086"/>
    <cellStyle name="Input 47 2" xfId="10087"/>
    <cellStyle name="Input 48" xfId="10088"/>
    <cellStyle name="Input 48 2" xfId="10089"/>
    <cellStyle name="Input 49" xfId="10090"/>
    <cellStyle name="Input 49 2" xfId="10091"/>
    <cellStyle name="Input 5" xfId="10092"/>
    <cellStyle name="Input 5 10" xfId="10093"/>
    <cellStyle name="Input 5 10 2" xfId="10094"/>
    <cellStyle name="Input 5 11" xfId="10095"/>
    <cellStyle name="Input 5 11 2" xfId="10096"/>
    <cellStyle name="Input 5 12" xfId="10097"/>
    <cellStyle name="Input 5 12 2" xfId="10098"/>
    <cellStyle name="Input 5 13" xfId="10099"/>
    <cellStyle name="Input 5 13 2" xfId="10100"/>
    <cellStyle name="Input 5 14" xfId="10101"/>
    <cellStyle name="Input 5 14 2" xfId="10102"/>
    <cellStyle name="Input 5 15" xfId="10103"/>
    <cellStyle name="Input 5 15 2" xfId="10104"/>
    <cellStyle name="Input 5 16" xfId="10105"/>
    <cellStyle name="Input 5 16 2" xfId="10106"/>
    <cellStyle name="Input 5 17" xfId="10107"/>
    <cellStyle name="Input 5 17 2" xfId="10108"/>
    <cellStyle name="Input 5 18" xfId="10109"/>
    <cellStyle name="Input 5 18 2" xfId="10110"/>
    <cellStyle name="Input 5 19" xfId="10111"/>
    <cellStyle name="Input 5 19 2" xfId="10112"/>
    <cellStyle name="Input 5 2" xfId="10113"/>
    <cellStyle name="Input 5 2 2" xfId="10114"/>
    <cellStyle name="Input 5 2 3" xfId="10115"/>
    <cellStyle name="Input 5 20" xfId="10116"/>
    <cellStyle name="Input 5 20 2" xfId="10117"/>
    <cellStyle name="Input 5 21" xfId="10118"/>
    <cellStyle name="Input 5 21 2" xfId="10119"/>
    <cellStyle name="Input 5 22" xfId="10120"/>
    <cellStyle name="Input 5 22 2" xfId="10121"/>
    <cellStyle name="Input 5 23" xfId="10122"/>
    <cellStyle name="Input 5 23 2" xfId="10123"/>
    <cellStyle name="Input 5 24" xfId="10124"/>
    <cellStyle name="Input 5 24 2" xfId="10125"/>
    <cellStyle name="Input 5 25" xfId="10126"/>
    <cellStyle name="Input 5 25 2" xfId="10127"/>
    <cellStyle name="Input 5 26" xfId="10128"/>
    <cellStyle name="Input 5 26 2" xfId="10129"/>
    <cellStyle name="Input 5 27" xfId="10130"/>
    <cellStyle name="Input 5 27 2" xfId="10131"/>
    <cellStyle name="Input 5 28" xfId="10132"/>
    <cellStyle name="Input 5 28 2" xfId="10133"/>
    <cellStyle name="Input 5 29" xfId="10134"/>
    <cellStyle name="Input 5 29 2" xfId="10135"/>
    <cellStyle name="Input 5 3" xfId="10136"/>
    <cellStyle name="Input 5 3 2" xfId="10137"/>
    <cellStyle name="Input 5 3 3" xfId="10138"/>
    <cellStyle name="Input 5 30" xfId="10139"/>
    <cellStyle name="Input 5 30 2" xfId="10140"/>
    <cellStyle name="Input 5 31" xfId="10141"/>
    <cellStyle name="Input 5 4" xfId="10142"/>
    <cellStyle name="Input 5 4 2" xfId="10143"/>
    <cellStyle name="Input 5 5" xfId="10144"/>
    <cellStyle name="Input 5 5 2" xfId="10145"/>
    <cellStyle name="Input 5 6" xfId="10146"/>
    <cellStyle name="Input 5 6 2" xfId="10147"/>
    <cellStyle name="Input 5 7" xfId="10148"/>
    <cellStyle name="Input 5 7 2" xfId="10149"/>
    <cellStyle name="Input 5 8" xfId="10150"/>
    <cellStyle name="Input 5 8 2" xfId="10151"/>
    <cellStyle name="Input 5 9" xfId="10152"/>
    <cellStyle name="Input 5 9 2" xfId="10153"/>
    <cellStyle name="Input 50" xfId="10154"/>
    <cellStyle name="Input 50 2" xfId="10155"/>
    <cellStyle name="Input 51" xfId="10156"/>
    <cellStyle name="Input 51 2" xfId="10157"/>
    <cellStyle name="Input 52" xfId="10158"/>
    <cellStyle name="Input 52 2" xfId="10159"/>
    <cellStyle name="Input 53" xfId="10160"/>
    <cellStyle name="Input 53 2" xfId="10161"/>
    <cellStyle name="Input 54" xfId="10162"/>
    <cellStyle name="Input 54 2" xfId="10163"/>
    <cellStyle name="Input 55" xfId="10164"/>
    <cellStyle name="Input 55 2" xfId="10165"/>
    <cellStyle name="Input 56" xfId="10166"/>
    <cellStyle name="Input 56 2" xfId="10167"/>
    <cellStyle name="Input 57" xfId="10168"/>
    <cellStyle name="Input 57 2" xfId="10169"/>
    <cellStyle name="Input 58" xfId="10170"/>
    <cellStyle name="Input 58 2" xfId="10171"/>
    <cellStyle name="Input 59" xfId="10172"/>
    <cellStyle name="Input 59 2" xfId="10173"/>
    <cellStyle name="Input 6" xfId="10174"/>
    <cellStyle name="Input 6 2" xfId="10175"/>
    <cellStyle name="Input 6 2 2" xfId="10176"/>
    <cellStyle name="Input 6 3" xfId="10177"/>
    <cellStyle name="Input 6 3 2" xfId="10178"/>
    <cellStyle name="Input 6 4" xfId="10179"/>
    <cellStyle name="Input 6 4 2" xfId="10180"/>
    <cellStyle name="Input 6 5" xfId="10181"/>
    <cellStyle name="Input 60" xfId="10182"/>
    <cellStyle name="Input 60 2" xfId="10183"/>
    <cellStyle name="Input 61" xfId="10184"/>
    <cellStyle name="Input 61 2" xfId="10185"/>
    <cellStyle name="Input 62" xfId="10186"/>
    <cellStyle name="Input 63" xfId="10187"/>
    <cellStyle name="Input 64" xfId="10188"/>
    <cellStyle name="Input 65" xfId="10189"/>
    <cellStyle name="Input 66" xfId="10190"/>
    <cellStyle name="Input 67" xfId="10191"/>
    <cellStyle name="Input 68" xfId="10192"/>
    <cellStyle name="Input 68 2" xfId="10193"/>
    <cellStyle name="Input 69" xfId="10194"/>
    <cellStyle name="Input 69 2" xfId="10195"/>
    <cellStyle name="Input 7" xfId="10196"/>
    <cellStyle name="Input 7 10" xfId="10197"/>
    <cellStyle name="Input 7 11" xfId="10198"/>
    <cellStyle name="Input 7 12" xfId="10199"/>
    <cellStyle name="Input 7 13" xfId="10200"/>
    <cellStyle name="Input 7 2" xfId="10201"/>
    <cellStyle name="Input 7 2 2" xfId="10202"/>
    <cellStyle name="Input 7 2 3" xfId="10203"/>
    <cellStyle name="Input 7 3" xfId="10204"/>
    <cellStyle name="Input 7 3 2" xfId="10205"/>
    <cellStyle name="Input 7 4" xfId="10206"/>
    <cellStyle name="Input 7 4 2" xfId="10207"/>
    <cellStyle name="Input 7 5" xfId="10208"/>
    <cellStyle name="Input 7 5 2" xfId="10209"/>
    <cellStyle name="Input 7 5 3" xfId="10210"/>
    <cellStyle name="Input 7 5 4" xfId="10211"/>
    <cellStyle name="Input 7 5 5" xfId="10212"/>
    <cellStyle name="Input 7 5 6" xfId="10213"/>
    <cellStyle name="Input 7 6" xfId="10214"/>
    <cellStyle name="Input 7 6 2" xfId="10215"/>
    <cellStyle name="Input 7 7" xfId="10216"/>
    <cellStyle name="Input 7 7 2" xfId="10217"/>
    <cellStyle name="Input 7 8" xfId="10218"/>
    <cellStyle name="Input 7 8 2" xfId="10219"/>
    <cellStyle name="Input 7 9" xfId="10220"/>
    <cellStyle name="Input 7 9 2" xfId="10221"/>
    <cellStyle name="Input 70" xfId="10222"/>
    <cellStyle name="Input 70 2" xfId="10223"/>
    <cellStyle name="Input 71" xfId="10224"/>
    <cellStyle name="Input 72" xfId="10225"/>
    <cellStyle name="Input 73" xfId="10226"/>
    <cellStyle name="Input 74" xfId="10227"/>
    <cellStyle name="Input 75" xfId="10228"/>
    <cellStyle name="Input 76" xfId="10229"/>
    <cellStyle name="Input 77" xfId="10230"/>
    <cellStyle name="Input 78" xfId="10231"/>
    <cellStyle name="Input 79" xfId="10232"/>
    <cellStyle name="Input 8" xfId="10233"/>
    <cellStyle name="Input 8 10" xfId="10234"/>
    <cellStyle name="Input 8 11" xfId="10235"/>
    <cellStyle name="Input 8 12" xfId="10236"/>
    <cellStyle name="Input 8 13" xfId="10237"/>
    <cellStyle name="Input 8 2" xfId="10238"/>
    <cellStyle name="Input 8 2 2" xfId="10239"/>
    <cellStyle name="Input 8 2 3" xfId="10240"/>
    <cellStyle name="Input 8 3" xfId="10241"/>
    <cellStyle name="Input 8 3 2" xfId="10242"/>
    <cellStyle name="Input 8 4" xfId="10243"/>
    <cellStyle name="Input 8 4 2" xfId="10244"/>
    <cellStyle name="Input 8 5" xfId="10245"/>
    <cellStyle name="Input 8 5 2" xfId="10246"/>
    <cellStyle name="Input 8 5 3" xfId="10247"/>
    <cellStyle name="Input 8 5 4" xfId="10248"/>
    <cellStyle name="Input 8 5 5" xfId="10249"/>
    <cellStyle name="Input 8 5 6" xfId="10250"/>
    <cellStyle name="Input 8 6" xfId="10251"/>
    <cellStyle name="Input 8 6 2" xfId="10252"/>
    <cellStyle name="Input 8 7" xfId="10253"/>
    <cellStyle name="Input 8 7 2" xfId="10254"/>
    <cellStyle name="Input 8 8" xfId="10255"/>
    <cellStyle name="Input 8 8 2" xfId="10256"/>
    <cellStyle name="Input 8 9" xfId="10257"/>
    <cellStyle name="Input 8 9 2" xfId="10258"/>
    <cellStyle name="Input 80" xfId="10259"/>
    <cellStyle name="Input 81" xfId="10260"/>
    <cellStyle name="Input 82" xfId="10261"/>
    <cellStyle name="Input 83" xfId="10262"/>
    <cellStyle name="Input 84" xfId="10263"/>
    <cellStyle name="Input 85" xfId="10264"/>
    <cellStyle name="Input 85 2" xfId="10265"/>
    <cellStyle name="Input 86" xfId="10266"/>
    <cellStyle name="Input 86 2" xfId="10267"/>
    <cellStyle name="Input 87" xfId="10268"/>
    <cellStyle name="Input 88" xfId="10269"/>
    <cellStyle name="Input 9" xfId="10270"/>
    <cellStyle name="Input 9 10" xfId="10271"/>
    <cellStyle name="Input 9 11" xfId="10272"/>
    <cellStyle name="Input 9 12" xfId="10273"/>
    <cellStyle name="Input 9 13" xfId="10274"/>
    <cellStyle name="Input 9 2" xfId="10275"/>
    <cellStyle name="Input 9 2 2" xfId="10276"/>
    <cellStyle name="Input 9 2 3" xfId="10277"/>
    <cellStyle name="Input 9 3" xfId="10278"/>
    <cellStyle name="Input 9 3 2" xfId="10279"/>
    <cellStyle name="Input 9 4" xfId="10280"/>
    <cellStyle name="Input 9 4 2" xfId="10281"/>
    <cellStyle name="Input 9 5" xfId="10282"/>
    <cellStyle name="Input 9 5 2" xfId="10283"/>
    <cellStyle name="Input 9 5 3" xfId="10284"/>
    <cellStyle name="Input 9 5 4" xfId="10285"/>
    <cellStyle name="Input 9 5 5" xfId="10286"/>
    <cellStyle name="Input 9 5 6" xfId="10287"/>
    <cellStyle name="Input 9 6" xfId="10288"/>
    <cellStyle name="Input 9 6 2" xfId="10289"/>
    <cellStyle name="Input 9 7" xfId="10290"/>
    <cellStyle name="Input 9 7 2" xfId="10291"/>
    <cellStyle name="Input 9 8" xfId="10292"/>
    <cellStyle name="Input 9 8 2" xfId="10293"/>
    <cellStyle name="Input 9 9" xfId="10294"/>
    <cellStyle name="Input 9 9 2" xfId="10295"/>
    <cellStyle name="Linked Cell 10" xfId="10296"/>
    <cellStyle name="Linked Cell 10 2" xfId="10297"/>
    <cellStyle name="Linked Cell 11" xfId="10298"/>
    <cellStyle name="Linked Cell 12" xfId="10299"/>
    <cellStyle name="Linked Cell 13" xfId="10300"/>
    <cellStyle name="Linked Cell 14" xfId="10301"/>
    <cellStyle name="Linked Cell 15" xfId="10302"/>
    <cellStyle name="Linked Cell 16" xfId="10303"/>
    <cellStyle name="Linked Cell 17" xfId="10304"/>
    <cellStyle name="Linked Cell 18" xfId="10305"/>
    <cellStyle name="Linked Cell 19" xfId="10306"/>
    <cellStyle name="Linked Cell 2" xfId="10307"/>
    <cellStyle name="Linked Cell 2 2" xfId="10308"/>
    <cellStyle name="Linked Cell 2 3" xfId="10309"/>
    <cellStyle name="Linked Cell 2 4" xfId="10310"/>
    <cellStyle name="Linked Cell 2 5" xfId="10311"/>
    <cellStyle name="Linked Cell 2 6" xfId="10312"/>
    <cellStyle name="Linked Cell 2 7" xfId="10313"/>
    <cellStyle name="Linked Cell 2 8" xfId="10314"/>
    <cellStyle name="Linked Cell 20" xfId="10315"/>
    <cellStyle name="Linked Cell 21" xfId="10316"/>
    <cellStyle name="Linked Cell 22" xfId="10317"/>
    <cellStyle name="Linked Cell 23" xfId="10318"/>
    <cellStyle name="Linked Cell 24" xfId="10319"/>
    <cellStyle name="Linked Cell 25" xfId="10320"/>
    <cellStyle name="Linked Cell 26" xfId="10321"/>
    <cellStyle name="Linked Cell 27" xfId="10322"/>
    <cellStyle name="Linked Cell 28" xfId="10323"/>
    <cellStyle name="Linked Cell 29" xfId="10324"/>
    <cellStyle name="Linked Cell 3" xfId="10325"/>
    <cellStyle name="Linked Cell 30" xfId="10326"/>
    <cellStyle name="Linked Cell 31" xfId="10327"/>
    <cellStyle name="Linked Cell 32" xfId="10328"/>
    <cellStyle name="Linked Cell 33" xfId="10329"/>
    <cellStyle name="Linked Cell 34" xfId="10330"/>
    <cellStyle name="Linked Cell 35" xfId="10331"/>
    <cellStyle name="Linked Cell 36" xfId="10332"/>
    <cellStyle name="Linked Cell 37" xfId="10333"/>
    <cellStyle name="Linked Cell 38" xfId="10334"/>
    <cellStyle name="Linked Cell 4" xfId="10335"/>
    <cellStyle name="Linked Cell 4 2" xfId="10336"/>
    <cellStyle name="Linked Cell 4 3" xfId="10337"/>
    <cellStyle name="Linked Cell 4 4" xfId="10338"/>
    <cellStyle name="Linked Cell 5" xfId="10339"/>
    <cellStyle name="Linked Cell 5 10" xfId="10340"/>
    <cellStyle name="Linked Cell 5 11" xfId="10341"/>
    <cellStyle name="Linked Cell 5 2" xfId="10342"/>
    <cellStyle name="Linked Cell 5 2 2" xfId="10343"/>
    <cellStyle name="Linked Cell 5 2 3" xfId="10344"/>
    <cellStyle name="Linked Cell 5 2 4" xfId="10345"/>
    <cellStyle name="Linked Cell 5 2 5" xfId="10346"/>
    <cellStyle name="Linked Cell 5 2 6" xfId="10347"/>
    <cellStyle name="Linked Cell 5 3" xfId="10348"/>
    <cellStyle name="Linked Cell 5 4" xfId="10349"/>
    <cellStyle name="Linked Cell 5 5" xfId="10350"/>
    <cellStyle name="Linked Cell 5 6" xfId="10351"/>
    <cellStyle name="Linked Cell 5 7" xfId="10352"/>
    <cellStyle name="Linked Cell 5 8" xfId="10353"/>
    <cellStyle name="Linked Cell 5 9" xfId="10354"/>
    <cellStyle name="Linked Cell 6" xfId="10355"/>
    <cellStyle name="Linked Cell 6 2" xfId="10356"/>
    <cellStyle name="Linked Cell 6 2 2" xfId="10357"/>
    <cellStyle name="Linked Cell 6 2 3" xfId="10358"/>
    <cellStyle name="Linked Cell 6 2 4" xfId="10359"/>
    <cellStyle name="Linked Cell 6 2 5" xfId="10360"/>
    <cellStyle name="Linked Cell 6 2 6" xfId="10361"/>
    <cellStyle name="Linked Cell 6 3" xfId="10362"/>
    <cellStyle name="Linked Cell 6 4" xfId="10363"/>
    <cellStyle name="Linked Cell 6 5" xfId="10364"/>
    <cellStyle name="Linked Cell 6 6" xfId="10365"/>
    <cellStyle name="Linked Cell 6 7" xfId="10366"/>
    <cellStyle name="Linked Cell 6 8" xfId="10367"/>
    <cellStyle name="Linked Cell 6 9" xfId="10368"/>
    <cellStyle name="Linked Cell 7" xfId="10369"/>
    <cellStyle name="Linked Cell 7 2" xfId="10370"/>
    <cellStyle name="Linked Cell 7 3" xfId="10371"/>
    <cellStyle name="Linked Cell 7 4" xfId="10372"/>
    <cellStyle name="Linked Cell 8" xfId="10373"/>
    <cellStyle name="Linked Cell 8 2" xfId="10374"/>
    <cellStyle name="Linked Cell 8 3" xfId="10375"/>
    <cellStyle name="Linked Cell 8 4" xfId="10376"/>
    <cellStyle name="Linked Cell 9" xfId="10377"/>
    <cellStyle name="Linked Cell 9 2" xfId="10378"/>
    <cellStyle name="Linked Cell 9 3" xfId="10379"/>
    <cellStyle name="Neutral 10" xfId="10380"/>
    <cellStyle name="Neutral 10 2" xfId="10381"/>
    <cellStyle name="Neutral 11" xfId="10382"/>
    <cellStyle name="Neutral 12" xfId="10383"/>
    <cellStyle name="Neutral 13" xfId="10384"/>
    <cellStyle name="Neutral 14" xfId="10385"/>
    <cellStyle name="Neutral 15" xfId="10386"/>
    <cellStyle name="Neutral 16" xfId="10387"/>
    <cellStyle name="Neutral 17" xfId="10388"/>
    <cellStyle name="Neutral 18" xfId="10389"/>
    <cellStyle name="Neutral 19" xfId="10390"/>
    <cellStyle name="Neutral 2" xfId="10391"/>
    <cellStyle name="Neutral 2 2" xfId="10392"/>
    <cellStyle name="Neutral 2 3" xfId="10393"/>
    <cellStyle name="Neutral 2 4" xfId="10394"/>
    <cellStyle name="Neutral 2 5" xfId="10395"/>
    <cellStyle name="Neutral 2 6" xfId="10396"/>
    <cellStyle name="Neutral 2 7" xfId="10397"/>
    <cellStyle name="Neutral 2 8" xfId="10398"/>
    <cellStyle name="Neutral 20" xfId="10399"/>
    <cellStyle name="Neutral 21" xfId="10400"/>
    <cellStyle name="Neutral 22" xfId="10401"/>
    <cellStyle name="Neutral 23" xfId="10402"/>
    <cellStyle name="Neutral 24" xfId="10403"/>
    <cellStyle name="Neutral 25" xfId="10404"/>
    <cellStyle name="Neutral 26" xfId="10405"/>
    <cellStyle name="Neutral 27" xfId="10406"/>
    <cellStyle name="Neutral 28" xfId="10407"/>
    <cellStyle name="Neutral 29" xfId="10408"/>
    <cellStyle name="Neutral 3" xfId="10409"/>
    <cellStyle name="Neutral 30" xfId="10410"/>
    <cellStyle name="Neutral 31" xfId="10411"/>
    <cellStyle name="Neutral 32" xfId="10412"/>
    <cellStyle name="Neutral 33" xfId="10413"/>
    <cellStyle name="Neutral 34" xfId="10414"/>
    <cellStyle name="Neutral 35" xfId="10415"/>
    <cellStyle name="Neutral 36" xfId="10416"/>
    <cellStyle name="Neutral 37" xfId="10417"/>
    <cellStyle name="Neutral 38" xfId="10418"/>
    <cellStyle name="Neutral 39" xfId="10419"/>
    <cellStyle name="Neutral 4" xfId="10420"/>
    <cellStyle name="Neutral 4 2" xfId="10421"/>
    <cellStyle name="Neutral 4 3" xfId="10422"/>
    <cellStyle name="Neutral 4 4" xfId="10423"/>
    <cellStyle name="Neutral 5" xfId="10424"/>
    <cellStyle name="Neutral 5 10" xfId="10425"/>
    <cellStyle name="Neutral 5 11" xfId="10426"/>
    <cellStyle name="Neutral 5 2" xfId="10427"/>
    <cellStyle name="Neutral 5 2 2" xfId="10428"/>
    <cellStyle name="Neutral 5 2 3" xfId="10429"/>
    <cellStyle name="Neutral 5 2 4" xfId="10430"/>
    <cellStyle name="Neutral 5 2 5" xfId="10431"/>
    <cellStyle name="Neutral 5 2 6" xfId="10432"/>
    <cellStyle name="Neutral 5 3" xfId="10433"/>
    <cellStyle name="Neutral 5 4" xfId="10434"/>
    <cellStyle name="Neutral 5 5" xfId="10435"/>
    <cellStyle name="Neutral 5 6" xfId="10436"/>
    <cellStyle name="Neutral 5 7" xfId="10437"/>
    <cellStyle name="Neutral 5 8" xfId="10438"/>
    <cellStyle name="Neutral 5 9" xfId="10439"/>
    <cellStyle name="Neutral 6" xfId="10440"/>
    <cellStyle name="Neutral 6 2" xfId="10441"/>
    <cellStyle name="Neutral 6 2 2" xfId="10442"/>
    <cellStyle name="Neutral 6 2 3" xfId="10443"/>
    <cellStyle name="Neutral 6 2 4" xfId="10444"/>
    <cellStyle name="Neutral 6 2 5" xfId="10445"/>
    <cellStyle name="Neutral 6 2 6" xfId="10446"/>
    <cellStyle name="Neutral 6 3" xfId="10447"/>
    <cellStyle name="Neutral 6 4" xfId="10448"/>
    <cellStyle name="Neutral 6 5" xfId="10449"/>
    <cellStyle name="Neutral 6 6" xfId="10450"/>
    <cellStyle name="Neutral 6 7" xfId="10451"/>
    <cellStyle name="Neutral 6 8" xfId="10452"/>
    <cellStyle name="Neutral 6 9" xfId="10453"/>
    <cellStyle name="Neutral 7" xfId="10454"/>
    <cellStyle name="Neutral 7 2" xfId="10455"/>
    <cellStyle name="Neutral 7 3" xfId="10456"/>
    <cellStyle name="Neutral 7 4" xfId="10457"/>
    <cellStyle name="Neutral 8" xfId="10458"/>
    <cellStyle name="Neutral 8 2" xfId="10459"/>
    <cellStyle name="Neutral 8 3" xfId="10460"/>
    <cellStyle name="Neutral 8 4" xfId="10461"/>
    <cellStyle name="Neutral 9" xfId="10462"/>
    <cellStyle name="Neutral 9 2" xfId="10463"/>
    <cellStyle name="Neutral 9 3" xfId="10464"/>
    <cellStyle name="Normal" xfId="0" builtinId="0"/>
    <cellStyle name="Normal 10" xfId="10465"/>
    <cellStyle name="Normal 10 10" xfId="10466"/>
    <cellStyle name="Normal 10 2" xfId="10467"/>
    <cellStyle name="Normal 10 3" xfId="10468"/>
    <cellStyle name="Normal 10 4" xfId="10469"/>
    <cellStyle name="Normal 11" xfId="10470"/>
    <cellStyle name="Normal 11 10" xfId="10471"/>
    <cellStyle name="Normal 11 11" xfId="10472"/>
    <cellStyle name="Normal 11 2" xfId="10473"/>
    <cellStyle name="Normal 11 2 2" xfId="10474"/>
    <cellStyle name="Normal 11 3" xfId="10475"/>
    <cellStyle name="Normal 11 3 2" xfId="10476"/>
    <cellStyle name="Normal 11 4" xfId="10477"/>
    <cellStyle name="Normal 11 4 2" xfId="10478"/>
    <cellStyle name="Normal 11 5" xfId="10479"/>
    <cellStyle name="Normal 11 5 2" xfId="10480"/>
    <cellStyle name="Normal 11 6" xfId="10481"/>
    <cellStyle name="Normal 11 6 2" xfId="10482"/>
    <cellStyle name="Normal 11 7" xfId="10483"/>
    <cellStyle name="Normal 11 7 2" xfId="10484"/>
    <cellStyle name="Normal 11 8" xfId="10485"/>
    <cellStyle name="Normal 11 8 2" xfId="10486"/>
    <cellStyle name="Normal 11 9" xfId="10487"/>
    <cellStyle name="Normal 11 9 2" xfId="10488"/>
    <cellStyle name="Normal 116" xfId="10489"/>
    <cellStyle name="Normal 12" xfId="10490"/>
    <cellStyle name="Normal 12 2" xfId="10491"/>
    <cellStyle name="Normal 12 3" xfId="10492"/>
    <cellStyle name="Normal 12 4" xfId="10493"/>
    <cellStyle name="Normal 126" xfId="10494"/>
    <cellStyle name="Normal 13" xfId="10495"/>
    <cellStyle name="Normal 13 2" xfId="10496"/>
    <cellStyle name="Normal 13 3" xfId="10497"/>
    <cellStyle name="Normal 13 4" xfId="10498"/>
    <cellStyle name="Normal 13 5" xfId="10499"/>
    <cellStyle name="Normal 14" xfId="10500"/>
    <cellStyle name="Normal 14 2" xfId="10501"/>
    <cellStyle name="Normal 14 3" xfId="10502"/>
    <cellStyle name="Normal 14 4" xfId="10503"/>
    <cellStyle name="Normal 14 5" xfId="10504"/>
    <cellStyle name="Normal 15" xfId="10505"/>
    <cellStyle name="Normal 15 2" xfId="10506"/>
    <cellStyle name="Normal 15 3" xfId="10507"/>
    <cellStyle name="Normal 15 4" xfId="10508"/>
    <cellStyle name="Normal 15 5" xfId="10509"/>
    <cellStyle name="Normal 151" xfId="10510"/>
    <cellStyle name="Normal 16" xfId="10511"/>
    <cellStyle name="Normal 16 2" xfId="10512"/>
    <cellStyle name="Normal 16 3" xfId="10513"/>
    <cellStyle name="Normal 16 4" xfId="10514"/>
    <cellStyle name="Normal 17" xfId="10515"/>
    <cellStyle name="Normal 18" xfId="10516"/>
    <cellStyle name="Normal 18 2" xfId="10517"/>
    <cellStyle name="Normal 18 3" xfId="10518"/>
    <cellStyle name="Normal 18 4" xfId="10519"/>
    <cellStyle name="Normal 19" xfId="10520"/>
    <cellStyle name="Normal 19 2" xfId="10521"/>
    <cellStyle name="Normal 19 3" xfId="10522"/>
    <cellStyle name="Normal 19 4" xfId="10523"/>
    <cellStyle name="Normal 2" xfId="10524"/>
    <cellStyle name="Normal 2 10" xfId="10525"/>
    <cellStyle name="Normal 2 11" xfId="10526"/>
    <cellStyle name="Normal 2 12" xfId="10527"/>
    <cellStyle name="Normal 2 13" xfId="10528"/>
    <cellStyle name="Normal 2 14" xfId="10529"/>
    <cellStyle name="Normal 2 15" xfId="10530"/>
    <cellStyle name="Normal 2 16" xfId="10531"/>
    <cellStyle name="Normal 2 17" xfId="10532"/>
    <cellStyle name="Normal 2 18" xfId="10533"/>
    <cellStyle name="Normal 2 19" xfId="10534"/>
    <cellStyle name="Normal 2 2" xfId="1"/>
    <cellStyle name="Normal 2 2 10" xfId="10535"/>
    <cellStyle name="Normal 2 2 11" xfId="10536"/>
    <cellStyle name="Normal 2 2 2" xfId="10537"/>
    <cellStyle name="Normal 2 2 2 2" xfId="10538"/>
    <cellStyle name="Normal 2 2 2 2 2" xfId="10539"/>
    <cellStyle name="Normal 2 2 2 2 2 2" xfId="10540"/>
    <cellStyle name="Normal 2 2 2 2 2 3" xfId="10541"/>
    <cellStyle name="Normal 2 2 2 2 3" xfId="10542"/>
    <cellStyle name="Normal 2 2 2 2 4" xfId="10543"/>
    <cellStyle name="Normal 2 2 2 2 5" xfId="10544"/>
    <cellStyle name="Normal 2 2 2 3" xfId="10545"/>
    <cellStyle name="Normal 2 2 2 3 2" xfId="10546"/>
    <cellStyle name="Normal 2 2 2 4" xfId="10547"/>
    <cellStyle name="Normal 2 2 2 5" xfId="10548"/>
    <cellStyle name="Normal 2 2 3" xfId="10549"/>
    <cellStyle name="Normal 2 2 3 2" xfId="10550"/>
    <cellStyle name="Normal 2 2 3 3" xfId="10551"/>
    <cellStyle name="Normal 2 2 4" xfId="10552"/>
    <cellStyle name="Normal 2 2 5" xfId="10553"/>
    <cellStyle name="Normal 2 2 6" xfId="10554"/>
    <cellStyle name="Normal 2 2 7" xfId="10555"/>
    <cellStyle name="Normal 2 2 8" xfId="10556"/>
    <cellStyle name="Normal 2 2 9" xfId="10557"/>
    <cellStyle name="Normal 2 20" xfId="10558"/>
    <cellStyle name="Normal 2 21" xfId="10559"/>
    <cellStyle name="Normal 2 22" xfId="10560"/>
    <cellStyle name="Normal 2 23" xfId="10561"/>
    <cellStyle name="Normal 2 24" xfId="10562"/>
    <cellStyle name="Normal 2 25" xfId="10563"/>
    <cellStyle name="Normal 2 26" xfId="10564"/>
    <cellStyle name="Normal 2 27" xfId="10565"/>
    <cellStyle name="Normal 2 28" xfId="10566"/>
    <cellStyle name="Normal 2 29" xfId="10567"/>
    <cellStyle name="Normal 2 3" xfId="10568"/>
    <cellStyle name="Normal 2 3 10" xfId="10569"/>
    <cellStyle name="Normal 2 3 10 10" xfId="10570"/>
    <cellStyle name="Normal 2 3 10 2" xfId="10571"/>
    <cellStyle name="Normal 2 3 10 2 2" xfId="10572"/>
    <cellStyle name="Normal 2 3 10 3" xfId="10573"/>
    <cellStyle name="Normal 2 3 10 3 2" xfId="10574"/>
    <cellStyle name="Normal 2 3 10 4" xfId="10575"/>
    <cellStyle name="Normal 2 3 10 4 2" xfId="10576"/>
    <cellStyle name="Normal 2 3 10 5" xfId="10577"/>
    <cellStyle name="Normal 2 3 10 5 2" xfId="10578"/>
    <cellStyle name="Normal 2 3 10 6" xfId="10579"/>
    <cellStyle name="Normal 2 3 10 6 2" xfId="10580"/>
    <cellStyle name="Normal 2 3 10 7" xfId="10581"/>
    <cellStyle name="Normal 2 3 10 7 2" xfId="10582"/>
    <cellStyle name="Normal 2 3 10 8" xfId="10583"/>
    <cellStyle name="Normal 2 3 10 8 2" xfId="10584"/>
    <cellStyle name="Normal 2 3 10 9" xfId="10585"/>
    <cellStyle name="Normal 2 3 10 9 2" xfId="10586"/>
    <cellStyle name="Normal 2 3 11" xfId="10587"/>
    <cellStyle name="Normal 2 3 11 10" xfId="10588"/>
    <cellStyle name="Normal 2 3 11 2" xfId="10589"/>
    <cellStyle name="Normal 2 3 11 2 2" xfId="10590"/>
    <cellStyle name="Normal 2 3 11 3" xfId="10591"/>
    <cellStyle name="Normal 2 3 11 3 2" xfId="10592"/>
    <cellStyle name="Normal 2 3 11 4" xfId="10593"/>
    <cellStyle name="Normal 2 3 11 4 2" xfId="10594"/>
    <cellStyle name="Normal 2 3 11 5" xfId="10595"/>
    <cellStyle name="Normal 2 3 11 5 2" xfId="10596"/>
    <cellStyle name="Normal 2 3 11 6" xfId="10597"/>
    <cellStyle name="Normal 2 3 11 6 2" xfId="10598"/>
    <cellStyle name="Normal 2 3 11 7" xfId="10599"/>
    <cellStyle name="Normal 2 3 11 7 2" xfId="10600"/>
    <cellStyle name="Normal 2 3 11 8" xfId="10601"/>
    <cellStyle name="Normal 2 3 11 8 2" xfId="10602"/>
    <cellStyle name="Normal 2 3 11 9" xfId="10603"/>
    <cellStyle name="Normal 2 3 11 9 2" xfId="10604"/>
    <cellStyle name="Normal 2 3 12" xfId="10605"/>
    <cellStyle name="Normal 2 3 12 10" xfId="10606"/>
    <cellStyle name="Normal 2 3 12 2" xfId="10607"/>
    <cellStyle name="Normal 2 3 12 2 2" xfId="10608"/>
    <cellStyle name="Normal 2 3 12 3" xfId="10609"/>
    <cellStyle name="Normal 2 3 12 3 2" xfId="10610"/>
    <cellStyle name="Normal 2 3 12 4" xfId="10611"/>
    <cellStyle name="Normal 2 3 12 4 2" xfId="10612"/>
    <cellStyle name="Normal 2 3 12 5" xfId="10613"/>
    <cellStyle name="Normal 2 3 12 5 2" xfId="10614"/>
    <cellStyle name="Normal 2 3 12 6" xfId="10615"/>
    <cellStyle name="Normal 2 3 12 6 2" xfId="10616"/>
    <cellStyle name="Normal 2 3 12 7" xfId="10617"/>
    <cellStyle name="Normal 2 3 12 7 2" xfId="10618"/>
    <cellStyle name="Normal 2 3 12 8" xfId="10619"/>
    <cellStyle name="Normal 2 3 12 8 2" xfId="10620"/>
    <cellStyle name="Normal 2 3 12 9" xfId="10621"/>
    <cellStyle name="Normal 2 3 12 9 2" xfId="10622"/>
    <cellStyle name="Normal 2 3 13" xfId="10623"/>
    <cellStyle name="Normal 2 3 13 10" xfId="10624"/>
    <cellStyle name="Normal 2 3 13 2" xfId="10625"/>
    <cellStyle name="Normal 2 3 13 2 2" xfId="10626"/>
    <cellStyle name="Normal 2 3 13 3" xfId="10627"/>
    <cellStyle name="Normal 2 3 13 3 2" xfId="10628"/>
    <cellStyle name="Normal 2 3 13 4" xfId="10629"/>
    <cellStyle name="Normal 2 3 13 4 2" xfId="10630"/>
    <cellStyle name="Normal 2 3 13 5" xfId="10631"/>
    <cellStyle name="Normal 2 3 13 5 2" xfId="10632"/>
    <cellStyle name="Normal 2 3 13 6" xfId="10633"/>
    <cellStyle name="Normal 2 3 13 6 2" xfId="10634"/>
    <cellStyle name="Normal 2 3 13 7" xfId="10635"/>
    <cellStyle name="Normal 2 3 13 7 2" xfId="10636"/>
    <cellStyle name="Normal 2 3 13 8" xfId="10637"/>
    <cellStyle name="Normal 2 3 13 8 2" xfId="10638"/>
    <cellStyle name="Normal 2 3 13 9" xfId="10639"/>
    <cellStyle name="Normal 2 3 13 9 2" xfId="10640"/>
    <cellStyle name="Normal 2 3 14" xfId="10641"/>
    <cellStyle name="Normal 2 3 14 10" xfId="10642"/>
    <cellStyle name="Normal 2 3 14 2" xfId="10643"/>
    <cellStyle name="Normal 2 3 14 2 2" xfId="10644"/>
    <cellStyle name="Normal 2 3 14 3" xfId="10645"/>
    <cellStyle name="Normal 2 3 14 3 2" xfId="10646"/>
    <cellStyle name="Normal 2 3 14 4" xfId="10647"/>
    <cellStyle name="Normal 2 3 14 4 2" xfId="10648"/>
    <cellStyle name="Normal 2 3 14 5" xfId="10649"/>
    <cellStyle name="Normal 2 3 14 5 2" xfId="10650"/>
    <cellStyle name="Normal 2 3 14 6" xfId="10651"/>
    <cellStyle name="Normal 2 3 14 6 2" xfId="10652"/>
    <cellStyle name="Normal 2 3 14 7" xfId="10653"/>
    <cellStyle name="Normal 2 3 14 7 2" xfId="10654"/>
    <cellStyle name="Normal 2 3 14 8" xfId="10655"/>
    <cellStyle name="Normal 2 3 14 8 2" xfId="10656"/>
    <cellStyle name="Normal 2 3 14 9" xfId="10657"/>
    <cellStyle name="Normal 2 3 14 9 2" xfId="10658"/>
    <cellStyle name="Normal 2 3 15" xfId="10659"/>
    <cellStyle name="Normal 2 3 15 10" xfId="10660"/>
    <cellStyle name="Normal 2 3 15 2" xfId="10661"/>
    <cellStyle name="Normal 2 3 15 2 2" xfId="10662"/>
    <cellStyle name="Normal 2 3 15 3" xfId="10663"/>
    <cellStyle name="Normal 2 3 15 3 2" xfId="10664"/>
    <cellStyle name="Normal 2 3 15 4" xfId="10665"/>
    <cellStyle name="Normal 2 3 15 4 2" xfId="10666"/>
    <cellStyle name="Normal 2 3 15 5" xfId="10667"/>
    <cellStyle name="Normal 2 3 15 5 2" xfId="10668"/>
    <cellStyle name="Normal 2 3 15 6" xfId="10669"/>
    <cellStyle name="Normal 2 3 15 6 2" xfId="10670"/>
    <cellStyle name="Normal 2 3 15 7" xfId="10671"/>
    <cellStyle name="Normal 2 3 15 7 2" xfId="10672"/>
    <cellStyle name="Normal 2 3 15 8" xfId="10673"/>
    <cellStyle name="Normal 2 3 15 8 2" xfId="10674"/>
    <cellStyle name="Normal 2 3 15 9" xfId="10675"/>
    <cellStyle name="Normal 2 3 15 9 2" xfId="10676"/>
    <cellStyle name="Normal 2 3 16" xfId="10677"/>
    <cellStyle name="Normal 2 3 16 10" xfId="10678"/>
    <cellStyle name="Normal 2 3 16 11" xfId="10679"/>
    <cellStyle name="Normal 2 3 16 2" xfId="10680"/>
    <cellStyle name="Normal 2 3 16 2 2" xfId="10681"/>
    <cellStyle name="Normal 2 3 16 2 3" xfId="10682"/>
    <cellStyle name="Normal 2 3 16 2 4" xfId="10683"/>
    <cellStyle name="Normal 2 3 16 2 5" xfId="10684"/>
    <cellStyle name="Normal 2 3 16 2 6" xfId="10685"/>
    <cellStyle name="Normal 2 3 16 3" xfId="10686"/>
    <cellStyle name="Normal 2 3 16 3 2" xfId="10687"/>
    <cellStyle name="Normal 2 3 16 4" xfId="10688"/>
    <cellStyle name="Normal 2 3 16 4 2" xfId="10689"/>
    <cellStyle name="Normal 2 3 16 5" xfId="10690"/>
    <cellStyle name="Normal 2 3 16 5 2" xfId="10691"/>
    <cellStyle name="Normal 2 3 16 6" xfId="10692"/>
    <cellStyle name="Normal 2 3 16 6 2" xfId="10693"/>
    <cellStyle name="Normal 2 3 16 7" xfId="10694"/>
    <cellStyle name="Normal 2 3 16 7 2" xfId="10695"/>
    <cellStyle name="Normal 2 3 16 8" xfId="10696"/>
    <cellStyle name="Normal 2 3 16 9" xfId="10697"/>
    <cellStyle name="Normal 2 3 17" xfId="10698"/>
    <cellStyle name="Normal 2 3 17 2" xfId="10699"/>
    <cellStyle name="Normal 2 3 18" xfId="10700"/>
    <cellStyle name="Normal 2 3 18 2" xfId="10701"/>
    <cellStyle name="Normal 2 3 19" xfId="10702"/>
    <cellStyle name="Normal 2 3 19 2" xfId="10703"/>
    <cellStyle name="Normal 2 3 2" xfId="10704"/>
    <cellStyle name="Normal 2 3 2 10" xfId="10705"/>
    <cellStyle name="Normal 2 3 2 10 2" xfId="10706"/>
    <cellStyle name="Normal 2 3 2 11" xfId="10707"/>
    <cellStyle name="Normal 2 3 2 11 2" xfId="10708"/>
    <cellStyle name="Normal 2 3 2 12" xfId="10709"/>
    <cellStyle name="Normal 2 3 2 12 2" xfId="10710"/>
    <cellStyle name="Normal 2 3 2 13" xfId="10711"/>
    <cellStyle name="Normal 2 3 2 13 2" xfId="10712"/>
    <cellStyle name="Normal 2 3 2 14" xfId="10713"/>
    <cellStyle name="Normal 2 3 2 14 2" xfId="10714"/>
    <cellStyle name="Normal 2 3 2 15" xfId="10715"/>
    <cellStyle name="Normal 2 3 2 15 2" xfId="10716"/>
    <cellStyle name="Normal 2 3 2 16" xfId="10717"/>
    <cellStyle name="Normal 2 3 2 16 2" xfId="10718"/>
    <cellStyle name="Normal 2 3 2 17" xfId="10719"/>
    <cellStyle name="Normal 2 3 2 17 2" xfId="10720"/>
    <cellStyle name="Normal 2 3 2 18" xfId="10721"/>
    <cellStyle name="Normal 2 3 2 18 2" xfId="10722"/>
    <cellStyle name="Normal 2 3 2 19" xfId="10723"/>
    <cellStyle name="Normal 2 3 2 19 2" xfId="10724"/>
    <cellStyle name="Normal 2 3 2 2" xfId="10725"/>
    <cellStyle name="Normal 2 3 2 2 2" xfId="10726"/>
    <cellStyle name="Normal 2 3 2 2 2 2" xfId="10727"/>
    <cellStyle name="Normal 2 3 2 2 3" xfId="10728"/>
    <cellStyle name="Normal 2 3 2 2 3 2" xfId="10729"/>
    <cellStyle name="Normal 2 3 2 2 4" xfId="10730"/>
    <cellStyle name="Normal 2 3 2 2 4 2" xfId="10731"/>
    <cellStyle name="Normal 2 3 2 2 5" xfId="10732"/>
    <cellStyle name="Normal 2 3 2 2 5 2" xfId="10733"/>
    <cellStyle name="Normal 2 3 2 2 6" xfId="10734"/>
    <cellStyle name="Normal 2 3 2 2 6 2" xfId="10735"/>
    <cellStyle name="Normal 2 3 2 2 7" xfId="10736"/>
    <cellStyle name="Normal 2 3 2 2 7 2" xfId="10737"/>
    <cellStyle name="Normal 2 3 2 2 8" xfId="10738"/>
    <cellStyle name="Normal 2 3 2 20" xfId="10739"/>
    <cellStyle name="Normal 2 3 2 20 2" xfId="10740"/>
    <cellStyle name="Normal 2 3 2 21" xfId="10741"/>
    <cellStyle name="Normal 2 3 2 21 2" xfId="10742"/>
    <cellStyle name="Normal 2 3 2 22" xfId="10743"/>
    <cellStyle name="Normal 2 3 2 22 2" xfId="10744"/>
    <cellStyle name="Normal 2 3 2 23" xfId="10745"/>
    <cellStyle name="Normal 2 3 2 23 2" xfId="10746"/>
    <cellStyle name="Normal 2 3 2 24" xfId="10747"/>
    <cellStyle name="Normal 2 3 2 25" xfId="10748"/>
    <cellStyle name="Normal 2 3 2 3" xfId="10749"/>
    <cellStyle name="Normal 2 3 2 3 2" xfId="10750"/>
    <cellStyle name="Normal 2 3 2 3 2 2" xfId="10751"/>
    <cellStyle name="Normal 2 3 2 3 3" xfId="10752"/>
    <cellStyle name="Normal 2 3 2 3 3 2" xfId="10753"/>
    <cellStyle name="Normal 2 3 2 3 4" xfId="10754"/>
    <cellStyle name="Normal 2 3 2 3 4 2" xfId="10755"/>
    <cellStyle name="Normal 2 3 2 3 5" xfId="10756"/>
    <cellStyle name="Normal 2 3 2 3 5 2" xfId="10757"/>
    <cellStyle name="Normal 2 3 2 3 6" xfId="10758"/>
    <cellStyle name="Normal 2 3 2 3 6 2" xfId="10759"/>
    <cellStyle name="Normal 2 3 2 3 7" xfId="10760"/>
    <cellStyle name="Normal 2 3 2 3 7 2" xfId="10761"/>
    <cellStyle name="Normal 2 3 2 3 8" xfId="10762"/>
    <cellStyle name="Normal 2 3 2 4" xfId="10763"/>
    <cellStyle name="Normal 2 3 2 4 2" xfId="10764"/>
    <cellStyle name="Normal 2 3 2 5" xfId="10765"/>
    <cellStyle name="Normal 2 3 2 5 2" xfId="10766"/>
    <cellStyle name="Normal 2 3 2 6" xfId="10767"/>
    <cellStyle name="Normal 2 3 2 6 2" xfId="10768"/>
    <cellStyle name="Normal 2 3 2 7" xfId="10769"/>
    <cellStyle name="Normal 2 3 2 7 2" xfId="10770"/>
    <cellStyle name="Normal 2 3 2 8" xfId="10771"/>
    <cellStyle name="Normal 2 3 2 8 2" xfId="10772"/>
    <cellStyle name="Normal 2 3 2 9" xfId="10773"/>
    <cellStyle name="Normal 2 3 2 9 2" xfId="10774"/>
    <cellStyle name="Normal 2 3 20" xfId="10775"/>
    <cellStyle name="Normal 2 3 20 2" xfId="10776"/>
    <cellStyle name="Normal 2 3 21" xfId="10777"/>
    <cellStyle name="Normal 2 3 21 2" xfId="10778"/>
    <cellStyle name="Normal 2 3 22" xfId="10779"/>
    <cellStyle name="Normal 2 3 22 2" xfId="10780"/>
    <cellStyle name="Normal 2 3 23" xfId="10781"/>
    <cellStyle name="Normal 2 3 23 2" xfId="10782"/>
    <cellStyle name="Normal 2 3 24" xfId="10783"/>
    <cellStyle name="Normal 2 3 24 2" xfId="10784"/>
    <cellStyle name="Normal 2 3 25" xfId="10785"/>
    <cellStyle name="Normal 2 3 25 2" xfId="10786"/>
    <cellStyle name="Normal 2 3 26" xfId="10787"/>
    <cellStyle name="Normal 2 3 26 2" xfId="10788"/>
    <cellStyle name="Normal 2 3 27" xfId="10789"/>
    <cellStyle name="Normal 2 3 27 2" xfId="10790"/>
    <cellStyle name="Normal 2 3 28" xfId="10791"/>
    <cellStyle name="Normal 2 3 28 2" xfId="10792"/>
    <cellStyle name="Normal 2 3 29" xfId="10793"/>
    <cellStyle name="Normal 2 3 29 2" xfId="10794"/>
    <cellStyle name="Normal 2 3 3" xfId="10795"/>
    <cellStyle name="Normal 2 3 3 10" xfId="10796"/>
    <cellStyle name="Normal 2 3 3 11" xfId="10797"/>
    <cellStyle name="Normal 2 3 3 2" xfId="10798"/>
    <cellStyle name="Normal 2 3 3 2 2" xfId="10799"/>
    <cellStyle name="Normal 2 3 3 2 2 2" xfId="10800"/>
    <cellStyle name="Normal 2 3 3 2 3" xfId="10801"/>
    <cellStyle name="Normal 2 3 3 2 3 2" xfId="10802"/>
    <cellStyle name="Normal 2 3 3 2 4" xfId="10803"/>
    <cellStyle name="Normal 2 3 3 2 4 2" xfId="10804"/>
    <cellStyle name="Normal 2 3 3 2 5" xfId="10805"/>
    <cellStyle name="Normal 2 3 3 2 5 2" xfId="10806"/>
    <cellStyle name="Normal 2 3 3 2 6" xfId="10807"/>
    <cellStyle name="Normal 2 3 3 2 6 2" xfId="10808"/>
    <cellStyle name="Normal 2 3 3 2 7" xfId="10809"/>
    <cellStyle name="Normal 2 3 3 2 7 2" xfId="10810"/>
    <cellStyle name="Normal 2 3 3 2 8" xfId="10811"/>
    <cellStyle name="Normal 2 3 3 3" xfId="10812"/>
    <cellStyle name="Normal 2 3 3 3 2" xfId="10813"/>
    <cellStyle name="Normal 2 3 3 4" xfId="10814"/>
    <cellStyle name="Normal 2 3 3 4 2" xfId="10815"/>
    <cellStyle name="Normal 2 3 3 5" xfId="10816"/>
    <cellStyle name="Normal 2 3 3 5 2" xfId="10817"/>
    <cellStyle name="Normal 2 3 3 6" xfId="10818"/>
    <cellStyle name="Normal 2 3 3 6 2" xfId="10819"/>
    <cellStyle name="Normal 2 3 3 7" xfId="10820"/>
    <cellStyle name="Normal 2 3 3 7 2" xfId="10821"/>
    <cellStyle name="Normal 2 3 3 8" xfId="10822"/>
    <cellStyle name="Normal 2 3 3 8 2" xfId="10823"/>
    <cellStyle name="Normal 2 3 3 9" xfId="10824"/>
    <cellStyle name="Normal 2 3 3 9 2" xfId="10825"/>
    <cellStyle name="Normal 2 3 30" xfId="10826"/>
    <cellStyle name="Normal 2 3 30 2" xfId="10827"/>
    <cellStyle name="Normal 2 3 31" xfId="10828"/>
    <cellStyle name="Normal 2 3 31 2" xfId="10829"/>
    <cellStyle name="Normal 2 3 32" xfId="10830"/>
    <cellStyle name="Normal 2 3 32 2" xfId="10831"/>
    <cellStyle name="Normal 2 3 33" xfId="10832"/>
    <cellStyle name="Normal 2 3 33 2" xfId="10833"/>
    <cellStyle name="Normal 2 3 34" xfId="10834"/>
    <cellStyle name="Normal 2 3 34 2" xfId="10835"/>
    <cellStyle name="Normal 2 3 35" xfId="10836"/>
    <cellStyle name="Normal 2 3 35 2" xfId="10837"/>
    <cellStyle name="Normal 2 3 36" xfId="10838"/>
    <cellStyle name="Normal 2 3 36 2" xfId="10839"/>
    <cellStyle name="Normal 2 3 37" xfId="10840"/>
    <cellStyle name="Normal 2 3 37 2" xfId="10841"/>
    <cellStyle name="Normal 2 3 38" xfId="10842"/>
    <cellStyle name="Normal 2 3 38 2" xfId="10843"/>
    <cellStyle name="Normal 2 3 39" xfId="10844"/>
    <cellStyle name="Normal 2 3 39 2" xfId="10845"/>
    <cellStyle name="Normal 2 3 4" xfId="10846"/>
    <cellStyle name="Normal 2 3 4 10" xfId="10847"/>
    <cellStyle name="Normal 2 3 4 11" xfId="10848"/>
    <cellStyle name="Normal 2 3 4 12" xfId="10849"/>
    <cellStyle name="Normal 2 3 4 13" xfId="10850"/>
    <cellStyle name="Normal 2 3 4 2" xfId="10851"/>
    <cellStyle name="Normal 2 3 4 2 2" xfId="10852"/>
    <cellStyle name="Normal 2 3 4 2 2 2" xfId="10853"/>
    <cellStyle name="Normal 2 3 4 2 3" xfId="10854"/>
    <cellStyle name="Normal 2 3 4 2 3 2" xfId="10855"/>
    <cellStyle name="Normal 2 3 4 2 4" xfId="10856"/>
    <cellStyle name="Normal 2 3 4 2 4 2" xfId="10857"/>
    <cellStyle name="Normal 2 3 4 2 5" xfId="10858"/>
    <cellStyle name="Normal 2 3 4 2 5 2" xfId="10859"/>
    <cellStyle name="Normal 2 3 4 2 6" xfId="10860"/>
    <cellStyle name="Normal 2 3 4 2 6 2" xfId="10861"/>
    <cellStyle name="Normal 2 3 4 2 7" xfId="10862"/>
    <cellStyle name="Normal 2 3 4 2 7 2" xfId="10863"/>
    <cellStyle name="Normal 2 3 4 2 8" xfId="10864"/>
    <cellStyle name="Normal 2 3 4 3" xfId="10865"/>
    <cellStyle name="Normal 2 3 4 3 2" xfId="10866"/>
    <cellStyle name="Normal 2 3 4 4" xfId="10867"/>
    <cellStyle name="Normal 2 3 4 4 2" xfId="10868"/>
    <cellStyle name="Normal 2 3 4 5" xfId="10869"/>
    <cellStyle name="Normal 2 3 4 5 2" xfId="10870"/>
    <cellStyle name="Normal 2 3 4 5 3" xfId="10871"/>
    <cellStyle name="Normal 2 3 4 5 4" xfId="10872"/>
    <cellStyle name="Normal 2 3 4 5 5" xfId="10873"/>
    <cellStyle name="Normal 2 3 4 5 6" xfId="10874"/>
    <cellStyle name="Normal 2 3 4 6" xfId="10875"/>
    <cellStyle name="Normal 2 3 4 6 2" xfId="10876"/>
    <cellStyle name="Normal 2 3 4 7" xfId="10877"/>
    <cellStyle name="Normal 2 3 4 7 2" xfId="10878"/>
    <cellStyle name="Normal 2 3 4 8" xfId="10879"/>
    <cellStyle name="Normal 2 3 4 8 2" xfId="10880"/>
    <cellStyle name="Normal 2 3 4 9" xfId="10881"/>
    <cellStyle name="Normal 2 3 4 9 2" xfId="10882"/>
    <cellStyle name="Normal 2 3 40" xfId="10883"/>
    <cellStyle name="Normal 2 3 40 2" xfId="10884"/>
    <cellStyle name="Normal 2 3 41" xfId="10885"/>
    <cellStyle name="Normal 2 3 41 2" xfId="10886"/>
    <cellStyle name="Normal 2 3 42" xfId="10887"/>
    <cellStyle name="Normal 2 3 42 2" xfId="10888"/>
    <cellStyle name="Normal 2 3 43" xfId="10889"/>
    <cellStyle name="Normal 2 3 43 2" xfId="10890"/>
    <cellStyle name="Normal 2 3 44" xfId="10891"/>
    <cellStyle name="Normal 2 3 44 2" xfId="10892"/>
    <cellStyle name="Normal 2 3 45" xfId="10893"/>
    <cellStyle name="Normal 2 3 45 2" xfId="10894"/>
    <cellStyle name="Normal 2 3 46" xfId="10895"/>
    <cellStyle name="Normal 2 3 46 2" xfId="10896"/>
    <cellStyle name="Normal 2 3 46 3" xfId="10897"/>
    <cellStyle name="Normal 2 3 46 4" xfId="10898"/>
    <cellStyle name="Normal 2 3 46 5" xfId="10899"/>
    <cellStyle name="Normal 2 3 46 6" xfId="10900"/>
    <cellStyle name="Normal 2 3 47" xfId="10901"/>
    <cellStyle name="Normal 2 3 48" xfId="10902"/>
    <cellStyle name="Normal 2 3 49" xfId="10903"/>
    <cellStyle name="Normal 2 3 5" xfId="10904"/>
    <cellStyle name="Normal 2 3 5 10" xfId="10905"/>
    <cellStyle name="Normal 2 3 5 2" xfId="10906"/>
    <cellStyle name="Normal 2 3 5 2 2" xfId="10907"/>
    <cellStyle name="Normal 2 3 5 3" xfId="10908"/>
    <cellStyle name="Normal 2 3 5 3 2" xfId="10909"/>
    <cellStyle name="Normal 2 3 5 4" xfId="10910"/>
    <cellStyle name="Normal 2 3 5 4 2" xfId="10911"/>
    <cellStyle name="Normal 2 3 5 5" xfId="10912"/>
    <cellStyle name="Normal 2 3 5 5 2" xfId="10913"/>
    <cellStyle name="Normal 2 3 5 6" xfId="10914"/>
    <cellStyle name="Normal 2 3 5 6 2" xfId="10915"/>
    <cellStyle name="Normal 2 3 5 7" xfId="10916"/>
    <cellStyle name="Normal 2 3 5 7 2" xfId="10917"/>
    <cellStyle name="Normal 2 3 5 8" xfId="10918"/>
    <cellStyle name="Normal 2 3 5 8 2" xfId="10919"/>
    <cellStyle name="Normal 2 3 5 9" xfId="10920"/>
    <cellStyle name="Normal 2 3 5 9 2" xfId="10921"/>
    <cellStyle name="Normal 2 3 50" xfId="10922"/>
    <cellStyle name="Normal 2 3 51" xfId="10923"/>
    <cellStyle name="Normal 2 3 52" xfId="10924"/>
    <cellStyle name="Normal 2 3 53" xfId="10925"/>
    <cellStyle name="Normal 2 3 54" xfId="10926"/>
    <cellStyle name="Normal 2 3 55" xfId="10927"/>
    <cellStyle name="Normal 2 3 56" xfId="10928"/>
    <cellStyle name="Normal 2 3 6" xfId="10929"/>
    <cellStyle name="Normal 2 3 6 10" xfId="10930"/>
    <cellStyle name="Normal 2 3 6 2" xfId="10931"/>
    <cellStyle name="Normal 2 3 6 2 2" xfId="10932"/>
    <cellStyle name="Normal 2 3 6 3" xfId="10933"/>
    <cellStyle name="Normal 2 3 6 3 2" xfId="10934"/>
    <cellStyle name="Normal 2 3 6 4" xfId="10935"/>
    <cellStyle name="Normal 2 3 6 4 2" xfId="10936"/>
    <cellStyle name="Normal 2 3 6 5" xfId="10937"/>
    <cellStyle name="Normal 2 3 6 5 2" xfId="10938"/>
    <cellStyle name="Normal 2 3 6 6" xfId="10939"/>
    <cellStyle name="Normal 2 3 6 6 2" xfId="10940"/>
    <cellStyle name="Normal 2 3 6 7" xfId="10941"/>
    <cellStyle name="Normal 2 3 6 7 2" xfId="10942"/>
    <cellStyle name="Normal 2 3 6 8" xfId="10943"/>
    <cellStyle name="Normal 2 3 6 8 2" xfId="10944"/>
    <cellStyle name="Normal 2 3 6 9" xfId="10945"/>
    <cellStyle name="Normal 2 3 6 9 2" xfId="10946"/>
    <cellStyle name="Normal 2 3 7" xfId="10947"/>
    <cellStyle name="Normal 2 3 7 10" xfId="10948"/>
    <cellStyle name="Normal 2 3 7 2" xfId="10949"/>
    <cellStyle name="Normal 2 3 7 2 2" xfId="10950"/>
    <cellStyle name="Normal 2 3 7 3" xfId="10951"/>
    <cellStyle name="Normal 2 3 7 3 2" xfId="10952"/>
    <cellStyle name="Normal 2 3 7 4" xfId="10953"/>
    <cellStyle name="Normal 2 3 7 4 2" xfId="10954"/>
    <cellStyle name="Normal 2 3 7 5" xfId="10955"/>
    <cellStyle name="Normal 2 3 7 5 2" xfId="10956"/>
    <cellStyle name="Normal 2 3 7 6" xfId="10957"/>
    <cellStyle name="Normal 2 3 7 6 2" xfId="10958"/>
    <cellStyle name="Normal 2 3 7 7" xfId="10959"/>
    <cellStyle name="Normal 2 3 7 7 2" xfId="10960"/>
    <cellStyle name="Normal 2 3 7 8" xfId="10961"/>
    <cellStyle name="Normal 2 3 7 8 2" xfId="10962"/>
    <cellStyle name="Normal 2 3 7 9" xfId="10963"/>
    <cellStyle name="Normal 2 3 7 9 2" xfId="10964"/>
    <cellStyle name="Normal 2 3 8" xfId="10965"/>
    <cellStyle name="Normal 2 3 8 10" xfId="10966"/>
    <cellStyle name="Normal 2 3 8 2" xfId="10967"/>
    <cellStyle name="Normal 2 3 8 2 2" xfId="10968"/>
    <cellStyle name="Normal 2 3 8 3" xfId="10969"/>
    <cellStyle name="Normal 2 3 8 3 2" xfId="10970"/>
    <cellStyle name="Normal 2 3 8 4" xfId="10971"/>
    <cellStyle name="Normal 2 3 8 4 2" xfId="10972"/>
    <cellStyle name="Normal 2 3 8 5" xfId="10973"/>
    <cellStyle name="Normal 2 3 8 5 2" xfId="10974"/>
    <cellStyle name="Normal 2 3 8 6" xfId="10975"/>
    <cellStyle name="Normal 2 3 8 6 2" xfId="10976"/>
    <cellStyle name="Normal 2 3 8 7" xfId="10977"/>
    <cellStyle name="Normal 2 3 8 7 2" xfId="10978"/>
    <cellStyle name="Normal 2 3 8 8" xfId="10979"/>
    <cellStyle name="Normal 2 3 8 8 2" xfId="10980"/>
    <cellStyle name="Normal 2 3 8 9" xfId="10981"/>
    <cellStyle name="Normal 2 3 8 9 2" xfId="10982"/>
    <cellStyle name="Normal 2 3 9" xfId="10983"/>
    <cellStyle name="Normal 2 3 9 10" xfId="10984"/>
    <cellStyle name="Normal 2 3 9 2" xfId="10985"/>
    <cellStyle name="Normal 2 3 9 2 2" xfId="10986"/>
    <cellStyle name="Normal 2 3 9 3" xfId="10987"/>
    <cellStyle name="Normal 2 3 9 3 2" xfId="10988"/>
    <cellStyle name="Normal 2 3 9 4" xfId="10989"/>
    <cellStyle name="Normal 2 3 9 4 2" xfId="10990"/>
    <cellStyle name="Normal 2 3 9 5" xfId="10991"/>
    <cellStyle name="Normal 2 3 9 5 2" xfId="10992"/>
    <cellStyle name="Normal 2 3 9 6" xfId="10993"/>
    <cellStyle name="Normal 2 3 9 6 2" xfId="10994"/>
    <cellStyle name="Normal 2 3 9 7" xfId="10995"/>
    <cellStyle name="Normal 2 3 9 7 2" xfId="10996"/>
    <cellStyle name="Normal 2 3 9 8" xfId="10997"/>
    <cellStyle name="Normal 2 3 9 8 2" xfId="10998"/>
    <cellStyle name="Normal 2 3 9 9" xfId="10999"/>
    <cellStyle name="Normal 2 3 9 9 2" xfId="11000"/>
    <cellStyle name="Normal 2 30" xfId="11001"/>
    <cellStyle name="Normal 2 31" xfId="11002"/>
    <cellStyle name="Normal 2 32" xfId="11003"/>
    <cellStyle name="Normal 2 33" xfId="11004"/>
    <cellStyle name="Normal 2 34" xfId="11005"/>
    <cellStyle name="Normal 2 35" xfId="11006"/>
    <cellStyle name="Normal 2 36" xfId="11007"/>
    <cellStyle name="Normal 2 37" xfId="11008"/>
    <cellStyle name="Normal 2 38" xfId="11009"/>
    <cellStyle name="Normal 2 39" xfId="11010"/>
    <cellStyle name="Normal 2 4" xfId="11011"/>
    <cellStyle name="Normal 2 4 2" xfId="11012"/>
    <cellStyle name="Normal 2 4 3" xfId="11013"/>
    <cellStyle name="Normal 2 40" xfId="11014"/>
    <cellStyle name="Normal 2 41" xfId="11015"/>
    <cellStyle name="Normal 2 42" xfId="11016"/>
    <cellStyle name="Normal 2 43" xfId="11017"/>
    <cellStyle name="Normal 2 44" xfId="11018"/>
    <cellStyle name="Normal 2 45" xfId="11019"/>
    <cellStyle name="Normal 2 46" xfId="11020"/>
    <cellStyle name="Normal 2 47" xfId="11021"/>
    <cellStyle name="Normal 2 48" xfId="11022"/>
    <cellStyle name="Normal 2 49" xfId="11023"/>
    <cellStyle name="Normal 2 5" xfId="11024"/>
    <cellStyle name="Normal 2 5 2" xfId="11025"/>
    <cellStyle name="Normal 2 50" xfId="11026"/>
    <cellStyle name="Normal 2 51" xfId="11027"/>
    <cellStyle name="Normal 2 52" xfId="11028"/>
    <cellStyle name="Normal 2 53" xfId="11029"/>
    <cellStyle name="Normal 2 54" xfId="11030"/>
    <cellStyle name="Normal 2 55" xfId="11031"/>
    <cellStyle name="Normal 2 56" xfId="11032"/>
    <cellStyle name="Normal 2 57" xfId="11033"/>
    <cellStyle name="Normal 2 58" xfId="11034"/>
    <cellStyle name="Normal 2 59" xfId="11035"/>
    <cellStyle name="Normal 2 6" xfId="11036"/>
    <cellStyle name="Normal 2 60" xfId="11037"/>
    <cellStyle name="Normal 2 61" xfId="11038"/>
    <cellStyle name="Normal 2 62" xfId="11039"/>
    <cellStyle name="Normal 2 63" xfId="11040"/>
    <cellStyle name="Normal 2 63 2" xfId="11041"/>
    <cellStyle name="Normal 2 64" xfId="11042"/>
    <cellStyle name="Normal 2 64 2" xfId="11043"/>
    <cellStyle name="Normal 2 65" xfId="11044"/>
    <cellStyle name="Normal 2 65 2" xfId="11045"/>
    <cellStyle name="Normal 2 66" xfId="11046"/>
    <cellStyle name="Normal 2 66 2" xfId="11047"/>
    <cellStyle name="Normal 2 66 2 2" xfId="11048"/>
    <cellStyle name="Normal 2 66 2 3" xfId="11049"/>
    <cellStyle name="Normal 2 66 2 4" xfId="11050"/>
    <cellStyle name="Normal 2 66 3" xfId="11051"/>
    <cellStyle name="Normal 2 66 3 2" xfId="11052"/>
    <cellStyle name="Normal 2 66 3 3" xfId="11053"/>
    <cellStyle name="Normal 2 66 4" xfId="11054"/>
    <cellStyle name="Normal 2 66 5" xfId="11055"/>
    <cellStyle name="Normal 2 66 6" xfId="11056"/>
    <cellStyle name="Normal 2 67" xfId="11057"/>
    <cellStyle name="Normal 2 67 2" xfId="11058"/>
    <cellStyle name="Normal 2 68" xfId="11059"/>
    <cellStyle name="Normal 2 68 2" xfId="11060"/>
    <cellStyle name="Normal 2 69" xfId="11061"/>
    <cellStyle name="Normal 2 7" xfId="11062"/>
    <cellStyle name="Normal 2 70" xfId="11063"/>
    <cellStyle name="Normal 2 71" xfId="11064"/>
    <cellStyle name="Normal 2 72" xfId="11065"/>
    <cellStyle name="Normal 2 73" xfId="11066"/>
    <cellStyle name="Normal 2 74" xfId="11067"/>
    <cellStyle name="Normal 2 75" xfId="11068"/>
    <cellStyle name="Normal 2 76" xfId="11069"/>
    <cellStyle name="Normal 2 77" xfId="11070"/>
    <cellStyle name="Normal 2 78" xfId="11071"/>
    <cellStyle name="Normal 2 8" xfId="11072"/>
    <cellStyle name="Normal 2 9" xfId="11073"/>
    <cellStyle name="Normal 20" xfId="11074"/>
    <cellStyle name="Normal 20 2" xfId="11075"/>
    <cellStyle name="Normal 20 3" xfId="11076"/>
    <cellStyle name="Normal 20 4" xfId="11077"/>
    <cellStyle name="Normal 20 5" xfId="11078"/>
    <cellStyle name="Normal 21" xfId="11079"/>
    <cellStyle name="Normal 21 2" xfId="11080"/>
    <cellStyle name="Normal 21 3" xfId="11081"/>
    <cellStyle name="Normal 21 4" xfId="11082"/>
    <cellStyle name="Normal 22" xfId="11083"/>
    <cellStyle name="Normal 22 2" xfId="11084"/>
    <cellStyle name="Normal 22 3" xfId="11085"/>
    <cellStyle name="Normal 22 4" xfId="11086"/>
    <cellStyle name="Normal 23" xfId="11087"/>
    <cellStyle name="Normal 23 10" xfId="11088"/>
    <cellStyle name="Normal 23 11" xfId="11089"/>
    <cellStyle name="Normal 23 2" xfId="11090"/>
    <cellStyle name="Normal 23 2 2" xfId="11091"/>
    <cellStyle name="Normal 23 3" xfId="11092"/>
    <cellStyle name="Normal 23 3 2" xfId="11093"/>
    <cellStyle name="Normal 23 4" xfId="11094"/>
    <cellStyle name="Normal 23 4 2" xfId="11095"/>
    <cellStyle name="Normal 23 5" xfId="11096"/>
    <cellStyle name="Normal 23 5 2" xfId="11097"/>
    <cellStyle name="Normal 23 6" xfId="11098"/>
    <cellStyle name="Normal 23 6 2" xfId="11099"/>
    <cellStyle name="Normal 23 7" xfId="11100"/>
    <cellStyle name="Normal 23 7 2" xfId="11101"/>
    <cellStyle name="Normal 23 8" xfId="11102"/>
    <cellStyle name="Normal 23 8 2" xfId="11103"/>
    <cellStyle name="Normal 23 9" xfId="11104"/>
    <cellStyle name="Normal 23 9 2" xfId="11105"/>
    <cellStyle name="Normal 24" xfId="11106"/>
    <cellStyle name="Normal 24 2" xfId="11107"/>
    <cellStyle name="Normal 25" xfId="11108"/>
    <cellStyle name="Normal 26" xfId="11109"/>
    <cellStyle name="Normal 27" xfId="11110"/>
    <cellStyle name="Normal 28" xfId="11111"/>
    <cellStyle name="Normal 29" xfId="11112"/>
    <cellStyle name="Normal 3" xfId="11113"/>
    <cellStyle name="Normal 3 10" xfId="11114"/>
    <cellStyle name="Normal 3 10 10" xfId="11115"/>
    <cellStyle name="Normal 3 10 2" xfId="11116"/>
    <cellStyle name="Normal 3 10 2 2" xfId="11117"/>
    <cellStyle name="Normal 3 10 3" xfId="11118"/>
    <cellStyle name="Normal 3 10 3 2" xfId="11119"/>
    <cellStyle name="Normal 3 10 4" xfId="11120"/>
    <cellStyle name="Normal 3 10 4 2" xfId="11121"/>
    <cellStyle name="Normal 3 10 5" xfId="11122"/>
    <cellStyle name="Normal 3 10 5 2" xfId="11123"/>
    <cellStyle name="Normal 3 10 6" xfId="11124"/>
    <cellStyle name="Normal 3 10 6 2" xfId="11125"/>
    <cellStyle name="Normal 3 10 7" xfId="11126"/>
    <cellStyle name="Normal 3 10 7 2" xfId="11127"/>
    <cellStyle name="Normal 3 10 8" xfId="11128"/>
    <cellStyle name="Normal 3 10 8 2" xfId="11129"/>
    <cellStyle name="Normal 3 10 9" xfId="11130"/>
    <cellStyle name="Normal 3 10 9 2" xfId="11131"/>
    <cellStyle name="Normal 3 11" xfId="11132"/>
    <cellStyle name="Normal 3 11 10" xfId="11133"/>
    <cellStyle name="Normal 3 11 2" xfId="11134"/>
    <cellStyle name="Normal 3 11 2 2" xfId="11135"/>
    <cellStyle name="Normal 3 11 3" xfId="11136"/>
    <cellStyle name="Normal 3 11 3 2" xfId="11137"/>
    <cellStyle name="Normal 3 11 4" xfId="11138"/>
    <cellStyle name="Normal 3 11 4 2" xfId="11139"/>
    <cellStyle name="Normal 3 11 5" xfId="11140"/>
    <cellStyle name="Normal 3 11 5 2" xfId="11141"/>
    <cellStyle name="Normal 3 11 6" xfId="11142"/>
    <cellStyle name="Normal 3 11 6 2" xfId="11143"/>
    <cellStyle name="Normal 3 11 7" xfId="11144"/>
    <cellStyle name="Normal 3 11 7 2" xfId="11145"/>
    <cellStyle name="Normal 3 11 8" xfId="11146"/>
    <cellStyle name="Normal 3 11 8 2" xfId="11147"/>
    <cellStyle name="Normal 3 11 9" xfId="11148"/>
    <cellStyle name="Normal 3 11 9 2" xfId="11149"/>
    <cellStyle name="Normal 3 12" xfId="11150"/>
    <cellStyle name="Normal 3 12 10" xfId="11151"/>
    <cellStyle name="Normal 3 12 2" xfId="11152"/>
    <cellStyle name="Normal 3 12 2 2" xfId="11153"/>
    <cellStyle name="Normal 3 12 3" xfId="11154"/>
    <cellStyle name="Normal 3 12 3 2" xfId="11155"/>
    <cellStyle name="Normal 3 12 4" xfId="11156"/>
    <cellStyle name="Normal 3 12 4 2" xfId="11157"/>
    <cellStyle name="Normal 3 12 5" xfId="11158"/>
    <cellStyle name="Normal 3 12 5 2" xfId="11159"/>
    <cellStyle name="Normal 3 12 6" xfId="11160"/>
    <cellStyle name="Normal 3 12 6 2" xfId="11161"/>
    <cellStyle name="Normal 3 12 7" xfId="11162"/>
    <cellStyle name="Normal 3 12 7 2" xfId="11163"/>
    <cellStyle name="Normal 3 12 8" xfId="11164"/>
    <cellStyle name="Normal 3 12 8 2" xfId="11165"/>
    <cellStyle name="Normal 3 12 9" xfId="11166"/>
    <cellStyle name="Normal 3 12 9 2" xfId="11167"/>
    <cellStyle name="Normal 3 13" xfId="11168"/>
    <cellStyle name="Normal 3 13 10" xfId="11169"/>
    <cellStyle name="Normal 3 13 2" xfId="11170"/>
    <cellStyle name="Normal 3 13 2 2" xfId="11171"/>
    <cellStyle name="Normal 3 13 3" xfId="11172"/>
    <cellStyle name="Normal 3 13 3 2" xfId="11173"/>
    <cellStyle name="Normal 3 13 4" xfId="11174"/>
    <cellStyle name="Normal 3 13 4 2" xfId="11175"/>
    <cellStyle name="Normal 3 13 5" xfId="11176"/>
    <cellStyle name="Normal 3 13 5 2" xfId="11177"/>
    <cellStyle name="Normal 3 13 6" xfId="11178"/>
    <cellStyle name="Normal 3 13 6 2" xfId="11179"/>
    <cellStyle name="Normal 3 13 7" xfId="11180"/>
    <cellStyle name="Normal 3 13 7 2" xfId="11181"/>
    <cellStyle name="Normal 3 13 8" xfId="11182"/>
    <cellStyle name="Normal 3 13 8 2" xfId="11183"/>
    <cellStyle name="Normal 3 13 9" xfId="11184"/>
    <cellStyle name="Normal 3 13 9 2" xfId="11185"/>
    <cellStyle name="Normal 3 14" xfId="11186"/>
    <cellStyle name="Normal 3 14 10" xfId="11187"/>
    <cellStyle name="Normal 3 14 2" xfId="11188"/>
    <cellStyle name="Normal 3 14 2 2" xfId="11189"/>
    <cellStyle name="Normal 3 14 3" xfId="11190"/>
    <cellStyle name="Normal 3 14 3 2" xfId="11191"/>
    <cellStyle name="Normal 3 14 4" xfId="11192"/>
    <cellStyle name="Normal 3 14 4 2" xfId="11193"/>
    <cellStyle name="Normal 3 14 5" xfId="11194"/>
    <cellStyle name="Normal 3 14 5 2" xfId="11195"/>
    <cellStyle name="Normal 3 14 6" xfId="11196"/>
    <cellStyle name="Normal 3 14 6 2" xfId="11197"/>
    <cellStyle name="Normal 3 14 7" xfId="11198"/>
    <cellStyle name="Normal 3 14 7 2" xfId="11199"/>
    <cellStyle name="Normal 3 14 8" xfId="11200"/>
    <cellStyle name="Normal 3 14 8 2" xfId="11201"/>
    <cellStyle name="Normal 3 14 9" xfId="11202"/>
    <cellStyle name="Normal 3 14 9 2" xfId="11203"/>
    <cellStyle name="Normal 3 15" xfId="11204"/>
    <cellStyle name="Normal 3 15 10" xfId="11205"/>
    <cellStyle name="Normal 3 15 2" xfId="11206"/>
    <cellStyle name="Normal 3 15 2 2" xfId="11207"/>
    <cellStyle name="Normal 3 15 3" xfId="11208"/>
    <cellStyle name="Normal 3 15 3 2" xfId="11209"/>
    <cellStyle name="Normal 3 15 4" xfId="11210"/>
    <cellStyle name="Normal 3 15 4 2" xfId="11211"/>
    <cellStyle name="Normal 3 15 5" xfId="11212"/>
    <cellStyle name="Normal 3 15 5 2" xfId="11213"/>
    <cellStyle name="Normal 3 15 6" xfId="11214"/>
    <cellStyle name="Normal 3 15 6 2" xfId="11215"/>
    <cellStyle name="Normal 3 15 7" xfId="11216"/>
    <cellStyle name="Normal 3 15 7 2" xfId="11217"/>
    <cellStyle name="Normal 3 15 8" xfId="11218"/>
    <cellStyle name="Normal 3 15 8 2" xfId="11219"/>
    <cellStyle name="Normal 3 15 9" xfId="11220"/>
    <cellStyle name="Normal 3 15 9 2" xfId="11221"/>
    <cellStyle name="Normal 3 16" xfId="11222"/>
    <cellStyle name="Normal 3 16 10" xfId="11223"/>
    <cellStyle name="Normal 3 16 2" xfId="11224"/>
    <cellStyle name="Normal 3 16 2 2" xfId="11225"/>
    <cellStyle name="Normal 3 16 3" xfId="11226"/>
    <cellStyle name="Normal 3 16 3 2" xfId="11227"/>
    <cellStyle name="Normal 3 16 4" xfId="11228"/>
    <cellStyle name="Normal 3 16 4 2" xfId="11229"/>
    <cellStyle name="Normal 3 16 5" xfId="11230"/>
    <cellStyle name="Normal 3 16 5 2" xfId="11231"/>
    <cellStyle name="Normal 3 16 6" xfId="11232"/>
    <cellStyle name="Normal 3 16 6 2" xfId="11233"/>
    <cellStyle name="Normal 3 16 7" xfId="11234"/>
    <cellStyle name="Normal 3 16 7 2" xfId="11235"/>
    <cellStyle name="Normal 3 16 8" xfId="11236"/>
    <cellStyle name="Normal 3 16 8 2" xfId="11237"/>
    <cellStyle name="Normal 3 16 9" xfId="11238"/>
    <cellStyle name="Normal 3 16 9 2" xfId="11239"/>
    <cellStyle name="Normal 3 17" xfId="11240"/>
    <cellStyle name="Normal 3 17 10" xfId="11241"/>
    <cellStyle name="Normal 3 17 2" xfId="11242"/>
    <cellStyle name="Normal 3 17 2 2" xfId="11243"/>
    <cellStyle name="Normal 3 17 3" xfId="11244"/>
    <cellStyle name="Normal 3 17 3 2" xfId="11245"/>
    <cellStyle name="Normal 3 17 4" xfId="11246"/>
    <cellStyle name="Normal 3 17 4 2" xfId="11247"/>
    <cellStyle name="Normal 3 17 5" xfId="11248"/>
    <cellStyle name="Normal 3 17 5 2" xfId="11249"/>
    <cellStyle name="Normal 3 17 6" xfId="11250"/>
    <cellStyle name="Normal 3 17 6 2" xfId="11251"/>
    <cellStyle name="Normal 3 17 7" xfId="11252"/>
    <cellStyle name="Normal 3 17 7 2" xfId="11253"/>
    <cellStyle name="Normal 3 17 8" xfId="11254"/>
    <cellStyle name="Normal 3 17 8 2" xfId="11255"/>
    <cellStyle name="Normal 3 17 9" xfId="11256"/>
    <cellStyle name="Normal 3 17 9 2" xfId="11257"/>
    <cellStyle name="Normal 3 18" xfId="11258"/>
    <cellStyle name="Normal 3 18 10" xfId="11259"/>
    <cellStyle name="Normal 3 18 2" xfId="11260"/>
    <cellStyle name="Normal 3 18 2 2" xfId="11261"/>
    <cellStyle name="Normal 3 18 3" xfId="11262"/>
    <cellStyle name="Normal 3 18 3 2" xfId="11263"/>
    <cellStyle name="Normal 3 18 4" xfId="11264"/>
    <cellStyle name="Normal 3 18 4 2" xfId="11265"/>
    <cellStyle name="Normal 3 18 5" xfId="11266"/>
    <cellStyle name="Normal 3 18 5 2" xfId="11267"/>
    <cellStyle name="Normal 3 18 6" xfId="11268"/>
    <cellStyle name="Normal 3 18 6 2" xfId="11269"/>
    <cellStyle name="Normal 3 18 7" xfId="11270"/>
    <cellStyle name="Normal 3 18 7 2" xfId="11271"/>
    <cellStyle name="Normal 3 18 8" xfId="11272"/>
    <cellStyle name="Normal 3 18 8 2" xfId="11273"/>
    <cellStyle name="Normal 3 18 9" xfId="11274"/>
    <cellStyle name="Normal 3 18 9 2" xfId="11275"/>
    <cellStyle name="Normal 3 19" xfId="11276"/>
    <cellStyle name="Normal 3 19 10" xfId="11277"/>
    <cellStyle name="Normal 3 19 2" xfId="11278"/>
    <cellStyle name="Normal 3 19 2 2" xfId="11279"/>
    <cellStyle name="Normal 3 19 3" xfId="11280"/>
    <cellStyle name="Normal 3 19 3 2" xfId="11281"/>
    <cellStyle name="Normal 3 19 4" xfId="11282"/>
    <cellStyle name="Normal 3 19 4 2" xfId="11283"/>
    <cellStyle name="Normal 3 19 5" xfId="11284"/>
    <cellStyle name="Normal 3 19 5 2" xfId="11285"/>
    <cellStyle name="Normal 3 19 6" xfId="11286"/>
    <cellStyle name="Normal 3 19 6 2" xfId="11287"/>
    <cellStyle name="Normal 3 19 7" xfId="11288"/>
    <cellStyle name="Normal 3 19 7 2" xfId="11289"/>
    <cellStyle name="Normal 3 19 8" xfId="11290"/>
    <cellStyle name="Normal 3 19 8 2" xfId="11291"/>
    <cellStyle name="Normal 3 19 9" xfId="11292"/>
    <cellStyle name="Normal 3 19 9 2" xfId="11293"/>
    <cellStyle name="Normal 3 2" xfId="11294"/>
    <cellStyle name="Normal 3 2 2" xfId="11295"/>
    <cellStyle name="Normal 3 2 2 2" xfId="11296"/>
    <cellStyle name="Normal 3 2 2 3" xfId="11297"/>
    <cellStyle name="Normal 3 2 2 4" xfId="11298"/>
    <cellStyle name="Normal 3 2 2 5" xfId="11299"/>
    <cellStyle name="Normal 3 2 2 6" xfId="11300"/>
    <cellStyle name="Normal 3 2 3" xfId="11301"/>
    <cellStyle name="Normal 3 2 3 2" xfId="11302"/>
    <cellStyle name="Normal 3 2 4" xfId="11303"/>
    <cellStyle name="Normal 3 2 5" xfId="11304"/>
    <cellStyle name="Normal 3 2 6" xfId="11305"/>
    <cellStyle name="Normal 3 2 7" xfId="11306"/>
    <cellStyle name="Normal 3 20" xfId="11307"/>
    <cellStyle name="Normal 3 20 10" xfId="11308"/>
    <cellStyle name="Normal 3 20 2" xfId="11309"/>
    <cellStyle name="Normal 3 20 2 2" xfId="11310"/>
    <cellStyle name="Normal 3 20 3" xfId="11311"/>
    <cellStyle name="Normal 3 20 3 2" xfId="11312"/>
    <cellStyle name="Normal 3 20 4" xfId="11313"/>
    <cellStyle name="Normal 3 20 4 2" xfId="11314"/>
    <cellStyle name="Normal 3 20 5" xfId="11315"/>
    <cellStyle name="Normal 3 20 5 2" xfId="11316"/>
    <cellStyle name="Normal 3 20 6" xfId="11317"/>
    <cellStyle name="Normal 3 20 6 2" xfId="11318"/>
    <cellStyle name="Normal 3 20 7" xfId="11319"/>
    <cellStyle name="Normal 3 20 7 2" xfId="11320"/>
    <cellStyle name="Normal 3 20 8" xfId="11321"/>
    <cellStyle name="Normal 3 20 8 2" xfId="11322"/>
    <cellStyle name="Normal 3 20 9" xfId="11323"/>
    <cellStyle name="Normal 3 20 9 2" xfId="11324"/>
    <cellStyle name="Normal 3 21" xfId="11325"/>
    <cellStyle name="Normal 3 21 10" xfId="11326"/>
    <cellStyle name="Normal 3 21 11" xfId="11327"/>
    <cellStyle name="Normal 3 21 2" xfId="11328"/>
    <cellStyle name="Normal 3 21 2 2" xfId="11329"/>
    <cellStyle name="Normal 3 21 2 3" xfId="11330"/>
    <cellStyle name="Normal 3 21 2 4" xfId="11331"/>
    <cellStyle name="Normal 3 21 2 5" xfId="11332"/>
    <cellStyle name="Normal 3 21 2 6" xfId="11333"/>
    <cellStyle name="Normal 3 21 3" xfId="11334"/>
    <cellStyle name="Normal 3 21 3 2" xfId="11335"/>
    <cellStyle name="Normal 3 21 4" xfId="11336"/>
    <cellStyle name="Normal 3 21 4 2" xfId="11337"/>
    <cellStyle name="Normal 3 21 5" xfId="11338"/>
    <cellStyle name="Normal 3 21 5 2" xfId="11339"/>
    <cellStyle name="Normal 3 21 6" xfId="11340"/>
    <cellStyle name="Normal 3 21 6 2" xfId="11341"/>
    <cellStyle name="Normal 3 21 7" xfId="11342"/>
    <cellStyle name="Normal 3 21 7 2" xfId="11343"/>
    <cellStyle name="Normal 3 21 8" xfId="11344"/>
    <cellStyle name="Normal 3 21 9" xfId="11345"/>
    <cellStyle name="Normal 3 22" xfId="11346"/>
    <cellStyle name="Normal 3 22 2" xfId="11347"/>
    <cellStyle name="Normal 3 23" xfId="11348"/>
    <cellStyle name="Normal 3 23 2" xfId="11349"/>
    <cellStyle name="Normal 3 24" xfId="11350"/>
    <cellStyle name="Normal 3 24 2" xfId="11351"/>
    <cellStyle name="Normal 3 25" xfId="11352"/>
    <cellStyle name="Normal 3 25 2" xfId="11353"/>
    <cellStyle name="Normal 3 26" xfId="11354"/>
    <cellStyle name="Normal 3 26 2" xfId="11355"/>
    <cellStyle name="Normal 3 27" xfId="11356"/>
    <cellStyle name="Normal 3 27 2" xfId="11357"/>
    <cellStyle name="Normal 3 28" xfId="11358"/>
    <cellStyle name="Normal 3 28 2" xfId="11359"/>
    <cellStyle name="Normal 3 29" xfId="11360"/>
    <cellStyle name="Normal 3 29 2" xfId="11361"/>
    <cellStyle name="Normal 3 3" xfId="11362"/>
    <cellStyle name="Normal 3 3 10" xfId="11363"/>
    <cellStyle name="Normal 3 3 10 2" xfId="11364"/>
    <cellStyle name="Normal 3 3 11" xfId="11365"/>
    <cellStyle name="Normal 3 3 11 2" xfId="11366"/>
    <cellStyle name="Normal 3 3 12" xfId="11367"/>
    <cellStyle name="Normal 3 3 12 2" xfId="11368"/>
    <cellStyle name="Normal 3 3 13" xfId="11369"/>
    <cellStyle name="Normal 3 3 13 2" xfId="11370"/>
    <cellStyle name="Normal 3 3 14" xfId="11371"/>
    <cellStyle name="Normal 3 3 14 2" xfId="11372"/>
    <cellStyle name="Normal 3 3 15" xfId="11373"/>
    <cellStyle name="Normal 3 3 15 2" xfId="11374"/>
    <cellStyle name="Normal 3 3 16" xfId="11375"/>
    <cellStyle name="Normal 3 3 16 2" xfId="11376"/>
    <cellStyle name="Normal 3 3 16 3" xfId="11377"/>
    <cellStyle name="Normal 3 3 16 4" xfId="11378"/>
    <cellStyle name="Normal 3 3 16 5" xfId="11379"/>
    <cellStyle name="Normal 3 3 16 6" xfId="11380"/>
    <cellStyle name="Normal 3 3 17" xfId="11381"/>
    <cellStyle name="Normal 3 3 18" xfId="11382"/>
    <cellStyle name="Normal 3 3 19" xfId="11383"/>
    <cellStyle name="Normal 3 3 2" xfId="11384"/>
    <cellStyle name="Normal 3 3 2 2" xfId="11385"/>
    <cellStyle name="Normal 3 3 2 2 2" xfId="11386"/>
    <cellStyle name="Normal 3 3 2 3" xfId="11387"/>
    <cellStyle name="Normal 3 3 2 3 2" xfId="11388"/>
    <cellStyle name="Normal 3 3 2 4" xfId="11389"/>
    <cellStyle name="Normal 3 3 2 4 2" xfId="11390"/>
    <cellStyle name="Normal 3 3 2 5" xfId="11391"/>
    <cellStyle name="Normal 3 3 2 5 2" xfId="11392"/>
    <cellStyle name="Normal 3 3 2 6" xfId="11393"/>
    <cellStyle name="Normal 3 3 2 6 2" xfId="11394"/>
    <cellStyle name="Normal 3 3 2 7" xfId="11395"/>
    <cellStyle name="Normal 3 3 2 7 2" xfId="11396"/>
    <cellStyle name="Normal 3 3 2 8" xfId="11397"/>
    <cellStyle name="Normal 3 3 20" xfId="11398"/>
    <cellStyle name="Normal 3 3 21" xfId="11399"/>
    <cellStyle name="Normal 3 3 22" xfId="11400"/>
    <cellStyle name="Normal 3 3 23" xfId="11401"/>
    <cellStyle name="Normal 3 3 24" xfId="11402"/>
    <cellStyle name="Normal 3 3 3" xfId="11403"/>
    <cellStyle name="Normal 3 3 3 10" xfId="11404"/>
    <cellStyle name="Normal 3 3 3 11" xfId="11405"/>
    <cellStyle name="Normal 3 3 3 2" xfId="11406"/>
    <cellStyle name="Normal 3 3 3 2 2" xfId="11407"/>
    <cellStyle name="Normal 3 3 3 2 3" xfId="11408"/>
    <cellStyle name="Normal 3 3 3 2 4" xfId="11409"/>
    <cellStyle name="Normal 3 3 3 2 5" xfId="11410"/>
    <cellStyle name="Normal 3 3 3 2 6" xfId="11411"/>
    <cellStyle name="Normal 3 3 3 3" xfId="11412"/>
    <cellStyle name="Normal 3 3 3 3 2" xfId="11413"/>
    <cellStyle name="Normal 3 3 3 4" xfId="11414"/>
    <cellStyle name="Normal 3 3 3 4 2" xfId="11415"/>
    <cellStyle name="Normal 3 3 3 5" xfId="11416"/>
    <cellStyle name="Normal 3 3 3 5 2" xfId="11417"/>
    <cellStyle name="Normal 3 3 3 6" xfId="11418"/>
    <cellStyle name="Normal 3 3 3 6 2" xfId="11419"/>
    <cellStyle name="Normal 3 3 3 7" xfId="11420"/>
    <cellStyle name="Normal 3 3 3 7 2" xfId="11421"/>
    <cellStyle name="Normal 3 3 3 8" xfId="11422"/>
    <cellStyle name="Normal 3 3 3 9" xfId="11423"/>
    <cellStyle name="Normal 3 3 4" xfId="11424"/>
    <cellStyle name="Normal 3 3 4 10" xfId="11425"/>
    <cellStyle name="Normal 3 3 4 11" xfId="11426"/>
    <cellStyle name="Normal 3 3 4 2" xfId="11427"/>
    <cellStyle name="Normal 3 3 4 2 2" xfId="11428"/>
    <cellStyle name="Normal 3 3 4 2 3" xfId="11429"/>
    <cellStyle name="Normal 3 3 4 2 4" xfId="11430"/>
    <cellStyle name="Normal 3 3 4 2 5" xfId="11431"/>
    <cellStyle name="Normal 3 3 4 2 6" xfId="11432"/>
    <cellStyle name="Normal 3 3 4 3" xfId="11433"/>
    <cellStyle name="Normal 3 3 4 3 2" xfId="11434"/>
    <cellStyle name="Normal 3 3 4 4" xfId="11435"/>
    <cellStyle name="Normal 3 3 4 4 2" xfId="11436"/>
    <cellStyle name="Normal 3 3 4 5" xfId="11437"/>
    <cellStyle name="Normal 3 3 4 5 2" xfId="11438"/>
    <cellStyle name="Normal 3 3 4 6" xfId="11439"/>
    <cellStyle name="Normal 3 3 4 6 2" xfId="11440"/>
    <cellStyle name="Normal 3 3 4 7" xfId="11441"/>
    <cellStyle name="Normal 3 3 4 7 2" xfId="11442"/>
    <cellStyle name="Normal 3 3 4 8" xfId="11443"/>
    <cellStyle name="Normal 3 3 4 9" xfId="11444"/>
    <cellStyle name="Normal 3 3 5" xfId="11445"/>
    <cellStyle name="Normal 3 3 5 2" xfId="11446"/>
    <cellStyle name="Normal 3 3 6" xfId="11447"/>
    <cellStyle name="Normal 3 3 6 2" xfId="11448"/>
    <cellStyle name="Normal 3 3 7" xfId="11449"/>
    <cellStyle name="Normal 3 3 7 2" xfId="11450"/>
    <cellStyle name="Normal 3 3 8" xfId="11451"/>
    <cellStyle name="Normal 3 3 8 2" xfId="11452"/>
    <cellStyle name="Normal 3 3 9" xfId="11453"/>
    <cellStyle name="Normal 3 3 9 2" xfId="11454"/>
    <cellStyle name="Normal 3 30" xfId="11455"/>
    <cellStyle name="Normal 3 30 2" xfId="11456"/>
    <cellStyle name="Normal 3 31" xfId="11457"/>
    <cellStyle name="Normal 3 31 2" xfId="11458"/>
    <cellStyle name="Normal 3 32" xfId="11459"/>
    <cellStyle name="Normal 3 32 2" xfId="11460"/>
    <cellStyle name="Normal 3 33" xfId="11461"/>
    <cellStyle name="Normal 3 33 2" xfId="11462"/>
    <cellStyle name="Normal 3 34" xfId="11463"/>
    <cellStyle name="Normal 3 34 2" xfId="11464"/>
    <cellStyle name="Normal 3 35" xfId="11465"/>
    <cellStyle name="Normal 3 35 2" xfId="11466"/>
    <cellStyle name="Normal 3 36" xfId="11467"/>
    <cellStyle name="Normal 3 36 2" xfId="11468"/>
    <cellStyle name="Normal 3 37" xfId="11469"/>
    <cellStyle name="Normal 3 37 2" xfId="11470"/>
    <cellStyle name="Normal 3 38" xfId="11471"/>
    <cellStyle name="Normal 3 38 2" xfId="11472"/>
    <cellStyle name="Normal 3 39" xfId="11473"/>
    <cellStyle name="Normal 3 39 2" xfId="11474"/>
    <cellStyle name="Normal 3 4" xfId="11475"/>
    <cellStyle name="Normal 3 4 10" xfId="11476"/>
    <cellStyle name="Normal 3 4 11" xfId="11477"/>
    <cellStyle name="Normal 3 4 11 2" xfId="11478"/>
    <cellStyle name="Normal 3 4 12" xfId="11479"/>
    <cellStyle name="Normal 3 4 12 2" xfId="11480"/>
    <cellStyle name="Normal 3 4 13" xfId="11481"/>
    <cellStyle name="Normal 3 4 13 2" xfId="11482"/>
    <cellStyle name="Normal 3 4 14" xfId="11483"/>
    <cellStyle name="Normal 3 4 14 2" xfId="11484"/>
    <cellStyle name="Normal 3 4 14 3" xfId="11485"/>
    <cellStyle name="Normal 3 4 14 4" xfId="11486"/>
    <cellStyle name="Normal 3 4 14 5" xfId="11487"/>
    <cellStyle name="Normal 3 4 14 6" xfId="11488"/>
    <cellStyle name="Normal 3 4 15" xfId="11489"/>
    <cellStyle name="Normal 3 4 15 2" xfId="11490"/>
    <cellStyle name="Normal 3 4 16" xfId="11491"/>
    <cellStyle name="Normal 3 4 16 2" xfId="11492"/>
    <cellStyle name="Normal 3 4 17" xfId="11493"/>
    <cellStyle name="Normal 3 4 17 2" xfId="11494"/>
    <cellStyle name="Normal 3 4 18" xfId="11495"/>
    <cellStyle name="Normal 3 4 18 2" xfId="11496"/>
    <cellStyle name="Normal 3 4 19" xfId="11497"/>
    <cellStyle name="Normal 3 4 2" xfId="11498"/>
    <cellStyle name="Normal 3 4 2 2" xfId="11499"/>
    <cellStyle name="Normal 3 4 2 2 10" xfId="11500"/>
    <cellStyle name="Normal 3 4 2 2 11" xfId="11501"/>
    <cellStyle name="Normal 3 4 2 2 2" xfId="11502"/>
    <cellStyle name="Normal 3 4 2 2 2 2" xfId="11503"/>
    <cellStyle name="Normal 3 4 2 2 2 3" xfId="11504"/>
    <cellStyle name="Normal 3 4 2 2 2 4" xfId="11505"/>
    <cellStyle name="Normal 3 4 2 2 2 5" xfId="11506"/>
    <cellStyle name="Normal 3 4 2 2 2 6" xfId="11507"/>
    <cellStyle name="Normal 3 4 2 2 3" xfId="11508"/>
    <cellStyle name="Normal 3 4 2 2 4" xfId="11509"/>
    <cellStyle name="Normal 3 4 2 2 5" xfId="11510"/>
    <cellStyle name="Normal 3 4 2 2 6" xfId="11511"/>
    <cellStyle name="Normal 3 4 2 2 7" xfId="11512"/>
    <cellStyle name="Normal 3 4 2 2 8" xfId="11513"/>
    <cellStyle name="Normal 3 4 2 2 9" xfId="11514"/>
    <cellStyle name="Normal 3 4 2 3" xfId="11515"/>
    <cellStyle name="Normal 3 4 2 3 2" xfId="11516"/>
    <cellStyle name="Normal 3 4 2 4" xfId="11517"/>
    <cellStyle name="Normal 3 4 2 4 2" xfId="11518"/>
    <cellStyle name="Normal 3 4 2 5" xfId="11519"/>
    <cellStyle name="Normal 3 4 2 5 2" xfId="11520"/>
    <cellStyle name="Normal 3 4 2 6" xfId="11521"/>
    <cellStyle name="Normal 3 4 2 6 2" xfId="11522"/>
    <cellStyle name="Normal 3 4 2 7" xfId="11523"/>
    <cellStyle name="Normal 3 4 2 7 2" xfId="11524"/>
    <cellStyle name="Normal 3 4 2 8" xfId="11525"/>
    <cellStyle name="Normal 3 4 20" xfId="11526"/>
    <cellStyle name="Normal 3 4 21" xfId="11527"/>
    <cellStyle name="Normal 3 4 22" xfId="11528"/>
    <cellStyle name="Normal 3 4 3" xfId="11529"/>
    <cellStyle name="Normal 3 4 3 10" xfId="11530"/>
    <cellStyle name="Normal 3 4 3 11" xfId="11531"/>
    <cellStyle name="Normal 3 4 3 2" xfId="11532"/>
    <cellStyle name="Normal 3 4 3 2 2" xfId="11533"/>
    <cellStyle name="Normal 3 4 3 2 3" xfId="11534"/>
    <cellStyle name="Normal 3 4 3 2 4" xfId="11535"/>
    <cellStyle name="Normal 3 4 3 2 5" xfId="11536"/>
    <cellStyle name="Normal 3 4 3 2 6" xfId="11537"/>
    <cellStyle name="Normal 3 4 3 3" xfId="11538"/>
    <cellStyle name="Normal 3 4 3 4" xfId="11539"/>
    <cellStyle name="Normal 3 4 3 5" xfId="11540"/>
    <cellStyle name="Normal 3 4 3 6" xfId="11541"/>
    <cellStyle name="Normal 3 4 3 7" xfId="11542"/>
    <cellStyle name="Normal 3 4 3 8" xfId="11543"/>
    <cellStyle name="Normal 3 4 3 9" xfId="11544"/>
    <cellStyle name="Normal 3 4 4" xfId="11545"/>
    <cellStyle name="Normal 3 4 5" xfId="11546"/>
    <cellStyle name="Normal 3 4 6" xfId="11547"/>
    <cellStyle name="Normal 3 4 7" xfId="11548"/>
    <cellStyle name="Normal 3 4 8" xfId="11549"/>
    <cellStyle name="Normal 3 4 9" xfId="11550"/>
    <cellStyle name="Normal 3 40" xfId="11551"/>
    <cellStyle name="Normal 3 40 2" xfId="11552"/>
    <cellStyle name="Normal 3 41" xfId="11553"/>
    <cellStyle name="Normal 3 41 2" xfId="11554"/>
    <cellStyle name="Normal 3 42" xfId="11555"/>
    <cellStyle name="Normal 3 42 2" xfId="11556"/>
    <cellStyle name="Normal 3 43" xfId="11557"/>
    <cellStyle name="Normal 3 43 2" xfId="11558"/>
    <cellStyle name="Normal 3 44" xfId="11559"/>
    <cellStyle name="Normal 3 44 2" xfId="11560"/>
    <cellStyle name="Normal 3 45" xfId="11561"/>
    <cellStyle name="Normal 3 45 2" xfId="11562"/>
    <cellStyle name="Normal 3 46" xfId="11563"/>
    <cellStyle name="Normal 3 46 2" xfId="11564"/>
    <cellStyle name="Normal 3 47" xfId="11565"/>
    <cellStyle name="Normal 3 47 2" xfId="11566"/>
    <cellStyle name="Normal 3 48" xfId="11567"/>
    <cellStyle name="Normal 3 48 2" xfId="11568"/>
    <cellStyle name="Normal 3 49" xfId="11569"/>
    <cellStyle name="Normal 3 49 2" xfId="11570"/>
    <cellStyle name="Normal 3 5" xfId="11571"/>
    <cellStyle name="Normal 3 5 10" xfId="11572"/>
    <cellStyle name="Normal 3 5 2" xfId="11573"/>
    <cellStyle name="Normal 3 5 2 2" xfId="11574"/>
    <cellStyle name="Normal 3 5 2 2 2" xfId="11575"/>
    <cellStyle name="Normal 3 5 2 3" xfId="11576"/>
    <cellStyle name="Normal 3 5 2 3 2" xfId="11577"/>
    <cellStyle name="Normal 3 5 2 4" xfId="11578"/>
    <cellStyle name="Normal 3 5 2 4 2" xfId="11579"/>
    <cellStyle name="Normal 3 5 2 5" xfId="11580"/>
    <cellStyle name="Normal 3 5 2 5 2" xfId="11581"/>
    <cellStyle name="Normal 3 5 2 6" xfId="11582"/>
    <cellStyle name="Normal 3 5 2 6 2" xfId="11583"/>
    <cellStyle name="Normal 3 5 2 7" xfId="11584"/>
    <cellStyle name="Normal 3 5 2 7 2" xfId="11585"/>
    <cellStyle name="Normal 3 5 2 8" xfId="11586"/>
    <cellStyle name="Normal 3 5 3" xfId="11587"/>
    <cellStyle name="Normal 3 5 3 2" xfId="11588"/>
    <cellStyle name="Normal 3 5 4" xfId="11589"/>
    <cellStyle name="Normal 3 5 4 2" xfId="11590"/>
    <cellStyle name="Normal 3 5 5" xfId="11591"/>
    <cellStyle name="Normal 3 5 5 2" xfId="11592"/>
    <cellStyle name="Normal 3 5 6" xfId="11593"/>
    <cellStyle name="Normal 3 5 6 2" xfId="11594"/>
    <cellStyle name="Normal 3 5 7" xfId="11595"/>
    <cellStyle name="Normal 3 5 7 2" xfId="11596"/>
    <cellStyle name="Normal 3 5 8" xfId="11597"/>
    <cellStyle name="Normal 3 5 8 2" xfId="11598"/>
    <cellStyle name="Normal 3 5 9" xfId="11599"/>
    <cellStyle name="Normal 3 5 9 2" xfId="11600"/>
    <cellStyle name="Normal 3 50" xfId="11601"/>
    <cellStyle name="Normal 3 50 2" xfId="11602"/>
    <cellStyle name="Normal 3 51" xfId="11603"/>
    <cellStyle name="Normal 3 52" xfId="11604"/>
    <cellStyle name="Normal 3 53" xfId="11605"/>
    <cellStyle name="Normal 3 54" xfId="11606"/>
    <cellStyle name="Normal 3 55" xfId="11607"/>
    <cellStyle name="Normal 3 56" xfId="11608"/>
    <cellStyle name="Normal 3 57" xfId="11609"/>
    <cellStyle name="Normal 3 58" xfId="11610"/>
    <cellStyle name="Normal 3 59" xfId="11611"/>
    <cellStyle name="Normal 3 6" xfId="11612"/>
    <cellStyle name="Normal 3 6 10" xfId="11613"/>
    <cellStyle name="Normal 3 6 2" xfId="11614"/>
    <cellStyle name="Normal 3 6 2 2" xfId="11615"/>
    <cellStyle name="Normal 3 6 2 2 2" xfId="11616"/>
    <cellStyle name="Normal 3 6 2 3" xfId="11617"/>
    <cellStyle name="Normal 3 6 2 3 2" xfId="11618"/>
    <cellStyle name="Normal 3 6 2 4" xfId="11619"/>
    <cellStyle name="Normal 3 6 2 4 2" xfId="11620"/>
    <cellStyle name="Normal 3 6 2 5" xfId="11621"/>
    <cellStyle name="Normal 3 6 2 5 2" xfId="11622"/>
    <cellStyle name="Normal 3 6 2 6" xfId="11623"/>
    <cellStyle name="Normal 3 6 2 6 2" xfId="11624"/>
    <cellStyle name="Normal 3 6 2 7" xfId="11625"/>
    <cellStyle name="Normal 3 6 2 7 2" xfId="11626"/>
    <cellStyle name="Normal 3 6 2 8" xfId="11627"/>
    <cellStyle name="Normal 3 6 3" xfId="11628"/>
    <cellStyle name="Normal 3 6 3 2" xfId="11629"/>
    <cellStyle name="Normal 3 6 4" xfId="11630"/>
    <cellStyle name="Normal 3 6 4 2" xfId="11631"/>
    <cellStyle name="Normal 3 6 5" xfId="11632"/>
    <cellStyle name="Normal 3 6 5 2" xfId="11633"/>
    <cellStyle name="Normal 3 6 6" xfId="11634"/>
    <cellStyle name="Normal 3 6 6 2" xfId="11635"/>
    <cellStyle name="Normal 3 6 7" xfId="11636"/>
    <cellStyle name="Normal 3 6 7 2" xfId="11637"/>
    <cellStyle name="Normal 3 6 8" xfId="11638"/>
    <cellStyle name="Normal 3 6 8 2" xfId="11639"/>
    <cellStyle name="Normal 3 6 9" xfId="11640"/>
    <cellStyle name="Normal 3 6 9 2" xfId="11641"/>
    <cellStyle name="Normal 3 60" xfId="11642"/>
    <cellStyle name="Normal 3 61" xfId="11643"/>
    <cellStyle name="Normal 3 62" xfId="11644"/>
    <cellStyle name="Normal 3 63" xfId="11645"/>
    <cellStyle name="Normal 3 64" xfId="11646"/>
    <cellStyle name="Normal 3 65" xfId="11647"/>
    <cellStyle name="Normal 3 66" xfId="11648"/>
    <cellStyle name="Normal 3 67" xfId="11649"/>
    <cellStyle name="Normal 3 68" xfId="11650"/>
    <cellStyle name="Normal 3 69" xfId="11651"/>
    <cellStyle name="Normal 3 7" xfId="11652"/>
    <cellStyle name="Normal 3 7 10" xfId="11653"/>
    <cellStyle name="Normal 3 7 2" xfId="11654"/>
    <cellStyle name="Normal 3 7 2 2" xfId="11655"/>
    <cellStyle name="Normal 3 7 2 2 2" xfId="11656"/>
    <cellStyle name="Normal 3 7 2 3" xfId="11657"/>
    <cellStyle name="Normal 3 7 2 3 2" xfId="11658"/>
    <cellStyle name="Normal 3 7 2 4" xfId="11659"/>
    <cellStyle name="Normal 3 7 2 4 2" xfId="11660"/>
    <cellStyle name="Normal 3 7 2 5" xfId="11661"/>
    <cellStyle name="Normal 3 7 2 5 2" xfId="11662"/>
    <cellStyle name="Normal 3 7 2 6" xfId="11663"/>
    <cellStyle name="Normal 3 7 2 6 2" xfId="11664"/>
    <cellStyle name="Normal 3 7 2 7" xfId="11665"/>
    <cellStyle name="Normal 3 7 2 7 2" xfId="11666"/>
    <cellStyle name="Normal 3 7 2 8" xfId="11667"/>
    <cellStyle name="Normal 3 7 3" xfId="11668"/>
    <cellStyle name="Normal 3 7 3 2" xfId="11669"/>
    <cellStyle name="Normal 3 7 4" xfId="11670"/>
    <cellStyle name="Normal 3 7 4 2" xfId="11671"/>
    <cellStyle name="Normal 3 7 5" xfId="11672"/>
    <cellStyle name="Normal 3 7 5 2" xfId="11673"/>
    <cellStyle name="Normal 3 7 6" xfId="11674"/>
    <cellStyle name="Normal 3 7 6 2" xfId="11675"/>
    <cellStyle name="Normal 3 7 7" xfId="11676"/>
    <cellStyle name="Normal 3 7 7 2" xfId="11677"/>
    <cellStyle name="Normal 3 7 8" xfId="11678"/>
    <cellStyle name="Normal 3 7 8 2" xfId="11679"/>
    <cellStyle name="Normal 3 7 9" xfId="11680"/>
    <cellStyle name="Normal 3 7 9 2" xfId="11681"/>
    <cellStyle name="Normal 3 70" xfId="11682"/>
    <cellStyle name="Normal 3 8" xfId="11683"/>
    <cellStyle name="Normal 3 8 10" xfId="11684"/>
    <cellStyle name="Normal 3 8 2" xfId="11685"/>
    <cellStyle name="Normal 3 8 2 2" xfId="11686"/>
    <cellStyle name="Normal 3 8 2 2 2" xfId="11687"/>
    <cellStyle name="Normal 3 8 2 3" xfId="11688"/>
    <cellStyle name="Normal 3 8 2 3 2" xfId="11689"/>
    <cellStyle name="Normal 3 8 2 4" xfId="11690"/>
    <cellStyle name="Normal 3 8 2 4 2" xfId="11691"/>
    <cellStyle name="Normal 3 8 2 5" xfId="11692"/>
    <cellStyle name="Normal 3 8 2 5 2" xfId="11693"/>
    <cellStyle name="Normal 3 8 2 6" xfId="11694"/>
    <cellStyle name="Normal 3 8 2 6 2" xfId="11695"/>
    <cellStyle name="Normal 3 8 2 7" xfId="11696"/>
    <cellStyle name="Normal 3 8 2 7 2" xfId="11697"/>
    <cellStyle name="Normal 3 8 2 8" xfId="11698"/>
    <cellStyle name="Normal 3 8 3" xfId="11699"/>
    <cellStyle name="Normal 3 8 3 2" xfId="11700"/>
    <cellStyle name="Normal 3 8 4" xfId="11701"/>
    <cellStyle name="Normal 3 8 4 2" xfId="11702"/>
    <cellStyle name="Normal 3 8 5" xfId="11703"/>
    <cellStyle name="Normal 3 8 5 2" xfId="11704"/>
    <cellStyle name="Normal 3 8 6" xfId="11705"/>
    <cellStyle name="Normal 3 8 6 2" xfId="11706"/>
    <cellStyle name="Normal 3 8 7" xfId="11707"/>
    <cellStyle name="Normal 3 8 7 2" xfId="11708"/>
    <cellStyle name="Normal 3 8 8" xfId="11709"/>
    <cellStyle name="Normal 3 8 8 2" xfId="11710"/>
    <cellStyle name="Normal 3 8 9" xfId="11711"/>
    <cellStyle name="Normal 3 8 9 2" xfId="11712"/>
    <cellStyle name="Normal 3 9" xfId="11713"/>
    <cellStyle name="Normal 3 9 10" xfId="11714"/>
    <cellStyle name="Normal 3 9 11" xfId="11715"/>
    <cellStyle name="Normal 3 9 12" xfId="11716"/>
    <cellStyle name="Normal 3 9 13" xfId="11717"/>
    <cellStyle name="Normal 3 9 2" xfId="11718"/>
    <cellStyle name="Normal 3 9 2 2" xfId="11719"/>
    <cellStyle name="Normal 3 9 2 2 2" xfId="11720"/>
    <cellStyle name="Normal 3 9 2 3" xfId="11721"/>
    <cellStyle name="Normal 3 9 2 3 2" xfId="11722"/>
    <cellStyle name="Normal 3 9 2 4" xfId="11723"/>
    <cellStyle name="Normal 3 9 2 4 2" xfId="11724"/>
    <cellStyle name="Normal 3 9 2 5" xfId="11725"/>
    <cellStyle name="Normal 3 9 2 5 2" xfId="11726"/>
    <cellStyle name="Normal 3 9 2 6" xfId="11727"/>
    <cellStyle name="Normal 3 9 2 6 2" xfId="11728"/>
    <cellStyle name="Normal 3 9 2 7" xfId="11729"/>
    <cellStyle name="Normal 3 9 2 7 2" xfId="11730"/>
    <cellStyle name="Normal 3 9 2 8" xfId="11731"/>
    <cellStyle name="Normal 3 9 3" xfId="11732"/>
    <cellStyle name="Normal 3 9 3 2" xfId="11733"/>
    <cellStyle name="Normal 3 9 4" xfId="11734"/>
    <cellStyle name="Normal 3 9 4 2" xfId="11735"/>
    <cellStyle name="Normal 3 9 5" xfId="11736"/>
    <cellStyle name="Normal 3 9 5 2" xfId="11737"/>
    <cellStyle name="Normal 3 9 5 3" xfId="11738"/>
    <cellStyle name="Normal 3 9 5 4" xfId="11739"/>
    <cellStyle name="Normal 3 9 5 5" xfId="11740"/>
    <cellStyle name="Normal 3 9 5 6" xfId="11741"/>
    <cellStyle name="Normal 3 9 6" xfId="11742"/>
    <cellStyle name="Normal 3 9 6 2" xfId="11743"/>
    <cellStyle name="Normal 3 9 7" xfId="11744"/>
    <cellStyle name="Normal 3 9 7 2" xfId="11745"/>
    <cellStyle name="Normal 3 9 8" xfId="11746"/>
    <cellStyle name="Normal 3 9 8 2" xfId="11747"/>
    <cellStyle name="Normal 3 9 9" xfId="11748"/>
    <cellStyle name="Normal 3 9 9 2" xfId="11749"/>
    <cellStyle name="Normal 30" xfId="11750"/>
    <cellStyle name="Normal 30 2" xfId="11751"/>
    <cellStyle name="Normal 31" xfId="11752"/>
    <cellStyle name="Normal 32" xfId="11753"/>
    <cellStyle name="Normal 33" xfId="11754"/>
    <cellStyle name="Normal 34" xfId="11755"/>
    <cellStyle name="Normal 35" xfId="11756"/>
    <cellStyle name="Normal 36" xfId="11757"/>
    <cellStyle name="Normal 37" xfId="11758"/>
    <cellStyle name="Normal 38" xfId="11759"/>
    <cellStyle name="Normal 39" xfId="11760"/>
    <cellStyle name="Normal 4" xfId="11761"/>
    <cellStyle name="Normal 4 10" xfId="11762"/>
    <cellStyle name="Normal 4 11" xfId="11763"/>
    <cellStyle name="Normal 4 12" xfId="11764"/>
    <cellStyle name="Normal 4 13" xfId="11765"/>
    <cellStyle name="Normal 4 14" xfId="11766"/>
    <cellStyle name="Normal 4 15" xfId="11767"/>
    <cellStyle name="Normal 4 16" xfId="11768"/>
    <cellStyle name="Normal 4 17" xfId="11769"/>
    <cellStyle name="Normal 4 18" xfId="11770"/>
    <cellStyle name="Normal 4 19" xfId="11771"/>
    <cellStyle name="Normal 4 2" xfId="11772"/>
    <cellStyle name="Normal 4 20" xfId="11773"/>
    <cellStyle name="Normal 4 21" xfId="11774"/>
    <cellStyle name="Normal 4 22" xfId="11775"/>
    <cellStyle name="Normal 4 22 2" xfId="11776"/>
    <cellStyle name="Normal 4 23" xfId="11777"/>
    <cellStyle name="Normal 4 23 2" xfId="11778"/>
    <cellStyle name="Normal 4 24" xfId="11779"/>
    <cellStyle name="Normal 4 24 2" xfId="11780"/>
    <cellStyle name="Normal 4 25" xfId="11781"/>
    <cellStyle name="Normal 4 25 2" xfId="11782"/>
    <cellStyle name="Normal 4 26" xfId="11783"/>
    <cellStyle name="Normal 4 26 2" xfId="11784"/>
    <cellStyle name="Normal 4 27" xfId="11785"/>
    <cellStyle name="Normal 4 27 2" xfId="11786"/>
    <cellStyle name="Normal 4 28" xfId="11787"/>
    <cellStyle name="Normal 4 29" xfId="11788"/>
    <cellStyle name="Normal 4 3" xfId="11789"/>
    <cellStyle name="Normal 4 30" xfId="11790"/>
    <cellStyle name="Normal 4 4" xfId="11791"/>
    <cellStyle name="Normal 4 5" xfId="11792"/>
    <cellStyle name="Normal 4 6" xfId="11793"/>
    <cellStyle name="Normal 4 7" xfId="11794"/>
    <cellStyle name="Normal 4 8" xfId="11795"/>
    <cellStyle name="Normal 4 9" xfId="11796"/>
    <cellStyle name="Normal 40" xfId="11797"/>
    <cellStyle name="Normal 41" xfId="11798"/>
    <cellStyle name="Normal 42" xfId="11799"/>
    <cellStyle name="Normal 43" xfId="11800"/>
    <cellStyle name="Normal 44" xfId="11801"/>
    <cellStyle name="Normal 45" xfId="11802"/>
    <cellStyle name="Normal 45 2" xfId="11803"/>
    <cellStyle name="Normal 45 2 2" xfId="11804"/>
    <cellStyle name="Normal 45 2 3" xfId="11805"/>
    <cellStyle name="Normal 45 3" xfId="11806"/>
    <cellStyle name="Normal 45 4" xfId="11807"/>
    <cellStyle name="Normal 45 5" xfId="11808"/>
    <cellStyle name="Normal 46" xfId="11809"/>
    <cellStyle name="Normal 46 2" xfId="11810"/>
    <cellStyle name="Normal 46 3" xfId="11811"/>
    <cellStyle name="Normal 47" xfId="11812"/>
    <cellStyle name="Normal 47 2" xfId="11813"/>
    <cellStyle name="Normal 47 2 2" xfId="11814"/>
    <cellStyle name="Normal 47 2 3" xfId="11815"/>
    <cellStyle name="Normal 47 3" xfId="11816"/>
    <cellStyle name="Normal 47 4" xfId="11817"/>
    <cellStyle name="Normal 47 5" xfId="11818"/>
    <cellStyle name="Normal 48" xfId="11819"/>
    <cellStyle name="Normal 48 2" xfId="11820"/>
    <cellStyle name="Normal 48 2 2" xfId="11821"/>
    <cellStyle name="Normal 48 2 3" xfId="11822"/>
    <cellStyle name="Normal 48 3" xfId="11823"/>
    <cellStyle name="Normal 48 4" xfId="11824"/>
    <cellStyle name="Normal 48 5" xfId="11825"/>
    <cellStyle name="Normal 49" xfId="11826"/>
    <cellStyle name="Normal 5" xfId="11827"/>
    <cellStyle name="Normal 5 10" xfId="11828"/>
    <cellStyle name="Normal 5 10 2" xfId="11829"/>
    <cellStyle name="Normal 5 11" xfId="11830"/>
    <cellStyle name="Normal 5 11 2" xfId="11831"/>
    <cellStyle name="Normal 5 12" xfId="11832"/>
    <cellStyle name="Normal 5 12 2" xfId="11833"/>
    <cellStyle name="Normal 5 13" xfId="11834"/>
    <cellStyle name="Normal 5 13 2" xfId="11835"/>
    <cellStyle name="Normal 5 14" xfId="11836"/>
    <cellStyle name="Normal 5 14 2" xfId="11837"/>
    <cellStyle name="Normal 5 15" xfId="11838"/>
    <cellStyle name="Normal 5 15 2" xfId="11839"/>
    <cellStyle name="Normal 5 16" xfId="11840"/>
    <cellStyle name="Normal 5 17" xfId="11841"/>
    <cellStyle name="Normal 5 18" xfId="11842"/>
    <cellStyle name="Normal 5 19" xfId="11843"/>
    <cellStyle name="Normal 5 2" xfId="11844"/>
    <cellStyle name="Normal 5 2 2" xfId="11845"/>
    <cellStyle name="Normal 5 2 2 2" xfId="11846"/>
    <cellStyle name="Normal 5 2 3" xfId="11847"/>
    <cellStyle name="Normal 5 2 3 2" xfId="11848"/>
    <cellStyle name="Normal 5 2 4" xfId="11849"/>
    <cellStyle name="Normal 5 2 4 2" xfId="11850"/>
    <cellStyle name="Normal 5 2 5" xfId="11851"/>
    <cellStyle name="Normal 5 2 5 2" xfId="11852"/>
    <cellStyle name="Normal 5 2 6" xfId="11853"/>
    <cellStyle name="Normal 5 2 6 2" xfId="11854"/>
    <cellStyle name="Normal 5 2 7" xfId="11855"/>
    <cellStyle name="Normal 5 2 7 2" xfId="11856"/>
    <cellStyle name="Normal 5 2 8" xfId="11857"/>
    <cellStyle name="Normal 5 20" xfId="11858"/>
    <cellStyle name="Normal 5 21" xfId="11859"/>
    <cellStyle name="Normal 5 22" xfId="11860"/>
    <cellStyle name="Normal 5 23" xfId="11861"/>
    <cellStyle name="Normal 5 24" xfId="11862"/>
    <cellStyle name="Normal 5 24 2" xfId="11863"/>
    <cellStyle name="Normal 5 25" xfId="11864"/>
    <cellStyle name="Normal 5 25 2" xfId="11865"/>
    <cellStyle name="Normal 5 26" xfId="11866"/>
    <cellStyle name="Normal 5 26 2" xfId="11867"/>
    <cellStyle name="Normal 5 27" xfId="11868"/>
    <cellStyle name="Normal 5 27 2" xfId="11869"/>
    <cellStyle name="Normal 5 28" xfId="11870"/>
    <cellStyle name="Normal 5 28 2" xfId="11871"/>
    <cellStyle name="Normal 5 29" xfId="11872"/>
    <cellStyle name="Normal 5 29 2" xfId="11873"/>
    <cellStyle name="Normal 5 3" xfId="11874"/>
    <cellStyle name="Normal 5 3 2" xfId="11875"/>
    <cellStyle name="Normal 5 3 2 2" xfId="11876"/>
    <cellStyle name="Normal 5 3 3" xfId="11877"/>
    <cellStyle name="Normal 5 3 3 2" xfId="11878"/>
    <cellStyle name="Normal 5 3 4" xfId="11879"/>
    <cellStyle name="Normal 5 3 4 2" xfId="11880"/>
    <cellStyle name="Normal 5 3 5" xfId="11881"/>
    <cellStyle name="Normal 5 3 5 2" xfId="11882"/>
    <cellStyle name="Normal 5 3 6" xfId="11883"/>
    <cellStyle name="Normal 5 3 6 2" xfId="11884"/>
    <cellStyle name="Normal 5 3 7" xfId="11885"/>
    <cellStyle name="Normal 5 3 7 2" xfId="11886"/>
    <cellStyle name="Normal 5 3 8" xfId="11887"/>
    <cellStyle name="Normal 5 30" xfId="11888"/>
    <cellStyle name="Normal 5 31" xfId="11889"/>
    <cellStyle name="Normal 5 32" xfId="11890"/>
    <cellStyle name="Normal 5 33" xfId="11891"/>
    <cellStyle name="Normal 5 34" xfId="11892"/>
    <cellStyle name="Normal 5 4" xfId="11893"/>
    <cellStyle name="Normal 5 4 2" xfId="11894"/>
    <cellStyle name="Normal 5 4 2 2" xfId="11895"/>
    <cellStyle name="Normal 5 4 3" xfId="11896"/>
    <cellStyle name="Normal 5 4 3 2" xfId="11897"/>
    <cellStyle name="Normal 5 4 4" xfId="11898"/>
    <cellStyle name="Normal 5 4 4 2" xfId="11899"/>
    <cellStyle name="Normal 5 4 5" xfId="11900"/>
    <cellStyle name="Normal 5 4 5 2" xfId="11901"/>
    <cellStyle name="Normal 5 4 6" xfId="11902"/>
    <cellStyle name="Normal 5 4 6 2" xfId="11903"/>
    <cellStyle name="Normal 5 4 7" xfId="11904"/>
    <cellStyle name="Normal 5 4 7 2" xfId="11905"/>
    <cellStyle name="Normal 5 4 8" xfId="11906"/>
    <cellStyle name="Normal 5 5" xfId="11907"/>
    <cellStyle name="Normal 5 5 2" xfId="11908"/>
    <cellStyle name="Normal 5 5 2 2" xfId="11909"/>
    <cellStyle name="Normal 5 5 3" xfId="11910"/>
    <cellStyle name="Normal 5 5 3 2" xfId="11911"/>
    <cellStyle name="Normal 5 5 4" xfId="11912"/>
    <cellStyle name="Normal 5 5 4 2" xfId="11913"/>
    <cellStyle name="Normal 5 5 5" xfId="11914"/>
    <cellStyle name="Normal 5 5 5 2" xfId="11915"/>
    <cellStyle name="Normal 5 5 6" xfId="11916"/>
    <cellStyle name="Normal 5 5 6 2" xfId="11917"/>
    <cellStyle name="Normal 5 5 7" xfId="11918"/>
    <cellStyle name="Normal 5 5 7 2" xfId="11919"/>
    <cellStyle name="Normal 5 5 8" xfId="11920"/>
    <cellStyle name="Normal 5 6" xfId="11921"/>
    <cellStyle name="Normal 5 6 10" xfId="11922"/>
    <cellStyle name="Normal 5 6 11" xfId="11923"/>
    <cellStyle name="Normal 5 6 2" xfId="11924"/>
    <cellStyle name="Normal 5 6 2 2" xfId="11925"/>
    <cellStyle name="Normal 5 6 2 3" xfId="11926"/>
    <cellStyle name="Normal 5 6 2 4" xfId="11927"/>
    <cellStyle name="Normal 5 6 2 5" xfId="11928"/>
    <cellStyle name="Normal 5 6 2 6" xfId="11929"/>
    <cellStyle name="Normal 5 6 3" xfId="11930"/>
    <cellStyle name="Normal 5 6 3 2" xfId="11931"/>
    <cellStyle name="Normal 5 6 4" xfId="11932"/>
    <cellStyle name="Normal 5 6 4 2" xfId="11933"/>
    <cellStyle name="Normal 5 6 5" xfId="11934"/>
    <cellStyle name="Normal 5 6 5 2" xfId="11935"/>
    <cellStyle name="Normal 5 6 6" xfId="11936"/>
    <cellStyle name="Normal 5 6 6 2" xfId="11937"/>
    <cellStyle name="Normal 5 6 7" xfId="11938"/>
    <cellStyle name="Normal 5 6 7 2" xfId="11939"/>
    <cellStyle name="Normal 5 6 8" xfId="11940"/>
    <cellStyle name="Normal 5 6 9" xfId="11941"/>
    <cellStyle name="Normal 5 7" xfId="11942"/>
    <cellStyle name="Normal 5 7 10" xfId="11943"/>
    <cellStyle name="Normal 5 7 11" xfId="11944"/>
    <cellStyle name="Normal 5 7 2" xfId="11945"/>
    <cellStyle name="Normal 5 7 2 2" xfId="11946"/>
    <cellStyle name="Normal 5 7 2 3" xfId="11947"/>
    <cellStyle name="Normal 5 7 2 4" xfId="11948"/>
    <cellStyle name="Normal 5 7 2 5" xfId="11949"/>
    <cellStyle name="Normal 5 7 2 6" xfId="11950"/>
    <cellStyle name="Normal 5 7 3" xfId="11951"/>
    <cellStyle name="Normal 5 7 3 2" xfId="11952"/>
    <cellStyle name="Normal 5 7 4" xfId="11953"/>
    <cellStyle name="Normal 5 7 4 2" xfId="11954"/>
    <cellStyle name="Normal 5 7 5" xfId="11955"/>
    <cellStyle name="Normal 5 7 5 2" xfId="11956"/>
    <cellStyle name="Normal 5 7 6" xfId="11957"/>
    <cellStyle name="Normal 5 7 6 2" xfId="11958"/>
    <cellStyle name="Normal 5 7 7" xfId="11959"/>
    <cellStyle name="Normal 5 7 7 2" xfId="11960"/>
    <cellStyle name="Normal 5 7 8" xfId="11961"/>
    <cellStyle name="Normal 5 7 9" xfId="11962"/>
    <cellStyle name="Normal 5 8" xfId="11963"/>
    <cellStyle name="Normal 5 8 2" xfId="11964"/>
    <cellStyle name="Normal 5 9" xfId="11965"/>
    <cellStyle name="Normal 5 9 2" xfId="11966"/>
    <cellStyle name="Normal 50" xfId="11967"/>
    <cellStyle name="Normal 50 2" xfId="11968"/>
    <cellStyle name="Normal 51" xfId="11969"/>
    <cellStyle name="Normal 52" xfId="11970"/>
    <cellStyle name="Normal 53" xfId="11971"/>
    <cellStyle name="Normal 54" xfId="11972"/>
    <cellStyle name="Normal 55" xfId="11973"/>
    <cellStyle name="Normal 56" xfId="11974"/>
    <cellStyle name="Normal 57" xfId="11975"/>
    <cellStyle name="Normal 58" xfId="11976"/>
    <cellStyle name="Normal 59" xfId="11977"/>
    <cellStyle name="Normal 6" xfId="11978"/>
    <cellStyle name="Normal 6 10" xfId="11979"/>
    <cellStyle name="Normal 6 10 2" xfId="11980"/>
    <cellStyle name="Normal 6 11" xfId="11981"/>
    <cellStyle name="Normal 6 11 2" xfId="11982"/>
    <cellStyle name="Normal 6 12" xfId="11983"/>
    <cellStyle name="Normal 6 12 2" xfId="11984"/>
    <cellStyle name="Normal 6 13" xfId="11985"/>
    <cellStyle name="Normal 6 13 2" xfId="11986"/>
    <cellStyle name="Normal 6 14" xfId="11987"/>
    <cellStyle name="Normal 6 14 2" xfId="11988"/>
    <cellStyle name="Normal 6 15" xfId="11989"/>
    <cellStyle name="Normal 6 15 2" xfId="11990"/>
    <cellStyle name="Normal 6 16" xfId="11991"/>
    <cellStyle name="Normal 6 17" xfId="11992"/>
    <cellStyle name="Normal 6 2" xfId="11993"/>
    <cellStyle name="Normal 6 3" xfId="11994"/>
    <cellStyle name="Normal 6 4" xfId="11995"/>
    <cellStyle name="Normal 6 5" xfId="11996"/>
    <cellStyle name="Normal 6 6" xfId="11997"/>
    <cellStyle name="Normal 6 7" xfId="11998"/>
    <cellStyle name="Normal 6 8" xfId="11999"/>
    <cellStyle name="Normal 6 9" xfId="12000"/>
    <cellStyle name="Normal 60" xfId="12001"/>
    <cellStyle name="Normal 61" xfId="12002"/>
    <cellStyle name="Normal 62" xfId="12003"/>
    <cellStyle name="Normal 63" xfId="12004"/>
    <cellStyle name="Normal 64" xfId="12005"/>
    <cellStyle name="Normal 64 2" xfId="12006"/>
    <cellStyle name="Normal 65" xfId="12007"/>
    <cellStyle name="Normal 66" xfId="12008"/>
    <cellStyle name="Normal 67" xfId="12009"/>
    <cellStyle name="Normal 68" xfId="12010"/>
    <cellStyle name="Normal 69" xfId="12011"/>
    <cellStyle name="Normal 7" xfId="12012"/>
    <cellStyle name="Normal 7 10" xfId="12013"/>
    <cellStyle name="Normal 7 10 2" xfId="12014"/>
    <cellStyle name="Normal 7 11" xfId="12015"/>
    <cellStyle name="Normal 7 11 2" xfId="12016"/>
    <cellStyle name="Normal 7 12" xfId="12017"/>
    <cellStyle name="Normal 7 12 2" xfId="12018"/>
    <cellStyle name="Normal 7 13" xfId="12019"/>
    <cellStyle name="Normal 7 13 2" xfId="12020"/>
    <cellStyle name="Normal 7 14" xfId="12021"/>
    <cellStyle name="Normal 7 14 2" xfId="12022"/>
    <cellStyle name="Normal 7 15" xfId="12023"/>
    <cellStyle name="Normal 7 15 2" xfId="12024"/>
    <cellStyle name="Normal 7 16" xfId="12025"/>
    <cellStyle name="Normal 7 16 2" xfId="12026"/>
    <cellStyle name="Normal 7 17" xfId="12027"/>
    <cellStyle name="Normal 7 17 2" xfId="12028"/>
    <cellStyle name="Normal 7 18" xfId="12029"/>
    <cellStyle name="Normal 7 18 2" xfId="12030"/>
    <cellStyle name="Normal 7 19" xfId="12031"/>
    <cellStyle name="Normal 7 19 2" xfId="12032"/>
    <cellStyle name="Normal 7 2" xfId="12033"/>
    <cellStyle name="Normal 7 2 2" xfId="12034"/>
    <cellStyle name="Normal 7 20" xfId="12035"/>
    <cellStyle name="Normal 7 20 2" xfId="12036"/>
    <cellStyle name="Normal 7 21" xfId="12037"/>
    <cellStyle name="Normal 7 22" xfId="12038"/>
    <cellStyle name="Normal 7 23" xfId="12039"/>
    <cellStyle name="Normal 7 3" xfId="12040"/>
    <cellStyle name="Normal 7 3 2" xfId="12041"/>
    <cellStyle name="Normal 7 4" xfId="12042"/>
    <cellStyle name="Normal 7 4 2" xfId="12043"/>
    <cellStyle name="Normal 7 5" xfId="12044"/>
    <cellStyle name="Normal 7 5 2" xfId="12045"/>
    <cellStyle name="Normal 7 6" xfId="12046"/>
    <cellStyle name="Normal 7 6 2" xfId="12047"/>
    <cellStyle name="Normal 7 7" xfId="12048"/>
    <cellStyle name="Normal 7 7 2" xfId="12049"/>
    <cellStyle name="Normal 7 8" xfId="12050"/>
    <cellStyle name="Normal 7 8 2" xfId="12051"/>
    <cellStyle name="Normal 7 9" xfId="12052"/>
    <cellStyle name="Normal 7 9 2" xfId="12053"/>
    <cellStyle name="Normal 70" xfId="12054"/>
    <cellStyle name="Normal 71" xfId="12055"/>
    <cellStyle name="Normal 71 2" xfId="12056"/>
    <cellStyle name="Normal 72" xfId="12057"/>
    <cellStyle name="Normal 73" xfId="12058"/>
    <cellStyle name="Normal 74" xfId="12059"/>
    <cellStyle name="Normal 75" xfId="12060"/>
    <cellStyle name="Normal 76" xfId="12061"/>
    <cellStyle name="Normal 77" xfId="12062"/>
    <cellStyle name="Normal 78" xfId="12063"/>
    <cellStyle name="Normal 78 2" xfId="12064"/>
    <cellStyle name="Normal 79" xfId="12065"/>
    <cellStyle name="Normal 8" xfId="12066"/>
    <cellStyle name="Normal 8 2" xfId="12067"/>
    <cellStyle name="Normal 8 3" xfId="12068"/>
    <cellStyle name="Normal 8 4" xfId="12069"/>
    <cellStyle name="Normal 8 5" xfId="12070"/>
    <cellStyle name="Normal 80" xfId="12071"/>
    <cellStyle name="Normal 81" xfId="12072"/>
    <cellStyle name="Normal 82" xfId="12073"/>
    <cellStyle name="Normal 83" xfId="12074"/>
    <cellStyle name="Normal 84" xfId="12075"/>
    <cellStyle name="Normal 85" xfId="12076"/>
    <cellStyle name="Normal 86" xfId="12077"/>
    <cellStyle name="Normal 87" xfId="12078"/>
    <cellStyle name="Normal 88" xfId="12079"/>
    <cellStyle name="Normal 89" xfId="12080"/>
    <cellStyle name="Normal 9" xfId="12081"/>
    <cellStyle name="Normal 9 10" xfId="12082"/>
    <cellStyle name="Normal 9 10 2" xfId="12083"/>
    <cellStyle name="Normal 9 2" xfId="12084"/>
    <cellStyle name="Normal 9 3" xfId="12085"/>
    <cellStyle name="Normal 9 4" xfId="12086"/>
    <cellStyle name="Normal 9 5" xfId="12087"/>
    <cellStyle name="Normal 9 5 2" xfId="12088"/>
    <cellStyle name="Normal 9 6" xfId="12089"/>
    <cellStyle name="Normal 9 6 2" xfId="12090"/>
    <cellStyle name="Normal 9 7" xfId="12091"/>
    <cellStyle name="Normal 9 7 2" xfId="12092"/>
    <cellStyle name="Normal 9 8" xfId="12093"/>
    <cellStyle name="Normal 9 8 2" xfId="12094"/>
    <cellStyle name="Normal 9 9" xfId="12095"/>
    <cellStyle name="Normal 9 9 2" xfId="12096"/>
    <cellStyle name="Normal 90" xfId="12097"/>
    <cellStyle name="Normal 91" xfId="12098"/>
    <cellStyle name="Normal 92" xfId="12099"/>
    <cellStyle name="Normal_APP " xfId="2"/>
    <cellStyle name="Normal_monthwise2002-03" xfId="3"/>
    <cellStyle name="Note 10" xfId="12100"/>
    <cellStyle name="Note 10 10" xfId="12101"/>
    <cellStyle name="Note 10 10 2" xfId="12102"/>
    <cellStyle name="Note 10 11" xfId="12103"/>
    <cellStyle name="Note 10 2" xfId="12104"/>
    <cellStyle name="Note 10 2 2" xfId="12105"/>
    <cellStyle name="Note 10 3" xfId="12106"/>
    <cellStyle name="Note 10 3 2" xfId="12107"/>
    <cellStyle name="Note 10 4" xfId="12108"/>
    <cellStyle name="Note 10 4 2" xfId="12109"/>
    <cellStyle name="Note 10 5" xfId="12110"/>
    <cellStyle name="Note 10 5 2" xfId="12111"/>
    <cellStyle name="Note 10 6" xfId="12112"/>
    <cellStyle name="Note 10 6 2" xfId="12113"/>
    <cellStyle name="Note 10 7" xfId="12114"/>
    <cellStyle name="Note 10 7 2" xfId="12115"/>
    <cellStyle name="Note 10 8" xfId="12116"/>
    <cellStyle name="Note 10 8 2" xfId="12117"/>
    <cellStyle name="Note 10 9" xfId="12118"/>
    <cellStyle name="Note 10 9 2" xfId="12119"/>
    <cellStyle name="Note 11" xfId="12120"/>
    <cellStyle name="Note 11 10" xfId="12121"/>
    <cellStyle name="Note 11 10 2" xfId="12122"/>
    <cellStyle name="Note 11 11" xfId="12123"/>
    <cellStyle name="Note 11 2" xfId="12124"/>
    <cellStyle name="Note 11 2 2" xfId="12125"/>
    <cellStyle name="Note 11 3" xfId="12126"/>
    <cellStyle name="Note 11 3 2" xfId="12127"/>
    <cellStyle name="Note 11 4" xfId="12128"/>
    <cellStyle name="Note 11 4 2" xfId="12129"/>
    <cellStyle name="Note 11 5" xfId="12130"/>
    <cellStyle name="Note 11 5 2" xfId="12131"/>
    <cellStyle name="Note 11 6" xfId="12132"/>
    <cellStyle name="Note 11 6 2" xfId="12133"/>
    <cellStyle name="Note 11 7" xfId="12134"/>
    <cellStyle name="Note 11 7 2" xfId="12135"/>
    <cellStyle name="Note 11 8" xfId="12136"/>
    <cellStyle name="Note 11 8 2" xfId="12137"/>
    <cellStyle name="Note 11 9" xfId="12138"/>
    <cellStyle name="Note 11 9 2" xfId="12139"/>
    <cellStyle name="Note 12" xfId="12140"/>
    <cellStyle name="Note 12 10" xfId="12141"/>
    <cellStyle name="Note 12 10 2" xfId="12142"/>
    <cellStyle name="Note 12 11" xfId="12143"/>
    <cellStyle name="Note 12 2" xfId="12144"/>
    <cellStyle name="Note 12 2 2" xfId="12145"/>
    <cellStyle name="Note 12 3" xfId="12146"/>
    <cellStyle name="Note 12 3 2" xfId="12147"/>
    <cellStyle name="Note 12 4" xfId="12148"/>
    <cellStyle name="Note 12 4 2" xfId="12149"/>
    <cellStyle name="Note 12 5" xfId="12150"/>
    <cellStyle name="Note 12 5 2" xfId="12151"/>
    <cellStyle name="Note 12 6" xfId="12152"/>
    <cellStyle name="Note 12 6 2" xfId="12153"/>
    <cellStyle name="Note 12 7" xfId="12154"/>
    <cellStyle name="Note 12 7 2" xfId="12155"/>
    <cellStyle name="Note 12 8" xfId="12156"/>
    <cellStyle name="Note 12 8 2" xfId="12157"/>
    <cellStyle name="Note 12 9" xfId="12158"/>
    <cellStyle name="Note 12 9 2" xfId="12159"/>
    <cellStyle name="Note 13" xfId="12160"/>
    <cellStyle name="Note 13 10" xfId="12161"/>
    <cellStyle name="Note 13 10 2" xfId="12162"/>
    <cellStyle name="Note 13 11" xfId="12163"/>
    <cellStyle name="Note 13 2" xfId="12164"/>
    <cellStyle name="Note 13 2 2" xfId="12165"/>
    <cellStyle name="Note 13 3" xfId="12166"/>
    <cellStyle name="Note 13 3 2" xfId="12167"/>
    <cellStyle name="Note 13 4" xfId="12168"/>
    <cellStyle name="Note 13 4 2" xfId="12169"/>
    <cellStyle name="Note 13 5" xfId="12170"/>
    <cellStyle name="Note 13 5 2" xfId="12171"/>
    <cellStyle name="Note 13 6" xfId="12172"/>
    <cellStyle name="Note 13 6 2" xfId="12173"/>
    <cellStyle name="Note 13 7" xfId="12174"/>
    <cellStyle name="Note 13 7 2" xfId="12175"/>
    <cellStyle name="Note 13 8" xfId="12176"/>
    <cellStyle name="Note 13 8 2" xfId="12177"/>
    <cellStyle name="Note 13 9" xfId="12178"/>
    <cellStyle name="Note 13 9 2" xfId="12179"/>
    <cellStyle name="Note 14" xfId="12180"/>
    <cellStyle name="Note 14 2" xfId="12181"/>
    <cellStyle name="Note 14 2 2" xfId="12182"/>
    <cellStyle name="Note 14 3" xfId="12183"/>
    <cellStyle name="Note 14 3 2" xfId="12184"/>
    <cellStyle name="Note 14 4" xfId="12185"/>
    <cellStyle name="Note 14 4 2" xfId="12186"/>
    <cellStyle name="Note 14 5" xfId="12187"/>
    <cellStyle name="Note 15" xfId="12188"/>
    <cellStyle name="Note 15 2" xfId="12189"/>
    <cellStyle name="Note 15 2 2" xfId="12190"/>
    <cellStyle name="Note 15 3" xfId="12191"/>
    <cellStyle name="Note 15 3 2" xfId="12192"/>
    <cellStyle name="Note 15 4" xfId="12193"/>
    <cellStyle name="Note 15 4 2" xfId="12194"/>
    <cellStyle name="Note 15 5" xfId="12195"/>
    <cellStyle name="Note 16" xfId="12196"/>
    <cellStyle name="Note 16 2" xfId="12197"/>
    <cellStyle name="Note 16 2 2" xfId="12198"/>
    <cellStyle name="Note 16 3" xfId="12199"/>
    <cellStyle name="Note 16 3 2" xfId="12200"/>
    <cellStyle name="Note 16 4" xfId="12201"/>
    <cellStyle name="Note 16 4 2" xfId="12202"/>
    <cellStyle name="Note 16 5" xfId="12203"/>
    <cellStyle name="Note 17" xfId="12204"/>
    <cellStyle name="Note 17 2" xfId="12205"/>
    <cellStyle name="Note 17 2 2" xfId="12206"/>
    <cellStyle name="Note 17 3" xfId="12207"/>
    <cellStyle name="Note 17 3 2" xfId="12208"/>
    <cellStyle name="Note 17 4" xfId="12209"/>
    <cellStyle name="Note 17 4 2" xfId="12210"/>
    <cellStyle name="Note 17 5" xfId="12211"/>
    <cellStyle name="Note 18" xfId="12212"/>
    <cellStyle name="Note 18 2" xfId="12213"/>
    <cellStyle name="Note 18 2 2" xfId="12214"/>
    <cellStyle name="Note 18 3" xfId="12215"/>
    <cellStyle name="Note 18 3 2" xfId="12216"/>
    <cellStyle name="Note 18 4" xfId="12217"/>
    <cellStyle name="Note 18 4 2" xfId="12218"/>
    <cellStyle name="Note 18 5" xfId="12219"/>
    <cellStyle name="Note 19" xfId="12220"/>
    <cellStyle name="Note 19 2" xfId="12221"/>
    <cellStyle name="Note 19 2 2" xfId="12222"/>
    <cellStyle name="Note 19 3" xfId="12223"/>
    <cellStyle name="Note 19 3 2" xfId="12224"/>
    <cellStyle name="Note 19 4" xfId="12225"/>
    <cellStyle name="Note 19 4 2" xfId="12226"/>
    <cellStyle name="Note 19 5" xfId="12227"/>
    <cellStyle name="Note 2" xfId="12228"/>
    <cellStyle name="Note 2 10" xfId="12229"/>
    <cellStyle name="Note 2 10 10" xfId="12230"/>
    <cellStyle name="Note 2 10 10 2" xfId="12231"/>
    <cellStyle name="Note 2 10 10 2 2" xfId="12232"/>
    <cellStyle name="Note 2 10 10 3" xfId="12233"/>
    <cellStyle name="Note 2 10 10 3 2" xfId="12234"/>
    <cellStyle name="Note 2 10 10 4" xfId="12235"/>
    <cellStyle name="Note 2 10 10 4 2" xfId="12236"/>
    <cellStyle name="Note 2 10 10 5" xfId="12237"/>
    <cellStyle name="Note 2 10 11" xfId="12238"/>
    <cellStyle name="Note 2 10 11 2" xfId="12239"/>
    <cellStyle name="Note 2 10 11 2 2" xfId="12240"/>
    <cellStyle name="Note 2 10 11 3" xfId="12241"/>
    <cellStyle name="Note 2 10 11 3 2" xfId="12242"/>
    <cellStyle name="Note 2 10 11 4" xfId="12243"/>
    <cellStyle name="Note 2 10 11 4 2" xfId="12244"/>
    <cellStyle name="Note 2 10 11 5" xfId="12245"/>
    <cellStyle name="Note 2 10 12" xfId="12246"/>
    <cellStyle name="Note 2 10 12 2" xfId="12247"/>
    <cellStyle name="Note 2 10 12 2 2" xfId="12248"/>
    <cellStyle name="Note 2 10 12 3" xfId="12249"/>
    <cellStyle name="Note 2 10 12 3 2" xfId="12250"/>
    <cellStyle name="Note 2 10 12 4" xfId="12251"/>
    <cellStyle name="Note 2 10 12 4 2" xfId="12252"/>
    <cellStyle name="Note 2 10 12 5" xfId="12253"/>
    <cellStyle name="Note 2 10 13" xfId="12254"/>
    <cellStyle name="Note 2 10 13 2" xfId="12255"/>
    <cellStyle name="Note 2 10 13 2 2" xfId="12256"/>
    <cellStyle name="Note 2 10 13 3" xfId="12257"/>
    <cellStyle name="Note 2 10 13 3 2" xfId="12258"/>
    <cellStyle name="Note 2 10 13 4" xfId="12259"/>
    <cellStyle name="Note 2 10 13 4 2" xfId="12260"/>
    <cellStyle name="Note 2 10 13 5" xfId="12261"/>
    <cellStyle name="Note 2 10 14" xfId="12262"/>
    <cellStyle name="Note 2 10 14 2" xfId="12263"/>
    <cellStyle name="Note 2 10 14 2 2" xfId="12264"/>
    <cellStyle name="Note 2 10 14 3" xfId="12265"/>
    <cellStyle name="Note 2 10 14 3 2" xfId="12266"/>
    <cellStyle name="Note 2 10 14 4" xfId="12267"/>
    <cellStyle name="Note 2 10 14 4 2" xfId="12268"/>
    <cellStyle name="Note 2 10 14 5" xfId="12269"/>
    <cellStyle name="Note 2 10 15" xfId="12270"/>
    <cellStyle name="Note 2 10 15 2" xfId="12271"/>
    <cellStyle name="Note 2 10 16" xfId="12272"/>
    <cellStyle name="Note 2 10 16 2" xfId="12273"/>
    <cellStyle name="Note 2 10 17" xfId="12274"/>
    <cellStyle name="Note 2 10 17 2" xfId="12275"/>
    <cellStyle name="Note 2 10 18" xfId="12276"/>
    <cellStyle name="Note 2 10 18 2" xfId="12277"/>
    <cellStyle name="Note 2 10 19" xfId="12278"/>
    <cellStyle name="Note 2 10 19 2" xfId="12279"/>
    <cellStyle name="Note 2 10 2" xfId="12280"/>
    <cellStyle name="Note 2 10 2 10" xfId="12281"/>
    <cellStyle name="Note 2 10 2 10 2" xfId="12282"/>
    <cellStyle name="Note 2 10 2 11" xfId="12283"/>
    <cellStyle name="Note 2 10 2 11 2" xfId="12284"/>
    <cellStyle name="Note 2 10 2 12" xfId="12285"/>
    <cellStyle name="Note 2 10 2 12 2" xfId="12286"/>
    <cellStyle name="Note 2 10 2 13" xfId="12287"/>
    <cellStyle name="Note 2 10 2 13 2" xfId="12288"/>
    <cellStyle name="Note 2 10 2 14" xfId="12289"/>
    <cellStyle name="Note 2 10 2 14 2" xfId="12290"/>
    <cellStyle name="Note 2 10 2 15" xfId="12291"/>
    <cellStyle name="Note 2 10 2 15 2" xfId="12292"/>
    <cellStyle name="Note 2 10 2 16" xfId="12293"/>
    <cellStyle name="Note 2 10 2 16 2" xfId="12294"/>
    <cellStyle name="Note 2 10 2 17" xfId="12295"/>
    <cellStyle name="Note 2 10 2 17 2" xfId="12296"/>
    <cellStyle name="Note 2 10 2 18" xfId="12297"/>
    <cellStyle name="Note 2 10 2 18 2" xfId="12298"/>
    <cellStyle name="Note 2 10 2 19" xfId="12299"/>
    <cellStyle name="Note 2 10 2 19 2" xfId="12300"/>
    <cellStyle name="Note 2 10 2 2" xfId="12301"/>
    <cellStyle name="Note 2 10 2 2 2" xfId="12302"/>
    <cellStyle name="Note 2 10 2 2 3" xfId="12303"/>
    <cellStyle name="Note 2 10 2 20" xfId="12304"/>
    <cellStyle name="Note 2 10 2 20 2" xfId="12305"/>
    <cellStyle name="Note 2 10 2 21" xfId="12306"/>
    <cellStyle name="Note 2 10 2 21 2" xfId="12307"/>
    <cellStyle name="Note 2 10 2 22" xfId="12308"/>
    <cellStyle name="Note 2 10 2 22 2" xfId="12309"/>
    <cellStyle name="Note 2 10 2 23" xfId="12310"/>
    <cellStyle name="Note 2 10 2 23 2" xfId="12311"/>
    <cellStyle name="Note 2 10 2 24" xfId="12312"/>
    <cellStyle name="Note 2 10 2 24 2" xfId="12313"/>
    <cellStyle name="Note 2 10 2 25" xfId="12314"/>
    <cellStyle name="Note 2 10 2 25 2" xfId="12315"/>
    <cellStyle name="Note 2 10 2 26" xfId="12316"/>
    <cellStyle name="Note 2 10 2 26 2" xfId="12317"/>
    <cellStyle name="Note 2 10 2 27" xfId="12318"/>
    <cellStyle name="Note 2 10 2 27 2" xfId="12319"/>
    <cellStyle name="Note 2 10 2 28" xfId="12320"/>
    <cellStyle name="Note 2 10 2 28 2" xfId="12321"/>
    <cellStyle name="Note 2 10 2 29" xfId="12322"/>
    <cellStyle name="Note 2 10 2 29 2" xfId="12323"/>
    <cellStyle name="Note 2 10 2 3" xfId="12324"/>
    <cellStyle name="Note 2 10 2 3 2" xfId="12325"/>
    <cellStyle name="Note 2 10 2 3 3" xfId="12326"/>
    <cellStyle name="Note 2 10 2 30" xfId="12327"/>
    <cellStyle name="Note 2 10 2 30 2" xfId="12328"/>
    <cellStyle name="Note 2 10 2 31" xfId="12329"/>
    <cellStyle name="Note 2 10 2 4" xfId="12330"/>
    <cellStyle name="Note 2 10 2 4 2" xfId="12331"/>
    <cellStyle name="Note 2 10 2 5" xfId="12332"/>
    <cellStyle name="Note 2 10 2 5 2" xfId="12333"/>
    <cellStyle name="Note 2 10 2 6" xfId="12334"/>
    <cellStyle name="Note 2 10 2 6 2" xfId="12335"/>
    <cellStyle name="Note 2 10 2 7" xfId="12336"/>
    <cellStyle name="Note 2 10 2 7 2" xfId="12337"/>
    <cellStyle name="Note 2 10 2 8" xfId="12338"/>
    <cellStyle name="Note 2 10 2 8 2" xfId="12339"/>
    <cellStyle name="Note 2 10 2 9" xfId="12340"/>
    <cellStyle name="Note 2 10 2 9 2" xfId="12341"/>
    <cellStyle name="Note 2 10 20" xfId="12342"/>
    <cellStyle name="Note 2 10 20 2" xfId="12343"/>
    <cellStyle name="Note 2 10 21" xfId="12344"/>
    <cellStyle name="Note 2 10 21 2" xfId="12345"/>
    <cellStyle name="Note 2 10 22" xfId="12346"/>
    <cellStyle name="Note 2 10 22 2" xfId="12347"/>
    <cellStyle name="Note 2 10 23" xfId="12348"/>
    <cellStyle name="Note 2 10 23 2" xfId="12349"/>
    <cellStyle name="Note 2 10 24" xfId="12350"/>
    <cellStyle name="Note 2 10 24 2" xfId="12351"/>
    <cellStyle name="Note 2 10 25" xfId="12352"/>
    <cellStyle name="Note 2 10 25 2" xfId="12353"/>
    <cellStyle name="Note 2 10 26" xfId="12354"/>
    <cellStyle name="Note 2 10 26 2" xfId="12355"/>
    <cellStyle name="Note 2 10 27" xfId="12356"/>
    <cellStyle name="Note 2 10 27 2" xfId="12357"/>
    <cellStyle name="Note 2 10 28" xfId="12358"/>
    <cellStyle name="Note 2 10 28 2" xfId="12359"/>
    <cellStyle name="Note 2 10 29" xfId="12360"/>
    <cellStyle name="Note 2 10 29 2" xfId="12361"/>
    <cellStyle name="Note 2 10 3" xfId="12362"/>
    <cellStyle name="Note 2 10 3 2" xfId="12363"/>
    <cellStyle name="Note 2 10 3 2 2" xfId="12364"/>
    <cellStyle name="Note 2 10 3 3" xfId="12365"/>
    <cellStyle name="Note 2 10 3 3 2" xfId="12366"/>
    <cellStyle name="Note 2 10 3 4" xfId="12367"/>
    <cellStyle name="Note 2 10 3 4 2" xfId="12368"/>
    <cellStyle name="Note 2 10 3 5" xfId="12369"/>
    <cellStyle name="Note 2 10 30" xfId="12370"/>
    <cellStyle name="Note 2 10 30 2" xfId="12371"/>
    <cellStyle name="Note 2 10 31" xfId="12372"/>
    <cellStyle name="Note 2 10 31 2" xfId="12373"/>
    <cellStyle name="Note 2 10 32" xfId="12374"/>
    <cellStyle name="Note 2 10 32 2" xfId="12375"/>
    <cellStyle name="Note 2 10 33" xfId="12376"/>
    <cellStyle name="Note 2 10 33 2" xfId="12377"/>
    <cellStyle name="Note 2 10 34" xfId="12378"/>
    <cellStyle name="Note 2 10 34 2" xfId="12379"/>
    <cellStyle name="Note 2 10 35" xfId="12380"/>
    <cellStyle name="Note 2 10 35 2" xfId="12381"/>
    <cellStyle name="Note 2 10 36" xfId="12382"/>
    <cellStyle name="Note 2 10 36 2" xfId="12383"/>
    <cellStyle name="Note 2 10 37" xfId="12384"/>
    <cellStyle name="Note 2 10 37 2" xfId="12385"/>
    <cellStyle name="Note 2 10 38" xfId="12386"/>
    <cellStyle name="Note 2 10 38 2" xfId="12387"/>
    <cellStyle name="Note 2 10 39" xfId="12388"/>
    <cellStyle name="Note 2 10 39 2" xfId="12389"/>
    <cellStyle name="Note 2 10 4" xfId="12390"/>
    <cellStyle name="Note 2 10 4 2" xfId="12391"/>
    <cellStyle name="Note 2 10 4 2 2" xfId="12392"/>
    <cellStyle name="Note 2 10 4 3" xfId="12393"/>
    <cellStyle name="Note 2 10 4 3 2" xfId="12394"/>
    <cellStyle name="Note 2 10 4 4" xfId="12395"/>
    <cellStyle name="Note 2 10 4 4 2" xfId="12396"/>
    <cellStyle name="Note 2 10 4 5" xfId="12397"/>
    <cellStyle name="Note 2 10 40" xfId="12398"/>
    <cellStyle name="Note 2 10 40 2" xfId="12399"/>
    <cellStyle name="Note 2 10 41" xfId="12400"/>
    <cellStyle name="Note 2 10 41 2" xfId="12401"/>
    <cellStyle name="Note 2 10 42" xfId="12402"/>
    <cellStyle name="Note 2 10 42 2" xfId="12403"/>
    <cellStyle name="Note 2 10 43" xfId="12404"/>
    <cellStyle name="Note 2 10 43 2" xfId="12405"/>
    <cellStyle name="Note 2 10 44" xfId="12406"/>
    <cellStyle name="Note 2 10 44 2" xfId="12407"/>
    <cellStyle name="Note 2 10 45" xfId="12408"/>
    <cellStyle name="Note 2 10 45 2" xfId="12409"/>
    <cellStyle name="Note 2 10 46" xfId="12410"/>
    <cellStyle name="Note 2 10 46 2" xfId="12411"/>
    <cellStyle name="Note 2 10 47" xfId="12412"/>
    <cellStyle name="Note 2 10 47 2" xfId="12413"/>
    <cellStyle name="Note 2 10 48" xfId="12414"/>
    <cellStyle name="Note 2 10 48 2" xfId="12415"/>
    <cellStyle name="Note 2 10 49" xfId="12416"/>
    <cellStyle name="Note 2 10 49 2" xfId="12417"/>
    <cellStyle name="Note 2 10 5" xfId="12418"/>
    <cellStyle name="Note 2 10 5 2" xfId="12419"/>
    <cellStyle name="Note 2 10 5 2 2" xfId="12420"/>
    <cellStyle name="Note 2 10 5 3" xfId="12421"/>
    <cellStyle name="Note 2 10 5 3 2" xfId="12422"/>
    <cellStyle name="Note 2 10 5 4" xfId="12423"/>
    <cellStyle name="Note 2 10 5 4 2" xfId="12424"/>
    <cellStyle name="Note 2 10 5 5" xfId="12425"/>
    <cellStyle name="Note 2 10 50" xfId="12426"/>
    <cellStyle name="Note 2 10 50 2" xfId="12427"/>
    <cellStyle name="Note 2 10 51" xfId="12428"/>
    <cellStyle name="Note 2 10 51 2" xfId="12429"/>
    <cellStyle name="Note 2 10 52" xfId="12430"/>
    <cellStyle name="Note 2 10 52 2" xfId="12431"/>
    <cellStyle name="Note 2 10 53" xfId="12432"/>
    <cellStyle name="Note 2 10 53 2" xfId="12433"/>
    <cellStyle name="Note 2 10 54" xfId="12434"/>
    <cellStyle name="Note 2 10 54 2" xfId="12435"/>
    <cellStyle name="Note 2 10 55" xfId="12436"/>
    <cellStyle name="Note 2 10 55 2" xfId="12437"/>
    <cellStyle name="Note 2 10 56" xfId="12438"/>
    <cellStyle name="Note 2 10 56 2" xfId="12439"/>
    <cellStyle name="Note 2 10 57" xfId="12440"/>
    <cellStyle name="Note 2 10 57 2" xfId="12441"/>
    <cellStyle name="Note 2 10 58" xfId="12442"/>
    <cellStyle name="Note 2 10 58 2" xfId="12443"/>
    <cellStyle name="Note 2 10 59" xfId="12444"/>
    <cellStyle name="Note 2 10 59 2" xfId="12445"/>
    <cellStyle name="Note 2 10 6" xfId="12446"/>
    <cellStyle name="Note 2 10 6 2" xfId="12447"/>
    <cellStyle name="Note 2 10 6 2 2" xfId="12448"/>
    <cellStyle name="Note 2 10 6 3" xfId="12449"/>
    <cellStyle name="Note 2 10 6 3 2" xfId="12450"/>
    <cellStyle name="Note 2 10 6 4" xfId="12451"/>
    <cellStyle name="Note 2 10 6 4 2" xfId="12452"/>
    <cellStyle name="Note 2 10 6 5" xfId="12453"/>
    <cellStyle name="Note 2 10 60" xfId="12454"/>
    <cellStyle name="Note 2 10 60 2" xfId="12455"/>
    <cellStyle name="Note 2 10 61" xfId="12456"/>
    <cellStyle name="Note 2 10 61 2" xfId="12457"/>
    <cellStyle name="Note 2 10 62" xfId="12458"/>
    <cellStyle name="Note 2 10 7" xfId="12459"/>
    <cellStyle name="Note 2 10 7 2" xfId="12460"/>
    <cellStyle name="Note 2 10 7 2 2" xfId="12461"/>
    <cellStyle name="Note 2 10 7 3" xfId="12462"/>
    <cellStyle name="Note 2 10 7 3 2" xfId="12463"/>
    <cellStyle name="Note 2 10 7 4" xfId="12464"/>
    <cellStyle name="Note 2 10 7 4 2" xfId="12465"/>
    <cellStyle name="Note 2 10 7 5" xfId="12466"/>
    <cellStyle name="Note 2 10 8" xfId="12467"/>
    <cellStyle name="Note 2 10 8 2" xfId="12468"/>
    <cellStyle name="Note 2 10 8 2 2" xfId="12469"/>
    <cellStyle name="Note 2 10 8 3" xfId="12470"/>
    <cellStyle name="Note 2 10 8 3 2" xfId="12471"/>
    <cellStyle name="Note 2 10 8 4" xfId="12472"/>
    <cellStyle name="Note 2 10 8 4 2" xfId="12473"/>
    <cellStyle name="Note 2 10 8 5" xfId="12474"/>
    <cellStyle name="Note 2 10 9" xfId="12475"/>
    <cellStyle name="Note 2 10 9 2" xfId="12476"/>
    <cellStyle name="Note 2 10 9 2 2" xfId="12477"/>
    <cellStyle name="Note 2 10 9 3" xfId="12478"/>
    <cellStyle name="Note 2 10 9 3 2" xfId="12479"/>
    <cellStyle name="Note 2 10 9 4" xfId="12480"/>
    <cellStyle name="Note 2 10 9 4 2" xfId="12481"/>
    <cellStyle name="Note 2 10 9 5" xfId="12482"/>
    <cellStyle name="Note 2 100" xfId="12483"/>
    <cellStyle name="Note 2 100 2" xfId="12484"/>
    <cellStyle name="Note 2 101" xfId="12485"/>
    <cellStyle name="Note 2 101 2" xfId="12486"/>
    <cellStyle name="Note 2 101 2 2" xfId="12487"/>
    <cellStyle name="Note 2 101 2 3" xfId="12488"/>
    <cellStyle name="Note 2 101 2 4" xfId="12489"/>
    <cellStyle name="Note 2 101 2 5" xfId="12490"/>
    <cellStyle name="Note 2 101 2 6" xfId="12491"/>
    <cellStyle name="Note 2 101 3" xfId="12492"/>
    <cellStyle name="Note 2 101 3 2" xfId="12493"/>
    <cellStyle name="Note 2 101 4" xfId="12494"/>
    <cellStyle name="Note 2 101 4 2" xfId="12495"/>
    <cellStyle name="Note 2 101 5" xfId="12496"/>
    <cellStyle name="Note 2 101 5 2" xfId="12497"/>
    <cellStyle name="Note 2 101 6" xfId="12498"/>
    <cellStyle name="Note 2 101 7" xfId="12499"/>
    <cellStyle name="Note 2 101 8" xfId="12500"/>
    <cellStyle name="Note 2 101 9" xfId="12501"/>
    <cellStyle name="Note 2 102" xfId="12502"/>
    <cellStyle name="Note 2 102 2" xfId="12503"/>
    <cellStyle name="Note 2 102 2 2" xfId="12504"/>
    <cellStyle name="Note 2 102 3" xfId="12505"/>
    <cellStyle name="Note 2 102 3 2" xfId="12506"/>
    <cellStyle name="Note 2 102 4" xfId="12507"/>
    <cellStyle name="Note 2 102 4 2" xfId="12508"/>
    <cellStyle name="Note 2 102 5" xfId="12509"/>
    <cellStyle name="Note 2 103" xfId="12510"/>
    <cellStyle name="Note 2 103 2" xfId="12511"/>
    <cellStyle name="Note 2 103 2 2" xfId="12512"/>
    <cellStyle name="Note 2 103 3" xfId="12513"/>
    <cellStyle name="Note 2 103 3 2" xfId="12514"/>
    <cellStyle name="Note 2 103 4" xfId="12515"/>
    <cellStyle name="Note 2 103 4 2" xfId="12516"/>
    <cellStyle name="Note 2 103 5" xfId="12517"/>
    <cellStyle name="Note 2 104" xfId="12518"/>
    <cellStyle name="Note 2 104 2" xfId="12519"/>
    <cellStyle name="Note 2 104 2 2" xfId="12520"/>
    <cellStyle name="Note 2 104 3" xfId="12521"/>
    <cellStyle name="Note 2 104 3 2" xfId="12522"/>
    <cellStyle name="Note 2 104 4" xfId="12523"/>
    <cellStyle name="Note 2 105" xfId="12524"/>
    <cellStyle name="Note 2 105 2" xfId="12525"/>
    <cellStyle name="Note 2 105 2 2" xfId="12526"/>
    <cellStyle name="Note 2 105 3" xfId="12527"/>
    <cellStyle name="Note 2 106" xfId="12528"/>
    <cellStyle name="Note 2 106 2" xfId="12529"/>
    <cellStyle name="Note 2 107" xfId="12530"/>
    <cellStyle name="Note 2 107 2" xfId="12531"/>
    <cellStyle name="Note 2 108" xfId="12532"/>
    <cellStyle name="Note 2 108 2" xfId="12533"/>
    <cellStyle name="Note 2 109" xfId="12534"/>
    <cellStyle name="Note 2 109 2" xfId="12535"/>
    <cellStyle name="Note 2 11" xfId="12536"/>
    <cellStyle name="Note 2 11 10" xfId="12537"/>
    <cellStyle name="Note 2 11 10 2" xfId="12538"/>
    <cellStyle name="Note 2 11 10 2 2" xfId="12539"/>
    <cellStyle name="Note 2 11 10 3" xfId="12540"/>
    <cellStyle name="Note 2 11 10 3 2" xfId="12541"/>
    <cellStyle name="Note 2 11 10 4" xfId="12542"/>
    <cellStyle name="Note 2 11 10 4 2" xfId="12543"/>
    <cellStyle name="Note 2 11 10 5" xfId="12544"/>
    <cellStyle name="Note 2 11 11" xfId="12545"/>
    <cellStyle name="Note 2 11 11 2" xfId="12546"/>
    <cellStyle name="Note 2 11 11 2 2" xfId="12547"/>
    <cellStyle name="Note 2 11 11 3" xfId="12548"/>
    <cellStyle name="Note 2 11 11 3 2" xfId="12549"/>
    <cellStyle name="Note 2 11 11 4" xfId="12550"/>
    <cellStyle name="Note 2 11 11 4 2" xfId="12551"/>
    <cellStyle name="Note 2 11 11 5" xfId="12552"/>
    <cellStyle name="Note 2 11 12" xfId="12553"/>
    <cellStyle name="Note 2 11 12 2" xfId="12554"/>
    <cellStyle name="Note 2 11 12 2 2" xfId="12555"/>
    <cellStyle name="Note 2 11 12 3" xfId="12556"/>
    <cellStyle name="Note 2 11 12 3 2" xfId="12557"/>
    <cellStyle name="Note 2 11 12 4" xfId="12558"/>
    <cellStyle name="Note 2 11 12 4 2" xfId="12559"/>
    <cellStyle name="Note 2 11 12 5" xfId="12560"/>
    <cellStyle name="Note 2 11 13" xfId="12561"/>
    <cellStyle name="Note 2 11 13 2" xfId="12562"/>
    <cellStyle name="Note 2 11 13 2 2" xfId="12563"/>
    <cellStyle name="Note 2 11 13 3" xfId="12564"/>
    <cellStyle name="Note 2 11 13 3 2" xfId="12565"/>
    <cellStyle name="Note 2 11 13 4" xfId="12566"/>
    <cellStyle name="Note 2 11 13 4 2" xfId="12567"/>
    <cellStyle name="Note 2 11 13 5" xfId="12568"/>
    <cellStyle name="Note 2 11 14" xfId="12569"/>
    <cellStyle name="Note 2 11 14 2" xfId="12570"/>
    <cellStyle name="Note 2 11 14 2 2" xfId="12571"/>
    <cellStyle name="Note 2 11 14 3" xfId="12572"/>
    <cellStyle name="Note 2 11 14 3 2" xfId="12573"/>
    <cellStyle name="Note 2 11 14 4" xfId="12574"/>
    <cellStyle name="Note 2 11 14 4 2" xfId="12575"/>
    <cellStyle name="Note 2 11 14 5" xfId="12576"/>
    <cellStyle name="Note 2 11 15" xfId="12577"/>
    <cellStyle name="Note 2 11 15 2" xfId="12578"/>
    <cellStyle name="Note 2 11 16" xfId="12579"/>
    <cellStyle name="Note 2 11 16 2" xfId="12580"/>
    <cellStyle name="Note 2 11 17" xfId="12581"/>
    <cellStyle name="Note 2 11 17 2" xfId="12582"/>
    <cellStyle name="Note 2 11 18" xfId="12583"/>
    <cellStyle name="Note 2 11 18 2" xfId="12584"/>
    <cellStyle name="Note 2 11 19" xfId="12585"/>
    <cellStyle name="Note 2 11 19 2" xfId="12586"/>
    <cellStyle name="Note 2 11 2" xfId="12587"/>
    <cellStyle name="Note 2 11 2 10" xfId="12588"/>
    <cellStyle name="Note 2 11 2 10 2" xfId="12589"/>
    <cellStyle name="Note 2 11 2 11" xfId="12590"/>
    <cellStyle name="Note 2 11 2 11 2" xfId="12591"/>
    <cellStyle name="Note 2 11 2 12" xfId="12592"/>
    <cellStyle name="Note 2 11 2 12 2" xfId="12593"/>
    <cellStyle name="Note 2 11 2 13" xfId="12594"/>
    <cellStyle name="Note 2 11 2 13 2" xfId="12595"/>
    <cellStyle name="Note 2 11 2 14" xfId="12596"/>
    <cellStyle name="Note 2 11 2 14 2" xfId="12597"/>
    <cellStyle name="Note 2 11 2 15" xfId="12598"/>
    <cellStyle name="Note 2 11 2 15 2" xfId="12599"/>
    <cellStyle name="Note 2 11 2 16" xfId="12600"/>
    <cellStyle name="Note 2 11 2 16 2" xfId="12601"/>
    <cellStyle name="Note 2 11 2 17" xfId="12602"/>
    <cellStyle name="Note 2 11 2 17 2" xfId="12603"/>
    <cellStyle name="Note 2 11 2 18" xfId="12604"/>
    <cellStyle name="Note 2 11 2 18 2" xfId="12605"/>
    <cellStyle name="Note 2 11 2 19" xfId="12606"/>
    <cellStyle name="Note 2 11 2 19 2" xfId="12607"/>
    <cellStyle name="Note 2 11 2 2" xfId="12608"/>
    <cellStyle name="Note 2 11 2 2 2" xfId="12609"/>
    <cellStyle name="Note 2 11 2 2 3" xfId="12610"/>
    <cellStyle name="Note 2 11 2 20" xfId="12611"/>
    <cellStyle name="Note 2 11 2 20 2" xfId="12612"/>
    <cellStyle name="Note 2 11 2 21" xfId="12613"/>
    <cellStyle name="Note 2 11 2 21 2" xfId="12614"/>
    <cellStyle name="Note 2 11 2 22" xfId="12615"/>
    <cellStyle name="Note 2 11 2 22 2" xfId="12616"/>
    <cellStyle name="Note 2 11 2 23" xfId="12617"/>
    <cellStyle name="Note 2 11 2 23 2" xfId="12618"/>
    <cellStyle name="Note 2 11 2 24" xfId="12619"/>
    <cellStyle name="Note 2 11 2 24 2" xfId="12620"/>
    <cellStyle name="Note 2 11 2 25" xfId="12621"/>
    <cellStyle name="Note 2 11 2 25 2" xfId="12622"/>
    <cellStyle name="Note 2 11 2 26" xfId="12623"/>
    <cellStyle name="Note 2 11 2 26 2" xfId="12624"/>
    <cellStyle name="Note 2 11 2 27" xfId="12625"/>
    <cellStyle name="Note 2 11 2 27 2" xfId="12626"/>
    <cellStyle name="Note 2 11 2 28" xfId="12627"/>
    <cellStyle name="Note 2 11 2 28 2" xfId="12628"/>
    <cellStyle name="Note 2 11 2 29" xfId="12629"/>
    <cellStyle name="Note 2 11 2 29 2" xfId="12630"/>
    <cellStyle name="Note 2 11 2 3" xfId="12631"/>
    <cellStyle name="Note 2 11 2 3 2" xfId="12632"/>
    <cellStyle name="Note 2 11 2 3 3" xfId="12633"/>
    <cellStyle name="Note 2 11 2 30" xfId="12634"/>
    <cellStyle name="Note 2 11 2 30 2" xfId="12635"/>
    <cellStyle name="Note 2 11 2 31" xfId="12636"/>
    <cellStyle name="Note 2 11 2 4" xfId="12637"/>
    <cellStyle name="Note 2 11 2 4 2" xfId="12638"/>
    <cellStyle name="Note 2 11 2 5" xfId="12639"/>
    <cellStyle name="Note 2 11 2 5 2" xfId="12640"/>
    <cellStyle name="Note 2 11 2 6" xfId="12641"/>
    <cellStyle name="Note 2 11 2 6 2" xfId="12642"/>
    <cellStyle name="Note 2 11 2 7" xfId="12643"/>
    <cellStyle name="Note 2 11 2 7 2" xfId="12644"/>
    <cellStyle name="Note 2 11 2 8" xfId="12645"/>
    <cellStyle name="Note 2 11 2 8 2" xfId="12646"/>
    <cellStyle name="Note 2 11 2 9" xfId="12647"/>
    <cellStyle name="Note 2 11 2 9 2" xfId="12648"/>
    <cellStyle name="Note 2 11 20" xfId="12649"/>
    <cellStyle name="Note 2 11 20 2" xfId="12650"/>
    <cellStyle name="Note 2 11 21" xfId="12651"/>
    <cellStyle name="Note 2 11 21 2" xfId="12652"/>
    <cellStyle name="Note 2 11 22" xfId="12653"/>
    <cellStyle name="Note 2 11 22 2" xfId="12654"/>
    <cellStyle name="Note 2 11 23" xfId="12655"/>
    <cellStyle name="Note 2 11 23 2" xfId="12656"/>
    <cellStyle name="Note 2 11 24" xfId="12657"/>
    <cellStyle name="Note 2 11 24 2" xfId="12658"/>
    <cellStyle name="Note 2 11 25" xfId="12659"/>
    <cellStyle name="Note 2 11 25 2" xfId="12660"/>
    <cellStyle name="Note 2 11 26" xfId="12661"/>
    <cellStyle name="Note 2 11 26 2" xfId="12662"/>
    <cellStyle name="Note 2 11 27" xfId="12663"/>
    <cellStyle name="Note 2 11 27 2" xfId="12664"/>
    <cellStyle name="Note 2 11 28" xfId="12665"/>
    <cellStyle name="Note 2 11 28 2" xfId="12666"/>
    <cellStyle name="Note 2 11 29" xfId="12667"/>
    <cellStyle name="Note 2 11 29 2" xfId="12668"/>
    <cellStyle name="Note 2 11 3" xfId="12669"/>
    <cellStyle name="Note 2 11 3 2" xfId="12670"/>
    <cellStyle name="Note 2 11 3 2 2" xfId="12671"/>
    <cellStyle name="Note 2 11 3 3" xfId="12672"/>
    <cellStyle name="Note 2 11 3 3 2" xfId="12673"/>
    <cellStyle name="Note 2 11 3 4" xfId="12674"/>
    <cellStyle name="Note 2 11 3 4 2" xfId="12675"/>
    <cellStyle name="Note 2 11 3 5" xfId="12676"/>
    <cellStyle name="Note 2 11 30" xfId="12677"/>
    <cellStyle name="Note 2 11 30 2" xfId="12678"/>
    <cellStyle name="Note 2 11 31" xfId="12679"/>
    <cellStyle name="Note 2 11 31 2" xfId="12680"/>
    <cellStyle name="Note 2 11 32" xfId="12681"/>
    <cellStyle name="Note 2 11 32 2" xfId="12682"/>
    <cellStyle name="Note 2 11 33" xfId="12683"/>
    <cellStyle name="Note 2 11 33 2" xfId="12684"/>
    <cellStyle name="Note 2 11 34" xfId="12685"/>
    <cellStyle name="Note 2 11 34 2" xfId="12686"/>
    <cellStyle name="Note 2 11 35" xfId="12687"/>
    <cellStyle name="Note 2 11 35 2" xfId="12688"/>
    <cellStyle name="Note 2 11 36" xfId="12689"/>
    <cellStyle name="Note 2 11 36 2" xfId="12690"/>
    <cellStyle name="Note 2 11 37" xfId="12691"/>
    <cellStyle name="Note 2 11 37 2" xfId="12692"/>
    <cellStyle name="Note 2 11 38" xfId="12693"/>
    <cellStyle name="Note 2 11 38 2" xfId="12694"/>
    <cellStyle name="Note 2 11 39" xfId="12695"/>
    <cellStyle name="Note 2 11 39 2" xfId="12696"/>
    <cellStyle name="Note 2 11 4" xfId="12697"/>
    <cellStyle name="Note 2 11 4 2" xfId="12698"/>
    <cellStyle name="Note 2 11 4 2 2" xfId="12699"/>
    <cellStyle name="Note 2 11 4 3" xfId="12700"/>
    <cellStyle name="Note 2 11 4 3 2" xfId="12701"/>
    <cellStyle name="Note 2 11 4 4" xfId="12702"/>
    <cellStyle name="Note 2 11 4 4 2" xfId="12703"/>
    <cellStyle name="Note 2 11 4 5" xfId="12704"/>
    <cellStyle name="Note 2 11 40" xfId="12705"/>
    <cellStyle name="Note 2 11 40 2" xfId="12706"/>
    <cellStyle name="Note 2 11 41" xfId="12707"/>
    <cellStyle name="Note 2 11 41 2" xfId="12708"/>
    <cellStyle name="Note 2 11 42" xfId="12709"/>
    <cellStyle name="Note 2 11 42 2" xfId="12710"/>
    <cellStyle name="Note 2 11 43" xfId="12711"/>
    <cellStyle name="Note 2 11 43 2" xfId="12712"/>
    <cellStyle name="Note 2 11 44" xfId="12713"/>
    <cellStyle name="Note 2 11 44 2" xfId="12714"/>
    <cellStyle name="Note 2 11 45" xfId="12715"/>
    <cellStyle name="Note 2 11 45 2" xfId="12716"/>
    <cellStyle name="Note 2 11 46" xfId="12717"/>
    <cellStyle name="Note 2 11 46 2" xfId="12718"/>
    <cellStyle name="Note 2 11 47" xfId="12719"/>
    <cellStyle name="Note 2 11 47 2" xfId="12720"/>
    <cellStyle name="Note 2 11 48" xfId="12721"/>
    <cellStyle name="Note 2 11 48 2" xfId="12722"/>
    <cellStyle name="Note 2 11 49" xfId="12723"/>
    <cellStyle name="Note 2 11 49 2" xfId="12724"/>
    <cellStyle name="Note 2 11 5" xfId="12725"/>
    <cellStyle name="Note 2 11 5 2" xfId="12726"/>
    <cellStyle name="Note 2 11 5 2 2" xfId="12727"/>
    <cellStyle name="Note 2 11 5 3" xfId="12728"/>
    <cellStyle name="Note 2 11 5 3 2" xfId="12729"/>
    <cellStyle name="Note 2 11 5 4" xfId="12730"/>
    <cellStyle name="Note 2 11 5 4 2" xfId="12731"/>
    <cellStyle name="Note 2 11 5 5" xfId="12732"/>
    <cellStyle name="Note 2 11 50" xfId="12733"/>
    <cellStyle name="Note 2 11 50 2" xfId="12734"/>
    <cellStyle name="Note 2 11 51" xfId="12735"/>
    <cellStyle name="Note 2 11 51 2" xfId="12736"/>
    <cellStyle name="Note 2 11 52" xfId="12737"/>
    <cellStyle name="Note 2 11 52 2" xfId="12738"/>
    <cellStyle name="Note 2 11 53" xfId="12739"/>
    <cellStyle name="Note 2 11 53 2" xfId="12740"/>
    <cellStyle name="Note 2 11 54" xfId="12741"/>
    <cellStyle name="Note 2 11 54 2" xfId="12742"/>
    <cellStyle name="Note 2 11 55" xfId="12743"/>
    <cellStyle name="Note 2 11 55 2" xfId="12744"/>
    <cellStyle name="Note 2 11 56" xfId="12745"/>
    <cellStyle name="Note 2 11 56 2" xfId="12746"/>
    <cellStyle name="Note 2 11 57" xfId="12747"/>
    <cellStyle name="Note 2 11 57 2" xfId="12748"/>
    <cellStyle name="Note 2 11 58" xfId="12749"/>
    <cellStyle name="Note 2 11 58 2" xfId="12750"/>
    <cellStyle name="Note 2 11 59" xfId="12751"/>
    <cellStyle name="Note 2 11 59 2" xfId="12752"/>
    <cellStyle name="Note 2 11 6" xfId="12753"/>
    <cellStyle name="Note 2 11 6 2" xfId="12754"/>
    <cellStyle name="Note 2 11 6 2 2" xfId="12755"/>
    <cellStyle name="Note 2 11 6 3" xfId="12756"/>
    <cellStyle name="Note 2 11 6 3 2" xfId="12757"/>
    <cellStyle name="Note 2 11 6 4" xfId="12758"/>
    <cellStyle name="Note 2 11 6 4 2" xfId="12759"/>
    <cellStyle name="Note 2 11 6 5" xfId="12760"/>
    <cellStyle name="Note 2 11 60" xfId="12761"/>
    <cellStyle name="Note 2 11 60 2" xfId="12762"/>
    <cellStyle name="Note 2 11 61" xfId="12763"/>
    <cellStyle name="Note 2 11 61 2" xfId="12764"/>
    <cellStyle name="Note 2 11 62" xfId="12765"/>
    <cellStyle name="Note 2 11 7" xfId="12766"/>
    <cellStyle name="Note 2 11 7 2" xfId="12767"/>
    <cellStyle name="Note 2 11 7 2 2" xfId="12768"/>
    <cellStyle name="Note 2 11 7 3" xfId="12769"/>
    <cellStyle name="Note 2 11 7 3 2" xfId="12770"/>
    <cellStyle name="Note 2 11 7 4" xfId="12771"/>
    <cellStyle name="Note 2 11 7 4 2" xfId="12772"/>
    <cellStyle name="Note 2 11 7 5" xfId="12773"/>
    <cellStyle name="Note 2 11 8" xfId="12774"/>
    <cellStyle name="Note 2 11 8 2" xfId="12775"/>
    <cellStyle name="Note 2 11 8 2 2" xfId="12776"/>
    <cellStyle name="Note 2 11 8 3" xfId="12777"/>
    <cellStyle name="Note 2 11 8 3 2" xfId="12778"/>
    <cellStyle name="Note 2 11 8 4" xfId="12779"/>
    <cellStyle name="Note 2 11 8 4 2" xfId="12780"/>
    <cellStyle name="Note 2 11 8 5" xfId="12781"/>
    <cellStyle name="Note 2 11 9" xfId="12782"/>
    <cellStyle name="Note 2 11 9 2" xfId="12783"/>
    <cellStyle name="Note 2 11 9 2 2" xfId="12784"/>
    <cellStyle name="Note 2 11 9 3" xfId="12785"/>
    <cellStyle name="Note 2 11 9 3 2" xfId="12786"/>
    <cellStyle name="Note 2 11 9 4" xfId="12787"/>
    <cellStyle name="Note 2 11 9 4 2" xfId="12788"/>
    <cellStyle name="Note 2 11 9 5" xfId="12789"/>
    <cellStyle name="Note 2 110" xfId="12790"/>
    <cellStyle name="Note 2 110 2" xfId="12791"/>
    <cellStyle name="Note 2 111" xfId="12792"/>
    <cellStyle name="Note 2 111 2" xfId="12793"/>
    <cellStyle name="Note 2 112" xfId="12794"/>
    <cellStyle name="Note 2 112 2" xfId="12795"/>
    <cellStyle name="Note 2 113" xfId="12796"/>
    <cellStyle name="Note 2 113 2" xfId="12797"/>
    <cellStyle name="Note 2 114" xfId="12798"/>
    <cellStyle name="Note 2 114 2" xfId="12799"/>
    <cellStyle name="Note 2 115" xfId="12800"/>
    <cellStyle name="Note 2 115 2" xfId="12801"/>
    <cellStyle name="Note 2 116" xfId="12802"/>
    <cellStyle name="Note 2 116 2" xfId="12803"/>
    <cellStyle name="Note 2 117" xfId="12804"/>
    <cellStyle name="Note 2 117 2" xfId="12805"/>
    <cellStyle name="Note 2 118" xfId="12806"/>
    <cellStyle name="Note 2 118 2" xfId="12807"/>
    <cellStyle name="Note 2 119" xfId="12808"/>
    <cellStyle name="Note 2 119 2" xfId="12809"/>
    <cellStyle name="Note 2 12" xfId="12810"/>
    <cellStyle name="Note 2 12 10" xfId="12811"/>
    <cellStyle name="Note 2 12 10 2" xfId="12812"/>
    <cellStyle name="Note 2 12 10 2 2" xfId="12813"/>
    <cellStyle name="Note 2 12 10 3" xfId="12814"/>
    <cellStyle name="Note 2 12 10 3 2" xfId="12815"/>
    <cellStyle name="Note 2 12 10 4" xfId="12816"/>
    <cellStyle name="Note 2 12 10 4 2" xfId="12817"/>
    <cellStyle name="Note 2 12 10 5" xfId="12818"/>
    <cellStyle name="Note 2 12 11" xfId="12819"/>
    <cellStyle name="Note 2 12 11 2" xfId="12820"/>
    <cellStyle name="Note 2 12 11 2 2" xfId="12821"/>
    <cellStyle name="Note 2 12 11 3" xfId="12822"/>
    <cellStyle name="Note 2 12 11 3 2" xfId="12823"/>
    <cellStyle name="Note 2 12 11 4" xfId="12824"/>
    <cellStyle name="Note 2 12 11 4 2" xfId="12825"/>
    <cellStyle name="Note 2 12 11 5" xfId="12826"/>
    <cellStyle name="Note 2 12 12" xfId="12827"/>
    <cellStyle name="Note 2 12 12 2" xfId="12828"/>
    <cellStyle name="Note 2 12 12 2 2" xfId="12829"/>
    <cellStyle name="Note 2 12 12 3" xfId="12830"/>
    <cellStyle name="Note 2 12 12 3 2" xfId="12831"/>
    <cellStyle name="Note 2 12 12 4" xfId="12832"/>
    <cellStyle name="Note 2 12 12 4 2" xfId="12833"/>
    <cellStyle name="Note 2 12 12 5" xfId="12834"/>
    <cellStyle name="Note 2 12 13" xfId="12835"/>
    <cellStyle name="Note 2 12 13 2" xfId="12836"/>
    <cellStyle name="Note 2 12 13 2 2" xfId="12837"/>
    <cellStyle name="Note 2 12 13 3" xfId="12838"/>
    <cellStyle name="Note 2 12 13 3 2" xfId="12839"/>
    <cellStyle name="Note 2 12 13 4" xfId="12840"/>
    <cellStyle name="Note 2 12 13 4 2" xfId="12841"/>
    <cellStyle name="Note 2 12 13 5" xfId="12842"/>
    <cellStyle name="Note 2 12 14" xfId="12843"/>
    <cellStyle name="Note 2 12 14 2" xfId="12844"/>
    <cellStyle name="Note 2 12 14 2 2" xfId="12845"/>
    <cellStyle name="Note 2 12 14 3" xfId="12846"/>
    <cellStyle name="Note 2 12 14 3 2" xfId="12847"/>
    <cellStyle name="Note 2 12 14 4" xfId="12848"/>
    <cellStyle name="Note 2 12 14 4 2" xfId="12849"/>
    <cellStyle name="Note 2 12 14 5" xfId="12850"/>
    <cellStyle name="Note 2 12 15" xfId="12851"/>
    <cellStyle name="Note 2 12 15 2" xfId="12852"/>
    <cellStyle name="Note 2 12 16" xfId="12853"/>
    <cellStyle name="Note 2 12 16 2" xfId="12854"/>
    <cellStyle name="Note 2 12 17" xfId="12855"/>
    <cellStyle name="Note 2 12 17 2" xfId="12856"/>
    <cellStyle name="Note 2 12 18" xfId="12857"/>
    <cellStyle name="Note 2 12 18 2" xfId="12858"/>
    <cellStyle name="Note 2 12 19" xfId="12859"/>
    <cellStyle name="Note 2 12 19 2" xfId="12860"/>
    <cellStyle name="Note 2 12 2" xfId="12861"/>
    <cellStyle name="Note 2 12 2 10" xfId="12862"/>
    <cellStyle name="Note 2 12 2 10 2" xfId="12863"/>
    <cellStyle name="Note 2 12 2 11" xfId="12864"/>
    <cellStyle name="Note 2 12 2 11 2" xfId="12865"/>
    <cellStyle name="Note 2 12 2 12" xfId="12866"/>
    <cellStyle name="Note 2 12 2 12 2" xfId="12867"/>
    <cellStyle name="Note 2 12 2 13" xfId="12868"/>
    <cellStyle name="Note 2 12 2 13 2" xfId="12869"/>
    <cellStyle name="Note 2 12 2 14" xfId="12870"/>
    <cellStyle name="Note 2 12 2 14 2" xfId="12871"/>
    <cellStyle name="Note 2 12 2 15" xfId="12872"/>
    <cellStyle name="Note 2 12 2 15 2" xfId="12873"/>
    <cellStyle name="Note 2 12 2 16" xfId="12874"/>
    <cellStyle name="Note 2 12 2 16 2" xfId="12875"/>
    <cellStyle name="Note 2 12 2 17" xfId="12876"/>
    <cellStyle name="Note 2 12 2 17 2" xfId="12877"/>
    <cellStyle name="Note 2 12 2 18" xfId="12878"/>
    <cellStyle name="Note 2 12 2 18 2" xfId="12879"/>
    <cellStyle name="Note 2 12 2 19" xfId="12880"/>
    <cellStyle name="Note 2 12 2 19 2" xfId="12881"/>
    <cellStyle name="Note 2 12 2 2" xfId="12882"/>
    <cellStyle name="Note 2 12 2 2 2" xfId="12883"/>
    <cellStyle name="Note 2 12 2 2 3" xfId="12884"/>
    <cellStyle name="Note 2 12 2 20" xfId="12885"/>
    <cellStyle name="Note 2 12 2 20 2" xfId="12886"/>
    <cellStyle name="Note 2 12 2 21" xfId="12887"/>
    <cellStyle name="Note 2 12 2 21 2" xfId="12888"/>
    <cellStyle name="Note 2 12 2 22" xfId="12889"/>
    <cellStyle name="Note 2 12 2 22 2" xfId="12890"/>
    <cellStyle name="Note 2 12 2 23" xfId="12891"/>
    <cellStyle name="Note 2 12 2 23 2" xfId="12892"/>
    <cellStyle name="Note 2 12 2 24" xfId="12893"/>
    <cellStyle name="Note 2 12 2 24 2" xfId="12894"/>
    <cellStyle name="Note 2 12 2 25" xfId="12895"/>
    <cellStyle name="Note 2 12 2 25 2" xfId="12896"/>
    <cellStyle name="Note 2 12 2 26" xfId="12897"/>
    <cellStyle name="Note 2 12 2 26 2" xfId="12898"/>
    <cellStyle name="Note 2 12 2 27" xfId="12899"/>
    <cellStyle name="Note 2 12 2 27 2" xfId="12900"/>
    <cellStyle name="Note 2 12 2 28" xfId="12901"/>
    <cellStyle name="Note 2 12 2 28 2" xfId="12902"/>
    <cellStyle name="Note 2 12 2 29" xfId="12903"/>
    <cellStyle name="Note 2 12 2 29 2" xfId="12904"/>
    <cellStyle name="Note 2 12 2 3" xfId="12905"/>
    <cellStyle name="Note 2 12 2 3 2" xfId="12906"/>
    <cellStyle name="Note 2 12 2 3 3" xfId="12907"/>
    <cellStyle name="Note 2 12 2 30" xfId="12908"/>
    <cellStyle name="Note 2 12 2 30 2" xfId="12909"/>
    <cellStyle name="Note 2 12 2 31" xfId="12910"/>
    <cellStyle name="Note 2 12 2 4" xfId="12911"/>
    <cellStyle name="Note 2 12 2 4 2" xfId="12912"/>
    <cellStyle name="Note 2 12 2 5" xfId="12913"/>
    <cellStyle name="Note 2 12 2 5 2" xfId="12914"/>
    <cellStyle name="Note 2 12 2 6" xfId="12915"/>
    <cellStyle name="Note 2 12 2 6 2" xfId="12916"/>
    <cellStyle name="Note 2 12 2 7" xfId="12917"/>
    <cellStyle name="Note 2 12 2 7 2" xfId="12918"/>
    <cellStyle name="Note 2 12 2 8" xfId="12919"/>
    <cellStyle name="Note 2 12 2 8 2" xfId="12920"/>
    <cellStyle name="Note 2 12 2 9" xfId="12921"/>
    <cellStyle name="Note 2 12 2 9 2" xfId="12922"/>
    <cellStyle name="Note 2 12 20" xfId="12923"/>
    <cellStyle name="Note 2 12 20 2" xfId="12924"/>
    <cellStyle name="Note 2 12 21" xfId="12925"/>
    <cellStyle name="Note 2 12 21 2" xfId="12926"/>
    <cellStyle name="Note 2 12 22" xfId="12927"/>
    <cellStyle name="Note 2 12 22 2" xfId="12928"/>
    <cellStyle name="Note 2 12 23" xfId="12929"/>
    <cellStyle name="Note 2 12 23 2" xfId="12930"/>
    <cellStyle name="Note 2 12 24" xfId="12931"/>
    <cellStyle name="Note 2 12 24 2" xfId="12932"/>
    <cellStyle name="Note 2 12 25" xfId="12933"/>
    <cellStyle name="Note 2 12 25 2" xfId="12934"/>
    <cellStyle name="Note 2 12 26" xfId="12935"/>
    <cellStyle name="Note 2 12 26 2" xfId="12936"/>
    <cellStyle name="Note 2 12 27" xfId="12937"/>
    <cellStyle name="Note 2 12 27 2" xfId="12938"/>
    <cellStyle name="Note 2 12 28" xfId="12939"/>
    <cellStyle name="Note 2 12 28 2" xfId="12940"/>
    <cellStyle name="Note 2 12 29" xfId="12941"/>
    <cellStyle name="Note 2 12 29 2" xfId="12942"/>
    <cellStyle name="Note 2 12 3" xfId="12943"/>
    <cellStyle name="Note 2 12 3 2" xfId="12944"/>
    <cellStyle name="Note 2 12 3 2 2" xfId="12945"/>
    <cellStyle name="Note 2 12 3 3" xfId="12946"/>
    <cellStyle name="Note 2 12 3 3 2" xfId="12947"/>
    <cellStyle name="Note 2 12 3 4" xfId="12948"/>
    <cellStyle name="Note 2 12 3 4 2" xfId="12949"/>
    <cellStyle name="Note 2 12 3 5" xfId="12950"/>
    <cellStyle name="Note 2 12 30" xfId="12951"/>
    <cellStyle name="Note 2 12 30 2" xfId="12952"/>
    <cellStyle name="Note 2 12 31" xfId="12953"/>
    <cellStyle name="Note 2 12 31 2" xfId="12954"/>
    <cellStyle name="Note 2 12 32" xfId="12955"/>
    <cellStyle name="Note 2 12 32 2" xfId="12956"/>
    <cellStyle name="Note 2 12 33" xfId="12957"/>
    <cellStyle name="Note 2 12 33 2" xfId="12958"/>
    <cellStyle name="Note 2 12 34" xfId="12959"/>
    <cellStyle name="Note 2 12 34 2" xfId="12960"/>
    <cellStyle name="Note 2 12 35" xfId="12961"/>
    <cellStyle name="Note 2 12 35 2" xfId="12962"/>
    <cellStyle name="Note 2 12 36" xfId="12963"/>
    <cellStyle name="Note 2 12 36 2" xfId="12964"/>
    <cellStyle name="Note 2 12 37" xfId="12965"/>
    <cellStyle name="Note 2 12 37 2" xfId="12966"/>
    <cellStyle name="Note 2 12 38" xfId="12967"/>
    <cellStyle name="Note 2 12 38 2" xfId="12968"/>
    <cellStyle name="Note 2 12 39" xfId="12969"/>
    <cellStyle name="Note 2 12 39 2" xfId="12970"/>
    <cellStyle name="Note 2 12 4" xfId="12971"/>
    <cellStyle name="Note 2 12 4 2" xfId="12972"/>
    <cellStyle name="Note 2 12 4 2 2" xfId="12973"/>
    <cellStyle name="Note 2 12 4 3" xfId="12974"/>
    <cellStyle name="Note 2 12 4 3 2" xfId="12975"/>
    <cellStyle name="Note 2 12 4 4" xfId="12976"/>
    <cellStyle name="Note 2 12 4 4 2" xfId="12977"/>
    <cellStyle name="Note 2 12 4 5" xfId="12978"/>
    <cellStyle name="Note 2 12 40" xfId="12979"/>
    <cellStyle name="Note 2 12 40 2" xfId="12980"/>
    <cellStyle name="Note 2 12 41" xfId="12981"/>
    <cellStyle name="Note 2 12 41 2" xfId="12982"/>
    <cellStyle name="Note 2 12 42" xfId="12983"/>
    <cellStyle name="Note 2 12 42 2" xfId="12984"/>
    <cellStyle name="Note 2 12 43" xfId="12985"/>
    <cellStyle name="Note 2 12 43 2" xfId="12986"/>
    <cellStyle name="Note 2 12 44" xfId="12987"/>
    <cellStyle name="Note 2 12 44 2" xfId="12988"/>
    <cellStyle name="Note 2 12 45" xfId="12989"/>
    <cellStyle name="Note 2 12 45 2" xfId="12990"/>
    <cellStyle name="Note 2 12 46" xfId="12991"/>
    <cellStyle name="Note 2 12 46 2" xfId="12992"/>
    <cellStyle name="Note 2 12 47" xfId="12993"/>
    <cellStyle name="Note 2 12 47 2" xfId="12994"/>
    <cellStyle name="Note 2 12 48" xfId="12995"/>
    <cellStyle name="Note 2 12 48 2" xfId="12996"/>
    <cellStyle name="Note 2 12 49" xfId="12997"/>
    <cellStyle name="Note 2 12 49 2" xfId="12998"/>
    <cellStyle name="Note 2 12 5" xfId="12999"/>
    <cellStyle name="Note 2 12 5 2" xfId="13000"/>
    <cellStyle name="Note 2 12 5 2 2" xfId="13001"/>
    <cellStyle name="Note 2 12 5 3" xfId="13002"/>
    <cellStyle name="Note 2 12 5 3 2" xfId="13003"/>
    <cellStyle name="Note 2 12 5 4" xfId="13004"/>
    <cellStyle name="Note 2 12 5 4 2" xfId="13005"/>
    <cellStyle name="Note 2 12 5 5" xfId="13006"/>
    <cellStyle name="Note 2 12 50" xfId="13007"/>
    <cellStyle name="Note 2 12 50 2" xfId="13008"/>
    <cellStyle name="Note 2 12 51" xfId="13009"/>
    <cellStyle name="Note 2 12 51 2" xfId="13010"/>
    <cellStyle name="Note 2 12 52" xfId="13011"/>
    <cellStyle name="Note 2 12 52 2" xfId="13012"/>
    <cellStyle name="Note 2 12 53" xfId="13013"/>
    <cellStyle name="Note 2 12 53 2" xfId="13014"/>
    <cellStyle name="Note 2 12 54" xfId="13015"/>
    <cellStyle name="Note 2 12 54 2" xfId="13016"/>
    <cellStyle name="Note 2 12 55" xfId="13017"/>
    <cellStyle name="Note 2 12 55 2" xfId="13018"/>
    <cellStyle name="Note 2 12 56" xfId="13019"/>
    <cellStyle name="Note 2 12 56 2" xfId="13020"/>
    <cellStyle name="Note 2 12 57" xfId="13021"/>
    <cellStyle name="Note 2 12 57 2" xfId="13022"/>
    <cellStyle name="Note 2 12 58" xfId="13023"/>
    <cellStyle name="Note 2 12 58 2" xfId="13024"/>
    <cellStyle name="Note 2 12 59" xfId="13025"/>
    <cellStyle name="Note 2 12 59 2" xfId="13026"/>
    <cellStyle name="Note 2 12 6" xfId="13027"/>
    <cellStyle name="Note 2 12 6 2" xfId="13028"/>
    <cellStyle name="Note 2 12 6 2 2" xfId="13029"/>
    <cellStyle name="Note 2 12 6 3" xfId="13030"/>
    <cellStyle name="Note 2 12 6 3 2" xfId="13031"/>
    <cellStyle name="Note 2 12 6 4" xfId="13032"/>
    <cellStyle name="Note 2 12 6 4 2" xfId="13033"/>
    <cellStyle name="Note 2 12 6 5" xfId="13034"/>
    <cellStyle name="Note 2 12 60" xfId="13035"/>
    <cellStyle name="Note 2 12 60 2" xfId="13036"/>
    <cellStyle name="Note 2 12 61" xfId="13037"/>
    <cellStyle name="Note 2 12 61 2" xfId="13038"/>
    <cellStyle name="Note 2 12 62" xfId="13039"/>
    <cellStyle name="Note 2 12 7" xfId="13040"/>
    <cellStyle name="Note 2 12 7 2" xfId="13041"/>
    <cellStyle name="Note 2 12 7 2 2" xfId="13042"/>
    <cellStyle name="Note 2 12 7 3" xfId="13043"/>
    <cellStyle name="Note 2 12 7 3 2" xfId="13044"/>
    <cellStyle name="Note 2 12 7 4" xfId="13045"/>
    <cellStyle name="Note 2 12 7 4 2" xfId="13046"/>
    <cellStyle name="Note 2 12 7 5" xfId="13047"/>
    <cellStyle name="Note 2 12 8" xfId="13048"/>
    <cellStyle name="Note 2 12 8 2" xfId="13049"/>
    <cellStyle name="Note 2 12 8 2 2" xfId="13050"/>
    <cellStyle name="Note 2 12 8 3" xfId="13051"/>
    <cellStyle name="Note 2 12 8 3 2" xfId="13052"/>
    <cellStyle name="Note 2 12 8 4" xfId="13053"/>
    <cellStyle name="Note 2 12 8 4 2" xfId="13054"/>
    <cellStyle name="Note 2 12 8 5" xfId="13055"/>
    <cellStyle name="Note 2 12 9" xfId="13056"/>
    <cellStyle name="Note 2 12 9 2" xfId="13057"/>
    <cellStyle name="Note 2 12 9 2 2" xfId="13058"/>
    <cellStyle name="Note 2 12 9 3" xfId="13059"/>
    <cellStyle name="Note 2 12 9 3 2" xfId="13060"/>
    <cellStyle name="Note 2 12 9 4" xfId="13061"/>
    <cellStyle name="Note 2 12 9 4 2" xfId="13062"/>
    <cellStyle name="Note 2 12 9 5" xfId="13063"/>
    <cellStyle name="Note 2 120" xfId="13064"/>
    <cellStyle name="Note 2 120 2" xfId="13065"/>
    <cellStyle name="Note 2 121" xfId="13066"/>
    <cellStyle name="Note 2 121 2" xfId="13067"/>
    <cellStyle name="Note 2 122" xfId="13068"/>
    <cellStyle name="Note 2 122 2" xfId="13069"/>
    <cellStyle name="Note 2 123" xfId="13070"/>
    <cellStyle name="Note 2 123 2" xfId="13071"/>
    <cellStyle name="Note 2 124" xfId="13072"/>
    <cellStyle name="Note 2 124 2" xfId="13073"/>
    <cellStyle name="Note 2 125" xfId="13074"/>
    <cellStyle name="Note 2 125 2" xfId="13075"/>
    <cellStyle name="Note 2 126" xfId="13076"/>
    <cellStyle name="Note 2 126 2" xfId="13077"/>
    <cellStyle name="Note 2 127" xfId="13078"/>
    <cellStyle name="Note 2 128" xfId="13079"/>
    <cellStyle name="Note 2 13" xfId="13080"/>
    <cellStyle name="Note 2 13 10" xfId="13081"/>
    <cellStyle name="Note 2 13 10 2" xfId="13082"/>
    <cellStyle name="Note 2 13 10 2 2" xfId="13083"/>
    <cellStyle name="Note 2 13 10 3" xfId="13084"/>
    <cellStyle name="Note 2 13 10 3 2" xfId="13085"/>
    <cellStyle name="Note 2 13 10 4" xfId="13086"/>
    <cellStyle name="Note 2 13 10 4 2" xfId="13087"/>
    <cellStyle name="Note 2 13 10 5" xfId="13088"/>
    <cellStyle name="Note 2 13 11" xfId="13089"/>
    <cellStyle name="Note 2 13 11 2" xfId="13090"/>
    <cellStyle name="Note 2 13 11 2 2" xfId="13091"/>
    <cellStyle name="Note 2 13 11 3" xfId="13092"/>
    <cellStyle name="Note 2 13 11 3 2" xfId="13093"/>
    <cellStyle name="Note 2 13 11 4" xfId="13094"/>
    <cellStyle name="Note 2 13 11 4 2" xfId="13095"/>
    <cellStyle name="Note 2 13 11 5" xfId="13096"/>
    <cellStyle name="Note 2 13 12" xfId="13097"/>
    <cellStyle name="Note 2 13 12 2" xfId="13098"/>
    <cellStyle name="Note 2 13 12 2 2" xfId="13099"/>
    <cellStyle name="Note 2 13 12 3" xfId="13100"/>
    <cellStyle name="Note 2 13 12 3 2" xfId="13101"/>
    <cellStyle name="Note 2 13 12 4" xfId="13102"/>
    <cellStyle name="Note 2 13 12 4 2" xfId="13103"/>
    <cellStyle name="Note 2 13 12 5" xfId="13104"/>
    <cellStyle name="Note 2 13 13" xfId="13105"/>
    <cellStyle name="Note 2 13 13 2" xfId="13106"/>
    <cellStyle name="Note 2 13 13 2 2" xfId="13107"/>
    <cellStyle name="Note 2 13 13 3" xfId="13108"/>
    <cellStyle name="Note 2 13 13 3 2" xfId="13109"/>
    <cellStyle name="Note 2 13 13 4" xfId="13110"/>
    <cellStyle name="Note 2 13 13 4 2" xfId="13111"/>
    <cellStyle name="Note 2 13 13 5" xfId="13112"/>
    <cellStyle name="Note 2 13 14" xfId="13113"/>
    <cellStyle name="Note 2 13 14 2" xfId="13114"/>
    <cellStyle name="Note 2 13 14 2 2" xfId="13115"/>
    <cellStyle name="Note 2 13 14 3" xfId="13116"/>
    <cellStyle name="Note 2 13 14 3 2" xfId="13117"/>
    <cellStyle name="Note 2 13 14 4" xfId="13118"/>
    <cellStyle name="Note 2 13 14 4 2" xfId="13119"/>
    <cellStyle name="Note 2 13 14 5" xfId="13120"/>
    <cellStyle name="Note 2 13 15" xfId="13121"/>
    <cellStyle name="Note 2 13 15 2" xfId="13122"/>
    <cellStyle name="Note 2 13 16" xfId="13123"/>
    <cellStyle name="Note 2 13 16 2" xfId="13124"/>
    <cellStyle name="Note 2 13 17" xfId="13125"/>
    <cellStyle name="Note 2 13 17 2" xfId="13126"/>
    <cellStyle name="Note 2 13 18" xfId="13127"/>
    <cellStyle name="Note 2 13 18 2" xfId="13128"/>
    <cellStyle name="Note 2 13 19" xfId="13129"/>
    <cellStyle name="Note 2 13 19 2" xfId="13130"/>
    <cellStyle name="Note 2 13 2" xfId="13131"/>
    <cellStyle name="Note 2 13 2 10" xfId="13132"/>
    <cellStyle name="Note 2 13 2 10 2" xfId="13133"/>
    <cellStyle name="Note 2 13 2 11" xfId="13134"/>
    <cellStyle name="Note 2 13 2 11 2" xfId="13135"/>
    <cellStyle name="Note 2 13 2 12" xfId="13136"/>
    <cellStyle name="Note 2 13 2 12 2" xfId="13137"/>
    <cellStyle name="Note 2 13 2 13" xfId="13138"/>
    <cellStyle name="Note 2 13 2 13 2" xfId="13139"/>
    <cellStyle name="Note 2 13 2 14" xfId="13140"/>
    <cellStyle name="Note 2 13 2 14 2" xfId="13141"/>
    <cellStyle name="Note 2 13 2 15" xfId="13142"/>
    <cellStyle name="Note 2 13 2 15 2" xfId="13143"/>
    <cellStyle name="Note 2 13 2 16" xfId="13144"/>
    <cellStyle name="Note 2 13 2 16 2" xfId="13145"/>
    <cellStyle name="Note 2 13 2 17" xfId="13146"/>
    <cellStyle name="Note 2 13 2 17 2" xfId="13147"/>
    <cellStyle name="Note 2 13 2 18" xfId="13148"/>
    <cellStyle name="Note 2 13 2 18 2" xfId="13149"/>
    <cellStyle name="Note 2 13 2 19" xfId="13150"/>
    <cellStyle name="Note 2 13 2 19 2" xfId="13151"/>
    <cellStyle name="Note 2 13 2 2" xfId="13152"/>
    <cellStyle name="Note 2 13 2 2 2" xfId="13153"/>
    <cellStyle name="Note 2 13 2 2 3" xfId="13154"/>
    <cellStyle name="Note 2 13 2 20" xfId="13155"/>
    <cellStyle name="Note 2 13 2 20 2" xfId="13156"/>
    <cellStyle name="Note 2 13 2 21" xfId="13157"/>
    <cellStyle name="Note 2 13 2 21 2" xfId="13158"/>
    <cellStyle name="Note 2 13 2 22" xfId="13159"/>
    <cellStyle name="Note 2 13 2 22 2" xfId="13160"/>
    <cellStyle name="Note 2 13 2 23" xfId="13161"/>
    <cellStyle name="Note 2 13 2 23 2" xfId="13162"/>
    <cellStyle name="Note 2 13 2 24" xfId="13163"/>
    <cellStyle name="Note 2 13 2 24 2" xfId="13164"/>
    <cellStyle name="Note 2 13 2 25" xfId="13165"/>
    <cellStyle name="Note 2 13 2 25 2" xfId="13166"/>
    <cellStyle name="Note 2 13 2 26" xfId="13167"/>
    <cellStyle name="Note 2 13 2 26 2" xfId="13168"/>
    <cellStyle name="Note 2 13 2 27" xfId="13169"/>
    <cellStyle name="Note 2 13 2 27 2" xfId="13170"/>
    <cellStyle name="Note 2 13 2 28" xfId="13171"/>
    <cellStyle name="Note 2 13 2 28 2" xfId="13172"/>
    <cellStyle name="Note 2 13 2 29" xfId="13173"/>
    <cellStyle name="Note 2 13 2 29 2" xfId="13174"/>
    <cellStyle name="Note 2 13 2 3" xfId="13175"/>
    <cellStyle name="Note 2 13 2 3 2" xfId="13176"/>
    <cellStyle name="Note 2 13 2 3 3" xfId="13177"/>
    <cellStyle name="Note 2 13 2 30" xfId="13178"/>
    <cellStyle name="Note 2 13 2 30 2" xfId="13179"/>
    <cellStyle name="Note 2 13 2 31" xfId="13180"/>
    <cellStyle name="Note 2 13 2 4" xfId="13181"/>
    <cellStyle name="Note 2 13 2 4 2" xfId="13182"/>
    <cellStyle name="Note 2 13 2 5" xfId="13183"/>
    <cellStyle name="Note 2 13 2 5 2" xfId="13184"/>
    <cellStyle name="Note 2 13 2 6" xfId="13185"/>
    <cellStyle name="Note 2 13 2 6 2" xfId="13186"/>
    <cellStyle name="Note 2 13 2 7" xfId="13187"/>
    <cellStyle name="Note 2 13 2 7 2" xfId="13188"/>
    <cellStyle name="Note 2 13 2 8" xfId="13189"/>
    <cellStyle name="Note 2 13 2 8 2" xfId="13190"/>
    <cellStyle name="Note 2 13 2 9" xfId="13191"/>
    <cellStyle name="Note 2 13 2 9 2" xfId="13192"/>
    <cellStyle name="Note 2 13 20" xfId="13193"/>
    <cellStyle name="Note 2 13 20 2" xfId="13194"/>
    <cellStyle name="Note 2 13 21" xfId="13195"/>
    <cellStyle name="Note 2 13 21 2" xfId="13196"/>
    <cellStyle name="Note 2 13 22" xfId="13197"/>
    <cellStyle name="Note 2 13 22 2" xfId="13198"/>
    <cellStyle name="Note 2 13 23" xfId="13199"/>
    <cellStyle name="Note 2 13 23 2" xfId="13200"/>
    <cellStyle name="Note 2 13 24" xfId="13201"/>
    <cellStyle name="Note 2 13 24 2" xfId="13202"/>
    <cellStyle name="Note 2 13 25" xfId="13203"/>
    <cellStyle name="Note 2 13 25 2" xfId="13204"/>
    <cellStyle name="Note 2 13 26" xfId="13205"/>
    <cellStyle name="Note 2 13 26 2" xfId="13206"/>
    <cellStyle name="Note 2 13 27" xfId="13207"/>
    <cellStyle name="Note 2 13 27 2" xfId="13208"/>
    <cellStyle name="Note 2 13 28" xfId="13209"/>
    <cellStyle name="Note 2 13 28 2" xfId="13210"/>
    <cellStyle name="Note 2 13 29" xfId="13211"/>
    <cellStyle name="Note 2 13 29 2" xfId="13212"/>
    <cellStyle name="Note 2 13 3" xfId="13213"/>
    <cellStyle name="Note 2 13 3 2" xfId="13214"/>
    <cellStyle name="Note 2 13 3 2 2" xfId="13215"/>
    <cellStyle name="Note 2 13 3 3" xfId="13216"/>
    <cellStyle name="Note 2 13 3 3 2" xfId="13217"/>
    <cellStyle name="Note 2 13 3 4" xfId="13218"/>
    <cellStyle name="Note 2 13 3 4 2" xfId="13219"/>
    <cellStyle name="Note 2 13 3 5" xfId="13220"/>
    <cellStyle name="Note 2 13 30" xfId="13221"/>
    <cellStyle name="Note 2 13 30 2" xfId="13222"/>
    <cellStyle name="Note 2 13 31" xfId="13223"/>
    <cellStyle name="Note 2 13 31 2" xfId="13224"/>
    <cellStyle name="Note 2 13 32" xfId="13225"/>
    <cellStyle name="Note 2 13 32 2" xfId="13226"/>
    <cellStyle name="Note 2 13 33" xfId="13227"/>
    <cellStyle name="Note 2 13 33 2" xfId="13228"/>
    <cellStyle name="Note 2 13 34" xfId="13229"/>
    <cellStyle name="Note 2 13 34 2" xfId="13230"/>
    <cellStyle name="Note 2 13 35" xfId="13231"/>
    <cellStyle name="Note 2 13 35 2" xfId="13232"/>
    <cellStyle name="Note 2 13 36" xfId="13233"/>
    <cellStyle name="Note 2 13 36 2" xfId="13234"/>
    <cellStyle name="Note 2 13 37" xfId="13235"/>
    <cellStyle name="Note 2 13 37 2" xfId="13236"/>
    <cellStyle name="Note 2 13 38" xfId="13237"/>
    <cellStyle name="Note 2 13 38 2" xfId="13238"/>
    <cellStyle name="Note 2 13 39" xfId="13239"/>
    <cellStyle name="Note 2 13 39 2" xfId="13240"/>
    <cellStyle name="Note 2 13 4" xfId="13241"/>
    <cellStyle name="Note 2 13 4 2" xfId="13242"/>
    <cellStyle name="Note 2 13 4 2 2" xfId="13243"/>
    <cellStyle name="Note 2 13 4 3" xfId="13244"/>
    <cellStyle name="Note 2 13 4 3 2" xfId="13245"/>
    <cellStyle name="Note 2 13 4 4" xfId="13246"/>
    <cellStyle name="Note 2 13 4 4 2" xfId="13247"/>
    <cellStyle name="Note 2 13 4 5" xfId="13248"/>
    <cellStyle name="Note 2 13 40" xfId="13249"/>
    <cellStyle name="Note 2 13 40 2" xfId="13250"/>
    <cellStyle name="Note 2 13 41" xfId="13251"/>
    <cellStyle name="Note 2 13 41 2" xfId="13252"/>
    <cellStyle name="Note 2 13 42" xfId="13253"/>
    <cellStyle name="Note 2 13 42 2" xfId="13254"/>
    <cellStyle name="Note 2 13 43" xfId="13255"/>
    <cellStyle name="Note 2 13 43 2" xfId="13256"/>
    <cellStyle name="Note 2 13 44" xfId="13257"/>
    <cellStyle name="Note 2 13 44 2" xfId="13258"/>
    <cellStyle name="Note 2 13 45" xfId="13259"/>
    <cellStyle name="Note 2 13 45 2" xfId="13260"/>
    <cellStyle name="Note 2 13 46" xfId="13261"/>
    <cellStyle name="Note 2 13 46 2" xfId="13262"/>
    <cellStyle name="Note 2 13 47" xfId="13263"/>
    <cellStyle name="Note 2 13 47 2" xfId="13264"/>
    <cellStyle name="Note 2 13 48" xfId="13265"/>
    <cellStyle name="Note 2 13 48 2" xfId="13266"/>
    <cellStyle name="Note 2 13 49" xfId="13267"/>
    <cellStyle name="Note 2 13 49 2" xfId="13268"/>
    <cellStyle name="Note 2 13 5" xfId="13269"/>
    <cellStyle name="Note 2 13 5 2" xfId="13270"/>
    <cellStyle name="Note 2 13 5 2 2" xfId="13271"/>
    <cellStyle name="Note 2 13 5 3" xfId="13272"/>
    <cellStyle name="Note 2 13 5 3 2" xfId="13273"/>
    <cellStyle name="Note 2 13 5 4" xfId="13274"/>
    <cellStyle name="Note 2 13 5 4 2" xfId="13275"/>
    <cellStyle name="Note 2 13 5 5" xfId="13276"/>
    <cellStyle name="Note 2 13 50" xfId="13277"/>
    <cellStyle name="Note 2 13 50 2" xfId="13278"/>
    <cellStyle name="Note 2 13 51" xfId="13279"/>
    <cellStyle name="Note 2 13 51 2" xfId="13280"/>
    <cellStyle name="Note 2 13 52" xfId="13281"/>
    <cellStyle name="Note 2 13 52 2" xfId="13282"/>
    <cellStyle name="Note 2 13 53" xfId="13283"/>
    <cellStyle name="Note 2 13 53 2" xfId="13284"/>
    <cellStyle name="Note 2 13 54" xfId="13285"/>
    <cellStyle name="Note 2 13 54 2" xfId="13286"/>
    <cellStyle name="Note 2 13 55" xfId="13287"/>
    <cellStyle name="Note 2 13 55 2" xfId="13288"/>
    <cellStyle name="Note 2 13 56" xfId="13289"/>
    <cellStyle name="Note 2 13 56 2" xfId="13290"/>
    <cellStyle name="Note 2 13 57" xfId="13291"/>
    <cellStyle name="Note 2 13 57 2" xfId="13292"/>
    <cellStyle name="Note 2 13 58" xfId="13293"/>
    <cellStyle name="Note 2 13 58 2" xfId="13294"/>
    <cellStyle name="Note 2 13 59" xfId="13295"/>
    <cellStyle name="Note 2 13 59 2" xfId="13296"/>
    <cellStyle name="Note 2 13 6" xfId="13297"/>
    <cellStyle name="Note 2 13 6 2" xfId="13298"/>
    <cellStyle name="Note 2 13 6 2 2" xfId="13299"/>
    <cellStyle name="Note 2 13 6 3" xfId="13300"/>
    <cellStyle name="Note 2 13 6 3 2" xfId="13301"/>
    <cellStyle name="Note 2 13 6 4" xfId="13302"/>
    <cellStyle name="Note 2 13 6 4 2" xfId="13303"/>
    <cellStyle name="Note 2 13 6 5" xfId="13304"/>
    <cellStyle name="Note 2 13 60" xfId="13305"/>
    <cellStyle name="Note 2 13 60 2" xfId="13306"/>
    <cellStyle name="Note 2 13 61" xfId="13307"/>
    <cellStyle name="Note 2 13 61 2" xfId="13308"/>
    <cellStyle name="Note 2 13 62" xfId="13309"/>
    <cellStyle name="Note 2 13 7" xfId="13310"/>
    <cellStyle name="Note 2 13 7 2" xfId="13311"/>
    <cellStyle name="Note 2 13 7 2 2" xfId="13312"/>
    <cellStyle name="Note 2 13 7 3" xfId="13313"/>
    <cellStyle name="Note 2 13 7 3 2" xfId="13314"/>
    <cellStyle name="Note 2 13 7 4" xfId="13315"/>
    <cellStyle name="Note 2 13 7 4 2" xfId="13316"/>
    <cellStyle name="Note 2 13 7 5" xfId="13317"/>
    <cellStyle name="Note 2 13 8" xfId="13318"/>
    <cellStyle name="Note 2 13 8 2" xfId="13319"/>
    <cellStyle name="Note 2 13 8 2 2" xfId="13320"/>
    <cellStyle name="Note 2 13 8 3" xfId="13321"/>
    <cellStyle name="Note 2 13 8 3 2" xfId="13322"/>
    <cellStyle name="Note 2 13 8 4" xfId="13323"/>
    <cellStyle name="Note 2 13 8 4 2" xfId="13324"/>
    <cellStyle name="Note 2 13 8 5" xfId="13325"/>
    <cellStyle name="Note 2 13 9" xfId="13326"/>
    <cellStyle name="Note 2 13 9 2" xfId="13327"/>
    <cellStyle name="Note 2 13 9 2 2" xfId="13328"/>
    <cellStyle name="Note 2 13 9 3" xfId="13329"/>
    <cellStyle name="Note 2 13 9 3 2" xfId="13330"/>
    <cellStyle name="Note 2 13 9 4" xfId="13331"/>
    <cellStyle name="Note 2 13 9 4 2" xfId="13332"/>
    <cellStyle name="Note 2 13 9 5" xfId="13333"/>
    <cellStyle name="Note 2 14" xfId="13334"/>
    <cellStyle name="Note 2 14 10" xfId="13335"/>
    <cellStyle name="Note 2 14 10 2" xfId="13336"/>
    <cellStyle name="Note 2 14 10 2 2" xfId="13337"/>
    <cellStyle name="Note 2 14 10 3" xfId="13338"/>
    <cellStyle name="Note 2 14 10 3 2" xfId="13339"/>
    <cellStyle name="Note 2 14 10 4" xfId="13340"/>
    <cellStyle name="Note 2 14 10 4 2" xfId="13341"/>
    <cellStyle name="Note 2 14 10 5" xfId="13342"/>
    <cellStyle name="Note 2 14 11" xfId="13343"/>
    <cellStyle name="Note 2 14 11 2" xfId="13344"/>
    <cellStyle name="Note 2 14 11 2 2" xfId="13345"/>
    <cellStyle name="Note 2 14 11 3" xfId="13346"/>
    <cellStyle name="Note 2 14 11 3 2" xfId="13347"/>
    <cellStyle name="Note 2 14 11 4" xfId="13348"/>
    <cellStyle name="Note 2 14 11 4 2" xfId="13349"/>
    <cellStyle name="Note 2 14 11 5" xfId="13350"/>
    <cellStyle name="Note 2 14 12" xfId="13351"/>
    <cellStyle name="Note 2 14 12 2" xfId="13352"/>
    <cellStyle name="Note 2 14 12 2 2" xfId="13353"/>
    <cellStyle name="Note 2 14 12 3" xfId="13354"/>
    <cellStyle name="Note 2 14 12 3 2" xfId="13355"/>
    <cellStyle name="Note 2 14 12 4" xfId="13356"/>
    <cellStyle name="Note 2 14 12 4 2" xfId="13357"/>
    <cellStyle name="Note 2 14 12 5" xfId="13358"/>
    <cellStyle name="Note 2 14 13" xfId="13359"/>
    <cellStyle name="Note 2 14 13 2" xfId="13360"/>
    <cellStyle name="Note 2 14 13 2 2" xfId="13361"/>
    <cellStyle name="Note 2 14 13 3" xfId="13362"/>
    <cellStyle name="Note 2 14 13 3 2" xfId="13363"/>
    <cellStyle name="Note 2 14 13 4" xfId="13364"/>
    <cellStyle name="Note 2 14 13 4 2" xfId="13365"/>
    <cellStyle name="Note 2 14 13 5" xfId="13366"/>
    <cellStyle name="Note 2 14 14" xfId="13367"/>
    <cellStyle name="Note 2 14 14 2" xfId="13368"/>
    <cellStyle name="Note 2 14 14 2 2" xfId="13369"/>
    <cellStyle name="Note 2 14 14 3" xfId="13370"/>
    <cellStyle name="Note 2 14 14 3 2" xfId="13371"/>
    <cellStyle name="Note 2 14 14 4" xfId="13372"/>
    <cellStyle name="Note 2 14 14 4 2" xfId="13373"/>
    <cellStyle name="Note 2 14 14 5" xfId="13374"/>
    <cellStyle name="Note 2 14 15" xfId="13375"/>
    <cellStyle name="Note 2 14 15 2" xfId="13376"/>
    <cellStyle name="Note 2 14 15 2 2" xfId="13377"/>
    <cellStyle name="Note 2 14 15 3" xfId="13378"/>
    <cellStyle name="Note 2 14 15 3 2" xfId="13379"/>
    <cellStyle name="Note 2 14 15 4" xfId="13380"/>
    <cellStyle name="Note 2 14 15 4 2" xfId="13381"/>
    <cellStyle name="Note 2 14 15 5" xfId="13382"/>
    <cellStyle name="Note 2 14 16" xfId="13383"/>
    <cellStyle name="Note 2 14 16 2" xfId="13384"/>
    <cellStyle name="Note 2 14 16 2 2" xfId="13385"/>
    <cellStyle name="Note 2 14 16 3" xfId="13386"/>
    <cellStyle name="Note 2 14 16 3 2" xfId="13387"/>
    <cellStyle name="Note 2 14 16 4" xfId="13388"/>
    <cellStyle name="Note 2 14 16 4 2" xfId="13389"/>
    <cellStyle name="Note 2 14 16 5" xfId="13390"/>
    <cellStyle name="Note 2 14 17" xfId="13391"/>
    <cellStyle name="Note 2 14 17 2" xfId="13392"/>
    <cellStyle name="Note 2 14 17 2 2" xfId="13393"/>
    <cellStyle name="Note 2 14 17 3" xfId="13394"/>
    <cellStyle name="Note 2 14 17 3 2" xfId="13395"/>
    <cellStyle name="Note 2 14 17 4" xfId="13396"/>
    <cellStyle name="Note 2 14 17 4 2" xfId="13397"/>
    <cellStyle name="Note 2 14 17 5" xfId="13398"/>
    <cellStyle name="Note 2 14 18" xfId="13399"/>
    <cellStyle name="Note 2 14 18 2" xfId="13400"/>
    <cellStyle name="Note 2 14 18 2 2" xfId="13401"/>
    <cellStyle name="Note 2 14 18 3" xfId="13402"/>
    <cellStyle name="Note 2 14 18 3 2" xfId="13403"/>
    <cellStyle name="Note 2 14 18 4" xfId="13404"/>
    <cellStyle name="Note 2 14 18 4 2" xfId="13405"/>
    <cellStyle name="Note 2 14 18 5" xfId="13406"/>
    <cellStyle name="Note 2 14 19" xfId="13407"/>
    <cellStyle name="Note 2 14 19 10" xfId="13408"/>
    <cellStyle name="Note 2 14 19 11" xfId="13409"/>
    <cellStyle name="Note 2 14 19 2" xfId="13410"/>
    <cellStyle name="Note 2 14 19 2 2" xfId="13411"/>
    <cellStyle name="Note 2 14 19 2 3" xfId="13412"/>
    <cellStyle name="Note 2 14 19 2 4" xfId="13413"/>
    <cellStyle name="Note 2 14 19 2 5" xfId="13414"/>
    <cellStyle name="Note 2 14 19 2 6" xfId="13415"/>
    <cellStyle name="Note 2 14 19 3" xfId="13416"/>
    <cellStyle name="Note 2 14 19 3 2" xfId="13417"/>
    <cellStyle name="Note 2 14 19 4" xfId="13418"/>
    <cellStyle name="Note 2 14 19 4 2" xfId="13419"/>
    <cellStyle name="Note 2 14 19 5" xfId="13420"/>
    <cellStyle name="Note 2 14 19 5 2" xfId="13421"/>
    <cellStyle name="Note 2 14 19 6" xfId="13422"/>
    <cellStyle name="Note 2 14 19 6 2" xfId="13423"/>
    <cellStyle name="Note 2 14 19 7" xfId="13424"/>
    <cellStyle name="Note 2 14 19 7 2" xfId="13425"/>
    <cellStyle name="Note 2 14 19 8" xfId="13426"/>
    <cellStyle name="Note 2 14 19 9" xfId="13427"/>
    <cellStyle name="Note 2 14 2" xfId="13428"/>
    <cellStyle name="Note 2 14 2 10" xfId="13429"/>
    <cellStyle name="Note 2 14 2 10 2" xfId="13430"/>
    <cellStyle name="Note 2 14 2 11" xfId="13431"/>
    <cellStyle name="Note 2 14 2 11 2" xfId="13432"/>
    <cellStyle name="Note 2 14 2 12" xfId="13433"/>
    <cellStyle name="Note 2 14 2 12 2" xfId="13434"/>
    <cellStyle name="Note 2 14 2 13" xfId="13435"/>
    <cellStyle name="Note 2 14 2 13 2" xfId="13436"/>
    <cellStyle name="Note 2 14 2 14" xfId="13437"/>
    <cellStyle name="Note 2 14 2 14 2" xfId="13438"/>
    <cellStyle name="Note 2 14 2 15" xfId="13439"/>
    <cellStyle name="Note 2 14 2 15 2" xfId="13440"/>
    <cellStyle name="Note 2 14 2 16" xfId="13441"/>
    <cellStyle name="Note 2 14 2 16 2" xfId="13442"/>
    <cellStyle name="Note 2 14 2 17" xfId="13443"/>
    <cellStyle name="Note 2 14 2 17 2" xfId="13444"/>
    <cellStyle name="Note 2 14 2 18" xfId="13445"/>
    <cellStyle name="Note 2 14 2 18 2" xfId="13446"/>
    <cellStyle name="Note 2 14 2 19" xfId="13447"/>
    <cellStyle name="Note 2 14 2 19 2" xfId="13448"/>
    <cellStyle name="Note 2 14 2 2" xfId="13449"/>
    <cellStyle name="Note 2 14 2 2 2" xfId="13450"/>
    <cellStyle name="Note 2 14 2 2 3" xfId="13451"/>
    <cellStyle name="Note 2 14 2 20" xfId="13452"/>
    <cellStyle name="Note 2 14 2 20 2" xfId="13453"/>
    <cellStyle name="Note 2 14 2 21" xfId="13454"/>
    <cellStyle name="Note 2 14 2 21 2" xfId="13455"/>
    <cellStyle name="Note 2 14 2 22" xfId="13456"/>
    <cellStyle name="Note 2 14 2 22 2" xfId="13457"/>
    <cellStyle name="Note 2 14 2 23" xfId="13458"/>
    <cellStyle name="Note 2 14 2 23 2" xfId="13459"/>
    <cellStyle name="Note 2 14 2 24" xfId="13460"/>
    <cellStyle name="Note 2 14 2 24 2" xfId="13461"/>
    <cellStyle name="Note 2 14 2 25" xfId="13462"/>
    <cellStyle name="Note 2 14 2 25 2" xfId="13463"/>
    <cellStyle name="Note 2 14 2 26" xfId="13464"/>
    <cellStyle name="Note 2 14 2 26 2" xfId="13465"/>
    <cellStyle name="Note 2 14 2 27" xfId="13466"/>
    <cellStyle name="Note 2 14 2 27 2" xfId="13467"/>
    <cellStyle name="Note 2 14 2 28" xfId="13468"/>
    <cellStyle name="Note 2 14 2 28 2" xfId="13469"/>
    <cellStyle name="Note 2 14 2 29" xfId="13470"/>
    <cellStyle name="Note 2 14 2 29 2" xfId="13471"/>
    <cellStyle name="Note 2 14 2 3" xfId="13472"/>
    <cellStyle name="Note 2 14 2 3 2" xfId="13473"/>
    <cellStyle name="Note 2 14 2 3 3" xfId="13474"/>
    <cellStyle name="Note 2 14 2 30" xfId="13475"/>
    <cellStyle name="Note 2 14 2 30 2" xfId="13476"/>
    <cellStyle name="Note 2 14 2 31" xfId="13477"/>
    <cellStyle name="Note 2 14 2 4" xfId="13478"/>
    <cellStyle name="Note 2 14 2 4 2" xfId="13479"/>
    <cellStyle name="Note 2 14 2 5" xfId="13480"/>
    <cellStyle name="Note 2 14 2 5 2" xfId="13481"/>
    <cellStyle name="Note 2 14 2 6" xfId="13482"/>
    <cellStyle name="Note 2 14 2 6 2" xfId="13483"/>
    <cellStyle name="Note 2 14 2 7" xfId="13484"/>
    <cellStyle name="Note 2 14 2 7 2" xfId="13485"/>
    <cellStyle name="Note 2 14 2 8" xfId="13486"/>
    <cellStyle name="Note 2 14 2 8 2" xfId="13487"/>
    <cellStyle name="Note 2 14 2 9" xfId="13488"/>
    <cellStyle name="Note 2 14 2 9 2" xfId="13489"/>
    <cellStyle name="Note 2 14 20" xfId="13490"/>
    <cellStyle name="Note 2 14 20 2" xfId="13491"/>
    <cellStyle name="Note 2 14 21" xfId="13492"/>
    <cellStyle name="Note 2 14 21 2" xfId="13493"/>
    <cellStyle name="Note 2 14 22" xfId="13494"/>
    <cellStyle name="Note 2 14 22 2" xfId="13495"/>
    <cellStyle name="Note 2 14 23" xfId="13496"/>
    <cellStyle name="Note 2 14 23 2" xfId="13497"/>
    <cellStyle name="Note 2 14 24" xfId="13498"/>
    <cellStyle name="Note 2 14 24 2" xfId="13499"/>
    <cellStyle name="Note 2 14 25" xfId="13500"/>
    <cellStyle name="Note 2 14 25 2" xfId="13501"/>
    <cellStyle name="Note 2 14 26" xfId="13502"/>
    <cellStyle name="Note 2 14 26 2" xfId="13503"/>
    <cellStyle name="Note 2 14 27" xfId="13504"/>
    <cellStyle name="Note 2 14 27 2" xfId="13505"/>
    <cellStyle name="Note 2 14 28" xfId="13506"/>
    <cellStyle name="Note 2 14 28 2" xfId="13507"/>
    <cellStyle name="Note 2 14 29" xfId="13508"/>
    <cellStyle name="Note 2 14 29 2" xfId="13509"/>
    <cellStyle name="Note 2 14 3" xfId="13510"/>
    <cellStyle name="Note 2 14 3 2" xfId="13511"/>
    <cellStyle name="Note 2 14 3 2 2" xfId="13512"/>
    <cellStyle name="Note 2 14 3 3" xfId="13513"/>
    <cellStyle name="Note 2 14 3 3 2" xfId="13514"/>
    <cellStyle name="Note 2 14 3 4" xfId="13515"/>
    <cellStyle name="Note 2 14 3 4 2" xfId="13516"/>
    <cellStyle name="Note 2 14 3 5" xfId="13517"/>
    <cellStyle name="Note 2 14 30" xfId="13518"/>
    <cellStyle name="Note 2 14 30 2" xfId="13519"/>
    <cellStyle name="Note 2 14 31" xfId="13520"/>
    <cellStyle name="Note 2 14 31 2" xfId="13521"/>
    <cellStyle name="Note 2 14 32" xfId="13522"/>
    <cellStyle name="Note 2 14 32 2" xfId="13523"/>
    <cellStyle name="Note 2 14 33" xfId="13524"/>
    <cellStyle name="Note 2 14 33 2" xfId="13525"/>
    <cellStyle name="Note 2 14 34" xfId="13526"/>
    <cellStyle name="Note 2 14 34 2" xfId="13527"/>
    <cellStyle name="Note 2 14 35" xfId="13528"/>
    <cellStyle name="Note 2 14 35 2" xfId="13529"/>
    <cellStyle name="Note 2 14 36" xfId="13530"/>
    <cellStyle name="Note 2 14 36 2" xfId="13531"/>
    <cellStyle name="Note 2 14 37" xfId="13532"/>
    <cellStyle name="Note 2 14 37 2" xfId="13533"/>
    <cellStyle name="Note 2 14 38" xfId="13534"/>
    <cellStyle name="Note 2 14 38 2" xfId="13535"/>
    <cellStyle name="Note 2 14 39" xfId="13536"/>
    <cellStyle name="Note 2 14 39 2" xfId="13537"/>
    <cellStyle name="Note 2 14 4" xfId="13538"/>
    <cellStyle name="Note 2 14 4 10" xfId="13539"/>
    <cellStyle name="Note 2 14 4 11" xfId="13540"/>
    <cellStyle name="Note 2 14 4 12" xfId="13541"/>
    <cellStyle name="Note 2 14 4 13" xfId="13542"/>
    <cellStyle name="Note 2 14 4 2" xfId="13543"/>
    <cellStyle name="Note 2 14 4 2 2" xfId="13544"/>
    <cellStyle name="Note 2 14 4 2 3" xfId="13545"/>
    <cellStyle name="Note 2 14 4 3" xfId="13546"/>
    <cellStyle name="Note 2 14 4 3 2" xfId="13547"/>
    <cellStyle name="Note 2 14 4 4" xfId="13548"/>
    <cellStyle name="Note 2 14 4 4 2" xfId="13549"/>
    <cellStyle name="Note 2 14 4 5" xfId="13550"/>
    <cellStyle name="Note 2 14 4 5 2" xfId="13551"/>
    <cellStyle name="Note 2 14 4 5 3" xfId="13552"/>
    <cellStyle name="Note 2 14 4 5 4" xfId="13553"/>
    <cellStyle name="Note 2 14 4 5 5" xfId="13554"/>
    <cellStyle name="Note 2 14 4 5 6" xfId="13555"/>
    <cellStyle name="Note 2 14 4 6" xfId="13556"/>
    <cellStyle name="Note 2 14 4 6 2" xfId="13557"/>
    <cellStyle name="Note 2 14 4 7" xfId="13558"/>
    <cellStyle name="Note 2 14 4 7 2" xfId="13559"/>
    <cellStyle name="Note 2 14 4 8" xfId="13560"/>
    <cellStyle name="Note 2 14 4 8 2" xfId="13561"/>
    <cellStyle name="Note 2 14 4 9" xfId="13562"/>
    <cellStyle name="Note 2 14 4 9 2" xfId="13563"/>
    <cellStyle name="Note 2 14 40" xfId="13564"/>
    <cellStyle name="Note 2 14 40 2" xfId="13565"/>
    <cellStyle name="Note 2 14 41" xfId="13566"/>
    <cellStyle name="Note 2 14 41 2" xfId="13567"/>
    <cellStyle name="Note 2 14 42" xfId="13568"/>
    <cellStyle name="Note 2 14 42 2" xfId="13569"/>
    <cellStyle name="Note 2 14 43" xfId="13570"/>
    <cellStyle name="Note 2 14 43 2" xfId="13571"/>
    <cellStyle name="Note 2 14 44" xfId="13572"/>
    <cellStyle name="Note 2 14 44 2" xfId="13573"/>
    <cellStyle name="Note 2 14 45" xfId="13574"/>
    <cellStyle name="Note 2 14 45 2" xfId="13575"/>
    <cellStyle name="Note 2 14 46" xfId="13576"/>
    <cellStyle name="Note 2 14 46 2" xfId="13577"/>
    <cellStyle name="Note 2 14 47" xfId="13578"/>
    <cellStyle name="Note 2 14 47 2" xfId="13579"/>
    <cellStyle name="Note 2 14 48" xfId="13580"/>
    <cellStyle name="Note 2 14 48 2" xfId="13581"/>
    <cellStyle name="Note 2 14 49" xfId="13582"/>
    <cellStyle name="Note 2 14 49 2" xfId="13583"/>
    <cellStyle name="Note 2 14 5" xfId="13584"/>
    <cellStyle name="Note 2 14 5 2" xfId="13585"/>
    <cellStyle name="Note 2 14 5 2 2" xfId="13586"/>
    <cellStyle name="Note 2 14 5 3" xfId="13587"/>
    <cellStyle name="Note 2 14 5 3 2" xfId="13588"/>
    <cellStyle name="Note 2 14 5 4" xfId="13589"/>
    <cellStyle name="Note 2 14 5 4 2" xfId="13590"/>
    <cellStyle name="Note 2 14 5 5" xfId="13591"/>
    <cellStyle name="Note 2 14 50" xfId="13592"/>
    <cellStyle name="Note 2 14 50 2" xfId="13593"/>
    <cellStyle name="Note 2 14 51" xfId="13594"/>
    <cellStyle name="Note 2 14 51 2" xfId="13595"/>
    <cellStyle name="Note 2 14 52" xfId="13596"/>
    <cellStyle name="Note 2 14 52 2" xfId="13597"/>
    <cellStyle name="Note 2 14 53" xfId="13598"/>
    <cellStyle name="Note 2 14 53 2" xfId="13599"/>
    <cellStyle name="Note 2 14 54" xfId="13600"/>
    <cellStyle name="Note 2 14 54 2" xfId="13601"/>
    <cellStyle name="Note 2 14 55" xfId="13602"/>
    <cellStyle name="Note 2 14 55 2" xfId="13603"/>
    <cellStyle name="Note 2 14 56" xfId="13604"/>
    <cellStyle name="Note 2 14 56 2" xfId="13605"/>
    <cellStyle name="Note 2 14 57" xfId="13606"/>
    <cellStyle name="Note 2 14 57 2" xfId="13607"/>
    <cellStyle name="Note 2 14 58" xfId="13608"/>
    <cellStyle name="Note 2 14 58 2" xfId="13609"/>
    <cellStyle name="Note 2 14 59" xfId="13610"/>
    <cellStyle name="Note 2 14 59 2" xfId="13611"/>
    <cellStyle name="Note 2 14 6" xfId="13612"/>
    <cellStyle name="Note 2 14 6 2" xfId="13613"/>
    <cellStyle name="Note 2 14 6 2 2" xfId="13614"/>
    <cellStyle name="Note 2 14 6 3" xfId="13615"/>
    <cellStyle name="Note 2 14 6 3 2" xfId="13616"/>
    <cellStyle name="Note 2 14 6 4" xfId="13617"/>
    <cellStyle name="Note 2 14 6 4 2" xfId="13618"/>
    <cellStyle name="Note 2 14 6 5" xfId="13619"/>
    <cellStyle name="Note 2 14 60" xfId="13620"/>
    <cellStyle name="Note 2 14 60 2" xfId="13621"/>
    <cellStyle name="Note 2 14 61" xfId="13622"/>
    <cellStyle name="Note 2 14 61 2" xfId="13623"/>
    <cellStyle name="Note 2 14 61 3" xfId="13624"/>
    <cellStyle name="Note 2 14 61 4" xfId="13625"/>
    <cellStyle name="Note 2 14 61 5" xfId="13626"/>
    <cellStyle name="Note 2 14 61 6" xfId="13627"/>
    <cellStyle name="Note 2 14 62" xfId="13628"/>
    <cellStyle name="Note 2 14 62 2" xfId="13629"/>
    <cellStyle name="Note 2 14 63" xfId="13630"/>
    <cellStyle name="Note 2 14 63 2" xfId="13631"/>
    <cellStyle name="Note 2 14 64" xfId="13632"/>
    <cellStyle name="Note 2 14 64 2" xfId="13633"/>
    <cellStyle name="Note 2 14 65" xfId="13634"/>
    <cellStyle name="Note 2 14 65 2" xfId="13635"/>
    <cellStyle name="Note 2 14 66" xfId="13636"/>
    <cellStyle name="Note 2 14 67" xfId="13637"/>
    <cellStyle name="Note 2 14 68" xfId="13638"/>
    <cellStyle name="Note 2 14 69" xfId="13639"/>
    <cellStyle name="Note 2 14 7" xfId="13640"/>
    <cellStyle name="Note 2 14 7 2" xfId="13641"/>
    <cellStyle name="Note 2 14 7 2 2" xfId="13642"/>
    <cellStyle name="Note 2 14 7 3" xfId="13643"/>
    <cellStyle name="Note 2 14 7 3 2" xfId="13644"/>
    <cellStyle name="Note 2 14 7 4" xfId="13645"/>
    <cellStyle name="Note 2 14 7 4 2" xfId="13646"/>
    <cellStyle name="Note 2 14 7 5" xfId="13647"/>
    <cellStyle name="Note 2 14 8" xfId="13648"/>
    <cellStyle name="Note 2 14 8 2" xfId="13649"/>
    <cellStyle name="Note 2 14 8 2 2" xfId="13650"/>
    <cellStyle name="Note 2 14 8 3" xfId="13651"/>
    <cellStyle name="Note 2 14 8 3 2" xfId="13652"/>
    <cellStyle name="Note 2 14 8 4" xfId="13653"/>
    <cellStyle name="Note 2 14 8 4 2" xfId="13654"/>
    <cellStyle name="Note 2 14 8 5" xfId="13655"/>
    <cellStyle name="Note 2 14 9" xfId="13656"/>
    <cellStyle name="Note 2 14 9 2" xfId="13657"/>
    <cellStyle name="Note 2 14 9 2 2" xfId="13658"/>
    <cellStyle name="Note 2 14 9 3" xfId="13659"/>
    <cellStyle name="Note 2 14 9 3 2" xfId="13660"/>
    <cellStyle name="Note 2 14 9 4" xfId="13661"/>
    <cellStyle name="Note 2 14 9 4 2" xfId="13662"/>
    <cellStyle name="Note 2 14 9 5" xfId="13663"/>
    <cellStyle name="Note 2 15" xfId="13664"/>
    <cellStyle name="Note 2 15 10" xfId="13665"/>
    <cellStyle name="Note 2 15 10 2" xfId="13666"/>
    <cellStyle name="Note 2 15 10 2 2" xfId="13667"/>
    <cellStyle name="Note 2 15 10 3" xfId="13668"/>
    <cellStyle name="Note 2 15 10 3 2" xfId="13669"/>
    <cellStyle name="Note 2 15 10 4" xfId="13670"/>
    <cellStyle name="Note 2 15 10 4 2" xfId="13671"/>
    <cellStyle name="Note 2 15 10 5" xfId="13672"/>
    <cellStyle name="Note 2 15 11" xfId="13673"/>
    <cellStyle name="Note 2 15 11 2" xfId="13674"/>
    <cellStyle name="Note 2 15 11 2 2" xfId="13675"/>
    <cellStyle name="Note 2 15 11 3" xfId="13676"/>
    <cellStyle name="Note 2 15 11 3 2" xfId="13677"/>
    <cellStyle name="Note 2 15 11 4" xfId="13678"/>
    <cellStyle name="Note 2 15 11 4 2" xfId="13679"/>
    <cellStyle name="Note 2 15 11 5" xfId="13680"/>
    <cellStyle name="Note 2 15 12" xfId="13681"/>
    <cellStyle name="Note 2 15 12 2" xfId="13682"/>
    <cellStyle name="Note 2 15 12 2 2" xfId="13683"/>
    <cellStyle name="Note 2 15 12 3" xfId="13684"/>
    <cellStyle name="Note 2 15 12 3 2" xfId="13685"/>
    <cellStyle name="Note 2 15 12 4" xfId="13686"/>
    <cellStyle name="Note 2 15 12 4 2" xfId="13687"/>
    <cellStyle name="Note 2 15 12 5" xfId="13688"/>
    <cellStyle name="Note 2 15 13" xfId="13689"/>
    <cellStyle name="Note 2 15 13 2" xfId="13690"/>
    <cellStyle name="Note 2 15 13 2 2" xfId="13691"/>
    <cellStyle name="Note 2 15 13 3" xfId="13692"/>
    <cellStyle name="Note 2 15 13 3 2" xfId="13693"/>
    <cellStyle name="Note 2 15 13 4" xfId="13694"/>
    <cellStyle name="Note 2 15 13 4 2" xfId="13695"/>
    <cellStyle name="Note 2 15 13 5" xfId="13696"/>
    <cellStyle name="Note 2 15 14" xfId="13697"/>
    <cellStyle name="Note 2 15 14 2" xfId="13698"/>
    <cellStyle name="Note 2 15 14 2 2" xfId="13699"/>
    <cellStyle name="Note 2 15 14 3" xfId="13700"/>
    <cellStyle name="Note 2 15 14 3 2" xfId="13701"/>
    <cellStyle name="Note 2 15 14 4" xfId="13702"/>
    <cellStyle name="Note 2 15 14 4 2" xfId="13703"/>
    <cellStyle name="Note 2 15 14 5" xfId="13704"/>
    <cellStyle name="Note 2 15 15" xfId="13705"/>
    <cellStyle name="Note 2 15 15 2" xfId="13706"/>
    <cellStyle name="Note 2 15 15 2 2" xfId="13707"/>
    <cellStyle name="Note 2 15 15 3" xfId="13708"/>
    <cellStyle name="Note 2 15 15 3 2" xfId="13709"/>
    <cellStyle name="Note 2 15 15 4" xfId="13710"/>
    <cellStyle name="Note 2 15 15 4 2" xfId="13711"/>
    <cellStyle name="Note 2 15 15 5" xfId="13712"/>
    <cellStyle name="Note 2 15 16" xfId="13713"/>
    <cellStyle name="Note 2 15 16 2" xfId="13714"/>
    <cellStyle name="Note 2 15 16 2 2" xfId="13715"/>
    <cellStyle name="Note 2 15 16 3" xfId="13716"/>
    <cellStyle name="Note 2 15 16 3 2" xfId="13717"/>
    <cellStyle name="Note 2 15 16 4" xfId="13718"/>
    <cellStyle name="Note 2 15 16 4 2" xfId="13719"/>
    <cellStyle name="Note 2 15 16 5" xfId="13720"/>
    <cellStyle name="Note 2 15 17" xfId="13721"/>
    <cellStyle name="Note 2 15 17 2" xfId="13722"/>
    <cellStyle name="Note 2 15 17 2 2" xfId="13723"/>
    <cellStyle name="Note 2 15 17 3" xfId="13724"/>
    <cellStyle name="Note 2 15 17 3 2" xfId="13725"/>
    <cellStyle name="Note 2 15 17 4" xfId="13726"/>
    <cellStyle name="Note 2 15 17 4 2" xfId="13727"/>
    <cellStyle name="Note 2 15 17 5" xfId="13728"/>
    <cellStyle name="Note 2 15 18" xfId="13729"/>
    <cellStyle name="Note 2 15 18 2" xfId="13730"/>
    <cellStyle name="Note 2 15 18 2 2" xfId="13731"/>
    <cellStyle name="Note 2 15 18 3" xfId="13732"/>
    <cellStyle name="Note 2 15 18 3 2" xfId="13733"/>
    <cellStyle name="Note 2 15 18 4" xfId="13734"/>
    <cellStyle name="Note 2 15 18 4 2" xfId="13735"/>
    <cellStyle name="Note 2 15 18 5" xfId="13736"/>
    <cellStyle name="Note 2 15 19" xfId="13737"/>
    <cellStyle name="Note 2 15 19 10" xfId="13738"/>
    <cellStyle name="Note 2 15 19 11" xfId="13739"/>
    <cellStyle name="Note 2 15 19 2" xfId="13740"/>
    <cellStyle name="Note 2 15 19 2 2" xfId="13741"/>
    <cellStyle name="Note 2 15 19 2 3" xfId="13742"/>
    <cellStyle name="Note 2 15 19 2 4" xfId="13743"/>
    <cellStyle name="Note 2 15 19 2 5" xfId="13744"/>
    <cellStyle name="Note 2 15 19 2 6" xfId="13745"/>
    <cellStyle name="Note 2 15 19 3" xfId="13746"/>
    <cellStyle name="Note 2 15 19 3 2" xfId="13747"/>
    <cellStyle name="Note 2 15 19 4" xfId="13748"/>
    <cellStyle name="Note 2 15 19 4 2" xfId="13749"/>
    <cellStyle name="Note 2 15 19 5" xfId="13750"/>
    <cellStyle name="Note 2 15 19 5 2" xfId="13751"/>
    <cellStyle name="Note 2 15 19 6" xfId="13752"/>
    <cellStyle name="Note 2 15 19 6 2" xfId="13753"/>
    <cellStyle name="Note 2 15 19 7" xfId="13754"/>
    <cellStyle name="Note 2 15 19 7 2" xfId="13755"/>
    <cellStyle name="Note 2 15 19 8" xfId="13756"/>
    <cellStyle name="Note 2 15 19 9" xfId="13757"/>
    <cellStyle name="Note 2 15 2" xfId="13758"/>
    <cellStyle name="Note 2 15 2 10" xfId="13759"/>
    <cellStyle name="Note 2 15 2 10 2" xfId="13760"/>
    <cellStyle name="Note 2 15 2 11" xfId="13761"/>
    <cellStyle name="Note 2 15 2 11 2" xfId="13762"/>
    <cellStyle name="Note 2 15 2 12" xfId="13763"/>
    <cellStyle name="Note 2 15 2 12 2" xfId="13764"/>
    <cellStyle name="Note 2 15 2 13" xfId="13765"/>
    <cellStyle name="Note 2 15 2 13 2" xfId="13766"/>
    <cellStyle name="Note 2 15 2 14" xfId="13767"/>
    <cellStyle name="Note 2 15 2 14 2" xfId="13768"/>
    <cellStyle name="Note 2 15 2 15" xfId="13769"/>
    <cellStyle name="Note 2 15 2 15 2" xfId="13770"/>
    <cellStyle name="Note 2 15 2 16" xfId="13771"/>
    <cellStyle name="Note 2 15 2 16 2" xfId="13772"/>
    <cellStyle name="Note 2 15 2 17" xfId="13773"/>
    <cellStyle name="Note 2 15 2 17 2" xfId="13774"/>
    <cellStyle name="Note 2 15 2 18" xfId="13775"/>
    <cellStyle name="Note 2 15 2 18 2" xfId="13776"/>
    <cellStyle name="Note 2 15 2 19" xfId="13777"/>
    <cellStyle name="Note 2 15 2 19 2" xfId="13778"/>
    <cellStyle name="Note 2 15 2 2" xfId="13779"/>
    <cellStyle name="Note 2 15 2 2 2" xfId="13780"/>
    <cellStyle name="Note 2 15 2 2 3" xfId="13781"/>
    <cellStyle name="Note 2 15 2 20" xfId="13782"/>
    <cellStyle name="Note 2 15 2 20 2" xfId="13783"/>
    <cellStyle name="Note 2 15 2 21" xfId="13784"/>
    <cellStyle name="Note 2 15 2 21 2" xfId="13785"/>
    <cellStyle name="Note 2 15 2 22" xfId="13786"/>
    <cellStyle name="Note 2 15 2 22 2" xfId="13787"/>
    <cellStyle name="Note 2 15 2 23" xfId="13788"/>
    <cellStyle name="Note 2 15 2 23 2" xfId="13789"/>
    <cellStyle name="Note 2 15 2 24" xfId="13790"/>
    <cellStyle name="Note 2 15 2 24 2" xfId="13791"/>
    <cellStyle name="Note 2 15 2 25" xfId="13792"/>
    <cellStyle name="Note 2 15 2 25 2" xfId="13793"/>
    <cellStyle name="Note 2 15 2 26" xfId="13794"/>
    <cellStyle name="Note 2 15 2 26 2" xfId="13795"/>
    <cellStyle name="Note 2 15 2 27" xfId="13796"/>
    <cellStyle name="Note 2 15 2 27 2" xfId="13797"/>
    <cellStyle name="Note 2 15 2 28" xfId="13798"/>
    <cellStyle name="Note 2 15 2 28 2" xfId="13799"/>
    <cellStyle name="Note 2 15 2 29" xfId="13800"/>
    <cellStyle name="Note 2 15 2 29 2" xfId="13801"/>
    <cellStyle name="Note 2 15 2 3" xfId="13802"/>
    <cellStyle name="Note 2 15 2 3 2" xfId="13803"/>
    <cellStyle name="Note 2 15 2 3 3" xfId="13804"/>
    <cellStyle name="Note 2 15 2 30" xfId="13805"/>
    <cellStyle name="Note 2 15 2 30 2" xfId="13806"/>
    <cellStyle name="Note 2 15 2 31" xfId="13807"/>
    <cellStyle name="Note 2 15 2 4" xfId="13808"/>
    <cellStyle name="Note 2 15 2 4 2" xfId="13809"/>
    <cellStyle name="Note 2 15 2 5" xfId="13810"/>
    <cellStyle name="Note 2 15 2 5 2" xfId="13811"/>
    <cellStyle name="Note 2 15 2 6" xfId="13812"/>
    <cellStyle name="Note 2 15 2 6 2" xfId="13813"/>
    <cellStyle name="Note 2 15 2 7" xfId="13814"/>
    <cellStyle name="Note 2 15 2 7 2" xfId="13815"/>
    <cellStyle name="Note 2 15 2 8" xfId="13816"/>
    <cellStyle name="Note 2 15 2 8 2" xfId="13817"/>
    <cellStyle name="Note 2 15 2 9" xfId="13818"/>
    <cellStyle name="Note 2 15 2 9 2" xfId="13819"/>
    <cellStyle name="Note 2 15 20" xfId="13820"/>
    <cellStyle name="Note 2 15 20 2" xfId="13821"/>
    <cellStyle name="Note 2 15 21" xfId="13822"/>
    <cellStyle name="Note 2 15 21 2" xfId="13823"/>
    <cellStyle name="Note 2 15 22" xfId="13824"/>
    <cellStyle name="Note 2 15 22 2" xfId="13825"/>
    <cellStyle name="Note 2 15 23" xfId="13826"/>
    <cellStyle name="Note 2 15 23 2" xfId="13827"/>
    <cellStyle name="Note 2 15 24" xfId="13828"/>
    <cellStyle name="Note 2 15 24 2" xfId="13829"/>
    <cellStyle name="Note 2 15 25" xfId="13830"/>
    <cellStyle name="Note 2 15 25 2" xfId="13831"/>
    <cellStyle name="Note 2 15 26" xfId="13832"/>
    <cellStyle name="Note 2 15 26 2" xfId="13833"/>
    <cellStyle name="Note 2 15 27" xfId="13834"/>
    <cellStyle name="Note 2 15 27 2" xfId="13835"/>
    <cellStyle name="Note 2 15 28" xfId="13836"/>
    <cellStyle name="Note 2 15 28 2" xfId="13837"/>
    <cellStyle name="Note 2 15 29" xfId="13838"/>
    <cellStyle name="Note 2 15 29 2" xfId="13839"/>
    <cellStyle name="Note 2 15 3" xfId="13840"/>
    <cellStyle name="Note 2 15 3 2" xfId="13841"/>
    <cellStyle name="Note 2 15 3 2 2" xfId="13842"/>
    <cellStyle name="Note 2 15 3 3" xfId="13843"/>
    <cellStyle name="Note 2 15 3 3 2" xfId="13844"/>
    <cellStyle name="Note 2 15 3 4" xfId="13845"/>
    <cellStyle name="Note 2 15 3 4 2" xfId="13846"/>
    <cellStyle name="Note 2 15 3 5" xfId="13847"/>
    <cellStyle name="Note 2 15 30" xfId="13848"/>
    <cellStyle name="Note 2 15 30 2" xfId="13849"/>
    <cellStyle name="Note 2 15 31" xfId="13850"/>
    <cellStyle name="Note 2 15 31 2" xfId="13851"/>
    <cellStyle name="Note 2 15 32" xfId="13852"/>
    <cellStyle name="Note 2 15 32 2" xfId="13853"/>
    <cellStyle name="Note 2 15 33" xfId="13854"/>
    <cellStyle name="Note 2 15 33 2" xfId="13855"/>
    <cellStyle name="Note 2 15 34" xfId="13856"/>
    <cellStyle name="Note 2 15 34 2" xfId="13857"/>
    <cellStyle name="Note 2 15 35" xfId="13858"/>
    <cellStyle name="Note 2 15 35 2" xfId="13859"/>
    <cellStyle name="Note 2 15 36" xfId="13860"/>
    <cellStyle name="Note 2 15 36 2" xfId="13861"/>
    <cellStyle name="Note 2 15 37" xfId="13862"/>
    <cellStyle name="Note 2 15 37 2" xfId="13863"/>
    <cellStyle name="Note 2 15 38" xfId="13864"/>
    <cellStyle name="Note 2 15 38 2" xfId="13865"/>
    <cellStyle name="Note 2 15 39" xfId="13866"/>
    <cellStyle name="Note 2 15 39 2" xfId="13867"/>
    <cellStyle name="Note 2 15 4" xfId="13868"/>
    <cellStyle name="Note 2 15 4 10" xfId="13869"/>
    <cellStyle name="Note 2 15 4 11" xfId="13870"/>
    <cellStyle name="Note 2 15 4 12" xfId="13871"/>
    <cellStyle name="Note 2 15 4 13" xfId="13872"/>
    <cellStyle name="Note 2 15 4 2" xfId="13873"/>
    <cellStyle name="Note 2 15 4 2 2" xfId="13874"/>
    <cellStyle name="Note 2 15 4 2 3" xfId="13875"/>
    <cellStyle name="Note 2 15 4 3" xfId="13876"/>
    <cellStyle name="Note 2 15 4 3 2" xfId="13877"/>
    <cellStyle name="Note 2 15 4 4" xfId="13878"/>
    <cellStyle name="Note 2 15 4 4 2" xfId="13879"/>
    <cellStyle name="Note 2 15 4 5" xfId="13880"/>
    <cellStyle name="Note 2 15 4 5 2" xfId="13881"/>
    <cellStyle name="Note 2 15 4 5 3" xfId="13882"/>
    <cellStyle name="Note 2 15 4 5 4" xfId="13883"/>
    <cellStyle name="Note 2 15 4 5 5" xfId="13884"/>
    <cellStyle name="Note 2 15 4 5 6" xfId="13885"/>
    <cellStyle name="Note 2 15 4 6" xfId="13886"/>
    <cellStyle name="Note 2 15 4 6 2" xfId="13887"/>
    <cellStyle name="Note 2 15 4 7" xfId="13888"/>
    <cellStyle name="Note 2 15 4 7 2" xfId="13889"/>
    <cellStyle name="Note 2 15 4 8" xfId="13890"/>
    <cellStyle name="Note 2 15 4 8 2" xfId="13891"/>
    <cellStyle name="Note 2 15 4 9" xfId="13892"/>
    <cellStyle name="Note 2 15 4 9 2" xfId="13893"/>
    <cellStyle name="Note 2 15 40" xfId="13894"/>
    <cellStyle name="Note 2 15 40 2" xfId="13895"/>
    <cellStyle name="Note 2 15 41" xfId="13896"/>
    <cellStyle name="Note 2 15 41 2" xfId="13897"/>
    <cellStyle name="Note 2 15 42" xfId="13898"/>
    <cellStyle name="Note 2 15 42 2" xfId="13899"/>
    <cellStyle name="Note 2 15 43" xfId="13900"/>
    <cellStyle name="Note 2 15 43 2" xfId="13901"/>
    <cellStyle name="Note 2 15 44" xfId="13902"/>
    <cellStyle name="Note 2 15 44 2" xfId="13903"/>
    <cellStyle name="Note 2 15 45" xfId="13904"/>
    <cellStyle name="Note 2 15 45 2" xfId="13905"/>
    <cellStyle name="Note 2 15 46" xfId="13906"/>
    <cellStyle name="Note 2 15 46 2" xfId="13907"/>
    <cellStyle name="Note 2 15 47" xfId="13908"/>
    <cellStyle name="Note 2 15 47 2" xfId="13909"/>
    <cellStyle name="Note 2 15 48" xfId="13910"/>
    <cellStyle name="Note 2 15 48 2" xfId="13911"/>
    <cellStyle name="Note 2 15 49" xfId="13912"/>
    <cellStyle name="Note 2 15 49 2" xfId="13913"/>
    <cellStyle name="Note 2 15 5" xfId="13914"/>
    <cellStyle name="Note 2 15 5 2" xfId="13915"/>
    <cellStyle name="Note 2 15 5 2 2" xfId="13916"/>
    <cellStyle name="Note 2 15 5 3" xfId="13917"/>
    <cellStyle name="Note 2 15 5 3 2" xfId="13918"/>
    <cellStyle name="Note 2 15 5 4" xfId="13919"/>
    <cellStyle name="Note 2 15 5 4 2" xfId="13920"/>
    <cellStyle name="Note 2 15 5 5" xfId="13921"/>
    <cellStyle name="Note 2 15 50" xfId="13922"/>
    <cellStyle name="Note 2 15 50 2" xfId="13923"/>
    <cellStyle name="Note 2 15 51" xfId="13924"/>
    <cellStyle name="Note 2 15 51 2" xfId="13925"/>
    <cellStyle name="Note 2 15 52" xfId="13926"/>
    <cellStyle name="Note 2 15 52 2" xfId="13927"/>
    <cellStyle name="Note 2 15 53" xfId="13928"/>
    <cellStyle name="Note 2 15 53 2" xfId="13929"/>
    <cellStyle name="Note 2 15 54" xfId="13930"/>
    <cellStyle name="Note 2 15 54 2" xfId="13931"/>
    <cellStyle name="Note 2 15 55" xfId="13932"/>
    <cellStyle name="Note 2 15 55 2" xfId="13933"/>
    <cellStyle name="Note 2 15 56" xfId="13934"/>
    <cellStyle name="Note 2 15 56 2" xfId="13935"/>
    <cellStyle name="Note 2 15 57" xfId="13936"/>
    <cellStyle name="Note 2 15 57 2" xfId="13937"/>
    <cellStyle name="Note 2 15 58" xfId="13938"/>
    <cellStyle name="Note 2 15 58 2" xfId="13939"/>
    <cellStyle name="Note 2 15 59" xfId="13940"/>
    <cellStyle name="Note 2 15 59 2" xfId="13941"/>
    <cellStyle name="Note 2 15 6" xfId="13942"/>
    <cellStyle name="Note 2 15 6 2" xfId="13943"/>
    <cellStyle name="Note 2 15 6 2 2" xfId="13944"/>
    <cellStyle name="Note 2 15 6 3" xfId="13945"/>
    <cellStyle name="Note 2 15 6 3 2" xfId="13946"/>
    <cellStyle name="Note 2 15 6 4" xfId="13947"/>
    <cellStyle name="Note 2 15 6 4 2" xfId="13948"/>
    <cellStyle name="Note 2 15 6 5" xfId="13949"/>
    <cellStyle name="Note 2 15 60" xfId="13950"/>
    <cellStyle name="Note 2 15 60 2" xfId="13951"/>
    <cellStyle name="Note 2 15 61" xfId="13952"/>
    <cellStyle name="Note 2 15 61 2" xfId="13953"/>
    <cellStyle name="Note 2 15 61 3" xfId="13954"/>
    <cellStyle name="Note 2 15 61 4" xfId="13955"/>
    <cellStyle name="Note 2 15 61 5" xfId="13956"/>
    <cellStyle name="Note 2 15 61 6" xfId="13957"/>
    <cellStyle name="Note 2 15 62" xfId="13958"/>
    <cellStyle name="Note 2 15 62 2" xfId="13959"/>
    <cellStyle name="Note 2 15 63" xfId="13960"/>
    <cellStyle name="Note 2 15 63 2" xfId="13961"/>
    <cellStyle name="Note 2 15 64" xfId="13962"/>
    <cellStyle name="Note 2 15 64 2" xfId="13963"/>
    <cellStyle name="Note 2 15 65" xfId="13964"/>
    <cellStyle name="Note 2 15 65 2" xfId="13965"/>
    <cellStyle name="Note 2 15 66" xfId="13966"/>
    <cellStyle name="Note 2 15 67" xfId="13967"/>
    <cellStyle name="Note 2 15 68" xfId="13968"/>
    <cellStyle name="Note 2 15 69" xfId="13969"/>
    <cellStyle name="Note 2 15 7" xfId="13970"/>
    <cellStyle name="Note 2 15 7 2" xfId="13971"/>
    <cellStyle name="Note 2 15 7 2 2" xfId="13972"/>
    <cellStyle name="Note 2 15 7 3" xfId="13973"/>
    <cellStyle name="Note 2 15 7 3 2" xfId="13974"/>
    <cellStyle name="Note 2 15 7 4" xfId="13975"/>
    <cellStyle name="Note 2 15 7 4 2" xfId="13976"/>
    <cellStyle name="Note 2 15 7 5" xfId="13977"/>
    <cellStyle name="Note 2 15 8" xfId="13978"/>
    <cellStyle name="Note 2 15 8 2" xfId="13979"/>
    <cellStyle name="Note 2 15 8 2 2" xfId="13980"/>
    <cellStyle name="Note 2 15 8 3" xfId="13981"/>
    <cellStyle name="Note 2 15 8 3 2" xfId="13982"/>
    <cellStyle name="Note 2 15 8 4" xfId="13983"/>
    <cellStyle name="Note 2 15 8 4 2" xfId="13984"/>
    <cellStyle name="Note 2 15 8 5" xfId="13985"/>
    <cellStyle name="Note 2 15 9" xfId="13986"/>
    <cellStyle name="Note 2 15 9 2" xfId="13987"/>
    <cellStyle name="Note 2 15 9 2 2" xfId="13988"/>
    <cellStyle name="Note 2 15 9 3" xfId="13989"/>
    <cellStyle name="Note 2 15 9 3 2" xfId="13990"/>
    <cellStyle name="Note 2 15 9 4" xfId="13991"/>
    <cellStyle name="Note 2 15 9 4 2" xfId="13992"/>
    <cellStyle name="Note 2 15 9 5" xfId="13993"/>
    <cellStyle name="Note 2 16" xfId="13994"/>
    <cellStyle name="Note 2 16 10" xfId="13995"/>
    <cellStyle name="Note 2 16 10 2" xfId="13996"/>
    <cellStyle name="Note 2 16 10 2 2" xfId="13997"/>
    <cellStyle name="Note 2 16 10 3" xfId="13998"/>
    <cellStyle name="Note 2 16 10 3 2" xfId="13999"/>
    <cellStyle name="Note 2 16 10 4" xfId="14000"/>
    <cellStyle name="Note 2 16 10 4 2" xfId="14001"/>
    <cellStyle name="Note 2 16 10 5" xfId="14002"/>
    <cellStyle name="Note 2 16 11" xfId="14003"/>
    <cellStyle name="Note 2 16 11 2" xfId="14004"/>
    <cellStyle name="Note 2 16 11 2 2" xfId="14005"/>
    <cellStyle name="Note 2 16 11 3" xfId="14006"/>
    <cellStyle name="Note 2 16 11 3 2" xfId="14007"/>
    <cellStyle name="Note 2 16 11 4" xfId="14008"/>
    <cellStyle name="Note 2 16 11 4 2" xfId="14009"/>
    <cellStyle name="Note 2 16 11 5" xfId="14010"/>
    <cellStyle name="Note 2 16 12" xfId="14011"/>
    <cellStyle name="Note 2 16 12 2" xfId="14012"/>
    <cellStyle name="Note 2 16 12 2 2" xfId="14013"/>
    <cellStyle name="Note 2 16 12 3" xfId="14014"/>
    <cellStyle name="Note 2 16 12 3 2" xfId="14015"/>
    <cellStyle name="Note 2 16 12 4" xfId="14016"/>
    <cellStyle name="Note 2 16 12 4 2" xfId="14017"/>
    <cellStyle name="Note 2 16 12 5" xfId="14018"/>
    <cellStyle name="Note 2 16 13" xfId="14019"/>
    <cellStyle name="Note 2 16 13 2" xfId="14020"/>
    <cellStyle name="Note 2 16 13 2 2" xfId="14021"/>
    <cellStyle name="Note 2 16 13 3" xfId="14022"/>
    <cellStyle name="Note 2 16 13 3 2" xfId="14023"/>
    <cellStyle name="Note 2 16 13 4" xfId="14024"/>
    <cellStyle name="Note 2 16 13 4 2" xfId="14025"/>
    <cellStyle name="Note 2 16 13 5" xfId="14026"/>
    <cellStyle name="Note 2 16 14" xfId="14027"/>
    <cellStyle name="Note 2 16 14 2" xfId="14028"/>
    <cellStyle name="Note 2 16 14 2 2" xfId="14029"/>
    <cellStyle name="Note 2 16 14 3" xfId="14030"/>
    <cellStyle name="Note 2 16 14 3 2" xfId="14031"/>
    <cellStyle name="Note 2 16 14 4" xfId="14032"/>
    <cellStyle name="Note 2 16 14 4 2" xfId="14033"/>
    <cellStyle name="Note 2 16 14 5" xfId="14034"/>
    <cellStyle name="Note 2 16 15" xfId="14035"/>
    <cellStyle name="Note 2 16 15 2" xfId="14036"/>
    <cellStyle name="Note 2 16 15 2 2" xfId="14037"/>
    <cellStyle name="Note 2 16 15 3" xfId="14038"/>
    <cellStyle name="Note 2 16 15 3 2" xfId="14039"/>
    <cellStyle name="Note 2 16 15 4" xfId="14040"/>
    <cellStyle name="Note 2 16 15 4 2" xfId="14041"/>
    <cellStyle name="Note 2 16 15 5" xfId="14042"/>
    <cellStyle name="Note 2 16 16" xfId="14043"/>
    <cellStyle name="Note 2 16 16 2" xfId="14044"/>
    <cellStyle name="Note 2 16 16 2 2" xfId="14045"/>
    <cellStyle name="Note 2 16 16 3" xfId="14046"/>
    <cellStyle name="Note 2 16 16 3 2" xfId="14047"/>
    <cellStyle name="Note 2 16 16 4" xfId="14048"/>
    <cellStyle name="Note 2 16 16 4 2" xfId="14049"/>
    <cellStyle name="Note 2 16 16 5" xfId="14050"/>
    <cellStyle name="Note 2 16 17" xfId="14051"/>
    <cellStyle name="Note 2 16 17 2" xfId="14052"/>
    <cellStyle name="Note 2 16 17 2 2" xfId="14053"/>
    <cellStyle name="Note 2 16 17 3" xfId="14054"/>
    <cellStyle name="Note 2 16 17 3 2" xfId="14055"/>
    <cellStyle name="Note 2 16 17 4" xfId="14056"/>
    <cellStyle name="Note 2 16 17 4 2" xfId="14057"/>
    <cellStyle name="Note 2 16 17 5" xfId="14058"/>
    <cellStyle name="Note 2 16 18" xfId="14059"/>
    <cellStyle name="Note 2 16 18 2" xfId="14060"/>
    <cellStyle name="Note 2 16 18 2 2" xfId="14061"/>
    <cellStyle name="Note 2 16 18 3" xfId="14062"/>
    <cellStyle name="Note 2 16 18 3 2" xfId="14063"/>
    <cellStyle name="Note 2 16 18 4" xfId="14064"/>
    <cellStyle name="Note 2 16 18 4 2" xfId="14065"/>
    <cellStyle name="Note 2 16 18 5" xfId="14066"/>
    <cellStyle name="Note 2 16 19" xfId="14067"/>
    <cellStyle name="Note 2 16 19 10" xfId="14068"/>
    <cellStyle name="Note 2 16 19 11" xfId="14069"/>
    <cellStyle name="Note 2 16 19 2" xfId="14070"/>
    <cellStyle name="Note 2 16 19 2 2" xfId="14071"/>
    <cellStyle name="Note 2 16 19 2 3" xfId="14072"/>
    <cellStyle name="Note 2 16 19 2 4" xfId="14073"/>
    <cellStyle name="Note 2 16 19 2 5" xfId="14074"/>
    <cellStyle name="Note 2 16 19 2 6" xfId="14075"/>
    <cellStyle name="Note 2 16 19 3" xfId="14076"/>
    <cellStyle name="Note 2 16 19 3 2" xfId="14077"/>
    <cellStyle name="Note 2 16 19 4" xfId="14078"/>
    <cellStyle name="Note 2 16 19 4 2" xfId="14079"/>
    <cellStyle name="Note 2 16 19 5" xfId="14080"/>
    <cellStyle name="Note 2 16 19 5 2" xfId="14081"/>
    <cellStyle name="Note 2 16 19 6" xfId="14082"/>
    <cellStyle name="Note 2 16 19 6 2" xfId="14083"/>
    <cellStyle name="Note 2 16 19 7" xfId="14084"/>
    <cellStyle name="Note 2 16 19 7 2" xfId="14085"/>
    <cellStyle name="Note 2 16 19 8" xfId="14086"/>
    <cellStyle name="Note 2 16 19 9" xfId="14087"/>
    <cellStyle name="Note 2 16 2" xfId="14088"/>
    <cellStyle name="Note 2 16 2 10" xfId="14089"/>
    <cellStyle name="Note 2 16 2 10 2" xfId="14090"/>
    <cellStyle name="Note 2 16 2 11" xfId="14091"/>
    <cellStyle name="Note 2 16 2 11 2" xfId="14092"/>
    <cellStyle name="Note 2 16 2 12" xfId="14093"/>
    <cellStyle name="Note 2 16 2 12 2" xfId="14094"/>
    <cellStyle name="Note 2 16 2 13" xfId="14095"/>
    <cellStyle name="Note 2 16 2 13 2" xfId="14096"/>
    <cellStyle name="Note 2 16 2 14" xfId="14097"/>
    <cellStyle name="Note 2 16 2 14 2" xfId="14098"/>
    <cellStyle name="Note 2 16 2 15" xfId="14099"/>
    <cellStyle name="Note 2 16 2 15 2" xfId="14100"/>
    <cellStyle name="Note 2 16 2 16" xfId="14101"/>
    <cellStyle name="Note 2 16 2 16 2" xfId="14102"/>
    <cellStyle name="Note 2 16 2 17" xfId="14103"/>
    <cellStyle name="Note 2 16 2 17 2" xfId="14104"/>
    <cellStyle name="Note 2 16 2 18" xfId="14105"/>
    <cellStyle name="Note 2 16 2 18 2" xfId="14106"/>
    <cellStyle name="Note 2 16 2 19" xfId="14107"/>
    <cellStyle name="Note 2 16 2 19 2" xfId="14108"/>
    <cellStyle name="Note 2 16 2 2" xfId="14109"/>
    <cellStyle name="Note 2 16 2 2 2" xfId="14110"/>
    <cellStyle name="Note 2 16 2 2 3" xfId="14111"/>
    <cellStyle name="Note 2 16 2 20" xfId="14112"/>
    <cellStyle name="Note 2 16 2 20 2" xfId="14113"/>
    <cellStyle name="Note 2 16 2 21" xfId="14114"/>
    <cellStyle name="Note 2 16 2 21 2" xfId="14115"/>
    <cellStyle name="Note 2 16 2 22" xfId="14116"/>
    <cellStyle name="Note 2 16 2 22 2" xfId="14117"/>
    <cellStyle name="Note 2 16 2 23" xfId="14118"/>
    <cellStyle name="Note 2 16 2 23 2" xfId="14119"/>
    <cellStyle name="Note 2 16 2 24" xfId="14120"/>
    <cellStyle name="Note 2 16 2 24 2" xfId="14121"/>
    <cellStyle name="Note 2 16 2 25" xfId="14122"/>
    <cellStyle name="Note 2 16 2 25 2" xfId="14123"/>
    <cellStyle name="Note 2 16 2 26" xfId="14124"/>
    <cellStyle name="Note 2 16 2 26 2" xfId="14125"/>
    <cellStyle name="Note 2 16 2 27" xfId="14126"/>
    <cellStyle name="Note 2 16 2 27 2" xfId="14127"/>
    <cellStyle name="Note 2 16 2 28" xfId="14128"/>
    <cellStyle name="Note 2 16 2 28 2" xfId="14129"/>
    <cellStyle name="Note 2 16 2 29" xfId="14130"/>
    <cellStyle name="Note 2 16 2 29 2" xfId="14131"/>
    <cellStyle name="Note 2 16 2 3" xfId="14132"/>
    <cellStyle name="Note 2 16 2 3 2" xfId="14133"/>
    <cellStyle name="Note 2 16 2 3 3" xfId="14134"/>
    <cellStyle name="Note 2 16 2 30" xfId="14135"/>
    <cellStyle name="Note 2 16 2 30 2" xfId="14136"/>
    <cellStyle name="Note 2 16 2 31" xfId="14137"/>
    <cellStyle name="Note 2 16 2 4" xfId="14138"/>
    <cellStyle name="Note 2 16 2 4 2" xfId="14139"/>
    <cellStyle name="Note 2 16 2 5" xfId="14140"/>
    <cellStyle name="Note 2 16 2 5 2" xfId="14141"/>
    <cellStyle name="Note 2 16 2 6" xfId="14142"/>
    <cellStyle name="Note 2 16 2 6 2" xfId="14143"/>
    <cellStyle name="Note 2 16 2 7" xfId="14144"/>
    <cellStyle name="Note 2 16 2 7 2" xfId="14145"/>
    <cellStyle name="Note 2 16 2 8" xfId="14146"/>
    <cellStyle name="Note 2 16 2 8 2" xfId="14147"/>
    <cellStyle name="Note 2 16 2 9" xfId="14148"/>
    <cellStyle name="Note 2 16 2 9 2" xfId="14149"/>
    <cellStyle name="Note 2 16 20" xfId="14150"/>
    <cellStyle name="Note 2 16 20 2" xfId="14151"/>
    <cellStyle name="Note 2 16 21" xfId="14152"/>
    <cellStyle name="Note 2 16 21 2" xfId="14153"/>
    <cellStyle name="Note 2 16 22" xfId="14154"/>
    <cellStyle name="Note 2 16 22 2" xfId="14155"/>
    <cellStyle name="Note 2 16 23" xfId="14156"/>
    <cellStyle name="Note 2 16 23 2" xfId="14157"/>
    <cellStyle name="Note 2 16 24" xfId="14158"/>
    <cellStyle name="Note 2 16 24 2" xfId="14159"/>
    <cellStyle name="Note 2 16 25" xfId="14160"/>
    <cellStyle name="Note 2 16 25 2" xfId="14161"/>
    <cellStyle name="Note 2 16 26" xfId="14162"/>
    <cellStyle name="Note 2 16 26 2" xfId="14163"/>
    <cellStyle name="Note 2 16 27" xfId="14164"/>
    <cellStyle name="Note 2 16 27 2" xfId="14165"/>
    <cellStyle name="Note 2 16 28" xfId="14166"/>
    <cellStyle name="Note 2 16 28 2" xfId="14167"/>
    <cellStyle name="Note 2 16 29" xfId="14168"/>
    <cellStyle name="Note 2 16 29 2" xfId="14169"/>
    <cellStyle name="Note 2 16 3" xfId="14170"/>
    <cellStyle name="Note 2 16 3 2" xfId="14171"/>
    <cellStyle name="Note 2 16 3 2 2" xfId="14172"/>
    <cellStyle name="Note 2 16 3 3" xfId="14173"/>
    <cellStyle name="Note 2 16 3 3 2" xfId="14174"/>
    <cellStyle name="Note 2 16 3 4" xfId="14175"/>
    <cellStyle name="Note 2 16 3 4 2" xfId="14176"/>
    <cellStyle name="Note 2 16 3 5" xfId="14177"/>
    <cellStyle name="Note 2 16 30" xfId="14178"/>
    <cellStyle name="Note 2 16 30 2" xfId="14179"/>
    <cellStyle name="Note 2 16 31" xfId="14180"/>
    <cellStyle name="Note 2 16 31 2" xfId="14181"/>
    <cellStyle name="Note 2 16 32" xfId="14182"/>
    <cellStyle name="Note 2 16 32 2" xfId="14183"/>
    <cellStyle name="Note 2 16 33" xfId="14184"/>
    <cellStyle name="Note 2 16 33 2" xfId="14185"/>
    <cellStyle name="Note 2 16 34" xfId="14186"/>
    <cellStyle name="Note 2 16 34 2" xfId="14187"/>
    <cellStyle name="Note 2 16 35" xfId="14188"/>
    <cellStyle name="Note 2 16 35 2" xfId="14189"/>
    <cellStyle name="Note 2 16 36" xfId="14190"/>
    <cellStyle name="Note 2 16 36 2" xfId="14191"/>
    <cellStyle name="Note 2 16 37" xfId="14192"/>
    <cellStyle name="Note 2 16 37 2" xfId="14193"/>
    <cellStyle name="Note 2 16 38" xfId="14194"/>
    <cellStyle name="Note 2 16 38 2" xfId="14195"/>
    <cellStyle name="Note 2 16 39" xfId="14196"/>
    <cellStyle name="Note 2 16 39 2" xfId="14197"/>
    <cellStyle name="Note 2 16 4" xfId="14198"/>
    <cellStyle name="Note 2 16 4 10" xfId="14199"/>
    <cellStyle name="Note 2 16 4 11" xfId="14200"/>
    <cellStyle name="Note 2 16 4 12" xfId="14201"/>
    <cellStyle name="Note 2 16 4 13" xfId="14202"/>
    <cellStyle name="Note 2 16 4 2" xfId="14203"/>
    <cellStyle name="Note 2 16 4 2 2" xfId="14204"/>
    <cellStyle name="Note 2 16 4 2 3" xfId="14205"/>
    <cellStyle name="Note 2 16 4 3" xfId="14206"/>
    <cellStyle name="Note 2 16 4 3 2" xfId="14207"/>
    <cellStyle name="Note 2 16 4 4" xfId="14208"/>
    <cellStyle name="Note 2 16 4 4 2" xfId="14209"/>
    <cellStyle name="Note 2 16 4 5" xfId="14210"/>
    <cellStyle name="Note 2 16 4 5 2" xfId="14211"/>
    <cellStyle name="Note 2 16 4 5 3" xfId="14212"/>
    <cellStyle name="Note 2 16 4 5 4" xfId="14213"/>
    <cellStyle name="Note 2 16 4 5 5" xfId="14214"/>
    <cellStyle name="Note 2 16 4 5 6" xfId="14215"/>
    <cellStyle name="Note 2 16 4 6" xfId="14216"/>
    <cellStyle name="Note 2 16 4 6 2" xfId="14217"/>
    <cellStyle name="Note 2 16 4 7" xfId="14218"/>
    <cellStyle name="Note 2 16 4 7 2" xfId="14219"/>
    <cellStyle name="Note 2 16 4 8" xfId="14220"/>
    <cellStyle name="Note 2 16 4 8 2" xfId="14221"/>
    <cellStyle name="Note 2 16 4 9" xfId="14222"/>
    <cellStyle name="Note 2 16 4 9 2" xfId="14223"/>
    <cellStyle name="Note 2 16 40" xfId="14224"/>
    <cellStyle name="Note 2 16 40 2" xfId="14225"/>
    <cellStyle name="Note 2 16 41" xfId="14226"/>
    <cellStyle name="Note 2 16 41 2" xfId="14227"/>
    <cellStyle name="Note 2 16 42" xfId="14228"/>
    <cellStyle name="Note 2 16 42 2" xfId="14229"/>
    <cellStyle name="Note 2 16 43" xfId="14230"/>
    <cellStyle name="Note 2 16 43 2" xfId="14231"/>
    <cellStyle name="Note 2 16 44" xfId="14232"/>
    <cellStyle name="Note 2 16 44 2" xfId="14233"/>
    <cellStyle name="Note 2 16 45" xfId="14234"/>
    <cellStyle name="Note 2 16 45 2" xfId="14235"/>
    <cellStyle name="Note 2 16 46" xfId="14236"/>
    <cellStyle name="Note 2 16 46 2" xfId="14237"/>
    <cellStyle name="Note 2 16 47" xfId="14238"/>
    <cellStyle name="Note 2 16 47 2" xfId="14239"/>
    <cellStyle name="Note 2 16 48" xfId="14240"/>
    <cellStyle name="Note 2 16 48 2" xfId="14241"/>
    <cellStyle name="Note 2 16 49" xfId="14242"/>
    <cellStyle name="Note 2 16 49 2" xfId="14243"/>
    <cellStyle name="Note 2 16 5" xfId="14244"/>
    <cellStyle name="Note 2 16 5 2" xfId="14245"/>
    <cellStyle name="Note 2 16 5 2 2" xfId="14246"/>
    <cellStyle name="Note 2 16 5 3" xfId="14247"/>
    <cellStyle name="Note 2 16 5 3 2" xfId="14248"/>
    <cellStyle name="Note 2 16 5 4" xfId="14249"/>
    <cellStyle name="Note 2 16 5 4 2" xfId="14250"/>
    <cellStyle name="Note 2 16 5 5" xfId="14251"/>
    <cellStyle name="Note 2 16 50" xfId="14252"/>
    <cellStyle name="Note 2 16 50 2" xfId="14253"/>
    <cellStyle name="Note 2 16 51" xfId="14254"/>
    <cellStyle name="Note 2 16 51 2" xfId="14255"/>
    <cellStyle name="Note 2 16 52" xfId="14256"/>
    <cellStyle name="Note 2 16 52 2" xfId="14257"/>
    <cellStyle name="Note 2 16 53" xfId="14258"/>
    <cellStyle name="Note 2 16 53 2" xfId="14259"/>
    <cellStyle name="Note 2 16 54" xfId="14260"/>
    <cellStyle name="Note 2 16 54 2" xfId="14261"/>
    <cellStyle name="Note 2 16 55" xfId="14262"/>
    <cellStyle name="Note 2 16 55 2" xfId="14263"/>
    <cellStyle name="Note 2 16 56" xfId="14264"/>
    <cellStyle name="Note 2 16 56 2" xfId="14265"/>
    <cellStyle name="Note 2 16 57" xfId="14266"/>
    <cellStyle name="Note 2 16 57 2" xfId="14267"/>
    <cellStyle name="Note 2 16 58" xfId="14268"/>
    <cellStyle name="Note 2 16 58 2" xfId="14269"/>
    <cellStyle name="Note 2 16 59" xfId="14270"/>
    <cellStyle name="Note 2 16 59 2" xfId="14271"/>
    <cellStyle name="Note 2 16 6" xfId="14272"/>
    <cellStyle name="Note 2 16 6 2" xfId="14273"/>
    <cellStyle name="Note 2 16 6 2 2" xfId="14274"/>
    <cellStyle name="Note 2 16 6 3" xfId="14275"/>
    <cellStyle name="Note 2 16 6 3 2" xfId="14276"/>
    <cellStyle name="Note 2 16 6 4" xfId="14277"/>
    <cellStyle name="Note 2 16 6 4 2" xfId="14278"/>
    <cellStyle name="Note 2 16 6 5" xfId="14279"/>
    <cellStyle name="Note 2 16 60" xfId="14280"/>
    <cellStyle name="Note 2 16 60 2" xfId="14281"/>
    <cellStyle name="Note 2 16 61" xfId="14282"/>
    <cellStyle name="Note 2 16 61 2" xfId="14283"/>
    <cellStyle name="Note 2 16 61 3" xfId="14284"/>
    <cellStyle name="Note 2 16 61 4" xfId="14285"/>
    <cellStyle name="Note 2 16 61 5" xfId="14286"/>
    <cellStyle name="Note 2 16 61 6" xfId="14287"/>
    <cellStyle name="Note 2 16 62" xfId="14288"/>
    <cellStyle name="Note 2 16 62 2" xfId="14289"/>
    <cellStyle name="Note 2 16 63" xfId="14290"/>
    <cellStyle name="Note 2 16 63 2" xfId="14291"/>
    <cellStyle name="Note 2 16 64" xfId="14292"/>
    <cellStyle name="Note 2 16 64 2" xfId="14293"/>
    <cellStyle name="Note 2 16 65" xfId="14294"/>
    <cellStyle name="Note 2 16 65 2" xfId="14295"/>
    <cellStyle name="Note 2 16 66" xfId="14296"/>
    <cellStyle name="Note 2 16 67" xfId="14297"/>
    <cellStyle name="Note 2 16 68" xfId="14298"/>
    <cellStyle name="Note 2 16 69" xfId="14299"/>
    <cellStyle name="Note 2 16 7" xfId="14300"/>
    <cellStyle name="Note 2 16 7 2" xfId="14301"/>
    <cellStyle name="Note 2 16 7 2 2" xfId="14302"/>
    <cellStyle name="Note 2 16 7 3" xfId="14303"/>
    <cellStyle name="Note 2 16 7 3 2" xfId="14304"/>
    <cellStyle name="Note 2 16 7 4" xfId="14305"/>
    <cellStyle name="Note 2 16 7 4 2" xfId="14306"/>
    <cellStyle name="Note 2 16 7 5" xfId="14307"/>
    <cellStyle name="Note 2 16 8" xfId="14308"/>
    <cellStyle name="Note 2 16 8 2" xfId="14309"/>
    <cellStyle name="Note 2 16 8 2 2" xfId="14310"/>
    <cellStyle name="Note 2 16 8 3" xfId="14311"/>
    <cellStyle name="Note 2 16 8 3 2" xfId="14312"/>
    <cellStyle name="Note 2 16 8 4" xfId="14313"/>
    <cellStyle name="Note 2 16 8 4 2" xfId="14314"/>
    <cellStyle name="Note 2 16 8 5" xfId="14315"/>
    <cellStyle name="Note 2 16 9" xfId="14316"/>
    <cellStyle name="Note 2 16 9 2" xfId="14317"/>
    <cellStyle name="Note 2 16 9 2 2" xfId="14318"/>
    <cellStyle name="Note 2 16 9 3" xfId="14319"/>
    <cellStyle name="Note 2 16 9 3 2" xfId="14320"/>
    <cellStyle name="Note 2 16 9 4" xfId="14321"/>
    <cellStyle name="Note 2 16 9 4 2" xfId="14322"/>
    <cellStyle name="Note 2 16 9 5" xfId="14323"/>
    <cellStyle name="Note 2 17" xfId="14324"/>
    <cellStyle name="Note 2 17 10" xfId="14325"/>
    <cellStyle name="Note 2 17 10 2" xfId="14326"/>
    <cellStyle name="Note 2 17 10 2 2" xfId="14327"/>
    <cellStyle name="Note 2 17 10 3" xfId="14328"/>
    <cellStyle name="Note 2 17 10 3 2" xfId="14329"/>
    <cellStyle name="Note 2 17 10 4" xfId="14330"/>
    <cellStyle name="Note 2 17 10 4 2" xfId="14331"/>
    <cellStyle name="Note 2 17 10 5" xfId="14332"/>
    <cellStyle name="Note 2 17 11" xfId="14333"/>
    <cellStyle name="Note 2 17 11 2" xfId="14334"/>
    <cellStyle name="Note 2 17 11 2 2" xfId="14335"/>
    <cellStyle name="Note 2 17 11 3" xfId="14336"/>
    <cellStyle name="Note 2 17 11 3 2" xfId="14337"/>
    <cellStyle name="Note 2 17 11 4" xfId="14338"/>
    <cellStyle name="Note 2 17 11 4 2" xfId="14339"/>
    <cellStyle name="Note 2 17 11 5" xfId="14340"/>
    <cellStyle name="Note 2 17 12" xfId="14341"/>
    <cellStyle name="Note 2 17 12 2" xfId="14342"/>
    <cellStyle name="Note 2 17 12 2 2" xfId="14343"/>
    <cellStyle name="Note 2 17 12 3" xfId="14344"/>
    <cellStyle name="Note 2 17 12 3 2" xfId="14345"/>
    <cellStyle name="Note 2 17 12 4" xfId="14346"/>
    <cellStyle name="Note 2 17 12 4 2" xfId="14347"/>
    <cellStyle name="Note 2 17 12 5" xfId="14348"/>
    <cellStyle name="Note 2 17 13" xfId="14349"/>
    <cellStyle name="Note 2 17 13 2" xfId="14350"/>
    <cellStyle name="Note 2 17 13 2 2" xfId="14351"/>
    <cellStyle name="Note 2 17 13 3" xfId="14352"/>
    <cellStyle name="Note 2 17 13 3 2" xfId="14353"/>
    <cellStyle name="Note 2 17 13 4" xfId="14354"/>
    <cellStyle name="Note 2 17 13 4 2" xfId="14355"/>
    <cellStyle name="Note 2 17 13 5" xfId="14356"/>
    <cellStyle name="Note 2 17 14" xfId="14357"/>
    <cellStyle name="Note 2 17 14 2" xfId="14358"/>
    <cellStyle name="Note 2 17 14 2 2" xfId="14359"/>
    <cellStyle name="Note 2 17 14 3" xfId="14360"/>
    <cellStyle name="Note 2 17 14 3 2" xfId="14361"/>
    <cellStyle name="Note 2 17 14 4" xfId="14362"/>
    <cellStyle name="Note 2 17 14 4 2" xfId="14363"/>
    <cellStyle name="Note 2 17 14 5" xfId="14364"/>
    <cellStyle name="Note 2 17 15" xfId="14365"/>
    <cellStyle name="Note 2 17 15 2" xfId="14366"/>
    <cellStyle name="Note 2 17 15 2 2" xfId="14367"/>
    <cellStyle name="Note 2 17 15 3" xfId="14368"/>
    <cellStyle name="Note 2 17 15 3 2" xfId="14369"/>
    <cellStyle name="Note 2 17 15 4" xfId="14370"/>
    <cellStyle name="Note 2 17 15 4 2" xfId="14371"/>
    <cellStyle name="Note 2 17 15 5" xfId="14372"/>
    <cellStyle name="Note 2 17 16" xfId="14373"/>
    <cellStyle name="Note 2 17 16 2" xfId="14374"/>
    <cellStyle name="Note 2 17 16 2 2" xfId="14375"/>
    <cellStyle name="Note 2 17 16 3" xfId="14376"/>
    <cellStyle name="Note 2 17 16 3 2" xfId="14377"/>
    <cellStyle name="Note 2 17 16 4" xfId="14378"/>
    <cellStyle name="Note 2 17 16 4 2" xfId="14379"/>
    <cellStyle name="Note 2 17 16 5" xfId="14380"/>
    <cellStyle name="Note 2 17 17" xfId="14381"/>
    <cellStyle name="Note 2 17 17 2" xfId="14382"/>
    <cellStyle name="Note 2 17 17 2 2" xfId="14383"/>
    <cellStyle name="Note 2 17 17 3" xfId="14384"/>
    <cellStyle name="Note 2 17 17 3 2" xfId="14385"/>
    <cellStyle name="Note 2 17 17 4" xfId="14386"/>
    <cellStyle name="Note 2 17 17 4 2" xfId="14387"/>
    <cellStyle name="Note 2 17 17 5" xfId="14388"/>
    <cellStyle name="Note 2 17 18" xfId="14389"/>
    <cellStyle name="Note 2 17 18 2" xfId="14390"/>
    <cellStyle name="Note 2 17 18 2 2" xfId="14391"/>
    <cellStyle name="Note 2 17 18 3" xfId="14392"/>
    <cellStyle name="Note 2 17 18 3 2" xfId="14393"/>
    <cellStyle name="Note 2 17 18 4" xfId="14394"/>
    <cellStyle name="Note 2 17 18 4 2" xfId="14395"/>
    <cellStyle name="Note 2 17 18 5" xfId="14396"/>
    <cellStyle name="Note 2 17 19" xfId="14397"/>
    <cellStyle name="Note 2 17 19 10" xfId="14398"/>
    <cellStyle name="Note 2 17 19 11" xfId="14399"/>
    <cellStyle name="Note 2 17 19 2" xfId="14400"/>
    <cellStyle name="Note 2 17 19 2 2" xfId="14401"/>
    <cellStyle name="Note 2 17 19 2 3" xfId="14402"/>
    <cellStyle name="Note 2 17 19 2 4" xfId="14403"/>
    <cellStyle name="Note 2 17 19 2 5" xfId="14404"/>
    <cellStyle name="Note 2 17 19 2 6" xfId="14405"/>
    <cellStyle name="Note 2 17 19 3" xfId="14406"/>
    <cellStyle name="Note 2 17 19 3 2" xfId="14407"/>
    <cellStyle name="Note 2 17 19 4" xfId="14408"/>
    <cellStyle name="Note 2 17 19 4 2" xfId="14409"/>
    <cellStyle name="Note 2 17 19 5" xfId="14410"/>
    <cellStyle name="Note 2 17 19 5 2" xfId="14411"/>
    <cellStyle name="Note 2 17 19 6" xfId="14412"/>
    <cellStyle name="Note 2 17 19 6 2" xfId="14413"/>
    <cellStyle name="Note 2 17 19 7" xfId="14414"/>
    <cellStyle name="Note 2 17 19 7 2" xfId="14415"/>
    <cellStyle name="Note 2 17 19 8" xfId="14416"/>
    <cellStyle name="Note 2 17 19 9" xfId="14417"/>
    <cellStyle name="Note 2 17 2" xfId="14418"/>
    <cellStyle name="Note 2 17 2 10" xfId="14419"/>
    <cellStyle name="Note 2 17 2 10 2" xfId="14420"/>
    <cellStyle name="Note 2 17 2 11" xfId="14421"/>
    <cellStyle name="Note 2 17 2 11 2" xfId="14422"/>
    <cellStyle name="Note 2 17 2 12" xfId="14423"/>
    <cellStyle name="Note 2 17 2 12 2" xfId="14424"/>
    <cellStyle name="Note 2 17 2 13" xfId="14425"/>
    <cellStyle name="Note 2 17 2 13 2" xfId="14426"/>
    <cellStyle name="Note 2 17 2 14" xfId="14427"/>
    <cellStyle name="Note 2 17 2 14 2" xfId="14428"/>
    <cellStyle name="Note 2 17 2 15" xfId="14429"/>
    <cellStyle name="Note 2 17 2 15 2" xfId="14430"/>
    <cellStyle name="Note 2 17 2 16" xfId="14431"/>
    <cellStyle name="Note 2 17 2 16 2" xfId="14432"/>
    <cellStyle name="Note 2 17 2 17" xfId="14433"/>
    <cellStyle name="Note 2 17 2 17 2" xfId="14434"/>
    <cellStyle name="Note 2 17 2 18" xfId="14435"/>
    <cellStyle name="Note 2 17 2 18 2" xfId="14436"/>
    <cellStyle name="Note 2 17 2 19" xfId="14437"/>
    <cellStyle name="Note 2 17 2 19 2" xfId="14438"/>
    <cellStyle name="Note 2 17 2 2" xfId="14439"/>
    <cellStyle name="Note 2 17 2 2 2" xfId="14440"/>
    <cellStyle name="Note 2 17 2 2 3" xfId="14441"/>
    <cellStyle name="Note 2 17 2 20" xfId="14442"/>
    <cellStyle name="Note 2 17 2 20 2" xfId="14443"/>
    <cellStyle name="Note 2 17 2 21" xfId="14444"/>
    <cellStyle name="Note 2 17 2 21 2" xfId="14445"/>
    <cellStyle name="Note 2 17 2 22" xfId="14446"/>
    <cellStyle name="Note 2 17 2 22 2" xfId="14447"/>
    <cellStyle name="Note 2 17 2 23" xfId="14448"/>
    <cellStyle name="Note 2 17 2 23 2" xfId="14449"/>
    <cellStyle name="Note 2 17 2 24" xfId="14450"/>
    <cellStyle name="Note 2 17 2 24 2" xfId="14451"/>
    <cellStyle name="Note 2 17 2 25" xfId="14452"/>
    <cellStyle name="Note 2 17 2 25 2" xfId="14453"/>
    <cellStyle name="Note 2 17 2 26" xfId="14454"/>
    <cellStyle name="Note 2 17 2 26 2" xfId="14455"/>
    <cellStyle name="Note 2 17 2 27" xfId="14456"/>
    <cellStyle name="Note 2 17 2 27 2" xfId="14457"/>
    <cellStyle name="Note 2 17 2 28" xfId="14458"/>
    <cellStyle name="Note 2 17 2 28 2" xfId="14459"/>
    <cellStyle name="Note 2 17 2 29" xfId="14460"/>
    <cellStyle name="Note 2 17 2 29 2" xfId="14461"/>
    <cellStyle name="Note 2 17 2 3" xfId="14462"/>
    <cellStyle name="Note 2 17 2 3 2" xfId="14463"/>
    <cellStyle name="Note 2 17 2 3 3" xfId="14464"/>
    <cellStyle name="Note 2 17 2 30" xfId="14465"/>
    <cellStyle name="Note 2 17 2 30 2" xfId="14466"/>
    <cellStyle name="Note 2 17 2 31" xfId="14467"/>
    <cellStyle name="Note 2 17 2 4" xfId="14468"/>
    <cellStyle name="Note 2 17 2 4 2" xfId="14469"/>
    <cellStyle name="Note 2 17 2 5" xfId="14470"/>
    <cellStyle name="Note 2 17 2 5 2" xfId="14471"/>
    <cellStyle name="Note 2 17 2 6" xfId="14472"/>
    <cellStyle name="Note 2 17 2 6 2" xfId="14473"/>
    <cellStyle name="Note 2 17 2 7" xfId="14474"/>
    <cellStyle name="Note 2 17 2 7 2" xfId="14475"/>
    <cellStyle name="Note 2 17 2 8" xfId="14476"/>
    <cellStyle name="Note 2 17 2 8 2" xfId="14477"/>
    <cellStyle name="Note 2 17 2 9" xfId="14478"/>
    <cellStyle name="Note 2 17 2 9 2" xfId="14479"/>
    <cellStyle name="Note 2 17 20" xfId="14480"/>
    <cellStyle name="Note 2 17 20 2" xfId="14481"/>
    <cellStyle name="Note 2 17 21" xfId="14482"/>
    <cellStyle name="Note 2 17 21 2" xfId="14483"/>
    <cellStyle name="Note 2 17 22" xfId="14484"/>
    <cellStyle name="Note 2 17 22 2" xfId="14485"/>
    <cellStyle name="Note 2 17 23" xfId="14486"/>
    <cellStyle name="Note 2 17 23 2" xfId="14487"/>
    <cellStyle name="Note 2 17 24" xfId="14488"/>
    <cellStyle name="Note 2 17 24 2" xfId="14489"/>
    <cellStyle name="Note 2 17 25" xfId="14490"/>
    <cellStyle name="Note 2 17 25 2" xfId="14491"/>
    <cellStyle name="Note 2 17 26" xfId="14492"/>
    <cellStyle name="Note 2 17 26 2" xfId="14493"/>
    <cellStyle name="Note 2 17 27" xfId="14494"/>
    <cellStyle name="Note 2 17 27 2" xfId="14495"/>
    <cellStyle name="Note 2 17 28" xfId="14496"/>
    <cellStyle name="Note 2 17 28 2" xfId="14497"/>
    <cellStyle name="Note 2 17 29" xfId="14498"/>
    <cellStyle name="Note 2 17 29 2" xfId="14499"/>
    <cellStyle name="Note 2 17 3" xfId="14500"/>
    <cellStyle name="Note 2 17 3 2" xfId="14501"/>
    <cellStyle name="Note 2 17 3 2 2" xfId="14502"/>
    <cellStyle name="Note 2 17 3 3" xfId="14503"/>
    <cellStyle name="Note 2 17 3 3 2" xfId="14504"/>
    <cellStyle name="Note 2 17 3 4" xfId="14505"/>
    <cellStyle name="Note 2 17 3 4 2" xfId="14506"/>
    <cellStyle name="Note 2 17 3 5" xfId="14507"/>
    <cellStyle name="Note 2 17 30" xfId="14508"/>
    <cellStyle name="Note 2 17 30 2" xfId="14509"/>
    <cellStyle name="Note 2 17 31" xfId="14510"/>
    <cellStyle name="Note 2 17 31 2" xfId="14511"/>
    <cellStyle name="Note 2 17 32" xfId="14512"/>
    <cellStyle name="Note 2 17 32 2" xfId="14513"/>
    <cellStyle name="Note 2 17 33" xfId="14514"/>
    <cellStyle name="Note 2 17 33 2" xfId="14515"/>
    <cellStyle name="Note 2 17 34" xfId="14516"/>
    <cellStyle name="Note 2 17 34 2" xfId="14517"/>
    <cellStyle name="Note 2 17 35" xfId="14518"/>
    <cellStyle name="Note 2 17 35 2" xfId="14519"/>
    <cellStyle name="Note 2 17 36" xfId="14520"/>
    <cellStyle name="Note 2 17 36 2" xfId="14521"/>
    <cellStyle name="Note 2 17 37" xfId="14522"/>
    <cellStyle name="Note 2 17 37 2" xfId="14523"/>
    <cellStyle name="Note 2 17 38" xfId="14524"/>
    <cellStyle name="Note 2 17 38 2" xfId="14525"/>
    <cellStyle name="Note 2 17 39" xfId="14526"/>
    <cellStyle name="Note 2 17 39 2" xfId="14527"/>
    <cellStyle name="Note 2 17 4" xfId="14528"/>
    <cellStyle name="Note 2 17 4 10" xfId="14529"/>
    <cellStyle name="Note 2 17 4 11" xfId="14530"/>
    <cellStyle name="Note 2 17 4 12" xfId="14531"/>
    <cellStyle name="Note 2 17 4 13" xfId="14532"/>
    <cellStyle name="Note 2 17 4 2" xfId="14533"/>
    <cellStyle name="Note 2 17 4 2 2" xfId="14534"/>
    <cellStyle name="Note 2 17 4 2 3" xfId="14535"/>
    <cellStyle name="Note 2 17 4 3" xfId="14536"/>
    <cellStyle name="Note 2 17 4 3 2" xfId="14537"/>
    <cellStyle name="Note 2 17 4 4" xfId="14538"/>
    <cellStyle name="Note 2 17 4 4 2" xfId="14539"/>
    <cellStyle name="Note 2 17 4 5" xfId="14540"/>
    <cellStyle name="Note 2 17 4 5 2" xfId="14541"/>
    <cellStyle name="Note 2 17 4 5 3" xfId="14542"/>
    <cellStyle name="Note 2 17 4 5 4" xfId="14543"/>
    <cellStyle name="Note 2 17 4 5 5" xfId="14544"/>
    <cellStyle name="Note 2 17 4 5 6" xfId="14545"/>
    <cellStyle name="Note 2 17 4 6" xfId="14546"/>
    <cellStyle name="Note 2 17 4 6 2" xfId="14547"/>
    <cellStyle name="Note 2 17 4 7" xfId="14548"/>
    <cellStyle name="Note 2 17 4 7 2" xfId="14549"/>
    <cellStyle name="Note 2 17 4 8" xfId="14550"/>
    <cellStyle name="Note 2 17 4 8 2" xfId="14551"/>
    <cellStyle name="Note 2 17 4 9" xfId="14552"/>
    <cellStyle name="Note 2 17 4 9 2" xfId="14553"/>
    <cellStyle name="Note 2 17 40" xfId="14554"/>
    <cellStyle name="Note 2 17 40 2" xfId="14555"/>
    <cellStyle name="Note 2 17 41" xfId="14556"/>
    <cellStyle name="Note 2 17 41 2" xfId="14557"/>
    <cellStyle name="Note 2 17 42" xfId="14558"/>
    <cellStyle name="Note 2 17 42 2" xfId="14559"/>
    <cellStyle name="Note 2 17 43" xfId="14560"/>
    <cellStyle name="Note 2 17 43 2" xfId="14561"/>
    <cellStyle name="Note 2 17 44" xfId="14562"/>
    <cellStyle name="Note 2 17 44 2" xfId="14563"/>
    <cellStyle name="Note 2 17 45" xfId="14564"/>
    <cellStyle name="Note 2 17 45 2" xfId="14565"/>
    <cellStyle name="Note 2 17 46" xfId="14566"/>
    <cellStyle name="Note 2 17 46 2" xfId="14567"/>
    <cellStyle name="Note 2 17 47" xfId="14568"/>
    <cellStyle name="Note 2 17 47 2" xfId="14569"/>
    <cellStyle name="Note 2 17 48" xfId="14570"/>
    <cellStyle name="Note 2 17 48 2" xfId="14571"/>
    <cellStyle name="Note 2 17 49" xfId="14572"/>
    <cellStyle name="Note 2 17 49 2" xfId="14573"/>
    <cellStyle name="Note 2 17 5" xfId="14574"/>
    <cellStyle name="Note 2 17 5 2" xfId="14575"/>
    <cellStyle name="Note 2 17 5 2 2" xfId="14576"/>
    <cellStyle name="Note 2 17 5 3" xfId="14577"/>
    <cellStyle name="Note 2 17 5 3 2" xfId="14578"/>
    <cellStyle name="Note 2 17 5 4" xfId="14579"/>
    <cellStyle name="Note 2 17 5 4 2" xfId="14580"/>
    <cellStyle name="Note 2 17 5 5" xfId="14581"/>
    <cellStyle name="Note 2 17 50" xfId="14582"/>
    <cellStyle name="Note 2 17 50 2" xfId="14583"/>
    <cellStyle name="Note 2 17 51" xfId="14584"/>
    <cellStyle name="Note 2 17 51 2" xfId="14585"/>
    <cellStyle name="Note 2 17 52" xfId="14586"/>
    <cellStyle name="Note 2 17 52 2" xfId="14587"/>
    <cellStyle name="Note 2 17 53" xfId="14588"/>
    <cellStyle name="Note 2 17 53 2" xfId="14589"/>
    <cellStyle name="Note 2 17 54" xfId="14590"/>
    <cellStyle name="Note 2 17 54 2" xfId="14591"/>
    <cellStyle name="Note 2 17 55" xfId="14592"/>
    <cellStyle name="Note 2 17 55 2" xfId="14593"/>
    <cellStyle name="Note 2 17 56" xfId="14594"/>
    <cellStyle name="Note 2 17 56 2" xfId="14595"/>
    <cellStyle name="Note 2 17 57" xfId="14596"/>
    <cellStyle name="Note 2 17 57 2" xfId="14597"/>
    <cellStyle name="Note 2 17 58" xfId="14598"/>
    <cellStyle name="Note 2 17 58 2" xfId="14599"/>
    <cellStyle name="Note 2 17 59" xfId="14600"/>
    <cellStyle name="Note 2 17 59 2" xfId="14601"/>
    <cellStyle name="Note 2 17 6" xfId="14602"/>
    <cellStyle name="Note 2 17 6 2" xfId="14603"/>
    <cellStyle name="Note 2 17 6 2 2" xfId="14604"/>
    <cellStyle name="Note 2 17 6 3" xfId="14605"/>
    <cellStyle name="Note 2 17 6 3 2" xfId="14606"/>
    <cellStyle name="Note 2 17 6 4" xfId="14607"/>
    <cellStyle name="Note 2 17 6 4 2" xfId="14608"/>
    <cellStyle name="Note 2 17 6 5" xfId="14609"/>
    <cellStyle name="Note 2 17 60" xfId="14610"/>
    <cellStyle name="Note 2 17 60 2" xfId="14611"/>
    <cellStyle name="Note 2 17 61" xfId="14612"/>
    <cellStyle name="Note 2 17 61 2" xfId="14613"/>
    <cellStyle name="Note 2 17 61 3" xfId="14614"/>
    <cellStyle name="Note 2 17 61 4" xfId="14615"/>
    <cellStyle name="Note 2 17 61 5" xfId="14616"/>
    <cellStyle name="Note 2 17 61 6" xfId="14617"/>
    <cellStyle name="Note 2 17 62" xfId="14618"/>
    <cellStyle name="Note 2 17 62 2" xfId="14619"/>
    <cellStyle name="Note 2 17 63" xfId="14620"/>
    <cellStyle name="Note 2 17 63 2" xfId="14621"/>
    <cellStyle name="Note 2 17 64" xfId="14622"/>
    <cellStyle name="Note 2 17 64 2" xfId="14623"/>
    <cellStyle name="Note 2 17 65" xfId="14624"/>
    <cellStyle name="Note 2 17 65 2" xfId="14625"/>
    <cellStyle name="Note 2 17 66" xfId="14626"/>
    <cellStyle name="Note 2 17 67" xfId="14627"/>
    <cellStyle name="Note 2 17 68" xfId="14628"/>
    <cellStyle name="Note 2 17 69" xfId="14629"/>
    <cellStyle name="Note 2 17 7" xfId="14630"/>
    <cellStyle name="Note 2 17 7 2" xfId="14631"/>
    <cellStyle name="Note 2 17 7 2 2" xfId="14632"/>
    <cellStyle name="Note 2 17 7 3" xfId="14633"/>
    <cellStyle name="Note 2 17 7 3 2" xfId="14634"/>
    <cellStyle name="Note 2 17 7 4" xfId="14635"/>
    <cellStyle name="Note 2 17 7 4 2" xfId="14636"/>
    <cellStyle name="Note 2 17 7 5" xfId="14637"/>
    <cellStyle name="Note 2 17 8" xfId="14638"/>
    <cellStyle name="Note 2 17 8 2" xfId="14639"/>
    <cellStyle name="Note 2 17 8 2 2" xfId="14640"/>
    <cellStyle name="Note 2 17 8 3" xfId="14641"/>
    <cellStyle name="Note 2 17 8 3 2" xfId="14642"/>
    <cellStyle name="Note 2 17 8 4" xfId="14643"/>
    <cellStyle name="Note 2 17 8 4 2" xfId="14644"/>
    <cellStyle name="Note 2 17 8 5" xfId="14645"/>
    <cellStyle name="Note 2 17 9" xfId="14646"/>
    <cellStyle name="Note 2 17 9 2" xfId="14647"/>
    <cellStyle name="Note 2 17 9 2 2" xfId="14648"/>
    <cellStyle name="Note 2 17 9 3" xfId="14649"/>
    <cellStyle name="Note 2 17 9 3 2" xfId="14650"/>
    <cellStyle name="Note 2 17 9 4" xfId="14651"/>
    <cellStyle name="Note 2 17 9 4 2" xfId="14652"/>
    <cellStyle name="Note 2 17 9 5" xfId="14653"/>
    <cellStyle name="Note 2 18" xfId="14654"/>
    <cellStyle name="Note 2 18 10" xfId="14655"/>
    <cellStyle name="Note 2 18 10 2" xfId="14656"/>
    <cellStyle name="Note 2 18 10 2 2" xfId="14657"/>
    <cellStyle name="Note 2 18 10 3" xfId="14658"/>
    <cellStyle name="Note 2 18 10 3 2" xfId="14659"/>
    <cellStyle name="Note 2 18 10 4" xfId="14660"/>
    <cellStyle name="Note 2 18 10 4 2" xfId="14661"/>
    <cellStyle name="Note 2 18 10 5" xfId="14662"/>
    <cellStyle name="Note 2 18 11" xfId="14663"/>
    <cellStyle name="Note 2 18 11 2" xfId="14664"/>
    <cellStyle name="Note 2 18 11 2 2" xfId="14665"/>
    <cellStyle name="Note 2 18 11 3" xfId="14666"/>
    <cellStyle name="Note 2 18 11 3 2" xfId="14667"/>
    <cellStyle name="Note 2 18 11 4" xfId="14668"/>
    <cellStyle name="Note 2 18 11 4 2" xfId="14669"/>
    <cellStyle name="Note 2 18 11 5" xfId="14670"/>
    <cellStyle name="Note 2 18 12" xfId="14671"/>
    <cellStyle name="Note 2 18 12 2" xfId="14672"/>
    <cellStyle name="Note 2 18 12 2 2" xfId="14673"/>
    <cellStyle name="Note 2 18 12 3" xfId="14674"/>
    <cellStyle name="Note 2 18 12 3 2" xfId="14675"/>
    <cellStyle name="Note 2 18 12 4" xfId="14676"/>
    <cellStyle name="Note 2 18 12 4 2" xfId="14677"/>
    <cellStyle name="Note 2 18 12 5" xfId="14678"/>
    <cellStyle name="Note 2 18 13" xfId="14679"/>
    <cellStyle name="Note 2 18 13 2" xfId="14680"/>
    <cellStyle name="Note 2 18 13 2 2" xfId="14681"/>
    <cellStyle name="Note 2 18 13 3" xfId="14682"/>
    <cellStyle name="Note 2 18 13 3 2" xfId="14683"/>
    <cellStyle name="Note 2 18 13 4" xfId="14684"/>
    <cellStyle name="Note 2 18 13 4 2" xfId="14685"/>
    <cellStyle name="Note 2 18 13 5" xfId="14686"/>
    <cellStyle name="Note 2 18 14" xfId="14687"/>
    <cellStyle name="Note 2 18 14 2" xfId="14688"/>
    <cellStyle name="Note 2 18 14 2 2" xfId="14689"/>
    <cellStyle name="Note 2 18 14 3" xfId="14690"/>
    <cellStyle name="Note 2 18 14 3 2" xfId="14691"/>
    <cellStyle name="Note 2 18 14 4" xfId="14692"/>
    <cellStyle name="Note 2 18 14 4 2" xfId="14693"/>
    <cellStyle name="Note 2 18 14 5" xfId="14694"/>
    <cellStyle name="Note 2 18 15" xfId="14695"/>
    <cellStyle name="Note 2 18 15 2" xfId="14696"/>
    <cellStyle name="Note 2 18 15 2 2" xfId="14697"/>
    <cellStyle name="Note 2 18 15 3" xfId="14698"/>
    <cellStyle name="Note 2 18 15 3 2" xfId="14699"/>
    <cellStyle name="Note 2 18 15 4" xfId="14700"/>
    <cellStyle name="Note 2 18 15 4 2" xfId="14701"/>
    <cellStyle name="Note 2 18 15 5" xfId="14702"/>
    <cellStyle name="Note 2 18 16" xfId="14703"/>
    <cellStyle name="Note 2 18 16 2" xfId="14704"/>
    <cellStyle name="Note 2 18 16 2 2" xfId="14705"/>
    <cellStyle name="Note 2 18 16 3" xfId="14706"/>
    <cellStyle name="Note 2 18 16 3 2" xfId="14707"/>
    <cellStyle name="Note 2 18 16 4" xfId="14708"/>
    <cellStyle name="Note 2 18 16 4 2" xfId="14709"/>
    <cellStyle name="Note 2 18 16 5" xfId="14710"/>
    <cellStyle name="Note 2 18 17" xfId="14711"/>
    <cellStyle name="Note 2 18 17 2" xfId="14712"/>
    <cellStyle name="Note 2 18 17 2 2" xfId="14713"/>
    <cellStyle name="Note 2 18 17 3" xfId="14714"/>
    <cellStyle name="Note 2 18 17 3 2" xfId="14715"/>
    <cellStyle name="Note 2 18 17 4" xfId="14716"/>
    <cellStyle name="Note 2 18 17 4 2" xfId="14717"/>
    <cellStyle name="Note 2 18 17 5" xfId="14718"/>
    <cellStyle name="Note 2 18 18" xfId="14719"/>
    <cellStyle name="Note 2 18 18 2" xfId="14720"/>
    <cellStyle name="Note 2 18 18 2 2" xfId="14721"/>
    <cellStyle name="Note 2 18 18 3" xfId="14722"/>
    <cellStyle name="Note 2 18 18 3 2" xfId="14723"/>
    <cellStyle name="Note 2 18 18 4" xfId="14724"/>
    <cellStyle name="Note 2 18 18 4 2" xfId="14725"/>
    <cellStyle name="Note 2 18 18 5" xfId="14726"/>
    <cellStyle name="Note 2 18 19" xfId="14727"/>
    <cellStyle name="Note 2 18 19 10" xfId="14728"/>
    <cellStyle name="Note 2 18 19 11" xfId="14729"/>
    <cellStyle name="Note 2 18 19 2" xfId="14730"/>
    <cellStyle name="Note 2 18 19 2 2" xfId="14731"/>
    <cellStyle name="Note 2 18 19 2 3" xfId="14732"/>
    <cellStyle name="Note 2 18 19 2 4" xfId="14733"/>
    <cellStyle name="Note 2 18 19 2 5" xfId="14734"/>
    <cellStyle name="Note 2 18 19 2 6" xfId="14735"/>
    <cellStyle name="Note 2 18 19 3" xfId="14736"/>
    <cellStyle name="Note 2 18 19 3 2" xfId="14737"/>
    <cellStyle name="Note 2 18 19 4" xfId="14738"/>
    <cellStyle name="Note 2 18 19 4 2" xfId="14739"/>
    <cellStyle name="Note 2 18 19 5" xfId="14740"/>
    <cellStyle name="Note 2 18 19 5 2" xfId="14741"/>
    <cellStyle name="Note 2 18 19 6" xfId="14742"/>
    <cellStyle name="Note 2 18 19 6 2" xfId="14743"/>
    <cellStyle name="Note 2 18 19 7" xfId="14744"/>
    <cellStyle name="Note 2 18 19 7 2" xfId="14745"/>
    <cellStyle name="Note 2 18 19 8" xfId="14746"/>
    <cellStyle name="Note 2 18 19 9" xfId="14747"/>
    <cellStyle name="Note 2 18 2" xfId="14748"/>
    <cellStyle name="Note 2 18 2 10" xfId="14749"/>
    <cellStyle name="Note 2 18 2 10 2" xfId="14750"/>
    <cellStyle name="Note 2 18 2 11" xfId="14751"/>
    <cellStyle name="Note 2 18 2 11 2" xfId="14752"/>
    <cellStyle name="Note 2 18 2 12" xfId="14753"/>
    <cellStyle name="Note 2 18 2 12 2" xfId="14754"/>
    <cellStyle name="Note 2 18 2 13" xfId="14755"/>
    <cellStyle name="Note 2 18 2 13 2" xfId="14756"/>
    <cellStyle name="Note 2 18 2 14" xfId="14757"/>
    <cellStyle name="Note 2 18 2 14 2" xfId="14758"/>
    <cellStyle name="Note 2 18 2 15" xfId="14759"/>
    <cellStyle name="Note 2 18 2 15 2" xfId="14760"/>
    <cellStyle name="Note 2 18 2 16" xfId="14761"/>
    <cellStyle name="Note 2 18 2 16 2" xfId="14762"/>
    <cellStyle name="Note 2 18 2 17" xfId="14763"/>
    <cellStyle name="Note 2 18 2 17 2" xfId="14764"/>
    <cellStyle name="Note 2 18 2 18" xfId="14765"/>
    <cellStyle name="Note 2 18 2 18 2" xfId="14766"/>
    <cellStyle name="Note 2 18 2 19" xfId="14767"/>
    <cellStyle name="Note 2 18 2 19 2" xfId="14768"/>
    <cellStyle name="Note 2 18 2 2" xfId="14769"/>
    <cellStyle name="Note 2 18 2 2 2" xfId="14770"/>
    <cellStyle name="Note 2 18 2 2 3" xfId="14771"/>
    <cellStyle name="Note 2 18 2 20" xfId="14772"/>
    <cellStyle name="Note 2 18 2 20 2" xfId="14773"/>
    <cellStyle name="Note 2 18 2 21" xfId="14774"/>
    <cellStyle name="Note 2 18 2 21 2" xfId="14775"/>
    <cellStyle name="Note 2 18 2 22" xfId="14776"/>
    <cellStyle name="Note 2 18 2 22 2" xfId="14777"/>
    <cellStyle name="Note 2 18 2 23" xfId="14778"/>
    <cellStyle name="Note 2 18 2 23 2" xfId="14779"/>
    <cellStyle name="Note 2 18 2 24" xfId="14780"/>
    <cellStyle name="Note 2 18 2 24 2" xfId="14781"/>
    <cellStyle name="Note 2 18 2 25" xfId="14782"/>
    <cellStyle name="Note 2 18 2 25 2" xfId="14783"/>
    <cellStyle name="Note 2 18 2 26" xfId="14784"/>
    <cellStyle name="Note 2 18 2 26 2" xfId="14785"/>
    <cellStyle name="Note 2 18 2 27" xfId="14786"/>
    <cellStyle name="Note 2 18 2 27 2" xfId="14787"/>
    <cellStyle name="Note 2 18 2 28" xfId="14788"/>
    <cellStyle name="Note 2 18 2 28 2" xfId="14789"/>
    <cellStyle name="Note 2 18 2 29" xfId="14790"/>
    <cellStyle name="Note 2 18 2 29 2" xfId="14791"/>
    <cellStyle name="Note 2 18 2 3" xfId="14792"/>
    <cellStyle name="Note 2 18 2 3 2" xfId="14793"/>
    <cellStyle name="Note 2 18 2 3 3" xfId="14794"/>
    <cellStyle name="Note 2 18 2 30" xfId="14795"/>
    <cellStyle name="Note 2 18 2 30 2" xfId="14796"/>
    <cellStyle name="Note 2 18 2 31" xfId="14797"/>
    <cellStyle name="Note 2 18 2 4" xfId="14798"/>
    <cellStyle name="Note 2 18 2 4 2" xfId="14799"/>
    <cellStyle name="Note 2 18 2 5" xfId="14800"/>
    <cellStyle name="Note 2 18 2 5 2" xfId="14801"/>
    <cellStyle name="Note 2 18 2 6" xfId="14802"/>
    <cellStyle name="Note 2 18 2 6 2" xfId="14803"/>
    <cellStyle name="Note 2 18 2 7" xfId="14804"/>
    <cellStyle name="Note 2 18 2 7 2" xfId="14805"/>
    <cellStyle name="Note 2 18 2 8" xfId="14806"/>
    <cellStyle name="Note 2 18 2 8 2" xfId="14807"/>
    <cellStyle name="Note 2 18 2 9" xfId="14808"/>
    <cellStyle name="Note 2 18 2 9 2" xfId="14809"/>
    <cellStyle name="Note 2 18 20" xfId="14810"/>
    <cellStyle name="Note 2 18 20 2" xfId="14811"/>
    <cellStyle name="Note 2 18 21" xfId="14812"/>
    <cellStyle name="Note 2 18 21 2" xfId="14813"/>
    <cellStyle name="Note 2 18 22" xfId="14814"/>
    <cellStyle name="Note 2 18 22 2" xfId="14815"/>
    <cellStyle name="Note 2 18 23" xfId="14816"/>
    <cellStyle name="Note 2 18 23 2" xfId="14817"/>
    <cellStyle name="Note 2 18 24" xfId="14818"/>
    <cellStyle name="Note 2 18 24 2" xfId="14819"/>
    <cellStyle name="Note 2 18 25" xfId="14820"/>
    <cellStyle name="Note 2 18 25 2" xfId="14821"/>
    <cellStyle name="Note 2 18 26" xfId="14822"/>
    <cellStyle name="Note 2 18 26 2" xfId="14823"/>
    <cellStyle name="Note 2 18 27" xfId="14824"/>
    <cellStyle name="Note 2 18 27 2" xfId="14825"/>
    <cellStyle name="Note 2 18 28" xfId="14826"/>
    <cellStyle name="Note 2 18 28 2" xfId="14827"/>
    <cellStyle name="Note 2 18 29" xfId="14828"/>
    <cellStyle name="Note 2 18 29 2" xfId="14829"/>
    <cellStyle name="Note 2 18 3" xfId="14830"/>
    <cellStyle name="Note 2 18 3 2" xfId="14831"/>
    <cellStyle name="Note 2 18 3 2 2" xfId="14832"/>
    <cellStyle name="Note 2 18 3 3" xfId="14833"/>
    <cellStyle name="Note 2 18 3 3 2" xfId="14834"/>
    <cellStyle name="Note 2 18 3 4" xfId="14835"/>
    <cellStyle name="Note 2 18 3 4 2" xfId="14836"/>
    <cellStyle name="Note 2 18 3 5" xfId="14837"/>
    <cellStyle name="Note 2 18 30" xfId="14838"/>
    <cellStyle name="Note 2 18 30 2" xfId="14839"/>
    <cellStyle name="Note 2 18 31" xfId="14840"/>
    <cellStyle name="Note 2 18 31 2" xfId="14841"/>
    <cellStyle name="Note 2 18 32" xfId="14842"/>
    <cellStyle name="Note 2 18 32 2" xfId="14843"/>
    <cellStyle name="Note 2 18 33" xfId="14844"/>
    <cellStyle name="Note 2 18 33 2" xfId="14845"/>
    <cellStyle name="Note 2 18 34" xfId="14846"/>
    <cellStyle name="Note 2 18 34 2" xfId="14847"/>
    <cellStyle name="Note 2 18 35" xfId="14848"/>
    <cellStyle name="Note 2 18 35 2" xfId="14849"/>
    <cellStyle name="Note 2 18 36" xfId="14850"/>
    <cellStyle name="Note 2 18 36 2" xfId="14851"/>
    <cellStyle name="Note 2 18 37" xfId="14852"/>
    <cellStyle name="Note 2 18 37 2" xfId="14853"/>
    <cellStyle name="Note 2 18 38" xfId="14854"/>
    <cellStyle name="Note 2 18 38 2" xfId="14855"/>
    <cellStyle name="Note 2 18 39" xfId="14856"/>
    <cellStyle name="Note 2 18 39 2" xfId="14857"/>
    <cellStyle name="Note 2 18 4" xfId="14858"/>
    <cellStyle name="Note 2 18 4 10" xfId="14859"/>
    <cellStyle name="Note 2 18 4 11" xfId="14860"/>
    <cellStyle name="Note 2 18 4 12" xfId="14861"/>
    <cellStyle name="Note 2 18 4 13" xfId="14862"/>
    <cellStyle name="Note 2 18 4 2" xfId="14863"/>
    <cellStyle name="Note 2 18 4 2 2" xfId="14864"/>
    <cellStyle name="Note 2 18 4 2 3" xfId="14865"/>
    <cellStyle name="Note 2 18 4 3" xfId="14866"/>
    <cellStyle name="Note 2 18 4 3 2" xfId="14867"/>
    <cellStyle name="Note 2 18 4 4" xfId="14868"/>
    <cellStyle name="Note 2 18 4 4 2" xfId="14869"/>
    <cellStyle name="Note 2 18 4 5" xfId="14870"/>
    <cellStyle name="Note 2 18 4 5 2" xfId="14871"/>
    <cellStyle name="Note 2 18 4 5 3" xfId="14872"/>
    <cellStyle name="Note 2 18 4 5 4" xfId="14873"/>
    <cellStyle name="Note 2 18 4 5 5" xfId="14874"/>
    <cellStyle name="Note 2 18 4 5 6" xfId="14875"/>
    <cellStyle name="Note 2 18 4 6" xfId="14876"/>
    <cellStyle name="Note 2 18 4 6 2" xfId="14877"/>
    <cellStyle name="Note 2 18 4 7" xfId="14878"/>
    <cellStyle name="Note 2 18 4 7 2" xfId="14879"/>
    <cellStyle name="Note 2 18 4 8" xfId="14880"/>
    <cellStyle name="Note 2 18 4 8 2" xfId="14881"/>
    <cellStyle name="Note 2 18 4 9" xfId="14882"/>
    <cellStyle name="Note 2 18 4 9 2" xfId="14883"/>
    <cellStyle name="Note 2 18 40" xfId="14884"/>
    <cellStyle name="Note 2 18 40 2" xfId="14885"/>
    <cellStyle name="Note 2 18 41" xfId="14886"/>
    <cellStyle name="Note 2 18 41 2" xfId="14887"/>
    <cellStyle name="Note 2 18 42" xfId="14888"/>
    <cellStyle name="Note 2 18 42 2" xfId="14889"/>
    <cellStyle name="Note 2 18 43" xfId="14890"/>
    <cellStyle name="Note 2 18 43 2" xfId="14891"/>
    <cellStyle name="Note 2 18 44" xfId="14892"/>
    <cellStyle name="Note 2 18 44 2" xfId="14893"/>
    <cellStyle name="Note 2 18 45" xfId="14894"/>
    <cellStyle name="Note 2 18 45 2" xfId="14895"/>
    <cellStyle name="Note 2 18 46" xfId="14896"/>
    <cellStyle name="Note 2 18 46 2" xfId="14897"/>
    <cellStyle name="Note 2 18 47" xfId="14898"/>
    <cellStyle name="Note 2 18 47 2" xfId="14899"/>
    <cellStyle name="Note 2 18 48" xfId="14900"/>
    <cellStyle name="Note 2 18 48 2" xfId="14901"/>
    <cellStyle name="Note 2 18 49" xfId="14902"/>
    <cellStyle name="Note 2 18 49 2" xfId="14903"/>
    <cellStyle name="Note 2 18 5" xfId="14904"/>
    <cellStyle name="Note 2 18 5 2" xfId="14905"/>
    <cellStyle name="Note 2 18 5 2 2" xfId="14906"/>
    <cellStyle name="Note 2 18 5 3" xfId="14907"/>
    <cellStyle name="Note 2 18 5 3 2" xfId="14908"/>
    <cellStyle name="Note 2 18 5 4" xfId="14909"/>
    <cellStyle name="Note 2 18 5 4 2" xfId="14910"/>
    <cellStyle name="Note 2 18 5 5" xfId="14911"/>
    <cellStyle name="Note 2 18 50" xfId="14912"/>
    <cellStyle name="Note 2 18 50 2" xfId="14913"/>
    <cellStyle name="Note 2 18 51" xfId="14914"/>
    <cellStyle name="Note 2 18 51 2" xfId="14915"/>
    <cellStyle name="Note 2 18 52" xfId="14916"/>
    <cellStyle name="Note 2 18 52 2" xfId="14917"/>
    <cellStyle name="Note 2 18 53" xfId="14918"/>
    <cellStyle name="Note 2 18 53 2" xfId="14919"/>
    <cellStyle name="Note 2 18 54" xfId="14920"/>
    <cellStyle name="Note 2 18 54 2" xfId="14921"/>
    <cellStyle name="Note 2 18 55" xfId="14922"/>
    <cellStyle name="Note 2 18 55 2" xfId="14923"/>
    <cellStyle name="Note 2 18 56" xfId="14924"/>
    <cellStyle name="Note 2 18 56 2" xfId="14925"/>
    <cellStyle name="Note 2 18 57" xfId="14926"/>
    <cellStyle name="Note 2 18 57 2" xfId="14927"/>
    <cellStyle name="Note 2 18 58" xfId="14928"/>
    <cellStyle name="Note 2 18 58 2" xfId="14929"/>
    <cellStyle name="Note 2 18 59" xfId="14930"/>
    <cellStyle name="Note 2 18 59 2" xfId="14931"/>
    <cellStyle name="Note 2 18 6" xfId="14932"/>
    <cellStyle name="Note 2 18 6 2" xfId="14933"/>
    <cellStyle name="Note 2 18 6 2 2" xfId="14934"/>
    <cellStyle name="Note 2 18 6 3" xfId="14935"/>
    <cellStyle name="Note 2 18 6 3 2" xfId="14936"/>
    <cellStyle name="Note 2 18 6 4" xfId="14937"/>
    <cellStyle name="Note 2 18 6 4 2" xfId="14938"/>
    <cellStyle name="Note 2 18 6 5" xfId="14939"/>
    <cellStyle name="Note 2 18 60" xfId="14940"/>
    <cellStyle name="Note 2 18 60 2" xfId="14941"/>
    <cellStyle name="Note 2 18 61" xfId="14942"/>
    <cellStyle name="Note 2 18 61 2" xfId="14943"/>
    <cellStyle name="Note 2 18 61 3" xfId="14944"/>
    <cellStyle name="Note 2 18 61 4" xfId="14945"/>
    <cellStyle name="Note 2 18 61 5" xfId="14946"/>
    <cellStyle name="Note 2 18 61 6" xfId="14947"/>
    <cellStyle name="Note 2 18 62" xfId="14948"/>
    <cellStyle name="Note 2 18 62 2" xfId="14949"/>
    <cellStyle name="Note 2 18 63" xfId="14950"/>
    <cellStyle name="Note 2 18 63 2" xfId="14951"/>
    <cellStyle name="Note 2 18 64" xfId="14952"/>
    <cellStyle name="Note 2 18 64 2" xfId="14953"/>
    <cellStyle name="Note 2 18 65" xfId="14954"/>
    <cellStyle name="Note 2 18 65 2" xfId="14955"/>
    <cellStyle name="Note 2 18 66" xfId="14956"/>
    <cellStyle name="Note 2 18 67" xfId="14957"/>
    <cellStyle name="Note 2 18 68" xfId="14958"/>
    <cellStyle name="Note 2 18 69" xfId="14959"/>
    <cellStyle name="Note 2 18 7" xfId="14960"/>
    <cellStyle name="Note 2 18 7 2" xfId="14961"/>
    <cellStyle name="Note 2 18 7 2 2" xfId="14962"/>
    <cellStyle name="Note 2 18 7 3" xfId="14963"/>
    <cellStyle name="Note 2 18 7 3 2" xfId="14964"/>
    <cellStyle name="Note 2 18 7 4" xfId="14965"/>
    <cellStyle name="Note 2 18 7 4 2" xfId="14966"/>
    <cellStyle name="Note 2 18 7 5" xfId="14967"/>
    <cellStyle name="Note 2 18 8" xfId="14968"/>
    <cellStyle name="Note 2 18 8 2" xfId="14969"/>
    <cellStyle name="Note 2 18 8 2 2" xfId="14970"/>
    <cellStyle name="Note 2 18 8 3" xfId="14971"/>
    <cellStyle name="Note 2 18 8 3 2" xfId="14972"/>
    <cellStyle name="Note 2 18 8 4" xfId="14973"/>
    <cellStyle name="Note 2 18 8 4 2" xfId="14974"/>
    <cellStyle name="Note 2 18 8 5" xfId="14975"/>
    <cellStyle name="Note 2 18 9" xfId="14976"/>
    <cellStyle name="Note 2 18 9 2" xfId="14977"/>
    <cellStyle name="Note 2 18 9 2 2" xfId="14978"/>
    <cellStyle name="Note 2 18 9 3" xfId="14979"/>
    <cellStyle name="Note 2 18 9 3 2" xfId="14980"/>
    <cellStyle name="Note 2 18 9 4" xfId="14981"/>
    <cellStyle name="Note 2 18 9 4 2" xfId="14982"/>
    <cellStyle name="Note 2 18 9 5" xfId="14983"/>
    <cellStyle name="Note 2 19" xfId="14984"/>
    <cellStyle name="Note 2 19 10" xfId="14985"/>
    <cellStyle name="Note 2 19 10 2" xfId="14986"/>
    <cellStyle name="Note 2 19 10 2 2" xfId="14987"/>
    <cellStyle name="Note 2 19 10 3" xfId="14988"/>
    <cellStyle name="Note 2 19 10 3 2" xfId="14989"/>
    <cellStyle name="Note 2 19 10 4" xfId="14990"/>
    <cellStyle name="Note 2 19 10 4 2" xfId="14991"/>
    <cellStyle name="Note 2 19 10 5" xfId="14992"/>
    <cellStyle name="Note 2 19 11" xfId="14993"/>
    <cellStyle name="Note 2 19 11 2" xfId="14994"/>
    <cellStyle name="Note 2 19 11 2 2" xfId="14995"/>
    <cellStyle name="Note 2 19 11 3" xfId="14996"/>
    <cellStyle name="Note 2 19 11 3 2" xfId="14997"/>
    <cellStyle name="Note 2 19 11 4" xfId="14998"/>
    <cellStyle name="Note 2 19 11 4 2" xfId="14999"/>
    <cellStyle name="Note 2 19 11 5" xfId="15000"/>
    <cellStyle name="Note 2 19 12" xfId="15001"/>
    <cellStyle name="Note 2 19 12 2" xfId="15002"/>
    <cellStyle name="Note 2 19 12 2 2" xfId="15003"/>
    <cellStyle name="Note 2 19 12 3" xfId="15004"/>
    <cellStyle name="Note 2 19 12 3 2" xfId="15005"/>
    <cellStyle name="Note 2 19 12 4" xfId="15006"/>
    <cellStyle name="Note 2 19 12 4 2" xfId="15007"/>
    <cellStyle name="Note 2 19 12 5" xfId="15008"/>
    <cellStyle name="Note 2 19 13" xfId="15009"/>
    <cellStyle name="Note 2 19 13 2" xfId="15010"/>
    <cellStyle name="Note 2 19 13 2 2" xfId="15011"/>
    <cellStyle name="Note 2 19 13 3" xfId="15012"/>
    <cellStyle name="Note 2 19 13 3 2" xfId="15013"/>
    <cellStyle name="Note 2 19 13 4" xfId="15014"/>
    <cellStyle name="Note 2 19 13 4 2" xfId="15015"/>
    <cellStyle name="Note 2 19 13 5" xfId="15016"/>
    <cellStyle name="Note 2 19 14" xfId="15017"/>
    <cellStyle name="Note 2 19 14 2" xfId="15018"/>
    <cellStyle name="Note 2 19 14 2 2" xfId="15019"/>
    <cellStyle name="Note 2 19 14 3" xfId="15020"/>
    <cellStyle name="Note 2 19 14 3 2" xfId="15021"/>
    <cellStyle name="Note 2 19 14 4" xfId="15022"/>
    <cellStyle name="Note 2 19 14 4 2" xfId="15023"/>
    <cellStyle name="Note 2 19 14 5" xfId="15024"/>
    <cellStyle name="Note 2 19 15" xfId="15025"/>
    <cellStyle name="Note 2 19 15 2" xfId="15026"/>
    <cellStyle name="Note 2 19 15 2 2" xfId="15027"/>
    <cellStyle name="Note 2 19 15 3" xfId="15028"/>
    <cellStyle name="Note 2 19 15 3 2" xfId="15029"/>
    <cellStyle name="Note 2 19 15 4" xfId="15030"/>
    <cellStyle name="Note 2 19 15 4 2" xfId="15031"/>
    <cellStyle name="Note 2 19 15 5" xfId="15032"/>
    <cellStyle name="Note 2 19 16" xfId="15033"/>
    <cellStyle name="Note 2 19 16 2" xfId="15034"/>
    <cellStyle name="Note 2 19 16 2 2" xfId="15035"/>
    <cellStyle name="Note 2 19 16 3" xfId="15036"/>
    <cellStyle name="Note 2 19 16 3 2" xfId="15037"/>
    <cellStyle name="Note 2 19 16 4" xfId="15038"/>
    <cellStyle name="Note 2 19 16 4 2" xfId="15039"/>
    <cellStyle name="Note 2 19 16 5" xfId="15040"/>
    <cellStyle name="Note 2 19 17" xfId="15041"/>
    <cellStyle name="Note 2 19 17 2" xfId="15042"/>
    <cellStyle name="Note 2 19 17 2 2" xfId="15043"/>
    <cellStyle name="Note 2 19 17 3" xfId="15044"/>
    <cellStyle name="Note 2 19 17 3 2" xfId="15045"/>
    <cellStyle name="Note 2 19 17 4" xfId="15046"/>
    <cellStyle name="Note 2 19 17 4 2" xfId="15047"/>
    <cellStyle name="Note 2 19 17 5" xfId="15048"/>
    <cellStyle name="Note 2 19 18" xfId="15049"/>
    <cellStyle name="Note 2 19 18 2" xfId="15050"/>
    <cellStyle name="Note 2 19 18 2 2" xfId="15051"/>
    <cellStyle name="Note 2 19 18 3" xfId="15052"/>
    <cellStyle name="Note 2 19 18 3 2" xfId="15053"/>
    <cellStyle name="Note 2 19 18 4" xfId="15054"/>
    <cellStyle name="Note 2 19 18 4 2" xfId="15055"/>
    <cellStyle name="Note 2 19 18 5" xfId="15056"/>
    <cellStyle name="Note 2 19 19" xfId="15057"/>
    <cellStyle name="Note 2 19 19 10" xfId="15058"/>
    <cellStyle name="Note 2 19 19 11" xfId="15059"/>
    <cellStyle name="Note 2 19 19 2" xfId="15060"/>
    <cellStyle name="Note 2 19 19 2 2" xfId="15061"/>
    <cellStyle name="Note 2 19 19 2 3" xfId="15062"/>
    <cellStyle name="Note 2 19 19 2 4" xfId="15063"/>
    <cellStyle name="Note 2 19 19 2 5" xfId="15064"/>
    <cellStyle name="Note 2 19 19 2 6" xfId="15065"/>
    <cellStyle name="Note 2 19 19 3" xfId="15066"/>
    <cellStyle name="Note 2 19 19 3 2" xfId="15067"/>
    <cellStyle name="Note 2 19 19 4" xfId="15068"/>
    <cellStyle name="Note 2 19 19 4 2" xfId="15069"/>
    <cellStyle name="Note 2 19 19 5" xfId="15070"/>
    <cellStyle name="Note 2 19 19 5 2" xfId="15071"/>
    <cellStyle name="Note 2 19 19 6" xfId="15072"/>
    <cellStyle name="Note 2 19 19 6 2" xfId="15073"/>
    <cellStyle name="Note 2 19 19 7" xfId="15074"/>
    <cellStyle name="Note 2 19 19 7 2" xfId="15075"/>
    <cellStyle name="Note 2 19 19 8" xfId="15076"/>
    <cellStyle name="Note 2 19 19 9" xfId="15077"/>
    <cellStyle name="Note 2 19 2" xfId="15078"/>
    <cellStyle name="Note 2 19 2 10" xfId="15079"/>
    <cellStyle name="Note 2 19 2 10 2" xfId="15080"/>
    <cellStyle name="Note 2 19 2 11" xfId="15081"/>
    <cellStyle name="Note 2 19 2 11 2" xfId="15082"/>
    <cellStyle name="Note 2 19 2 12" xfId="15083"/>
    <cellStyle name="Note 2 19 2 12 2" xfId="15084"/>
    <cellStyle name="Note 2 19 2 13" xfId="15085"/>
    <cellStyle name="Note 2 19 2 13 2" xfId="15086"/>
    <cellStyle name="Note 2 19 2 14" xfId="15087"/>
    <cellStyle name="Note 2 19 2 14 2" xfId="15088"/>
    <cellStyle name="Note 2 19 2 15" xfId="15089"/>
    <cellStyle name="Note 2 19 2 15 2" xfId="15090"/>
    <cellStyle name="Note 2 19 2 16" xfId="15091"/>
    <cellStyle name="Note 2 19 2 16 2" xfId="15092"/>
    <cellStyle name="Note 2 19 2 17" xfId="15093"/>
    <cellStyle name="Note 2 19 2 17 2" xfId="15094"/>
    <cellStyle name="Note 2 19 2 18" xfId="15095"/>
    <cellStyle name="Note 2 19 2 18 2" xfId="15096"/>
    <cellStyle name="Note 2 19 2 19" xfId="15097"/>
    <cellStyle name="Note 2 19 2 19 2" xfId="15098"/>
    <cellStyle name="Note 2 19 2 2" xfId="15099"/>
    <cellStyle name="Note 2 19 2 2 2" xfId="15100"/>
    <cellStyle name="Note 2 19 2 2 3" xfId="15101"/>
    <cellStyle name="Note 2 19 2 20" xfId="15102"/>
    <cellStyle name="Note 2 19 2 20 2" xfId="15103"/>
    <cellStyle name="Note 2 19 2 21" xfId="15104"/>
    <cellStyle name="Note 2 19 2 21 2" xfId="15105"/>
    <cellStyle name="Note 2 19 2 22" xfId="15106"/>
    <cellStyle name="Note 2 19 2 22 2" xfId="15107"/>
    <cellStyle name="Note 2 19 2 23" xfId="15108"/>
    <cellStyle name="Note 2 19 2 23 2" xfId="15109"/>
    <cellStyle name="Note 2 19 2 24" xfId="15110"/>
    <cellStyle name="Note 2 19 2 24 2" xfId="15111"/>
    <cellStyle name="Note 2 19 2 25" xfId="15112"/>
    <cellStyle name="Note 2 19 2 25 2" xfId="15113"/>
    <cellStyle name="Note 2 19 2 26" xfId="15114"/>
    <cellStyle name="Note 2 19 2 26 2" xfId="15115"/>
    <cellStyle name="Note 2 19 2 27" xfId="15116"/>
    <cellStyle name="Note 2 19 2 27 2" xfId="15117"/>
    <cellStyle name="Note 2 19 2 28" xfId="15118"/>
    <cellStyle name="Note 2 19 2 28 2" xfId="15119"/>
    <cellStyle name="Note 2 19 2 29" xfId="15120"/>
    <cellStyle name="Note 2 19 2 29 2" xfId="15121"/>
    <cellStyle name="Note 2 19 2 3" xfId="15122"/>
    <cellStyle name="Note 2 19 2 3 2" xfId="15123"/>
    <cellStyle name="Note 2 19 2 3 3" xfId="15124"/>
    <cellStyle name="Note 2 19 2 30" xfId="15125"/>
    <cellStyle name="Note 2 19 2 30 2" xfId="15126"/>
    <cellStyle name="Note 2 19 2 31" xfId="15127"/>
    <cellStyle name="Note 2 19 2 4" xfId="15128"/>
    <cellStyle name="Note 2 19 2 4 2" xfId="15129"/>
    <cellStyle name="Note 2 19 2 5" xfId="15130"/>
    <cellStyle name="Note 2 19 2 5 2" xfId="15131"/>
    <cellStyle name="Note 2 19 2 6" xfId="15132"/>
    <cellStyle name="Note 2 19 2 6 2" xfId="15133"/>
    <cellStyle name="Note 2 19 2 7" xfId="15134"/>
    <cellStyle name="Note 2 19 2 7 2" xfId="15135"/>
    <cellStyle name="Note 2 19 2 8" xfId="15136"/>
    <cellStyle name="Note 2 19 2 8 2" xfId="15137"/>
    <cellStyle name="Note 2 19 2 9" xfId="15138"/>
    <cellStyle name="Note 2 19 2 9 2" xfId="15139"/>
    <cellStyle name="Note 2 19 20" xfId="15140"/>
    <cellStyle name="Note 2 19 20 2" xfId="15141"/>
    <cellStyle name="Note 2 19 21" xfId="15142"/>
    <cellStyle name="Note 2 19 21 2" xfId="15143"/>
    <cellStyle name="Note 2 19 22" xfId="15144"/>
    <cellStyle name="Note 2 19 22 2" xfId="15145"/>
    <cellStyle name="Note 2 19 23" xfId="15146"/>
    <cellStyle name="Note 2 19 23 2" xfId="15147"/>
    <cellStyle name="Note 2 19 24" xfId="15148"/>
    <cellStyle name="Note 2 19 24 2" xfId="15149"/>
    <cellStyle name="Note 2 19 25" xfId="15150"/>
    <cellStyle name="Note 2 19 25 2" xfId="15151"/>
    <cellStyle name="Note 2 19 26" xfId="15152"/>
    <cellStyle name="Note 2 19 26 2" xfId="15153"/>
    <cellStyle name="Note 2 19 27" xfId="15154"/>
    <cellStyle name="Note 2 19 27 2" xfId="15155"/>
    <cellStyle name="Note 2 19 28" xfId="15156"/>
    <cellStyle name="Note 2 19 28 2" xfId="15157"/>
    <cellStyle name="Note 2 19 29" xfId="15158"/>
    <cellStyle name="Note 2 19 29 2" xfId="15159"/>
    <cellStyle name="Note 2 19 3" xfId="15160"/>
    <cellStyle name="Note 2 19 3 2" xfId="15161"/>
    <cellStyle name="Note 2 19 3 2 2" xfId="15162"/>
    <cellStyle name="Note 2 19 3 3" xfId="15163"/>
    <cellStyle name="Note 2 19 3 3 2" xfId="15164"/>
    <cellStyle name="Note 2 19 3 4" xfId="15165"/>
    <cellStyle name="Note 2 19 3 4 2" xfId="15166"/>
    <cellStyle name="Note 2 19 3 5" xfId="15167"/>
    <cellStyle name="Note 2 19 30" xfId="15168"/>
    <cellStyle name="Note 2 19 30 2" xfId="15169"/>
    <cellStyle name="Note 2 19 31" xfId="15170"/>
    <cellStyle name="Note 2 19 31 2" xfId="15171"/>
    <cellStyle name="Note 2 19 32" xfId="15172"/>
    <cellStyle name="Note 2 19 32 2" xfId="15173"/>
    <cellStyle name="Note 2 19 33" xfId="15174"/>
    <cellStyle name="Note 2 19 33 2" xfId="15175"/>
    <cellStyle name="Note 2 19 34" xfId="15176"/>
    <cellStyle name="Note 2 19 34 2" xfId="15177"/>
    <cellStyle name="Note 2 19 35" xfId="15178"/>
    <cellStyle name="Note 2 19 35 2" xfId="15179"/>
    <cellStyle name="Note 2 19 36" xfId="15180"/>
    <cellStyle name="Note 2 19 36 2" xfId="15181"/>
    <cellStyle name="Note 2 19 37" xfId="15182"/>
    <cellStyle name="Note 2 19 37 2" xfId="15183"/>
    <cellStyle name="Note 2 19 38" xfId="15184"/>
    <cellStyle name="Note 2 19 38 2" xfId="15185"/>
    <cellStyle name="Note 2 19 39" xfId="15186"/>
    <cellStyle name="Note 2 19 39 2" xfId="15187"/>
    <cellStyle name="Note 2 19 4" xfId="15188"/>
    <cellStyle name="Note 2 19 4 10" xfId="15189"/>
    <cellStyle name="Note 2 19 4 11" xfId="15190"/>
    <cellStyle name="Note 2 19 4 12" xfId="15191"/>
    <cellStyle name="Note 2 19 4 13" xfId="15192"/>
    <cellStyle name="Note 2 19 4 2" xfId="15193"/>
    <cellStyle name="Note 2 19 4 2 2" xfId="15194"/>
    <cellStyle name="Note 2 19 4 2 3" xfId="15195"/>
    <cellStyle name="Note 2 19 4 3" xfId="15196"/>
    <cellStyle name="Note 2 19 4 3 2" xfId="15197"/>
    <cellStyle name="Note 2 19 4 4" xfId="15198"/>
    <cellStyle name="Note 2 19 4 4 2" xfId="15199"/>
    <cellStyle name="Note 2 19 4 5" xfId="15200"/>
    <cellStyle name="Note 2 19 4 5 2" xfId="15201"/>
    <cellStyle name="Note 2 19 4 5 3" xfId="15202"/>
    <cellStyle name="Note 2 19 4 5 4" xfId="15203"/>
    <cellStyle name="Note 2 19 4 5 5" xfId="15204"/>
    <cellStyle name="Note 2 19 4 5 6" xfId="15205"/>
    <cellStyle name="Note 2 19 4 6" xfId="15206"/>
    <cellStyle name="Note 2 19 4 6 2" xfId="15207"/>
    <cellStyle name="Note 2 19 4 7" xfId="15208"/>
    <cellStyle name="Note 2 19 4 7 2" xfId="15209"/>
    <cellStyle name="Note 2 19 4 8" xfId="15210"/>
    <cellStyle name="Note 2 19 4 8 2" xfId="15211"/>
    <cellStyle name="Note 2 19 4 9" xfId="15212"/>
    <cellStyle name="Note 2 19 4 9 2" xfId="15213"/>
    <cellStyle name="Note 2 19 40" xfId="15214"/>
    <cellStyle name="Note 2 19 40 2" xfId="15215"/>
    <cellStyle name="Note 2 19 41" xfId="15216"/>
    <cellStyle name="Note 2 19 41 2" xfId="15217"/>
    <cellStyle name="Note 2 19 42" xfId="15218"/>
    <cellStyle name="Note 2 19 42 2" xfId="15219"/>
    <cellStyle name="Note 2 19 43" xfId="15220"/>
    <cellStyle name="Note 2 19 43 2" xfId="15221"/>
    <cellStyle name="Note 2 19 44" xfId="15222"/>
    <cellStyle name="Note 2 19 44 2" xfId="15223"/>
    <cellStyle name="Note 2 19 45" xfId="15224"/>
    <cellStyle name="Note 2 19 45 2" xfId="15225"/>
    <cellStyle name="Note 2 19 46" xfId="15226"/>
    <cellStyle name="Note 2 19 46 2" xfId="15227"/>
    <cellStyle name="Note 2 19 47" xfId="15228"/>
    <cellStyle name="Note 2 19 47 2" xfId="15229"/>
    <cellStyle name="Note 2 19 48" xfId="15230"/>
    <cellStyle name="Note 2 19 48 2" xfId="15231"/>
    <cellStyle name="Note 2 19 49" xfId="15232"/>
    <cellStyle name="Note 2 19 49 2" xfId="15233"/>
    <cellStyle name="Note 2 19 5" xfId="15234"/>
    <cellStyle name="Note 2 19 5 2" xfId="15235"/>
    <cellStyle name="Note 2 19 5 2 2" xfId="15236"/>
    <cellStyle name="Note 2 19 5 3" xfId="15237"/>
    <cellStyle name="Note 2 19 5 3 2" xfId="15238"/>
    <cellStyle name="Note 2 19 5 4" xfId="15239"/>
    <cellStyle name="Note 2 19 5 4 2" xfId="15240"/>
    <cellStyle name="Note 2 19 5 5" xfId="15241"/>
    <cellStyle name="Note 2 19 50" xfId="15242"/>
    <cellStyle name="Note 2 19 50 2" xfId="15243"/>
    <cellStyle name="Note 2 19 51" xfId="15244"/>
    <cellStyle name="Note 2 19 51 2" xfId="15245"/>
    <cellStyle name="Note 2 19 52" xfId="15246"/>
    <cellStyle name="Note 2 19 52 2" xfId="15247"/>
    <cellStyle name="Note 2 19 53" xfId="15248"/>
    <cellStyle name="Note 2 19 53 2" xfId="15249"/>
    <cellStyle name="Note 2 19 54" xfId="15250"/>
    <cellStyle name="Note 2 19 54 2" xfId="15251"/>
    <cellStyle name="Note 2 19 55" xfId="15252"/>
    <cellStyle name="Note 2 19 55 2" xfId="15253"/>
    <cellStyle name="Note 2 19 56" xfId="15254"/>
    <cellStyle name="Note 2 19 56 2" xfId="15255"/>
    <cellStyle name="Note 2 19 57" xfId="15256"/>
    <cellStyle name="Note 2 19 57 2" xfId="15257"/>
    <cellStyle name="Note 2 19 58" xfId="15258"/>
    <cellStyle name="Note 2 19 58 2" xfId="15259"/>
    <cellStyle name="Note 2 19 59" xfId="15260"/>
    <cellStyle name="Note 2 19 59 2" xfId="15261"/>
    <cellStyle name="Note 2 19 6" xfId="15262"/>
    <cellStyle name="Note 2 19 6 2" xfId="15263"/>
    <cellStyle name="Note 2 19 6 2 2" xfId="15264"/>
    <cellStyle name="Note 2 19 6 3" xfId="15265"/>
    <cellStyle name="Note 2 19 6 3 2" xfId="15266"/>
    <cellStyle name="Note 2 19 6 4" xfId="15267"/>
    <cellStyle name="Note 2 19 6 4 2" xfId="15268"/>
    <cellStyle name="Note 2 19 6 5" xfId="15269"/>
    <cellStyle name="Note 2 19 60" xfId="15270"/>
    <cellStyle name="Note 2 19 60 2" xfId="15271"/>
    <cellStyle name="Note 2 19 61" xfId="15272"/>
    <cellStyle name="Note 2 19 61 2" xfId="15273"/>
    <cellStyle name="Note 2 19 61 3" xfId="15274"/>
    <cellStyle name="Note 2 19 61 4" xfId="15275"/>
    <cellStyle name="Note 2 19 61 5" xfId="15276"/>
    <cellStyle name="Note 2 19 61 6" xfId="15277"/>
    <cellStyle name="Note 2 19 62" xfId="15278"/>
    <cellStyle name="Note 2 19 62 2" xfId="15279"/>
    <cellStyle name="Note 2 19 63" xfId="15280"/>
    <cellStyle name="Note 2 19 63 2" xfId="15281"/>
    <cellStyle name="Note 2 19 64" xfId="15282"/>
    <cellStyle name="Note 2 19 64 2" xfId="15283"/>
    <cellStyle name="Note 2 19 65" xfId="15284"/>
    <cellStyle name="Note 2 19 65 2" xfId="15285"/>
    <cellStyle name="Note 2 19 66" xfId="15286"/>
    <cellStyle name="Note 2 19 67" xfId="15287"/>
    <cellStyle name="Note 2 19 68" xfId="15288"/>
    <cellStyle name="Note 2 19 69" xfId="15289"/>
    <cellStyle name="Note 2 19 7" xfId="15290"/>
    <cellStyle name="Note 2 19 7 2" xfId="15291"/>
    <cellStyle name="Note 2 19 7 2 2" xfId="15292"/>
    <cellStyle name="Note 2 19 7 3" xfId="15293"/>
    <cellStyle name="Note 2 19 7 3 2" xfId="15294"/>
    <cellStyle name="Note 2 19 7 4" xfId="15295"/>
    <cellStyle name="Note 2 19 7 4 2" xfId="15296"/>
    <cellStyle name="Note 2 19 7 5" xfId="15297"/>
    <cellStyle name="Note 2 19 8" xfId="15298"/>
    <cellStyle name="Note 2 19 8 2" xfId="15299"/>
    <cellStyle name="Note 2 19 8 2 2" xfId="15300"/>
    <cellStyle name="Note 2 19 8 3" xfId="15301"/>
    <cellStyle name="Note 2 19 8 3 2" xfId="15302"/>
    <cellStyle name="Note 2 19 8 4" xfId="15303"/>
    <cellStyle name="Note 2 19 8 4 2" xfId="15304"/>
    <cellStyle name="Note 2 19 8 5" xfId="15305"/>
    <cellStyle name="Note 2 19 9" xfId="15306"/>
    <cellStyle name="Note 2 19 9 2" xfId="15307"/>
    <cellStyle name="Note 2 19 9 2 2" xfId="15308"/>
    <cellStyle name="Note 2 19 9 3" xfId="15309"/>
    <cellStyle name="Note 2 19 9 3 2" xfId="15310"/>
    <cellStyle name="Note 2 19 9 4" xfId="15311"/>
    <cellStyle name="Note 2 19 9 4 2" xfId="15312"/>
    <cellStyle name="Note 2 19 9 5" xfId="15313"/>
    <cellStyle name="Note 2 2" xfId="15314"/>
    <cellStyle name="Note 2 2 10" xfId="15315"/>
    <cellStyle name="Note 2 2 10 10" xfId="15316"/>
    <cellStyle name="Note 2 2 10 10 2" xfId="15317"/>
    <cellStyle name="Note 2 2 10 10 2 2" xfId="15318"/>
    <cellStyle name="Note 2 2 10 10 3" xfId="15319"/>
    <cellStyle name="Note 2 2 10 10 3 2" xfId="15320"/>
    <cellStyle name="Note 2 2 10 10 4" xfId="15321"/>
    <cellStyle name="Note 2 2 10 10 4 2" xfId="15322"/>
    <cellStyle name="Note 2 2 10 10 5" xfId="15323"/>
    <cellStyle name="Note 2 2 10 11" xfId="15324"/>
    <cellStyle name="Note 2 2 10 11 2" xfId="15325"/>
    <cellStyle name="Note 2 2 10 11 2 2" xfId="15326"/>
    <cellStyle name="Note 2 2 10 11 3" xfId="15327"/>
    <cellStyle name="Note 2 2 10 11 3 2" xfId="15328"/>
    <cellStyle name="Note 2 2 10 11 4" xfId="15329"/>
    <cellStyle name="Note 2 2 10 11 4 2" xfId="15330"/>
    <cellStyle name="Note 2 2 10 11 5" xfId="15331"/>
    <cellStyle name="Note 2 2 10 12" xfId="15332"/>
    <cellStyle name="Note 2 2 10 12 2" xfId="15333"/>
    <cellStyle name="Note 2 2 10 12 2 2" xfId="15334"/>
    <cellStyle name="Note 2 2 10 12 3" xfId="15335"/>
    <cellStyle name="Note 2 2 10 12 3 2" xfId="15336"/>
    <cellStyle name="Note 2 2 10 12 4" xfId="15337"/>
    <cellStyle name="Note 2 2 10 12 4 2" xfId="15338"/>
    <cellStyle name="Note 2 2 10 12 5" xfId="15339"/>
    <cellStyle name="Note 2 2 10 13" xfId="15340"/>
    <cellStyle name="Note 2 2 10 13 2" xfId="15341"/>
    <cellStyle name="Note 2 2 10 13 2 2" xfId="15342"/>
    <cellStyle name="Note 2 2 10 13 3" xfId="15343"/>
    <cellStyle name="Note 2 2 10 13 3 2" xfId="15344"/>
    <cellStyle name="Note 2 2 10 13 4" xfId="15345"/>
    <cellStyle name="Note 2 2 10 13 4 2" xfId="15346"/>
    <cellStyle name="Note 2 2 10 13 5" xfId="15347"/>
    <cellStyle name="Note 2 2 10 14" xfId="15348"/>
    <cellStyle name="Note 2 2 10 14 2" xfId="15349"/>
    <cellStyle name="Note 2 2 10 14 2 2" xfId="15350"/>
    <cellStyle name="Note 2 2 10 14 3" xfId="15351"/>
    <cellStyle name="Note 2 2 10 14 3 2" xfId="15352"/>
    <cellStyle name="Note 2 2 10 14 4" xfId="15353"/>
    <cellStyle name="Note 2 2 10 14 4 2" xfId="15354"/>
    <cellStyle name="Note 2 2 10 14 5" xfId="15355"/>
    <cellStyle name="Note 2 2 10 15" xfId="15356"/>
    <cellStyle name="Note 2 2 10 15 2" xfId="15357"/>
    <cellStyle name="Note 2 2 10 16" xfId="15358"/>
    <cellStyle name="Note 2 2 10 16 2" xfId="15359"/>
    <cellStyle name="Note 2 2 10 17" xfId="15360"/>
    <cellStyle name="Note 2 2 10 17 2" xfId="15361"/>
    <cellStyle name="Note 2 2 10 18" xfId="15362"/>
    <cellStyle name="Note 2 2 10 18 2" xfId="15363"/>
    <cellStyle name="Note 2 2 10 19" xfId="15364"/>
    <cellStyle name="Note 2 2 10 19 2" xfId="15365"/>
    <cellStyle name="Note 2 2 10 2" xfId="15366"/>
    <cellStyle name="Note 2 2 10 2 10" xfId="15367"/>
    <cellStyle name="Note 2 2 10 2 10 2" xfId="15368"/>
    <cellStyle name="Note 2 2 10 2 11" xfId="15369"/>
    <cellStyle name="Note 2 2 10 2 11 2" xfId="15370"/>
    <cellStyle name="Note 2 2 10 2 12" xfId="15371"/>
    <cellStyle name="Note 2 2 10 2 12 2" xfId="15372"/>
    <cellStyle name="Note 2 2 10 2 13" xfId="15373"/>
    <cellStyle name="Note 2 2 10 2 13 2" xfId="15374"/>
    <cellStyle name="Note 2 2 10 2 14" xfId="15375"/>
    <cellStyle name="Note 2 2 10 2 14 2" xfId="15376"/>
    <cellStyle name="Note 2 2 10 2 15" xfId="15377"/>
    <cellStyle name="Note 2 2 10 2 15 2" xfId="15378"/>
    <cellStyle name="Note 2 2 10 2 16" xfId="15379"/>
    <cellStyle name="Note 2 2 10 2 16 2" xfId="15380"/>
    <cellStyle name="Note 2 2 10 2 17" xfId="15381"/>
    <cellStyle name="Note 2 2 10 2 17 2" xfId="15382"/>
    <cellStyle name="Note 2 2 10 2 18" xfId="15383"/>
    <cellStyle name="Note 2 2 10 2 18 2" xfId="15384"/>
    <cellStyle name="Note 2 2 10 2 19" xfId="15385"/>
    <cellStyle name="Note 2 2 10 2 19 2" xfId="15386"/>
    <cellStyle name="Note 2 2 10 2 2" xfId="15387"/>
    <cellStyle name="Note 2 2 10 2 2 2" xfId="15388"/>
    <cellStyle name="Note 2 2 10 2 2 3" xfId="15389"/>
    <cellStyle name="Note 2 2 10 2 20" xfId="15390"/>
    <cellStyle name="Note 2 2 10 2 20 2" xfId="15391"/>
    <cellStyle name="Note 2 2 10 2 21" xfId="15392"/>
    <cellStyle name="Note 2 2 10 2 21 2" xfId="15393"/>
    <cellStyle name="Note 2 2 10 2 22" xfId="15394"/>
    <cellStyle name="Note 2 2 10 2 22 2" xfId="15395"/>
    <cellStyle name="Note 2 2 10 2 23" xfId="15396"/>
    <cellStyle name="Note 2 2 10 2 23 2" xfId="15397"/>
    <cellStyle name="Note 2 2 10 2 24" xfId="15398"/>
    <cellStyle name="Note 2 2 10 2 24 2" xfId="15399"/>
    <cellStyle name="Note 2 2 10 2 25" xfId="15400"/>
    <cellStyle name="Note 2 2 10 2 25 2" xfId="15401"/>
    <cellStyle name="Note 2 2 10 2 26" xfId="15402"/>
    <cellStyle name="Note 2 2 10 2 26 2" xfId="15403"/>
    <cellStyle name="Note 2 2 10 2 27" xfId="15404"/>
    <cellStyle name="Note 2 2 10 2 27 2" xfId="15405"/>
    <cellStyle name="Note 2 2 10 2 28" xfId="15406"/>
    <cellStyle name="Note 2 2 10 2 28 2" xfId="15407"/>
    <cellStyle name="Note 2 2 10 2 29" xfId="15408"/>
    <cellStyle name="Note 2 2 10 2 29 2" xfId="15409"/>
    <cellStyle name="Note 2 2 10 2 3" xfId="15410"/>
    <cellStyle name="Note 2 2 10 2 3 2" xfId="15411"/>
    <cellStyle name="Note 2 2 10 2 3 3" xfId="15412"/>
    <cellStyle name="Note 2 2 10 2 30" xfId="15413"/>
    <cellStyle name="Note 2 2 10 2 30 2" xfId="15414"/>
    <cellStyle name="Note 2 2 10 2 31" xfId="15415"/>
    <cellStyle name="Note 2 2 10 2 4" xfId="15416"/>
    <cellStyle name="Note 2 2 10 2 4 2" xfId="15417"/>
    <cellStyle name="Note 2 2 10 2 5" xfId="15418"/>
    <cellStyle name="Note 2 2 10 2 5 2" xfId="15419"/>
    <cellStyle name="Note 2 2 10 2 6" xfId="15420"/>
    <cellStyle name="Note 2 2 10 2 6 2" xfId="15421"/>
    <cellStyle name="Note 2 2 10 2 7" xfId="15422"/>
    <cellStyle name="Note 2 2 10 2 7 2" xfId="15423"/>
    <cellStyle name="Note 2 2 10 2 8" xfId="15424"/>
    <cellStyle name="Note 2 2 10 2 8 2" xfId="15425"/>
    <cellStyle name="Note 2 2 10 2 9" xfId="15426"/>
    <cellStyle name="Note 2 2 10 2 9 2" xfId="15427"/>
    <cellStyle name="Note 2 2 10 20" xfId="15428"/>
    <cellStyle name="Note 2 2 10 20 2" xfId="15429"/>
    <cellStyle name="Note 2 2 10 21" xfId="15430"/>
    <cellStyle name="Note 2 2 10 21 2" xfId="15431"/>
    <cellStyle name="Note 2 2 10 22" xfId="15432"/>
    <cellStyle name="Note 2 2 10 22 2" xfId="15433"/>
    <cellStyle name="Note 2 2 10 23" xfId="15434"/>
    <cellStyle name="Note 2 2 10 23 2" xfId="15435"/>
    <cellStyle name="Note 2 2 10 24" xfId="15436"/>
    <cellStyle name="Note 2 2 10 24 2" xfId="15437"/>
    <cellStyle name="Note 2 2 10 25" xfId="15438"/>
    <cellStyle name="Note 2 2 10 25 2" xfId="15439"/>
    <cellStyle name="Note 2 2 10 26" xfId="15440"/>
    <cellStyle name="Note 2 2 10 26 2" xfId="15441"/>
    <cellStyle name="Note 2 2 10 27" xfId="15442"/>
    <cellStyle name="Note 2 2 10 27 2" xfId="15443"/>
    <cellStyle name="Note 2 2 10 28" xfId="15444"/>
    <cellStyle name="Note 2 2 10 28 2" xfId="15445"/>
    <cellStyle name="Note 2 2 10 29" xfId="15446"/>
    <cellStyle name="Note 2 2 10 29 2" xfId="15447"/>
    <cellStyle name="Note 2 2 10 3" xfId="15448"/>
    <cellStyle name="Note 2 2 10 3 2" xfId="15449"/>
    <cellStyle name="Note 2 2 10 3 2 2" xfId="15450"/>
    <cellStyle name="Note 2 2 10 3 3" xfId="15451"/>
    <cellStyle name="Note 2 2 10 3 3 2" xfId="15452"/>
    <cellStyle name="Note 2 2 10 3 4" xfId="15453"/>
    <cellStyle name="Note 2 2 10 3 4 2" xfId="15454"/>
    <cellStyle name="Note 2 2 10 3 5" xfId="15455"/>
    <cellStyle name="Note 2 2 10 30" xfId="15456"/>
    <cellStyle name="Note 2 2 10 30 2" xfId="15457"/>
    <cellStyle name="Note 2 2 10 31" xfId="15458"/>
    <cellStyle name="Note 2 2 10 31 2" xfId="15459"/>
    <cellStyle name="Note 2 2 10 32" xfId="15460"/>
    <cellStyle name="Note 2 2 10 32 2" xfId="15461"/>
    <cellStyle name="Note 2 2 10 33" xfId="15462"/>
    <cellStyle name="Note 2 2 10 33 2" xfId="15463"/>
    <cellStyle name="Note 2 2 10 34" xfId="15464"/>
    <cellStyle name="Note 2 2 10 34 2" xfId="15465"/>
    <cellStyle name="Note 2 2 10 35" xfId="15466"/>
    <cellStyle name="Note 2 2 10 35 2" xfId="15467"/>
    <cellStyle name="Note 2 2 10 36" xfId="15468"/>
    <cellStyle name="Note 2 2 10 36 2" xfId="15469"/>
    <cellStyle name="Note 2 2 10 37" xfId="15470"/>
    <cellStyle name="Note 2 2 10 37 2" xfId="15471"/>
    <cellStyle name="Note 2 2 10 38" xfId="15472"/>
    <cellStyle name="Note 2 2 10 38 2" xfId="15473"/>
    <cellStyle name="Note 2 2 10 39" xfId="15474"/>
    <cellStyle name="Note 2 2 10 39 2" xfId="15475"/>
    <cellStyle name="Note 2 2 10 4" xfId="15476"/>
    <cellStyle name="Note 2 2 10 4 2" xfId="15477"/>
    <cellStyle name="Note 2 2 10 4 2 2" xfId="15478"/>
    <cellStyle name="Note 2 2 10 4 3" xfId="15479"/>
    <cellStyle name="Note 2 2 10 4 3 2" xfId="15480"/>
    <cellStyle name="Note 2 2 10 4 4" xfId="15481"/>
    <cellStyle name="Note 2 2 10 4 4 2" xfId="15482"/>
    <cellStyle name="Note 2 2 10 4 5" xfId="15483"/>
    <cellStyle name="Note 2 2 10 40" xfId="15484"/>
    <cellStyle name="Note 2 2 10 40 2" xfId="15485"/>
    <cellStyle name="Note 2 2 10 41" xfId="15486"/>
    <cellStyle name="Note 2 2 10 41 2" xfId="15487"/>
    <cellStyle name="Note 2 2 10 42" xfId="15488"/>
    <cellStyle name="Note 2 2 10 42 2" xfId="15489"/>
    <cellStyle name="Note 2 2 10 43" xfId="15490"/>
    <cellStyle name="Note 2 2 10 43 2" xfId="15491"/>
    <cellStyle name="Note 2 2 10 44" xfId="15492"/>
    <cellStyle name="Note 2 2 10 44 2" xfId="15493"/>
    <cellStyle name="Note 2 2 10 45" xfId="15494"/>
    <cellStyle name="Note 2 2 10 45 2" xfId="15495"/>
    <cellStyle name="Note 2 2 10 46" xfId="15496"/>
    <cellStyle name="Note 2 2 10 46 2" xfId="15497"/>
    <cellStyle name="Note 2 2 10 47" xfId="15498"/>
    <cellStyle name="Note 2 2 10 47 2" xfId="15499"/>
    <cellStyle name="Note 2 2 10 48" xfId="15500"/>
    <cellStyle name="Note 2 2 10 48 2" xfId="15501"/>
    <cellStyle name="Note 2 2 10 49" xfId="15502"/>
    <cellStyle name="Note 2 2 10 49 2" xfId="15503"/>
    <cellStyle name="Note 2 2 10 5" xfId="15504"/>
    <cellStyle name="Note 2 2 10 5 2" xfId="15505"/>
    <cellStyle name="Note 2 2 10 5 2 2" xfId="15506"/>
    <cellStyle name="Note 2 2 10 5 3" xfId="15507"/>
    <cellStyle name="Note 2 2 10 5 3 2" xfId="15508"/>
    <cellStyle name="Note 2 2 10 5 4" xfId="15509"/>
    <cellStyle name="Note 2 2 10 5 4 2" xfId="15510"/>
    <cellStyle name="Note 2 2 10 5 5" xfId="15511"/>
    <cellStyle name="Note 2 2 10 50" xfId="15512"/>
    <cellStyle name="Note 2 2 10 50 2" xfId="15513"/>
    <cellStyle name="Note 2 2 10 51" xfId="15514"/>
    <cellStyle name="Note 2 2 10 51 2" xfId="15515"/>
    <cellStyle name="Note 2 2 10 52" xfId="15516"/>
    <cellStyle name="Note 2 2 10 52 2" xfId="15517"/>
    <cellStyle name="Note 2 2 10 53" xfId="15518"/>
    <cellStyle name="Note 2 2 10 53 2" xfId="15519"/>
    <cellStyle name="Note 2 2 10 54" xfId="15520"/>
    <cellStyle name="Note 2 2 10 54 2" xfId="15521"/>
    <cellStyle name="Note 2 2 10 55" xfId="15522"/>
    <cellStyle name="Note 2 2 10 55 2" xfId="15523"/>
    <cellStyle name="Note 2 2 10 56" xfId="15524"/>
    <cellStyle name="Note 2 2 10 56 2" xfId="15525"/>
    <cellStyle name="Note 2 2 10 57" xfId="15526"/>
    <cellStyle name="Note 2 2 10 57 2" xfId="15527"/>
    <cellStyle name="Note 2 2 10 58" xfId="15528"/>
    <cellStyle name="Note 2 2 10 58 2" xfId="15529"/>
    <cellStyle name="Note 2 2 10 59" xfId="15530"/>
    <cellStyle name="Note 2 2 10 59 2" xfId="15531"/>
    <cellStyle name="Note 2 2 10 6" xfId="15532"/>
    <cellStyle name="Note 2 2 10 6 2" xfId="15533"/>
    <cellStyle name="Note 2 2 10 6 2 2" xfId="15534"/>
    <cellStyle name="Note 2 2 10 6 3" xfId="15535"/>
    <cellStyle name="Note 2 2 10 6 3 2" xfId="15536"/>
    <cellStyle name="Note 2 2 10 6 4" xfId="15537"/>
    <cellStyle name="Note 2 2 10 6 4 2" xfId="15538"/>
    <cellStyle name="Note 2 2 10 6 5" xfId="15539"/>
    <cellStyle name="Note 2 2 10 60" xfId="15540"/>
    <cellStyle name="Note 2 2 10 60 2" xfId="15541"/>
    <cellStyle name="Note 2 2 10 61" xfId="15542"/>
    <cellStyle name="Note 2 2 10 61 2" xfId="15543"/>
    <cellStyle name="Note 2 2 10 62" xfId="15544"/>
    <cellStyle name="Note 2 2 10 7" xfId="15545"/>
    <cellStyle name="Note 2 2 10 7 2" xfId="15546"/>
    <cellStyle name="Note 2 2 10 7 2 2" xfId="15547"/>
    <cellStyle name="Note 2 2 10 7 3" xfId="15548"/>
    <cellStyle name="Note 2 2 10 7 3 2" xfId="15549"/>
    <cellStyle name="Note 2 2 10 7 4" xfId="15550"/>
    <cellStyle name="Note 2 2 10 7 4 2" xfId="15551"/>
    <cellStyle name="Note 2 2 10 7 5" xfId="15552"/>
    <cellStyle name="Note 2 2 10 8" xfId="15553"/>
    <cellStyle name="Note 2 2 10 8 2" xfId="15554"/>
    <cellStyle name="Note 2 2 10 8 2 2" xfId="15555"/>
    <cellStyle name="Note 2 2 10 8 3" xfId="15556"/>
    <cellStyle name="Note 2 2 10 8 3 2" xfId="15557"/>
    <cellStyle name="Note 2 2 10 8 4" xfId="15558"/>
    <cellStyle name="Note 2 2 10 8 4 2" xfId="15559"/>
    <cellStyle name="Note 2 2 10 8 5" xfId="15560"/>
    <cellStyle name="Note 2 2 10 9" xfId="15561"/>
    <cellStyle name="Note 2 2 10 9 2" xfId="15562"/>
    <cellStyle name="Note 2 2 10 9 2 2" xfId="15563"/>
    <cellStyle name="Note 2 2 10 9 3" xfId="15564"/>
    <cellStyle name="Note 2 2 10 9 3 2" xfId="15565"/>
    <cellStyle name="Note 2 2 10 9 4" xfId="15566"/>
    <cellStyle name="Note 2 2 10 9 4 2" xfId="15567"/>
    <cellStyle name="Note 2 2 10 9 5" xfId="15568"/>
    <cellStyle name="Note 2 2 100" xfId="15569"/>
    <cellStyle name="Note 2 2 100 2" xfId="15570"/>
    <cellStyle name="Note 2 2 101" xfId="15571"/>
    <cellStyle name="Note 2 2 101 2" xfId="15572"/>
    <cellStyle name="Note 2 2 101 2 2" xfId="15573"/>
    <cellStyle name="Note 2 2 101 2 3" xfId="15574"/>
    <cellStyle name="Note 2 2 101 2 4" xfId="15575"/>
    <cellStyle name="Note 2 2 101 2 5" xfId="15576"/>
    <cellStyle name="Note 2 2 101 2 6" xfId="15577"/>
    <cellStyle name="Note 2 2 101 3" xfId="15578"/>
    <cellStyle name="Note 2 2 101 3 2" xfId="15579"/>
    <cellStyle name="Note 2 2 101 4" xfId="15580"/>
    <cellStyle name="Note 2 2 101 4 2" xfId="15581"/>
    <cellStyle name="Note 2 2 101 5" xfId="15582"/>
    <cellStyle name="Note 2 2 101 5 2" xfId="15583"/>
    <cellStyle name="Note 2 2 101 6" xfId="15584"/>
    <cellStyle name="Note 2 2 101 7" xfId="15585"/>
    <cellStyle name="Note 2 2 101 8" xfId="15586"/>
    <cellStyle name="Note 2 2 101 9" xfId="15587"/>
    <cellStyle name="Note 2 2 102" xfId="15588"/>
    <cellStyle name="Note 2 2 102 2" xfId="15589"/>
    <cellStyle name="Note 2 2 102 2 2" xfId="15590"/>
    <cellStyle name="Note 2 2 102 2 3" xfId="15591"/>
    <cellStyle name="Note 2 2 102 2 4" xfId="15592"/>
    <cellStyle name="Note 2 2 102 2 5" xfId="15593"/>
    <cellStyle name="Note 2 2 102 2 6" xfId="15594"/>
    <cellStyle name="Note 2 2 102 3" xfId="15595"/>
    <cellStyle name="Note 2 2 102 3 2" xfId="15596"/>
    <cellStyle name="Note 2 2 102 4" xfId="15597"/>
    <cellStyle name="Note 2 2 102 4 2" xfId="15598"/>
    <cellStyle name="Note 2 2 102 5" xfId="15599"/>
    <cellStyle name="Note 2 2 102 6" xfId="15600"/>
    <cellStyle name="Note 2 2 102 7" xfId="15601"/>
    <cellStyle name="Note 2 2 102 8" xfId="15602"/>
    <cellStyle name="Note 2 2 103" xfId="15603"/>
    <cellStyle name="Note 2 2 103 2" xfId="15604"/>
    <cellStyle name="Note 2 2 103 2 2" xfId="15605"/>
    <cellStyle name="Note 2 2 103 3" xfId="15606"/>
    <cellStyle name="Note 2 2 103 3 2" xfId="15607"/>
    <cellStyle name="Note 2 2 103 4" xfId="15608"/>
    <cellStyle name="Note 2 2 103 4 2" xfId="15609"/>
    <cellStyle name="Note 2 2 103 5" xfId="15610"/>
    <cellStyle name="Note 2 2 104" xfId="15611"/>
    <cellStyle name="Note 2 2 104 2" xfId="15612"/>
    <cellStyle name="Note 2 2 104 2 2" xfId="15613"/>
    <cellStyle name="Note 2 2 104 3" xfId="15614"/>
    <cellStyle name="Note 2 2 104 3 2" xfId="15615"/>
    <cellStyle name="Note 2 2 104 4" xfId="15616"/>
    <cellStyle name="Note 2 2 105" xfId="15617"/>
    <cellStyle name="Note 2 2 105 2" xfId="15618"/>
    <cellStyle name="Note 2 2 105 2 2" xfId="15619"/>
    <cellStyle name="Note 2 2 105 3" xfId="15620"/>
    <cellStyle name="Note 2 2 106" xfId="15621"/>
    <cellStyle name="Note 2 2 107" xfId="15622"/>
    <cellStyle name="Note 2 2 108" xfId="15623"/>
    <cellStyle name="Note 2 2 109" xfId="15624"/>
    <cellStyle name="Note 2 2 11" xfId="15625"/>
    <cellStyle name="Note 2 2 11 10" xfId="15626"/>
    <cellStyle name="Note 2 2 11 10 2" xfId="15627"/>
    <cellStyle name="Note 2 2 11 10 2 2" xfId="15628"/>
    <cellStyle name="Note 2 2 11 10 3" xfId="15629"/>
    <cellStyle name="Note 2 2 11 10 3 2" xfId="15630"/>
    <cellStyle name="Note 2 2 11 10 4" xfId="15631"/>
    <cellStyle name="Note 2 2 11 10 4 2" xfId="15632"/>
    <cellStyle name="Note 2 2 11 10 5" xfId="15633"/>
    <cellStyle name="Note 2 2 11 11" xfId="15634"/>
    <cellStyle name="Note 2 2 11 11 2" xfId="15635"/>
    <cellStyle name="Note 2 2 11 11 2 2" xfId="15636"/>
    <cellStyle name="Note 2 2 11 11 3" xfId="15637"/>
    <cellStyle name="Note 2 2 11 11 3 2" xfId="15638"/>
    <cellStyle name="Note 2 2 11 11 4" xfId="15639"/>
    <cellStyle name="Note 2 2 11 11 4 2" xfId="15640"/>
    <cellStyle name="Note 2 2 11 11 5" xfId="15641"/>
    <cellStyle name="Note 2 2 11 12" xfId="15642"/>
    <cellStyle name="Note 2 2 11 12 2" xfId="15643"/>
    <cellStyle name="Note 2 2 11 12 2 2" xfId="15644"/>
    <cellStyle name="Note 2 2 11 12 3" xfId="15645"/>
    <cellStyle name="Note 2 2 11 12 3 2" xfId="15646"/>
    <cellStyle name="Note 2 2 11 12 4" xfId="15647"/>
    <cellStyle name="Note 2 2 11 12 4 2" xfId="15648"/>
    <cellStyle name="Note 2 2 11 12 5" xfId="15649"/>
    <cellStyle name="Note 2 2 11 13" xfId="15650"/>
    <cellStyle name="Note 2 2 11 13 2" xfId="15651"/>
    <cellStyle name="Note 2 2 11 13 2 2" xfId="15652"/>
    <cellStyle name="Note 2 2 11 13 3" xfId="15653"/>
    <cellStyle name="Note 2 2 11 13 3 2" xfId="15654"/>
    <cellStyle name="Note 2 2 11 13 4" xfId="15655"/>
    <cellStyle name="Note 2 2 11 13 4 2" xfId="15656"/>
    <cellStyle name="Note 2 2 11 13 5" xfId="15657"/>
    <cellStyle name="Note 2 2 11 14" xfId="15658"/>
    <cellStyle name="Note 2 2 11 14 2" xfId="15659"/>
    <cellStyle name="Note 2 2 11 14 2 2" xfId="15660"/>
    <cellStyle name="Note 2 2 11 14 3" xfId="15661"/>
    <cellStyle name="Note 2 2 11 14 3 2" xfId="15662"/>
    <cellStyle name="Note 2 2 11 14 4" xfId="15663"/>
    <cellStyle name="Note 2 2 11 14 4 2" xfId="15664"/>
    <cellStyle name="Note 2 2 11 14 5" xfId="15665"/>
    <cellStyle name="Note 2 2 11 15" xfId="15666"/>
    <cellStyle name="Note 2 2 11 15 2" xfId="15667"/>
    <cellStyle name="Note 2 2 11 16" xfId="15668"/>
    <cellStyle name="Note 2 2 11 16 2" xfId="15669"/>
    <cellStyle name="Note 2 2 11 17" xfId="15670"/>
    <cellStyle name="Note 2 2 11 17 2" xfId="15671"/>
    <cellStyle name="Note 2 2 11 18" xfId="15672"/>
    <cellStyle name="Note 2 2 11 18 2" xfId="15673"/>
    <cellStyle name="Note 2 2 11 19" xfId="15674"/>
    <cellStyle name="Note 2 2 11 19 2" xfId="15675"/>
    <cellStyle name="Note 2 2 11 2" xfId="15676"/>
    <cellStyle name="Note 2 2 11 2 10" xfId="15677"/>
    <cellStyle name="Note 2 2 11 2 10 2" xfId="15678"/>
    <cellStyle name="Note 2 2 11 2 11" xfId="15679"/>
    <cellStyle name="Note 2 2 11 2 11 2" xfId="15680"/>
    <cellStyle name="Note 2 2 11 2 12" xfId="15681"/>
    <cellStyle name="Note 2 2 11 2 12 2" xfId="15682"/>
    <cellStyle name="Note 2 2 11 2 13" xfId="15683"/>
    <cellStyle name="Note 2 2 11 2 13 2" xfId="15684"/>
    <cellStyle name="Note 2 2 11 2 14" xfId="15685"/>
    <cellStyle name="Note 2 2 11 2 14 2" xfId="15686"/>
    <cellStyle name="Note 2 2 11 2 15" xfId="15687"/>
    <cellStyle name="Note 2 2 11 2 15 2" xfId="15688"/>
    <cellStyle name="Note 2 2 11 2 16" xfId="15689"/>
    <cellStyle name="Note 2 2 11 2 16 2" xfId="15690"/>
    <cellStyle name="Note 2 2 11 2 17" xfId="15691"/>
    <cellStyle name="Note 2 2 11 2 17 2" xfId="15692"/>
    <cellStyle name="Note 2 2 11 2 18" xfId="15693"/>
    <cellStyle name="Note 2 2 11 2 18 2" xfId="15694"/>
    <cellStyle name="Note 2 2 11 2 19" xfId="15695"/>
    <cellStyle name="Note 2 2 11 2 19 2" xfId="15696"/>
    <cellStyle name="Note 2 2 11 2 2" xfId="15697"/>
    <cellStyle name="Note 2 2 11 2 2 2" xfId="15698"/>
    <cellStyle name="Note 2 2 11 2 2 3" xfId="15699"/>
    <cellStyle name="Note 2 2 11 2 20" xfId="15700"/>
    <cellStyle name="Note 2 2 11 2 20 2" xfId="15701"/>
    <cellStyle name="Note 2 2 11 2 21" xfId="15702"/>
    <cellStyle name="Note 2 2 11 2 21 2" xfId="15703"/>
    <cellStyle name="Note 2 2 11 2 22" xfId="15704"/>
    <cellStyle name="Note 2 2 11 2 22 2" xfId="15705"/>
    <cellStyle name="Note 2 2 11 2 23" xfId="15706"/>
    <cellStyle name="Note 2 2 11 2 23 2" xfId="15707"/>
    <cellStyle name="Note 2 2 11 2 24" xfId="15708"/>
    <cellStyle name="Note 2 2 11 2 24 2" xfId="15709"/>
    <cellStyle name="Note 2 2 11 2 25" xfId="15710"/>
    <cellStyle name="Note 2 2 11 2 25 2" xfId="15711"/>
    <cellStyle name="Note 2 2 11 2 26" xfId="15712"/>
    <cellStyle name="Note 2 2 11 2 26 2" xfId="15713"/>
    <cellStyle name="Note 2 2 11 2 27" xfId="15714"/>
    <cellStyle name="Note 2 2 11 2 27 2" xfId="15715"/>
    <cellStyle name="Note 2 2 11 2 28" xfId="15716"/>
    <cellStyle name="Note 2 2 11 2 28 2" xfId="15717"/>
    <cellStyle name="Note 2 2 11 2 29" xfId="15718"/>
    <cellStyle name="Note 2 2 11 2 29 2" xfId="15719"/>
    <cellStyle name="Note 2 2 11 2 3" xfId="15720"/>
    <cellStyle name="Note 2 2 11 2 3 2" xfId="15721"/>
    <cellStyle name="Note 2 2 11 2 3 3" xfId="15722"/>
    <cellStyle name="Note 2 2 11 2 30" xfId="15723"/>
    <cellStyle name="Note 2 2 11 2 30 2" xfId="15724"/>
    <cellStyle name="Note 2 2 11 2 31" xfId="15725"/>
    <cellStyle name="Note 2 2 11 2 4" xfId="15726"/>
    <cellStyle name="Note 2 2 11 2 4 2" xfId="15727"/>
    <cellStyle name="Note 2 2 11 2 5" xfId="15728"/>
    <cellStyle name="Note 2 2 11 2 5 2" xfId="15729"/>
    <cellStyle name="Note 2 2 11 2 6" xfId="15730"/>
    <cellStyle name="Note 2 2 11 2 6 2" xfId="15731"/>
    <cellStyle name="Note 2 2 11 2 7" xfId="15732"/>
    <cellStyle name="Note 2 2 11 2 7 2" xfId="15733"/>
    <cellStyle name="Note 2 2 11 2 8" xfId="15734"/>
    <cellStyle name="Note 2 2 11 2 8 2" xfId="15735"/>
    <cellStyle name="Note 2 2 11 2 9" xfId="15736"/>
    <cellStyle name="Note 2 2 11 2 9 2" xfId="15737"/>
    <cellStyle name="Note 2 2 11 20" xfId="15738"/>
    <cellStyle name="Note 2 2 11 20 2" xfId="15739"/>
    <cellStyle name="Note 2 2 11 21" xfId="15740"/>
    <cellStyle name="Note 2 2 11 21 2" xfId="15741"/>
    <cellStyle name="Note 2 2 11 22" xfId="15742"/>
    <cellStyle name="Note 2 2 11 22 2" xfId="15743"/>
    <cellStyle name="Note 2 2 11 23" xfId="15744"/>
    <cellStyle name="Note 2 2 11 23 2" xfId="15745"/>
    <cellStyle name="Note 2 2 11 24" xfId="15746"/>
    <cellStyle name="Note 2 2 11 24 2" xfId="15747"/>
    <cellStyle name="Note 2 2 11 25" xfId="15748"/>
    <cellStyle name="Note 2 2 11 25 2" xfId="15749"/>
    <cellStyle name="Note 2 2 11 26" xfId="15750"/>
    <cellStyle name="Note 2 2 11 26 2" xfId="15751"/>
    <cellStyle name="Note 2 2 11 27" xfId="15752"/>
    <cellStyle name="Note 2 2 11 27 2" xfId="15753"/>
    <cellStyle name="Note 2 2 11 28" xfId="15754"/>
    <cellStyle name="Note 2 2 11 28 2" xfId="15755"/>
    <cellStyle name="Note 2 2 11 29" xfId="15756"/>
    <cellStyle name="Note 2 2 11 29 2" xfId="15757"/>
    <cellStyle name="Note 2 2 11 3" xfId="15758"/>
    <cellStyle name="Note 2 2 11 3 2" xfId="15759"/>
    <cellStyle name="Note 2 2 11 3 2 2" xfId="15760"/>
    <cellStyle name="Note 2 2 11 3 3" xfId="15761"/>
    <cellStyle name="Note 2 2 11 3 3 2" xfId="15762"/>
    <cellStyle name="Note 2 2 11 3 4" xfId="15763"/>
    <cellStyle name="Note 2 2 11 3 4 2" xfId="15764"/>
    <cellStyle name="Note 2 2 11 3 5" xfId="15765"/>
    <cellStyle name="Note 2 2 11 30" xfId="15766"/>
    <cellStyle name="Note 2 2 11 30 2" xfId="15767"/>
    <cellStyle name="Note 2 2 11 31" xfId="15768"/>
    <cellStyle name="Note 2 2 11 31 2" xfId="15769"/>
    <cellStyle name="Note 2 2 11 32" xfId="15770"/>
    <cellStyle name="Note 2 2 11 32 2" xfId="15771"/>
    <cellStyle name="Note 2 2 11 33" xfId="15772"/>
    <cellStyle name="Note 2 2 11 33 2" xfId="15773"/>
    <cellStyle name="Note 2 2 11 34" xfId="15774"/>
    <cellStyle name="Note 2 2 11 34 2" xfId="15775"/>
    <cellStyle name="Note 2 2 11 35" xfId="15776"/>
    <cellStyle name="Note 2 2 11 35 2" xfId="15777"/>
    <cellStyle name="Note 2 2 11 36" xfId="15778"/>
    <cellStyle name="Note 2 2 11 36 2" xfId="15779"/>
    <cellStyle name="Note 2 2 11 37" xfId="15780"/>
    <cellStyle name="Note 2 2 11 37 2" xfId="15781"/>
    <cellStyle name="Note 2 2 11 38" xfId="15782"/>
    <cellStyle name="Note 2 2 11 38 2" xfId="15783"/>
    <cellStyle name="Note 2 2 11 39" xfId="15784"/>
    <cellStyle name="Note 2 2 11 39 2" xfId="15785"/>
    <cellStyle name="Note 2 2 11 4" xfId="15786"/>
    <cellStyle name="Note 2 2 11 4 2" xfId="15787"/>
    <cellStyle name="Note 2 2 11 4 2 2" xfId="15788"/>
    <cellStyle name="Note 2 2 11 4 3" xfId="15789"/>
    <cellStyle name="Note 2 2 11 4 3 2" xfId="15790"/>
    <cellStyle name="Note 2 2 11 4 4" xfId="15791"/>
    <cellStyle name="Note 2 2 11 4 4 2" xfId="15792"/>
    <cellStyle name="Note 2 2 11 4 5" xfId="15793"/>
    <cellStyle name="Note 2 2 11 40" xfId="15794"/>
    <cellStyle name="Note 2 2 11 40 2" xfId="15795"/>
    <cellStyle name="Note 2 2 11 41" xfId="15796"/>
    <cellStyle name="Note 2 2 11 41 2" xfId="15797"/>
    <cellStyle name="Note 2 2 11 42" xfId="15798"/>
    <cellStyle name="Note 2 2 11 42 2" xfId="15799"/>
    <cellStyle name="Note 2 2 11 43" xfId="15800"/>
    <cellStyle name="Note 2 2 11 43 2" xfId="15801"/>
    <cellStyle name="Note 2 2 11 44" xfId="15802"/>
    <cellStyle name="Note 2 2 11 44 2" xfId="15803"/>
    <cellStyle name="Note 2 2 11 45" xfId="15804"/>
    <cellStyle name="Note 2 2 11 45 2" xfId="15805"/>
    <cellStyle name="Note 2 2 11 46" xfId="15806"/>
    <cellStyle name="Note 2 2 11 46 2" xfId="15807"/>
    <cellStyle name="Note 2 2 11 47" xfId="15808"/>
    <cellStyle name="Note 2 2 11 47 2" xfId="15809"/>
    <cellStyle name="Note 2 2 11 48" xfId="15810"/>
    <cellStyle name="Note 2 2 11 48 2" xfId="15811"/>
    <cellStyle name="Note 2 2 11 49" xfId="15812"/>
    <cellStyle name="Note 2 2 11 49 2" xfId="15813"/>
    <cellStyle name="Note 2 2 11 5" xfId="15814"/>
    <cellStyle name="Note 2 2 11 5 2" xfId="15815"/>
    <cellStyle name="Note 2 2 11 5 2 2" xfId="15816"/>
    <cellStyle name="Note 2 2 11 5 3" xfId="15817"/>
    <cellStyle name="Note 2 2 11 5 3 2" xfId="15818"/>
    <cellStyle name="Note 2 2 11 5 4" xfId="15819"/>
    <cellStyle name="Note 2 2 11 5 4 2" xfId="15820"/>
    <cellStyle name="Note 2 2 11 5 5" xfId="15821"/>
    <cellStyle name="Note 2 2 11 50" xfId="15822"/>
    <cellStyle name="Note 2 2 11 50 2" xfId="15823"/>
    <cellStyle name="Note 2 2 11 51" xfId="15824"/>
    <cellStyle name="Note 2 2 11 51 2" xfId="15825"/>
    <cellStyle name="Note 2 2 11 52" xfId="15826"/>
    <cellStyle name="Note 2 2 11 52 2" xfId="15827"/>
    <cellStyle name="Note 2 2 11 53" xfId="15828"/>
    <cellStyle name="Note 2 2 11 53 2" xfId="15829"/>
    <cellStyle name="Note 2 2 11 54" xfId="15830"/>
    <cellStyle name="Note 2 2 11 54 2" xfId="15831"/>
    <cellStyle name="Note 2 2 11 55" xfId="15832"/>
    <cellStyle name="Note 2 2 11 55 2" xfId="15833"/>
    <cellStyle name="Note 2 2 11 56" xfId="15834"/>
    <cellStyle name="Note 2 2 11 56 2" xfId="15835"/>
    <cellStyle name="Note 2 2 11 57" xfId="15836"/>
    <cellStyle name="Note 2 2 11 57 2" xfId="15837"/>
    <cellStyle name="Note 2 2 11 58" xfId="15838"/>
    <cellStyle name="Note 2 2 11 58 2" xfId="15839"/>
    <cellStyle name="Note 2 2 11 59" xfId="15840"/>
    <cellStyle name="Note 2 2 11 59 2" xfId="15841"/>
    <cellStyle name="Note 2 2 11 6" xfId="15842"/>
    <cellStyle name="Note 2 2 11 6 2" xfId="15843"/>
    <cellStyle name="Note 2 2 11 6 2 2" xfId="15844"/>
    <cellStyle name="Note 2 2 11 6 3" xfId="15845"/>
    <cellStyle name="Note 2 2 11 6 3 2" xfId="15846"/>
    <cellStyle name="Note 2 2 11 6 4" xfId="15847"/>
    <cellStyle name="Note 2 2 11 6 4 2" xfId="15848"/>
    <cellStyle name="Note 2 2 11 6 5" xfId="15849"/>
    <cellStyle name="Note 2 2 11 60" xfId="15850"/>
    <cellStyle name="Note 2 2 11 60 2" xfId="15851"/>
    <cellStyle name="Note 2 2 11 61" xfId="15852"/>
    <cellStyle name="Note 2 2 11 61 2" xfId="15853"/>
    <cellStyle name="Note 2 2 11 62" xfId="15854"/>
    <cellStyle name="Note 2 2 11 7" xfId="15855"/>
    <cellStyle name="Note 2 2 11 7 2" xfId="15856"/>
    <cellStyle name="Note 2 2 11 7 2 2" xfId="15857"/>
    <cellStyle name="Note 2 2 11 7 3" xfId="15858"/>
    <cellStyle name="Note 2 2 11 7 3 2" xfId="15859"/>
    <cellStyle name="Note 2 2 11 7 4" xfId="15860"/>
    <cellStyle name="Note 2 2 11 7 4 2" xfId="15861"/>
    <cellStyle name="Note 2 2 11 7 5" xfId="15862"/>
    <cellStyle name="Note 2 2 11 8" xfId="15863"/>
    <cellStyle name="Note 2 2 11 8 2" xfId="15864"/>
    <cellStyle name="Note 2 2 11 8 2 2" xfId="15865"/>
    <cellStyle name="Note 2 2 11 8 3" xfId="15866"/>
    <cellStyle name="Note 2 2 11 8 3 2" xfId="15867"/>
    <cellStyle name="Note 2 2 11 8 4" xfId="15868"/>
    <cellStyle name="Note 2 2 11 8 4 2" xfId="15869"/>
    <cellStyle name="Note 2 2 11 8 5" xfId="15870"/>
    <cellStyle name="Note 2 2 11 9" xfId="15871"/>
    <cellStyle name="Note 2 2 11 9 2" xfId="15872"/>
    <cellStyle name="Note 2 2 11 9 2 2" xfId="15873"/>
    <cellStyle name="Note 2 2 11 9 3" xfId="15874"/>
    <cellStyle name="Note 2 2 11 9 3 2" xfId="15875"/>
    <cellStyle name="Note 2 2 11 9 4" xfId="15876"/>
    <cellStyle name="Note 2 2 11 9 4 2" xfId="15877"/>
    <cellStyle name="Note 2 2 11 9 5" xfId="15878"/>
    <cellStyle name="Note 2 2 12" xfId="15879"/>
    <cellStyle name="Note 2 2 12 10" xfId="15880"/>
    <cellStyle name="Note 2 2 12 10 2" xfId="15881"/>
    <cellStyle name="Note 2 2 12 10 2 2" xfId="15882"/>
    <cellStyle name="Note 2 2 12 10 3" xfId="15883"/>
    <cellStyle name="Note 2 2 12 10 3 2" xfId="15884"/>
    <cellStyle name="Note 2 2 12 10 4" xfId="15885"/>
    <cellStyle name="Note 2 2 12 10 4 2" xfId="15886"/>
    <cellStyle name="Note 2 2 12 10 5" xfId="15887"/>
    <cellStyle name="Note 2 2 12 11" xfId="15888"/>
    <cellStyle name="Note 2 2 12 11 2" xfId="15889"/>
    <cellStyle name="Note 2 2 12 11 2 2" xfId="15890"/>
    <cellStyle name="Note 2 2 12 11 3" xfId="15891"/>
    <cellStyle name="Note 2 2 12 11 3 2" xfId="15892"/>
    <cellStyle name="Note 2 2 12 11 4" xfId="15893"/>
    <cellStyle name="Note 2 2 12 11 4 2" xfId="15894"/>
    <cellStyle name="Note 2 2 12 11 5" xfId="15895"/>
    <cellStyle name="Note 2 2 12 12" xfId="15896"/>
    <cellStyle name="Note 2 2 12 12 2" xfId="15897"/>
    <cellStyle name="Note 2 2 12 12 2 2" xfId="15898"/>
    <cellStyle name="Note 2 2 12 12 3" xfId="15899"/>
    <cellStyle name="Note 2 2 12 12 3 2" xfId="15900"/>
    <cellStyle name="Note 2 2 12 12 4" xfId="15901"/>
    <cellStyle name="Note 2 2 12 12 4 2" xfId="15902"/>
    <cellStyle name="Note 2 2 12 12 5" xfId="15903"/>
    <cellStyle name="Note 2 2 12 13" xfId="15904"/>
    <cellStyle name="Note 2 2 12 13 2" xfId="15905"/>
    <cellStyle name="Note 2 2 12 13 2 2" xfId="15906"/>
    <cellStyle name="Note 2 2 12 13 3" xfId="15907"/>
    <cellStyle name="Note 2 2 12 13 3 2" xfId="15908"/>
    <cellStyle name="Note 2 2 12 13 4" xfId="15909"/>
    <cellStyle name="Note 2 2 12 13 4 2" xfId="15910"/>
    <cellStyle name="Note 2 2 12 13 5" xfId="15911"/>
    <cellStyle name="Note 2 2 12 14" xfId="15912"/>
    <cellStyle name="Note 2 2 12 14 2" xfId="15913"/>
    <cellStyle name="Note 2 2 12 14 2 2" xfId="15914"/>
    <cellStyle name="Note 2 2 12 14 3" xfId="15915"/>
    <cellStyle name="Note 2 2 12 14 3 2" xfId="15916"/>
    <cellStyle name="Note 2 2 12 14 4" xfId="15917"/>
    <cellStyle name="Note 2 2 12 14 4 2" xfId="15918"/>
    <cellStyle name="Note 2 2 12 14 5" xfId="15919"/>
    <cellStyle name="Note 2 2 12 15" xfId="15920"/>
    <cellStyle name="Note 2 2 12 15 2" xfId="15921"/>
    <cellStyle name="Note 2 2 12 16" xfId="15922"/>
    <cellStyle name="Note 2 2 12 16 2" xfId="15923"/>
    <cellStyle name="Note 2 2 12 17" xfId="15924"/>
    <cellStyle name="Note 2 2 12 17 2" xfId="15925"/>
    <cellStyle name="Note 2 2 12 18" xfId="15926"/>
    <cellStyle name="Note 2 2 12 18 2" xfId="15927"/>
    <cellStyle name="Note 2 2 12 19" xfId="15928"/>
    <cellStyle name="Note 2 2 12 19 2" xfId="15929"/>
    <cellStyle name="Note 2 2 12 2" xfId="15930"/>
    <cellStyle name="Note 2 2 12 2 10" xfId="15931"/>
    <cellStyle name="Note 2 2 12 2 10 2" xfId="15932"/>
    <cellStyle name="Note 2 2 12 2 11" xfId="15933"/>
    <cellStyle name="Note 2 2 12 2 11 2" xfId="15934"/>
    <cellStyle name="Note 2 2 12 2 12" xfId="15935"/>
    <cellStyle name="Note 2 2 12 2 12 2" xfId="15936"/>
    <cellStyle name="Note 2 2 12 2 13" xfId="15937"/>
    <cellStyle name="Note 2 2 12 2 13 2" xfId="15938"/>
    <cellStyle name="Note 2 2 12 2 14" xfId="15939"/>
    <cellStyle name="Note 2 2 12 2 14 2" xfId="15940"/>
    <cellStyle name="Note 2 2 12 2 15" xfId="15941"/>
    <cellStyle name="Note 2 2 12 2 15 2" xfId="15942"/>
    <cellStyle name="Note 2 2 12 2 16" xfId="15943"/>
    <cellStyle name="Note 2 2 12 2 16 2" xfId="15944"/>
    <cellStyle name="Note 2 2 12 2 17" xfId="15945"/>
    <cellStyle name="Note 2 2 12 2 17 2" xfId="15946"/>
    <cellStyle name="Note 2 2 12 2 18" xfId="15947"/>
    <cellStyle name="Note 2 2 12 2 18 2" xfId="15948"/>
    <cellStyle name="Note 2 2 12 2 19" xfId="15949"/>
    <cellStyle name="Note 2 2 12 2 19 2" xfId="15950"/>
    <cellStyle name="Note 2 2 12 2 2" xfId="15951"/>
    <cellStyle name="Note 2 2 12 2 2 2" xfId="15952"/>
    <cellStyle name="Note 2 2 12 2 2 3" xfId="15953"/>
    <cellStyle name="Note 2 2 12 2 20" xfId="15954"/>
    <cellStyle name="Note 2 2 12 2 20 2" xfId="15955"/>
    <cellStyle name="Note 2 2 12 2 21" xfId="15956"/>
    <cellStyle name="Note 2 2 12 2 21 2" xfId="15957"/>
    <cellStyle name="Note 2 2 12 2 22" xfId="15958"/>
    <cellStyle name="Note 2 2 12 2 22 2" xfId="15959"/>
    <cellStyle name="Note 2 2 12 2 23" xfId="15960"/>
    <cellStyle name="Note 2 2 12 2 23 2" xfId="15961"/>
    <cellStyle name="Note 2 2 12 2 24" xfId="15962"/>
    <cellStyle name="Note 2 2 12 2 24 2" xfId="15963"/>
    <cellStyle name="Note 2 2 12 2 25" xfId="15964"/>
    <cellStyle name="Note 2 2 12 2 25 2" xfId="15965"/>
    <cellStyle name="Note 2 2 12 2 26" xfId="15966"/>
    <cellStyle name="Note 2 2 12 2 26 2" xfId="15967"/>
    <cellStyle name="Note 2 2 12 2 27" xfId="15968"/>
    <cellStyle name="Note 2 2 12 2 27 2" xfId="15969"/>
    <cellStyle name="Note 2 2 12 2 28" xfId="15970"/>
    <cellStyle name="Note 2 2 12 2 28 2" xfId="15971"/>
    <cellStyle name="Note 2 2 12 2 29" xfId="15972"/>
    <cellStyle name="Note 2 2 12 2 29 2" xfId="15973"/>
    <cellStyle name="Note 2 2 12 2 3" xfId="15974"/>
    <cellStyle name="Note 2 2 12 2 3 2" xfId="15975"/>
    <cellStyle name="Note 2 2 12 2 3 3" xfId="15976"/>
    <cellStyle name="Note 2 2 12 2 30" xfId="15977"/>
    <cellStyle name="Note 2 2 12 2 30 2" xfId="15978"/>
    <cellStyle name="Note 2 2 12 2 31" xfId="15979"/>
    <cellStyle name="Note 2 2 12 2 4" xfId="15980"/>
    <cellStyle name="Note 2 2 12 2 4 2" xfId="15981"/>
    <cellStyle name="Note 2 2 12 2 5" xfId="15982"/>
    <cellStyle name="Note 2 2 12 2 5 2" xfId="15983"/>
    <cellStyle name="Note 2 2 12 2 6" xfId="15984"/>
    <cellStyle name="Note 2 2 12 2 6 2" xfId="15985"/>
    <cellStyle name="Note 2 2 12 2 7" xfId="15986"/>
    <cellStyle name="Note 2 2 12 2 7 2" xfId="15987"/>
    <cellStyle name="Note 2 2 12 2 8" xfId="15988"/>
    <cellStyle name="Note 2 2 12 2 8 2" xfId="15989"/>
    <cellStyle name="Note 2 2 12 2 9" xfId="15990"/>
    <cellStyle name="Note 2 2 12 2 9 2" xfId="15991"/>
    <cellStyle name="Note 2 2 12 20" xfId="15992"/>
    <cellStyle name="Note 2 2 12 20 2" xfId="15993"/>
    <cellStyle name="Note 2 2 12 21" xfId="15994"/>
    <cellStyle name="Note 2 2 12 21 2" xfId="15995"/>
    <cellStyle name="Note 2 2 12 22" xfId="15996"/>
    <cellStyle name="Note 2 2 12 22 2" xfId="15997"/>
    <cellStyle name="Note 2 2 12 23" xfId="15998"/>
    <cellStyle name="Note 2 2 12 23 2" xfId="15999"/>
    <cellStyle name="Note 2 2 12 24" xfId="16000"/>
    <cellStyle name="Note 2 2 12 24 2" xfId="16001"/>
    <cellStyle name="Note 2 2 12 25" xfId="16002"/>
    <cellStyle name="Note 2 2 12 25 2" xfId="16003"/>
    <cellStyle name="Note 2 2 12 26" xfId="16004"/>
    <cellStyle name="Note 2 2 12 26 2" xfId="16005"/>
    <cellStyle name="Note 2 2 12 27" xfId="16006"/>
    <cellStyle name="Note 2 2 12 27 2" xfId="16007"/>
    <cellStyle name="Note 2 2 12 28" xfId="16008"/>
    <cellStyle name="Note 2 2 12 28 2" xfId="16009"/>
    <cellStyle name="Note 2 2 12 29" xfId="16010"/>
    <cellStyle name="Note 2 2 12 29 2" xfId="16011"/>
    <cellStyle name="Note 2 2 12 3" xfId="16012"/>
    <cellStyle name="Note 2 2 12 3 2" xfId="16013"/>
    <cellStyle name="Note 2 2 12 3 2 2" xfId="16014"/>
    <cellStyle name="Note 2 2 12 3 3" xfId="16015"/>
    <cellStyle name="Note 2 2 12 3 3 2" xfId="16016"/>
    <cellStyle name="Note 2 2 12 3 4" xfId="16017"/>
    <cellStyle name="Note 2 2 12 3 4 2" xfId="16018"/>
    <cellStyle name="Note 2 2 12 3 5" xfId="16019"/>
    <cellStyle name="Note 2 2 12 30" xfId="16020"/>
    <cellStyle name="Note 2 2 12 30 2" xfId="16021"/>
    <cellStyle name="Note 2 2 12 31" xfId="16022"/>
    <cellStyle name="Note 2 2 12 31 2" xfId="16023"/>
    <cellStyle name="Note 2 2 12 32" xfId="16024"/>
    <cellStyle name="Note 2 2 12 32 2" xfId="16025"/>
    <cellStyle name="Note 2 2 12 33" xfId="16026"/>
    <cellStyle name="Note 2 2 12 33 2" xfId="16027"/>
    <cellStyle name="Note 2 2 12 34" xfId="16028"/>
    <cellStyle name="Note 2 2 12 34 2" xfId="16029"/>
    <cellStyle name="Note 2 2 12 35" xfId="16030"/>
    <cellStyle name="Note 2 2 12 35 2" xfId="16031"/>
    <cellStyle name="Note 2 2 12 36" xfId="16032"/>
    <cellStyle name="Note 2 2 12 36 2" xfId="16033"/>
    <cellStyle name="Note 2 2 12 37" xfId="16034"/>
    <cellStyle name="Note 2 2 12 37 2" xfId="16035"/>
    <cellStyle name="Note 2 2 12 38" xfId="16036"/>
    <cellStyle name="Note 2 2 12 38 2" xfId="16037"/>
    <cellStyle name="Note 2 2 12 39" xfId="16038"/>
    <cellStyle name="Note 2 2 12 39 2" xfId="16039"/>
    <cellStyle name="Note 2 2 12 4" xfId="16040"/>
    <cellStyle name="Note 2 2 12 4 2" xfId="16041"/>
    <cellStyle name="Note 2 2 12 4 2 2" xfId="16042"/>
    <cellStyle name="Note 2 2 12 4 3" xfId="16043"/>
    <cellStyle name="Note 2 2 12 4 3 2" xfId="16044"/>
    <cellStyle name="Note 2 2 12 4 4" xfId="16045"/>
    <cellStyle name="Note 2 2 12 4 4 2" xfId="16046"/>
    <cellStyle name="Note 2 2 12 4 5" xfId="16047"/>
    <cellStyle name="Note 2 2 12 40" xfId="16048"/>
    <cellStyle name="Note 2 2 12 40 2" xfId="16049"/>
    <cellStyle name="Note 2 2 12 41" xfId="16050"/>
    <cellStyle name="Note 2 2 12 41 2" xfId="16051"/>
    <cellStyle name="Note 2 2 12 42" xfId="16052"/>
    <cellStyle name="Note 2 2 12 42 2" xfId="16053"/>
    <cellStyle name="Note 2 2 12 43" xfId="16054"/>
    <cellStyle name="Note 2 2 12 43 2" xfId="16055"/>
    <cellStyle name="Note 2 2 12 44" xfId="16056"/>
    <cellStyle name="Note 2 2 12 44 2" xfId="16057"/>
    <cellStyle name="Note 2 2 12 45" xfId="16058"/>
    <cellStyle name="Note 2 2 12 45 2" xfId="16059"/>
    <cellStyle name="Note 2 2 12 46" xfId="16060"/>
    <cellStyle name="Note 2 2 12 46 2" xfId="16061"/>
    <cellStyle name="Note 2 2 12 47" xfId="16062"/>
    <cellStyle name="Note 2 2 12 47 2" xfId="16063"/>
    <cellStyle name="Note 2 2 12 48" xfId="16064"/>
    <cellStyle name="Note 2 2 12 48 2" xfId="16065"/>
    <cellStyle name="Note 2 2 12 49" xfId="16066"/>
    <cellStyle name="Note 2 2 12 49 2" xfId="16067"/>
    <cellStyle name="Note 2 2 12 5" xfId="16068"/>
    <cellStyle name="Note 2 2 12 5 2" xfId="16069"/>
    <cellStyle name="Note 2 2 12 5 2 2" xfId="16070"/>
    <cellStyle name="Note 2 2 12 5 3" xfId="16071"/>
    <cellStyle name="Note 2 2 12 5 3 2" xfId="16072"/>
    <cellStyle name="Note 2 2 12 5 4" xfId="16073"/>
    <cellStyle name="Note 2 2 12 5 4 2" xfId="16074"/>
    <cellStyle name="Note 2 2 12 5 5" xfId="16075"/>
    <cellStyle name="Note 2 2 12 50" xfId="16076"/>
    <cellStyle name="Note 2 2 12 50 2" xfId="16077"/>
    <cellStyle name="Note 2 2 12 51" xfId="16078"/>
    <cellStyle name="Note 2 2 12 51 2" xfId="16079"/>
    <cellStyle name="Note 2 2 12 52" xfId="16080"/>
    <cellStyle name="Note 2 2 12 52 2" xfId="16081"/>
    <cellStyle name="Note 2 2 12 53" xfId="16082"/>
    <cellStyle name="Note 2 2 12 53 2" xfId="16083"/>
    <cellStyle name="Note 2 2 12 54" xfId="16084"/>
    <cellStyle name="Note 2 2 12 54 2" xfId="16085"/>
    <cellStyle name="Note 2 2 12 55" xfId="16086"/>
    <cellStyle name="Note 2 2 12 55 2" xfId="16087"/>
    <cellStyle name="Note 2 2 12 56" xfId="16088"/>
    <cellStyle name="Note 2 2 12 56 2" xfId="16089"/>
    <cellStyle name="Note 2 2 12 57" xfId="16090"/>
    <cellStyle name="Note 2 2 12 57 2" xfId="16091"/>
    <cellStyle name="Note 2 2 12 58" xfId="16092"/>
    <cellStyle name="Note 2 2 12 58 2" xfId="16093"/>
    <cellStyle name="Note 2 2 12 59" xfId="16094"/>
    <cellStyle name="Note 2 2 12 59 2" xfId="16095"/>
    <cellStyle name="Note 2 2 12 6" xfId="16096"/>
    <cellStyle name="Note 2 2 12 6 2" xfId="16097"/>
    <cellStyle name="Note 2 2 12 6 2 2" xfId="16098"/>
    <cellStyle name="Note 2 2 12 6 3" xfId="16099"/>
    <cellStyle name="Note 2 2 12 6 3 2" xfId="16100"/>
    <cellStyle name="Note 2 2 12 6 4" xfId="16101"/>
    <cellStyle name="Note 2 2 12 6 4 2" xfId="16102"/>
    <cellStyle name="Note 2 2 12 6 5" xfId="16103"/>
    <cellStyle name="Note 2 2 12 60" xfId="16104"/>
    <cellStyle name="Note 2 2 12 60 2" xfId="16105"/>
    <cellStyle name="Note 2 2 12 61" xfId="16106"/>
    <cellStyle name="Note 2 2 12 61 2" xfId="16107"/>
    <cellStyle name="Note 2 2 12 62" xfId="16108"/>
    <cellStyle name="Note 2 2 12 7" xfId="16109"/>
    <cellStyle name="Note 2 2 12 7 2" xfId="16110"/>
    <cellStyle name="Note 2 2 12 7 2 2" xfId="16111"/>
    <cellStyle name="Note 2 2 12 7 3" xfId="16112"/>
    <cellStyle name="Note 2 2 12 7 3 2" xfId="16113"/>
    <cellStyle name="Note 2 2 12 7 4" xfId="16114"/>
    <cellStyle name="Note 2 2 12 7 4 2" xfId="16115"/>
    <cellStyle name="Note 2 2 12 7 5" xfId="16116"/>
    <cellStyle name="Note 2 2 12 8" xfId="16117"/>
    <cellStyle name="Note 2 2 12 8 2" xfId="16118"/>
    <cellStyle name="Note 2 2 12 8 2 2" xfId="16119"/>
    <cellStyle name="Note 2 2 12 8 3" xfId="16120"/>
    <cellStyle name="Note 2 2 12 8 3 2" xfId="16121"/>
    <cellStyle name="Note 2 2 12 8 4" xfId="16122"/>
    <cellStyle name="Note 2 2 12 8 4 2" xfId="16123"/>
    <cellStyle name="Note 2 2 12 8 5" xfId="16124"/>
    <cellStyle name="Note 2 2 12 9" xfId="16125"/>
    <cellStyle name="Note 2 2 12 9 2" xfId="16126"/>
    <cellStyle name="Note 2 2 12 9 2 2" xfId="16127"/>
    <cellStyle name="Note 2 2 12 9 3" xfId="16128"/>
    <cellStyle name="Note 2 2 12 9 3 2" xfId="16129"/>
    <cellStyle name="Note 2 2 12 9 4" xfId="16130"/>
    <cellStyle name="Note 2 2 12 9 4 2" xfId="16131"/>
    <cellStyle name="Note 2 2 12 9 5" xfId="16132"/>
    <cellStyle name="Note 2 2 13" xfId="16133"/>
    <cellStyle name="Note 2 2 13 10" xfId="16134"/>
    <cellStyle name="Note 2 2 13 10 2" xfId="16135"/>
    <cellStyle name="Note 2 2 13 10 2 2" xfId="16136"/>
    <cellStyle name="Note 2 2 13 10 3" xfId="16137"/>
    <cellStyle name="Note 2 2 13 10 3 2" xfId="16138"/>
    <cellStyle name="Note 2 2 13 10 4" xfId="16139"/>
    <cellStyle name="Note 2 2 13 10 4 2" xfId="16140"/>
    <cellStyle name="Note 2 2 13 10 5" xfId="16141"/>
    <cellStyle name="Note 2 2 13 11" xfId="16142"/>
    <cellStyle name="Note 2 2 13 11 2" xfId="16143"/>
    <cellStyle name="Note 2 2 13 11 2 2" xfId="16144"/>
    <cellStyle name="Note 2 2 13 11 3" xfId="16145"/>
    <cellStyle name="Note 2 2 13 11 3 2" xfId="16146"/>
    <cellStyle name="Note 2 2 13 11 4" xfId="16147"/>
    <cellStyle name="Note 2 2 13 11 4 2" xfId="16148"/>
    <cellStyle name="Note 2 2 13 11 5" xfId="16149"/>
    <cellStyle name="Note 2 2 13 12" xfId="16150"/>
    <cellStyle name="Note 2 2 13 12 2" xfId="16151"/>
    <cellStyle name="Note 2 2 13 12 2 2" xfId="16152"/>
    <cellStyle name="Note 2 2 13 12 3" xfId="16153"/>
    <cellStyle name="Note 2 2 13 12 3 2" xfId="16154"/>
    <cellStyle name="Note 2 2 13 12 4" xfId="16155"/>
    <cellStyle name="Note 2 2 13 12 4 2" xfId="16156"/>
    <cellStyle name="Note 2 2 13 12 5" xfId="16157"/>
    <cellStyle name="Note 2 2 13 13" xfId="16158"/>
    <cellStyle name="Note 2 2 13 13 2" xfId="16159"/>
    <cellStyle name="Note 2 2 13 13 2 2" xfId="16160"/>
    <cellStyle name="Note 2 2 13 13 3" xfId="16161"/>
    <cellStyle name="Note 2 2 13 13 3 2" xfId="16162"/>
    <cellStyle name="Note 2 2 13 13 4" xfId="16163"/>
    <cellStyle name="Note 2 2 13 13 4 2" xfId="16164"/>
    <cellStyle name="Note 2 2 13 13 5" xfId="16165"/>
    <cellStyle name="Note 2 2 13 14" xfId="16166"/>
    <cellStyle name="Note 2 2 13 14 2" xfId="16167"/>
    <cellStyle name="Note 2 2 13 14 2 2" xfId="16168"/>
    <cellStyle name="Note 2 2 13 14 3" xfId="16169"/>
    <cellStyle name="Note 2 2 13 14 3 2" xfId="16170"/>
    <cellStyle name="Note 2 2 13 14 4" xfId="16171"/>
    <cellStyle name="Note 2 2 13 14 4 2" xfId="16172"/>
    <cellStyle name="Note 2 2 13 14 5" xfId="16173"/>
    <cellStyle name="Note 2 2 13 15" xfId="16174"/>
    <cellStyle name="Note 2 2 13 15 2" xfId="16175"/>
    <cellStyle name="Note 2 2 13 15 2 2" xfId="16176"/>
    <cellStyle name="Note 2 2 13 15 3" xfId="16177"/>
    <cellStyle name="Note 2 2 13 15 3 2" xfId="16178"/>
    <cellStyle name="Note 2 2 13 15 4" xfId="16179"/>
    <cellStyle name="Note 2 2 13 15 4 2" xfId="16180"/>
    <cellStyle name="Note 2 2 13 15 5" xfId="16181"/>
    <cellStyle name="Note 2 2 13 16" xfId="16182"/>
    <cellStyle name="Note 2 2 13 16 2" xfId="16183"/>
    <cellStyle name="Note 2 2 13 16 2 2" xfId="16184"/>
    <cellStyle name="Note 2 2 13 16 3" xfId="16185"/>
    <cellStyle name="Note 2 2 13 16 3 2" xfId="16186"/>
    <cellStyle name="Note 2 2 13 16 4" xfId="16187"/>
    <cellStyle name="Note 2 2 13 16 4 2" xfId="16188"/>
    <cellStyle name="Note 2 2 13 16 5" xfId="16189"/>
    <cellStyle name="Note 2 2 13 17" xfId="16190"/>
    <cellStyle name="Note 2 2 13 17 2" xfId="16191"/>
    <cellStyle name="Note 2 2 13 17 2 2" xfId="16192"/>
    <cellStyle name="Note 2 2 13 17 3" xfId="16193"/>
    <cellStyle name="Note 2 2 13 17 3 2" xfId="16194"/>
    <cellStyle name="Note 2 2 13 17 4" xfId="16195"/>
    <cellStyle name="Note 2 2 13 17 4 2" xfId="16196"/>
    <cellStyle name="Note 2 2 13 17 5" xfId="16197"/>
    <cellStyle name="Note 2 2 13 18" xfId="16198"/>
    <cellStyle name="Note 2 2 13 18 2" xfId="16199"/>
    <cellStyle name="Note 2 2 13 18 2 2" xfId="16200"/>
    <cellStyle name="Note 2 2 13 18 3" xfId="16201"/>
    <cellStyle name="Note 2 2 13 18 3 2" xfId="16202"/>
    <cellStyle name="Note 2 2 13 18 4" xfId="16203"/>
    <cellStyle name="Note 2 2 13 18 4 2" xfId="16204"/>
    <cellStyle name="Note 2 2 13 18 5" xfId="16205"/>
    <cellStyle name="Note 2 2 13 19" xfId="16206"/>
    <cellStyle name="Note 2 2 13 19 10" xfId="16207"/>
    <cellStyle name="Note 2 2 13 19 11" xfId="16208"/>
    <cellStyle name="Note 2 2 13 19 2" xfId="16209"/>
    <cellStyle name="Note 2 2 13 19 2 2" xfId="16210"/>
    <cellStyle name="Note 2 2 13 19 2 3" xfId="16211"/>
    <cellStyle name="Note 2 2 13 19 2 4" xfId="16212"/>
    <cellStyle name="Note 2 2 13 19 2 5" xfId="16213"/>
    <cellStyle name="Note 2 2 13 19 2 6" xfId="16214"/>
    <cellStyle name="Note 2 2 13 19 3" xfId="16215"/>
    <cellStyle name="Note 2 2 13 19 3 2" xfId="16216"/>
    <cellStyle name="Note 2 2 13 19 4" xfId="16217"/>
    <cellStyle name="Note 2 2 13 19 4 2" xfId="16218"/>
    <cellStyle name="Note 2 2 13 19 5" xfId="16219"/>
    <cellStyle name="Note 2 2 13 19 5 2" xfId="16220"/>
    <cellStyle name="Note 2 2 13 19 6" xfId="16221"/>
    <cellStyle name="Note 2 2 13 19 6 2" xfId="16222"/>
    <cellStyle name="Note 2 2 13 19 7" xfId="16223"/>
    <cellStyle name="Note 2 2 13 19 7 2" xfId="16224"/>
    <cellStyle name="Note 2 2 13 19 8" xfId="16225"/>
    <cellStyle name="Note 2 2 13 19 9" xfId="16226"/>
    <cellStyle name="Note 2 2 13 2" xfId="16227"/>
    <cellStyle name="Note 2 2 13 2 10" xfId="16228"/>
    <cellStyle name="Note 2 2 13 2 10 2" xfId="16229"/>
    <cellStyle name="Note 2 2 13 2 11" xfId="16230"/>
    <cellStyle name="Note 2 2 13 2 11 2" xfId="16231"/>
    <cellStyle name="Note 2 2 13 2 12" xfId="16232"/>
    <cellStyle name="Note 2 2 13 2 12 2" xfId="16233"/>
    <cellStyle name="Note 2 2 13 2 13" xfId="16234"/>
    <cellStyle name="Note 2 2 13 2 13 2" xfId="16235"/>
    <cellStyle name="Note 2 2 13 2 14" xfId="16236"/>
    <cellStyle name="Note 2 2 13 2 14 2" xfId="16237"/>
    <cellStyle name="Note 2 2 13 2 15" xfId="16238"/>
    <cellStyle name="Note 2 2 13 2 15 2" xfId="16239"/>
    <cellStyle name="Note 2 2 13 2 16" xfId="16240"/>
    <cellStyle name="Note 2 2 13 2 16 2" xfId="16241"/>
    <cellStyle name="Note 2 2 13 2 17" xfId="16242"/>
    <cellStyle name="Note 2 2 13 2 17 2" xfId="16243"/>
    <cellStyle name="Note 2 2 13 2 18" xfId="16244"/>
    <cellStyle name="Note 2 2 13 2 18 2" xfId="16245"/>
    <cellStyle name="Note 2 2 13 2 19" xfId="16246"/>
    <cellStyle name="Note 2 2 13 2 19 2" xfId="16247"/>
    <cellStyle name="Note 2 2 13 2 2" xfId="16248"/>
    <cellStyle name="Note 2 2 13 2 2 2" xfId="16249"/>
    <cellStyle name="Note 2 2 13 2 2 3" xfId="16250"/>
    <cellStyle name="Note 2 2 13 2 20" xfId="16251"/>
    <cellStyle name="Note 2 2 13 2 20 2" xfId="16252"/>
    <cellStyle name="Note 2 2 13 2 21" xfId="16253"/>
    <cellStyle name="Note 2 2 13 2 21 2" xfId="16254"/>
    <cellStyle name="Note 2 2 13 2 22" xfId="16255"/>
    <cellStyle name="Note 2 2 13 2 22 2" xfId="16256"/>
    <cellStyle name="Note 2 2 13 2 23" xfId="16257"/>
    <cellStyle name="Note 2 2 13 2 23 2" xfId="16258"/>
    <cellStyle name="Note 2 2 13 2 24" xfId="16259"/>
    <cellStyle name="Note 2 2 13 2 24 2" xfId="16260"/>
    <cellStyle name="Note 2 2 13 2 25" xfId="16261"/>
    <cellStyle name="Note 2 2 13 2 25 2" xfId="16262"/>
    <cellStyle name="Note 2 2 13 2 26" xfId="16263"/>
    <cellStyle name="Note 2 2 13 2 26 2" xfId="16264"/>
    <cellStyle name="Note 2 2 13 2 27" xfId="16265"/>
    <cellStyle name="Note 2 2 13 2 27 2" xfId="16266"/>
    <cellStyle name="Note 2 2 13 2 28" xfId="16267"/>
    <cellStyle name="Note 2 2 13 2 28 2" xfId="16268"/>
    <cellStyle name="Note 2 2 13 2 29" xfId="16269"/>
    <cellStyle name="Note 2 2 13 2 29 2" xfId="16270"/>
    <cellStyle name="Note 2 2 13 2 3" xfId="16271"/>
    <cellStyle name="Note 2 2 13 2 3 2" xfId="16272"/>
    <cellStyle name="Note 2 2 13 2 3 3" xfId="16273"/>
    <cellStyle name="Note 2 2 13 2 30" xfId="16274"/>
    <cellStyle name="Note 2 2 13 2 30 2" xfId="16275"/>
    <cellStyle name="Note 2 2 13 2 31" xfId="16276"/>
    <cellStyle name="Note 2 2 13 2 4" xfId="16277"/>
    <cellStyle name="Note 2 2 13 2 4 2" xfId="16278"/>
    <cellStyle name="Note 2 2 13 2 5" xfId="16279"/>
    <cellStyle name="Note 2 2 13 2 5 2" xfId="16280"/>
    <cellStyle name="Note 2 2 13 2 6" xfId="16281"/>
    <cellStyle name="Note 2 2 13 2 6 2" xfId="16282"/>
    <cellStyle name="Note 2 2 13 2 7" xfId="16283"/>
    <cellStyle name="Note 2 2 13 2 7 2" xfId="16284"/>
    <cellStyle name="Note 2 2 13 2 8" xfId="16285"/>
    <cellStyle name="Note 2 2 13 2 8 2" xfId="16286"/>
    <cellStyle name="Note 2 2 13 2 9" xfId="16287"/>
    <cellStyle name="Note 2 2 13 2 9 2" xfId="16288"/>
    <cellStyle name="Note 2 2 13 20" xfId="16289"/>
    <cellStyle name="Note 2 2 13 20 2" xfId="16290"/>
    <cellStyle name="Note 2 2 13 21" xfId="16291"/>
    <cellStyle name="Note 2 2 13 21 2" xfId="16292"/>
    <cellStyle name="Note 2 2 13 22" xfId="16293"/>
    <cellStyle name="Note 2 2 13 22 2" xfId="16294"/>
    <cellStyle name="Note 2 2 13 23" xfId="16295"/>
    <cellStyle name="Note 2 2 13 23 2" xfId="16296"/>
    <cellStyle name="Note 2 2 13 24" xfId="16297"/>
    <cellStyle name="Note 2 2 13 24 2" xfId="16298"/>
    <cellStyle name="Note 2 2 13 25" xfId="16299"/>
    <cellStyle name="Note 2 2 13 25 2" xfId="16300"/>
    <cellStyle name="Note 2 2 13 26" xfId="16301"/>
    <cellStyle name="Note 2 2 13 26 2" xfId="16302"/>
    <cellStyle name="Note 2 2 13 27" xfId="16303"/>
    <cellStyle name="Note 2 2 13 27 2" xfId="16304"/>
    <cellStyle name="Note 2 2 13 28" xfId="16305"/>
    <cellStyle name="Note 2 2 13 28 2" xfId="16306"/>
    <cellStyle name="Note 2 2 13 29" xfId="16307"/>
    <cellStyle name="Note 2 2 13 29 2" xfId="16308"/>
    <cellStyle name="Note 2 2 13 3" xfId="16309"/>
    <cellStyle name="Note 2 2 13 3 2" xfId="16310"/>
    <cellStyle name="Note 2 2 13 3 2 2" xfId="16311"/>
    <cellStyle name="Note 2 2 13 3 3" xfId="16312"/>
    <cellStyle name="Note 2 2 13 3 3 2" xfId="16313"/>
    <cellStyle name="Note 2 2 13 3 4" xfId="16314"/>
    <cellStyle name="Note 2 2 13 3 4 2" xfId="16315"/>
    <cellStyle name="Note 2 2 13 3 5" xfId="16316"/>
    <cellStyle name="Note 2 2 13 30" xfId="16317"/>
    <cellStyle name="Note 2 2 13 30 2" xfId="16318"/>
    <cellStyle name="Note 2 2 13 31" xfId="16319"/>
    <cellStyle name="Note 2 2 13 31 2" xfId="16320"/>
    <cellStyle name="Note 2 2 13 32" xfId="16321"/>
    <cellStyle name="Note 2 2 13 32 2" xfId="16322"/>
    <cellStyle name="Note 2 2 13 33" xfId="16323"/>
    <cellStyle name="Note 2 2 13 33 2" xfId="16324"/>
    <cellStyle name="Note 2 2 13 34" xfId="16325"/>
    <cellStyle name="Note 2 2 13 34 2" xfId="16326"/>
    <cellStyle name="Note 2 2 13 35" xfId="16327"/>
    <cellStyle name="Note 2 2 13 35 2" xfId="16328"/>
    <cellStyle name="Note 2 2 13 36" xfId="16329"/>
    <cellStyle name="Note 2 2 13 36 2" xfId="16330"/>
    <cellStyle name="Note 2 2 13 37" xfId="16331"/>
    <cellStyle name="Note 2 2 13 37 2" xfId="16332"/>
    <cellStyle name="Note 2 2 13 38" xfId="16333"/>
    <cellStyle name="Note 2 2 13 38 2" xfId="16334"/>
    <cellStyle name="Note 2 2 13 39" xfId="16335"/>
    <cellStyle name="Note 2 2 13 39 2" xfId="16336"/>
    <cellStyle name="Note 2 2 13 4" xfId="16337"/>
    <cellStyle name="Note 2 2 13 4 10" xfId="16338"/>
    <cellStyle name="Note 2 2 13 4 11" xfId="16339"/>
    <cellStyle name="Note 2 2 13 4 12" xfId="16340"/>
    <cellStyle name="Note 2 2 13 4 13" xfId="16341"/>
    <cellStyle name="Note 2 2 13 4 2" xfId="16342"/>
    <cellStyle name="Note 2 2 13 4 2 2" xfId="16343"/>
    <cellStyle name="Note 2 2 13 4 2 3" xfId="16344"/>
    <cellStyle name="Note 2 2 13 4 3" xfId="16345"/>
    <cellStyle name="Note 2 2 13 4 3 2" xfId="16346"/>
    <cellStyle name="Note 2 2 13 4 4" xfId="16347"/>
    <cellStyle name="Note 2 2 13 4 4 2" xfId="16348"/>
    <cellStyle name="Note 2 2 13 4 5" xfId="16349"/>
    <cellStyle name="Note 2 2 13 4 5 2" xfId="16350"/>
    <cellStyle name="Note 2 2 13 4 5 3" xfId="16351"/>
    <cellStyle name="Note 2 2 13 4 5 4" xfId="16352"/>
    <cellStyle name="Note 2 2 13 4 5 5" xfId="16353"/>
    <cellStyle name="Note 2 2 13 4 5 6" xfId="16354"/>
    <cellStyle name="Note 2 2 13 4 6" xfId="16355"/>
    <cellStyle name="Note 2 2 13 4 6 2" xfId="16356"/>
    <cellStyle name="Note 2 2 13 4 7" xfId="16357"/>
    <cellStyle name="Note 2 2 13 4 7 2" xfId="16358"/>
    <cellStyle name="Note 2 2 13 4 8" xfId="16359"/>
    <cellStyle name="Note 2 2 13 4 8 2" xfId="16360"/>
    <cellStyle name="Note 2 2 13 4 9" xfId="16361"/>
    <cellStyle name="Note 2 2 13 4 9 2" xfId="16362"/>
    <cellStyle name="Note 2 2 13 40" xfId="16363"/>
    <cellStyle name="Note 2 2 13 40 2" xfId="16364"/>
    <cellStyle name="Note 2 2 13 41" xfId="16365"/>
    <cellStyle name="Note 2 2 13 41 2" xfId="16366"/>
    <cellStyle name="Note 2 2 13 42" xfId="16367"/>
    <cellStyle name="Note 2 2 13 42 2" xfId="16368"/>
    <cellStyle name="Note 2 2 13 43" xfId="16369"/>
    <cellStyle name="Note 2 2 13 43 2" xfId="16370"/>
    <cellStyle name="Note 2 2 13 44" xfId="16371"/>
    <cellStyle name="Note 2 2 13 44 2" xfId="16372"/>
    <cellStyle name="Note 2 2 13 45" xfId="16373"/>
    <cellStyle name="Note 2 2 13 45 2" xfId="16374"/>
    <cellStyle name="Note 2 2 13 46" xfId="16375"/>
    <cellStyle name="Note 2 2 13 46 2" xfId="16376"/>
    <cellStyle name="Note 2 2 13 47" xfId="16377"/>
    <cellStyle name="Note 2 2 13 47 2" xfId="16378"/>
    <cellStyle name="Note 2 2 13 48" xfId="16379"/>
    <cellStyle name="Note 2 2 13 48 2" xfId="16380"/>
    <cellStyle name="Note 2 2 13 49" xfId="16381"/>
    <cellStyle name="Note 2 2 13 49 2" xfId="16382"/>
    <cellStyle name="Note 2 2 13 5" xfId="16383"/>
    <cellStyle name="Note 2 2 13 5 2" xfId="16384"/>
    <cellStyle name="Note 2 2 13 5 2 2" xfId="16385"/>
    <cellStyle name="Note 2 2 13 5 3" xfId="16386"/>
    <cellStyle name="Note 2 2 13 5 3 2" xfId="16387"/>
    <cellStyle name="Note 2 2 13 5 4" xfId="16388"/>
    <cellStyle name="Note 2 2 13 5 4 2" xfId="16389"/>
    <cellStyle name="Note 2 2 13 5 5" xfId="16390"/>
    <cellStyle name="Note 2 2 13 50" xfId="16391"/>
    <cellStyle name="Note 2 2 13 50 2" xfId="16392"/>
    <cellStyle name="Note 2 2 13 51" xfId="16393"/>
    <cellStyle name="Note 2 2 13 51 2" xfId="16394"/>
    <cellStyle name="Note 2 2 13 52" xfId="16395"/>
    <cellStyle name="Note 2 2 13 52 2" xfId="16396"/>
    <cellStyle name="Note 2 2 13 53" xfId="16397"/>
    <cellStyle name="Note 2 2 13 53 2" xfId="16398"/>
    <cellStyle name="Note 2 2 13 54" xfId="16399"/>
    <cellStyle name="Note 2 2 13 54 2" xfId="16400"/>
    <cellStyle name="Note 2 2 13 55" xfId="16401"/>
    <cellStyle name="Note 2 2 13 55 2" xfId="16402"/>
    <cellStyle name="Note 2 2 13 56" xfId="16403"/>
    <cellStyle name="Note 2 2 13 56 2" xfId="16404"/>
    <cellStyle name="Note 2 2 13 57" xfId="16405"/>
    <cellStyle name="Note 2 2 13 57 2" xfId="16406"/>
    <cellStyle name="Note 2 2 13 58" xfId="16407"/>
    <cellStyle name="Note 2 2 13 58 2" xfId="16408"/>
    <cellStyle name="Note 2 2 13 59" xfId="16409"/>
    <cellStyle name="Note 2 2 13 59 2" xfId="16410"/>
    <cellStyle name="Note 2 2 13 6" xfId="16411"/>
    <cellStyle name="Note 2 2 13 6 2" xfId="16412"/>
    <cellStyle name="Note 2 2 13 6 2 2" xfId="16413"/>
    <cellStyle name="Note 2 2 13 6 3" xfId="16414"/>
    <cellStyle name="Note 2 2 13 6 3 2" xfId="16415"/>
    <cellStyle name="Note 2 2 13 6 4" xfId="16416"/>
    <cellStyle name="Note 2 2 13 6 4 2" xfId="16417"/>
    <cellStyle name="Note 2 2 13 6 5" xfId="16418"/>
    <cellStyle name="Note 2 2 13 60" xfId="16419"/>
    <cellStyle name="Note 2 2 13 60 2" xfId="16420"/>
    <cellStyle name="Note 2 2 13 61" xfId="16421"/>
    <cellStyle name="Note 2 2 13 61 2" xfId="16422"/>
    <cellStyle name="Note 2 2 13 61 3" xfId="16423"/>
    <cellStyle name="Note 2 2 13 61 4" xfId="16424"/>
    <cellStyle name="Note 2 2 13 61 5" xfId="16425"/>
    <cellStyle name="Note 2 2 13 61 6" xfId="16426"/>
    <cellStyle name="Note 2 2 13 62" xfId="16427"/>
    <cellStyle name="Note 2 2 13 62 2" xfId="16428"/>
    <cellStyle name="Note 2 2 13 63" xfId="16429"/>
    <cellStyle name="Note 2 2 13 63 2" xfId="16430"/>
    <cellStyle name="Note 2 2 13 64" xfId="16431"/>
    <cellStyle name="Note 2 2 13 64 2" xfId="16432"/>
    <cellStyle name="Note 2 2 13 65" xfId="16433"/>
    <cellStyle name="Note 2 2 13 65 2" xfId="16434"/>
    <cellStyle name="Note 2 2 13 66" xfId="16435"/>
    <cellStyle name="Note 2 2 13 67" xfId="16436"/>
    <cellStyle name="Note 2 2 13 68" xfId="16437"/>
    <cellStyle name="Note 2 2 13 69" xfId="16438"/>
    <cellStyle name="Note 2 2 13 7" xfId="16439"/>
    <cellStyle name="Note 2 2 13 7 2" xfId="16440"/>
    <cellStyle name="Note 2 2 13 7 2 2" xfId="16441"/>
    <cellStyle name="Note 2 2 13 7 3" xfId="16442"/>
    <cellStyle name="Note 2 2 13 7 3 2" xfId="16443"/>
    <cellStyle name="Note 2 2 13 7 4" xfId="16444"/>
    <cellStyle name="Note 2 2 13 7 4 2" xfId="16445"/>
    <cellStyle name="Note 2 2 13 7 5" xfId="16446"/>
    <cellStyle name="Note 2 2 13 8" xfId="16447"/>
    <cellStyle name="Note 2 2 13 8 2" xfId="16448"/>
    <cellStyle name="Note 2 2 13 8 2 2" xfId="16449"/>
    <cellStyle name="Note 2 2 13 8 3" xfId="16450"/>
    <cellStyle name="Note 2 2 13 8 3 2" xfId="16451"/>
    <cellStyle name="Note 2 2 13 8 4" xfId="16452"/>
    <cellStyle name="Note 2 2 13 8 4 2" xfId="16453"/>
    <cellStyle name="Note 2 2 13 8 5" xfId="16454"/>
    <cellStyle name="Note 2 2 13 9" xfId="16455"/>
    <cellStyle name="Note 2 2 13 9 2" xfId="16456"/>
    <cellStyle name="Note 2 2 13 9 2 2" xfId="16457"/>
    <cellStyle name="Note 2 2 13 9 3" xfId="16458"/>
    <cellStyle name="Note 2 2 13 9 3 2" xfId="16459"/>
    <cellStyle name="Note 2 2 13 9 4" xfId="16460"/>
    <cellStyle name="Note 2 2 13 9 4 2" xfId="16461"/>
    <cellStyle name="Note 2 2 13 9 5" xfId="16462"/>
    <cellStyle name="Note 2 2 14" xfId="16463"/>
    <cellStyle name="Note 2 2 14 10" xfId="16464"/>
    <cellStyle name="Note 2 2 14 10 2" xfId="16465"/>
    <cellStyle name="Note 2 2 14 10 2 2" xfId="16466"/>
    <cellStyle name="Note 2 2 14 10 3" xfId="16467"/>
    <cellStyle name="Note 2 2 14 10 3 2" xfId="16468"/>
    <cellStyle name="Note 2 2 14 10 4" xfId="16469"/>
    <cellStyle name="Note 2 2 14 10 4 2" xfId="16470"/>
    <cellStyle name="Note 2 2 14 10 5" xfId="16471"/>
    <cellStyle name="Note 2 2 14 11" xfId="16472"/>
    <cellStyle name="Note 2 2 14 11 2" xfId="16473"/>
    <cellStyle name="Note 2 2 14 11 2 2" xfId="16474"/>
    <cellStyle name="Note 2 2 14 11 3" xfId="16475"/>
    <cellStyle name="Note 2 2 14 11 3 2" xfId="16476"/>
    <cellStyle name="Note 2 2 14 11 4" xfId="16477"/>
    <cellStyle name="Note 2 2 14 11 4 2" xfId="16478"/>
    <cellStyle name="Note 2 2 14 11 5" xfId="16479"/>
    <cellStyle name="Note 2 2 14 12" xfId="16480"/>
    <cellStyle name="Note 2 2 14 12 2" xfId="16481"/>
    <cellStyle name="Note 2 2 14 12 2 2" xfId="16482"/>
    <cellStyle name="Note 2 2 14 12 3" xfId="16483"/>
    <cellStyle name="Note 2 2 14 12 3 2" xfId="16484"/>
    <cellStyle name="Note 2 2 14 12 4" xfId="16485"/>
    <cellStyle name="Note 2 2 14 12 4 2" xfId="16486"/>
    <cellStyle name="Note 2 2 14 12 5" xfId="16487"/>
    <cellStyle name="Note 2 2 14 13" xfId="16488"/>
    <cellStyle name="Note 2 2 14 13 2" xfId="16489"/>
    <cellStyle name="Note 2 2 14 13 2 2" xfId="16490"/>
    <cellStyle name="Note 2 2 14 13 3" xfId="16491"/>
    <cellStyle name="Note 2 2 14 13 3 2" xfId="16492"/>
    <cellStyle name="Note 2 2 14 13 4" xfId="16493"/>
    <cellStyle name="Note 2 2 14 13 4 2" xfId="16494"/>
    <cellStyle name="Note 2 2 14 13 5" xfId="16495"/>
    <cellStyle name="Note 2 2 14 14" xfId="16496"/>
    <cellStyle name="Note 2 2 14 14 2" xfId="16497"/>
    <cellStyle name="Note 2 2 14 14 2 2" xfId="16498"/>
    <cellStyle name="Note 2 2 14 14 3" xfId="16499"/>
    <cellStyle name="Note 2 2 14 14 3 2" xfId="16500"/>
    <cellStyle name="Note 2 2 14 14 4" xfId="16501"/>
    <cellStyle name="Note 2 2 14 14 4 2" xfId="16502"/>
    <cellStyle name="Note 2 2 14 14 5" xfId="16503"/>
    <cellStyle name="Note 2 2 14 15" xfId="16504"/>
    <cellStyle name="Note 2 2 14 15 2" xfId="16505"/>
    <cellStyle name="Note 2 2 14 15 2 2" xfId="16506"/>
    <cellStyle name="Note 2 2 14 15 3" xfId="16507"/>
    <cellStyle name="Note 2 2 14 15 3 2" xfId="16508"/>
    <cellStyle name="Note 2 2 14 15 4" xfId="16509"/>
    <cellStyle name="Note 2 2 14 15 4 2" xfId="16510"/>
    <cellStyle name="Note 2 2 14 15 5" xfId="16511"/>
    <cellStyle name="Note 2 2 14 16" xfId="16512"/>
    <cellStyle name="Note 2 2 14 16 2" xfId="16513"/>
    <cellStyle name="Note 2 2 14 16 2 2" xfId="16514"/>
    <cellStyle name="Note 2 2 14 16 3" xfId="16515"/>
    <cellStyle name="Note 2 2 14 16 3 2" xfId="16516"/>
    <cellStyle name="Note 2 2 14 16 4" xfId="16517"/>
    <cellStyle name="Note 2 2 14 16 4 2" xfId="16518"/>
    <cellStyle name="Note 2 2 14 16 5" xfId="16519"/>
    <cellStyle name="Note 2 2 14 17" xfId="16520"/>
    <cellStyle name="Note 2 2 14 17 2" xfId="16521"/>
    <cellStyle name="Note 2 2 14 17 2 2" xfId="16522"/>
    <cellStyle name="Note 2 2 14 17 3" xfId="16523"/>
    <cellStyle name="Note 2 2 14 17 3 2" xfId="16524"/>
    <cellStyle name="Note 2 2 14 17 4" xfId="16525"/>
    <cellStyle name="Note 2 2 14 17 4 2" xfId="16526"/>
    <cellStyle name="Note 2 2 14 17 5" xfId="16527"/>
    <cellStyle name="Note 2 2 14 18" xfId="16528"/>
    <cellStyle name="Note 2 2 14 18 2" xfId="16529"/>
    <cellStyle name="Note 2 2 14 18 2 2" xfId="16530"/>
    <cellStyle name="Note 2 2 14 18 3" xfId="16531"/>
    <cellStyle name="Note 2 2 14 18 3 2" xfId="16532"/>
    <cellStyle name="Note 2 2 14 18 4" xfId="16533"/>
    <cellStyle name="Note 2 2 14 18 4 2" xfId="16534"/>
    <cellStyle name="Note 2 2 14 18 5" xfId="16535"/>
    <cellStyle name="Note 2 2 14 19" xfId="16536"/>
    <cellStyle name="Note 2 2 14 19 10" xfId="16537"/>
    <cellStyle name="Note 2 2 14 19 11" xfId="16538"/>
    <cellStyle name="Note 2 2 14 19 2" xfId="16539"/>
    <cellStyle name="Note 2 2 14 19 2 2" xfId="16540"/>
    <cellStyle name="Note 2 2 14 19 2 3" xfId="16541"/>
    <cellStyle name="Note 2 2 14 19 2 4" xfId="16542"/>
    <cellStyle name="Note 2 2 14 19 2 5" xfId="16543"/>
    <cellStyle name="Note 2 2 14 19 2 6" xfId="16544"/>
    <cellStyle name="Note 2 2 14 19 3" xfId="16545"/>
    <cellStyle name="Note 2 2 14 19 3 2" xfId="16546"/>
    <cellStyle name="Note 2 2 14 19 4" xfId="16547"/>
    <cellStyle name="Note 2 2 14 19 4 2" xfId="16548"/>
    <cellStyle name="Note 2 2 14 19 5" xfId="16549"/>
    <cellStyle name="Note 2 2 14 19 5 2" xfId="16550"/>
    <cellStyle name="Note 2 2 14 19 6" xfId="16551"/>
    <cellStyle name="Note 2 2 14 19 6 2" xfId="16552"/>
    <cellStyle name="Note 2 2 14 19 7" xfId="16553"/>
    <cellStyle name="Note 2 2 14 19 7 2" xfId="16554"/>
    <cellStyle name="Note 2 2 14 19 8" xfId="16555"/>
    <cellStyle name="Note 2 2 14 19 9" xfId="16556"/>
    <cellStyle name="Note 2 2 14 2" xfId="16557"/>
    <cellStyle name="Note 2 2 14 2 10" xfId="16558"/>
    <cellStyle name="Note 2 2 14 2 10 2" xfId="16559"/>
    <cellStyle name="Note 2 2 14 2 11" xfId="16560"/>
    <cellStyle name="Note 2 2 14 2 11 2" xfId="16561"/>
    <cellStyle name="Note 2 2 14 2 12" xfId="16562"/>
    <cellStyle name="Note 2 2 14 2 12 2" xfId="16563"/>
    <cellStyle name="Note 2 2 14 2 13" xfId="16564"/>
    <cellStyle name="Note 2 2 14 2 13 2" xfId="16565"/>
    <cellStyle name="Note 2 2 14 2 14" xfId="16566"/>
    <cellStyle name="Note 2 2 14 2 14 2" xfId="16567"/>
    <cellStyle name="Note 2 2 14 2 15" xfId="16568"/>
    <cellStyle name="Note 2 2 14 2 15 2" xfId="16569"/>
    <cellStyle name="Note 2 2 14 2 16" xfId="16570"/>
    <cellStyle name="Note 2 2 14 2 16 2" xfId="16571"/>
    <cellStyle name="Note 2 2 14 2 17" xfId="16572"/>
    <cellStyle name="Note 2 2 14 2 17 2" xfId="16573"/>
    <cellStyle name="Note 2 2 14 2 18" xfId="16574"/>
    <cellStyle name="Note 2 2 14 2 18 2" xfId="16575"/>
    <cellStyle name="Note 2 2 14 2 19" xfId="16576"/>
    <cellStyle name="Note 2 2 14 2 19 2" xfId="16577"/>
    <cellStyle name="Note 2 2 14 2 2" xfId="16578"/>
    <cellStyle name="Note 2 2 14 2 2 2" xfId="16579"/>
    <cellStyle name="Note 2 2 14 2 2 3" xfId="16580"/>
    <cellStyle name="Note 2 2 14 2 20" xfId="16581"/>
    <cellStyle name="Note 2 2 14 2 20 2" xfId="16582"/>
    <cellStyle name="Note 2 2 14 2 21" xfId="16583"/>
    <cellStyle name="Note 2 2 14 2 21 2" xfId="16584"/>
    <cellStyle name="Note 2 2 14 2 22" xfId="16585"/>
    <cellStyle name="Note 2 2 14 2 22 2" xfId="16586"/>
    <cellStyle name="Note 2 2 14 2 23" xfId="16587"/>
    <cellStyle name="Note 2 2 14 2 23 2" xfId="16588"/>
    <cellStyle name="Note 2 2 14 2 24" xfId="16589"/>
    <cellStyle name="Note 2 2 14 2 24 2" xfId="16590"/>
    <cellStyle name="Note 2 2 14 2 25" xfId="16591"/>
    <cellStyle name="Note 2 2 14 2 25 2" xfId="16592"/>
    <cellStyle name="Note 2 2 14 2 26" xfId="16593"/>
    <cellStyle name="Note 2 2 14 2 26 2" xfId="16594"/>
    <cellStyle name="Note 2 2 14 2 27" xfId="16595"/>
    <cellStyle name="Note 2 2 14 2 27 2" xfId="16596"/>
    <cellStyle name="Note 2 2 14 2 28" xfId="16597"/>
    <cellStyle name="Note 2 2 14 2 28 2" xfId="16598"/>
    <cellStyle name="Note 2 2 14 2 29" xfId="16599"/>
    <cellStyle name="Note 2 2 14 2 29 2" xfId="16600"/>
    <cellStyle name="Note 2 2 14 2 3" xfId="16601"/>
    <cellStyle name="Note 2 2 14 2 3 2" xfId="16602"/>
    <cellStyle name="Note 2 2 14 2 3 3" xfId="16603"/>
    <cellStyle name="Note 2 2 14 2 30" xfId="16604"/>
    <cellStyle name="Note 2 2 14 2 30 2" xfId="16605"/>
    <cellStyle name="Note 2 2 14 2 31" xfId="16606"/>
    <cellStyle name="Note 2 2 14 2 4" xfId="16607"/>
    <cellStyle name="Note 2 2 14 2 4 2" xfId="16608"/>
    <cellStyle name="Note 2 2 14 2 5" xfId="16609"/>
    <cellStyle name="Note 2 2 14 2 5 2" xfId="16610"/>
    <cellStyle name="Note 2 2 14 2 6" xfId="16611"/>
    <cellStyle name="Note 2 2 14 2 6 2" xfId="16612"/>
    <cellStyle name="Note 2 2 14 2 7" xfId="16613"/>
    <cellStyle name="Note 2 2 14 2 7 2" xfId="16614"/>
    <cellStyle name="Note 2 2 14 2 8" xfId="16615"/>
    <cellStyle name="Note 2 2 14 2 8 2" xfId="16616"/>
    <cellStyle name="Note 2 2 14 2 9" xfId="16617"/>
    <cellStyle name="Note 2 2 14 2 9 2" xfId="16618"/>
    <cellStyle name="Note 2 2 14 20" xfId="16619"/>
    <cellStyle name="Note 2 2 14 20 2" xfId="16620"/>
    <cellStyle name="Note 2 2 14 21" xfId="16621"/>
    <cellStyle name="Note 2 2 14 21 2" xfId="16622"/>
    <cellStyle name="Note 2 2 14 22" xfId="16623"/>
    <cellStyle name="Note 2 2 14 22 2" xfId="16624"/>
    <cellStyle name="Note 2 2 14 23" xfId="16625"/>
    <cellStyle name="Note 2 2 14 23 2" xfId="16626"/>
    <cellStyle name="Note 2 2 14 24" xfId="16627"/>
    <cellStyle name="Note 2 2 14 24 2" xfId="16628"/>
    <cellStyle name="Note 2 2 14 25" xfId="16629"/>
    <cellStyle name="Note 2 2 14 25 2" xfId="16630"/>
    <cellStyle name="Note 2 2 14 26" xfId="16631"/>
    <cellStyle name="Note 2 2 14 26 2" xfId="16632"/>
    <cellStyle name="Note 2 2 14 27" xfId="16633"/>
    <cellStyle name="Note 2 2 14 27 2" xfId="16634"/>
    <cellStyle name="Note 2 2 14 28" xfId="16635"/>
    <cellStyle name="Note 2 2 14 28 2" xfId="16636"/>
    <cellStyle name="Note 2 2 14 29" xfId="16637"/>
    <cellStyle name="Note 2 2 14 29 2" xfId="16638"/>
    <cellStyle name="Note 2 2 14 3" xfId="16639"/>
    <cellStyle name="Note 2 2 14 3 2" xfId="16640"/>
    <cellStyle name="Note 2 2 14 3 2 2" xfId="16641"/>
    <cellStyle name="Note 2 2 14 3 3" xfId="16642"/>
    <cellStyle name="Note 2 2 14 3 3 2" xfId="16643"/>
    <cellStyle name="Note 2 2 14 3 4" xfId="16644"/>
    <cellStyle name="Note 2 2 14 3 4 2" xfId="16645"/>
    <cellStyle name="Note 2 2 14 3 5" xfId="16646"/>
    <cellStyle name="Note 2 2 14 30" xfId="16647"/>
    <cellStyle name="Note 2 2 14 30 2" xfId="16648"/>
    <cellStyle name="Note 2 2 14 31" xfId="16649"/>
    <cellStyle name="Note 2 2 14 31 2" xfId="16650"/>
    <cellStyle name="Note 2 2 14 32" xfId="16651"/>
    <cellStyle name="Note 2 2 14 32 2" xfId="16652"/>
    <cellStyle name="Note 2 2 14 33" xfId="16653"/>
    <cellStyle name="Note 2 2 14 33 2" xfId="16654"/>
    <cellStyle name="Note 2 2 14 34" xfId="16655"/>
    <cellStyle name="Note 2 2 14 34 2" xfId="16656"/>
    <cellStyle name="Note 2 2 14 35" xfId="16657"/>
    <cellStyle name="Note 2 2 14 35 2" xfId="16658"/>
    <cellStyle name="Note 2 2 14 36" xfId="16659"/>
    <cellStyle name="Note 2 2 14 36 2" xfId="16660"/>
    <cellStyle name="Note 2 2 14 37" xfId="16661"/>
    <cellStyle name="Note 2 2 14 37 2" xfId="16662"/>
    <cellStyle name="Note 2 2 14 38" xfId="16663"/>
    <cellStyle name="Note 2 2 14 38 2" xfId="16664"/>
    <cellStyle name="Note 2 2 14 39" xfId="16665"/>
    <cellStyle name="Note 2 2 14 39 2" xfId="16666"/>
    <cellStyle name="Note 2 2 14 4" xfId="16667"/>
    <cellStyle name="Note 2 2 14 4 10" xfId="16668"/>
    <cellStyle name="Note 2 2 14 4 11" xfId="16669"/>
    <cellStyle name="Note 2 2 14 4 12" xfId="16670"/>
    <cellStyle name="Note 2 2 14 4 13" xfId="16671"/>
    <cellStyle name="Note 2 2 14 4 2" xfId="16672"/>
    <cellStyle name="Note 2 2 14 4 2 2" xfId="16673"/>
    <cellStyle name="Note 2 2 14 4 2 3" xfId="16674"/>
    <cellStyle name="Note 2 2 14 4 3" xfId="16675"/>
    <cellStyle name="Note 2 2 14 4 3 2" xfId="16676"/>
    <cellStyle name="Note 2 2 14 4 4" xfId="16677"/>
    <cellStyle name="Note 2 2 14 4 4 2" xfId="16678"/>
    <cellStyle name="Note 2 2 14 4 5" xfId="16679"/>
    <cellStyle name="Note 2 2 14 4 5 2" xfId="16680"/>
    <cellStyle name="Note 2 2 14 4 5 3" xfId="16681"/>
    <cellStyle name="Note 2 2 14 4 5 4" xfId="16682"/>
    <cellStyle name="Note 2 2 14 4 5 5" xfId="16683"/>
    <cellStyle name="Note 2 2 14 4 5 6" xfId="16684"/>
    <cellStyle name="Note 2 2 14 4 6" xfId="16685"/>
    <cellStyle name="Note 2 2 14 4 6 2" xfId="16686"/>
    <cellStyle name="Note 2 2 14 4 7" xfId="16687"/>
    <cellStyle name="Note 2 2 14 4 7 2" xfId="16688"/>
    <cellStyle name="Note 2 2 14 4 8" xfId="16689"/>
    <cellStyle name="Note 2 2 14 4 8 2" xfId="16690"/>
    <cellStyle name="Note 2 2 14 4 9" xfId="16691"/>
    <cellStyle name="Note 2 2 14 4 9 2" xfId="16692"/>
    <cellStyle name="Note 2 2 14 40" xfId="16693"/>
    <cellStyle name="Note 2 2 14 40 2" xfId="16694"/>
    <cellStyle name="Note 2 2 14 41" xfId="16695"/>
    <cellStyle name="Note 2 2 14 41 2" xfId="16696"/>
    <cellStyle name="Note 2 2 14 42" xfId="16697"/>
    <cellStyle name="Note 2 2 14 42 2" xfId="16698"/>
    <cellStyle name="Note 2 2 14 43" xfId="16699"/>
    <cellStyle name="Note 2 2 14 43 2" xfId="16700"/>
    <cellStyle name="Note 2 2 14 44" xfId="16701"/>
    <cellStyle name="Note 2 2 14 44 2" xfId="16702"/>
    <cellStyle name="Note 2 2 14 45" xfId="16703"/>
    <cellStyle name="Note 2 2 14 45 2" xfId="16704"/>
    <cellStyle name="Note 2 2 14 46" xfId="16705"/>
    <cellStyle name="Note 2 2 14 46 2" xfId="16706"/>
    <cellStyle name="Note 2 2 14 47" xfId="16707"/>
    <cellStyle name="Note 2 2 14 47 2" xfId="16708"/>
    <cellStyle name="Note 2 2 14 48" xfId="16709"/>
    <cellStyle name="Note 2 2 14 48 2" xfId="16710"/>
    <cellStyle name="Note 2 2 14 49" xfId="16711"/>
    <cellStyle name="Note 2 2 14 49 2" xfId="16712"/>
    <cellStyle name="Note 2 2 14 5" xfId="16713"/>
    <cellStyle name="Note 2 2 14 5 2" xfId="16714"/>
    <cellStyle name="Note 2 2 14 5 2 2" xfId="16715"/>
    <cellStyle name="Note 2 2 14 5 3" xfId="16716"/>
    <cellStyle name="Note 2 2 14 5 3 2" xfId="16717"/>
    <cellStyle name="Note 2 2 14 5 4" xfId="16718"/>
    <cellStyle name="Note 2 2 14 5 4 2" xfId="16719"/>
    <cellStyle name="Note 2 2 14 5 5" xfId="16720"/>
    <cellStyle name="Note 2 2 14 50" xfId="16721"/>
    <cellStyle name="Note 2 2 14 50 2" xfId="16722"/>
    <cellStyle name="Note 2 2 14 51" xfId="16723"/>
    <cellStyle name="Note 2 2 14 51 2" xfId="16724"/>
    <cellStyle name="Note 2 2 14 52" xfId="16725"/>
    <cellStyle name="Note 2 2 14 52 2" xfId="16726"/>
    <cellStyle name="Note 2 2 14 53" xfId="16727"/>
    <cellStyle name="Note 2 2 14 53 2" xfId="16728"/>
    <cellStyle name="Note 2 2 14 54" xfId="16729"/>
    <cellStyle name="Note 2 2 14 54 2" xfId="16730"/>
    <cellStyle name="Note 2 2 14 55" xfId="16731"/>
    <cellStyle name="Note 2 2 14 55 2" xfId="16732"/>
    <cellStyle name="Note 2 2 14 56" xfId="16733"/>
    <cellStyle name="Note 2 2 14 56 2" xfId="16734"/>
    <cellStyle name="Note 2 2 14 57" xfId="16735"/>
    <cellStyle name="Note 2 2 14 57 2" xfId="16736"/>
    <cellStyle name="Note 2 2 14 58" xfId="16737"/>
    <cellStyle name="Note 2 2 14 58 2" xfId="16738"/>
    <cellStyle name="Note 2 2 14 59" xfId="16739"/>
    <cellStyle name="Note 2 2 14 59 2" xfId="16740"/>
    <cellStyle name="Note 2 2 14 6" xfId="16741"/>
    <cellStyle name="Note 2 2 14 6 2" xfId="16742"/>
    <cellStyle name="Note 2 2 14 6 2 2" xfId="16743"/>
    <cellStyle name="Note 2 2 14 6 3" xfId="16744"/>
    <cellStyle name="Note 2 2 14 6 3 2" xfId="16745"/>
    <cellStyle name="Note 2 2 14 6 4" xfId="16746"/>
    <cellStyle name="Note 2 2 14 6 4 2" xfId="16747"/>
    <cellStyle name="Note 2 2 14 6 5" xfId="16748"/>
    <cellStyle name="Note 2 2 14 60" xfId="16749"/>
    <cellStyle name="Note 2 2 14 60 2" xfId="16750"/>
    <cellStyle name="Note 2 2 14 61" xfId="16751"/>
    <cellStyle name="Note 2 2 14 61 2" xfId="16752"/>
    <cellStyle name="Note 2 2 14 61 3" xfId="16753"/>
    <cellStyle name="Note 2 2 14 61 4" xfId="16754"/>
    <cellStyle name="Note 2 2 14 61 5" xfId="16755"/>
    <cellStyle name="Note 2 2 14 61 6" xfId="16756"/>
    <cellStyle name="Note 2 2 14 62" xfId="16757"/>
    <cellStyle name="Note 2 2 14 62 2" xfId="16758"/>
    <cellStyle name="Note 2 2 14 63" xfId="16759"/>
    <cellStyle name="Note 2 2 14 63 2" xfId="16760"/>
    <cellStyle name="Note 2 2 14 64" xfId="16761"/>
    <cellStyle name="Note 2 2 14 64 2" xfId="16762"/>
    <cellStyle name="Note 2 2 14 65" xfId="16763"/>
    <cellStyle name="Note 2 2 14 65 2" xfId="16764"/>
    <cellStyle name="Note 2 2 14 66" xfId="16765"/>
    <cellStyle name="Note 2 2 14 67" xfId="16766"/>
    <cellStyle name="Note 2 2 14 68" xfId="16767"/>
    <cellStyle name="Note 2 2 14 69" xfId="16768"/>
    <cellStyle name="Note 2 2 14 7" xfId="16769"/>
    <cellStyle name="Note 2 2 14 7 2" xfId="16770"/>
    <cellStyle name="Note 2 2 14 7 2 2" xfId="16771"/>
    <cellStyle name="Note 2 2 14 7 3" xfId="16772"/>
    <cellStyle name="Note 2 2 14 7 3 2" xfId="16773"/>
    <cellStyle name="Note 2 2 14 7 4" xfId="16774"/>
    <cellStyle name="Note 2 2 14 7 4 2" xfId="16775"/>
    <cellStyle name="Note 2 2 14 7 5" xfId="16776"/>
    <cellStyle name="Note 2 2 14 8" xfId="16777"/>
    <cellStyle name="Note 2 2 14 8 2" xfId="16778"/>
    <cellStyle name="Note 2 2 14 8 2 2" xfId="16779"/>
    <cellStyle name="Note 2 2 14 8 3" xfId="16780"/>
    <cellStyle name="Note 2 2 14 8 3 2" xfId="16781"/>
    <cellStyle name="Note 2 2 14 8 4" xfId="16782"/>
    <cellStyle name="Note 2 2 14 8 4 2" xfId="16783"/>
    <cellStyle name="Note 2 2 14 8 5" xfId="16784"/>
    <cellStyle name="Note 2 2 14 9" xfId="16785"/>
    <cellStyle name="Note 2 2 14 9 2" xfId="16786"/>
    <cellStyle name="Note 2 2 14 9 2 2" xfId="16787"/>
    <cellStyle name="Note 2 2 14 9 3" xfId="16788"/>
    <cellStyle name="Note 2 2 14 9 3 2" xfId="16789"/>
    <cellStyle name="Note 2 2 14 9 4" xfId="16790"/>
    <cellStyle name="Note 2 2 14 9 4 2" xfId="16791"/>
    <cellStyle name="Note 2 2 14 9 5" xfId="16792"/>
    <cellStyle name="Note 2 2 15" xfId="16793"/>
    <cellStyle name="Note 2 2 15 10" xfId="16794"/>
    <cellStyle name="Note 2 2 15 10 2" xfId="16795"/>
    <cellStyle name="Note 2 2 15 10 2 2" xfId="16796"/>
    <cellStyle name="Note 2 2 15 10 3" xfId="16797"/>
    <cellStyle name="Note 2 2 15 10 3 2" xfId="16798"/>
    <cellStyle name="Note 2 2 15 10 4" xfId="16799"/>
    <cellStyle name="Note 2 2 15 10 4 2" xfId="16800"/>
    <cellStyle name="Note 2 2 15 10 5" xfId="16801"/>
    <cellStyle name="Note 2 2 15 11" xfId="16802"/>
    <cellStyle name="Note 2 2 15 11 2" xfId="16803"/>
    <cellStyle name="Note 2 2 15 11 2 2" xfId="16804"/>
    <cellStyle name="Note 2 2 15 11 3" xfId="16805"/>
    <cellStyle name="Note 2 2 15 11 3 2" xfId="16806"/>
    <cellStyle name="Note 2 2 15 11 4" xfId="16807"/>
    <cellStyle name="Note 2 2 15 11 4 2" xfId="16808"/>
    <cellStyle name="Note 2 2 15 11 5" xfId="16809"/>
    <cellStyle name="Note 2 2 15 12" xfId="16810"/>
    <cellStyle name="Note 2 2 15 12 2" xfId="16811"/>
    <cellStyle name="Note 2 2 15 12 2 2" xfId="16812"/>
    <cellStyle name="Note 2 2 15 12 3" xfId="16813"/>
    <cellStyle name="Note 2 2 15 12 3 2" xfId="16814"/>
    <cellStyle name="Note 2 2 15 12 4" xfId="16815"/>
    <cellStyle name="Note 2 2 15 12 4 2" xfId="16816"/>
    <cellStyle name="Note 2 2 15 12 5" xfId="16817"/>
    <cellStyle name="Note 2 2 15 13" xfId="16818"/>
    <cellStyle name="Note 2 2 15 13 2" xfId="16819"/>
    <cellStyle name="Note 2 2 15 13 2 2" xfId="16820"/>
    <cellStyle name="Note 2 2 15 13 3" xfId="16821"/>
    <cellStyle name="Note 2 2 15 13 3 2" xfId="16822"/>
    <cellStyle name="Note 2 2 15 13 4" xfId="16823"/>
    <cellStyle name="Note 2 2 15 13 4 2" xfId="16824"/>
    <cellStyle name="Note 2 2 15 13 5" xfId="16825"/>
    <cellStyle name="Note 2 2 15 14" xfId="16826"/>
    <cellStyle name="Note 2 2 15 14 2" xfId="16827"/>
    <cellStyle name="Note 2 2 15 14 2 2" xfId="16828"/>
    <cellStyle name="Note 2 2 15 14 3" xfId="16829"/>
    <cellStyle name="Note 2 2 15 14 3 2" xfId="16830"/>
    <cellStyle name="Note 2 2 15 14 4" xfId="16831"/>
    <cellStyle name="Note 2 2 15 14 4 2" xfId="16832"/>
    <cellStyle name="Note 2 2 15 14 5" xfId="16833"/>
    <cellStyle name="Note 2 2 15 15" xfId="16834"/>
    <cellStyle name="Note 2 2 15 15 2" xfId="16835"/>
    <cellStyle name="Note 2 2 15 15 2 2" xfId="16836"/>
    <cellStyle name="Note 2 2 15 15 3" xfId="16837"/>
    <cellStyle name="Note 2 2 15 15 3 2" xfId="16838"/>
    <cellStyle name="Note 2 2 15 15 4" xfId="16839"/>
    <cellStyle name="Note 2 2 15 15 4 2" xfId="16840"/>
    <cellStyle name="Note 2 2 15 15 5" xfId="16841"/>
    <cellStyle name="Note 2 2 15 16" xfId="16842"/>
    <cellStyle name="Note 2 2 15 16 2" xfId="16843"/>
    <cellStyle name="Note 2 2 15 16 2 2" xfId="16844"/>
    <cellStyle name="Note 2 2 15 16 3" xfId="16845"/>
    <cellStyle name="Note 2 2 15 16 3 2" xfId="16846"/>
    <cellStyle name="Note 2 2 15 16 4" xfId="16847"/>
    <cellStyle name="Note 2 2 15 16 4 2" xfId="16848"/>
    <cellStyle name="Note 2 2 15 16 5" xfId="16849"/>
    <cellStyle name="Note 2 2 15 17" xfId="16850"/>
    <cellStyle name="Note 2 2 15 17 2" xfId="16851"/>
    <cellStyle name="Note 2 2 15 17 2 2" xfId="16852"/>
    <cellStyle name="Note 2 2 15 17 3" xfId="16853"/>
    <cellStyle name="Note 2 2 15 17 3 2" xfId="16854"/>
    <cellStyle name="Note 2 2 15 17 4" xfId="16855"/>
    <cellStyle name="Note 2 2 15 17 4 2" xfId="16856"/>
    <cellStyle name="Note 2 2 15 17 5" xfId="16857"/>
    <cellStyle name="Note 2 2 15 18" xfId="16858"/>
    <cellStyle name="Note 2 2 15 18 2" xfId="16859"/>
    <cellStyle name="Note 2 2 15 18 2 2" xfId="16860"/>
    <cellStyle name="Note 2 2 15 18 3" xfId="16861"/>
    <cellStyle name="Note 2 2 15 18 3 2" xfId="16862"/>
    <cellStyle name="Note 2 2 15 18 4" xfId="16863"/>
    <cellStyle name="Note 2 2 15 18 4 2" xfId="16864"/>
    <cellStyle name="Note 2 2 15 18 5" xfId="16865"/>
    <cellStyle name="Note 2 2 15 19" xfId="16866"/>
    <cellStyle name="Note 2 2 15 19 10" xfId="16867"/>
    <cellStyle name="Note 2 2 15 19 11" xfId="16868"/>
    <cellStyle name="Note 2 2 15 19 2" xfId="16869"/>
    <cellStyle name="Note 2 2 15 19 2 2" xfId="16870"/>
    <cellStyle name="Note 2 2 15 19 2 3" xfId="16871"/>
    <cellStyle name="Note 2 2 15 19 2 4" xfId="16872"/>
    <cellStyle name="Note 2 2 15 19 2 5" xfId="16873"/>
    <cellStyle name="Note 2 2 15 19 2 6" xfId="16874"/>
    <cellStyle name="Note 2 2 15 19 3" xfId="16875"/>
    <cellStyle name="Note 2 2 15 19 3 2" xfId="16876"/>
    <cellStyle name="Note 2 2 15 19 4" xfId="16877"/>
    <cellStyle name="Note 2 2 15 19 4 2" xfId="16878"/>
    <cellStyle name="Note 2 2 15 19 5" xfId="16879"/>
    <cellStyle name="Note 2 2 15 19 5 2" xfId="16880"/>
    <cellStyle name="Note 2 2 15 19 6" xfId="16881"/>
    <cellStyle name="Note 2 2 15 19 6 2" xfId="16882"/>
    <cellStyle name="Note 2 2 15 19 7" xfId="16883"/>
    <cellStyle name="Note 2 2 15 19 7 2" xfId="16884"/>
    <cellStyle name="Note 2 2 15 19 8" xfId="16885"/>
    <cellStyle name="Note 2 2 15 19 9" xfId="16886"/>
    <cellStyle name="Note 2 2 15 2" xfId="16887"/>
    <cellStyle name="Note 2 2 15 2 10" xfId="16888"/>
    <cellStyle name="Note 2 2 15 2 10 2" xfId="16889"/>
    <cellStyle name="Note 2 2 15 2 11" xfId="16890"/>
    <cellStyle name="Note 2 2 15 2 11 2" xfId="16891"/>
    <cellStyle name="Note 2 2 15 2 12" xfId="16892"/>
    <cellStyle name="Note 2 2 15 2 12 2" xfId="16893"/>
    <cellStyle name="Note 2 2 15 2 13" xfId="16894"/>
    <cellStyle name="Note 2 2 15 2 13 2" xfId="16895"/>
    <cellStyle name="Note 2 2 15 2 14" xfId="16896"/>
    <cellStyle name="Note 2 2 15 2 14 2" xfId="16897"/>
    <cellStyle name="Note 2 2 15 2 15" xfId="16898"/>
    <cellStyle name="Note 2 2 15 2 15 2" xfId="16899"/>
    <cellStyle name="Note 2 2 15 2 16" xfId="16900"/>
    <cellStyle name="Note 2 2 15 2 16 2" xfId="16901"/>
    <cellStyle name="Note 2 2 15 2 17" xfId="16902"/>
    <cellStyle name="Note 2 2 15 2 17 2" xfId="16903"/>
    <cellStyle name="Note 2 2 15 2 18" xfId="16904"/>
    <cellStyle name="Note 2 2 15 2 18 2" xfId="16905"/>
    <cellStyle name="Note 2 2 15 2 19" xfId="16906"/>
    <cellStyle name="Note 2 2 15 2 19 2" xfId="16907"/>
    <cellStyle name="Note 2 2 15 2 2" xfId="16908"/>
    <cellStyle name="Note 2 2 15 2 2 2" xfId="16909"/>
    <cellStyle name="Note 2 2 15 2 2 3" xfId="16910"/>
    <cellStyle name="Note 2 2 15 2 20" xfId="16911"/>
    <cellStyle name="Note 2 2 15 2 20 2" xfId="16912"/>
    <cellStyle name="Note 2 2 15 2 21" xfId="16913"/>
    <cellStyle name="Note 2 2 15 2 21 2" xfId="16914"/>
    <cellStyle name="Note 2 2 15 2 22" xfId="16915"/>
    <cellStyle name="Note 2 2 15 2 22 2" xfId="16916"/>
    <cellStyle name="Note 2 2 15 2 23" xfId="16917"/>
    <cellStyle name="Note 2 2 15 2 23 2" xfId="16918"/>
    <cellStyle name="Note 2 2 15 2 24" xfId="16919"/>
    <cellStyle name="Note 2 2 15 2 24 2" xfId="16920"/>
    <cellStyle name="Note 2 2 15 2 25" xfId="16921"/>
    <cellStyle name="Note 2 2 15 2 25 2" xfId="16922"/>
    <cellStyle name="Note 2 2 15 2 26" xfId="16923"/>
    <cellStyle name="Note 2 2 15 2 26 2" xfId="16924"/>
    <cellStyle name="Note 2 2 15 2 27" xfId="16925"/>
    <cellStyle name="Note 2 2 15 2 27 2" xfId="16926"/>
    <cellStyle name="Note 2 2 15 2 28" xfId="16927"/>
    <cellStyle name="Note 2 2 15 2 28 2" xfId="16928"/>
    <cellStyle name="Note 2 2 15 2 29" xfId="16929"/>
    <cellStyle name="Note 2 2 15 2 29 2" xfId="16930"/>
    <cellStyle name="Note 2 2 15 2 3" xfId="16931"/>
    <cellStyle name="Note 2 2 15 2 3 2" xfId="16932"/>
    <cellStyle name="Note 2 2 15 2 3 3" xfId="16933"/>
    <cellStyle name="Note 2 2 15 2 30" xfId="16934"/>
    <cellStyle name="Note 2 2 15 2 30 2" xfId="16935"/>
    <cellStyle name="Note 2 2 15 2 31" xfId="16936"/>
    <cellStyle name="Note 2 2 15 2 4" xfId="16937"/>
    <cellStyle name="Note 2 2 15 2 4 2" xfId="16938"/>
    <cellStyle name="Note 2 2 15 2 5" xfId="16939"/>
    <cellStyle name="Note 2 2 15 2 5 2" xfId="16940"/>
    <cellStyle name="Note 2 2 15 2 6" xfId="16941"/>
    <cellStyle name="Note 2 2 15 2 6 2" xfId="16942"/>
    <cellStyle name="Note 2 2 15 2 7" xfId="16943"/>
    <cellStyle name="Note 2 2 15 2 7 2" xfId="16944"/>
    <cellStyle name="Note 2 2 15 2 8" xfId="16945"/>
    <cellStyle name="Note 2 2 15 2 8 2" xfId="16946"/>
    <cellStyle name="Note 2 2 15 2 9" xfId="16947"/>
    <cellStyle name="Note 2 2 15 2 9 2" xfId="16948"/>
    <cellStyle name="Note 2 2 15 20" xfId="16949"/>
    <cellStyle name="Note 2 2 15 20 2" xfId="16950"/>
    <cellStyle name="Note 2 2 15 21" xfId="16951"/>
    <cellStyle name="Note 2 2 15 21 2" xfId="16952"/>
    <cellStyle name="Note 2 2 15 22" xfId="16953"/>
    <cellStyle name="Note 2 2 15 22 2" xfId="16954"/>
    <cellStyle name="Note 2 2 15 23" xfId="16955"/>
    <cellStyle name="Note 2 2 15 23 2" xfId="16956"/>
    <cellStyle name="Note 2 2 15 24" xfId="16957"/>
    <cellStyle name="Note 2 2 15 24 2" xfId="16958"/>
    <cellStyle name="Note 2 2 15 25" xfId="16959"/>
    <cellStyle name="Note 2 2 15 25 2" xfId="16960"/>
    <cellStyle name="Note 2 2 15 26" xfId="16961"/>
    <cellStyle name="Note 2 2 15 26 2" xfId="16962"/>
    <cellStyle name="Note 2 2 15 27" xfId="16963"/>
    <cellStyle name="Note 2 2 15 27 2" xfId="16964"/>
    <cellStyle name="Note 2 2 15 28" xfId="16965"/>
    <cellStyle name="Note 2 2 15 28 2" xfId="16966"/>
    <cellStyle name="Note 2 2 15 29" xfId="16967"/>
    <cellStyle name="Note 2 2 15 29 2" xfId="16968"/>
    <cellStyle name="Note 2 2 15 3" xfId="16969"/>
    <cellStyle name="Note 2 2 15 3 2" xfId="16970"/>
    <cellStyle name="Note 2 2 15 3 2 2" xfId="16971"/>
    <cellStyle name="Note 2 2 15 3 3" xfId="16972"/>
    <cellStyle name="Note 2 2 15 3 3 2" xfId="16973"/>
    <cellStyle name="Note 2 2 15 3 4" xfId="16974"/>
    <cellStyle name="Note 2 2 15 3 4 2" xfId="16975"/>
    <cellStyle name="Note 2 2 15 3 5" xfId="16976"/>
    <cellStyle name="Note 2 2 15 30" xfId="16977"/>
    <cellStyle name="Note 2 2 15 30 2" xfId="16978"/>
    <cellStyle name="Note 2 2 15 31" xfId="16979"/>
    <cellStyle name="Note 2 2 15 31 2" xfId="16980"/>
    <cellStyle name="Note 2 2 15 32" xfId="16981"/>
    <cellStyle name="Note 2 2 15 32 2" xfId="16982"/>
    <cellStyle name="Note 2 2 15 33" xfId="16983"/>
    <cellStyle name="Note 2 2 15 33 2" xfId="16984"/>
    <cellStyle name="Note 2 2 15 34" xfId="16985"/>
    <cellStyle name="Note 2 2 15 34 2" xfId="16986"/>
    <cellStyle name="Note 2 2 15 35" xfId="16987"/>
    <cellStyle name="Note 2 2 15 35 2" xfId="16988"/>
    <cellStyle name="Note 2 2 15 36" xfId="16989"/>
    <cellStyle name="Note 2 2 15 36 2" xfId="16990"/>
    <cellStyle name="Note 2 2 15 37" xfId="16991"/>
    <cellStyle name="Note 2 2 15 37 2" xfId="16992"/>
    <cellStyle name="Note 2 2 15 38" xfId="16993"/>
    <cellStyle name="Note 2 2 15 38 2" xfId="16994"/>
    <cellStyle name="Note 2 2 15 39" xfId="16995"/>
    <cellStyle name="Note 2 2 15 39 2" xfId="16996"/>
    <cellStyle name="Note 2 2 15 4" xfId="16997"/>
    <cellStyle name="Note 2 2 15 4 10" xfId="16998"/>
    <cellStyle name="Note 2 2 15 4 11" xfId="16999"/>
    <cellStyle name="Note 2 2 15 4 12" xfId="17000"/>
    <cellStyle name="Note 2 2 15 4 13" xfId="17001"/>
    <cellStyle name="Note 2 2 15 4 2" xfId="17002"/>
    <cellStyle name="Note 2 2 15 4 2 2" xfId="17003"/>
    <cellStyle name="Note 2 2 15 4 2 3" xfId="17004"/>
    <cellStyle name="Note 2 2 15 4 3" xfId="17005"/>
    <cellStyle name="Note 2 2 15 4 3 2" xfId="17006"/>
    <cellStyle name="Note 2 2 15 4 4" xfId="17007"/>
    <cellStyle name="Note 2 2 15 4 4 2" xfId="17008"/>
    <cellStyle name="Note 2 2 15 4 5" xfId="17009"/>
    <cellStyle name="Note 2 2 15 4 5 2" xfId="17010"/>
    <cellStyle name="Note 2 2 15 4 5 3" xfId="17011"/>
    <cellStyle name="Note 2 2 15 4 5 4" xfId="17012"/>
    <cellStyle name="Note 2 2 15 4 5 5" xfId="17013"/>
    <cellStyle name="Note 2 2 15 4 5 6" xfId="17014"/>
    <cellStyle name="Note 2 2 15 4 6" xfId="17015"/>
    <cellStyle name="Note 2 2 15 4 6 2" xfId="17016"/>
    <cellStyle name="Note 2 2 15 4 7" xfId="17017"/>
    <cellStyle name="Note 2 2 15 4 7 2" xfId="17018"/>
    <cellStyle name="Note 2 2 15 4 8" xfId="17019"/>
    <cellStyle name="Note 2 2 15 4 8 2" xfId="17020"/>
    <cellStyle name="Note 2 2 15 4 9" xfId="17021"/>
    <cellStyle name="Note 2 2 15 4 9 2" xfId="17022"/>
    <cellStyle name="Note 2 2 15 40" xfId="17023"/>
    <cellStyle name="Note 2 2 15 40 2" xfId="17024"/>
    <cellStyle name="Note 2 2 15 41" xfId="17025"/>
    <cellStyle name="Note 2 2 15 41 2" xfId="17026"/>
    <cellStyle name="Note 2 2 15 42" xfId="17027"/>
    <cellStyle name="Note 2 2 15 42 2" xfId="17028"/>
    <cellStyle name="Note 2 2 15 43" xfId="17029"/>
    <cellStyle name="Note 2 2 15 43 2" xfId="17030"/>
    <cellStyle name="Note 2 2 15 44" xfId="17031"/>
    <cellStyle name="Note 2 2 15 44 2" xfId="17032"/>
    <cellStyle name="Note 2 2 15 45" xfId="17033"/>
    <cellStyle name="Note 2 2 15 45 2" xfId="17034"/>
    <cellStyle name="Note 2 2 15 46" xfId="17035"/>
    <cellStyle name="Note 2 2 15 46 2" xfId="17036"/>
    <cellStyle name="Note 2 2 15 47" xfId="17037"/>
    <cellStyle name="Note 2 2 15 47 2" xfId="17038"/>
    <cellStyle name="Note 2 2 15 48" xfId="17039"/>
    <cellStyle name="Note 2 2 15 48 2" xfId="17040"/>
    <cellStyle name="Note 2 2 15 49" xfId="17041"/>
    <cellStyle name="Note 2 2 15 49 2" xfId="17042"/>
    <cellStyle name="Note 2 2 15 5" xfId="17043"/>
    <cellStyle name="Note 2 2 15 5 2" xfId="17044"/>
    <cellStyle name="Note 2 2 15 5 2 2" xfId="17045"/>
    <cellStyle name="Note 2 2 15 5 3" xfId="17046"/>
    <cellStyle name="Note 2 2 15 5 3 2" xfId="17047"/>
    <cellStyle name="Note 2 2 15 5 4" xfId="17048"/>
    <cellStyle name="Note 2 2 15 5 4 2" xfId="17049"/>
    <cellStyle name="Note 2 2 15 5 5" xfId="17050"/>
    <cellStyle name="Note 2 2 15 50" xfId="17051"/>
    <cellStyle name="Note 2 2 15 50 2" xfId="17052"/>
    <cellStyle name="Note 2 2 15 51" xfId="17053"/>
    <cellStyle name="Note 2 2 15 51 2" xfId="17054"/>
    <cellStyle name="Note 2 2 15 52" xfId="17055"/>
    <cellStyle name="Note 2 2 15 52 2" xfId="17056"/>
    <cellStyle name="Note 2 2 15 53" xfId="17057"/>
    <cellStyle name="Note 2 2 15 53 2" xfId="17058"/>
    <cellStyle name="Note 2 2 15 54" xfId="17059"/>
    <cellStyle name="Note 2 2 15 54 2" xfId="17060"/>
    <cellStyle name="Note 2 2 15 55" xfId="17061"/>
    <cellStyle name="Note 2 2 15 55 2" xfId="17062"/>
    <cellStyle name="Note 2 2 15 56" xfId="17063"/>
    <cellStyle name="Note 2 2 15 56 2" xfId="17064"/>
    <cellStyle name="Note 2 2 15 57" xfId="17065"/>
    <cellStyle name="Note 2 2 15 57 2" xfId="17066"/>
    <cellStyle name="Note 2 2 15 58" xfId="17067"/>
    <cellStyle name="Note 2 2 15 58 2" xfId="17068"/>
    <cellStyle name="Note 2 2 15 59" xfId="17069"/>
    <cellStyle name="Note 2 2 15 59 2" xfId="17070"/>
    <cellStyle name="Note 2 2 15 6" xfId="17071"/>
    <cellStyle name="Note 2 2 15 6 2" xfId="17072"/>
    <cellStyle name="Note 2 2 15 6 2 2" xfId="17073"/>
    <cellStyle name="Note 2 2 15 6 3" xfId="17074"/>
    <cellStyle name="Note 2 2 15 6 3 2" xfId="17075"/>
    <cellStyle name="Note 2 2 15 6 4" xfId="17076"/>
    <cellStyle name="Note 2 2 15 6 4 2" xfId="17077"/>
    <cellStyle name="Note 2 2 15 6 5" xfId="17078"/>
    <cellStyle name="Note 2 2 15 60" xfId="17079"/>
    <cellStyle name="Note 2 2 15 60 2" xfId="17080"/>
    <cellStyle name="Note 2 2 15 61" xfId="17081"/>
    <cellStyle name="Note 2 2 15 61 2" xfId="17082"/>
    <cellStyle name="Note 2 2 15 61 3" xfId="17083"/>
    <cellStyle name="Note 2 2 15 61 4" xfId="17084"/>
    <cellStyle name="Note 2 2 15 61 5" xfId="17085"/>
    <cellStyle name="Note 2 2 15 61 6" xfId="17086"/>
    <cellStyle name="Note 2 2 15 62" xfId="17087"/>
    <cellStyle name="Note 2 2 15 62 2" xfId="17088"/>
    <cellStyle name="Note 2 2 15 63" xfId="17089"/>
    <cellStyle name="Note 2 2 15 63 2" xfId="17090"/>
    <cellStyle name="Note 2 2 15 64" xfId="17091"/>
    <cellStyle name="Note 2 2 15 64 2" xfId="17092"/>
    <cellStyle name="Note 2 2 15 65" xfId="17093"/>
    <cellStyle name="Note 2 2 15 65 2" xfId="17094"/>
    <cellStyle name="Note 2 2 15 66" xfId="17095"/>
    <cellStyle name="Note 2 2 15 67" xfId="17096"/>
    <cellStyle name="Note 2 2 15 68" xfId="17097"/>
    <cellStyle name="Note 2 2 15 69" xfId="17098"/>
    <cellStyle name="Note 2 2 15 7" xfId="17099"/>
    <cellStyle name="Note 2 2 15 7 2" xfId="17100"/>
    <cellStyle name="Note 2 2 15 7 2 2" xfId="17101"/>
    <cellStyle name="Note 2 2 15 7 3" xfId="17102"/>
    <cellStyle name="Note 2 2 15 7 3 2" xfId="17103"/>
    <cellStyle name="Note 2 2 15 7 4" xfId="17104"/>
    <cellStyle name="Note 2 2 15 7 4 2" xfId="17105"/>
    <cellStyle name="Note 2 2 15 7 5" xfId="17106"/>
    <cellStyle name="Note 2 2 15 8" xfId="17107"/>
    <cellStyle name="Note 2 2 15 8 2" xfId="17108"/>
    <cellStyle name="Note 2 2 15 8 2 2" xfId="17109"/>
    <cellStyle name="Note 2 2 15 8 3" xfId="17110"/>
    <cellStyle name="Note 2 2 15 8 3 2" xfId="17111"/>
    <cellStyle name="Note 2 2 15 8 4" xfId="17112"/>
    <cellStyle name="Note 2 2 15 8 4 2" xfId="17113"/>
    <cellStyle name="Note 2 2 15 8 5" xfId="17114"/>
    <cellStyle name="Note 2 2 15 9" xfId="17115"/>
    <cellStyle name="Note 2 2 15 9 2" xfId="17116"/>
    <cellStyle name="Note 2 2 15 9 2 2" xfId="17117"/>
    <cellStyle name="Note 2 2 15 9 3" xfId="17118"/>
    <cellStyle name="Note 2 2 15 9 3 2" xfId="17119"/>
    <cellStyle name="Note 2 2 15 9 4" xfId="17120"/>
    <cellStyle name="Note 2 2 15 9 4 2" xfId="17121"/>
    <cellStyle name="Note 2 2 15 9 5" xfId="17122"/>
    <cellStyle name="Note 2 2 16" xfId="17123"/>
    <cellStyle name="Note 2 2 16 10" xfId="17124"/>
    <cellStyle name="Note 2 2 16 10 2" xfId="17125"/>
    <cellStyle name="Note 2 2 16 10 2 2" xfId="17126"/>
    <cellStyle name="Note 2 2 16 10 3" xfId="17127"/>
    <cellStyle name="Note 2 2 16 10 3 2" xfId="17128"/>
    <cellStyle name="Note 2 2 16 10 4" xfId="17129"/>
    <cellStyle name="Note 2 2 16 10 4 2" xfId="17130"/>
    <cellStyle name="Note 2 2 16 10 5" xfId="17131"/>
    <cellStyle name="Note 2 2 16 11" xfId="17132"/>
    <cellStyle name="Note 2 2 16 11 2" xfId="17133"/>
    <cellStyle name="Note 2 2 16 11 2 2" xfId="17134"/>
    <cellStyle name="Note 2 2 16 11 3" xfId="17135"/>
    <cellStyle name="Note 2 2 16 11 3 2" xfId="17136"/>
    <cellStyle name="Note 2 2 16 11 4" xfId="17137"/>
    <cellStyle name="Note 2 2 16 11 4 2" xfId="17138"/>
    <cellStyle name="Note 2 2 16 11 5" xfId="17139"/>
    <cellStyle name="Note 2 2 16 12" xfId="17140"/>
    <cellStyle name="Note 2 2 16 12 2" xfId="17141"/>
    <cellStyle name="Note 2 2 16 12 2 2" xfId="17142"/>
    <cellStyle name="Note 2 2 16 12 3" xfId="17143"/>
    <cellStyle name="Note 2 2 16 12 3 2" xfId="17144"/>
    <cellStyle name="Note 2 2 16 12 4" xfId="17145"/>
    <cellStyle name="Note 2 2 16 12 4 2" xfId="17146"/>
    <cellStyle name="Note 2 2 16 12 5" xfId="17147"/>
    <cellStyle name="Note 2 2 16 13" xfId="17148"/>
    <cellStyle name="Note 2 2 16 13 2" xfId="17149"/>
    <cellStyle name="Note 2 2 16 13 2 2" xfId="17150"/>
    <cellStyle name="Note 2 2 16 13 3" xfId="17151"/>
    <cellStyle name="Note 2 2 16 13 3 2" xfId="17152"/>
    <cellStyle name="Note 2 2 16 13 4" xfId="17153"/>
    <cellStyle name="Note 2 2 16 13 4 2" xfId="17154"/>
    <cellStyle name="Note 2 2 16 13 5" xfId="17155"/>
    <cellStyle name="Note 2 2 16 14" xfId="17156"/>
    <cellStyle name="Note 2 2 16 14 2" xfId="17157"/>
    <cellStyle name="Note 2 2 16 14 2 2" xfId="17158"/>
    <cellStyle name="Note 2 2 16 14 3" xfId="17159"/>
    <cellStyle name="Note 2 2 16 14 3 2" xfId="17160"/>
    <cellStyle name="Note 2 2 16 14 4" xfId="17161"/>
    <cellStyle name="Note 2 2 16 14 4 2" xfId="17162"/>
    <cellStyle name="Note 2 2 16 14 5" xfId="17163"/>
    <cellStyle name="Note 2 2 16 15" xfId="17164"/>
    <cellStyle name="Note 2 2 16 15 2" xfId="17165"/>
    <cellStyle name="Note 2 2 16 15 2 2" xfId="17166"/>
    <cellStyle name="Note 2 2 16 15 3" xfId="17167"/>
    <cellStyle name="Note 2 2 16 15 3 2" xfId="17168"/>
    <cellStyle name="Note 2 2 16 15 4" xfId="17169"/>
    <cellStyle name="Note 2 2 16 15 4 2" xfId="17170"/>
    <cellStyle name="Note 2 2 16 15 5" xfId="17171"/>
    <cellStyle name="Note 2 2 16 16" xfId="17172"/>
    <cellStyle name="Note 2 2 16 16 2" xfId="17173"/>
    <cellStyle name="Note 2 2 16 16 2 2" xfId="17174"/>
    <cellStyle name="Note 2 2 16 16 3" xfId="17175"/>
    <cellStyle name="Note 2 2 16 16 3 2" xfId="17176"/>
    <cellStyle name="Note 2 2 16 16 4" xfId="17177"/>
    <cellStyle name="Note 2 2 16 16 4 2" xfId="17178"/>
    <cellStyle name="Note 2 2 16 16 5" xfId="17179"/>
    <cellStyle name="Note 2 2 16 17" xfId="17180"/>
    <cellStyle name="Note 2 2 16 17 2" xfId="17181"/>
    <cellStyle name="Note 2 2 16 17 2 2" xfId="17182"/>
    <cellStyle name="Note 2 2 16 17 3" xfId="17183"/>
    <cellStyle name="Note 2 2 16 17 3 2" xfId="17184"/>
    <cellStyle name="Note 2 2 16 17 4" xfId="17185"/>
    <cellStyle name="Note 2 2 16 17 4 2" xfId="17186"/>
    <cellStyle name="Note 2 2 16 17 5" xfId="17187"/>
    <cellStyle name="Note 2 2 16 18" xfId="17188"/>
    <cellStyle name="Note 2 2 16 18 2" xfId="17189"/>
    <cellStyle name="Note 2 2 16 18 2 2" xfId="17190"/>
    <cellStyle name="Note 2 2 16 18 3" xfId="17191"/>
    <cellStyle name="Note 2 2 16 18 3 2" xfId="17192"/>
    <cellStyle name="Note 2 2 16 18 4" xfId="17193"/>
    <cellStyle name="Note 2 2 16 18 4 2" xfId="17194"/>
    <cellStyle name="Note 2 2 16 18 5" xfId="17195"/>
    <cellStyle name="Note 2 2 16 19" xfId="17196"/>
    <cellStyle name="Note 2 2 16 19 10" xfId="17197"/>
    <cellStyle name="Note 2 2 16 19 11" xfId="17198"/>
    <cellStyle name="Note 2 2 16 19 2" xfId="17199"/>
    <cellStyle name="Note 2 2 16 19 2 2" xfId="17200"/>
    <cellStyle name="Note 2 2 16 19 2 3" xfId="17201"/>
    <cellStyle name="Note 2 2 16 19 2 4" xfId="17202"/>
    <cellStyle name="Note 2 2 16 19 2 5" xfId="17203"/>
    <cellStyle name="Note 2 2 16 19 2 6" xfId="17204"/>
    <cellStyle name="Note 2 2 16 19 3" xfId="17205"/>
    <cellStyle name="Note 2 2 16 19 3 2" xfId="17206"/>
    <cellStyle name="Note 2 2 16 19 4" xfId="17207"/>
    <cellStyle name="Note 2 2 16 19 4 2" xfId="17208"/>
    <cellStyle name="Note 2 2 16 19 5" xfId="17209"/>
    <cellStyle name="Note 2 2 16 19 5 2" xfId="17210"/>
    <cellStyle name="Note 2 2 16 19 6" xfId="17211"/>
    <cellStyle name="Note 2 2 16 19 6 2" xfId="17212"/>
    <cellStyle name="Note 2 2 16 19 7" xfId="17213"/>
    <cellStyle name="Note 2 2 16 19 7 2" xfId="17214"/>
    <cellStyle name="Note 2 2 16 19 8" xfId="17215"/>
    <cellStyle name="Note 2 2 16 19 9" xfId="17216"/>
    <cellStyle name="Note 2 2 16 2" xfId="17217"/>
    <cellStyle name="Note 2 2 16 2 10" xfId="17218"/>
    <cellStyle name="Note 2 2 16 2 10 2" xfId="17219"/>
    <cellStyle name="Note 2 2 16 2 11" xfId="17220"/>
    <cellStyle name="Note 2 2 16 2 11 2" xfId="17221"/>
    <cellStyle name="Note 2 2 16 2 12" xfId="17222"/>
    <cellStyle name="Note 2 2 16 2 12 2" xfId="17223"/>
    <cellStyle name="Note 2 2 16 2 13" xfId="17224"/>
    <cellStyle name="Note 2 2 16 2 13 2" xfId="17225"/>
    <cellStyle name="Note 2 2 16 2 14" xfId="17226"/>
    <cellStyle name="Note 2 2 16 2 14 2" xfId="17227"/>
    <cellStyle name="Note 2 2 16 2 15" xfId="17228"/>
    <cellStyle name="Note 2 2 16 2 15 2" xfId="17229"/>
    <cellStyle name="Note 2 2 16 2 16" xfId="17230"/>
    <cellStyle name="Note 2 2 16 2 16 2" xfId="17231"/>
    <cellStyle name="Note 2 2 16 2 17" xfId="17232"/>
    <cellStyle name="Note 2 2 16 2 17 2" xfId="17233"/>
    <cellStyle name="Note 2 2 16 2 18" xfId="17234"/>
    <cellStyle name="Note 2 2 16 2 18 2" xfId="17235"/>
    <cellStyle name="Note 2 2 16 2 19" xfId="17236"/>
    <cellStyle name="Note 2 2 16 2 19 2" xfId="17237"/>
    <cellStyle name="Note 2 2 16 2 2" xfId="17238"/>
    <cellStyle name="Note 2 2 16 2 2 2" xfId="17239"/>
    <cellStyle name="Note 2 2 16 2 2 3" xfId="17240"/>
    <cellStyle name="Note 2 2 16 2 20" xfId="17241"/>
    <cellStyle name="Note 2 2 16 2 20 2" xfId="17242"/>
    <cellStyle name="Note 2 2 16 2 21" xfId="17243"/>
    <cellStyle name="Note 2 2 16 2 21 2" xfId="17244"/>
    <cellStyle name="Note 2 2 16 2 22" xfId="17245"/>
    <cellStyle name="Note 2 2 16 2 22 2" xfId="17246"/>
    <cellStyle name="Note 2 2 16 2 23" xfId="17247"/>
    <cellStyle name="Note 2 2 16 2 23 2" xfId="17248"/>
    <cellStyle name="Note 2 2 16 2 24" xfId="17249"/>
    <cellStyle name="Note 2 2 16 2 24 2" xfId="17250"/>
    <cellStyle name="Note 2 2 16 2 25" xfId="17251"/>
    <cellStyle name="Note 2 2 16 2 25 2" xfId="17252"/>
    <cellStyle name="Note 2 2 16 2 26" xfId="17253"/>
    <cellStyle name="Note 2 2 16 2 26 2" xfId="17254"/>
    <cellStyle name="Note 2 2 16 2 27" xfId="17255"/>
    <cellStyle name="Note 2 2 16 2 27 2" xfId="17256"/>
    <cellStyle name="Note 2 2 16 2 28" xfId="17257"/>
    <cellStyle name="Note 2 2 16 2 28 2" xfId="17258"/>
    <cellStyle name="Note 2 2 16 2 29" xfId="17259"/>
    <cellStyle name="Note 2 2 16 2 29 2" xfId="17260"/>
    <cellStyle name="Note 2 2 16 2 3" xfId="17261"/>
    <cellStyle name="Note 2 2 16 2 3 2" xfId="17262"/>
    <cellStyle name="Note 2 2 16 2 3 3" xfId="17263"/>
    <cellStyle name="Note 2 2 16 2 30" xfId="17264"/>
    <cellStyle name="Note 2 2 16 2 30 2" xfId="17265"/>
    <cellStyle name="Note 2 2 16 2 31" xfId="17266"/>
    <cellStyle name="Note 2 2 16 2 4" xfId="17267"/>
    <cellStyle name="Note 2 2 16 2 4 2" xfId="17268"/>
    <cellStyle name="Note 2 2 16 2 5" xfId="17269"/>
    <cellStyle name="Note 2 2 16 2 5 2" xfId="17270"/>
    <cellStyle name="Note 2 2 16 2 6" xfId="17271"/>
    <cellStyle name="Note 2 2 16 2 6 2" xfId="17272"/>
    <cellStyle name="Note 2 2 16 2 7" xfId="17273"/>
    <cellStyle name="Note 2 2 16 2 7 2" xfId="17274"/>
    <cellStyle name="Note 2 2 16 2 8" xfId="17275"/>
    <cellStyle name="Note 2 2 16 2 8 2" xfId="17276"/>
    <cellStyle name="Note 2 2 16 2 9" xfId="17277"/>
    <cellStyle name="Note 2 2 16 2 9 2" xfId="17278"/>
    <cellStyle name="Note 2 2 16 20" xfId="17279"/>
    <cellStyle name="Note 2 2 16 20 2" xfId="17280"/>
    <cellStyle name="Note 2 2 16 21" xfId="17281"/>
    <cellStyle name="Note 2 2 16 21 2" xfId="17282"/>
    <cellStyle name="Note 2 2 16 22" xfId="17283"/>
    <cellStyle name="Note 2 2 16 22 2" xfId="17284"/>
    <cellStyle name="Note 2 2 16 23" xfId="17285"/>
    <cellStyle name="Note 2 2 16 23 2" xfId="17286"/>
    <cellStyle name="Note 2 2 16 24" xfId="17287"/>
    <cellStyle name="Note 2 2 16 24 2" xfId="17288"/>
    <cellStyle name="Note 2 2 16 25" xfId="17289"/>
    <cellStyle name="Note 2 2 16 25 2" xfId="17290"/>
    <cellStyle name="Note 2 2 16 26" xfId="17291"/>
    <cellStyle name="Note 2 2 16 26 2" xfId="17292"/>
    <cellStyle name="Note 2 2 16 27" xfId="17293"/>
    <cellStyle name="Note 2 2 16 27 2" xfId="17294"/>
    <cellStyle name="Note 2 2 16 28" xfId="17295"/>
    <cellStyle name="Note 2 2 16 28 2" xfId="17296"/>
    <cellStyle name="Note 2 2 16 29" xfId="17297"/>
    <cellStyle name="Note 2 2 16 29 2" xfId="17298"/>
    <cellStyle name="Note 2 2 16 3" xfId="17299"/>
    <cellStyle name="Note 2 2 16 3 2" xfId="17300"/>
    <cellStyle name="Note 2 2 16 3 2 2" xfId="17301"/>
    <cellStyle name="Note 2 2 16 3 3" xfId="17302"/>
    <cellStyle name="Note 2 2 16 3 3 2" xfId="17303"/>
    <cellStyle name="Note 2 2 16 3 4" xfId="17304"/>
    <cellStyle name="Note 2 2 16 3 4 2" xfId="17305"/>
    <cellStyle name="Note 2 2 16 3 5" xfId="17306"/>
    <cellStyle name="Note 2 2 16 30" xfId="17307"/>
    <cellStyle name="Note 2 2 16 30 2" xfId="17308"/>
    <cellStyle name="Note 2 2 16 31" xfId="17309"/>
    <cellStyle name="Note 2 2 16 31 2" xfId="17310"/>
    <cellStyle name="Note 2 2 16 32" xfId="17311"/>
    <cellStyle name="Note 2 2 16 32 2" xfId="17312"/>
    <cellStyle name="Note 2 2 16 33" xfId="17313"/>
    <cellStyle name="Note 2 2 16 33 2" xfId="17314"/>
    <cellStyle name="Note 2 2 16 34" xfId="17315"/>
    <cellStyle name="Note 2 2 16 34 2" xfId="17316"/>
    <cellStyle name="Note 2 2 16 35" xfId="17317"/>
    <cellStyle name="Note 2 2 16 35 2" xfId="17318"/>
    <cellStyle name="Note 2 2 16 36" xfId="17319"/>
    <cellStyle name="Note 2 2 16 36 2" xfId="17320"/>
    <cellStyle name="Note 2 2 16 37" xfId="17321"/>
    <cellStyle name="Note 2 2 16 37 2" xfId="17322"/>
    <cellStyle name="Note 2 2 16 38" xfId="17323"/>
    <cellStyle name="Note 2 2 16 38 2" xfId="17324"/>
    <cellStyle name="Note 2 2 16 39" xfId="17325"/>
    <cellStyle name="Note 2 2 16 39 2" xfId="17326"/>
    <cellStyle name="Note 2 2 16 4" xfId="17327"/>
    <cellStyle name="Note 2 2 16 4 10" xfId="17328"/>
    <cellStyle name="Note 2 2 16 4 11" xfId="17329"/>
    <cellStyle name="Note 2 2 16 4 12" xfId="17330"/>
    <cellStyle name="Note 2 2 16 4 13" xfId="17331"/>
    <cellStyle name="Note 2 2 16 4 2" xfId="17332"/>
    <cellStyle name="Note 2 2 16 4 2 2" xfId="17333"/>
    <cellStyle name="Note 2 2 16 4 2 3" xfId="17334"/>
    <cellStyle name="Note 2 2 16 4 3" xfId="17335"/>
    <cellStyle name="Note 2 2 16 4 3 2" xfId="17336"/>
    <cellStyle name="Note 2 2 16 4 4" xfId="17337"/>
    <cellStyle name="Note 2 2 16 4 4 2" xfId="17338"/>
    <cellStyle name="Note 2 2 16 4 5" xfId="17339"/>
    <cellStyle name="Note 2 2 16 4 5 2" xfId="17340"/>
    <cellStyle name="Note 2 2 16 4 5 3" xfId="17341"/>
    <cellStyle name="Note 2 2 16 4 5 4" xfId="17342"/>
    <cellStyle name="Note 2 2 16 4 5 5" xfId="17343"/>
    <cellStyle name="Note 2 2 16 4 5 6" xfId="17344"/>
    <cellStyle name="Note 2 2 16 4 6" xfId="17345"/>
    <cellStyle name="Note 2 2 16 4 6 2" xfId="17346"/>
    <cellStyle name="Note 2 2 16 4 7" xfId="17347"/>
    <cellStyle name="Note 2 2 16 4 7 2" xfId="17348"/>
    <cellStyle name="Note 2 2 16 4 8" xfId="17349"/>
    <cellStyle name="Note 2 2 16 4 8 2" xfId="17350"/>
    <cellStyle name="Note 2 2 16 4 9" xfId="17351"/>
    <cellStyle name="Note 2 2 16 4 9 2" xfId="17352"/>
    <cellStyle name="Note 2 2 16 40" xfId="17353"/>
    <cellStyle name="Note 2 2 16 40 2" xfId="17354"/>
    <cellStyle name="Note 2 2 16 41" xfId="17355"/>
    <cellStyle name="Note 2 2 16 41 2" xfId="17356"/>
    <cellStyle name="Note 2 2 16 42" xfId="17357"/>
    <cellStyle name="Note 2 2 16 42 2" xfId="17358"/>
    <cellStyle name="Note 2 2 16 43" xfId="17359"/>
    <cellStyle name="Note 2 2 16 43 2" xfId="17360"/>
    <cellStyle name="Note 2 2 16 44" xfId="17361"/>
    <cellStyle name="Note 2 2 16 44 2" xfId="17362"/>
    <cellStyle name="Note 2 2 16 45" xfId="17363"/>
    <cellStyle name="Note 2 2 16 45 2" xfId="17364"/>
    <cellStyle name="Note 2 2 16 46" xfId="17365"/>
    <cellStyle name="Note 2 2 16 46 2" xfId="17366"/>
    <cellStyle name="Note 2 2 16 47" xfId="17367"/>
    <cellStyle name="Note 2 2 16 47 2" xfId="17368"/>
    <cellStyle name="Note 2 2 16 48" xfId="17369"/>
    <cellStyle name="Note 2 2 16 48 2" xfId="17370"/>
    <cellStyle name="Note 2 2 16 49" xfId="17371"/>
    <cellStyle name="Note 2 2 16 49 2" xfId="17372"/>
    <cellStyle name="Note 2 2 16 5" xfId="17373"/>
    <cellStyle name="Note 2 2 16 5 2" xfId="17374"/>
    <cellStyle name="Note 2 2 16 5 2 2" xfId="17375"/>
    <cellStyle name="Note 2 2 16 5 3" xfId="17376"/>
    <cellStyle name="Note 2 2 16 5 3 2" xfId="17377"/>
    <cellStyle name="Note 2 2 16 5 4" xfId="17378"/>
    <cellStyle name="Note 2 2 16 5 4 2" xfId="17379"/>
    <cellStyle name="Note 2 2 16 5 5" xfId="17380"/>
    <cellStyle name="Note 2 2 16 50" xfId="17381"/>
    <cellStyle name="Note 2 2 16 50 2" xfId="17382"/>
    <cellStyle name="Note 2 2 16 51" xfId="17383"/>
    <cellStyle name="Note 2 2 16 51 2" xfId="17384"/>
    <cellStyle name="Note 2 2 16 52" xfId="17385"/>
    <cellStyle name="Note 2 2 16 52 2" xfId="17386"/>
    <cellStyle name="Note 2 2 16 53" xfId="17387"/>
    <cellStyle name="Note 2 2 16 53 2" xfId="17388"/>
    <cellStyle name="Note 2 2 16 54" xfId="17389"/>
    <cellStyle name="Note 2 2 16 54 2" xfId="17390"/>
    <cellStyle name="Note 2 2 16 55" xfId="17391"/>
    <cellStyle name="Note 2 2 16 55 2" xfId="17392"/>
    <cellStyle name="Note 2 2 16 56" xfId="17393"/>
    <cellStyle name="Note 2 2 16 56 2" xfId="17394"/>
    <cellStyle name="Note 2 2 16 57" xfId="17395"/>
    <cellStyle name="Note 2 2 16 57 2" xfId="17396"/>
    <cellStyle name="Note 2 2 16 58" xfId="17397"/>
    <cellStyle name="Note 2 2 16 58 2" xfId="17398"/>
    <cellStyle name="Note 2 2 16 59" xfId="17399"/>
    <cellStyle name="Note 2 2 16 59 2" xfId="17400"/>
    <cellStyle name="Note 2 2 16 6" xfId="17401"/>
    <cellStyle name="Note 2 2 16 6 2" xfId="17402"/>
    <cellStyle name="Note 2 2 16 6 2 2" xfId="17403"/>
    <cellStyle name="Note 2 2 16 6 3" xfId="17404"/>
    <cellStyle name="Note 2 2 16 6 3 2" xfId="17405"/>
    <cellStyle name="Note 2 2 16 6 4" xfId="17406"/>
    <cellStyle name="Note 2 2 16 6 4 2" xfId="17407"/>
    <cellStyle name="Note 2 2 16 6 5" xfId="17408"/>
    <cellStyle name="Note 2 2 16 60" xfId="17409"/>
    <cellStyle name="Note 2 2 16 60 2" xfId="17410"/>
    <cellStyle name="Note 2 2 16 61" xfId="17411"/>
    <cellStyle name="Note 2 2 16 61 2" xfId="17412"/>
    <cellStyle name="Note 2 2 16 61 3" xfId="17413"/>
    <cellStyle name="Note 2 2 16 61 4" xfId="17414"/>
    <cellStyle name="Note 2 2 16 61 5" xfId="17415"/>
    <cellStyle name="Note 2 2 16 61 6" xfId="17416"/>
    <cellStyle name="Note 2 2 16 62" xfId="17417"/>
    <cellStyle name="Note 2 2 16 62 2" xfId="17418"/>
    <cellStyle name="Note 2 2 16 63" xfId="17419"/>
    <cellStyle name="Note 2 2 16 63 2" xfId="17420"/>
    <cellStyle name="Note 2 2 16 64" xfId="17421"/>
    <cellStyle name="Note 2 2 16 64 2" xfId="17422"/>
    <cellStyle name="Note 2 2 16 65" xfId="17423"/>
    <cellStyle name="Note 2 2 16 65 2" xfId="17424"/>
    <cellStyle name="Note 2 2 16 66" xfId="17425"/>
    <cellStyle name="Note 2 2 16 67" xfId="17426"/>
    <cellStyle name="Note 2 2 16 68" xfId="17427"/>
    <cellStyle name="Note 2 2 16 69" xfId="17428"/>
    <cellStyle name="Note 2 2 16 7" xfId="17429"/>
    <cellStyle name="Note 2 2 16 7 2" xfId="17430"/>
    <cellStyle name="Note 2 2 16 7 2 2" xfId="17431"/>
    <cellStyle name="Note 2 2 16 7 3" xfId="17432"/>
    <cellStyle name="Note 2 2 16 7 3 2" xfId="17433"/>
    <cellStyle name="Note 2 2 16 7 4" xfId="17434"/>
    <cellStyle name="Note 2 2 16 7 4 2" xfId="17435"/>
    <cellStyle name="Note 2 2 16 7 5" xfId="17436"/>
    <cellStyle name="Note 2 2 16 8" xfId="17437"/>
    <cellStyle name="Note 2 2 16 8 2" xfId="17438"/>
    <cellStyle name="Note 2 2 16 8 2 2" xfId="17439"/>
    <cellStyle name="Note 2 2 16 8 3" xfId="17440"/>
    <cellStyle name="Note 2 2 16 8 3 2" xfId="17441"/>
    <cellStyle name="Note 2 2 16 8 4" xfId="17442"/>
    <cellStyle name="Note 2 2 16 8 4 2" xfId="17443"/>
    <cellStyle name="Note 2 2 16 8 5" xfId="17444"/>
    <cellStyle name="Note 2 2 16 9" xfId="17445"/>
    <cellStyle name="Note 2 2 16 9 2" xfId="17446"/>
    <cellStyle name="Note 2 2 16 9 2 2" xfId="17447"/>
    <cellStyle name="Note 2 2 16 9 3" xfId="17448"/>
    <cellStyle name="Note 2 2 16 9 3 2" xfId="17449"/>
    <cellStyle name="Note 2 2 16 9 4" xfId="17450"/>
    <cellStyle name="Note 2 2 16 9 4 2" xfId="17451"/>
    <cellStyle name="Note 2 2 16 9 5" xfId="17452"/>
    <cellStyle name="Note 2 2 17" xfId="17453"/>
    <cellStyle name="Note 2 2 17 10" xfId="17454"/>
    <cellStyle name="Note 2 2 17 10 2" xfId="17455"/>
    <cellStyle name="Note 2 2 17 10 2 2" xfId="17456"/>
    <cellStyle name="Note 2 2 17 10 3" xfId="17457"/>
    <cellStyle name="Note 2 2 17 10 3 2" xfId="17458"/>
    <cellStyle name="Note 2 2 17 10 4" xfId="17459"/>
    <cellStyle name="Note 2 2 17 10 4 2" xfId="17460"/>
    <cellStyle name="Note 2 2 17 10 5" xfId="17461"/>
    <cellStyle name="Note 2 2 17 11" xfId="17462"/>
    <cellStyle name="Note 2 2 17 11 2" xfId="17463"/>
    <cellStyle name="Note 2 2 17 11 2 2" xfId="17464"/>
    <cellStyle name="Note 2 2 17 11 3" xfId="17465"/>
    <cellStyle name="Note 2 2 17 11 3 2" xfId="17466"/>
    <cellStyle name="Note 2 2 17 11 4" xfId="17467"/>
    <cellStyle name="Note 2 2 17 11 4 2" xfId="17468"/>
    <cellStyle name="Note 2 2 17 11 5" xfId="17469"/>
    <cellStyle name="Note 2 2 17 12" xfId="17470"/>
    <cellStyle name="Note 2 2 17 12 2" xfId="17471"/>
    <cellStyle name="Note 2 2 17 12 2 2" xfId="17472"/>
    <cellStyle name="Note 2 2 17 12 3" xfId="17473"/>
    <cellStyle name="Note 2 2 17 12 3 2" xfId="17474"/>
    <cellStyle name="Note 2 2 17 12 4" xfId="17475"/>
    <cellStyle name="Note 2 2 17 12 4 2" xfId="17476"/>
    <cellStyle name="Note 2 2 17 12 5" xfId="17477"/>
    <cellStyle name="Note 2 2 17 13" xfId="17478"/>
    <cellStyle name="Note 2 2 17 13 2" xfId="17479"/>
    <cellStyle name="Note 2 2 17 13 2 2" xfId="17480"/>
    <cellStyle name="Note 2 2 17 13 3" xfId="17481"/>
    <cellStyle name="Note 2 2 17 13 3 2" xfId="17482"/>
    <cellStyle name="Note 2 2 17 13 4" xfId="17483"/>
    <cellStyle name="Note 2 2 17 13 4 2" xfId="17484"/>
    <cellStyle name="Note 2 2 17 13 5" xfId="17485"/>
    <cellStyle name="Note 2 2 17 14" xfId="17486"/>
    <cellStyle name="Note 2 2 17 14 2" xfId="17487"/>
    <cellStyle name="Note 2 2 17 14 2 2" xfId="17488"/>
    <cellStyle name="Note 2 2 17 14 3" xfId="17489"/>
    <cellStyle name="Note 2 2 17 14 3 2" xfId="17490"/>
    <cellStyle name="Note 2 2 17 14 4" xfId="17491"/>
    <cellStyle name="Note 2 2 17 14 4 2" xfId="17492"/>
    <cellStyle name="Note 2 2 17 14 5" xfId="17493"/>
    <cellStyle name="Note 2 2 17 15" xfId="17494"/>
    <cellStyle name="Note 2 2 17 15 2" xfId="17495"/>
    <cellStyle name="Note 2 2 17 15 2 2" xfId="17496"/>
    <cellStyle name="Note 2 2 17 15 3" xfId="17497"/>
    <cellStyle name="Note 2 2 17 15 3 2" xfId="17498"/>
    <cellStyle name="Note 2 2 17 15 4" xfId="17499"/>
    <cellStyle name="Note 2 2 17 15 4 2" xfId="17500"/>
    <cellStyle name="Note 2 2 17 15 5" xfId="17501"/>
    <cellStyle name="Note 2 2 17 16" xfId="17502"/>
    <cellStyle name="Note 2 2 17 16 2" xfId="17503"/>
    <cellStyle name="Note 2 2 17 16 2 2" xfId="17504"/>
    <cellStyle name="Note 2 2 17 16 3" xfId="17505"/>
    <cellStyle name="Note 2 2 17 16 3 2" xfId="17506"/>
    <cellStyle name="Note 2 2 17 16 4" xfId="17507"/>
    <cellStyle name="Note 2 2 17 16 4 2" xfId="17508"/>
    <cellStyle name="Note 2 2 17 16 5" xfId="17509"/>
    <cellStyle name="Note 2 2 17 17" xfId="17510"/>
    <cellStyle name="Note 2 2 17 17 2" xfId="17511"/>
    <cellStyle name="Note 2 2 17 17 2 2" xfId="17512"/>
    <cellStyle name="Note 2 2 17 17 3" xfId="17513"/>
    <cellStyle name="Note 2 2 17 17 3 2" xfId="17514"/>
    <cellStyle name="Note 2 2 17 17 4" xfId="17515"/>
    <cellStyle name="Note 2 2 17 17 4 2" xfId="17516"/>
    <cellStyle name="Note 2 2 17 17 5" xfId="17517"/>
    <cellStyle name="Note 2 2 17 18" xfId="17518"/>
    <cellStyle name="Note 2 2 17 18 2" xfId="17519"/>
    <cellStyle name="Note 2 2 17 18 2 2" xfId="17520"/>
    <cellStyle name="Note 2 2 17 18 3" xfId="17521"/>
    <cellStyle name="Note 2 2 17 18 3 2" xfId="17522"/>
    <cellStyle name="Note 2 2 17 18 4" xfId="17523"/>
    <cellStyle name="Note 2 2 17 18 4 2" xfId="17524"/>
    <cellStyle name="Note 2 2 17 18 5" xfId="17525"/>
    <cellStyle name="Note 2 2 17 19" xfId="17526"/>
    <cellStyle name="Note 2 2 17 19 10" xfId="17527"/>
    <cellStyle name="Note 2 2 17 19 11" xfId="17528"/>
    <cellStyle name="Note 2 2 17 19 2" xfId="17529"/>
    <cellStyle name="Note 2 2 17 19 2 2" xfId="17530"/>
    <cellStyle name="Note 2 2 17 19 2 3" xfId="17531"/>
    <cellStyle name="Note 2 2 17 19 2 4" xfId="17532"/>
    <cellStyle name="Note 2 2 17 19 2 5" xfId="17533"/>
    <cellStyle name="Note 2 2 17 19 2 6" xfId="17534"/>
    <cellStyle name="Note 2 2 17 19 3" xfId="17535"/>
    <cellStyle name="Note 2 2 17 19 3 2" xfId="17536"/>
    <cellStyle name="Note 2 2 17 19 4" xfId="17537"/>
    <cellStyle name="Note 2 2 17 19 4 2" xfId="17538"/>
    <cellStyle name="Note 2 2 17 19 5" xfId="17539"/>
    <cellStyle name="Note 2 2 17 19 5 2" xfId="17540"/>
    <cellStyle name="Note 2 2 17 19 6" xfId="17541"/>
    <cellStyle name="Note 2 2 17 19 6 2" xfId="17542"/>
    <cellStyle name="Note 2 2 17 19 7" xfId="17543"/>
    <cellStyle name="Note 2 2 17 19 7 2" xfId="17544"/>
    <cellStyle name="Note 2 2 17 19 8" xfId="17545"/>
    <cellStyle name="Note 2 2 17 19 9" xfId="17546"/>
    <cellStyle name="Note 2 2 17 2" xfId="17547"/>
    <cellStyle name="Note 2 2 17 2 10" xfId="17548"/>
    <cellStyle name="Note 2 2 17 2 10 2" xfId="17549"/>
    <cellStyle name="Note 2 2 17 2 11" xfId="17550"/>
    <cellStyle name="Note 2 2 17 2 11 2" xfId="17551"/>
    <cellStyle name="Note 2 2 17 2 12" xfId="17552"/>
    <cellStyle name="Note 2 2 17 2 12 2" xfId="17553"/>
    <cellStyle name="Note 2 2 17 2 13" xfId="17554"/>
    <cellStyle name="Note 2 2 17 2 13 2" xfId="17555"/>
    <cellStyle name="Note 2 2 17 2 14" xfId="17556"/>
    <cellStyle name="Note 2 2 17 2 14 2" xfId="17557"/>
    <cellStyle name="Note 2 2 17 2 15" xfId="17558"/>
    <cellStyle name="Note 2 2 17 2 15 2" xfId="17559"/>
    <cellStyle name="Note 2 2 17 2 16" xfId="17560"/>
    <cellStyle name="Note 2 2 17 2 16 2" xfId="17561"/>
    <cellStyle name="Note 2 2 17 2 17" xfId="17562"/>
    <cellStyle name="Note 2 2 17 2 17 2" xfId="17563"/>
    <cellStyle name="Note 2 2 17 2 18" xfId="17564"/>
    <cellStyle name="Note 2 2 17 2 18 2" xfId="17565"/>
    <cellStyle name="Note 2 2 17 2 19" xfId="17566"/>
    <cellStyle name="Note 2 2 17 2 19 2" xfId="17567"/>
    <cellStyle name="Note 2 2 17 2 2" xfId="17568"/>
    <cellStyle name="Note 2 2 17 2 2 2" xfId="17569"/>
    <cellStyle name="Note 2 2 17 2 2 3" xfId="17570"/>
    <cellStyle name="Note 2 2 17 2 20" xfId="17571"/>
    <cellStyle name="Note 2 2 17 2 20 2" xfId="17572"/>
    <cellStyle name="Note 2 2 17 2 21" xfId="17573"/>
    <cellStyle name="Note 2 2 17 2 21 2" xfId="17574"/>
    <cellStyle name="Note 2 2 17 2 22" xfId="17575"/>
    <cellStyle name="Note 2 2 17 2 22 2" xfId="17576"/>
    <cellStyle name="Note 2 2 17 2 23" xfId="17577"/>
    <cellStyle name="Note 2 2 17 2 23 2" xfId="17578"/>
    <cellStyle name="Note 2 2 17 2 24" xfId="17579"/>
    <cellStyle name="Note 2 2 17 2 24 2" xfId="17580"/>
    <cellStyle name="Note 2 2 17 2 25" xfId="17581"/>
    <cellStyle name="Note 2 2 17 2 25 2" xfId="17582"/>
    <cellStyle name="Note 2 2 17 2 26" xfId="17583"/>
    <cellStyle name="Note 2 2 17 2 26 2" xfId="17584"/>
    <cellStyle name="Note 2 2 17 2 27" xfId="17585"/>
    <cellStyle name="Note 2 2 17 2 27 2" xfId="17586"/>
    <cellStyle name="Note 2 2 17 2 28" xfId="17587"/>
    <cellStyle name="Note 2 2 17 2 28 2" xfId="17588"/>
    <cellStyle name="Note 2 2 17 2 29" xfId="17589"/>
    <cellStyle name="Note 2 2 17 2 29 2" xfId="17590"/>
    <cellStyle name="Note 2 2 17 2 3" xfId="17591"/>
    <cellStyle name="Note 2 2 17 2 3 2" xfId="17592"/>
    <cellStyle name="Note 2 2 17 2 3 3" xfId="17593"/>
    <cellStyle name="Note 2 2 17 2 30" xfId="17594"/>
    <cellStyle name="Note 2 2 17 2 30 2" xfId="17595"/>
    <cellStyle name="Note 2 2 17 2 31" xfId="17596"/>
    <cellStyle name="Note 2 2 17 2 4" xfId="17597"/>
    <cellStyle name="Note 2 2 17 2 4 2" xfId="17598"/>
    <cellStyle name="Note 2 2 17 2 5" xfId="17599"/>
    <cellStyle name="Note 2 2 17 2 5 2" xfId="17600"/>
    <cellStyle name="Note 2 2 17 2 6" xfId="17601"/>
    <cellStyle name="Note 2 2 17 2 6 2" xfId="17602"/>
    <cellStyle name="Note 2 2 17 2 7" xfId="17603"/>
    <cellStyle name="Note 2 2 17 2 7 2" xfId="17604"/>
    <cellStyle name="Note 2 2 17 2 8" xfId="17605"/>
    <cellStyle name="Note 2 2 17 2 8 2" xfId="17606"/>
    <cellStyle name="Note 2 2 17 2 9" xfId="17607"/>
    <cellStyle name="Note 2 2 17 2 9 2" xfId="17608"/>
    <cellStyle name="Note 2 2 17 20" xfId="17609"/>
    <cellStyle name="Note 2 2 17 20 2" xfId="17610"/>
    <cellStyle name="Note 2 2 17 21" xfId="17611"/>
    <cellStyle name="Note 2 2 17 21 2" xfId="17612"/>
    <cellStyle name="Note 2 2 17 22" xfId="17613"/>
    <cellStyle name="Note 2 2 17 22 2" xfId="17614"/>
    <cellStyle name="Note 2 2 17 23" xfId="17615"/>
    <cellStyle name="Note 2 2 17 23 2" xfId="17616"/>
    <cellStyle name="Note 2 2 17 24" xfId="17617"/>
    <cellStyle name="Note 2 2 17 24 2" xfId="17618"/>
    <cellStyle name="Note 2 2 17 25" xfId="17619"/>
    <cellStyle name="Note 2 2 17 25 2" xfId="17620"/>
    <cellStyle name="Note 2 2 17 26" xfId="17621"/>
    <cellStyle name="Note 2 2 17 26 2" xfId="17622"/>
    <cellStyle name="Note 2 2 17 27" xfId="17623"/>
    <cellStyle name="Note 2 2 17 27 2" xfId="17624"/>
    <cellStyle name="Note 2 2 17 28" xfId="17625"/>
    <cellStyle name="Note 2 2 17 28 2" xfId="17626"/>
    <cellStyle name="Note 2 2 17 29" xfId="17627"/>
    <cellStyle name="Note 2 2 17 29 2" xfId="17628"/>
    <cellStyle name="Note 2 2 17 3" xfId="17629"/>
    <cellStyle name="Note 2 2 17 3 2" xfId="17630"/>
    <cellStyle name="Note 2 2 17 3 2 2" xfId="17631"/>
    <cellStyle name="Note 2 2 17 3 3" xfId="17632"/>
    <cellStyle name="Note 2 2 17 3 3 2" xfId="17633"/>
    <cellStyle name="Note 2 2 17 3 4" xfId="17634"/>
    <cellStyle name="Note 2 2 17 3 4 2" xfId="17635"/>
    <cellStyle name="Note 2 2 17 3 5" xfId="17636"/>
    <cellStyle name="Note 2 2 17 30" xfId="17637"/>
    <cellStyle name="Note 2 2 17 30 2" xfId="17638"/>
    <cellStyle name="Note 2 2 17 31" xfId="17639"/>
    <cellStyle name="Note 2 2 17 31 2" xfId="17640"/>
    <cellStyle name="Note 2 2 17 32" xfId="17641"/>
    <cellStyle name="Note 2 2 17 32 2" xfId="17642"/>
    <cellStyle name="Note 2 2 17 33" xfId="17643"/>
    <cellStyle name="Note 2 2 17 33 2" xfId="17644"/>
    <cellStyle name="Note 2 2 17 34" xfId="17645"/>
    <cellStyle name="Note 2 2 17 34 2" xfId="17646"/>
    <cellStyle name="Note 2 2 17 35" xfId="17647"/>
    <cellStyle name="Note 2 2 17 35 2" xfId="17648"/>
    <cellStyle name="Note 2 2 17 36" xfId="17649"/>
    <cellStyle name="Note 2 2 17 36 2" xfId="17650"/>
    <cellStyle name="Note 2 2 17 37" xfId="17651"/>
    <cellStyle name="Note 2 2 17 37 2" xfId="17652"/>
    <cellStyle name="Note 2 2 17 38" xfId="17653"/>
    <cellStyle name="Note 2 2 17 38 2" xfId="17654"/>
    <cellStyle name="Note 2 2 17 39" xfId="17655"/>
    <cellStyle name="Note 2 2 17 39 2" xfId="17656"/>
    <cellStyle name="Note 2 2 17 4" xfId="17657"/>
    <cellStyle name="Note 2 2 17 4 10" xfId="17658"/>
    <cellStyle name="Note 2 2 17 4 11" xfId="17659"/>
    <cellStyle name="Note 2 2 17 4 12" xfId="17660"/>
    <cellStyle name="Note 2 2 17 4 13" xfId="17661"/>
    <cellStyle name="Note 2 2 17 4 2" xfId="17662"/>
    <cellStyle name="Note 2 2 17 4 2 2" xfId="17663"/>
    <cellStyle name="Note 2 2 17 4 2 3" xfId="17664"/>
    <cellStyle name="Note 2 2 17 4 3" xfId="17665"/>
    <cellStyle name="Note 2 2 17 4 3 2" xfId="17666"/>
    <cellStyle name="Note 2 2 17 4 4" xfId="17667"/>
    <cellStyle name="Note 2 2 17 4 4 2" xfId="17668"/>
    <cellStyle name="Note 2 2 17 4 5" xfId="17669"/>
    <cellStyle name="Note 2 2 17 4 5 2" xfId="17670"/>
    <cellStyle name="Note 2 2 17 4 5 3" xfId="17671"/>
    <cellStyle name="Note 2 2 17 4 5 4" xfId="17672"/>
    <cellStyle name="Note 2 2 17 4 5 5" xfId="17673"/>
    <cellStyle name="Note 2 2 17 4 5 6" xfId="17674"/>
    <cellStyle name="Note 2 2 17 4 6" xfId="17675"/>
    <cellStyle name="Note 2 2 17 4 6 2" xfId="17676"/>
    <cellStyle name="Note 2 2 17 4 7" xfId="17677"/>
    <cellStyle name="Note 2 2 17 4 7 2" xfId="17678"/>
    <cellStyle name="Note 2 2 17 4 8" xfId="17679"/>
    <cellStyle name="Note 2 2 17 4 8 2" xfId="17680"/>
    <cellStyle name="Note 2 2 17 4 9" xfId="17681"/>
    <cellStyle name="Note 2 2 17 4 9 2" xfId="17682"/>
    <cellStyle name="Note 2 2 17 40" xfId="17683"/>
    <cellStyle name="Note 2 2 17 40 2" xfId="17684"/>
    <cellStyle name="Note 2 2 17 41" xfId="17685"/>
    <cellStyle name="Note 2 2 17 41 2" xfId="17686"/>
    <cellStyle name="Note 2 2 17 42" xfId="17687"/>
    <cellStyle name="Note 2 2 17 42 2" xfId="17688"/>
    <cellStyle name="Note 2 2 17 43" xfId="17689"/>
    <cellStyle name="Note 2 2 17 43 2" xfId="17690"/>
    <cellStyle name="Note 2 2 17 44" xfId="17691"/>
    <cellStyle name="Note 2 2 17 44 2" xfId="17692"/>
    <cellStyle name="Note 2 2 17 45" xfId="17693"/>
    <cellStyle name="Note 2 2 17 45 2" xfId="17694"/>
    <cellStyle name="Note 2 2 17 46" xfId="17695"/>
    <cellStyle name="Note 2 2 17 46 2" xfId="17696"/>
    <cellStyle name="Note 2 2 17 47" xfId="17697"/>
    <cellStyle name="Note 2 2 17 47 2" xfId="17698"/>
    <cellStyle name="Note 2 2 17 48" xfId="17699"/>
    <cellStyle name="Note 2 2 17 48 2" xfId="17700"/>
    <cellStyle name="Note 2 2 17 49" xfId="17701"/>
    <cellStyle name="Note 2 2 17 49 2" xfId="17702"/>
    <cellStyle name="Note 2 2 17 5" xfId="17703"/>
    <cellStyle name="Note 2 2 17 5 2" xfId="17704"/>
    <cellStyle name="Note 2 2 17 5 2 2" xfId="17705"/>
    <cellStyle name="Note 2 2 17 5 3" xfId="17706"/>
    <cellStyle name="Note 2 2 17 5 3 2" xfId="17707"/>
    <cellStyle name="Note 2 2 17 5 4" xfId="17708"/>
    <cellStyle name="Note 2 2 17 5 4 2" xfId="17709"/>
    <cellStyle name="Note 2 2 17 5 5" xfId="17710"/>
    <cellStyle name="Note 2 2 17 50" xfId="17711"/>
    <cellStyle name="Note 2 2 17 50 2" xfId="17712"/>
    <cellStyle name="Note 2 2 17 51" xfId="17713"/>
    <cellStyle name="Note 2 2 17 51 2" xfId="17714"/>
    <cellStyle name="Note 2 2 17 52" xfId="17715"/>
    <cellStyle name="Note 2 2 17 52 2" xfId="17716"/>
    <cellStyle name="Note 2 2 17 53" xfId="17717"/>
    <cellStyle name="Note 2 2 17 53 2" xfId="17718"/>
    <cellStyle name="Note 2 2 17 54" xfId="17719"/>
    <cellStyle name="Note 2 2 17 54 2" xfId="17720"/>
    <cellStyle name="Note 2 2 17 55" xfId="17721"/>
    <cellStyle name="Note 2 2 17 55 2" xfId="17722"/>
    <cellStyle name="Note 2 2 17 56" xfId="17723"/>
    <cellStyle name="Note 2 2 17 56 2" xfId="17724"/>
    <cellStyle name="Note 2 2 17 57" xfId="17725"/>
    <cellStyle name="Note 2 2 17 57 2" xfId="17726"/>
    <cellStyle name="Note 2 2 17 58" xfId="17727"/>
    <cellStyle name="Note 2 2 17 58 2" xfId="17728"/>
    <cellStyle name="Note 2 2 17 59" xfId="17729"/>
    <cellStyle name="Note 2 2 17 59 2" xfId="17730"/>
    <cellStyle name="Note 2 2 17 6" xfId="17731"/>
    <cellStyle name="Note 2 2 17 6 2" xfId="17732"/>
    <cellStyle name="Note 2 2 17 6 2 2" xfId="17733"/>
    <cellStyle name="Note 2 2 17 6 3" xfId="17734"/>
    <cellStyle name="Note 2 2 17 6 3 2" xfId="17735"/>
    <cellStyle name="Note 2 2 17 6 4" xfId="17736"/>
    <cellStyle name="Note 2 2 17 6 4 2" xfId="17737"/>
    <cellStyle name="Note 2 2 17 6 5" xfId="17738"/>
    <cellStyle name="Note 2 2 17 60" xfId="17739"/>
    <cellStyle name="Note 2 2 17 60 2" xfId="17740"/>
    <cellStyle name="Note 2 2 17 61" xfId="17741"/>
    <cellStyle name="Note 2 2 17 61 2" xfId="17742"/>
    <cellStyle name="Note 2 2 17 61 3" xfId="17743"/>
    <cellStyle name="Note 2 2 17 61 4" xfId="17744"/>
    <cellStyle name="Note 2 2 17 61 5" xfId="17745"/>
    <cellStyle name="Note 2 2 17 61 6" xfId="17746"/>
    <cellStyle name="Note 2 2 17 62" xfId="17747"/>
    <cellStyle name="Note 2 2 17 62 2" xfId="17748"/>
    <cellStyle name="Note 2 2 17 63" xfId="17749"/>
    <cellStyle name="Note 2 2 17 63 2" xfId="17750"/>
    <cellStyle name="Note 2 2 17 64" xfId="17751"/>
    <cellStyle name="Note 2 2 17 64 2" xfId="17752"/>
    <cellStyle name="Note 2 2 17 65" xfId="17753"/>
    <cellStyle name="Note 2 2 17 65 2" xfId="17754"/>
    <cellStyle name="Note 2 2 17 66" xfId="17755"/>
    <cellStyle name="Note 2 2 17 67" xfId="17756"/>
    <cellStyle name="Note 2 2 17 68" xfId="17757"/>
    <cellStyle name="Note 2 2 17 69" xfId="17758"/>
    <cellStyle name="Note 2 2 17 7" xfId="17759"/>
    <cellStyle name="Note 2 2 17 7 2" xfId="17760"/>
    <cellStyle name="Note 2 2 17 7 2 2" xfId="17761"/>
    <cellStyle name="Note 2 2 17 7 3" xfId="17762"/>
    <cellStyle name="Note 2 2 17 7 3 2" xfId="17763"/>
    <cellStyle name="Note 2 2 17 7 4" xfId="17764"/>
    <cellStyle name="Note 2 2 17 7 4 2" xfId="17765"/>
    <cellStyle name="Note 2 2 17 7 5" xfId="17766"/>
    <cellStyle name="Note 2 2 17 8" xfId="17767"/>
    <cellStyle name="Note 2 2 17 8 2" xfId="17768"/>
    <cellStyle name="Note 2 2 17 8 2 2" xfId="17769"/>
    <cellStyle name="Note 2 2 17 8 3" xfId="17770"/>
    <cellStyle name="Note 2 2 17 8 3 2" xfId="17771"/>
    <cellStyle name="Note 2 2 17 8 4" xfId="17772"/>
    <cellStyle name="Note 2 2 17 8 4 2" xfId="17773"/>
    <cellStyle name="Note 2 2 17 8 5" xfId="17774"/>
    <cellStyle name="Note 2 2 17 9" xfId="17775"/>
    <cellStyle name="Note 2 2 17 9 2" xfId="17776"/>
    <cellStyle name="Note 2 2 17 9 2 2" xfId="17777"/>
    <cellStyle name="Note 2 2 17 9 3" xfId="17778"/>
    <cellStyle name="Note 2 2 17 9 3 2" xfId="17779"/>
    <cellStyle name="Note 2 2 17 9 4" xfId="17780"/>
    <cellStyle name="Note 2 2 17 9 4 2" xfId="17781"/>
    <cellStyle name="Note 2 2 17 9 5" xfId="17782"/>
    <cellStyle name="Note 2 2 18" xfId="17783"/>
    <cellStyle name="Note 2 2 18 10" xfId="17784"/>
    <cellStyle name="Note 2 2 18 10 2" xfId="17785"/>
    <cellStyle name="Note 2 2 18 10 2 2" xfId="17786"/>
    <cellStyle name="Note 2 2 18 10 3" xfId="17787"/>
    <cellStyle name="Note 2 2 18 10 3 2" xfId="17788"/>
    <cellStyle name="Note 2 2 18 10 4" xfId="17789"/>
    <cellStyle name="Note 2 2 18 10 4 2" xfId="17790"/>
    <cellStyle name="Note 2 2 18 10 5" xfId="17791"/>
    <cellStyle name="Note 2 2 18 11" xfId="17792"/>
    <cellStyle name="Note 2 2 18 11 2" xfId="17793"/>
    <cellStyle name="Note 2 2 18 11 2 2" xfId="17794"/>
    <cellStyle name="Note 2 2 18 11 3" xfId="17795"/>
    <cellStyle name="Note 2 2 18 11 3 2" xfId="17796"/>
    <cellStyle name="Note 2 2 18 11 4" xfId="17797"/>
    <cellStyle name="Note 2 2 18 11 4 2" xfId="17798"/>
    <cellStyle name="Note 2 2 18 11 5" xfId="17799"/>
    <cellStyle name="Note 2 2 18 12" xfId="17800"/>
    <cellStyle name="Note 2 2 18 12 2" xfId="17801"/>
    <cellStyle name="Note 2 2 18 12 2 2" xfId="17802"/>
    <cellStyle name="Note 2 2 18 12 3" xfId="17803"/>
    <cellStyle name="Note 2 2 18 12 3 2" xfId="17804"/>
    <cellStyle name="Note 2 2 18 12 4" xfId="17805"/>
    <cellStyle name="Note 2 2 18 12 4 2" xfId="17806"/>
    <cellStyle name="Note 2 2 18 12 5" xfId="17807"/>
    <cellStyle name="Note 2 2 18 13" xfId="17808"/>
    <cellStyle name="Note 2 2 18 13 2" xfId="17809"/>
    <cellStyle name="Note 2 2 18 13 2 2" xfId="17810"/>
    <cellStyle name="Note 2 2 18 13 3" xfId="17811"/>
    <cellStyle name="Note 2 2 18 13 3 2" xfId="17812"/>
    <cellStyle name="Note 2 2 18 13 4" xfId="17813"/>
    <cellStyle name="Note 2 2 18 13 4 2" xfId="17814"/>
    <cellStyle name="Note 2 2 18 13 5" xfId="17815"/>
    <cellStyle name="Note 2 2 18 14" xfId="17816"/>
    <cellStyle name="Note 2 2 18 14 2" xfId="17817"/>
    <cellStyle name="Note 2 2 18 14 2 2" xfId="17818"/>
    <cellStyle name="Note 2 2 18 14 3" xfId="17819"/>
    <cellStyle name="Note 2 2 18 14 3 2" xfId="17820"/>
    <cellStyle name="Note 2 2 18 14 4" xfId="17821"/>
    <cellStyle name="Note 2 2 18 14 4 2" xfId="17822"/>
    <cellStyle name="Note 2 2 18 14 5" xfId="17823"/>
    <cellStyle name="Note 2 2 18 15" xfId="17824"/>
    <cellStyle name="Note 2 2 18 15 2" xfId="17825"/>
    <cellStyle name="Note 2 2 18 15 2 2" xfId="17826"/>
    <cellStyle name="Note 2 2 18 15 3" xfId="17827"/>
    <cellStyle name="Note 2 2 18 15 3 2" xfId="17828"/>
    <cellStyle name="Note 2 2 18 15 4" xfId="17829"/>
    <cellStyle name="Note 2 2 18 15 4 2" xfId="17830"/>
    <cellStyle name="Note 2 2 18 15 5" xfId="17831"/>
    <cellStyle name="Note 2 2 18 16" xfId="17832"/>
    <cellStyle name="Note 2 2 18 16 2" xfId="17833"/>
    <cellStyle name="Note 2 2 18 16 2 2" xfId="17834"/>
    <cellStyle name="Note 2 2 18 16 3" xfId="17835"/>
    <cellStyle name="Note 2 2 18 16 3 2" xfId="17836"/>
    <cellStyle name="Note 2 2 18 16 4" xfId="17837"/>
    <cellStyle name="Note 2 2 18 16 4 2" xfId="17838"/>
    <cellStyle name="Note 2 2 18 16 5" xfId="17839"/>
    <cellStyle name="Note 2 2 18 17" xfId="17840"/>
    <cellStyle name="Note 2 2 18 17 2" xfId="17841"/>
    <cellStyle name="Note 2 2 18 17 2 2" xfId="17842"/>
    <cellStyle name="Note 2 2 18 17 3" xfId="17843"/>
    <cellStyle name="Note 2 2 18 17 3 2" xfId="17844"/>
    <cellStyle name="Note 2 2 18 17 4" xfId="17845"/>
    <cellStyle name="Note 2 2 18 17 4 2" xfId="17846"/>
    <cellStyle name="Note 2 2 18 17 5" xfId="17847"/>
    <cellStyle name="Note 2 2 18 18" xfId="17848"/>
    <cellStyle name="Note 2 2 18 18 2" xfId="17849"/>
    <cellStyle name="Note 2 2 18 18 2 2" xfId="17850"/>
    <cellStyle name="Note 2 2 18 18 3" xfId="17851"/>
    <cellStyle name="Note 2 2 18 18 3 2" xfId="17852"/>
    <cellStyle name="Note 2 2 18 18 4" xfId="17853"/>
    <cellStyle name="Note 2 2 18 18 4 2" xfId="17854"/>
    <cellStyle name="Note 2 2 18 18 5" xfId="17855"/>
    <cellStyle name="Note 2 2 18 19" xfId="17856"/>
    <cellStyle name="Note 2 2 18 19 10" xfId="17857"/>
    <cellStyle name="Note 2 2 18 19 11" xfId="17858"/>
    <cellStyle name="Note 2 2 18 19 2" xfId="17859"/>
    <cellStyle name="Note 2 2 18 19 2 2" xfId="17860"/>
    <cellStyle name="Note 2 2 18 19 2 3" xfId="17861"/>
    <cellStyle name="Note 2 2 18 19 2 4" xfId="17862"/>
    <cellStyle name="Note 2 2 18 19 2 5" xfId="17863"/>
    <cellStyle name="Note 2 2 18 19 2 6" xfId="17864"/>
    <cellStyle name="Note 2 2 18 19 3" xfId="17865"/>
    <cellStyle name="Note 2 2 18 19 3 2" xfId="17866"/>
    <cellStyle name="Note 2 2 18 19 4" xfId="17867"/>
    <cellStyle name="Note 2 2 18 19 4 2" xfId="17868"/>
    <cellStyle name="Note 2 2 18 19 5" xfId="17869"/>
    <cellStyle name="Note 2 2 18 19 5 2" xfId="17870"/>
    <cellStyle name="Note 2 2 18 19 6" xfId="17871"/>
    <cellStyle name="Note 2 2 18 19 6 2" xfId="17872"/>
    <cellStyle name="Note 2 2 18 19 7" xfId="17873"/>
    <cellStyle name="Note 2 2 18 19 7 2" xfId="17874"/>
    <cellStyle name="Note 2 2 18 19 8" xfId="17875"/>
    <cellStyle name="Note 2 2 18 19 9" xfId="17876"/>
    <cellStyle name="Note 2 2 18 2" xfId="17877"/>
    <cellStyle name="Note 2 2 18 2 10" xfId="17878"/>
    <cellStyle name="Note 2 2 18 2 10 2" xfId="17879"/>
    <cellStyle name="Note 2 2 18 2 11" xfId="17880"/>
    <cellStyle name="Note 2 2 18 2 11 2" xfId="17881"/>
    <cellStyle name="Note 2 2 18 2 12" xfId="17882"/>
    <cellStyle name="Note 2 2 18 2 12 2" xfId="17883"/>
    <cellStyle name="Note 2 2 18 2 13" xfId="17884"/>
    <cellStyle name="Note 2 2 18 2 13 2" xfId="17885"/>
    <cellStyle name="Note 2 2 18 2 14" xfId="17886"/>
    <cellStyle name="Note 2 2 18 2 14 2" xfId="17887"/>
    <cellStyle name="Note 2 2 18 2 15" xfId="17888"/>
    <cellStyle name="Note 2 2 18 2 15 2" xfId="17889"/>
    <cellStyle name="Note 2 2 18 2 16" xfId="17890"/>
    <cellStyle name="Note 2 2 18 2 16 2" xfId="17891"/>
    <cellStyle name="Note 2 2 18 2 17" xfId="17892"/>
    <cellStyle name="Note 2 2 18 2 17 2" xfId="17893"/>
    <cellStyle name="Note 2 2 18 2 18" xfId="17894"/>
    <cellStyle name="Note 2 2 18 2 18 2" xfId="17895"/>
    <cellStyle name="Note 2 2 18 2 19" xfId="17896"/>
    <cellStyle name="Note 2 2 18 2 19 2" xfId="17897"/>
    <cellStyle name="Note 2 2 18 2 2" xfId="17898"/>
    <cellStyle name="Note 2 2 18 2 2 2" xfId="17899"/>
    <cellStyle name="Note 2 2 18 2 2 3" xfId="17900"/>
    <cellStyle name="Note 2 2 18 2 20" xfId="17901"/>
    <cellStyle name="Note 2 2 18 2 20 2" xfId="17902"/>
    <cellStyle name="Note 2 2 18 2 21" xfId="17903"/>
    <cellStyle name="Note 2 2 18 2 21 2" xfId="17904"/>
    <cellStyle name="Note 2 2 18 2 22" xfId="17905"/>
    <cellStyle name="Note 2 2 18 2 22 2" xfId="17906"/>
    <cellStyle name="Note 2 2 18 2 23" xfId="17907"/>
    <cellStyle name="Note 2 2 18 2 23 2" xfId="17908"/>
    <cellStyle name="Note 2 2 18 2 24" xfId="17909"/>
    <cellStyle name="Note 2 2 18 2 24 2" xfId="17910"/>
    <cellStyle name="Note 2 2 18 2 25" xfId="17911"/>
    <cellStyle name="Note 2 2 18 2 25 2" xfId="17912"/>
    <cellStyle name="Note 2 2 18 2 26" xfId="17913"/>
    <cellStyle name="Note 2 2 18 2 26 2" xfId="17914"/>
    <cellStyle name="Note 2 2 18 2 27" xfId="17915"/>
    <cellStyle name="Note 2 2 18 2 27 2" xfId="17916"/>
    <cellStyle name="Note 2 2 18 2 28" xfId="17917"/>
    <cellStyle name="Note 2 2 18 2 28 2" xfId="17918"/>
    <cellStyle name="Note 2 2 18 2 29" xfId="17919"/>
    <cellStyle name="Note 2 2 18 2 29 2" xfId="17920"/>
    <cellStyle name="Note 2 2 18 2 3" xfId="17921"/>
    <cellStyle name="Note 2 2 18 2 3 2" xfId="17922"/>
    <cellStyle name="Note 2 2 18 2 3 3" xfId="17923"/>
    <cellStyle name="Note 2 2 18 2 30" xfId="17924"/>
    <cellStyle name="Note 2 2 18 2 30 2" xfId="17925"/>
    <cellStyle name="Note 2 2 18 2 31" xfId="17926"/>
    <cellStyle name="Note 2 2 18 2 4" xfId="17927"/>
    <cellStyle name="Note 2 2 18 2 4 2" xfId="17928"/>
    <cellStyle name="Note 2 2 18 2 5" xfId="17929"/>
    <cellStyle name="Note 2 2 18 2 5 2" xfId="17930"/>
    <cellStyle name="Note 2 2 18 2 6" xfId="17931"/>
    <cellStyle name="Note 2 2 18 2 6 2" xfId="17932"/>
    <cellStyle name="Note 2 2 18 2 7" xfId="17933"/>
    <cellStyle name="Note 2 2 18 2 7 2" xfId="17934"/>
    <cellStyle name="Note 2 2 18 2 8" xfId="17935"/>
    <cellStyle name="Note 2 2 18 2 8 2" xfId="17936"/>
    <cellStyle name="Note 2 2 18 2 9" xfId="17937"/>
    <cellStyle name="Note 2 2 18 2 9 2" xfId="17938"/>
    <cellStyle name="Note 2 2 18 20" xfId="17939"/>
    <cellStyle name="Note 2 2 18 20 2" xfId="17940"/>
    <cellStyle name="Note 2 2 18 21" xfId="17941"/>
    <cellStyle name="Note 2 2 18 21 2" xfId="17942"/>
    <cellStyle name="Note 2 2 18 22" xfId="17943"/>
    <cellStyle name="Note 2 2 18 22 2" xfId="17944"/>
    <cellStyle name="Note 2 2 18 23" xfId="17945"/>
    <cellStyle name="Note 2 2 18 23 2" xfId="17946"/>
    <cellStyle name="Note 2 2 18 24" xfId="17947"/>
    <cellStyle name="Note 2 2 18 24 2" xfId="17948"/>
    <cellStyle name="Note 2 2 18 25" xfId="17949"/>
    <cellStyle name="Note 2 2 18 25 2" xfId="17950"/>
    <cellStyle name="Note 2 2 18 26" xfId="17951"/>
    <cellStyle name="Note 2 2 18 26 2" xfId="17952"/>
    <cellStyle name="Note 2 2 18 27" xfId="17953"/>
    <cellStyle name="Note 2 2 18 27 2" xfId="17954"/>
    <cellStyle name="Note 2 2 18 28" xfId="17955"/>
    <cellStyle name="Note 2 2 18 28 2" xfId="17956"/>
    <cellStyle name="Note 2 2 18 29" xfId="17957"/>
    <cellStyle name="Note 2 2 18 29 2" xfId="17958"/>
    <cellStyle name="Note 2 2 18 3" xfId="17959"/>
    <cellStyle name="Note 2 2 18 3 2" xfId="17960"/>
    <cellStyle name="Note 2 2 18 3 2 2" xfId="17961"/>
    <cellStyle name="Note 2 2 18 3 3" xfId="17962"/>
    <cellStyle name="Note 2 2 18 3 3 2" xfId="17963"/>
    <cellStyle name="Note 2 2 18 3 4" xfId="17964"/>
    <cellStyle name="Note 2 2 18 3 4 2" xfId="17965"/>
    <cellStyle name="Note 2 2 18 3 5" xfId="17966"/>
    <cellStyle name="Note 2 2 18 30" xfId="17967"/>
    <cellStyle name="Note 2 2 18 30 2" xfId="17968"/>
    <cellStyle name="Note 2 2 18 31" xfId="17969"/>
    <cellStyle name="Note 2 2 18 31 2" xfId="17970"/>
    <cellStyle name="Note 2 2 18 32" xfId="17971"/>
    <cellStyle name="Note 2 2 18 32 2" xfId="17972"/>
    <cellStyle name="Note 2 2 18 33" xfId="17973"/>
    <cellStyle name="Note 2 2 18 33 2" xfId="17974"/>
    <cellStyle name="Note 2 2 18 34" xfId="17975"/>
    <cellStyle name="Note 2 2 18 34 2" xfId="17976"/>
    <cellStyle name="Note 2 2 18 35" xfId="17977"/>
    <cellStyle name="Note 2 2 18 35 2" xfId="17978"/>
    <cellStyle name="Note 2 2 18 36" xfId="17979"/>
    <cellStyle name="Note 2 2 18 36 2" xfId="17980"/>
    <cellStyle name="Note 2 2 18 37" xfId="17981"/>
    <cellStyle name="Note 2 2 18 37 2" xfId="17982"/>
    <cellStyle name="Note 2 2 18 38" xfId="17983"/>
    <cellStyle name="Note 2 2 18 38 2" xfId="17984"/>
    <cellStyle name="Note 2 2 18 39" xfId="17985"/>
    <cellStyle name="Note 2 2 18 39 2" xfId="17986"/>
    <cellStyle name="Note 2 2 18 4" xfId="17987"/>
    <cellStyle name="Note 2 2 18 4 10" xfId="17988"/>
    <cellStyle name="Note 2 2 18 4 11" xfId="17989"/>
    <cellStyle name="Note 2 2 18 4 12" xfId="17990"/>
    <cellStyle name="Note 2 2 18 4 13" xfId="17991"/>
    <cellStyle name="Note 2 2 18 4 2" xfId="17992"/>
    <cellStyle name="Note 2 2 18 4 2 2" xfId="17993"/>
    <cellStyle name="Note 2 2 18 4 2 3" xfId="17994"/>
    <cellStyle name="Note 2 2 18 4 3" xfId="17995"/>
    <cellStyle name="Note 2 2 18 4 3 2" xfId="17996"/>
    <cellStyle name="Note 2 2 18 4 4" xfId="17997"/>
    <cellStyle name="Note 2 2 18 4 4 2" xfId="17998"/>
    <cellStyle name="Note 2 2 18 4 5" xfId="17999"/>
    <cellStyle name="Note 2 2 18 4 5 2" xfId="18000"/>
    <cellStyle name="Note 2 2 18 4 5 3" xfId="18001"/>
    <cellStyle name="Note 2 2 18 4 5 4" xfId="18002"/>
    <cellStyle name="Note 2 2 18 4 5 5" xfId="18003"/>
    <cellStyle name="Note 2 2 18 4 5 6" xfId="18004"/>
    <cellStyle name="Note 2 2 18 4 6" xfId="18005"/>
    <cellStyle name="Note 2 2 18 4 6 2" xfId="18006"/>
    <cellStyle name="Note 2 2 18 4 7" xfId="18007"/>
    <cellStyle name="Note 2 2 18 4 7 2" xfId="18008"/>
    <cellStyle name="Note 2 2 18 4 8" xfId="18009"/>
    <cellStyle name="Note 2 2 18 4 8 2" xfId="18010"/>
    <cellStyle name="Note 2 2 18 4 9" xfId="18011"/>
    <cellStyle name="Note 2 2 18 4 9 2" xfId="18012"/>
    <cellStyle name="Note 2 2 18 40" xfId="18013"/>
    <cellStyle name="Note 2 2 18 40 2" xfId="18014"/>
    <cellStyle name="Note 2 2 18 41" xfId="18015"/>
    <cellStyle name="Note 2 2 18 41 2" xfId="18016"/>
    <cellStyle name="Note 2 2 18 42" xfId="18017"/>
    <cellStyle name="Note 2 2 18 42 2" xfId="18018"/>
    <cellStyle name="Note 2 2 18 43" xfId="18019"/>
    <cellStyle name="Note 2 2 18 43 2" xfId="18020"/>
    <cellStyle name="Note 2 2 18 44" xfId="18021"/>
    <cellStyle name="Note 2 2 18 44 2" xfId="18022"/>
    <cellStyle name="Note 2 2 18 45" xfId="18023"/>
    <cellStyle name="Note 2 2 18 45 2" xfId="18024"/>
    <cellStyle name="Note 2 2 18 46" xfId="18025"/>
    <cellStyle name="Note 2 2 18 46 2" xfId="18026"/>
    <cellStyle name="Note 2 2 18 47" xfId="18027"/>
    <cellStyle name="Note 2 2 18 47 2" xfId="18028"/>
    <cellStyle name="Note 2 2 18 48" xfId="18029"/>
    <cellStyle name="Note 2 2 18 48 2" xfId="18030"/>
    <cellStyle name="Note 2 2 18 49" xfId="18031"/>
    <cellStyle name="Note 2 2 18 49 2" xfId="18032"/>
    <cellStyle name="Note 2 2 18 5" xfId="18033"/>
    <cellStyle name="Note 2 2 18 5 2" xfId="18034"/>
    <cellStyle name="Note 2 2 18 5 2 2" xfId="18035"/>
    <cellStyle name="Note 2 2 18 5 3" xfId="18036"/>
    <cellStyle name="Note 2 2 18 5 3 2" xfId="18037"/>
    <cellStyle name="Note 2 2 18 5 4" xfId="18038"/>
    <cellStyle name="Note 2 2 18 5 4 2" xfId="18039"/>
    <cellStyle name="Note 2 2 18 5 5" xfId="18040"/>
    <cellStyle name="Note 2 2 18 50" xfId="18041"/>
    <cellStyle name="Note 2 2 18 50 2" xfId="18042"/>
    <cellStyle name="Note 2 2 18 51" xfId="18043"/>
    <cellStyle name="Note 2 2 18 51 2" xfId="18044"/>
    <cellStyle name="Note 2 2 18 52" xfId="18045"/>
    <cellStyle name="Note 2 2 18 52 2" xfId="18046"/>
    <cellStyle name="Note 2 2 18 53" xfId="18047"/>
    <cellStyle name="Note 2 2 18 53 2" xfId="18048"/>
    <cellStyle name="Note 2 2 18 54" xfId="18049"/>
    <cellStyle name="Note 2 2 18 54 2" xfId="18050"/>
    <cellStyle name="Note 2 2 18 55" xfId="18051"/>
    <cellStyle name="Note 2 2 18 55 2" xfId="18052"/>
    <cellStyle name="Note 2 2 18 56" xfId="18053"/>
    <cellStyle name="Note 2 2 18 56 2" xfId="18054"/>
    <cellStyle name="Note 2 2 18 57" xfId="18055"/>
    <cellStyle name="Note 2 2 18 57 2" xfId="18056"/>
    <cellStyle name="Note 2 2 18 58" xfId="18057"/>
    <cellStyle name="Note 2 2 18 58 2" xfId="18058"/>
    <cellStyle name="Note 2 2 18 59" xfId="18059"/>
    <cellStyle name="Note 2 2 18 59 2" xfId="18060"/>
    <cellStyle name="Note 2 2 18 6" xfId="18061"/>
    <cellStyle name="Note 2 2 18 6 2" xfId="18062"/>
    <cellStyle name="Note 2 2 18 6 2 2" xfId="18063"/>
    <cellStyle name="Note 2 2 18 6 3" xfId="18064"/>
    <cellStyle name="Note 2 2 18 6 3 2" xfId="18065"/>
    <cellStyle name="Note 2 2 18 6 4" xfId="18066"/>
    <cellStyle name="Note 2 2 18 6 4 2" xfId="18067"/>
    <cellStyle name="Note 2 2 18 6 5" xfId="18068"/>
    <cellStyle name="Note 2 2 18 60" xfId="18069"/>
    <cellStyle name="Note 2 2 18 60 2" xfId="18070"/>
    <cellStyle name="Note 2 2 18 61" xfId="18071"/>
    <cellStyle name="Note 2 2 18 61 2" xfId="18072"/>
    <cellStyle name="Note 2 2 18 61 3" xfId="18073"/>
    <cellStyle name="Note 2 2 18 61 4" xfId="18074"/>
    <cellStyle name="Note 2 2 18 61 5" xfId="18075"/>
    <cellStyle name="Note 2 2 18 61 6" xfId="18076"/>
    <cellStyle name="Note 2 2 18 62" xfId="18077"/>
    <cellStyle name="Note 2 2 18 62 2" xfId="18078"/>
    <cellStyle name="Note 2 2 18 63" xfId="18079"/>
    <cellStyle name="Note 2 2 18 63 2" xfId="18080"/>
    <cellStyle name="Note 2 2 18 64" xfId="18081"/>
    <cellStyle name="Note 2 2 18 64 2" xfId="18082"/>
    <cellStyle name="Note 2 2 18 65" xfId="18083"/>
    <cellStyle name="Note 2 2 18 65 2" xfId="18084"/>
    <cellStyle name="Note 2 2 18 66" xfId="18085"/>
    <cellStyle name="Note 2 2 18 67" xfId="18086"/>
    <cellStyle name="Note 2 2 18 68" xfId="18087"/>
    <cellStyle name="Note 2 2 18 69" xfId="18088"/>
    <cellStyle name="Note 2 2 18 7" xfId="18089"/>
    <cellStyle name="Note 2 2 18 7 2" xfId="18090"/>
    <cellStyle name="Note 2 2 18 7 2 2" xfId="18091"/>
    <cellStyle name="Note 2 2 18 7 3" xfId="18092"/>
    <cellStyle name="Note 2 2 18 7 3 2" xfId="18093"/>
    <cellStyle name="Note 2 2 18 7 4" xfId="18094"/>
    <cellStyle name="Note 2 2 18 7 4 2" xfId="18095"/>
    <cellStyle name="Note 2 2 18 7 5" xfId="18096"/>
    <cellStyle name="Note 2 2 18 8" xfId="18097"/>
    <cellStyle name="Note 2 2 18 8 2" xfId="18098"/>
    <cellStyle name="Note 2 2 18 8 2 2" xfId="18099"/>
    <cellStyle name="Note 2 2 18 8 3" xfId="18100"/>
    <cellStyle name="Note 2 2 18 8 3 2" xfId="18101"/>
    <cellStyle name="Note 2 2 18 8 4" xfId="18102"/>
    <cellStyle name="Note 2 2 18 8 4 2" xfId="18103"/>
    <cellStyle name="Note 2 2 18 8 5" xfId="18104"/>
    <cellStyle name="Note 2 2 18 9" xfId="18105"/>
    <cellStyle name="Note 2 2 18 9 2" xfId="18106"/>
    <cellStyle name="Note 2 2 18 9 2 2" xfId="18107"/>
    <cellStyle name="Note 2 2 18 9 3" xfId="18108"/>
    <cellStyle name="Note 2 2 18 9 3 2" xfId="18109"/>
    <cellStyle name="Note 2 2 18 9 4" xfId="18110"/>
    <cellStyle name="Note 2 2 18 9 4 2" xfId="18111"/>
    <cellStyle name="Note 2 2 18 9 5" xfId="18112"/>
    <cellStyle name="Note 2 2 19" xfId="18113"/>
    <cellStyle name="Note 2 2 19 10" xfId="18114"/>
    <cellStyle name="Note 2 2 19 10 2" xfId="18115"/>
    <cellStyle name="Note 2 2 19 10 2 2" xfId="18116"/>
    <cellStyle name="Note 2 2 19 10 3" xfId="18117"/>
    <cellStyle name="Note 2 2 19 10 3 2" xfId="18118"/>
    <cellStyle name="Note 2 2 19 10 4" xfId="18119"/>
    <cellStyle name="Note 2 2 19 10 4 2" xfId="18120"/>
    <cellStyle name="Note 2 2 19 10 5" xfId="18121"/>
    <cellStyle name="Note 2 2 19 11" xfId="18122"/>
    <cellStyle name="Note 2 2 19 11 2" xfId="18123"/>
    <cellStyle name="Note 2 2 19 11 2 2" xfId="18124"/>
    <cellStyle name="Note 2 2 19 11 3" xfId="18125"/>
    <cellStyle name="Note 2 2 19 11 3 2" xfId="18126"/>
    <cellStyle name="Note 2 2 19 11 4" xfId="18127"/>
    <cellStyle name="Note 2 2 19 11 4 2" xfId="18128"/>
    <cellStyle name="Note 2 2 19 11 5" xfId="18129"/>
    <cellStyle name="Note 2 2 19 12" xfId="18130"/>
    <cellStyle name="Note 2 2 19 12 2" xfId="18131"/>
    <cellStyle name="Note 2 2 19 12 2 2" xfId="18132"/>
    <cellStyle name="Note 2 2 19 12 3" xfId="18133"/>
    <cellStyle name="Note 2 2 19 12 3 2" xfId="18134"/>
    <cellStyle name="Note 2 2 19 12 4" xfId="18135"/>
    <cellStyle name="Note 2 2 19 12 4 2" xfId="18136"/>
    <cellStyle name="Note 2 2 19 12 5" xfId="18137"/>
    <cellStyle name="Note 2 2 19 13" xfId="18138"/>
    <cellStyle name="Note 2 2 19 13 2" xfId="18139"/>
    <cellStyle name="Note 2 2 19 13 2 2" xfId="18140"/>
    <cellStyle name="Note 2 2 19 13 3" xfId="18141"/>
    <cellStyle name="Note 2 2 19 13 3 2" xfId="18142"/>
    <cellStyle name="Note 2 2 19 13 4" xfId="18143"/>
    <cellStyle name="Note 2 2 19 13 4 2" xfId="18144"/>
    <cellStyle name="Note 2 2 19 13 5" xfId="18145"/>
    <cellStyle name="Note 2 2 19 14" xfId="18146"/>
    <cellStyle name="Note 2 2 19 14 2" xfId="18147"/>
    <cellStyle name="Note 2 2 19 14 2 2" xfId="18148"/>
    <cellStyle name="Note 2 2 19 14 3" xfId="18149"/>
    <cellStyle name="Note 2 2 19 14 3 2" xfId="18150"/>
    <cellStyle name="Note 2 2 19 14 4" xfId="18151"/>
    <cellStyle name="Note 2 2 19 14 4 2" xfId="18152"/>
    <cellStyle name="Note 2 2 19 14 5" xfId="18153"/>
    <cellStyle name="Note 2 2 19 15" xfId="18154"/>
    <cellStyle name="Note 2 2 19 15 2" xfId="18155"/>
    <cellStyle name="Note 2 2 19 15 2 2" xfId="18156"/>
    <cellStyle name="Note 2 2 19 15 3" xfId="18157"/>
    <cellStyle name="Note 2 2 19 15 3 2" xfId="18158"/>
    <cellStyle name="Note 2 2 19 15 4" xfId="18159"/>
    <cellStyle name="Note 2 2 19 15 4 2" xfId="18160"/>
    <cellStyle name="Note 2 2 19 15 5" xfId="18161"/>
    <cellStyle name="Note 2 2 19 16" xfId="18162"/>
    <cellStyle name="Note 2 2 19 16 2" xfId="18163"/>
    <cellStyle name="Note 2 2 19 16 2 2" xfId="18164"/>
    <cellStyle name="Note 2 2 19 16 3" xfId="18165"/>
    <cellStyle name="Note 2 2 19 16 3 2" xfId="18166"/>
    <cellStyle name="Note 2 2 19 16 4" xfId="18167"/>
    <cellStyle name="Note 2 2 19 16 4 2" xfId="18168"/>
    <cellStyle name="Note 2 2 19 16 5" xfId="18169"/>
    <cellStyle name="Note 2 2 19 17" xfId="18170"/>
    <cellStyle name="Note 2 2 19 17 2" xfId="18171"/>
    <cellStyle name="Note 2 2 19 17 2 2" xfId="18172"/>
    <cellStyle name="Note 2 2 19 17 3" xfId="18173"/>
    <cellStyle name="Note 2 2 19 17 3 2" xfId="18174"/>
    <cellStyle name="Note 2 2 19 17 4" xfId="18175"/>
    <cellStyle name="Note 2 2 19 17 4 2" xfId="18176"/>
    <cellStyle name="Note 2 2 19 17 5" xfId="18177"/>
    <cellStyle name="Note 2 2 19 18" xfId="18178"/>
    <cellStyle name="Note 2 2 19 18 2" xfId="18179"/>
    <cellStyle name="Note 2 2 19 18 2 2" xfId="18180"/>
    <cellStyle name="Note 2 2 19 18 3" xfId="18181"/>
    <cellStyle name="Note 2 2 19 18 3 2" xfId="18182"/>
    <cellStyle name="Note 2 2 19 18 4" xfId="18183"/>
    <cellStyle name="Note 2 2 19 18 4 2" xfId="18184"/>
    <cellStyle name="Note 2 2 19 18 5" xfId="18185"/>
    <cellStyle name="Note 2 2 19 19" xfId="18186"/>
    <cellStyle name="Note 2 2 19 19 10" xfId="18187"/>
    <cellStyle name="Note 2 2 19 19 11" xfId="18188"/>
    <cellStyle name="Note 2 2 19 19 2" xfId="18189"/>
    <cellStyle name="Note 2 2 19 19 2 2" xfId="18190"/>
    <cellStyle name="Note 2 2 19 19 2 3" xfId="18191"/>
    <cellStyle name="Note 2 2 19 19 2 4" xfId="18192"/>
    <cellStyle name="Note 2 2 19 19 2 5" xfId="18193"/>
    <cellStyle name="Note 2 2 19 19 2 6" xfId="18194"/>
    <cellStyle name="Note 2 2 19 19 3" xfId="18195"/>
    <cellStyle name="Note 2 2 19 19 3 2" xfId="18196"/>
    <cellStyle name="Note 2 2 19 19 4" xfId="18197"/>
    <cellStyle name="Note 2 2 19 19 4 2" xfId="18198"/>
    <cellStyle name="Note 2 2 19 19 5" xfId="18199"/>
    <cellStyle name="Note 2 2 19 19 5 2" xfId="18200"/>
    <cellStyle name="Note 2 2 19 19 6" xfId="18201"/>
    <cellStyle name="Note 2 2 19 19 6 2" xfId="18202"/>
    <cellStyle name="Note 2 2 19 19 7" xfId="18203"/>
    <cellStyle name="Note 2 2 19 19 7 2" xfId="18204"/>
    <cellStyle name="Note 2 2 19 19 8" xfId="18205"/>
    <cellStyle name="Note 2 2 19 19 9" xfId="18206"/>
    <cellStyle name="Note 2 2 19 2" xfId="18207"/>
    <cellStyle name="Note 2 2 19 2 10" xfId="18208"/>
    <cellStyle name="Note 2 2 19 2 10 2" xfId="18209"/>
    <cellStyle name="Note 2 2 19 2 11" xfId="18210"/>
    <cellStyle name="Note 2 2 19 2 11 2" xfId="18211"/>
    <cellStyle name="Note 2 2 19 2 12" xfId="18212"/>
    <cellStyle name="Note 2 2 19 2 12 2" xfId="18213"/>
    <cellStyle name="Note 2 2 19 2 13" xfId="18214"/>
    <cellStyle name="Note 2 2 19 2 13 2" xfId="18215"/>
    <cellStyle name="Note 2 2 19 2 14" xfId="18216"/>
    <cellStyle name="Note 2 2 19 2 14 2" xfId="18217"/>
    <cellStyle name="Note 2 2 19 2 15" xfId="18218"/>
    <cellStyle name="Note 2 2 19 2 15 2" xfId="18219"/>
    <cellStyle name="Note 2 2 19 2 16" xfId="18220"/>
    <cellStyle name="Note 2 2 19 2 16 2" xfId="18221"/>
    <cellStyle name="Note 2 2 19 2 17" xfId="18222"/>
    <cellStyle name="Note 2 2 19 2 17 2" xfId="18223"/>
    <cellStyle name="Note 2 2 19 2 18" xfId="18224"/>
    <cellStyle name="Note 2 2 19 2 18 2" xfId="18225"/>
    <cellStyle name="Note 2 2 19 2 19" xfId="18226"/>
    <cellStyle name="Note 2 2 19 2 19 2" xfId="18227"/>
    <cellStyle name="Note 2 2 19 2 2" xfId="18228"/>
    <cellStyle name="Note 2 2 19 2 2 2" xfId="18229"/>
    <cellStyle name="Note 2 2 19 2 2 3" xfId="18230"/>
    <cellStyle name="Note 2 2 19 2 20" xfId="18231"/>
    <cellStyle name="Note 2 2 19 2 20 2" xfId="18232"/>
    <cellStyle name="Note 2 2 19 2 21" xfId="18233"/>
    <cellStyle name="Note 2 2 19 2 21 2" xfId="18234"/>
    <cellStyle name="Note 2 2 19 2 22" xfId="18235"/>
    <cellStyle name="Note 2 2 19 2 22 2" xfId="18236"/>
    <cellStyle name="Note 2 2 19 2 23" xfId="18237"/>
    <cellStyle name="Note 2 2 19 2 23 2" xfId="18238"/>
    <cellStyle name="Note 2 2 19 2 24" xfId="18239"/>
    <cellStyle name="Note 2 2 19 2 24 2" xfId="18240"/>
    <cellStyle name="Note 2 2 19 2 25" xfId="18241"/>
    <cellStyle name="Note 2 2 19 2 25 2" xfId="18242"/>
    <cellStyle name="Note 2 2 19 2 26" xfId="18243"/>
    <cellStyle name="Note 2 2 19 2 26 2" xfId="18244"/>
    <cellStyle name="Note 2 2 19 2 27" xfId="18245"/>
    <cellStyle name="Note 2 2 19 2 27 2" xfId="18246"/>
    <cellStyle name="Note 2 2 19 2 28" xfId="18247"/>
    <cellStyle name="Note 2 2 19 2 28 2" xfId="18248"/>
    <cellStyle name="Note 2 2 19 2 29" xfId="18249"/>
    <cellStyle name="Note 2 2 19 2 29 2" xfId="18250"/>
    <cellStyle name="Note 2 2 19 2 3" xfId="18251"/>
    <cellStyle name="Note 2 2 19 2 3 2" xfId="18252"/>
    <cellStyle name="Note 2 2 19 2 3 3" xfId="18253"/>
    <cellStyle name="Note 2 2 19 2 30" xfId="18254"/>
    <cellStyle name="Note 2 2 19 2 30 2" xfId="18255"/>
    <cellStyle name="Note 2 2 19 2 31" xfId="18256"/>
    <cellStyle name="Note 2 2 19 2 4" xfId="18257"/>
    <cellStyle name="Note 2 2 19 2 4 2" xfId="18258"/>
    <cellStyle name="Note 2 2 19 2 5" xfId="18259"/>
    <cellStyle name="Note 2 2 19 2 5 2" xfId="18260"/>
    <cellStyle name="Note 2 2 19 2 6" xfId="18261"/>
    <cellStyle name="Note 2 2 19 2 6 2" xfId="18262"/>
    <cellStyle name="Note 2 2 19 2 7" xfId="18263"/>
    <cellStyle name="Note 2 2 19 2 7 2" xfId="18264"/>
    <cellStyle name="Note 2 2 19 2 8" xfId="18265"/>
    <cellStyle name="Note 2 2 19 2 8 2" xfId="18266"/>
    <cellStyle name="Note 2 2 19 2 9" xfId="18267"/>
    <cellStyle name="Note 2 2 19 2 9 2" xfId="18268"/>
    <cellStyle name="Note 2 2 19 20" xfId="18269"/>
    <cellStyle name="Note 2 2 19 20 2" xfId="18270"/>
    <cellStyle name="Note 2 2 19 21" xfId="18271"/>
    <cellStyle name="Note 2 2 19 21 2" xfId="18272"/>
    <cellStyle name="Note 2 2 19 22" xfId="18273"/>
    <cellStyle name="Note 2 2 19 22 2" xfId="18274"/>
    <cellStyle name="Note 2 2 19 23" xfId="18275"/>
    <cellStyle name="Note 2 2 19 23 2" xfId="18276"/>
    <cellStyle name="Note 2 2 19 24" xfId="18277"/>
    <cellStyle name="Note 2 2 19 24 2" xfId="18278"/>
    <cellStyle name="Note 2 2 19 25" xfId="18279"/>
    <cellStyle name="Note 2 2 19 25 2" xfId="18280"/>
    <cellStyle name="Note 2 2 19 26" xfId="18281"/>
    <cellStyle name="Note 2 2 19 26 2" xfId="18282"/>
    <cellStyle name="Note 2 2 19 27" xfId="18283"/>
    <cellStyle name="Note 2 2 19 27 2" xfId="18284"/>
    <cellStyle name="Note 2 2 19 28" xfId="18285"/>
    <cellStyle name="Note 2 2 19 28 2" xfId="18286"/>
    <cellStyle name="Note 2 2 19 29" xfId="18287"/>
    <cellStyle name="Note 2 2 19 29 2" xfId="18288"/>
    <cellStyle name="Note 2 2 19 3" xfId="18289"/>
    <cellStyle name="Note 2 2 19 3 2" xfId="18290"/>
    <cellStyle name="Note 2 2 19 3 2 2" xfId="18291"/>
    <cellStyle name="Note 2 2 19 3 3" xfId="18292"/>
    <cellStyle name="Note 2 2 19 3 3 2" xfId="18293"/>
    <cellStyle name="Note 2 2 19 3 4" xfId="18294"/>
    <cellStyle name="Note 2 2 19 3 4 2" xfId="18295"/>
    <cellStyle name="Note 2 2 19 3 5" xfId="18296"/>
    <cellStyle name="Note 2 2 19 30" xfId="18297"/>
    <cellStyle name="Note 2 2 19 30 2" xfId="18298"/>
    <cellStyle name="Note 2 2 19 31" xfId="18299"/>
    <cellStyle name="Note 2 2 19 31 2" xfId="18300"/>
    <cellStyle name="Note 2 2 19 32" xfId="18301"/>
    <cellStyle name="Note 2 2 19 32 2" xfId="18302"/>
    <cellStyle name="Note 2 2 19 33" xfId="18303"/>
    <cellStyle name="Note 2 2 19 33 2" xfId="18304"/>
    <cellStyle name="Note 2 2 19 34" xfId="18305"/>
    <cellStyle name="Note 2 2 19 34 2" xfId="18306"/>
    <cellStyle name="Note 2 2 19 35" xfId="18307"/>
    <cellStyle name="Note 2 2 19 35 2" xfId="18308"/>
    <cellStyle name="Note 2 2 19 36" xfId="18309"/>
    <cellStyle name="Note 2 2 19 36 2" xfId="18310"/>
    <cellStyle name="Note 2 2 19 37" xfId="18311"/>
    <cellStyle name="Note 2 2 19 37 2" xfId="18312"/>
    <cellStyle name="Note 2 2 19 38" xfId="18313"/>
    <cellStyle name="Note 2 2 19 38 2" xfId="18314"/>
    <cellStyle name="Note 2 2 19 39" xfId="18315"/>
    <cellStyle name="Note 2 2 19 39 2" xfId="18316"/>
    <cellStyle name="Note 2 2 19 4" xfId="18317"/>
    <cellStyle name="Note 2 2 19 4 10" xfId="18318"/>
    <cellStyle name="Note 2 2 19 4 11" xfId="18319"/>
    <cellStyle name="Note 2 2 19 4 12" xfId="18320"/>
    <cellStyle name="Note 2 2 19 4 13" xfId="18321"/>
    <cellStyle name="Note 2 2 19 4 2" xfId="18322"/>
    <cellStyle name="Note 2 2 19 4 2 2" xfId="18323"/>
    <cellStyle name="Note 2 2 19 4 2 3" xfId="18324"/>
    <cellStyle name="Note 2 2 19 4 3" xfId="18325"/>
    <cellStyle name="Note 2 2 19 4 3 2" xfId="18326"/>
    <cellStyle name="Note 2 2 19 4 4" xfId="18327"/>
    <cellStyle name="Note 2 2 19 4 4 2" xfId="18328"/>
    <cellStyle name="Note 2 2 19 4 5" xfId="18329"/>
    <cellStyle name="Note 2 2 19 4 5 2" xfId="18330"/>
    <cellStyle name="Note 2 2 19 4 5 3" xfId="18331"/>
    <cellStyle name="Note 2 2 19 4 5 4" xfId="18332"/>
    <cellStyle name="Note 2 2 19 4 5 5" xfId="18333"/>
    <cellStyle name="Note 2 2 19 4 5 6" xfId="18334"/>
    <cellStyle name="Note 2 2 19 4 6" xfId="18335"/>
    <cellStyle name="Note 2 2 19 4 6 2" xfId="18336"/>
    <cellStyle name="Note 2 2 19 4 7" xfId="18337"/>
    <cellStyle name="Note 2 2 19 4 7 2" xfId="18338"/>
    <cellStyle name="Note 2 2 19 4 8" xfId="18339"/>
    <cellStyle name="Note 2 2 19 4 8 2" xfId="18340"/>
    <cellStyle name="Note 2 2 19 4 9" xfId="18341"/>
    <cellStyle name="Note 2 2 19 4 9 2" xfId="18342"/>
    <cellStyle name="Note 2 2 19 40" xfId="18343"/>
    <cellStyle name="Note 2 2 19 40 2" xfId="18344"/>
    <cellStyle name="Note 2 2 19 41" xfId="18345"/>
    <cellStyle name="Note 2 2 19 41 2" xfId="18346"/>
    <cellStyle name="Note 2 2 19 42" xfId="18347"/>
    <cellStyle name="Note 2 2 19 42 2" xfId="18348"/>
    <cellStyle name="Note 2 2 19 43" xfId="18349"/>
    <cellStyle name="Note 2 2 19 43 2" xfId="18350"/>
    <cellStyle name="Note 2 2 19 44" xfId="18351"/>
    <cellStyle name="Note 2 2 19 44 2" xfId="18352"/>
    <cellStyle name="Note 2 2 19 45" xfId="18353"/>
    <cellStyle name="Note 2 2 19 45 2" xfId="18354"/>
    <cellStyle name="Note 2 2 19 46" xfId="18355"/>
    <cellStyle name="Note 2 2 19 46 2" xfId="18356"/>
    <cellStyle name="Note 2 2 19 47" xfId="18357"/>
    <cellStyle name="Note 2 2 19 47 2" xfId="18358"/>
    <cellStyle name="Note 2 2 19 48" xfId="18359"/>
    <cellStyle name="Note 2 2 19 48 2" xfId="18360"/>
    <cellStyle name="Note 2 2 19 49" xfId="18361"/>
    <cellStyle name="Note 2 2 19 49 2" xfId="18362"/>
    <cellStyle name="Note 2 2 19 5" xfId="18363"/>
    <cellStyle name="Note 2 2 19 5 2" xfId="18364"/>
    <cellStyle name="Note 2 2 19 5 2 2" xfId="18365"/>
    <cellStyle name="Note 2 2 19 5 3" xfId="18366"/>
    <cellStyle name="Note 2 2 19 5 3 2" xfId="18367"/>
    <cellStyle name="Note 2 2 19 5 4" xfId="18368"/>
    <cellStyle name="Note 2 2 19 5 4 2" xfId="18369"/>
    <cellStyle name="Note 2 2 19 5 5" xfId="18370"/>
    <cellStyle name="Note 2 2 19 50" xfId="18371"/>
    <cellStyle name="Note 2 2 19 50 2" xfId="18372"/>
    <cellStyle name="Note 2 2 19 51" xfId="18373"/>
    <cellStyle name="Note 2 2 19 51 2" xfId="18374"/>
    <cellStyle name="Note 2 2 19 52" xfId="18375"/>
    <cellStyle name="Note 2 2 19 52 2" xfId="18376"/>
    <cellStyle name="Note 2 2 19 53" xfId="18377"/>
    <cellStyle name="Note 2 2 19 53 2" xfId="18378"/>
    <cellStyle name="Note 2 2 19 54" xfId="18379"/>
    <cellStyle name="Note 2 2 19 54 2" xfId="18380"/>
    <cellStyle name="Note 2 2 19 55" xfId="18381"/>
    <cellStyle name="Note 2 2 19 55 2" xfId="18382"/>
    <cellStyle name="Note 2 2 19 56" xfId="18383"/>
    <cellStyle name="Note 2 2 19 56 2" xfId="18384"/>
    <cellStyle name="Note 2 2 19 57" xfId="18385"/>
    <cellStyle name="Note 2 2 19 57 2" xfId="18386"/>
    <cellStyle name="Note 2 2 19 58" xfId="18387"/>
    <cellStyle name="Note 2 2 19 58 2" xfId="18388"/>
    <cellStyle name="Note 2 2 19 59" xfId="18389"/>
    <cellStyle name="Note 2 2 19 59 2" xfId="18390"/>
    <cellStyle name="Note 2 2 19 6" xfId="18391"/>
    <cellStyle name="Note 2 2 19 6 2" xfId="18392"/>
    <cellStyle name="Note 2 2 19 6 2 2" xfId="18393"/>
    <cellStyle name="Note 2 2 19 6 3" xfId="18394"/>
    <cellStyle name="Note 2 2 19 6 3 2" xfId="18395"/>
    <cellStyle name="Note 2 2 19 6 4" xfId="18396"/>
    <cellStyle name="Note 2 2 19 6 4 2" xfId="18397"/>
    <cellStyle name="Note 2 2 19 6 5" xfId="18398"/>
    <cellStyle name="Note 2 2 19 60" xfId="18399"/>
    <cellStyle name="Note 2 2 19 60 2" xfId="18400"/>
    <cellStyle name="Note 2 2 19 61" xfId="18401"/>
    <cellStyle name="Note 2 2 19 61 2" xfId="18402"/>
    <cellStyle name="Note 2 2 19 61 3" xfId="18403"/>
    <cellStyle name="Note 2 2 19 61 4" xfId="18404"/>
    <cellStyle name="Note 2 2 19 61 5" xfId="18405"/>
    <cellStyle name="Note 2 2 19 61 6" xfId="18406"/>
    <cellStyle name="Note 2 2 19 62" xfId="18407"/>
    <cellStyle name="Note 2 2 19 62 2" xfId="18408"/>
    <cellStyle name="Note 2 2 19 63" xfId="18409"/>
    <cellStyle name="Note 2 2 19 63 2" xfId="18410"/>
    <cellStyle name="Note 2 2 19 64" xfId="18411"/>
    <cellStyle name="Note 2 2 19 64 2" xfId="18412"/>
    <cellStyle name="Note 2 2 19 65" xfId="18413"/>
    <cellStyle name="Note 2 2 19 65 2" xfId="18414"/>
    <cellStyle name="Note 2 2 19 66" xfId="18415"/>
    <cellStyle name="Note 2 2 19 67" xfId="18416"/>
    <cellStyle name="Note 2 2 19 68" xfId="18417"/>
    <cellStyle name="Note 2 2 19 69" xfId="18418"/>
    <cellStyle name="Note 2 2 19 7" xfId="18419"/>
    <cellStyle name="Note 2 2 19 7 2" xfId="18420"/>
    <cellStyle name="Note 2 2 19 7 2 2" xfId="18421"/>
    <cellStyle name="Note 2 2 19 7 3" xfId="18422"/>
    <cellStyle name="Note 2 2 19 7 3 2" xfId="18423"/>
    <cellStyle name="Note 2 2 19 7 4" xfId="18424"/>
    <cellStyle name="Note 2 2 19 7 4 2" xfId="18425"/>
    <cellStyle name="Note 2 2 19 7 5" xfId="18426"/>
    <cellStyle name="Note 2 2 19 8" xfId="18427"/>
    <cellStyle name="Note 2 2 19 8 2" xfId="18428"/>
    <cellStyle name="Note 2 2 19 8 2 2" xfId="18429"/>
    <cellStyle name="Note 2 2 19 8 3" xfId="18430"/>
    <cellStyle name="Note 2 2 19 8 3 2" xfId="18431"/>
    <cellStyle name="Note 2 2 19 8 4" xfId="18432"/>
    <cellStyle name="Note 2 2 19 8 4 2" xfId="18433"/>
    <cellStyle name="Note 2 2 19 8 5" xfId="18434"/>
    <cellStyle name="Note 2 2 19 9" xfId="18435"/>
    <cellStyle name="Note 2 2 19 9 2" xfId="18436"/>
    <cellStyle name="Note 2 2 19 9 2 2" xfId="18437"/>
    <cellStyle name="Note 2 2 19 9 3" xfId="18438"/>
    <cellStyle name="Note 2 2 19 9 3 2" xfId="18439"/>
    <cellStyle name="Note 2 2 19 9 4" xfId="18440"/>
    <cellStyle name="Note 2 2 19 9 4 2" xfId="18441"/>
    <cellStyle name="Note 2 2 19 9 5" xfId="18442"/>
    <cellStyle name="Note 2 2 2" xfId="18443"/>
    <cellStyle name="Note 2 2 2 10" xfId="18444"/>
    <cellStyle name="Note 2 2 2 10 10" xfId="18445"/>
    <cellStyle name="Note 2 2 2 10 10 2" xfId="18446"/>
    <cellStyle name="Note 2 2 2 10 10 2 2" xfId="18447"/>
    <cellStyle name="Note 2 2 2 10 10 3" xfId="18448"/>
    <cellStyle name="Note 2 2 2 10 10 3 2" xfId="18449"/>
    <cellStyle name="Note 2 2 2 10 10 4" xfId="18450"/>
    <cellStyle name="Note 2 2 2 10 10 4 2" xfId="18451"/>
    <cellStyle name="Note 2 2 2 10 10 5" xfId="18452"/>
    <cellStyle name="Note 2 2 2 10 11" xfId="18453"/>
    <cellStyle name="Note 2 2 2 10 11 2" xfId="18454"/>
    <cellStyle name="Note 2 2 2 10 11 2 2" xfId="18455"/>
    <cellStyle name="Note 2 2 2 10 11 3" xfId="18456"/>
    <cellStyle name="Note 2 2 2 10 11 3 2" xfId="18457"/>
    <cellStyle name="Note 2 2 2 10 11 4" xfId="18458"/>
    <cellStyle name="Note 2 2 2 10 11 4 2" xfId="18459"/>
    <cellStyle name="Note 2 2 2 10 11 5" xfId="18460"/>
    <cellStyle name="Note 2 2 2 10 12" xfId="18461"/>
    <cellStyle name="Note 2 2 2 10 12 2" xfId="18462"/>
    <cellStyle name="Note 2 2 2 10 12 2 2" xfId="18463"/>
    <cellStyle name="Note 2 2 2 10 12 3" xfId="18464"/>
    <cellStyle name="Note 2 2 2 10 12 3 2" xfId="18465"/>
    <cellStyle name="Note 2 2 2 10 12 4" xfId="18466"/>
    <cellStyle name="Note 2 2 2 10 12 4 2" xfId="18467"/>
    <cellStyle name="Note 2 2 2 10 12 5" xfId="18468"/>
    <cellStyle name="Note 2 2 2 10 13" xfId="18469"/>
    <cellStyle name="Note 2 2 2 10 13 2" xfId="18470"/>
    <cellStyle name="Note 2 2 2 10 13 2 2" xfId="18471"/>
    <cellStyle name="Note 2 2 2 10 13 3" xfId="18472"/>
    <cellStyle name="Note 2 2 2 10 13 3 2" xfId="18473"/>
    <cellStyle name="Note 2 2 2 10 13 4" xfId="18474"/>
    <cellStyle name="Note 2 2 2 10 13 4 2" xfId="18475"/>
    <cellStyle name="Note 2 2 2 10 13 5" xfId="18476"/>
    <cellStyle name="Note 2 2 2 10 14" xfId="18477"/>
    <cellStyle name="Note 2 2 2 10 14 2" xfId="18478"/>
    <cellStyle name="Note 2 2 2 10 14 2 2" xfId="18479"/>
    <cellStyle name="Note 2 2 2 10 14 3" xfId="18480"/>
    <cellStyle name="Note 2 2 2 10 14 3 2" xfId="18481"/>
    <cellStyle name="Note 2 2 2 10 14 4" xfId="18482"/>
    <cellStyle name="Note 2 2 2 10 14 4 2" xfId="18483"/>
    <cellStyle name="Note 2 2 2 10 14 5" xfId="18484"/>
    <cellStyle name="Note 2 2 2 10 15" xfId="18485"/>
    <cellStyle name="Note 2 2 2 10 15 2" xfId="18486"/>
    <cellStyle name="Note 2 2 2 10 16" xfId="18487"/>
    <cellStyle name="Note 2 2 2 10 16 2" xfId="18488"/>
    <cellStyle name="Note 2 2 2 10 17" xfId="18489"/>
    <cellStyle name="Note 2 2 2 10 17 2" xfId="18490"/>
    <cellStyle name="Note 2 2 2 10 18" xfId="18491"/>
    <cellStyle name="Note 2 2 2 10 18 2" xfId="18492"/>
    <cellStyle name="Note 2 2 2 10 19" xfId="18493"/>
    <cellStyle name="Note 2 2 2 10 19 2" xfId="18494"/>
    <cellStyle name="Note 2 2 2 10 2" xfId="18495"/>
    <cellStyle name="Note 2 2 2 10 2 10" xfId="18496"/>
    <cellStyle name="Note 2 2 2 10 2 10 2" xfId="18497"/>
    <cellStyle name="Note 2 2 2 10 2 11" xfId="18498"/>
    <cellStyle name="Note 2 2 2 10 2 11 2" xfId="18499"/>
    <cellStyle name="Note 2 2 2 10 2 12" xfId="18500"/>
    <cellStyle name="Note 2 2 2 10 2 12 2" xfId="18501"/>
    <cellStyle name="Note 2 2 2 10 2 13" xfId="18502"/>
    <cellStyle name="Note 2 2 2 10 2 13 2" xfId="18503"/>
    <cellStyle name="Note 2 2 2 10 2 14" xfId="18504"/>
    <cellStyle name="Note 2 2 2 10 2 14 2" xfId="18505"/>
    <cellStyle name="Note 2 2 2 10 2 15" xfId="18506"/>
    <cellStyle name="Note 2 2 2 10 2 15 2" xfId="18507"/>
    <cellStyle name="Note 2 2 2 10 2 16" xfId="18508"/>
    <cellStyle name="Note 2 2 2 10 2 16 2" xfId="18509"/>
    <cellStyle name="Note 2 2 2 10 2 17" xfId="18510"/>
    <cellStyle name="Note 2 2 2 10 2 17 2" xfId="18511"/>
    <cellStyle name="Note 2 2 2 10 2 18" xfId="18512"/>
    <cellStyle name="Note 2 2 2 10 2 18 2" xfId="18513"/>
    <cellStyle name="Note 2 2 2 10 2 19" xfId="18514"/>
    <cellStyle name="Note 2 2 2 10 2 19 2" xfId="18515"/>
    <cellStyle name="Note 2 2 2 10 2 2" xfId="18516"/>
    <cellStyle name="Note 2 2 2 10 2 2 2" xfId="18517"/>
    <cellStyle name="Note 2 2 2 10 2 2 3" xfId="18518"/>
    <cellStyle name="Note 2 2 2 10 2 20" xfId="18519"/>
    <cellStyle name="Note 2 2 2 10 2 20 2" xfId="18520"/>
    <cellStyle name="Note 2 2 2 10 2 21" xfId="18521"/>
    <cellStyle name="Note 2 2 2 10 2 21 2" xfId="18522"/>
    <cellStyle name="Note 2 2 2 10 2 22" xfId="18523"/>
    <cellStyle name="Note 2 2 2 10 2 22 2" xfId="18524"/>
    <cellStyle name="Note 2 2 2 10 2 23" xfId="18525"/>
    <cellStyle name="Note 2 2 2 10 2 23 2" xfId="18526"/>
    <cellStyle name="Note 2 2 2 10 2 24" xfId="18527"/>
    <cellStyle name="Note 2 2 2 10 2 24 2" xfId="18528"/>
    <cellStyle name="Note 2 2 2 10 2 25" xfId="18529"/>
    <cellStyle name="Note 2 2 2 10 2 25 2" xfId="18530"/>
    <cellStyle name="Note 2 2 2 10 2 26" xfId="18531"/>
    <cellStyle name="Note 2 2 2 10 2 26 2" xfId="18532"/>
    <cellStyle name="Note 2 2 2 10 2 27" xfId="18533"/>
    <cellStyle name="Note 2 2 2 10 2 27 2" xfId="18534"/>
    <cellStyle name="Note 2 2 2 10 2 28" xfId="18535"/>
    <cellStyle name="Note 2 2 2 10 2 28 2" xfId="18536"/>
    <cellStyle name="Note 2 2 2 10 2 29" xfId="18537"/>
    <cellStyle name="Note 2 2 2 10 2 29 2" xfId="18538"/>
    <cellStyle name="Note 2 2 2 10 2 3" xfId="18539"/>
    <cellStyle name="Note 2 2 2 10 2 3 2" xfId="18540"/>
    <cellStyle name="Note 2 2 2 10 2 3 3" xfId="18541"/>
    <cellStyle name="Note 2 2 2 10 2 30" xfId="18542"/>
    <cellStyle name="Note 2 2 2 10 2 30 2" xfId="18543"/>
    <cellStyle name="Note 2 2 2 10 2 31" xfId="18544"/>
    <cellStyle name="Note 2 2 2 10 2 4" xfId="18545"/>
    <cellStyle name="Note 2 2 2 10 2 4 2" xfId="18546"/>
    <cellStyle name="Note 2 2 2 10 2 5" xfId="18547"/>
    <cellStyle name="Note 2 2 2 10 2 5 2" xfId="18548"/>
    <cellStyle name="Note 2 2 2 10 2 6" xfId="18549"/>
    <cellStyle name="Note 2 2 2 10 2 6 2" xfId="18550"/>
    <cellStyle name="Note 2 2 2 10 2 7" xfId="18551"/>
    <cellStyle name="Note 2 2 2 10 2 7 2" xfId="18552"/>
    <cellStyle name="Note 2 2 2 10 2 8" xfId="18553"/>
    <cellStyle name="Note 2 2 2 10 2 8 2" xfId="18554"/>
    <cellStyle name="Note 2 2 2 10 2 9" xfId="18555"/>
    <cellStyle name="Note 2 2 2 10 2 9 2" xfId="18556"/>
    <cellStyle name="Note 2 2 2 10 20" xfId="18557"/>
    <cellStyle name="Note 2 2 2 10 20 2" xfId="18558"/>
    <cellStyle name="Note 2 2 2 10 21" xfId="18559"/>
    <cellStyle name="Note 2 2 2 10 21 2" xfId="18560"/>
    <cellStyle name="Note 2 2 2 10 22" xfId="18561"/>
    <cellStyle name="Note 2 2 2 10 22 2" xfId="18562"/>
    <cellStyle name="Note 2 2 2 10 23" xfId="18563"/>
    <cellStyle name="Note 2 2 2 10 23 2" xfId="18564"/>
    <cellStyle name="Note 2 2 2 10 24" xfId="18565"/>
    <cellStyle name="Note 2 2 2 10 24 2" xfId="18566"/>
    <cellStyle name="Note 2 2 2 10 25" xfId="18567"/>
    <cellStyle name="Note 2 2 2 10 25 2" xfId="18568"/>
    <cellStyle name="Note 2 2 2 10 26" xfId="18569"/>
    <cellStyle name="Note 2 2 2 10 26 2" xfId="18570"/>
    <cellStyle name="Note 2 2 2 10 27" xfId="18571"/>
    <cellStyle name="Note 2 2 2 10 27 2" xfId="18572"/>
    <cellStyle name="Note 2 2 2 10 28" xfId="18573"/>
    <cellStyle name="Note 2 2 2 10 28 2" xfId="18574"/>
    <cellStyle name="Note 2 2 2 10 29" xfId="18575"/>
    <cellStyle name="Note 2 2 2 10 29 2" xfId="18576"/>
    <cellStyle name="Note 2 2 2 10 3" xfId="18577"/>
    <cellStyle name="Note 2 2 2 10 3 2" xfId="18578"/>
    <cellStyle name="Note 2 2 2 10 3 2 2" xfId="18579"/>
    <cellStyle name="Note 2 2 2 10 3 3" xfId="18580"/>
    <cellStyle name="Note 2 2 2 10 3 3 2" xfId="18581"/>
    <cellStyle name="Note 2 2 2 10 3 4" xfId="18582"/>
    <cellStyle name="Note 2 2 2 10 3 4 2" xfId="18583"/>
    <cellStyle name="Note 2 2 2 10 3 5" xfId="18584"/>
    <cellStyle name="Note 2 2 2 10 30" xfId="18585"/>
    <cellStyle name="Note 2 2 2 10 30 2" xfId="18586"/>
    <cellStyle name="Note 2 2 2 10 31" xfId="18587"/>
    <cellStyle name="Note 2 2 2 10 31 2" xfId="18588"/>
    <cellStyle name="Note 2 2 2 10 32" xfId="18589"/>
    <cellStyle name="Note 2 2 2 10 32 2" xfId="18590"/>
    <cellStyle name="Note 2 2 2 10 33" xfId="18591"/>
    <cellStyle name="Note 2 2 2 10 33 2" xfId="18592"/>
    <cellStyle name="Note 2 2 2 10 34" xfId="18593"/>
    <cellStyle name="Note 2 2 2 10 34 2" xfId="18594"/>
    <cellStyle name="Note 2 2 2 10 35" xfId="18595"/>
    <cellStyle name="Note 2 2 2 10 35 2" xfId="18596"/>
    <cellStyle name="Note 2 2 2 10 36" xfId="18597"/>
    <cellStyle name="Note 2 2 2 10 36 2" xfId="18598"/>
    <cellStyle name="Note 2 2 2 10 37" xfId="18599"/>
    <cellStyle name="Note 2 2 2 10 37 2" xfId="18600"/>
    <cellStyle name="Note 2 2 2 10 38" xfId="18601"/>
    <cellStyle name="Note 2 2 2 10 38 2" xfId="18602"/>
    <cellStyle name="Note 2 2 2 10 39" xfId="18603"/>
    <cellStyle name="Note 2 2 2 10 39 2" xfId="18604"/>
    <cellStyle name="Note 2 2 2 10 4" xfId="18605"/>
    <cellStyle name="Note 2 2 2 10 4 2" xfId="18606"/>
    <cellStyle name="Note 2 2 2 10 4 2 2" xfId="18607"/>
    <cellStyle name="Note 2 2 2 10 4 3" xfId="18608"/>
    <cellStyle name="Note 2 2 2 10 4 3 2" xfId="18609"/>
    <cellStyle name="Note 2 2 2 10 4 4" xfId="18610"/>
    <cellStyle name="Note 2 2 2 10 4 4 2" xfId="18611"/>
    <cellStyle name="Note 2 2 2 10 4 5" xfId="18612"/>
    <cellStyle name="Note 2 2 2 10 40" xfId="18613"/>
    <cellStyle name="Note 2 2 2 10 40 2" xfId="18614"/>
    <cellStyle name="Note 2 2 2 10 41" xfId="18615"/>
    <cellStyle name="Note 2 2 2 10 41 2" xfId="18616"/>
    <cellStyle name="Note 2 2 2 10 42" xfId="18617"/>
    <cellStyle name="Note 2 2 2 10 42 2" xfId="18618"/>
    <cellStyle name="Note 2 2 2 10 43" xfId="18619"/>
    <cellStyle name="Note 2 2 2 10 43 2" xfId="18620"/>
    <cellStyle name="Note 2 2 2 10 44" xfId="18621"/>
    <cellStyle name="Note 2 2 2 10 44 2" xfId="18622"/>
    <cellStyle name="Note 2 2 2 10 45" xfId="18623"/>
    <cellStyle name="Note 2 2 2 10 45 2" xfId="18624"/>
    <cellStyle name="Note 2 2 2 10 46" xfId="18625"/>
    <cellStyle name="Note 2 2 2 10 46 2" xfId="18626"/>
    <cellStyle name="Note 2 2 2 10 47" xfId="18627"/>
    <cellStyle name="Note 2 2 2 10 47 2" xfId="18628"/>
    <cellStyle name="Note 2 2 2 10 48" xfId="18629"/>
    <cellStyle name="Note 2 2 2 10 48 2" xfId="18630"/>
    <cellStyle name="Note 2 2 2 10 49" xfId="18631"/>
    <cellStyle name="Note 2 2 2 10 49 2" xfId="18632"/>
    <cellStyle name="Note 2 2 2 10 5" xfId="18633"/>
    <cellStyle name="Note 2 2 2 10 5 2" xfId="18634"/>
    <cellStyle name="Note 2 2 2 10 5 2 2" xfId="18635"/>
    <cellStyle name="Note 2 2 2 10 5 3" xfId="18636"/>
    <cellStyle name="Note 2 2 2 10 5 3 2" xfId="18637"/>
    <cellStyle name="Note 2 2 2 10 5 4" xfId="18638"/>
    <cellStyle name="Note 2 2 2 10 5 4 2" xfId="18639"/>
    <cellStyle name="Note 2 2 2 10 5 5" xfId="18640"/>
    <cellStyle name="Note 2 2 2 10 50" xfId="18641"/>
    <cellStyle name="Note 2 2 2 10 50 2" xfId="18642"/>
    <cellStyle name="Note 2 2 2 10 51" xfId="18643"/>
    <cellStyle name="Note 2 2 2 10 51 2" xfId="18644"/>
    <cellStyle name="Note 2 2 2 10 52" xfId="18645"/>
    <cellStyle name="Note 2 2 2 10 52 2" xfId="18646"/>
    <cellStyle name="Note 2 2 2 10 53" xfId="18647"/>
    <cellStyle name="Note 2 2 2 10 53 2" xfId="18648"/>
    <cellStyle name="Note 2 2 2 10 54" xfId="18649"/>
    <cellStyle name="Note 2 2 2 10 54 2" xfId="18650"/>
    <cellStyle name="Note 2 2 2 10 55" xfId="18651"/>
    <cellStyle name="Note 2 2 2 10 55 2" xfId="18652"/>
    <cellStyle name="Note 2 2 2 10 56" xfId="18653"/>
    <cellStyle name="Note 2 2 2 10 56 2" xfId="18654"/>
    <cellStyle name="Note 2 2 2 10 57" xfId="18655"/>
    <cellStyle name="Note 2 2 2 10 57 2" xfId="18656"/>
    <cellStyle name="Note 2 2 2 10 58" xfId="18657"/>
    <cellStyle name="Note 2 2 2 10 58 2" xfId="18658"/>
    <cellStyle name="Note 2 2 2 10 59" xfId="18659"/>
    <cellStyle name="Note 2 2 2 10 59 2" xfId="18660"/>
    <cellStyle name="Note 2 2 2 10 6" xfId="18661"/>
    <cellStyle name="Note 2 2 2 10 6 2" xfId="18662"/>
    <cellStyle name="Note 2 2 2 10 6 2 2" xfId="18663"/>
    <cellStyle name="Note 2 2 2 10 6 3" xfId="18664"/>
    <cellStyle name="Note 2 2 2 10 6 3 2" xfId="18665"/>
    <cellStyle name="Note 2 2 2 10 6 4" xfId="18666"/>
    <cellStyle name="Note 2 2 2 10 6 4 2" xfId="18667"/>
    <cellStyle name="Note 2 2 2 10 6 5" xfId="18668"/>
    <cellStyle name="Note 2 2 2 10 60" xfId="18669"/>
    <cellStyle name="Note 2 2 2 10 60 2" xfId="18670"/>
    <cellStyle name="Note 2 2 2 10 61" xfId="18671"/>
    <cellStyle name="Note 2 2 2 10 61 2" xfId="18672"/>
    <cellStyle name="Note 2 2 2 10 62" xfId="18673"/>
    <cellStyle name="Note 2 2 2 10 7" xfId="18674"/>
    <cellStyle name="Note 2 2 2 10 7 2" xfId="18675"/>
    <cellStyle name="Note 2 2 2 10 7 2 2" xfId="18676"/>
    <cellStyle name="Note 2 2 2 10 7 3" xfId="18677"/>
    <cellStyle name="Note 2 2 2 10 7 3 2" xfId="18678"/>
    <cellStyle name="Note 2 2 2 10 7 4" xfId="18679"/>
    <cellStyle name="Note 2 2 2 10 7 4 2" xfId="18680"/>
    <cellStyle name="Note 2 2 2 10 7 5" xfId="18681"/>
    <cellStyle name="Note 2 2 2 10 8" xfId="18682"/>
    <cellStyle name="Note 2 2 2 10 8 2" xfId="18683"/>
    <cellStyle name="Note 2 2 2 10 8 2 2" xfId="18684"/>
    <cellStyle name="Note 2 2 2 10 8 3" xfId="18685"/>
    <cellStyle name="Note 2 2 2 10 8 3 2" xfId="18686"/>
    <cellStyle name="Note 2 2 2 10 8 4" xfId="18687"/>
    <cellStyle name="Note 2 2 2 10 8 4 2" xfId="18688"/>
    <cellStyle name="Note 2 2 2 10 8 5" xfId="18689"/>
    <cellStyle name="Note 2 2 2 10 9" xfId="18690"/>
    <cellStyle name="Note 2 2 2 10 9 2" xfId="18691"/>
    <cellStyle name="Note 2 2 2 10 9 2 2" xfId="18692"/>
    <cellStyle name="Note 2 2 2 10 9 3" xfId="18693"/>
    <cellStyle name="Note 2 2 2 10 9 3 2" xfId="18694"/>
    <cellStyle name="Note 2 2 2 10 9 4" xfId="18695"/>
    <cellStyle name="Note 2 2 2 10 9 4 2" xfId="18696"/>
    <cellStyle name="Note 2 2 2 10 9 5" xfId="18697"/>
    <cellStyle name="Note 2 2 2 11" xfId="18698"/>
    <cellStyle name="Note 2 2 2 11 10" xfId="18699"/>
    <cellStyle name="Note 2 2 2 11 10 2" xfId="18700"/>
    <cellStyle name="Note 2 2 2 11 10 2 2" xfId="18701"/>
    <cellStyle name="Note 2 2 2 11 10 3" xfId="18702"/>
    <cellStyle name="Note 2 2 2 11 10 3 2" xfId="18703"/>
    <cellStyle name="Note 2 2 2 11 10 4" xfId="18704"/>
    <cellStyle name="Note 2 2 2 11 10 4 2" xfId="18705"/>
    <cellStyle name="Note 2 2 2 11 10 5" xfId="18706"/>
    <cellStyle name="Note 2 2 2 11 11" xfId="18707"/>
    <cellStyle name="Note 2 2 2 11 11 2" xfId="18708"/>
    <cellStyle name="Note 2 2 2 11 11 2 2" xfId="18709"/>
    <cellStyle name="Note 2 2 2 11 11 3" xfId="18710"/>
    <cellStyle name="Note 2 2 2 11 11 3 2" xfId="18711"/>
    <cellStyle name="Note 2 2 2 11 11 4" xfId="18712"/>
    <cellStyle name="Note 2 2 2 11 11 4 2" xfId="18713"/>
    <cellStyle name="Note 2 2 2 11 11 5" xfId="18714"/>
    <cellStyle name="Note 2 2 2 11 12" xfId="18715"/>
    <cellStyle name="Note 2 2 2 11 12 2" xfId="18716"/>
    <cellStyle name="Note 2 2 2 11 12 2 2" xfId="18717"/>
    <cellStyle name="Note 2 2 2 11 12 3" xfId="18718"/>
    <cellStyle name="Note 2 2 2 11 12 3 2" xfId="18719"/>
    <cellStyle name="Note 2 2 2 11 12 4" xfId="18720"/>
    <cellStyle name="Note 2 2 2 11 12 4 2" xfId="18721"/>
    <cellStyle name="Note 2 2 2 11 12 5" xfId="18722"/>
    <cellStyle name="Note 2 2 2 11 13" xfId="18723"/>
    <cellStyle name="Note 2 2 2 11 13 2" xfId="18724"/>
    <cellStyle name="Note 2 2 2 11 13 2 2" xfId="18725"/>
    <cellStyle name="Note 2 2 2 11 13 3" xfId="18726"/>
    <cellStyle name="Note 2 2 2 11 13 3 2" xfId="18727"/>
    <cellStyle name="Note 2 2 2 11 13 4" xfId="18728"/>
    <cellStyle name="Note 2 2 2 11 13 4 2" xfId="18729"/>
    <cellStyle name="Note 2 2 2 11 13 5" xfId="18730"/>
    <cellStyle name="Note 2 2 2 11 14" xfId="18731"/>
    <cellStyle name="Note 2 2 2 11 14 2" xfId="18732"/>
    <cellStyle name="Note 2 2 2 11 14 2 2" xfId="18733"/>
    <cellStyle name="Note 2 2 2 11 14 3" xfId="18734"/>
    <cellStyle name="Note 2 2 2 11 14 3 2" xfId="18735"/>
    <cellStyle name="Note 2 2 2 11 14 4" xfId="18736"/>
    <cellStyle name="Note 2 2 2 11 14 4 2" xfId="18737"/>
    <cellStyle name="Note 2 2 2 11 14 5" xfId="18738"/>
    <cellStyle name="Note 2 2 2 11 15" xfId="18739"/>
    <cellStyle name="Note 2 2 2 11 15 2" xfId="18740"/>
    <cellStyle name="Note 2 2 2 11 16" xfId="18741"/>
    <cellStyle name="Note 2 2 2 11 16 2" xfId="18742"/>
    <cellStyle name="Note 2 2 2 11 17" xfId="18743"/>
    <cellStyle name="Note 2 2 2 11 17 2" xfId="18744"/>
    <cellStyle name="Note 2 2 2 11 18" xfId="18745"/>
    <cellStyle name="Note 2 2 2 11 18 2" xfId="18746"/>
    <cellStyle name="Note 2 2 2 11 19" xfId="18747"/>
    <cellStyle name="Note 2 2 2 11 19 2" xfId="18748"/>
    <cellStyle name="Note 2 2 2 11 2" xfId="18749"/>
    <cellStyle name="Note 2 2 2 11 2 10" xfId="18750"/>
    <cellStyle name="Note 2 2 2 11 2 10 2" xfId="18751"/>
    <cellStyle name="Note 2 2 2 11 2 11" xfId="18752"/>
    <cellStyle name="Note 2 2 2 11 2 11 2" xfId="18753"/>
    <cellStyle name="Note 2 2 2 11 2 12" xfId="18754"/>
    <cellStyle name="Note 2 2 2 11 2 12 2" xfId="18755"/>
    <cellStyle name="Note 2 2 2 11 2 13" xfId="18756"/>
    <cellStyle name="Note 2 2 2 11 2 13 2" xfId="18757"/>
    <cellStyle name="Note 2 2 2 11 2 14" xfId="18758"/>
    <cellStyle name="Note 2 2 2 11 2 14 2" xfId="18759"/>
    <cellStyle name="Note 2 2 2 11 2 15" xfId="18760"/>
    <cellStyle name="Note 2 2 2 11 2 15 2" xfId="18761"/>
    <cellStyle name="Note 2 2 2 11 2 16" xfId="18762"/>
    <cellStyle name="Note 2 2 2 11 2 16 2" xfId="18763"/>
    <cellStyle name="Note 2 2 2 11 2 17" xfId="18764"/>
    <cellStyle name="Note 2 2 2 11 2 17 2" xfId="18765"/>
    <cellStyle name="Note 2 2 2 11 2 18" xfId="18766"/>
    <cellStyle name="Note 2 2 2 11 2 18 2" xfId="18767"/>
    <cellStyle name="Note 2 2 2 11 2 19" xfId="18768"/>
    <cellStyle name="Note 2 2 2 11 2 19 2" xfId="18769"/>
    <cellStyle name="Note 2 2 2 11 2 2" xfId="18770"/>
    <cellStyle name="Note 2 2 2 11 2 2 2" xfId="18771"/>
    <cellStyle name="Note 2 2 2 11 2 2 3" xfId="18772"/>
    <cellStyle name="Note 2 2 2 11 2 20" xfId="18773"/>
    <cellStyle name="Note 2 2 2 11 2 20 2" xfId="18774"/>
    <cellStyle name="Note 2 2 2 11 2 21" xfId="18775"/>
    <cellStyle name="Note 2 2 2 11 2 21 2" xfId="18776"/>
    <cellStyle name="Note 2 2 2 11 2 22" xfId="18777"/>
    <cellStyle name="Note 2 2 2 11 2 22 2" xfId="18778"/>
    <cellStyle name="Note 2 2 2 11 2 23" xfId="18779"/>
    <cellStyle name="Note 2 2 2 11 2 23 2" xfId="18780"/>
    <cellStyle name="Note 2 2 2 11 2 24" xfId="18781"/>
    <cellStyle name="Note 2 2 2 11 2 24 2" xfId="18782"/>
    <cellStyle name="Note 2 2 2 11 2 25" xfId="18783"/>
    <cellStyle name="Note 2 2 2 11 2 25 2" xfId="18784"/>
    <cellStyle name="Note 2 2 2 11 2 26" xfId="18785"/>
    <cellStyle name="Note 2 2 2 11 2 26 2" xfId="18786"/>
    <cellStyle name="Note 2 2 2 11 2 27" xfId="18787"/>
    <cellStyle name="Note 2 2 2 11 2 27 2" xfId="18788"/>
    <cellStyle name="Note 2 2 2 11 2 28" xfId="18789"/>
    <cellStyle name="Note 2 2 2 11 2 28 2" xfId="18790"/>
    <cellStyle name="Note 2 2 2 11 2 29" xfId="18791"/>
    <cellStyle name="Note 2 2 2 11 2 29 2" xfId="18792"/>
    <cellStyle name="Note 2 2 2 11 2 3" xfId="18793"/>
    <cellStyle name="Note 2 2 2 11 2 3 2" xfId="18794"/>
    <cellStyle name="Note 2 2 2 11 2 3 3" xfId="18795"/>
    <cellStyle name="Note 2 2 2 11 2 30" xfId="18796"/>
    <cellStyle name="Note 2 2 2 11 2 30 2" xfId="18797"/>
    <cellStyle name="Note 2 2 2 11 2 31" xfId="18798"/>
    <cellStyle name="Note 2 2 2 11 2 4" xfId="18799"/>
    <cellStyle name="Note 2 2 2 11 2 4 2" xfId="18800"/>
    <cellStyle name="Note 2 2 2 11 2 5" xfId="18801"/>
    <cellStyle name="Note 2 2 2 11 2 5 2" xfId="18802"/>
    <cellStyle name="Note 2 2 2 11 2 6" xfId="18803"/>
    <cellStyle name="Note 2 2 2 11 2 6 2" xfId="18804"/>
    <cellStyle name="Note 2 2 2 11 2 7" xfId="18805"/>
    <cellStyle name="Note 2 2 2 11 2 7 2" xfId="18806"/>
    <cellStyle name="Note 2 2 2 11 2 8" xfId="18807"/>
    <cellStyle name="Note 2 2 2 11 2 8 2" xfId="18808"/>
    <cellStyle name="Note 2 2 2 11 2 9" xfId="18809"/>
    <cellStyle name="Note 2 2 2 11 2 9 2" xfId="18810"/>
    <cellStyle name="Note 2 2 2 11 20" xfId="18811"/>
    <cellStyle name="Note 2 2 2 11 20 2" xfId="18812"/>
    <cellStyle name="Note 2 2 2 11 21" xfId="18813"/>
    <cellStyle name="Note 2 2 2 11 21 2" xfId="18814"/>
    <cellStyle name="Note 2 2 2 11 22" xfId="18815"/>
    <cellStyle name="Note 2 2 2 11 22 2" xfId="18816"/>
    <cellStyle name="Note 2 2 2 11 23" xfId="18817"/>
    <cellStyle name="Note 2 2 2 11 23 2" xfId="18818"/>
    <cellStyle name="Note 2 2 2 11 24" xfId="18819"/>
    <cellStyle name="Note 2 2 2 11 24 2" xfId="18820"/>
    <cellStyle name="Note 2 2 2 11 25" xfId="18821"/>
    <cellStyle name="Note 2 2 2 11 25 2" xfId="18822"/>
    <cellStyle name="Note 2 2 2 11 26" xfId="18823"/>
    <cellStyle name="Note 2 2 2 11 26 2" xfId="18824"/>
    <cellStyle name="Note 2 2 2 11 27" xfId="18825"/>
    <cellStyle name="Note 2 2 2 11 27 2" xfId="18826"/>
    <cellStyle name="Note 2 2 2 11 28" xfId="18827"/>
    <cellStyle name="Note 2 2 2 11 28 2" xfId="18828"/>
    <cellStyle name="Note 2 2 2 11 29" xfId="18829"/>
    <cellStyle name="Note 2 2 2 11 29 2" xfId="18830"/>
    <cellStyle name="Note 2 2 2 11 3" xfId="18831"/>
    <cellStyle name="Note 2 2 2 11 3 2" xfId="18832"/>
    <cellStyle name="Note 2 2 2 11 3 2 2" xfId="18833"/>
    <cellStyle name="Note 2 2 2 11 3 3" xfId="18834"/>
    <cellStyle name="Note 2 2 2 11 3 3 2" xfId="18835"/>
    <cellStyle name="Note 2 2 2 11 3 4" xfId="18836"/>
    <cellStyle name="Note 2 2 2 11 3 4 2" xfId="18837"/>
    <cellStyle name="Note 2 2 2 11 3 5" xfId="18838"/>
    <cellStyle name="Note 2 2 2 11 30" xfId="18839"/>
    <cellStyle name="Note 2 2 2 11 30 2" xfId="18840"/>
    <cellStyle name="Note 2 2 2 11 31" xfId="18841"/>
    <cellStyle name="Note 2 2 2 11 31 2" xfId="18842"/>
    <cellStyle name="Note 2 2 2 11 32" xfId="18843"/>
    <cellStyle name="Note 2 2 2 11 32 2" xfId="18844"/>
    <cellStyle name="Note 2 2 2 11 33" xfId="18845"/>
    <cellStyle name="Note 2 2 2 11 33 2" xfId="18846"/>
    <cellStyle name="Note 2 2 2 11 34" xfId="18847"/>
    <cellStyle name="Note 2 2 2 11 34 2" xfId="18848"/>
    <cellStyle name="Note 2 2 2 11 35" xfId="18849"/>
    <cellStyle name="Note 2 2 2 11 35 2" xfId="18850"/>
    <cellStyle name="Note 2 2 2 11 36" xfId="18851"/>
    <cellStyle name="Note 2 2 2 11 36 2" xfId="18852"/>
    <cellStyle name="Note 2 2 2 11 37" xfId="18853"/>
    <cellStyle name="Note 2 2 2 11 37 2" xfId="18854"/>
    <cellStyle name="Note 2 2 2 11 38" xfId="18855"/>
    <cellStyle name="Note 2 2 2 11 38 2" xfId="18856"/>
    <cellStyle name="Note 2 2 2 11 39" xfId="18857"/>
    <cellStyle name="Note 2 2 2 11 39 2" xfId="18858"/>
    <cellStyle name="Note 2 2 2 11 4" xfId="18859"/>
    <cellStyle name="Note 2 2 2 11 4 2" xfId="18860"/>
    <cellStyle name="Note 2 2 2 11 4 2 2" xfId="18861"/>
    <cellStyle name="Note 2 2 2 11 4 3" xfId="18862"/>
    <cellStyle name="Note 2 2 2 11 4 3 2" xfId="18863"/>
    <cellStyle name="Note 2 2 2 11 4 4" xfId="18864"/>
    <cellStyle name="Note 2 2 2 11 4 4 2" xfId="18865"/>
    <cellStyle name="Note 2 2 2 11 4 5" xfId="18866"/>
    <cellStyle name="Note 2 2 2 11 40" xfId="18867"/>
    <cellStyle name="Note 2 2 2 11 40 2" xfId="18868"/>
    <cellStyle name="Note 2 2 2 11 41" xfId="18869"/>
    <cellStyle name="Note 2 2 2 11 41 2" xfId="18870"/>
    <cellStyle name="Note 2 2 2 11 42" xfId="18871"/>
    <cellStyle name="Note 2 2 2 11 42 2" xfId="18872"/>
    <cellStyle name="Note 2 2 2 11 43" xfId="18873"/>
    <cellStyle name="Note 2 2 2 11 43 2" xfId="18874"/>
    <cellStyle name="Note 2 2 2 11 44" xfId="18875"/>
    <cellStyle name="Note 2 2 2 11 44 2" xfId="18876"/>
    <cellStyle name="Note 2 2 2 11 45" xfId="18877"/>
    <cellStyle name="Note 2 2 2 11 45 2" xfId="18878"/>
    <cellStyle name="Note 2 2 2 11 46" xfId="18879"/>
    <cellStyle name="Note 2 2 2 11 46 2" xfId="18880"/>
    <cellStyle name="Note 2 2 2 11 47" xfId="18881"/>
    <cellStyle name="Note 2 2 2 11 47 2" xfId="18882"/>
    <cellStyle name="Note 2 2 2 11 48" xfId="18883"/>
    <cellStyle name="Note 2 2 2 11 48 2" xfId="18884"/>
    <cellStyle name="Note 2 2 2 11 49" xfId="18885"/>
    <cellStyle name="Note 2 2 2 11 49 2" xfId="18886"/>
    <cellStyle name="Note 2 2 2 11 5" xfId="18887"/>
    <cellStyle name="Note 2 2 2 11 5 2" xfId="18888"/>
    <cellStyle name="Note 2 2 2 11 5 2 2" xfId="18889"/>
    <cellStyle name="Note 2 2 2 11 5 3" xfId="18890"/>
    <cellStyle name="Note 2 2 2 11 5 3 2" xfId="18891"/>
    <cellStyle name="Note 2 2 2 11 5 4" xfId="18892"/>
    <cellStyle name="Note 2 2 2 11 5 4 2" xfId="18893"/>
    <cellStyle name="Note 2 2 2 11 5 5" xfId="18894"/>
    <cellStyle name="Note 2 2 2 11 50" xfId="18895"/>
    <cellStyle name="Note 2 2 2 11 50 2" xfId="18896"/>
    <cellStyle name="Note 2 2 2 11 51" xfId="18897"/>
    <cellStyle name="Note 2 2 2 11 51 2" xfId="18898"/>
    <cellStyle name="Note 2 2 2 11 52" xfId="18899"/>
    <cellStyle name="Note 2 2 2 11 52 2" xfId="18900"/>
    <cellStyle name="Note 2 2 2 11 53" xfId="18901"/>
    <cellStyle name="Note 2 2 2 11 53 2" xfId="18902"/>
    <cellStyle name="Note 2 2 2 11 54" xfId="18903"/>
    <cellStyle name="Note 2 2 2 11 54 2" xfId="18904"/>
    <cellStyle name="Note 2 2 2 11 55" xfId="18905"/>
    <cellStyle name="Note 2 2 2 11 55 2" xfId="18906"/>
    <cellStyle name="Note 2 2 2 11 56" xfId="18907"/>
    <cellStyle name="Note 2 2 2 11 56 2" xfId="18908"/>
    <cellStyle name="Note 2 2 2 11 57" xfId="18909"/>
    <cellStyle name="Note 2 2 2 11 57 2" xfId="18910"/>
    <cellStyle name="Note 2 2 2 11 58" xfId="18911"/>
    <cellStyle name="Note 2 2 2 11 58 2" xfId="18912"/>
    <cellStyle name="Note 2 2 2 11 59" xfId="18913"/>
    <cellStyle name="Note 2 2 2 11 59 2" xfId="18914"/>
    <cellStyle name="Note 2 2 2 11 6" xfId="18915"/>
    <cellStyle name="Note 2 2 2 11 6 2" xfId="18916"/>
    <cellStyle name="Note 2 2 2 11 6 2 2" xfId="18917"/>
    <cellStyle name="Note 2 2 2 11 6 3" xfId="18918"/>
    <cellStyle name="Note 2 2 2 11 6 3 2" xfId="18919"/>
    <cellStyle name="Note 2 2 2 11 6 4" xfId="18920"/>
    <cellStyle name="Note 2 2 2 11 6 4 2" xfId="18921"/>
    <cellStyle name="Note 2 2 2 11 6 5" xfId="18922"/>
    <cellStyle name="Note 2 2 2 11 60" xfId="18923"/>
    <cellStyle name="Note 2 2 2 11 60 2" xfId="18924"/>
    <cellStyle name="Note 2 2 2 11 61" xfId="18925"/>
    <cellStyle name="Note 2 2 2 11 61 2" xfId="18926"/>
    <cellStyle name="Note 2 2 2 11 62" xfId="18927"/>
    <cellStyle name="Note 2 2 2 11 7" xfId="18928"/>
    <cellStyle name="Note 2 2 2 11 7 2" xfId="18929"/>
    <cellStyle name="Note 2 2 2 11 7 2 2" xfId="18930"/>
    <cellStyle name="Note 2 2 2 11 7 3" xfId="18931"/>
    <cellStyle name="Note 2 2 2 11 7 3 2" xfId="18932"/>
    <cellStyle name="Note 2 2 2 11 7 4" xfId="18933"/>
    <cellStyle name="Note 2 2 2 11 7 4 2" xfId="18934"/>
    <cellStyle name="Note 2 2 2 11 7 5" xfId="18935"/>
    <cellStyle name="Note 2 2 2 11 8" xfId="18936"/>
    <cellStyle name="Note 2 2 2 11 8 2" xfId="18937"/>
    <cellStyle name="Note 2 2 2 11 8 2 2" xfId="18938"/>
    <cellStyle name="Note 2 2 2 11 8 3" xfId="18939"/>
    <cellStyle name="Note 2 2 2 11 8 3 2" xfId="18940"/>
    <cellStyle name="Note 2 2 2 11 8 4" xfId="18941"/>
    <cellStyle name="Note 2 2 2 11 8 4 2" xfId="18942"/>
    <cellStyle name="Note 2 2 2 11 8 5" xfId="18943"/>
    <cellStyle name="Note 2 2 2 11 9" xfId="18944"/>
    <cellStyle name="Note 2 2 2 11 9 2" xfId="18945"/>
    <cellStyle name="Note 2 2 2 11 9 2 2" xfId="18946"/>
    <cellStyle name="Note 2 2 2 11 9 3" xfId="18947"/>
    <cellStyle name="Note 2 2 2 11 9 3 2" xfId="18948"/>
    <cellStyle name="Note 2 2 2 11 9 4" xfId="18949"/>
    <cellStyle name="Note 2 2 2 11 9 4 2" xfId="18950"/>
    <cellStyle name="Note 2 2 2 11 9 5" xfId="18951"/>
    <cellStyle name="Note 2 2 2 12" xfId="18952"/>
    <cellStyle name="Note 2 2 2 12 10" xfId="18953"/>
    <cellStyle name="Note 2 2 2 12 10 2" xfId="18954"/>
    <cellStyle name="Note 2 2 2 12 10 2 2" xfId="18955"/>
    <cellStyle name="Note 2 2 2 12 10 3" xfId="18956"/>
    <cellStyle name="Note 2 2 2 12 10 3 2" xfId="18957"/>
    <cellStyle name="Note 2 2 2 12 10 4" xfId="18958"/>
    <cellStyle name="Note 2 2 2 12 10 4 2" xfId="18959"/>
    <cellStyle name="Note 2 2 2 12 10 5" xfId="18960"/>
    <cellStyle name="Note 2 2 2 12 11" xfId="18961"/>
    <cellStyle name="Note 2 2 2 12 11 2" xfId="18962"/>
    <cellStyle name="Note 2 2 2 12 11 2 2" xfId="18963"/>
    <cellStyle name="Note 2 2 2 12 11 3" xfId="18964"/>
    <cellStyle name="Note 2 2 2 12 11 3 2" xfId="18965"/>
    <cellStyle name="Note 2 2 2 12 11 4" xfId="18966"/>
    <cellStyle name="Note 2 2 2 12 11 4 2" xfId="18967"/>
    <cellStyle name="Note 2 2 2 12 11 5" xfId="18968"/>
    <cellStyle name="Note 2 2 2 12 12" xfId="18969"/>
    <cellStyle name="Note 2 2 2 12 12 2" xfId="18970"/>
    <cellStyle name="Note 2 2 2 12 12 2 2" xfId="18971"/>
    <cellStyle name="Note 2 2 2 12 12 3" xfId="18972"/>
    <cellStyle name="Note 2 2 2 12 12 3 2" xfId="18973"/>
    <cellStyle name="Note 2 2 2 12 12 4" xfId="18974"/>
    <cellStyle name="Note 2 2 2 12 12 4 2" xfId="18975"/>
    <cellStyle name="Note 2 2 2 12 12 5" xfId="18976"/>
    <cellStyle name="Note 2 2 2 12 13" xfId="18977"/>
    <cellStyle name="Note 2 2 2 12 13 2" xfId="18978"/>
    <cellStyle name="Note 2 2 2 12 13 2 2" xfId="18979"/>
    <cellStyle name="Note 2 2 2 12 13 3" xfId="18980"/>
    <cellStyle name="Note 2 2 2 12 13 3 2" xfId="18981"/>
    <cellStyle name="Note 2 2 2 12 13 4" xfId="18982"/>
    <cellStyle name="Note 2 2 2 12 13 4 2" xfId="18983"/>
    <cellStyle name="Note 2 2 2 12 13 5" xfId="18984"/>
    <cellStyle name="Note 2 2 2 12 14" xfId="18985"/>
    <cellStyle name="Note 2 2 2 12 14 2" xfId="18986"/>
    <cellStyle name="Note 2 2 2 12 14 2 2" xfId="18987"/>
    <cellStyle name="Note 2 2 2 12 14 3" xfId="18988"/>
    <cellStyle name="Note 2 2 2 12 14 3 2" xfId="18989"/>
    <cellStyle name="Note 2 2 2 12 14 4" xfId="18990"/>
    <cellStyle name="Note 2 2 2 12 14 4 2" xfId="18991"/>
    <cellStyle name="Note 2 2 2 12 14 5" xfId="18992"/>
    <cellStyle name="Note 2 2 2 12 15" xfId="18993"/>
    <cellStyle name="Note 2 2 2 12 15 2" xfId="18994"/>
    <cellStyle name="Note 2 2 2 12 16" xfId="18995"/>
    <cellStyle name="Note 2 2 2 12 16 2" xfId="18996"/>
    <cellStyle name="Note 2 2 2 12 17" xfId="18997"/>
    <cellStyle name="Note 2 2 2 12 17 2" xfId="18998"/>
    <cellStyle name="Note 2 2 2 12 18" xfId="18999"/>
    <cellStyle name="Note 2 2 2 12 18 2" xfId="19000"/>
    <cellStyle name="Note 2 2 2 12 19" xfId="19001"/>
    <cellStyle name="Note 2 2 2 12 19 2" xfId="19002"/>
    <cellStyle name="Note 2 2 2 12 2" xfId="19003"/>
    <cellStyle name="Note 2 2 2 12 2 10" xfId="19004"/>
    <cellStyle name="Note 2 2 2 12 2 10 2" xfId="19005"/>
    <cellStyle name="Note 2 2 2 12 2 11" xfId="19006"/>
    <cellStyle name="Note 2 2 2 12 2 11 2" xfId="19007"/>
    <cellStyle name="Note 2 2 2 12 2 12" xfId="19008"/>
    <cellStyle name="Note 2 2 2 12 2 12 2" xfId="19009"/>
    <cellStyle name="Note 2 2 2 12 2 13" xfId="19010"/>
    <cellStyle name="Note 2 2 2 12 2 13 2" xfId="19011"/>
    <cellStyle name="Note 2 2 2 12 2 14" xfId="19012"/>
    <cellStyle name="Note 2 2 2 12 2 14 2" xfId="19013"/>
    <cellStyle name="Note 2 2 2 12 2 15" xfId="19014"/>
    <cellStyle name="Note 2 2 2 12 2 15 2" xfId="19015"/>
    <cellStyle name="Note 2 2 2 12 2 16" xfId="19016"/>
    <cellStyle name="Note 2 2 2 12 2 16 2" xfId="19017"/>
    <cellStyle name="Note 2 2 2 12 2 17" xfId="19018"/>
    <cellStyle name="Note 2 2 2 12 2 17 2" xfId="19019"/>
    <cellStyle name="Note 2 2 2 12 2 18" xfId="19020"/>
    <cellStyle name="Note 2 2 2 12 2 18 2" xfId="19021"/>
    <cellStyle name="Note 2 2 2 12 2 19" xfId="19022"/>
    <cellStyle name="Note 2 2 2 12 2 19 2" xfId="19023"/>
    <cellStyle name="Note 2 2 2 12 2 2" xfId="19024"/>
    <cellStyle name="Note 2 2 2 12 2 2 2" xfId="19025"/>
    <cellStyle name="Note 2 2 2 12 2 2 3" xfId="19026"/>
    <cellStyle name="Note 2 2 2 12 2 20" xfId="19027"/>
    <cellStyle name="Note 2 2 2 12 2 20 2" xfId="19028"/>
    <cellStyle name="Note 2 2 2 12 2 21" xfId="19029"/>
    <cellStyle name="Note 2 2 2 12 2 21 2" xfId="19030"/>
    <cellStyle name="Note 2 2 2 12 2 22" xfId="19031"/>
    <cellStyle name="Note 2 2 2 12 2 22 2" xfId="19032"/>
    <cellStyle name="Note 2 2 2 12 2 23" xfId="19033"/>
    <cellStyle name="Note 2 2 2 12 2 23 2" xfId="19034"/>
    <cellStyle name="Note 2 2 2 12 2 24" xfId="19035"/>
    <cellStyle name="Note 2 2 2 12 2 24 2" xfId="19036"/>
    <cellStyle name="Note 2 2 2 12 2 25" xfId="19037"/>
    <cellStyle name="Note 2 2 2 12 2 25 2" xfId="19038"/>
    <cellStyle name="Note 2 2 2 12 2 26" xfId="19039"/>
    <cellStyle name="Note 2 2 2 12 2 26 2" xfId="19040"/>
    <cellStyle name="Note 2 2 2 12 2 27" xfId="19041"/>
    <cellStyle name="Note 2 2 2 12 2 27 2" xfId="19042"/>
    <cellStyle name="Note 2 2 2 12 2 28" xfId="19043"/>
    <cellStyle name="Note 2 2 2 12 2 28 2" xfId="19044"/>
    <cellStyle name="Note 2 2 2 12 2 29" xfId="19045"/>
    <cellStyle name="Note 2 2 2 12 2 29 2" xfId="19046"/>
    <cellStyle name="Note 2 2 2 12 2 3" xfId="19047"/>
    <cellStyle name="Note 2 2 2 12 2 3 2" xfId="19048"/>
    <cellStyle name="Note 2 2 2 12 2 3 3" xfId="19049"/>
    <cellStyle name="Note 2 2 2 12 2 30" xfId="19050"/>
    <cellStyle name="Note 2 2 2 12 2 30 2" xfId="19051"/>
    <cellStyle name="Note 2 2 2 12 2 31" xfId="19052"/>
    <cellStyle name="Note 2 2 2 12 2 4" xfId="19053"/>
    <cellStyle name="Note 2 2 2 12 2 4 2" xfId="19054"/>
    <cellStyle name="Note 2 2 2 12 2 5" xfId="19055"/>
    <cellStyle name="Note 2 2 2 12 2 5 2" xfId="19056"/>
    <cellStyle name="Note 2 2 2 12 2 6" xfId="19057"/>
    <cellStyle name="Note 2 2 2 12 2 6 2" xfId="19058"/>
    <cellStyle name="Note 2 2 2 12 2 7" xfId="19059"/>
    <cellStyle name="Note 2 2 2 12 2 7 2" xfId="19060"/>
    <cellStyle name="Note 2 2 2 12 2 8" xfId="19061"/>
    <cellStyle name="Note 2 2 2 12 2 8 2" xfId="19062"/>
    <cellStyle name="Note 2 2 2 12 2 9" xfId="19063"/>
    <cellStyle name="Note 2 2 2 12 2 9 2" xfId="19064"/>
    <cellStyle name="Note 2 2 2 12 20" xfId="19065"/>
    <cellStyle name="Note 2 2 2 12 20 2" xfId="19066"/>
    <cellStyle name="Note 2 2 2 12 21" xfId="19067"/>
    <cellStyle name="Note 2 2 2 12 21 2" xfId="19068"/>
    <cellStyle name="Note 2 2 2 12 22" xfId="19069"/>
    <cellStyle name="Note 2 2 2 12 22 2" xfId="19070"/>
    <cellStyle name="Note 2 2 2 12 23" xfId="19071"/>
    <cellStyle name="Note 2 2 2 12 23 2" xfId="19072"/>
    <cellStyle name="Note 2 2 2 12 24" xfId="19073"/>
    <cellStyle name="Note 2 2 2 12 24 2" xfId="19074"/>
    <cellStyle name="Note 2 2 2 12 25" xfId="19075"/>
    <cellStyle name="Note 2 2 2 12 25 2" xfId="19076"/>
    <cellStyle name="Note 2 2 2 12 26" xfId="19077"/>
    <cellStyle name="Note 2 2 2 12 26 2" xfId="19078"/>
    <cellStyle name="Note 2 2 2 12 27" xfId="19079"/>
    <cellStyle name="Note 2 2 2 12 27 2" xfId="19080"/>
    <cellStyle name="Note 2 2 2 12 28" xfId="19081"/>
    <cellStyle name="Note 2 2 2 12 28 2" xfId="19082"/>
    <cellStyle name="Note 2 2 2 12 29" xfId="19083"/>
    <cellStyle name="Note 2 2 2 12 29 2" xfId="19084"/>
    <cellStyle name="Note 2 2 2 12 3" xfId="19085"/>
    <cellStyle name="Note 2 2 2 12 3 2" xfId="19086"/>
    <cellStyle name="Note 2 2 2 12 3 2 2" xfId="19087"/>
    <cellStyle name="Note 2 2 2 12 3 3" xfId="19088"/>
    <cellStyle name="Note 2 2 2 12 3 3 2" xfId="19089"/>
    <cellStyle name="Note 2 2 2 12 3 4" xfId="19090"/>
    <cellStyle name="Note 2 2 2 12 3 4 2" xfId="19091"/>
    <cellStyle name="Note 2 2 2 12 3 5" xfId="19092"/>
    <cellStyle name="Note 2 2 2 12 30" xfId="19093"/>
    <cellStyle name="Note 2 2 2 12 30 2" xfId="19094"/>
    <cellStyle name="Note 2 2 2 12 31" xfId="19095"/>
    <cellStyle name="Note 2 2 2 12 31 2" xfId="19096"/>
    <cellStyle name="Note 2 2 2 12 32" xfId="19097"/>
    <cellStyle name="Note 2 2 2 12 32 2" xfId="19098"/>
    <cellStyle name="Note 2 2 2 12 33" xfId="19099"/>
    <cellStyle name="Note 2 2 2 12 33 2" xfId="19100"/>
    <cellStyle name="Note 2 2 2 12 34" xfId="19101"/>
    <cellStyle name="Note 2 2 2 12 34 2" xfId="19102"/>
    <cellStyle name="Note 2 2 2 12 35" xfId="19103"/>
    <cellStyle name="Note 2 2 2 12 35 2" xfId="19104"/>
    <cellStyle name="Note 2 2 2 12 36" xfId="19105"/>
    <cellStyle name="Note 2 2 2 12 36 2" xfId="19106"/>
    <cellStyle name="Note 2 2 2 12 37" xfId="19107"/>
    <cellStyle name="Note 2 2 2 12 37 2" xfId="19108"/>
    <cellStyle name="Note 2 2 2 12 38" xfId="19109"/>
    <cellStyle name="Note 2 2 2 12 38 2" xfId="19110"/>
    <cellStyle name="Note 2 2 2 12 39" xfId="19111"/>
    <cellStyle name="Note 2 2 2 12 39 2" xfId="19112"/>
    <cellStyle name="Note 2 2 2 12 4" xfId="19113"/>
    <cellStyle name="Note 2 2 2 12 4 2" xfId="19114"/>
    <cellStyle name="Note 2 2 2 12 4 2 2" xfId="19115"/>
    <cellStyle name="Note 2 2 2 12 4 3" xfId="19116"/>
    <cellStyle name="Note 2 2 2 12 4 3 2" xfId="19117"/>
    <cellStyle name="Note 2 2 2 12 4 4" xfId="19118"/>
    <cellStyle name="Note 2 2 2 12 4 4 2" xfId="19119"/>
    <cellStyle name="Note 2 2 2 12 4 5" xfId="19120"/>
    <cellStyle name="Note 2 2 2 12 40" xfId="19121"/>
    <cellStyle name="Note 2 2 2 12 40 2" xfId="19122"/>
    <cellStyle name="Note 2 2 2 12 41" xfId="19123"/>
    <cellStyle name="Note 2 2 2 12 41 2" xfId="19124"/>
    <cellStyle name="Note 2 2 2 12 42" xfId="19125"/>
    <cellStyle name="Note 2 2 2 12 42 2" xfId="19126"/>
    <cellStyle name="Note 2 2 2 12 43" xfId="19127"/>
    <cellStyle name="Note 2 2 2 12 43 2" xfId="19128"/>
    <cellStyle name="Note 2 2 2 12 44" xfId="19129"/>
    <cellStyle name="Note 2 2 2 12 44 2" xfId="19130"/>
    <cellStyle name="Note 2 2 2 12 45" xfId="19131"/>
    <cellStyle name="Note 2 2 2 12 45 2" xfId="19132"/>
    <cellStyle name="Note 2 2 2 12 46" xfId="19133"/>
    <cellStyle name="Note 2 2 2 12 46 2" xfId="19134"/>
    <cellStyle name="Note 2 2 2 12 47" xfId="19135"/>
    <cellStyle name="Note 2 2 2 12 47 2" xfId="19136"/>
    <cellStyle name="Note 2 2 2 12 48" xfId="19137"/>
    <cellStyle name="Note 2 2 2 12 48 2" xfId="19138"/>
    <cellStyle name="Note 2 2 2 12 49" xfId="19139"/>
    <cellStyle name="Note 2 2 2 12 49 2" xfId="19140"/>
    <cellStyle name="Note 2 2 2 12 5" xfId="19141"/>
    <cellStyle name="Note 2 2 2 12 5 2" xfId="19142"/>
    <cellStyle name="Note 2 2 2 12 5 2 2" xfId="19143"/>
    <cellStyle name="Note 2 2 2 12 5 3" xfId="19144"/>
    <cellStyle name="Note 2 2 2 12 5 3 2" xfId="19145"/>
    <cellStyle name="Note 2 2 2 12 5 4" xfId="19146"/>
    <cellStyle name="Note 2 2 2 12 5 4 2" xfId="19147"/>
    <cellStyle name="Note 2 2 2 12 5 5" xfId="19148"/>
    <cellStyle name="Note 2 2 2 12 50" xfId="19149"/>
    <cellStyle name="Note 2 2 2 12 50 2" xfId="19150"/>
    <cellStyle name="Note 2 2 2 12 51" xfId="19151"/>
    <cellStyle name="Note 2 2 2 12 51 2" xfId="19152"/>
    <cellStyle name="Note 2 2 2 12 52" xfId="19153"/>
    <cellStyle name="Note 2 2 2 12 52 2" xfId="19154"/>
    <cellStyle name="Note 2 2 2 12 53" xfId="19155"/>
    <cellStyle name="Note 2 2 2 12 53 2" xfId="19156"/>
    <cellStyle name="Note 2 2 2 12 54" xfId="19157"/>
    <cellStyle name="Note 2 2 2 12 54 2" xfId="19158"/>
    <cellStyle name="Note 2 2 2 12 55" xfId="19159"/>
    <cellStyle name="Note 2 2 2 12 55 2" xfId="19160"/>
    <cellStyle name="Note 2 2 2 12 56" xfId="19161"/>
    <cellStyle name="Note 2 2 2 12 56 2" xfId="19162"/>
    <cellStyle name="Note 2 2 2 12 57" xfId="19163"/>
    <cellStyle name="Note 2 2 2 12 57 2" xfId="19164"/>
    <cellStyle name="Note 2 2 2 12 58" xfId="19165"/>
    <cellStyle name="Note 2 2 2 12 58 2" xfId="19166"/>
    <cellStyle name="Note 2 2 2 12 59" xfId="19167"/>
    <cellStyle name="Note 2 2 2 12 59 2" xfId="19168"/>
    <cellStyle name="Note 2 2 2 12 6" xfId="19169"/>
    <cellStyle name="Note 2 2 2 12 6 2" xfId="19170"/>
    <cellStyle name="Note 2 2 2 12 6 2 2" xfId="19171"/>
    <cellStyle name="Note 2 2 2 12 6 3" xfId="19172"/>
    <cellStyle name="Note 2 2 2 12 6 3 2" xfId="19173"/>
    <cellStyle name="Note 2 2 2 12 6 4" xfId="19174"/>
    <cellStyle name="Note 2 2 2 12 6 4 2" xfId="19175"/>
    <cellStyle name="Note 2 2 2 12 6 5" xfId="19176"/>
    <cellStyle name="Note 2 2 2 12 60" xfId="19177"/>
    <cellStyle name="Note 2 2 2 12 60 2" xfId="19178"/>
    <cellStyle name="Note 2 2 2 12 61" xfId="19179"/>
    <cellStyle name="Note 2 2 2 12 61 2" xfId="19180"/>
    <cellStyle name="Note 2 2 2 12 62" xfId="19181"/>
    <cellStyle name="Note 2 2 2 12 7" xfId="19182"/>
    <cellStyle name="Note 2 2 2 12 7 2" xfId="19183"/>
    <cellStyle name="Note 2 2 2 12 7 2 2" xfId="19184"/>
    <cellStyle name="Note 2 2 2 12 7 3" xfId="19185"/>
    <cellStyle name="Note 2 2 2 12 7 3 2" xfId="19186"/>
    <cellStyle name="Note 2 2 2 12 7 4" xfId="19187"/>
    <cellStyle name="Note 2 2 2 12 7 4 2" xfId="19188"/>
    <cellStyle name="Note 2 2 2 12 7 5" xfId="19189"/>
    <cellStyle name="Note 2 2 2 12 8" xfId="19190"/>
    <cellStyle name="Note 2 2 2 12 8 2" xfId="19191"/>
    <cellStyle name="Note 2 2 2 12 8 2 2" xfId="19192"/>
    <cellStyle name="Note 2 2 2 12 8 3" xfId="19193"/>
    <cellStyle name="Note 2 2 2 12 8 3 2" xfId="19194"/>
    <cellStyle name="Note 2 2 2 12 8 4" xfId="19195"/>
    <cellStyle name="Note 2 2 2 12 8 4 2" xfId="19196"/>
    <cellStyle name="Note 2 2 2 12 8 5" xfId="19197"/>
    <cellStyle name="Note 2 2 2 12 9" xfId="19198"/>
    <cellStyle name="Note 2 2 2 12 9 2" xfId="19199"/>
    <cellStyle name="Note 2 2 2 12 9 2 2" xfId="19200"/>
    <cellStyle name="Note 2 2 2 12 9 3" xfId="19201"/>
    <cellStyle name="Note 2 2 2 12 9 3 2" xfId="19202"/>
    <cellStyle name="Note 2 2 2 12 9 4" xfId="19203"/>
    <cellStyle name="Note 2 2 2 12 9 4 2" xfId="19204"/>
    <cellStyle name="Note 2 2 2 12 9 5" xfId="19205"/>
    <cellStyle name="Note 2 2 2 13" xfId="19206"/>
    <cellStyle name="Note 2 2 2 13 10" xfId="19207"/>
    <cellStyle name="Note 2 2 2 13 10 2" xfId="19208"/>
    <cellStyle name="Note 2 2 2 13 10 2 2" xfId="19209"/>
    <cellStyle name="Note 2 2 2 13 10 3" xfId="19210"/>
    <cellStyle name="Note 2 2 2 13 10 3 2" xfId="19211"/>
    <cellStyle name="Note 2 2 2 13 10 4" xfId="19212"/>
    <cellStyle name="Note 2 2 2 13 10 4 2" xfId="19213"/>
    <cellStyle name="Note 2 2 2 13 10 5" xfId="19214"/>
    <cellStyle name="Note 2 2 2 13 11" xfId="19215"/>
    <cellStyle name="Note 2 2 2 13 11 2" xfId="19216"/>
    <cellStyle name="Note 2 2 2 13 11 2 2" xfId="19217"/>
    <cellStyle name="Note 2 2 2 13 11 3" xfId="19218"/>
    <cellStyle name="Note 2 2 2 13 11 3 2" xfId="19219"/>
    <cellStyle name="Note 2 2 2 13 11 4" xfId="19220"/>
    <cellStyle name="Note 2 2 2 13 11 4 2" xfId="19221"/>
    <cellStyle name="Note 2 2 2 13 11 5" xfId="19222"/>
    <cellStyle name="Note 2 2 2 13 12" xfId="19223"/>
    <cellStyle name="Note 2 2 2 13 12 2" xfId="19224"/>
    <cellStyle name="Note 2 2 2 13 12 2 2" xfId="19225"/>
    <cellStyle name="Note 2 2 2 13 12 3" xfId="19226"/>
    <cellStyle name="Note 2 2 2 13 12 3 2" xfId="19227"/>
    <cellStyle name="Note 2 2 2 13 12 4" xfId="19228"/>
    <cellStyle name="Note 2 2 2 13 12 4 2" xfId="19229"/>
    <cellStyle name="Note 2 2 2 13 12 5" xfId="19230"/>
    <cellStyle name="Note 2 2 2 13 13" xfId="19231"/>
    <cellStyle name="Note 2 2 2 13 13 2" xfId="19232"/>
    <cellStyle name="Note 2 2 2 13 13 2 2" xfId="19233"/>
    <cellStyle name="Note 2 2 2 13 13 3" xfId="19234"/>
    <cellStyle name="Note 2 2 2 13 13 3 2" xfId="19235"/>
    <cellStyle name="Note 2 2 2 13 13 4" xfId="19236"/>
    <cellStyle name="Note 2 2 2 13 13 4 2" xfId="19237"/>
    <cellStyle name="Note 2 2 2 13 13 5" xfId="19238"/>
    <cellStyle name="Note 2 2 2 13 14" xfId="19239"/>
    <cellStyle name="Note 2 2 2 13 14 2" xfId="19240"/>
    <cellStyle name="Note 2 2 2 13 14 2 2" xfId="19241"/>
    <cellStyle name="Note 2 2 2 13 14 3" xfId="19242"/>
    <cellStyle name="Note 2 2 2 13 14 3 2" xfId="19243"/>
    <cellStyle name="Note 2 2 2 13 14 4" xfId="19244"/>
    <cellStyle name="Note 2 2 2 13 14 4 2" xfId="19245"/>
    <cellStyle name="Note 2 2 2 13 14 5" xfId="19246"/>
    <cellStyle name="Note 2 2 2 13 15" xfId="19247"/>
    <cellStyle name="Note 2 2 2 13 15 2" xfId="19248"/>
    <cellStyle name="Note 2 2 2 13 16" xfId="19249"/>
    <cellStyle name="Note 2 2 2 13 16 2" xfId="19250"/>
    <cellStyle name="Note 2 2 2 13 17" xfId="19251"/>
    <cellStyle name="Note 2 2 2 13 17 2" xfId="19252"/>
    <cellStyle name="Note 2 2 2 13 18" xfId="19253"/>
    <cellStyle name="Note 2 2 2 13 18 2" xfId="19254"/>
    <cellStyle name="Note 2 2 2 13 19" xfId="19255"/>
    <cellStyle name="Note 2 2 2 13 19 2" xfId="19256"/>
    <cellStyle name="Note 2 2 2 13 2" xfId="19257"/>
    <cellStyle name="Note 2 2 2 13 2 10" xfId="19258"/>
    <cellStyle name="Note 2 2 2 13 2 10 2" xfId="19259"/>
    <cellStyle name="Note 2 2 2 13 2 11" xfId="19260"/>
    <cellStyle name="Note 2 2 2 13 2 11 2" xfId="19261"/>
    <cellStyle name="Note 2 2 2 13 2 12" xfId="19262"/>
    <cellStyle name="Note 2 2 2 13 2 12 2" xfId="19263"/>
    <cellStyle name="Note 2 2 2 13 2 13" xfId="19264"/>
    <cellStyle name="Note 2 2 2 13 2 13 2" xfId="19265"/>
    <cellStyle name="Note 2 2 2 13 2 14" xfId="19266"/>
    <cellStyle name="Note 2 2 2 13 2 14 2" xfId="19267"/>
    <cellStyle name="Note 2 2 2 13 2 15" xfId="19268"/>
    <cellStyle name="Note 2 2 2 13 2 15 2" xfId="19269"/>
    <cellStyle name="Note 2 2 2 13 2 16" xfId="19270"/>
    <cellStyle name="Note 2 2 2 13 2 16 2" xfId="19271"/>
    <cellStyle name="Note 2 2 2 13 2 17" xfId="19272"/>
    <cellStyle name="Note 2 2 2 13 2 17 2" xfId="19273"/>
    <cellStyle name="Note 2 2 2 13 2 18" xfId="19274"/>
    <cellStyle name="Note 2 2 2 13 2 18 2" xfId="19275"/>
    <cellStyle name="Note 2 2 2 13 2 19" xfId="19276"/>
    <cellStyle name="Note 2 2 2 13 2 19 2" xfId="19277"/>
    <cellStyle name="Note 2 2 2 13 2 2" xfId="19278"/>
    <cellStyle name="Note 2 2 2 13 2 2 2" xfId="19279"/>
    <cellStyle name="Note 2 2 2 13 2 2 3" xfId="19280"/>
    <cellStyle name="Note 2 2 2 13 2 20" xfId="19281"/>
    <cellStyle name="Note 2 2 2 13 2 20 2" xfId="19282"/>
    <cellStyle name="Note 2 2 2 13 2 21" xfId="19283"/>
    <cellStyle name="Note 2 2 2 13 2 21 2" xfId="19284"/>
    <cellStyle name="Note 2 2 2 13 2 22" xfId="19285"/>
    <cellStyle name="Note 2 2 2 13 2 22 2" xfId="19286"/>
    <cellStyle name="Note 2 2 2 13 2 23" xfId="19287"/>
    <cellStyle name="Note 2 2 2 13 2 23 2" xfId="19288"/>
    <cellStyle name="Note 2 2 2 13 2 24" xfId="19289"/>
    <cellStyle name="Note 2 2 2 13 2 24 2" xfId="19290"/>
    <cellStyle name="Note 2 2 2 13 2 25" xfId="19291"/>
    <cellStyle name="Note 2 2 2 13 2 25 2" xfId="19292"/>
    <cellStyle name="Note 2 2 2 13 2 26" xfId="19293"/>
    <cellStyle name="Note 2 2 2 13 2 26 2" xfId="19294"/>
    <cellStyle name="Note 2 2 2 13 2 27" xfId="19295"/>
    <cellStyle name="Note 2 2 2 13 2 27 2" xfId="19296"/>
    <cellStyle name="Note 2 2 2 13 2 28" xfId="19297"/>
    <cellStyle name="Note 2 2 2 13 2 28 2" xfId="19298"/>
    <cellStyle name="Note 2 2 2 13 2 29" xfId="19299"/>
    <cellStyle name="Note 2 2 2 13 2 29 2" xfId="19300"/>
    <cellStyle name="Note 2 2 2 13 2 3" xfId="19301"/>
    <cellStyle name="Note 2 2 2 13 2 3 2" xfId="19302"/>
    <cellStyle name="Note 2 2 2 13 2 3 3" xfId="19303"/>
    <cellStyle name="Note 2 2 2 13 2 30" xfId="19304"/>
    <cellStyle name="Note 2 2 2 13 2 30 2" xfId="19305"/>
    <cellStyle name="Note 2 2 2 13 2 31" xfId="19306"/>
    <cellStyle name="Note 2 2 2 13 2 4" xfId="19307"/>
    <cellStyle name="Note 2 2 2 13 2 4 2" xfId="19308"/>
    <cellStyle name="Note 2 2 2 13 2 5" xfId="19309"/>
    <cellStyle name="Note 2 2 2 13 2 5 2" xfId="19310"/>
    <cellStyle name="Note 2 2 2 13 2 6" xfId="19311"/>
    <cellStyle name="Note 2 2 2 13 2 6 2" xfId="19312"/>
    <cellStyle name="Note 2 2 2 13 2 7" xfId="19313"/>
    <cellStyle name="Note 2 2 2 13 2 7 2" xfId="19314"/>
    <cellStyle name="Note 2 2 2 13 2 8" xfId="19315"/>
    <cellStyle name="Note 2 2 2 13 2 8 2" xfId="19316"/>
    <cellStyle name="Note 2 2 2 13 2 9" xfId="19317"/>
    <cellStyle name="Note 2 2 2 13 2 9 2" xfId="19318"/>
    <cellStyle name="Note 2 2 2 13 20" xfId="19319"/>
    <cellStyle name="Note 2 2 2 13 20 2" xfId="19320"/>
    <cellStyle name="Note 2 2 2 13 21" xfId="19321"/>
    <cellStyle name="Note 2 2 2 13 21 2" xfId="19322"/>
    <cellStyle name="Note 2 2 2 13 22" xfId="19323"/>
    <cellStyle name="Note 2 2 2 13 22 2" xfId="19324"/>
    <cellStyle name="Note 2 2 2 13 23" xfId="19325"/>
    <cellStyle name="Note 2 2 2 13 23 2" xfId="19326"/>
    <cellStyle name="Note 2 2 2 13 24" xfId="19327"/>
    <cellStyle name="Note 2 2 2 13 24 2" xfId="19328"/>
    <cellStyle name="Note 2 2 2 13 25" xfId="19329"/>
    <cellStyle name="Note 2 2 2 13 25 2" xfId="19330"/>
    <cellStyle name="Note 2 2 2 13 26" xfId="19331"/>
    <cellStyle name="Note 2 2 2 13 26 2" xfId="19332"/>
    <cellStyle name="Note 2 2 2 13 27" xfId="19333"/>
    <cellStyle name="Note 2 2 2 13 27 2" xfId="19334"/>
    <cellStyle name="Note 2 2 2 13 28" xfId="19335"/>
    <cellStyle name="Note 2 2 2 13 28 2" xfId="19336"/>
    <cellStyle name="Note 2 2 2 13 29" xfId="19337"/>
    <cellStyle name="Note 2 2 2 13 29 2" xfId="19338"/>
    <cellStyle name="Note 2 2 2 13 3" xfId="19339"/>
    <cellStyle name="Note 2 2 2 13 3 2" xfId="19340"/>
    <cellStyle name="Note 2 2 2 13 3 2 2" xfId="19341"/>
    <cellStyle name="Note 2 2 2 13 3 3" xfId="19342"/>
    <cellStyle name="Note 2 2 2 13 3 3 2" xfId="19343"/>
    <cellStyle name="Note 2 2 2 13 3 4" xfId="19344"/>
    <cellStyle name="Note 2 2 2 13 3 4 2" xfId="19345"/>
    <cellStyle name="Note 2 2 2 13 3 5" xfId="19346"/>
    <cellStyle name="Note 2 2 2 13 30" xfId="19347"/>
    <cellStyle name="Note 2 2 2 13 30 2" xfId="19348"/>
    <cellStyle name="Note 2 2 2 13 31" xfId="19349"/>
    <cellStyle name="Note 2 2 2 13 31 2" xfId="19350"/>
    <cellStyle name="Note 2 2 2 13 32" xfId="19351"/>
    <cellStyle name="Note 2 2 2 13 32 2" xfId="19352"/>
    <cellStyle name="Note 2 2 2 13 33" xfId="19353"/>
    <cellStyle name="Note 2 2 2 13 33 2" xfId="19354"/>
    <cellStyle name="Note 2 2 2 13 34" xfId="19355"/>
    <cellStyle name="Note 2 2 2 13 34 2" xfId="19356"/>
    <cellStyle name="Note 2 2 2 13 35" xfId="19357"/>
    <cellStyle name="Note 2 2 2 13 35 2" xfId="19358"/>
    <cellStyle name="Note 2 2 2 13 36" xfId="19359"/>
    <cellStyle name="Note 2 2 2 13 36 2" xfId="19360"/>
    <cellStyle name="Note 2 2 2 13 37" xfId="19361"/>
    <cellStyle name="Note 2 2 2 13 37 2" xfId="19362"/>
    <cellStyle name="Note 2 2 2 13 38" xfId="19363"/>
    <cellStyle name="Note 2 2 2 13 38 2" xfId="19364"/>
    <cellStyle name="Note 2 2 2 13 39" xfId="19365"/>
    <cellStyle name="Note 2 2 2 13 39 2" xfId="19366"/>
    <cellStyle name="Note 2 2 2 13 4" xfId="19367"/>
    <cellStyle name="Note 2 2 2 13 4 2" xfId="19368"/>
    <cellStyle name="Note 2 2 2 13 4 2 2" xfId="19369"/>
    <cellStyle name="Note 2 2 2 13 4 3" xfId="19370"/>
    <cellStyle name="Note 2 2 2 13 4 3 2" xfId="19371"/>
    <cellStyle name="Note 2 2 2 13 4 4" xfId="19372"/>
    <cellStyle name="Note 2 2 2 13 4 4 2" xfId="19373"/>
    <cellStyle name="Note 2 2 2 13 4 5" xfId="19374"/>
    <cellStyle name="Note 2 2 2 13 40" xfId="19375"/>
    <cellStyle name="Note 2 2 2 13 40 2" xfId="19376"/>
    <cellStyle name="Note 2 2 2 13 41" xfId="19377"/>
    <cellStyle name="Note 2 2 2 13 41 2" xfId="19378"/>
    <cellStyle name="Note 2 2 2 13 42" xfId="19379"/>
    <cellStyle name="Note 2 2 2 13 42 2" xfId="19380"/>
    <cellStyle name="Note 2 2 2 13 43" xfId="19381"/>
    <cellStyle name="Note 2 2 2 13 43 2" xfId="19382"/>
    <cellStyle name="Note 2 2 2 13 44" xfId="19383"/>
    <cellStyle name="Note 2 2 2 13 44 2" xfId="19384"/>
    <cellStyle name="Note 2 2 2 13 45" xfId="19385"/>
    <cellStyle name="Note 2 2 2 13 45 2" xfId="19386"/>
    <cellStyle name="Note 2 2 2 13 46" xfId="19387"/>
    <cellStyle name="Note 2 2 2 13 46 2" xfId="19388"/>
    <cellStyle name="Note 2 2 2 13 47" xfId="19389"/>
    <cellStyle name="Note 2 2 2 13 47 2" xfId="19390"/>
    <cellStyle name="Note 2 2 2 13 48" xfId="19391"/>
    <cellStyle name="Note 2 2 2 13 48 2" xfId="19392"/>
    <cellStyle name="Note 2 2 2 13 49" xfId="19393"/>
    <cellStyle name="Note 2 2 2 13 49 2" xfId="19394"/>
    <cellStyle name="Note 2 2 2 13 5" xfId="19395"/>
    <cellStyle name="Note 2 2 2 13 5 2" xfId="19396"/>
    <cellStyle name="Note 2 2 2 13 5 2 2" xfId="19397"/>
    <cellStyle name="Note 2 2 2 13 5 3" xfId="19398"/>
    <cellStyle name="Note 2 2 2 13 5 3 2" xfId="19399"/>
    <cellStyle name="Note 2 2 2 13 5 4" xfId="19400"/>
    <cellStyle name="Note 2 2 2 13 5 4 2" xfId="19401"/>
    <cellStyle name="Note 2 2 2 13 5 5" xfId="19402"/>
    <cellStyle name="Note 2 2 2 13 50" xfId="19403"/>
    <cellStyle name="Note 2 2 2 13 50 2" xfId="19404"/>
    <cellStyle name="Note 2 2 2 13 51" xfId="19405"/>
    <cellStyle name="Note 2 2 2 13 51 2" xfId="19406"/>
    <cellStyle name="Note 2 2 2 13 52" xfId="19407"/>
    <cellStyle name="Note 2 2 2 13 52 2" xfId="19408"/>
    <cellStyle name="Note 2 2 2 13 53" xfId="19409"/>
    <cellStyle name="Note 2 2 2 13 53 2" xfId="19410"/>
    <cellStyle name="Note 2 2 2 13 54" xfId="19411"/>
    <cellStyle name="Note 2 2 2 13 54 2" xfId="19412"/>
    <cellStyle name="Note 2 2 2 13 55" xfId="19413"/>
    <cellStyle name="Note 2 2 2 13 55 2" xfId="19414"/>
    <cellStyle name="Note 2 2 2 13 56" xfId="19415"/>
    <cellStyle name="Note 2 2 2 13 56 2" xfId="19416"/>
    <cellStyle name="Note 2 2 2 13 57" xfId="19417"/>
    <cellStyle name="Note 2 2 2 13 57 2" xfId="19418"/>
    <cellStyle name="Note 2 2 2 13 58" xfId="19419"/>
    <cellStyle name="Note 2 2 2 13 58 2" xfId="19420"/>
    <cellStyle name="Note 2 2 2 13 59" xfId="19421"/>
    <cellStyle name="Note 2 2 2 13 59 2" xfId="19422"/>
    <cellStyle name="Note 2 2 2 13 6" xfId="19423"/>
    <cellStyle name="Note 2 2 2 13 6 2" xfId="19424"/>
    <cellStyle name="Note 2 2 2 13 6 2 2" xfId="19425"/>
    <cellStyle name="Note 2 2 2 13 6 3" xfId="19426"/>
    <cellStyle name="Note 2 2 2 13 6 3 2" xfId="19427"/>
    <cellStyle name="Note 2 2 2 13 6 4" xfId="19428"/>
    <cellStyle name="Note 2 2 2 13 6 4 2" xfId="19429"/>
    <cellStyle name="Note 2 2 2 13 6 5" xfId="19430"/>
    <cellStyle name="Note 2 2 2 13 60" xfId="19431"/>
    <cellStyle name="Note 2 2 2 13 60 2" xfId="19432"/>
    <cellStyle name="Note 2 2 2 13 61" xfId="19433"/>
    <cellStyle name="Note 2 2 2 13 61 2" xfId="19434"/>
    <cellStyle name="Note 2 2 2 13 62" xfId="19435"/>
    <cellStyle name="Note 2 2 2 13 7" xfId="19436"/>
    <cellStyle name="Note 2 2 2 13 7 2" xfId="19437"/>
    <cellStyle name="Note 2 2 2 13 7 2 2" xfId="19438"/>
    <cellStyle name="Note 2 2 2 13 7 3" xfId="19439"/>
    <cellStyle name="Note 2 2 2 13 7 3 2" xfId="19440"/>
    <cellStyle name="Note 2 2 2 13 7 4" xfId="19441"/>
    <cellStyle name="Note 2 2 2 13 7 4 2" xfId="19442"/>
    <cellStyle name="Note 2 2 2 13 7 5" xfId="19443"/>
    <cellStyle name="Note 2 2 2 13 8" xfId="19444"/>
    <cellStyle name="Note 2 2 2 13 8 2" xfId="19445"/>
    <cellStyle name="Note 2 2 2 13 8 2 2" xfId="19446"/>
    <cellStyle name="Note 2 2 2 13 8 3" xfId="19447"/>
    <cellStyle name="Note 2 2 2 13 8 3 2" xfId="19448"/>
    <cellStyle name="Note 2 2 2 13 8 4" xfId="19449"/>
    <cellStyle name="Note 2 2 2 13 8 4 2" xfId="19450"/>
    <cellStyle name="Note 2 2 2 13 8 5" xfId="19451"/>
    <cellStyle name="Note 2 2 2 13 9" xfId="19452"/>
    <cellStyle name="Note 2 2 2 13 9 2" xfId="19453"/>
    <cellStyle name="Note 2 2 2 13 9 2 2" xfId="19454"/>
    <cellStyle name="Note 2 2 2 13 9 3" xfId="19455"/>
    <cellStyle name="Note 2 2 2 13 9 3 2" xfId="19456"/>
    <cellStyle name="Note 2 2 2 13 9 4" xfId="19457"/>
    <cellStyle name="Note 2 2 2 13 9 4 2" xfId="19458"/>
    <cellStyle name="Note 2 2 2 13 9 5" xfId="19459"/>
    <cellStyle name="Note 2 2 2 14" xfId="19460"/>
    <cellStyle name="Note 2 2 2 14 10" xfId="19461"/>
    <cellStyle name="Note 2 2 2 14 10 2" xfId="19462"/>
    <cellStyle name="Note 2 2 2 14 10 2 2" xfId="19463"/>
    <cellStyle name="Note 2 2 2 14 10 3" xfId="19464"/>
    <cellStyle name="Note 2 2 2 14 10 3 2" xfId="19465"/>
    <cellStyle name="Note 2 2 2 14 10 4" xfId="19466"/>
    <cellStyle name="Note 2 2 2 14 10 4 2" xfId="19467"/>
    <cellStyle name="Note 2 2 2 14 10 5" xfId="19468"/>
    <cellStyle name="Note 2 2 2 14 11" xfId="19469"/>
    <cellStyle name="Note 2 2 2 14 11 2" xfId="19470"/>
    <cellStyle name="Note 2 2 2 14 11 2 2" xfId="19471"/>
    <cellStyle name="Note 2 2 2 14 11 3" xfId="19472"/>
    <cellStyle name="Note 2 2 2 14 11 3 2" xfId="19473"/>
    <cellStyle name="Note 2 2 2 14 11 4" xfId="19474"/>
    <cellStyle name="Note 2 2 2 14 11 4 2" xfId="19475"/>
    <cellStyle name="Note 2 2 2 14 11 5" xfId="19476"/>
    <cellStyle name="Note 2 2 2 14 12" xfId="19477"/>
    <cellStyle name="Note 2 2 2 14 12 2" xfId="19478"/>
    <cellStyle name="Note 2 2 2 14 12 2 2" xfId="19479"/>
    <cellStyle name="Note 2 2 2 14 12 3" xfId="19480"/>
    <cellStyle name="Note 2 2 2 14 12 3 2" xfId="19481"/>
    <cellStyle name="Note 2 2 2 14 12 4" xfId="19482"/>
    <cellStyle name="Note 2 2 2 14 12 4 2" xfId="19483"/>
    <cellStyle name="Note 2 2 2 14 12 5" xfId="19484"/>
    <cellStyle name="Note 2 2 2 14 13" xfId="19485"/>
    <cellStyle name="Note 2 2 2 14 13 2" xfId="19486"/>
    <cellStyle name="Note 2 2 2 14 13 2 2" xfId="19487"/>
    <cellStyle name="Note 2 2 2 14 13 3" xfId="19488"/>
    <cellStyle name="Note 2 2 2 14 13 3 2" xfId="19489"/>
    <cellStyle name="Note 2 2 2 14 13 4" xfId="19490"/>
    <cellStyle name="Note 2 2 2 14 13 4 2" xfId="19491"/>
    <cellStyle name="Note 2 2 2 14 13 5" xfId="19492"/>
    <cellStyle name="Note 2 2 2 14 14" xfId="19493"/>
    <cellStyle name="Note 2 2 2 14 14 2" xfId="19494"/>
    <cellStyle name="Note 2 2 2 14 14 2 2" xfId="19495"/>
    <cellStyle name="Note 2 2 2 14 14 3" xfId="19496"/>
    <cellStyle name="Note 2 2 2 14 14 3 2" xfId="19497"/>
    <cellStyle name="Note 2 2 2 14 14 4" xfId="19498"/>
    <cellStyle name="Note 2 2 2 14 14 4 2" xfId="19499"/>
    <cellStyle name="Note 2 2 2 14 14 5" xfId="19500"/>
    <cellStyle name="Note 2 2 2 14 15" xfId="19501"/>
    <cellStyle name="Note 2 2 2 14 15 2" xfId="19502"/>
    <cellStyle name="Note 2 2 2 14 16" xfId="19503"/>
    <cellStyle name="Note 2 2 2 14 16 2" xfId="19504"/>
    <cellStyle name="Note 2 2 2 14 17" xfId="19505"/>
    <cellStyle name="Note 2 2 2 14 17 2" xfId="19506"/>
    <cellStyle name="Note 2 2 2 14 18" xfId="19507"/>
    <cellStyle name="Note 2 2 2 14 18 2" xfId="19508"/>
    <cellStyle name="Note 2 2 2 14 19" xfId="19509"/>
    <cellStyle name="Note 2 2 2 14 19 2" xfId="19510"/>
    <cellStyle name="Note 2 2 2 14 2" xfId="19511"/>
    <cellStyle name="Note 2 2 2 14 2 10" xfId="19512"/>
    <cellStyle name="Note 2 2 2 14 2 10 2" xfId="19513"/>
    <cellStyle name="Note 2 2 2 14 2 11" xfId="19514"/>
    <cellStyle name="Note 2 2 2 14 2 11 2" xfId="19515"/>
    <cellStyle name="Note 2 2 2 14 2 12" xfId="19516"/>
    <cellStyle name="Note 2 2 2 14 2 12 2" xfId="19517"/>
    <cellStyle name="Note 2 2 2 14 2 13" xfId="19518"/>
    <cellStyle name="Note 2 2 2 14 2 13 2" xfId="19519"/>
    <cellStyle name="Note 2 2 2 14 2 14" xfId="19520"/>
    <cellStyle name="Note 2 2 2 14 2 14 2" xfId="19521"/>
    <cellStyle name="Note 2 2 2 14 2 15" xfId="19522"/>
    <cellStyle name="Note 2 2 2 14 2 15 2" xfId="19523"/>
    <cellStyle name="Note 2 2 2 14 2 16" xfId="19524"/>
    <cellStyle name="Note 2 2 2 14 2 16 2" xfId="19525"/>
    <cellStyle name="Note 2 2 2 14 2 17" xfId="19526"/>
    <cellStyle name="Note 2 2 2 14 2 17 2" xfId="19527"/>
    <cellStyle name="Note 2 2 2 14 2 18" xfId="19528"/>
    <cellStyle name="Note 2 2 2 14 2 18 2" xfId="19529"/>
    <cellStyle name="Note 2 2 2 14 2 19" xfId="19530"/>
    <cellStyle name="Note 2 2 2 14 2 19 2" xfId="19531"/>
    <cellStyle name="Note 2 2 2 14 2 2" xfId="19532"/>
    <cellStyle name="Note 2 2 2 14 2 2 2" xfId="19533"/>
    <cellStyle name="Note 2 2 2 14 2 2 3" xfId="19534"/>
    <cellStyle name="Note 2 2 2 14 2 20" xfId="19535"/>
    <cellStyle name="Note 2 2 2 14 2 20 2" xfId="19536"/>
    <cellStyle name="Note 2 2 2 14 2 21" xfId="19537"/>
    <cellStyle name="Note 2 2 2 14 2 21 2" xfId="19538"/>
    <cellStyle name="Note 2 2 2 14 2 22" xfId="19539"/>
    <cellStyle name="Note 2 2 2 14 2 22 2" xfId="19540"/>
    <cellStyle name="Note 2 2 2 14 2 23" xfId="19541"/>
    <cellStyle name="Note 2 2 2 14 2 23 2" xfId="19542"/>
    <cellStyle name="Note 2 2 2 14 2 24" xfId="19543"/>
    <cellStyle name="Note 2 2 2 14 2 24 2" xfId="19544"/>
    <cellStyle name="Note 2 2 2 14 2 25" xfId="19545"/>
    <cellStyle name="Note 2 2 2 14 2 25 2" xfId="19546"/>
    <cellStyle name="Note 2 2 2 14 2 26" xfId="19547"/>
    <cellStyle name="Note 2 2 2 14 2 26 2" xfId="19548"/>
    <cellStyle name="Note 2 2 2 14 2 27" xfId="19549"/>
    <cellStyle name="Note 2 2 2 14 2 27 2" xfId="19550"/>
    <cellStyle name="Note 2 2 2 14 2 28" xfId="19551"/>
    <cellStyle name="Note 2 2 2 14 2 28 2" xfId="19552"/>
    <cellStyle name="Note 2 2 2 14 2 29" xfId="19553"/>
    <cellStyle name="Note 2 2 2 14 2 29 2" xfId="19554"/>
    <cellStyle name="Note 2 2 2 14 2 3" xfId="19555"/>
    <cellStyle name="Note 2 2 2 14 2 3 2" xfId="19556"/>
    <cellStyle name="Note 2 2 2 14 2 3 3" xfId="19557"/>
    <cellStyle name="Note 2 2 2 14 2 30" xfId="19558"/>
    <cellStyle name="Note 2 2 2 14 2 30 2" xfId="19559"/>
    <cellStyle name="Note 2 2 2 14 2 31" xfId="19560"/>
    <cellStyle name="Note 2 2 2 14 2 4" xfId="19561"/>
    <cellStyle name="Note 2 2 2 14 2 4 2" xfId="19562"/>
    <cellStyle name="Note 2 2 2 14 2 5" xfId="19563"/>
    <cellStyle name="Note 2 2 2 14 2 5 2" xfId="19564"/>
    <cellStyle name="Note 2 2 2 14 2 6" xfId="19565"/>
    <cellStyle name="Note 2 2 2 14 2 6 2" xfId="19566"/>
    <cellStyle name="Note 2 2 2 14 2 7" xfId="19567"/>
    <cellStyle name="Note 2 2 2 14 2 7 2" xfId="19568"/>
    <cellStyle name="Note 2 2 2 14 2 8" xfId="19569"/>
    <cellStyle name="Note 2 2 2 14 2 8 2" xfId="19570"/>
    <cellStyle name="Note 2 2 2 14 2 9" xfId="19571"/>
    <cellStyle name="Note 2 2 2 14 2 9 2" xfId="19572"/>
    <cellStyle name="Note 2 2 2 14 20" xfId="19573"/>
    <cellStyle name="Note 2 2 2 14 20 2" xfId="19574"/>
    <cellStyle name="Note 2 2 2 14 21" xfId="19575"/>
    <cellStyle name="Note 2 2 2 14 21 2" xfId="19576"/>
    <cellStyle name="Note 2 2 2 14 22" xfId="19577"/>
    <cellStyle name="Note 2 2 2 14 22 2" xfId="19578"/>
    <cellStyle name="Note 2 2 2 14 23" xfId="19579"/>
    <cellStyle name="Note 2 2 2 14 23 2" xfId="19580"/>
    <cellStyle name="Note 2 2 2 14 24" xfId="19581"/>
    <cellStyle name="Note 2 2 2 14 24 2" xfId="19582"/>
    <cellStyle name="Note 2 2 2 14 25" xfId="19583"/>
    <cellStyle name="Note 2 2 2 14 25 2" xfId="19584"/>
    <cellStyle name="Note 2 2 2 14 26" xfId="19585"/>
    <cellStyle name="Note 2 2 2 14 26 2" xfId="19586"/>
    <cellStyle name="Note 2 2 2 14 27" xfId="19587"/>
    <cellStyle name="Note 2 2 2 14 27 2" xfId="19588"/>
    <cellStyle name="Note 2 2 2 14 28" xfId="19589"/>
    <cellStyle name="Note 2 2 2 14 28 2" xfId="19590"/>
    <cellStyle name="Note 2 2 2 14 29" xfId="19591"/>
    <cellStyle name="Note 2 2 2 14 29 2" xfId="19592"/>
    <cellStyle name="Note 2 2 2 14 3" xfId="19593"/>
    <cellStyle name="Note 2 2 2 14 3 2" xfId="19594"/>
    <cellStyle name="Note 2 2 2 14 3 2 2" xfId="19595"/>
    <cellStyle name="Note 2 2 2 14 3 3" xfId="19596"/>
    <cellStyle name="Note 2 2 2 14 3 3 2" xfId="19597"/>
    <cellStyle name="Note 2 2 2 14 3 4" xfId="19598"/>
    <cellStyle name="Note 2 2 2 14 3 4 2" xfId="19599"/>
    <cellStyle name="Note 2 2 2 14 3 5" xfId="19600"/>
    <cellStyle name="Note 2 2 2 14 30" xfId="19601"/>
    <cellStyle name="Note 2 2 2 14 30 2" xfId="19602"/>
    <cellStyle name="Note 2 2 2 14 31" xfId="19603"/>
    <cellStyle name="Note 2 2 2 14 31 2" xfId="19604"/>
    <cellStyle name="Note 2 2 2 14 32" xfId="19605"/>
    <cellStyle name="Note 2 2 2 14 32 2" xfId="19606"/>
    <cellStyle name="Note 2 2 2 14 33" xfId="19607"/>
    <cellStyle name="Note 2 2 2 14 33 2" xfId="19608"/>
    <cellStyle name="Note 2 2 2 14 34" xfId="19609"/>
    <cellStyle name="Note 2 2 2 14 34 2" xfId="19610"/>
    <cellStyle name="Note 2 2 2 14 35" xfId="19611"/>
    <cellStyle name="Note 2 2 2 14 35 2" xfId="19612"/>
    <cellStyle name="Note 2 2 2 14 36" xfId="19613"/>
    <cellStyle name="Note 2 2 2 14 36 2" xfId="19614"/>
    <cellStyle name="Note 2 2 2 14 37" xfId="19615"/>
    <cellStyle name="Note 2 2 2 14 37 2" xfId="19616"/>
    <cellStyle name="Note 2 2 2 14 38" xfId="19617"/>
    <cellStyle name="Note 2 2 2 14 38 2" xfId="19618"/>
    <cellStyle name="Note 2 2 2 14 39" xfId="19619"/>
    <cellStyle name="Note 2 2 2 14 39 2" xfId="19620"/>
    <cellStyle name="Note 2 2 2 14 4" xfId="19621"/>
    <cellStyle name="Note 2 2 2 14 4 2" xfId="19622"/>
    <cellStyle name="Note 2 2 2 14 4 2 2" xfId="19623"/>
    <cellStyle name="Note 2 2 2 14 4 3" xfId="19624"/>
    <cellStyle name="Note 2 2 2 14 4 3 2" xfId="19625"/>
    <cellStyle name="Note 2 2 2 14 4 4" xfId="19626"/>
    <cellStyle name="Note 2 2 2 14 4 4 2" xfId="19627"/>
    <cellStyle name="Note 2 2 2 14 4 5" xfId="19628"/>
    <cellStyle name="Note 2 2 2 14 40" xfId="19629"/>
    <cellStyle name="Note 2 2 2 14 40 2" xfId="19630"/>
    <cellStyle name="Note 2 2 2 14 41" xfId="19631"/>
    <cellStyle name="Note 2 2 2 14 41 2" xfId="19632"/>
    <cellStyle name="Note 2 2 2 14 42" xfId="19633"/>
    <cellStyle name="Note 2 2 2 14 42 2" xfId="19634"/>
    <cellStyle name="Note 2 2 2 14 43" xfId="19635"/>
    <cellStyle name="Note 2 2 2 14 43 2" xfId="19636"/>
    <cellStyle name="Note 2 2 2 14 44" xfId="19637"/>
    <cellStyle name="Note 2 2 2 14 44 2" xfId="19638"/>
    <cellStyle name="Note 2 2 2 14 45" xfId="19639"/>
    <cellStyle name="Note 2 2 2 14 45 2" xfId="19640"/>
    <cellStyle name="Note 2 2 2 14 46" xfId="19641"/>
    <cellStyle name="Note 2 2 2 14 46 2" xfId="19642"/>
    <cellStyle name="Note 2 2 2 14 47" xfId="19643"/>
    <cellStyle name="Note 2 2 2 14 47 2" xfId="19644"/>
    <cellStyle name="Note 2 2 2 14 48" xfId="19645"/>
    <cellStyle name="Note 2 2 2 14 48 2" xfId="19646"/>
    <cellStyle name="Note 2 2 2 14 49" xfId="19647"/>
    <cellStyle name="Note 2 2 2 14 49 2" xfId="19648"/>
    <cellStyle name="Note 2 2 2 14 5" xfId="19649"/>
    <cellStyle name="Note 2 2 2 14 5 2" xfId="19650"/>
    <cellStyle name="Note 2 2 2 14 5 2 2" xfId="19651"/>
    <cellStyle name="Note 2 2 2 14 5 3" xfId="19652"/>
    <cellStyle name="Note 2 2 2 14 5 3 2" xfId="19653"/>
    <cellStyle name="Note 2 2 2 14 5 4" xfId="19654"/>
    <cellStyle name="Note 2 2 2 14 5 4 2" xfId="19655"/>
    <cellStyle name="Note 2 2 2 14 5 5" xfId="19656"/>
    <cellStyle name="Note 2 2 2 14 50" xfId="19657"/>
    <cellStyle name="Note 2 2 2 14 50 2" xfId="19658"/>
    <cellStyle name="Note 2 2 2 14 51" xfId="19659"/>
    <cellStyle name="Note 2 2 2 14 51 2" xfId="19660"/>
    <cellStyle name="Note 2 2 2 14 52" xfId="19661"/>
    <cellStyle name="Note 2 2 2 14 52 2" xfId="19662"/>
    <cellStyle name="Note 2 2 2 14 53" xfId="19663"/>
    <cellStyle name="Note 2 2 2 14 53 2" xfId="19664"/>
    <cellStyle name="Note 2 2 2 14 54" xfId="19665"/>
    <cellStyle name="Note 2 2 2 14 54 2" xfId="19666"/>
    <cellStyle name="Note 2 2 2 14 55" xfId="19667"/>
    <cellStyle name="Note 2 2 2 14 55 2" xfId="19668"/>
    <cellStyle name="Note 2 2 2 14 56" xfId="19669"/>
    <cellStyle name="Note 2 2 2 14 56 2" xfId="19670"/>
    <cellStyle name="Note 2 2 2 14 57" xfId="19671"/>
    <cellStyle name="Note 2 2 2 14 57 2" xfId="19672"/>
    <cellStyle name="Note 2 2 2 14 58" xfId="19673"/>
    <cellStyle name="Note 2 2 2 14 58 2" xfId="19674"/>
    <cellStyle name="Note 2 2 2 14 59" xfId="19675"/>
    <cellStyle name="Note 2 2 2 14 59 2" xfId="19676"/>
    <cellStyle name="Note 2 2 2 14 6" xfId="19677"/>
    <cellStyle name="Note 2 2 2 14 6 2" xfId="19678"/>
    <cellStyle name="Note 2 2 2 14 6 2 2" xfId="19679"/>
    <cellStyle name="Note 2 2 2 14 6 3" xfId="19680"/>
    <cellStyle name="Note 2 2 2 14 6 3 2" xfId="19681"/>
    <cellStyle name="Note 2 2 2 14 6 4" xfId="19682"/>
    <cellStyle name="Note 2 2 2 14 6 4 2" xfId="19683"/>
    <cellStyle name="Note 2 2 2 14 6 5" xfId="19684"/>
    <cellStyle name="Note 2 2 2 14 60" xfId="19685"/>
    <cellStyle name="Note 2 2 2 14 60 2" xfId="19686"/>
    <cellStyle name="Note 2 2 2 14 61" xfId="19687"/>
    <cellStyle name="Note 2 2 2 14 61 2" xfId="19688"/>
    <cellStyle name="Note 2 2 2 14 62" xfId="19689"/>
    <cellStyle name="Note 2 2 2 14 7" xfId="19690"/>
    <cellStyle name="Note 2 2 2 14 7 2" xfId="19691"/>
    <cellStyle name="Note 2 2 2 14 7 2 2" xfId="19692"/>
    <cellStyle name="Note 2 2 2 14 7 3" xfId="19693"/>
    <cellStyle name="Note 2 2 2 14 7 3 2" xfId="19694"/>
    <cellStyle name="Note 2 2 2 14 7 4" xfId="19695"/>
    <cellStyle name="Note 2 2 2 14 7 4 2" xfId="19696"/>
    <cellStyle name="Note 2 2 2 14 7 5" xfId="19697"/>
    <cellStyle name="Note 2 2 2 14 8" xfId="19698"/>
    <cellStyle name="Note 2 2 2 14 8 2" xfId="19699"/>
    <cellStyle name="Note 2 2 2 14 8 2 2" xfId="19700"/>
    <cellStyle name="Note 2 2 2 14 8 3" xfId="19701"/>
    <cellStyle name="Note 2 2 2 14 8 3 2" xfId="19702"/>
    <cellStyle name="Note 2 2 2 14 8 4" xfId="19703"/>
    <cellStyle name="Note 2 2 2 14 8 4 2" xfId="19704"/>
    <cellStyle name="Note 2 2 2 14 8 5" xfId="19705"/>
    <cellStyle name="Note 2 2 2 14 9" xfId="19706"/>
    <cellStyle name="Note 2 2 2 14 9 2" xfId="19707"/>
    <cellStyle name="Note 2 2 2 14 9 2 2" xfId="19708"/>
    <cellStyle name="Note 2 2 2 14 9 3" xfId="19709"/>
    <cellStyle name="Note 2 2 2 14 9 3 2" xfId="19710"/>
    <cellStyle name="Note 2 2 2 14 9 4" xfId="19711"/>
    <cellStyle name="Note 2 2 2 14 9 4 2" xfId="19712"/>
    <cellStyle name="Note 2 2 2 14 9 5" xfId="19713"/>
    <cellStyle name="Note 2 2 2 15" xfId="19714"/>
    <cellStyle name="Note 2 2 2 15 10" xfId="19715"/>
    <cellStyle name="Note 2 2 2 15 10 2" xfId="19716"/>
    <cellStyle name="Note 2 2 2 15 10 2 2" xfId="19717"/>
    <cellStyle name="Note 2 2 2 15 10 3" xfId="19718"/>
    <cellStyle name="Note 2 2 2 15 10 3 2" xfId="19719"/>
    <cellStyle name="Note 2 2 2 15 10 4" xfId="19720"/>
    <cellStyle name="Note 2 2 2 15 10 4 2" xfId="19721"/>
    <cellStyle name="Note 2 2 2 15 10 5" xfId="19722"/>
    <cellStyle name="Note 2 2 2 15 11" xfId="19723"/>
    <cellStyle name="Note 2 2 2 15 11 2" xfId="19724"/>
    <cellStyle name="Note 2 2 2 15 11 2 2" xfId="19725"/>
    <cellStyle name="Note 2 2 2 15 11 3" xfId="19726"/>
    <cellStyle name="Note 2 2 2 15 11 3 2" xfId="19727"/>
    <cellStyle name="Note 2 2 2 15 11 4" xfId="19728"/>
    <cellStyle name="Note 2 2 2 15 11 4 2" xfId="19729"/>
    <cellStyle name="Note 2 2 2 15 11 5" xfId="19730"/>
    <cellStyle name="Note 2 2 2 15 12" xfId="19731"/>
    <cellStyle name="Note 2 2 2 15 12 2" xfId="19732"/>
    <cellStyle name="Note 2 2 2 15 12 2 2" xfId="19733"/>
    <cellStyle name="Note 2 2 2 15 12 3" xfId="19734"/>
    <cellStyle name="Note 2 2 2 15 12 3 2" xfId="19735"/>
    <cellStyle name="Note 2 2 2 15 12 4" xfId="19736"/>
    <cellStyle name="Note 2 2 2 15 12 4 2" xfId="19737"/>
    <cellStyle name="Note 2 2 2 15 12 5" xfId="19738"/>
    <cellStyle name="Note 2 2 2 15 13" xfId="19739"/>
    <cellStyle name="Note 2 2 2 15 13 2" xfId="19740"/>
    <cellStyle name="Note 2 2 2 15 13 2 2" xfId="19741"/>
    <cellStyle name="Note 2 2 2 15 13 3" xfId="19742"/>
    <cellStyle name="Note 2 2 2 15 13 3 2" xfId="19743"/>
    <cellStyle name="Note 2 2 2 15 13 4" xfId="19744"/>
    <cellStyle name="Note 2 2 2 15 13 4 2" xfId="19745"/>
    <cellStyle name="Note 2 2 2 15 13 5" xfId="19746"/>
    <cellStyle name="Note 2 2 2 15 14" xfId="19747"/>
    <cellStyle name="Note 2 2 2 15 14 2" xfId="19748"/>
    <cellStyle name="Note 2 2 2 15 14 2 2" xfId="19749"/>
    <cellStyle name="Note 2 2 2 15 14 3" xfId="19750"/>
    <cellStyle name="Note 2 2 2 15 14 3 2" xfId="19751"/>
    <cellStyle name="Note 2 2 2 15 14 4" xfId="19752"/>
    <cellStyle name="Note 2 2 2 15 14 4 2" xfId="19753"/>
    <cellStyle name="Note 2 2 2 15 14 5" xfId="19754"/>
    <cellStyle name="Note 2 2 2 15 15" xfId="19755"/>
    <cellStyle name="Note 2 2 2 15 15 2" xfId="19756"/>
    <cellStyle name="Note 2 2 2 15 16" xfId="19757"/>
    <cellStyle name="Note 2 2 2 15 16 2" xfId="19758"/>
    <cellStyle name="Note 2 2 2 15 17" xfId="19759"/>
    <cellStyle name="Note 2 2 2 15 17 2" xfId="19760"/>
    <cellStyle name="Note 2 2 2 15 18" xfId="19761"/>
    <cellStyle name="Note 2 2 2 15 18 2" xfId="19762"/>
    <cellStyle name="Note 2 2 2 15 19" xfId="19763"/>
    <cellStyle name="Note 2 2 2 15 19 2" xfId="19764"/>
    <cellStyle name="Note 2 2 2 15 2" xfId="19765"/>
    <cellStyle name="Note 2 2 2 15 2 10" xfId="19766"/>
    <cellStyle name="Note 2 2 2 15 2 10 2" xfId="19767"/>
    <cellStyle name="Note 2 2 2 15 2 11" xfId="19768"/>
    <cellStyle name="Note 2 2 2 15 2 11 2" xfId="19769"/>
    <cellStyle name="Note 2 2 2 15 2 12" xfId="19770"/>
    <cellStyle name="Note 2 2 2 15 2 12 2" xfId="19771"/>
    <cellStyle name="Note 2 2 2 15 2 13" xfId="19772"/>
    <cellStyle name="Note 2 2 2 15 2 13 2" xfId="19773"/>
    <cellStyle name="Note 2 2 2 15 2 14" xfId="19774"/>
    <cellStyle name="Note 2 2 2 15 2 14 2" xfId="19775"/>
    <cellStyle name="Note 2 2 2 15 2 15" xfId="19776"/>
    <cellStyle name="Note 2 2 2 15 2 15 2" xfId="19777"/>
    <cellStyle name="Note 2 2 2 15 2 16" xfId="19778"/>
    <cellStyle name="Note 2 2 2 15 2 16 2" xfId="19779"/>
    <cellStyle name="Note 2 2 2 15 2 17" xfId="19780"/>
    <cellStyle name="Note 2 2 2 15 2 17 2" xfId="19781"/>
    <cellStyle name="Note 2 2 2 15 2 18" xfId="19782"/>
    <cellStyle name="Note 2 2 2 15 2 18 2" xfId="19783"/>
    <cellStyle name="Note 2 2 2 15 2 19" xfId="19784"/>
    <cellStyle name="Note 2 2 2 15 2 19 2" xfId="19785"/>
    <cellStyle name="Note 2 2 2 15 2 2" xfId="19786"/>
    <cellStyle name="Note 2 2 2 15 2 2 2" xfId="19787"/>
    <cellStyle name="Note 2 2 2 15 2 2 3" xfId="19788"/>
    <cellStyle name="Note 2 2 2 15 2 20" xfId="19789"/>
    <cellStyle name="Note 2 2 2 15 2 20 2" xfId="19790"/>
    <cellStyle name="Note 2 2 2 15 2 21" xfId="19791"/>
    <cellStyle name="Note 2 2 2 15 2 21 2" xfId="19792"/>
    <cellStyle name="Note 2 2 2 15 2 22" xfId="19793"/>
    <cellStyle name="Note 2 2 2 15 2 22 2" xfId="19794"/>
    <cellStyle name="Note 2 2 2 15 2 23" xfId="19795"/>
    <cellStyle name="Note 2 2 2 15 2 23 2" xfId="19796"/>
    <cellStyle name="Note 2 2 2 15 2 24" xfId="19797"/>
    <cellStyle name="Note 2 2 2 15 2 24 2" xfId="19798"/>
    <cellStyle name="Note 2 2 2 15 2 25" xfId="19799"/>
    <cellStyle name="Note 2 2 2 15 2 25 2" xfId="19800"/>
    <cellStyle name="Note 2 2 2 15 2 26" xfId="19801"/>
    <cellStyle name="Note 2 2 2 15 2 26 2" xfId="19802"/>
    <cellStyle name="Note 2 2 2 15 2 27" xfId="19803"/>
    <cellStyle name="Note 2 2 2 15 2 27 2" xfId="19804"/>
    <cellStyle name="Note 2 2 2 15 2 28" xfId="19805"/>
    <cellStyle name="Note 2 2 2 15 2 28 2" xfId="19806"/>
    <cellStyle name="Note 2 2 2 15 2 29" xfId="19807"/>
    <cellStyle name="Note 2 2 2 15 2 29 2" xfId="19808"/>
    <cellStyle name="Note 2 2 2 15 2 3" xfId="19809"/>
    <cellStyle name="Note 2 2 2 15 2 3 2" xfId="19810"/>
    <cellStyle name="Note 2 2 2 15 2 3 3" xfId="19811"/>
    <cellStyle name="Note 2 2 2 15 2 30" xfId="19812"/>
    <cellStyle name="Note 2 2 2 15 2 30 2" xfId="19813"/>
    <cellStyle name="Note 2 2 2 15 2 31" xfId="19814"/>
    <cellStyle name="Note 2 2 2 15 2 4" xfId="19815"/>
    <cellStyle name="Note 2 2 2 15 2 4 2" xfId="19816"/>
    <cellStyle name="Note 2 2 2 15 2 5" xfId="19817"/>
    <cellStyle name="Note 2 2 2 15 2 5 2" xfId="19818"/>
    <cellStyle name="Note 2 2 2 15 2 6" xfId="19819"/>
    <cellStyle name="Note 2 2 2 15 2 6 2" xfId="19820"/>
    <cellStyle name="Note 2 2 2 15 2 7" xfId="19821"/>
    <cellStyle name="Note 2 2 2 15 2 7 2" xfId="19822"/>
    <cellStyle name="Note 2 2 2 15 2 8" xfId="19823"/>
    <cellStyle name="Note 2 2 2 15 2 8 2" xfId="19824"/>
    <cellStyle name="Note 2 2 2 15 2 9" xfId="19825"/>
    <cellStyle name="Note 2 2 2 15 2 9 2" xfId="19826"/>
    <cellStyle name="Note 2 2 2 15 20" xfId="19827"/>
    <cellStyle name="Note 2 2 2 15 20 2" xfId="19828"/>
    <cellStyle name="Note 2 2 2 15 21" xfId="19829"/>
    <cellStyle name="Note 2 2 2 15 21 2" xfId="19830"/>
    <cellStyle name="Note 2 2 2 15 22" xfId="19831"/>
    <cellStyle name="Note 2 2 2 15 22 2" xfId="19832"/>
    <cellStyle name="Note 2 2 2 15 23" xfId="19833"/>
    <cellStyle name="Note 2 2 2 15 23 2" xfId="19834"/>
    <cellStyle name="Note 2 2 2 15 24" xfId="19835"/>
    <cellStyle name="Note 2 2 2 15 24 2" xfId="19836"/>
    <cellStyle name="Note 2 2 2 15 25" xfId="19837"/>
    <cellStyle name="Note 2 2 2 15 25 2" xfId="19838"/>
    <cellStyle name="Note 2 2 2 15 26" xfId="19839"/>
    <cellStyle name="Note 2 2 2 15 26 2" xfId="19840"/>
    <cellStyle name="Note 2 2 2 15 27" xfId="19841"/>
    <cellStyle name="Note 2 2 2 15 27 2" xfId="19842"/>
    <cellStyle name="Note 2 2 2 15 28" xfId="19843"/>
    <cellStyle name="Note 2 2 2 15 28 2" xfId="19844"/>
    <cellStyle name="Note 2 2 2 15 29" xfId="19845"/>
    <cellStyle name="Note 2 2 2 15 29 2" xfId="19846"/>
    <cellStyle name="Note 2 2 2 15 3" xfId="19847"/>
    <cellStyle name="Note 2 2 2 15 3 2" xfId="19848"/>
    <cellStyle name="Note 2 2 2 15 3 2 2" xfId="19849"/>
    <cellStyle name="Note 2 2 2 15 3 3" xfId="19850"/>
    <cellStyle name="Note 2 2 2 15 3 3 2" xfId="19851"/>
    <cellStyle name="Note 2 2 2 15 3 4" xfId="19852"/>
    <cellStyle name="Note 2 2 2 15 3 4 2" xfId="19853"/>
    <cellStyle name="Note 2 2 2 15 3 5" xfId="19854"/>
    <cellStyle name="Note 2 2 2 15 30" xfId="19855"/>
    <cellStyle name="Note 2 2 2 15 30 2" xfId="19856"/>
    <cellStyle name="Note 2 2 2 15 31" xfId="19857"/>
    <cellStyle name="Note 2 2 2 15 31 2" xfId="19858"/>
    <cellStyle name="Note 2 2 2 15 32" xfId="19859"/>
    <cellStyle name="Note 2 2 2 15 32 2" xfId="19860"/>
    <cellStyle name="Note 2 2 2 15 33" xfId="19861"/>
    <cellStyle name="Note 2 2 2 15 33 2" xfId="19862"/>
    <cellStyle name="Note 2 2 2 15 34" xfId="19863"/>
    <cellStyle name="Note 2 2 2 15 34 2" xfId="19864"/>
    <cellStyle name="Note 2 2 2 15 35" xfId="19865"/>
    <cellStyle name="Note 2 2 2 15 35 2" xfId="19866"/>
    <cellStyle name="Note 2 2 2 15 36" xfId="19867"/>
    <cellStyle name="Note 2 2 2 15 36 2" xfId="19868"/>
    <cellStyle name="Note 2 2 2 15 37" xfId="19869"/>
    <cellStyle name="Note 2 2 2 15 37 2" xfId="19870"/>
    <cellStyle name="Note 2 2 2 15 38" xfId="19871"/>
    <cellStyle name="Note 2 2 2 15 38 2" xfId="19872"/>
    <cellStyle name="Note 2 2 2 15 39" xfId="19873"/>
    <cellStyle name="Note 2 2 2 15 39 2" xfId="19874"/>
    <cellStyle name="Note 2 2 2 15 4" xfId="19875"/>
    <cellStyle name="Note 2 2 2 15 4 2" xfId="19876"/>
    <cellStyle name="Note 2 2 2 15 4 2 2" xfId="19877"/>
    <cellStyle name="Note 2 2 2 15 4 3" xfId="19878"/>
    <cellStyle name="Note 2 2 2 15 4 3 2" xfId="19879"/>
    <cellStyle name="Note 2 2 2 15 4 4" xfId="19880"/>
    <cellStyle name="Note 2 2 2 15 4 4 2" xfId="19881"/>
    <cellStyle name="Note 2 2 2 15 4 5" xfId="19882"/>
    <cellStyle name="Note 2 2 2 15 40" xfId="19883"/>
    <cellStyle name="Note 2 2 2 15 40 2" xfId="19884"/>
    <cellStyle name="Note 2 2 2 15 41" xfId="19885"/>
    <cellStyle name="Note 2 2 2 15 41 2" xfId="19886"/>
    <cellStyle name="Note 2 2 2 15 42" xfId="19887"/>
    <cellStyle name="Note 2 2 2 15 42 2" xfId="19888"/>
    <cellStyle name="Note 2 2 2 15 43" xfId="19889"/>
    <cellStyle name="Note 2 2 2 15 43 2" xfId="19890"/>
    <cellStyle name="Note 2 2 2 15 44" xfId="19891"/>
    <cellStyle name="Note 2 2 2 15 44 2" xfId="19892"/>
    <cellStyle name="Note 2 2 2 15 45" xfId="19893"/>
    <cellStyle name="Note 2 2 2 15 45 2" xfId="19894"/>
    <cellStyle name="Note 2 2 2 15 46" xfId="19895"/>
    <cellStyle name="Note 2 2 2 15 46 2" xfId="19896"/>
    <cellStyle name="Note 2 2 2 15 47" xfId="19897"/>
    <cellStyle name="Note 2 2 2 15 47 2" xfId="19898"/>
    <cellStyle name="Note 2 2 2 15 48" xfId="19899"/>
    <cellStyle name="Note 2 2 2 15 48 2" xfId="19900"/>
    <cellStyle name="Note 2 2 2 15 49" xfId="19901"/>
    <cellStyle name="Note 2 2 2 15 49 2" xfId="19902"/>
    <cellStyle name="Note 2 2 2 15 5" xfId="19903"/>
    <cellStyle name="Note 2 2 2 15 5 2" xfId="19904"/>
    <cellStyle name="Note 2 2 2 15 5 2 2" xfId="19905"/>
    <cellStyle name="Note 2 2 2 15 5 3" xfId="19906"/>
    <cellStyle name="Note 2 2 2 15 5 3 2" xfId="19907"/>
    <cellStyle name="Note 2 2 2 15 5 4" xfId="19908"/>
    <cellStyle name="Note 2 2 2 15 5 4 2" xfId="19909"/>
    <cellStyle name="Note 2 2 2 15 5 5" xfId="19910"/>
    <cellStyle name="Note 2 2 2 15 50" xfId="19911"/>
    <cellStyle name="Note 2 2 2 15 50 2" xfId="19912"/>
    <cellStyle name="Note 2 2 2 15 51" xfId="19913"/>
    <cellStyle name="Note 2 2 2 15 51 2" xfId="19914"/>
    <cellStyle name="Note 2 2 2 15 52" xfId="19915"/>
    <cellStyle name="Note 2 2 2 15 52 2" xfId="19916"/>
    <cellStyle name="Note 2 2 2 15 53" xfId="19917"/>
    <cellStyle name="Note 2 2 2 15 53 2" xfId="19918"/>
    <cellStyle name="Note 2 2 2 15 54" xfId="19919"/>
    <cellStyle name="Note 2 2 2 15 54 2" xfId="19920"/>
    <cellStyle name="Note 2 2 2 15 55" xfId="19921"/>
    <cellStyle name="Note 2 2 2 15 55 2" xfId="19922"/>
    <cellStyle name="Note 2 2 2 15 56" xfId="19923"/>
    <cellStyle name="Note 2 2 2 15 56 2" xfId="19924"/>
    <cellStyle name="Note 2 2 2 15 57" xfId="19925"/>
    <cellStyle name="Note 2 2 2 15 57 2" xfId="19926"/>
    <cellStyle name="Note 2 2 2 15 58" xfId="19927"/>
    <cellStyle name="Note 2 2 2 15 58 2" xfId="19928"/>
    <cellStyle name="Note 2 2 2 15 59" xfId="19929"/>
    <cellStyle name="Note 2 2 2 15 59 2" xfId="19930"/>
    <cellStyle name="Note 2 2 2 15 6" xfId="19931"/>
    <cellStyle name="Note 2 2 2 15 6 2" xfId="19932"/>
    <cellStyle name="Note 2 2 2 15 6 2 2" xfId="19933"/>
    <cellStyle name="Note 2 2 2 15 6 3" xfId="19934"/>
    <cellStyle name="Note 2 2 2 15 6 3 2" xfId="19935"/>
    <cellStyle name="Note 2 2 2 15 6 4" xfId="19936"/>
    <cellStyle name="Note 2 2 2 15 6 4 2" xfId="19937"/>
    <cellStyle name="Note 2 2 2 15 6 5" xfId="19938"/>
    <cellStyle name="Note 2 2 2 15 60" xfId="19939"/>
    <cellStyle name="Note 2 2 2 15 60 2" xfId="19940"/>
    <cellStyle name="Note 2 2 2 15 61" xfId="19941"/>
    <cellStyle name="Note 2 2 2 15 61 2" xfId="19942"/>
    <cellStyle name="Note 2 2 2 15 62" xfId="19943"/>
    <cellStyle name="Note 2 2 2 15 7" xfId="19944"/>
    <cellStyle name="Note 2 2 2 15 7 2" xfId="19945"/>
    <cellStyle name="Note 2 2 2 15 7 2 2" xfId="19946"/>
    <cellStyle name="Note 2 2 2 15 7 3" xfId="19947"/>
    <cellStyle name="Note 2 2 2 15 7 3 2" xfId="19948"/>
    <cellStyle name="Note 2 2 2 15 7 4" xfId="19949"/>
    <cellStyle name="Note 2 2 2 15 7 4 2" xfId="19950"/>
    <cellStyle name="Note 2 2 2 15 7 5" xfId="19951"/>
    <cellStyle name="Note 2 2 2 15 8" xfId="19952"/>
    <cellStyle name="Note 2 2 2 15 8 2" xfId="19953"/>
    <cellStyle name="Note 2 2 2 15 8 2 2" xfId="19954"/>
    <cellStyle name="Note 2 2 2 15 8 3" xfId="19955"/>
    <cellStyle name="Note 2 2 2 15 8 3 2" xfId="19956"/>
    <cellStyle name="Note 2 2 2 15 8 4" xfId="19957"/>
    <cellStyle name="Note 2 2 2 15 8 4 2" xfId="19958"/>
    <cellStyle name="Note 2 2 2 15 8 5" xfId="19959"/>
    <cellStyle name="Note 2 2 2 15 9" xfId="19960"/>
    <cellStyle name="Note 2 2 2 15 9 2" xfId="19961"/>
    <cellStyle name="Note 2 2 2 15 9 2 2" xfId="19962"/>
    <cellStyle name="Note 2 2 2 15 9 3" xfId="19963"/>
    <cellStyle name="Note 2 2 2 15 9 3 2" xfId="19964"/>
    <cellStyle name="Note 2 2 2 15 9 4" xfId="19965"/>
    <cellStyle name="Note 2 2 2 15 9 4 2" xfId="19966"/>
    <cellStyle name="Note 2 2 2 15 9 5" xfId="19967"/>
    <cellStyle name="Note 2 2 2 16" xfId="19968"/>
    <cellStyle name="Note 2 2 2 16 10" xfId="19969"/>
    <cellStyle name="Note 2 2 2 16 10 2" xfId="19970"/>
    <cellStyle name="Note 2 2 2 16 10 2 2" xfId="19971"/>
    <cellStyle name="Note 2 2 2 16 10 3" xfId="19972"/>
    <cellStyle name="Note 2 2 2 16 10 3 2" xfId="19973"/>
    <cellStyle name="Note 2 2 2 16 10 4" xfId="19974"/>
    <cellStyle name="Note 2 2 2 16 10 4 2" xfId="19975"/>
    <cellStyle name="Note 2 2 2 16 10 5" xfId="19976"/>
    <cellStyle name="Note 2 2 2 16 11" xfId="19977"/>
    <cellStyle name="Note 2 2 2 16 11 2" xfId="19978"/>
    <cellStyle name="Note 2 2 2 16 11 2 2" xfId="19979"/>
    <cellStyle name="Note 2 2 2 16 11 3" xfId="19980"/>
    <cellStyle name="Note 2 2 2 16 11 3 2" xfId="19981"/>
    <cellStyle name="Note 2 2 2 16 11 4" xfId="19982"/>
    <cellStyle name="Note 2 2 2 16 11 4 2" xfId="19983"/>
    <cellStyle name="Note 2 2 2 16 11 5" xfId="19984"/>
    <cellStyle name="Note 2 2 2 16 12" xfId="19985"/>
    <cellStyle name="Note 2 2 2 16 12 2" xfId="19986"/>
    <cellStyle name="Note 2 2 2 16 12 2 2" xfId="19987"/>
    <cellStyle name="Note 2 2 2 16 12 3" xfId="19988"/>
    <cellStyle name="Note 2 2 2 16 12 3 2" xfId="19989"/>
    <cellStyle name="Note 2 2 2 16 12 4" xfId="19990"/>
    <cellStyle name="Note 2 2 2 16 12 4 2" xfId="19991"/>
    <cellStyle name="Note 2 2 2 16 12 5" xfId="19992"/>
    <cellStyle name="Note 2 2 2 16 13" xfId="19993"/>
    <cellStyle name="Note 2 2 2 16 13 2" xfId="19994"/>
    <cellStyle name="Note 2 2 2 16 13 2 2" xfId="19995"/>
    <cellStyle name="Note 2 2 2 16 13 3" xfId="19996"/>
    <cellStyle name="Note 2 2 2 16 13 3 2" xfId="19997"/>
    <cellStyle name="Note 2 2 2 16 13 4" xfId="19998"/>
    <cellStyle name="Note 2 2 2 16 13 4 2" xfId="19999"/>
    <cellStyle name="Note 2 2 2 16 13 5" xfId="20000"/>
    <cellStyle name="Note 2 2 2 16 14" xfId="20001"/>
    <cellStyle name="Note 2 2 2 16 14 2" xfId="20002"/>
    <cellStyle name="Note 2 2 2 16 14 2 2" xfId="20003"/>
    <cellStyle name="Note 2 2 2 16 14 3" xfId="20004"/>
    <cellStyle name="Note 2 2 2 16 14 3 2" xfId="20005"/>
    <cellStyle name="Note 2 2 2 16 14 4" xfId="20006"/>
    <cellStyle name="Note 2 2 2 16 14 4 2" xfId="20007"/>
    <cellStyle name="Note 2 2 2 16 14 5" xfId="20008"/>
    <cellStyle name="Note 2 2 2 16 15" xfId="20009"/>
    <cellStyle name="Note 2 2 2 16 15 2" xfId="20010"/>
    <cellStyle name="Note 2 2 2 16 16" xfId="20011"/>
    <cellStyle name="Note 2 2 2 16 16 2" xfId="20012"/>
    <cellStyle name="Note 2 2 2 16 17" xfId="20013"/>
    <cellStyle name="Note 2 2 2 16 17 2" xfId="20014"/>
    <cellStyle name="Note 2 2 2 16 18" xfId="20015"/>
    <cellStyle name="Note 2 2 2 16 18 2" xfId="20016"/>
    <cellStyle name="Note 2 2 2 16 19" xfId="20017"/>
    <cellStyle name="Note 2 2 2 16 19 2" xfId="20018"/>
    <cellStyle name="Note 2 2 2 16 2" xfId="20019"/>
    <cellStyle name="Note 2 2 2 16 2 10" xfId="20020"/>
    <cellStyle name="Note 2 2 2 16 2 10 2" xfId="20021"/>
    <cellStyle name="Note 2 2 2 16 2 11" xfId="20022"/>
    <cellStyle name="Note 2 2 2 16 2 11 2" xfId="20023"/>
    <cellStyle name="Note 2 2 2 16 2 12" xfId="20024"/>
    <cellStyle name="Note 2 2 2 16 2 12 2" xfId="20025"/>
    <cellStyle name="Note 2 2 2 16 2 13" xfId="20026"/>
    <cellStyle name="Note 2 2 2 16 2 13 2" xfId="20027"/>
    <cellStyle name="Note 2 2 2 16 2 14" xfId="20028"/>
    <cellStyle name="Note 2 2 2 16 2 14 2" xfId="20029"/>
    <cellStyle name="Note 2 2 2 16 2 15" xfId="20030"/>
    <cellStyle name="Note 2 2 2 16 2 15 2" xfId="20031"/>
    <cellStyle name="Note 2 2 2 16 2 16" xfId="20032"/>
    <cellStyle name="Note 2 2 2 16 2 16 2" xfId="20033"/>
    <cellStyle name="Note 2 2 2 16 2 17" xfId="20034"/>
    <cellStyle name="Note 2 2 2 16 2 17 2" xfId="20035"/>
    <cellStyle name="Note 2 2 2 16 2 18" xfId="20036"/>
    <cellStyle name="Note 2 2 2 16 2 18 2" xfId="20037"/>
    <cellStyle name="Note 2 2 2 16 2 19" xfId="20038"/>
    <cellStyle name="Note 2 2 2 16 2 19 2" xfId="20039"/>
    <cellStyle name="Note 2 2 2 16 2 2" xfId="20040"/>
    <cellStyle name="Note 2 2 2 16 2 2 2" xfId="20041"/>
    <cellStyle name="Note 2 2 2 16 2 2 3" xfId="20042"/>
    <cellStyle name="Note 2 2 2 16 2 20" xfId="20043"/>
    <cellStyle name="Note 2 2 2 16 2 20 2" xfId="20044"/>
    <cellStyle name="Note 2 2 2 16 2 21" xfId="20045"/>
    <cellStyle name="Note 2 2 2 16 2 21 2" xfId="20046"/>
    <cellStyle name="Note 2 2 2 16 2 22" xfId="20047"/>
    <cellStyle name="Note 2 2 2 16 2 22 2" xfId="20048"/>
    <cellStyle name="Note 2 2 2 16 2 23" xfId="20049"/>
    <cellStyle name="Note 2 2 2 16 2 23 2" xfId="20050"/>
    <cellStyle name="Note 2 2 2 16 2 24" xfId="20051"/>
    <cellStyle name="Note 2 2 2 16 2 24 2" xfId="20052"/>
    <cellStyle name="Note 2 2 2 16 2 25" xfId="20053"/>
    <cellStyle name="Note 2 2 2 16 2 25 2" xfId="20054"/>
    <cellStyle name="Note 2 2 2 16 2 26" xfId="20055"/>
    <cellStyle name="Note 2 2 2 16 2 26 2" xfId="20056"/>
    <cellStyle name="Note 2 2 2 16 2 27" xfId="20057"/>
    <cellStyle name="Note 2 2 2 16 2 27 2" xfId="20058"/>
    <cellStyle name="Note 2 2 2 16 2 28" xfId="20059"/>
    <cellStyle name="Note 2 2 2 16 2 28 2" xfId="20060"/>
    <cellStyle name="Note 2 2 2 16 2 29" xfId="20061"/>
    <cellStyle name="Note 2 2 2 16 2 29 2" xfId="20062"/>
    <cellStyle name="Note 2 2 2 16 2 3" xfId="20063"/>
    <cellStyle name="Note 2 2 2 16 2 3 2" xfId="20064"/>
    <cellStyle name="Note 2 2 2 16 2 3 3" xfId="20065"/>
    <cellStyle name="Note 2 2 2 16 2 30" xfId="20066"/>
    <cellStyle name="Note 2 2 2 16 2 30 2" xfId="20067"/>
    <cellStyle name="Note 2 2 2 16 2 31" xfId="20068"/>
    <cellStyle name="Note 2 2 2 16 2 4" xfId="20069"/>
    <cellStyle name="Note 2 2 2 16 2 4 2" xfId="20070"/>
    <cellStyle name="Note 2 2 2 16 2 5" xfId="20071"/>
    <cellStyle name="Note 2 2 2 16 2 5 2" xfId="20072"/>
    <cellStyle name="Note 2 2 2 16 2 6" xfId="20073"/>
    <cellStyle name="Note 2 2 2 16 2 6 2" xfId="20074"/>
    <cellStyle name="Note 2 2 2 16 2 7" xfId="20075"/>
    <cellStyle name="Note 2 2 2 16 2 7 2" xfId="20076"/>
    <cellStyle name="Note 2 2 2 16 2 8" xfId="20077"/>
    <cellStyle name="Note 2 2 2 16 2 8 2" xfId="20078"/>
    <cellStyle name="Note 2 2 2 16 2 9" xfId="20079"/>
    <cellStyle name="Note 2 2 2 16 2 9 2" xfId="20080"/>
    <cellStyle name="Note 2 2 2 16 20" xfId="20081"/>
    <cellStyle name="Note 2 2 2 16 20 2" xfId="20082"/>
    <cellStyle name="Note 2 2 2 16 21" xfId="20083"/>
    <cellStyle name="Note 2 2 2 16 21 2" xfId="20084"/>
    <cellStyle name="Note 2 2 2 16 22" xfId="20085"/>
    <cellStyle name="Note 2 2 2 16 22 2" xfId="20086"/>
    <cellStyle name="Note 2 2 2 16 23" xfId="20087"/>
    <cellStyle name="Note 2 2 2 16 23 2" xfId="20088"/>
    <cellStyle name="Note 2 2 2 16 24" xfId="20089"/>
    <cellStyle name="Note 2 2 2 16 24 2" xfId="20090"/>
    <cellStyle name="Note 2 2 2 16 25" xfId="20091"/>
    <cellStyle name="Note 2 2 2 16 25 2" xfId="20092"/>
    <cellStyle name="Note 2 2 2 16 26" xfId="20093"/>
    <cellStyle name="Note 2 2 2 16 26 2" xfId="20094"/>
    <cellStyle name="Note 2 2 2 16 27" xfId="20095"/>
    <cellStyle name="Note 2 2 2 16 27 2" xfId="20096"/>
    <cellStyle name="Note 2 2 2 16 28" xfId="20097"/>
    <cellStyle name="Note 2 2 2 16 28 2" xfId="20098"/>
    <cellStyle name="Note 2 2 2 16 29" xfId="20099"/>
    <cellStyle name="Note 2 2 2 16 29 2" xfId="20100"/>
    <cellStyle name="Note 2 2 2 16 3" xfId="20101"/>
    <cellStyle name="Note 2 2 2 16 3 2" xfId="20102"/>
    <cellStyle name="Note 2 2 2 16 3 2 2" xfId="20103"/>
    <cellStyle name="Note 2 2 2 16 3 3" xfId="20104"/>
    <cellStyle name="Note 2 2 2 16 3 3 2" xfId="20105"/>
    <cellStyle name="Note 2 2 2 16 3 4" xfId="20106"/>
    <cellStyle name="Note 2 2 2 16 3 4 2" xfId="20107"/>
    <cellStyle name="Note 2 2 2 16 3 5" xfId="20108"/>
    <cellStyle name="Note 2 2 2 16 30" xfId="20109"/>
    <cellStyle name="Note 2 2 2 16 30 2" xfId="20110"/>
    <cellStyle name="Note 2 2 2 16 31" xfId="20111"/>
    <cellStyle name="Note 2 2 2 16 31 2" xfId="20112"/>
    <cellStyle name="Note 2 2 2 16 32" xfId="20113"/>
    <cellStyle name="Note 2 2 2 16 32 2" xfId="20114"/>
    <cellStyle name="Note 2 2 2 16 33" xfId="20115"/>
    <cellStyle name="Note 2 2 2 16 33 2" xfId="20116"/>
    <cellStyle name="Note 2 2 2 16 34" xfId="20117"/>
    <cellStyle name="Note 2 2 2 16 34 2" xfId="20118"/>
    <cellStyle name="Note 2 2 2 16 35" xfId="20119"/>
    <cellStyle name="Note 2 2 2 16 35 2" xfId="20120"/>
    <cellStyle name="Note 2 2 2 16 36" xfId="20121"/>
    <cellStyle name="Note 2 2 2 16 36 2" xfId="20122"/>
    <cellStyle name="Note 2 2 2 16 37" xfId="20123"/>
    <cellStyle name="Note 2 2 2 16 37 2" xfId="20124"/>
    <cellStyle name="Note 2 2 2 16 38" xfId="20125"/>
    <cellStyle name="Note 2 2 2 16 38 2" xfId="20126"/>
    <cellStyle name="Note 2 2 2 16 39" xfId="20127"/>
    <cellStyle name="Note 2 2 2 16 39 2" xfId="20128"/>
    <cellStyle name="Note 2 2 2 16 4" xfId="20129"/>
    <cellStyle name="Note 2 2 2 16 4 2" xfId="20130"/>
    <cellStyle name="Note 2 2 2 16 4 2 2" xfId="20131"/>
    <cellStyle name="Note 2 2 2 16 4 3" xfId="20132"/>
    <cellStyle name="Note 2 2 2 16 4 3 2" xfId="20133"/>
    <cellStyle name="Note 2 2 2 16 4 4" xfId="20134"/>
    <cellStyle name="Note 2 2 2 16 4 4 2" xfId="20135"/>
    <cellStyle name="Note 2 2 2 16 4 5" xfId="20136"/>
    <cellStyle name="Note 2 2 2 16 40" xfId="20137"/>
    <cellStyle name="Note 2 2 2 16 40 2" xfId="20138"/>
    <cellStyle name="Note 2 2 2 16 41" xfId="20139"/>
    <cellStyle name="Note 2 2 2 16 41 2" xfId="20140"/>
    <cellStyle name="Note 2 2 2 16 42" xfId="20141"/>
    <cellStyle name="Note 2 2 2 16 42 2" xfId="20142"/>
    <cellStyle name="Note 2 2 2 16 43" xfId="20143"/>
    <cellStyle name="Note 2 2 2 16 43 2" xfId="20144"/>
    <cellStyle name="Note 2 2 2 16 44" xfId="20145"/>
    <cellStyle name="Note 2 2 2 16 44 2" xfId="20146"/>
    <cellStyle name="Note 2 2 2 16 45" xfId="20147"/>
    <cellStyle name="Note 2 2 2 16 45 2" xfId="20148"/>
    <cellStyle name="Note 2 2 2 16 46" xfId="20149"/>
    <cellStyle name="Note 2 2 2 16 46 2" xfId="20150"/>
    <cellStyle name="Note 2 2 2 16 47" xfId="20151"/>
    <cellStyle name="Note 2 2 2 16 47 2" xfId="20152"/>
    <cellStyle name="Note 2 2 2 16 48" xfId="20153"/>
    <cellStyle name="Note 2 2 2 16 48 2" xfId="20154"/>
    <cellStyle name="Note 2 2 2 16 49" xfId="20155"/>
    <cellStyle name="Note 2 2 2 16 49 2" xfId="20156"/>
    <cellStyle name="Note 2 2 2 16 5" xfId="20157"/>
    <cellStyle name="Note 2 2 2 16 5 2" xfId="20158"/>
    <cellStyle name="Note 2 2 2 16 5 2 2" xfId="20159"/>
    <cellStyle name="Note 2 2 2 16 5 3" xfId="20160"/>
    <cellStyle name="Note 2 2 2 16 5 3 2" xfId="20161"/>
    <cellStyle name="Note 2 2 2 16 5 4" xfId="20162"/>
    <cellStyle name="Note 2 2 2 16 5 4 2" xfId="20163"/>
    <cellStyle name="Note 2 2 2 16 5 5" xfId="20164"/>
    <cellStyle name="Note 2 2 2 16 50" xfId="20165"/>
    <cellStyle name="Note 2 2 2 16 50 2" xfId="20166"/>
    <cellStyle name="Note 2 2 2 16 51" xfId="20167"/>
    <cellStyle name="Note 2 2 2 16 51 2" xfId="20168"/>
    <cellStyle name="Note 2 2 2 16 52" xfId="20169"/>
    <cellStyle name="Note 2 2 2 16 52 2" xfId="20170"/>
    <cellStyle name="Note 2 2 2 16 53" xfId="20171"/>
    <cellStyle name="Note 2 2 2 16 53 2" xfId="20172"/>
    <cellStyle name="Note 2 2 2 16 54" xfId="20173"/>
    <cellStyle name="Note 2 2 2 16 54 2" xfId="20174"/>
    <cellStyle name="Note 2 2 2 16 55" xfId="20175"/>
    <cellStyle name="Note 2 2 2 16 55 2" xfId="20176"/>
    <cellStyle name="Note 2 2 2 16 56" xfId="20177"/>
    <cellStyle name="Note 2 2 2 16 56 2" xfId="20178"/>
    <cellStyle name="Note 2 2 2 16 57" xfId="20179"/>
    <cellStyle name="Note 2 2 2 16 57 2" xfId="20180"/>
    <cellStyle name="Note 2 2 2 16 58" xfId="20181"/>
    <cellStyle name="Note 2 2 2 16 58 2" xfId="20182"/>
    <cellStyle name="Note 2 2 2 16 59" xfId="20183"/>
    <cellStyle name="Note 2 2 2 16 59 2" xfId="20184"/>
    <cellStyle name="Note 2 2 2 16 6" xfId="20185"/>
    <cellStyle name="Note 2 2 2 16 6 2" xfId="20186"/>
    <cellStyle name="Note 2 2 2 16 6 2 2" xfId="20187"/>
    <cellStyle name="Note 2 2 2 16 6 3" xfId="20188"/>
    <cellStyle name="Note 2 2 2 16 6 3 2" xfId="20189"/>
    <cellStyle name="Note 2 2 2 16 6 4" xfId="20190"/>
    <cellStyle name="Note 2 2 2 16 6 4 2" xfId="20191"/>
    <cellStyle name="Note 2 2 2 16 6 5" xfId="20192"/>
    <cellStyle name="Note 2 2 2 16 60" xfId="20193"/>
    <cellStyle name="Note 2 2 2 16 60 2" xfId="20194"/>
    <cellStyle name="Note 2 2 2 16 61" xfId="20195"/>
    <cellStyle name="Note 2 2 2 16 61 2" xfId="20196"/>
    <cellStyle name="Note 2 2 2 16 62" xfId="20197"/>
    <cellStyle name="Note 2 2 2 16 7" xfId="20198"/>
    <cellStyle name="Note 2 2 2 16 7 2" xfId="20199"/>
    <cellStyle name="Note 2 2 2 16 7 2 2" xfId="20200"/>
    <cellStyle name="Note 2 2 2 16 7 3" xfId="20201"/>
    <cellStyle name="Note 2 2 2 16 7 3 2" xfId="20202"/>
    <cellStyle name="Note 2 2 2 16 7 4" xfId="20203"/>
    <cellStyle name="Note 2 2 2 16 7 4 2" xfId="20204"/>
    <cellStyle name="Note 2 2 2 16 7 5" xfId="20205"/>
    <cellStyle name="Note 2 2 2 16 8" xfId="20206"/>
    <cellStyle name="Note 2 2 2 16 8 2" xfId="20207"/>
    <cellStyle name="Note 2 2 2 16 8 2 2" xfId="20208"/>
    <cellStyle name="Note 2 2 2 16 8 3" xfId="20209"/>
    <cellStyle name="Note 2 2 2 16 8 3 2" xfId="20210"/>
    <cellStyle name="Note 2 2 2 16 8 4" xfId="20211"/>
    <cellStyle name="Note 2 2 2 16 8 4 2" xfId="20212"/>
    <cellStyle name="Note 2 2 2 16 8 5" xfId="20213"/>
    <cellStyle name="Note 2 2 2 16 9" xfId="20214"/>
    <cellStyle name="Note 2 2 2 16 9 2" xfId="20215"/>
    <cellStyle name="Note 2 2 2 16 9 2 2" xfId="20216"/>
    <cellStyle name="Note 2 2 2 16 9 3" xfId="20217"/>
    <cellStyle name="Note 2 2 2 16 9 3 2" xfId="20218"/>
    <cellStyle name="Note 2 2 2 16 9 4" xfId="20219"/>
    <cellStyle name="Note 2 2 2 16 9 4 2" xfId="20220"/>
    <cellStyle name="Note 2 2 2 16 9 5" xfId="20221"/>
    <cellStyle name="Note 2 2 2 17" xfId="20222"/>
    <cellStyle name="Note 2 2 2 17 10" xfId="20223"/>
    <cellStyle name="Note 2 2 2 17 10 2" xfId="20224"/>
    <cellStyle name="Note 2 2 2 17 10 2 2" xfId="20225"/>
    <cellStyle name="Note 2 2 2 17 10 3" xfId="20226"/>
    <cellStyle name="Note 2 2 2 17 10 3 2" xfId="20227"/>
    <cellStyle name="Note 2 2 2 17 10 4" xfId="20228"/>
    <cellStyle name="Note 2 2 2 17 10 4 2" xfId="20229"/>
    <cellStyle name="Note 2 2 2 17 10 5" xfId="20230"/>
    <cellStyle name="Note 2 2 2 17 11" xfId="20231"/>
    <cellStyle name="Note 2 2 2 17 11 2" xfId="20232"/>
    <cellStyle name="Note 2 2 2 17 11 2 2" xfId="20233"/>
    <cellStyle name="Note 2 2 2 17 11 3" xfId="20234"/>
    <cellStyle name="Note 2 2 2 17 11 3 2" xfId="20235"/>
    <cellStyle name="Note 2 2 2 17 11 4" xfId="20236"/>
    <cellStyle name="Note 2 2 2 17 11 4 2" xfId="20237"/>
    <cellStyle name="Note 2 2 2 17 11 5" xfId="20238"/>
    <cellStyle name="Note 2 2 2 17 12" xfId="20239"/>
    <cellStyle name="Note 2 2 2 17 12 2" xfId="20240"/>
    <cellStyle name="Note 2 2 2 17 12 2 2" xfId="20241"/>
    <cellStyle name="Note 2 2 2 17 12 3" xfId="20242"/>
    <cellStyle name="Note 2 2 2 17 12 3 2" xfId="20243"/>
    <cellStyle name="Note 2 2 2 17 12 4" xfId="20244"/>
    <cellStyle name="Note 2 2 2 17 12 4 2" xfId="20245"/>
    <cellStyle name="Note 2 2 2 17 12 5" xfId="20246"/>
    <cellStyle name="Note 2 2 2 17 13" xfId="20247"/>
    <cellStyle name="Note 2 2 2 17 13 2" xfId="20248"/>
    <cellStyle name="Note 2 2 2 17 13 2 2" xfId="20249"/>
    <cellStyle name="Note 2 2 2 17 13 3" xfId="20250"/>
    <cellStyle name="Note 2 2 2 17 13 3 2" xfId="20251"/>
    <cellStyle name="Note 2 2 2 17 13 4" xfId="20252"/>
    <cellStyle name="Note 2 2 2 17 13 4 2" xfId="20253"/>
    <cellStyle name="Note 2 2 2 17 13 5" xfId="20254"/>
    <cellStyle name="Note 2 2 2 17 14" xfId="20255"/>
    <cellStyle name="Note 2 2 2 17 14 2" xfId="20256"/>
    <cellStyle name="Note 2 2 2 17 14 2 2" xfId="20257"/>
    <cellStyle name="Note 2 2 2 17 14 3" xfId="20258"/>
    <cellStyle name="Note 2 2 2 17 14 3 2" xfId="20259"/>
    <cellStyle name="Note 2 2 2 17 14 4" xfId="20260"/>
    <cellStyle name="Note 2 2 2 17 14 4 2" xfId="20261"/>
    <cellStyle name="Note 2 2 2 17 14 5" xfId="20262"/>
    <cellStyle name="Note 2 2 2 17 15" xfId="20263"/>
    <cellStyle name="Note 2 2 2 17 15 2" xfId="20264"/>
    <cellStyle name="Note 2 2 2 17 16" xfId="20265"/>
    <cellStyle name="Note 2 2 2 17 16 2" xfId="20266"/>
    <cellStyle name="Note 2 2 2 17 17" xfId="20267"/>
    <cellStyle name="Note 2 2 2 17 17 2" xfId="20268"/>
    <cellStyle name="Note 2 2 2 17 18" xfId="20269"/>
    <cellStyle name="Note 2 2 2 17 18 2" xfId="20270"/>
    <cellStyle name="Note 2 2 2 17 19" xfId="20271"/>
    <cellStyle name="Note 2 2 2 17 19 2" xfId="20272"/>
    <cellStyle name="Note 2 2 2 17 2" xfId="20273"/>
    <cellStyle name="Note 2 2 2 17 2 10" xfId="20274"/>
    <cellStyle name="Note 2 2 2 17 2 10 2" xfId="20275"/>
    <cellStyle name="Note 2 2 2 17 2 11" xfId="20276"/>
    <cellStyle name="Note 2 2 2 17 2 11 2" xfId="20277"/>
    <cellStyle name="Note 2 2 2 17 2 12" xfId="20278"/>
    <cellStyle name="Note 2 2 2 17 2 12 2" xfId="20279"/>
    <cellStyle name="Note 2 2 2 17 2 13" xfId="20280"/>
    <cellStyle name="Note 2 2 2 17 2 13 2" xfId="20281"/>
    <cellStyle name="Note 2 2 2 17 2 14" xfId="20282"/>
    <cellStyle name="Note 2 2 2 17 2 14 2" xfId="20283"/>
    <cellStyle name="Note 2 2 2 17 2 15" xfId="20284"/>
    <cellStyle name="Note 2 2 2 17 2 15 2" xfId="20285"/>
    <cellStyle name="Note 2 2 2 17 2 16" xfId="20286"/>
    <cellStyle name="Note 2 2 2 17 2 16 2" xfId="20287"/>
    <cellStyle name="Note 2 2 2 17 2 17" xfId="20288"/>
    <cellStyle name="Note 2 2 2 17 2 17 2" xfId="20289"/>
    <cellStyle name="Note 2 2 2 17 2 18" xfId="20290"/>
    <cellStyle name="Note 2 2 2 17 2 18 2" xfId="20291"/>
    <cellStyle name="Note 2 2 2 17 2 19" xfId="20292"/>
    <cellStyle name="Note 2 2 2 17 2 19 2" xfId="20293"/>
    <cellStyle name="Note 2 2 2 17 2 2" xfId="20294"/>
    <cellStyle name="Note 2 2 2 17 2 2 2" xfId="20295"/>
    <cellStyle name="Note 2 2 2 17 2 2 3" xfId="20296"/>
    <cellStyle name="Note 2 2 2 17 2 20" xfId="20297"/>
    <cellStyle name="Note 2 2 2 17 2 20 2" xfId="20298"/>
    <cellStyle name="Note 2 2 2 17 2 21" xfId="20299"/>
    <cellStyle name="Note 2 2 2 17 2 21 2" xfId="20300"/>
    <cellStyle name="Note 2 2 2 17 2 22" xfId="20301"/>
    <cellStyle name="Note 2 2 2 17 2 22 2" xfId="20302"/>
    <cellStyle name="Note 2 2 2 17 2 23" xfId="20303"/>
    <cellStyle name="Note 2 2 2 17 2 23 2" xfId="20304"/>
    <cellStyle name="Note 2 2 2 17 2 24" xfId="20305"/>
    <cellStyle name="Note 2 2 2 17 2 24 2" xfId="20306"/>
    <cellStyle name="Note 2 2 2 17 2 25" xfId="20307"/>
    <cellStyle name="Note 2 2 2 17 2 25 2" xfId="20308"/>
    <cellStyle name="Note 2 2 2 17 2 26" xfId="20309"/>
    <cellStyle name="Note 2 2 2 17 2 26 2" xfId="20310"/>
    <cellStyle name="Note 2 2 2 17 2 27" xfId="20311"/>
    <cellStyle name="Note 2 2 2 17 2 27 2" xfId="20312"/>
    <cellStyle name="Note 2 2 2 17 2 28" xfId="20313"/>
    <cellStyle name="Note 2 2 2 17 2 28 2" xfId="20314"/>
    <cellStyle name="Note 2 2 2 17 2 29" xfId="20315"/>
    <cellStyle name="Note 2 2 2 17 2 29 2" xfId="20316"/>
    <cellStyle name="Note 2 2 2 17 2 3" xfId="20317"/>
    <cellStyle name="Note 2 2 2 17 2 3 2" xfId="20318"/>
    <cellStyle name="Note 2 2 2 17 2 3 3" xfId="20319"/>
    <cellStyle name="Note 2 2 2 17 2 30" xfId="20320"/>
    <cellStyle name="Note 2 2 2 17 2 30 2" xfId="20321"/>
    <cellStyle name="Note 2 2 2 17 2 31" xfId="20322"/>
    <cellStyle name="Note 2 2 2 17 2 4" xfId="20323"/>
    <cellStyle name="Note 2 2 2 17 2 4 2" xfId="20324"/>
    <cellStyle name="Note 2 2 2 17 2 5" xfId="20325"/>
    <cellStyle name="Note 2 2 2 17 2 5 2" xfId="20326"/>
    <cellStyle name="Note 2 2 2 17 2 6" xfId="20327"/>
    <cellStyle name="Note 2 2 2 17 2 6 2" xfId="20328"/>
    <cellStyle name="Note 2 2 2 17 2 7" xfId="20329"/>
    <cellStyle name="Note 2 2 2 17 2 7 2" xfId="20330"/>
    <cellStyle name="Note 2 2 2 17 2 8" xfId="20331"/>
    <cellStyle name="Note 2 2 2 17 2 8 2" xfId="20332"/>
    <cellStyle name="Note 2 2 2 17 2 9" xfId="20333"/>
    <cellStyle name="Note 2 2 2 17 2 9 2" xfId="20334"/>
    <cellStyle name="Note 2 2 2 17 20" xfId="20335"/>
    <cellStyle name="Note 2 2 2 17 20 2" xfId="20336"/>
    <cellStyle name="Note 2 2 2 17 21" xfId="20337"/>
    <cellStyle name="Note 2 2 2 17 21 2" xfId="20338"/>
    <cellStyle name="Note 2 2 2 17 22" xfId="20339"/>
    <cellStyle name="Note 2 2 2 17 22 2" xfId="20340"/>
    <cellStyle name="Note 2 2 2 17 23" xfId="20341"/>
    <cellStyle name="Note 2 2 2 17 23 2" xfId="20342"/>
    <cellStyle name="Note 2 2 2 17 24" xfId="20343"/>
    <cellStyle name="Note 2 2 2 17 24 2" xfId="20344"/>
    <cellStyle name="Note 2 2 2 17 25" xfId="20345"/>
    <cellStyle name="Note 2 2 2 17 25 2" xfId="20346"/>
    <cellStyle name="Note 2 2 2 17 26" xfId="20347"/>
    <cellStyle name="Note 2 2 2 17 26 2" xfId="20348"/>
    <cellStyle name="Note 2 2 2 17 27" xfId="20349"/>
    <cellStyle name="Note 2 2 2 17 27 2" xfId="20350"/>
    <cellStyle name="Note 2 2 2 17 28" xfId="20351"/>
    <cellStyle name="Note 2 2 2 17 28 2" xfId="20352"/>
    <cellStyle name="Note 2 2 2 17 29" xfId="20353"/>
    <cellStyle name="Note 2 2 2 17 29 2" xfId="20354"/>
    <cellStyle name="Note 2 2 2 17 3" xfId="20355"/>
    <cellStyle name="Note 2 2 2 17 3 2" xfId="20356"/>
    <cellStyle name="Note 2 2 2 17 3 2 2" xfId="20357"/>
    <cellStyle name="Note 2 2 2 17 3 3" xfId="20358"/>
    <cellStyle name="Note 2 2 2 17 3 3 2" xfId="20359"/>
    <cellStyle name="Note 2 2 2 17 3 4" xfId="20360"/>
    <cellStyle name="Note 2 2 2 17 3 4 2" xfId="20361"/>
    <cellStyle name="Note 2 2 2 17 3 5" xfId="20362"/>
    <cellStyle name="Note 2 2 2 17 30" xfId="20363"/>
    <cellStyle name="Note 2 2 2 17 30 2" xfId="20364"/>
    <cellStyle name="Note 2 2 2 17 31" xfId="20365"/>
    <cellStyle name="Note 2 2 2 17 31 2" xfId="20366"/>
    <cellStyle name="Note 2 2 2 17 32" xfId="20367"/>
    <cellStyle name="Note 2 2 2 17 32 2" xfId="20368"/>
    <cellStyle name="Note 2 2 2 17 33" xfId="20369"/>
    <cellStyle name="Note 2 2 2 17 33 2" xfId="20370"/>
    <cellStyle name="Note 2 2 2 17 34" xfId="20371"/>
    <cellStyle name="Note 2 2 2 17 34 2" xfId="20372"/>
    <cellStyle name="Note 2 2 2 17 35" xfId="20373"/>
    <cellStyle name="Note 2 2 2 17 35 2" xfId="20374"/>
    <cellStyle name="Note 2 2 2 17 36" xfId="20375"/>
    <cellStyle name="Note 2 2 2 17 36 2" xfId="20376"/>
    <cellStyle name="Note 2 2 2 17 37" xfId="20377"/>
    <cellStyle name="Note 2 2 2 17 37 2" xfId="20378"/>
    <cellStyle name="Note 2 2 2 17 38" xfId="20379"/>
    <cellStyle name="Note 2 2 2 17 38 2" xfId="20380"/>
    <cellStyle name="Note 2 2 2 17 39" xfId="20381"/>
    <cellStyle name="Note 2 2 2 17 39 2" xfId="20382"/>
    <cellStyle name="Note 2 2 2 17 4" xfId="20383"/>
    <cellStyle name="Note 2 2 2 17 4 2" xfId="20384"/>
    <cellStyle name="Note 2 2 2 17 4 2 2" xfId="20385"/>
    <cellStyle name="Note 2 2 2 17 4 3" xfId="20386"/>
    <cellStyle name="Note 2 2 2 17 4 3 2" xfId="20387"/>
    <cellStyle name="Note 2 2 2 17 4 4" xfId="20388"/>
    <cellStyle name="Note 2 2 2 17 4 4 2" xfId="20389"/>
    <cellStyle name="Note 2 2 2 17 4 5" xfId="20390"/>
    <cellStyle name="Note 2 2 2 17 40" xfId="20391"/>
    <cellStyle name="Note 2 2 2 17 40 2" xfId="20392"/>
    <cellStyle name="Note 2 2 2 17 41" xfId="20393"/>
    <cellStyle name="Note 2 2 2 17 41 2" xfId="20394"/>
    <cellStyle name="Note 2 2 2 17 42" xfId="20395"/>
    <cellStyle name="Note 2 2 2 17 42 2" xfId="20396"/>
    <cellStyle name="Note 2 2 2 17 43" xfId="20397"/>
    <cellStyle name="Note 2 2 2 17 43 2" xfId="20398"/>
    <cellStyle name="Note 2 2 2 17 44" xfId="20399"/>
    <cellStyle name="Note 2 2 2 17 44 2" xfId="20400"/>
    <cellStyle name="Note 2 2 2 17 45" xfId="20401"/>
    <cellStyle name="Note 2 2 2 17 45 2" xfId="20402"/>
    <cellStyle name="Note 2 2 2 17 46" xfId="20403"/>
    <cellStyle name="Note 2 2 2 17 46 2" xfId="20404"/>
    <cellStyle name="Note 2 2 2 17 47" xfId="20405"/>
    <cellStyle name="Note 2 2 2 17 47 2" xfId="20406"/>
    <cellStyle name="Note 2 2 2 17 48" xfId="20407"/>
    <cellStyle name="Note 2 2 2 17 48 2" xfId="20408"/>
    <cellStyle name="Note 2 2 2 17 49" xfId="20409"/>
    <cellStyle name="Note 2 2 2 17 49 2" xfId="20410"/>
    <cellStyle name="Note 2 2 2 17 5" xfId="20411"/>
    <cellStyle name="Note 2 2 2 17 5 2" xfId="20412"/>
    <cellStyle name="Note 2 2 2 17 5 2 2" xfId="20413"/>
    <cellStyle name="Note 2 2 2 17 5 3" xfId="20414"/>
    <cellStyle name="Note 2 2 2 17 5 3 2" xfId="20415"/>
    <cellStyle name="Note 2 2 2 17 5 4" xfId="20416"/>
    <cellStyle name="Note 2 2 2 17 5 4 2" xfId="20417"/>
    <cellStyle name="Note 2 2 2 17 5 5" xfId="20418"/>
    <cellStyle name="Note 2 2 2 17 50" xfId="20419"/>
    <cellStyle name="Note 2 2 2 17 50 2" xfId="20420"/>
    <cellStyle name="Note 2 2 2 17 51" xfId="20421"/>
    <cellStyle name="Note 2 2 2 17 51 2" xfId="20422"/>
    <cellStyle name="Note 2 2 2 17 52" xfId="20423"/>
    <cellStyle name="Note 2 2 2 17 52 2" xfId="20424"/>
    <cellStyle name="Note 2 2 2 17 53" xfId="20425"/>
    <cellStyle name="Note 2 2 2 17 53 2" xfId="20426"/>
    <cellStyle name="Note 2 2 2 17 54" xfId="20427"/>
    <cellStyle name="Note 2 2 2 17 54 2" xfId="20428"/>
    <cellStyle name="Note 2 2 2 17 55" xfId="20429"/>
    <cellStyle name="Note 2 2 2 17 55 2" xfId="20430"/>
    <cellStyle name="Note 2 2 2 17 56" xfId="20431"/>
    <cellStyle name="Note 2 2 2 17 56 2" xfId="20432"/>
    <cellStyle name="Note 2 2 2 17 57" xfId="20433"/>
    <cellStyle name="Note 2 2 2 17 57 2" xfId="20434"/>
    <cellStyle name="Note 2 2 2 17 58" xfId="20435"/>
    <cellStyle name="Note 2 2 2 17 58 2" xfId="20436"/>
    <cellStyle name="Note 2 2 2 17 59" xfId="20437"/>
    <cellStyle name="Note 2 2 2 17 59 2" xfId="20438"/>
    <cellStyle name="Note 2 2 2 17 6" xfId="20439"/>
    <cellStyle name="Note 2 2 2 17 6 2" xfId="20440"/>
    <cellStyle name="Note 2 2 2 17 6 2 2" xfId="20441"/>
    <cellStyle name="Note 2 2 2 17 6 3" xfId="20442"/>
    <cellStyle name="Note 2 2 2 17 6 3 2" xfId="20443"/>
    <cellStyle name="Note 2 2 2 17 6 4" xfId="20444"/>
    <cellStyle name="Note 2 2 2 17 6 4 2" xfId="20445"/>
    <cellStyle name="Note 2 2 2 17 6 5" xfId="20446"/>
    <cellStyle name="Note 2 2 2 17 60" xfId="20447"/>
    <cellStyle name="Note 2 2 2 17 60 2" xfId="20448"/>
    <cellStyle name="Note 2 2 2 17 61" xfId="20449"/>
    <cellStyle name="Note 2 2 2 17 61 2" xfId="20450"/>
    <cellStyle name="Note 2 2 2 17 62" xfId="20451"/>
    <cellStyle name="Note 2 2 2 17 7" xfId="20452"/>
    <cellStyle name="Note 2 2 2 17 7 2" xfId="20453"/>
    <cellStyle name="Note 2 2 2 17 7 2 2" xfId="20454"/>
    <cellStyle name="Note 2 2 2 17 7 3" xfId="20455"/>
    <cellStyle name="Note 2 2 2 17 7 3 2" xfId="20456"/>
    <cellStyle name="Note 2 2 2 17 7 4" xfId="20457"/>
    <cellStyle name="Note 2 2 2 17 7 4 2" xfId="20458"/>
    <cellStyle name="Note 2 2 2 17 7 5" xfId="20459"/>
    <cellStyle name="Note 2 2 2 17 8" xfId="20460"/>
    <cellStyle name="Note 2 2 2 17 8 2" xfId="20461"/>
    <cellStyle name="Note 2 2 2 17 8 2 2" xfId="20462"/>
    <cellStyle name="Note 2 2 2 17 8 3" xfId="20463"/>
    <cellStyle name="Note 2 2 2 17 8 3 2" xfId="20464"/>
    <cellStyle name="Note 2 2 2 17 8 4" xfId="20465"/>
    <cellStyle name="Note 2 2 2 17 8 4 2" xfId="20466"/>
    <cellStyle name="Note 2 2 2 17 8 5" xfId="20467"/>
    <cellStyle name="Note 2 2 2 17 9" xfId="20468"/>
    <cellStyle name="Note 2 2 2 17 9 2" xfId="20469"/>
    <cellStyle name="Note 2 2 2 17 9 2 2" xfId="20470"/>
    <cellStyle name="Note 2 2 2 17 9 3" xfId="20471"/>
    <cellStyle name="Note 2 2 2 17 9 3 2" xfId="20472"/>
    <cellStyle name="Note 2 2 2 17 9 4" xfId="20473"/>
    <cellStyle name="Note 2 2 2 17 9 4 2" xfId="20474"/>
    <cellStyle name="Note 2 2 2 17 9 5" xfId="20475"/>
    <cellStyle name="Note 2 2 2 18" xfId="20476"/>
    <cellStyle name="Note 2 2 2 18 10" xfId="20477"/>
    <cellStyle name="Note 2 2 2 18 10 2" xfId="20478"/>
    <cellStyle name="Note 2 2 2 18 10 2 2" xfId="20479"/>
    <cellStyle name="Note 2 2 2 18 10 3" xfId="20480"/>
    <cellStyle name="Note 2 2 2 18 10 3 2" xfId="20481"/>
    <cellStyle name="Note 2 2 2 18 10 4" xfId="20482"/>
    <cellStyle name="Note 2 2 2 18 10 4 2" xfId="20483"/>
    <cellStyle name="Note 2 2 2 18 10 5" xfId="20484"/>
    <cellStyle name="Note 2 2 2 18 11" xfId="20485"/>
    <cellStyle name="Note 2 2 2 18 11 2" xfId="20486"/>
    <cellStyle name="Note 2 2 2 18 11 2 2" xfId="20487"/>
    <cellStyle name="Note 2 2 2 18 11 3" xfId="20488"/>
    <cellStyle name="Note 2 2 2 18 11 3 2" xfId="20489"/>
    <cellStyle name="Note 2 2 2 18 11 4" xfId="20490"/>
    <cellStyle name="Note 2 2 2 18 11 4 2" xfId="20491"/>
    <cellStyle name="Note 2 2 2 18 11 5" xfId="20492"/>
    <cellStyle name="Note 2 2 2 18 12" xfId="20493"/>
    <cellStyle name="Note 2 2 2 18 12 2" xfId="20494"/>
    <cellStyle name="Note 2 2 2 18 12 2 2" xfId="20495"/>
    <cellStyle name="Note 2 2 2 18 12 3" xfId="20496"/>
    <cellStyle name="Note 2 2 2 18 12 3 2" xfId="20497"/>
    <cellStyle name="Note 2 2 2 18 12 4" xfId="20498"/>
    <cellStyle name="Note 2 2 2 18 12 4 2" xfId="20499"/>
    <cellStyle name="Note 2 2 2 18 12 5" xfId="20500"/>
    <cellStyle name="Note 2 2 2 18 13" xfId="20501"/>
    <cellStyle name="Note 2 2 2 18 13 2" xfId="20502"/>
    <cellStyle name="Note 2 2 2 18 13 2 2" xfId="20503"/>
    <cellStyle name="Note 2 2 2 18 13 3" xfId="20504"/>
    <cellStyle name="Note 2 2 2 18 13 3 2" xfId="20505"/>
    <cellStyle name="Note 2 2 2 18 13 4" xfId="20506"/>
    <cellStyle name="Note 2 2 2 18 13 4 2" xfId="20507"/>
    <cellStyle name="Note 2 2 2 18 13 5" xfId="20508"/>
    <cellStyle name="Note 2 2 2 18 14" xfId="20509"/>
    <cellStyle name="Note 2 2 2 18 14 2" xfId="20510"/>
    <cellStyle name="Note 2 2 2 18 14 2 2" xfId="20511"/>
    <cellStyle name="Note 2 2 2 18 14 3" xfId="20512"/>
    <cellStyle name="Note 2 2 2 18 14 3 2" xfId="20513"/>
    <cellStyle name="Note 2 2 2 18 14 4" xfId="20514"/>
    <cellStyle name="Note 2 2 2 18 14 4 2" xfId="20515"/>
    <cellStyle name="Note 2 2 2 18 14 5" xfId="20516"/>
    <cellStyle name="Note 2 2 2 18 15" xfId="20517"/>
    <cellStyle name="Note 2 2 2 18 15 2" xfId="20518"/>
    <cellStyle name="Note 2 2 2 18 16" xfId="20519"/>
    <cellStyle name="Note 2 2 2 18 16 2" xfId="20520"/>
    <cellStyle name="Note 2 2 2 18 17" xfId="20521"/>
    <cellStyle name="Note 2 2 2 18 17 2" xfId="20522"/>
    <cellStyle name="Note 2 2 2 18 18" xfId="20523"/>
    <cellStyle name="Note 2 2 2 18 18 2" xfId="20524"/>
    <cellStyle name="Note 2 2 2 18 19" xfId="20525"/>
    <cellStyle name="Note 2 2 2 18 19 2" xfId="20526"/>
    <cellStyle name="Note 2 2 2 18 2" xfId="20527"/>
    <cellStyle name="Note 2 2 2 18 2 10" xfId="20528"/>
    <cellStyle name="Note 2 2 2 18 2 10 2" xfId="20529"/>
    <cellStyle name="Note 2 2 2 18 2 11" xfId="20530"/>
    <cellStyle name="Note 2 2 2 18 2 11 2" xfId="20531"/>
    <cellStyle name="Note 2 2 2 18 2 12" xfId="20532"/>
    <cellStyle name="Note 2 2 2 18 2 12 2" xfId="20533"/>
    <cellStyle name="Note 2 2 2 18 2 13" xfId="20534"/>
    <cellStyle name="Note 2 2 2 18 2 13 2" xfId="20535"/>
    <cellStyle name="Note 2 2 2 18 2 14" xfId="20536"/>
    <cellStyle name="Note 2 2 2 18 2 14 2" xfId="20537"/>
    <cellStyle name="Note 2 2 2 18 2 15" xfId="20538"/>
    <cellStyle name="Note 2 2 2 18 2 15 2" xfId="20539"/>
    <cellStyle name="Note 2 2 2 18 2 16" xfId="20540"/>
    <cellStyle name="Note 2 2 2 18 2 16 2" xfId="20541"/>
    <cellStyle name="Note 2 2 2 18 2 17" xfId="20542"/>
    <cellStyle name="Note 2 2 2 18 2 17 2" xfId="20543"/>
    <cellStyle name="Note 2 2 2 18 2 18" xfId="20544"/>
    <cellStyle name="Note 2 2 2 18 2 18 2" xfId="20545"/>
    <cellStyle name="Note 2 2 2 18 2 19" xfId="20546"/>
    <cellStyle name="Note 2 2 2 18 2 19 2" xfId="20547"/>
    <cellStyle name="Note 2 2 2 18 2 2" xfId="20548"/>
    <cellStyle name="Note 2 2 2 18 2 2 2" xfId="20549"/>
    <cellStyle name="Note 2 2 2 18 2 2 3" xfId="20550"/>
    <cellStyle name="Note 2 2 2 18 2 20" xfId="20551"/>
    <cellStyle name="Note 2 2 2 18 2 20 2" xfId="20552"/>
    <cellStyle name="Note 2 2 2 18 2 21" xfId="20553"/>
    <cellStyle name="Note 2 2 2 18 2 21 2" xfId="20554"/>
    <cellStyle name="Note 2 2 2 18 2 22" xfId="20555"/>
    <cellStyle name="Note 2 2 2 18 2 22 2" xfId="20556"/>
    <cellStyle name="Note 2 2 2 18 2 23" xfId="20557"/>
    <cellStyle name="Note 2 2 2 18 2 23 2" xfId="20558"/>
    <cellStyle name="Note 2 2 2 18 2 24" xfId="20559"/>
    <cellStyle name="Note 2 2 2 18 2 24 2" xfId="20560"/>
    <cellStyle name="Note 2 2 2 18 2 25" xfId="20561"/>
    <cellStyle name="Note 2 2 2 18 2 25 2" xfId="20562"/>
    <cellStyle name="Note 2 2 2 18 2 26" xfId="20563"/>
    <cellStyle name="Note 2 2 2 18 2 26 2" xfId="20564"/>
    <cellStyle name="Note 2 2 2 18 2 27" xfId="20565"/>
    <cellStyle name="Note 2 2 2 18 2 27 2" xfId="20566"/>
    <cellStyle name="Note 2 2 2 18 2 28" xfId="20567"/>
    <cellStyle name="Note 2 2 2 18 2 28 2" xfId="20568"/>
    <cellStyle name="Note 2 2 2 18 2 29" xfId="20569"/>
    <cellStyle name="Note 2 2 2 18 2 29 2" xfId="20570"/>
    <cellStyle name="Note 2 2 2 18 2 3" xfId="20571"/>
    <cellStyle name="Note 2 2 2 18 2 3 2" xfId="20572"/>
    <cellStyle name="Note 2 2 2 18 2 3 3" xfId="20573"/>
    <cellStyle name="Note 2 2 2 18 2 30" xfId="20574"/>
    <cellStyle name="Note 2 2 2 18 2 30 2" xfId="20575"/>
    <cellStyle name="Note 2 2 2 18 2 31" xfId="20576"/>
    <cellStyle name="Note 2 2 2 18 2 4" xfId="20577"/>
    <cellStyle name="Note 2 2 2 18 2 4 2" xfId="20578"/>
    <cellStyle name="Note 2 2 2 18 2 5" xfId="20579"/>
    <cellStyle name="Note 2 2 2 18 2 5 2" xfId="20580"/>
    <cellStyle name="Note 2 2 2 18 2 6" xfId="20581"/>
    <cellStyle name="Note 2 2 2 18 2 6 2" xfId="20582"/>
    <cellStyle name="Note 2 2 2 18 2 7" xfId="20583"/>
    <cellStyle name="Note 2 2 2 18 2 7 2" xfId="20584"/>
    <cellStyle name="Note 2 2 2 18 2 8" xfId="20585"/>
    <cellStyle name="Note 2 2 2 18 2 8 2" xfId="20586"/>
    <cellStyle name="Note 2 2 2 18 2 9" xfId="20587"/>
    <cellStyle name="Note 2 2 2 18 2 9 2" xfId="20588"/>
    <cellStyle name="Note 2 2 2 18 20" xfId="20589"/>
    <cellStyle name="Note 2 2 2 18 20 2" xfId="20590"/>
    <cellStyle name="Note 2 2 2 18 21" xfId="20591"/>
    <cellStyle name="Note 2 2 2 18 21 2" xfId="20592"/>
    <cellStyle name="Note 2 2 2 18 22" xfId="20593"/>
    <cellStyle name="Note 2 2 2 18 22 2" xfId="20594"/>
    <cellStyle name="Note 2 2 2 18 23" xfId="20595"/>
    <cellStyle name="Note 2 2 2 18 23 2" xfId="20596"/>
    <cellStyle name="Note 2 2 2 18 24" xfId="20597"/>
    <cellStyle name="Note 2 2 2 18 24 2" xfId="20598"/>
    <cellStyle name="Note 2 2 2 18 25" xfId="20599"/>
    <cellStyle name="Note 2 2 2 18 25 2" xfId="20600"/>
    <cellStyle name="Note 2 2 2 18 26" xfId="20601"/>
    <cellStyle name="Note 2 2 2 18 26 2" xfId="20602"/>
    <cellStyle name="Note 2 2 2 18 27" xfId="20603"/>
    <cellStyle name="Note 2 2 2 18 27 2" xfId="20604"/>
    <cellStyle name="Note 2 2 2 18 28" xfId="20605"/>
    <cellStyle name="Note 2 2 2 18 28 2" xfId="20606"/>
    <cellStyle name="Note 2 2 2 18 29" xfId="20607"/>
    <cellStyle name="Note 2 2 2 18 29 2" xfId="20608"/>
    <cellStyle name="Note 2 2 2 18 3" xfId="20609"/>
    <cellStyle name="Note 2 2 2 18 3 2" xfId="20610"/>
    <cellStyle name="Note 2 2 2 18 3 2 2" xfId="20611"/>
    <cellStyle name="Note 2 2 2 18 3 3" xfId="20612"/>
    <cellStyle name="Note 2 2 2 18 3 3 2" xfId="20613"/>
    <cellStyle name="Note 2 2 2 18 3 4" xfId="20614"/>
    <cellStyle name="Note 2 2 2 18 3 4 2" xfId="20615"/>
    <cellStyle name="Note 2 2 2 18 3 5" xfId="20616"/>
    <cellStyle name="Note 2 2 2 18 30" xfId="20617"/>
    <cellStyle name="Note 2 2 2 18 30 2" xfId="20618"/>
    <cellStyle name="Note 2 2 2 18 31" xfId="20619"/>
    <cellStyle name="Note 2 2 2 18 31 2" xfId="20620"/>
    <cellStyle name="Note 2 2 2 18 32" xfId="20621"/>
    <cellStyle name="Note 2 2 2 18 32 2" xfId="20622"/>
    <cellStyle name="Note 2 2 2 18 33" xfId="20623"/>
    <cellStyle name="Note 2 2 2 18 33 2" xfId="20624"/>
    <cellStyle name="Note 2 2 2 18 34" xfId="20625"/>
    <cellStyle name="Note 2 2 2 18 34 2" xfId="20626"/>
    <cellStyle name="Note 2 2 2 18 35" xfId="20627"/>
    <cellStyle name="Note 2 2 2 18 35 2" xfId="20628"/>
    <cellStyle name="Note 2 2 2 18 36" xfId="20629"/>
    <cellStyle name="Note 2 2 2 18 36 2" xfId="20630"/>
    <cellStyle name="Note 2 2 2 18 37" xfId="20631"/>
    <cellStyle name="Note 2 2 2 18 37 2" xfId="20632"/>
    <cellStyle name="Note 2 2 2 18 38" xfId="20633"/>
    <cellStyle name="Note 2 2 2 18 38 2" xfId="20634"/>
    <cellStyle name="Note 2 2 2 18 39" xfId="20635"/>
    <cellStyle name="Note 2 2 2 18 39 2" xfId="20636"/>
    <cellStyle name="Note 2 2 2 18 4" xfId="20637"/>
    <cellStyle name="Note 2 2 2 18 4 2" xfId="20638"/>
    <cellStyle name="Note 2 2 2 18 4 2 2" xfId="20639"/>
    <cellStyle name="Note 2 2 2 18 4 3" xfId="20640"/>
    <cellStyle name="Note 2 2 2 18 4 3 2" xfId="20641"/>
    <cellStyle name="Note 2 2 2 18 4 4" xfId="20642"/>
    <cellStyle name="Note 2 2 2 18 4 4 2" xfId="20643"/>
    <cellStyle name="Note 2 2 2 18 4 5" xfId="20644"/>
    <cellStyle name="Note 2 2 2 18 40" xfId="20645"/>
    <cellStyle name="Note 2 2 2 18 40 2" xfId="20646"/>
    <cellStyle name="Note 2 2 2 18 41" xfId="20647"/>
    <cellStyle name="Note 2 2 2 18 41 2" xfId="20648"/>
    <cellStyle name="Note 2 2 2 18 42" xfId="20649"/>
    <cellStyle name="Note 2 2 2 18 42 2" xfId="20650"/>
    <cellStyle name="Note 2 2 2 18 43" xfId="20651"/>
    <cellStyle name="Note 2 2 2 18 43 2" xfId="20652"/>
    <cellStyle name="Note 2 2 2 18 44" xfId="20653"/>
    <cellStyle name="Note 2 2 2 18 44 2" xfId="20654"/>
    <cellStyle name="Note 2 2 2 18 45" xfId="20655"/>
    <cellStyle name="Note 2 2 2 18 45 2" xfId="20656"/>
    <cellStyle name="Note 2 2 2 18 46" xfId="20657"/>
    <cellStyle name="Note 2 2 2 18 46 2" xfId="20658"/>
    <cellStyle name="Note 2 2 2 18 47" xfId="20659"/>
    <cellStyle name="Note 2 2 2 18 47 2" xfId="20660"/>
    <cellStyle name="Note 2 2 2 18 48" xfId="20661"/>
    <cellStyle name="Note 2 2 2 18 48 2" xfId="20662"/>
    <cellStyle name="Note 2 2 2 18 49" xfId="20663"/>
    <cellStyle name="Note 2 2 2 18 49 2" xfId="20664"/>
    <cellStyle name="Note 2 2 2 18 5" xfId="20665"/>
    <cellStyle name="Note 2 2 2 18 5 2" xfId="20666"/>
    <cellStyle name="Note 2 2 2 18 5 2 2" xfId="20667"/>
    <cellStyle name="Note 2 2 2 18 5 3" xfId="20668"/>
    <cellStyle name="Note 2 2 2 18 5 3 2" xfId="20669"/>
    <cellStyle name="Note 2 2 2 18 5 4" xfId="20670"/>
    <cellStyle name="Note 2 2 2 18 5 4 2" xfId="20671"/>
    <cellStyle name="Note 2 2 2 18 5 5" xfId="20672"/>
    <cellStyle name="Note 2 2 2 18 50" xfId="20673"/>
    <cellStyle name="Note 2 2 2 18 50 2" xfId="20674"/>
    <cellStyle name="Note 2 2 2 18 51" xfId="20675"/>
    <cellStyle name="Note 2 2 2 18 51 2" xfId="20676"/>
    <cellStyle name="Note 2 2 2 18 52" xfId="20677"/>
    <cellStyle name="Note 2 2 2 18 52 2" xfId="20678"/>
    <cellStyle name="Note 2 2 2 18 53" xfId="20679"/>
    <cellStyle name="Note 2 2 2 18 53 2" xfId="20680"/>
    <cellStyle name="Note 2 2 2 18 54" xfId="20681"/>
    <cellStyle name="Note 2 2 2 18 54 2" xfId="20682"/>
    <cellStyle name="Note 2 2 2 18 55" xfId="20683"/>
    <cellStyle name="Note 2 2 2 18 55 2" xfId="20684"/>
    <cellStyle name="Note 2 2 2 18 56" xfId="20685"/>
    <cellStyle name="Note 2 2 2 18 56 2" xfId="20686"/>
    <cellStyle name="Note 2 2 2 18 57" xfId="20687"/>
    <cellStyle name="Note 2 2 2 18 57 2" xfId="20688"/>
    <cellStyle name="Note 2 2 2 18 58" xfId="20689"/>
    <cellStyle name="Note 2 2 2 18 58 2" xfId="20690"/>
    <cellStyle name="Note 2 2 2 18 59" xfId="20691"/>
    <cellStyle name="Note 2 2 2 18 59 2" xfId="20692"/>
    <cellStyle name="Note 2 2 2 18 6" xfId="20693"/>
    <cellStyle name="Note 2 2 2 18 6 2" xfId="20694"/>
    <cellStyle name="Note 2 2 2 18 6 2 2" xfId="20695"/>
    <cellStyle name="Note 2 2 2 18 6 3" xfId="20696"/>
    <cellStyle name="Note 2 2 2 18 6 3 2" xfId="20697"/>
    <cellStyle name="Note 2 2 2 18 6 4" xfId="20698"/>
    <cellStyle name="Note 2 2 2 18 6 4 2" xfId="20699"/>
    <cellStyle name="Note 2 2 2 18 6 5" xfId="20700"/>
    <cellStyle name="Note 2 2 2 18 60" xfId="20701"/>
    <cellStyle name="Note 2 2 2 18 60 2" xfId="20702"/>
    <cellStyle name="Note 2 2 2 18 61" xfId="20703"/>
    <cellStyle name="Note 2 2 2 18 61 2" xfId="20704"/>
    <cellStyle name="Note 2 2 2 18 62" xfId="20705"/>
    <cellStyle name="Note 2 2 2 18 7" xfId="20706"/>
    <cellStyle name="Note 2 2 2 18 7 2" xfId="20707"/>
    <cellStyle name="Note 2 2 2 18 7 2 2" xfId="20708"/>
    <cellStyle name="Note 2 2 2 18 7 3" xfId="20709"/>
    <cellStyle name="Note 2 2 2 18 7 3 2" xfId="20710"/>
    <cellStyle name="Note 2 2 2 18 7 4" xfId="20711"/>
    <cellStyle name="Note 2 2 2 18 7 4 2" xfId="20712"/>
    <cellStyle name="Note 2 2 2 18 7 5" xfId="20713"/>
    <cellStyle name="Note 2 2 2 18 8" xfId="20714"/>
    <cellStyle name="Note 2 2 2 18 8 2" xfId="20715"/>
    <cellStyle name="Note 2 2 2 18 8 2 2" xfId="20716"/>
    <cellStyle name="Note 2 2 2 18 8 3" xfId="20717"/>
    <cellStyle name="Note 2 2 2 18 8 3 2" xfId="20718"/>
    <cellStyle name="Note 2 2 2 18 8 4" xfId="20719"/>
    <cellStyle name="Note 2 2 2 18 8 4 2" xfId="20720"/>
    <cellStyle name="Note 2 2 2 18 8 5" xfId="20721"/>
    <cellStyle name="Note 2 2 2 18 9" xfId="20722"/>
    <cellStyle name="Note 2 2 2 18 9 2" xfId="20723"/>
    <cellStyle name="Note 2 2 2 18 9 2 2" xfId="20724"/>
    <cellStyle name="Note 2 2 2 18 9 3" xfId="20725"/>
    <cellStyle name="Note 2 2 2 18 9 3 2" xfId="20726"/>
    <cellStyle name="Note 2 2 2 18 9 4" xfId="20727"/>
    <cellStyle name="Note 2 2 2 18 9 4 2" xfId="20728"/>
    <cellStyle name="Note 2 2 2 18 9 5" xfId="20729"/>
    <cellStyle name="Note 2 2 2 19" xfId="20730"/>
    <cellStyle name="Note 2 2 2 19 10" xfId="20731"/>
    <cellStyle name="Note 2 2 2 19 10 2" xfId="20732"/>
    <cellStyle name="Note 2 2 2 19 10 2 2" xfId="20733"/>
    <cellStyle name="Note 2 2 2 19 10 3" xfId="20734"/>
    <cellStyle name="Note 2 2 2 19 10 3 2" xfId="20735"/>
    <cellStyle name="Note 2 2 2 19 10 4" xfId="20736"/>
    <cellStyle name="Note 2 2 2 19 10 4 2" xfId="20737"/>
    <cellStyle name="Note 2 2 2 19 10 5" xfId="20738"/>
    <cellStyle name="Note 2 2 2 19 11" xfId="20739"/>
    <cellStyle name="Note 2 2 2 19 11 2" xfId="20740"/>
    <cellStyle name="Note 2 2 2 19 11 2 2" xfId="20741"/>
    <cellStyle name="Note 2 2 2 19 11 3" xfId="20742"/>
    <cellStyle name="Note 2 2 2 19 11 3 2" xfId="20743"/>
    <cellStyle name="Note 2 2 2 19 11 4" xfId="20744"/>
    <cellStyle name="Note 2 2 2 19 11 4 2" xfId="20745"/>
    <cellStyle name="Note 2 2 2 19 11 5" xfId="20746"/>
    <cellStyle name="Note 2 2 2 19 12" xfId="20747"/>
    <cellStyle name="Note 2 2 2 19 12 2" xfId="20748"/>
    <cellStyle name="Note 2 2 2 19 12 2 2" xfId="20749"/>
    <cellStyle name="Note 2 2 2 19 12 3" xfId="20750"/>
    <cellStyle name="Note 2 2 2 19 12 3 2" xfId="20751"/>
    <cellStyle name="Note 2 2 2 19 12 4" xfId="20752"/>
    <cellStyle name="Note 2 2 2 19 12 4 2" xfId="20753"/>
    <cellStyle name="Note 2 2 2 19 12 5" xfId="20754"/>
    <cellStyle name="Note 2 2 2 19 13" xfId="20755"/>
    <cellStyle name="Note 2 2 2 19 13 2" xfId="20756"/>
    <cellStyle name="Note 2 2 2 19 13 2 2" xfId="20757"/>
    <cellStyle name="Note 2 2 2 19 13 3" xfId="20758"/>
    <cellStyle name="Note 2 2 2 19 13 3 2" xfId="20759"/>
    <cellStyle name="Note 2 2 2 19 13 4" xfId="20760"/>
    <cellStyle name="Note 2 2 2 19 13 4 2" xfId="20761"/>
    <cellStyle name="Note 2 2 2 19 13 5" xfId="20762"/>
    <cellStyle name="Note 2 2 2 19 14" xfId="20763"/>
    <cellStyle name="Note 2 2 2 19 14 2" xfId="20764"/>
    <cellStyle name="Note 2 2 2 19 14 2 2" xfId="20765"/>
    <cellStyle name="Note 2 2 2 19 14 3" xfId="20766"/>
    <cellStyle name="Note 2 2 2 19 14 3 2" xfId="20767"/>
    <cellStyle name="Note 2 2 2 19 14 4" xfId="20768"/>
    <cellStyle name="Note 2 2 2 19 14 4 2" xfId="20769"/>
    <cellStyle name="Note 2 2 2 19 14 5" xfId="20770"/>
    <cellStyle name="Note 2 2 2 19 15" xfId="20771"/>
    <cellStyle name="Note 2 2 2 19 15 2" xfId="20772"/>
    <cellStyle name="Note 2 2 2 19 16" xfId="20773"/>
    <cellStyle name="Note 2 2 2 19 16 2" xfId="20774"/>
    <cellStyle name="Note 2 2 2 19 17" xfId="20775"/>
    <cellStyle name="Note 2 2 2 19 17 2" xfId="20776"/>
    <cellStyle name="Note 2 2 2 19 18" xfId="20777"/>
    <cellStyle name="Note 2 2 2 19 18 2" xfId="20778"/>
    <cellStyle name="Note 2 2 2 19 19" xfId="20779"/>
    <cellStyle name="Note 2 2 2 19 19 2" xfId="20780"/>
    <cellStyle name="Note 2 2 2 19 2" xfId="20781"/>
    <cellStyle name="Note 2 2 2 19 2 10" xfId="20782"/>
    <cellStyle name="Note 2 2 2 19 2 10 2" xfId="20783"/>
    <cellStyle name="Note 2 2 2 19 2 11" xfId="20784"/>
    <cellStyle name="Note 2 2 2 19 2 11 2" xfId="20785"/>
    <cellStyle name="Note 2 2 2 19 2 12" xfId="20786"/>
    <cellStyle name="Note 2 2 2 19 2 12 2" xfId="20787"/>
    <cellStyle name="Note 2 2 2 19 2 13" xfId="20788"/>
    <cellStyle name="Note 2 2 2 19 2 13 2" xfId="20789"/>
    <cellStyle name="Note 2 2 2 19 2 14" xfId="20790"/>
    <cellStyle name="Note 2 2 2 19 2 14 2" xfId="20791"/>
    <cellStyle name="Note 2 2 2 19 2 15" xfId="20792"/>
    <cellStyle name="Note 2 2 2 19 2 15 2" xfId="20793"/>
    <cellStyle name="Note 2 2 2 19 2 16" xfId="20794"/>
    <cellStyle name="Note 2 2 2 19 2 16 2" xfId="20795"/>
    <cellStyle name="Note 2 2 2 19 2 17" xfId="20796"/>
    <cellStyle name="Note 2 2 2 19 2 17 2" xfId="20797"/>
    <cellStyle name="Note 2 2 2 19 2 18" xfId="20798"/>
    <cellStyle name="Note 2 2 2 19 2 18 2" xfId="20799"/>
    <cellStyle name="Note 2 2 2 19 2 19" xfId="20800"/>
    <cellStyle name="Note 2 2 2 19 2 19 2" xfId="20801"/>
    <cellStyle name="Note 2 2 2 19 2 2" xfId="20802"/>
    <cellStyle name="Note 2 2 2 19 2 2 2" xfId="20803"/>
    <cellStyle name="Note 2 2 2 19 2 2 3" xfId="20804"/>
    <cellStyle name="Note 2 2 2 19 2 20" xfId="20805"/>
    <cellStyle name="Note 2 2 2 19 2 20 2" xfId="20806"/>
    <cellStyle name="Note 2 2 2 19 2 21" xfId="20807"/>
    <cellStyle name="Note 2 2 2 19 2 21 2" xfId="20808"/>
    <cellStyle name="Note 2 2 2 19 2 22" xfId="20809"/>
    <cellStyle name="Note 2 2 2 19 2 22 2" xfId="20810"/>
    <cellStyle name="Note 2 2 2 19 2 23" xfId="20811"/>
    <cellStyle name="Note 2 2 2 19 2 23 2" xfId="20812"/>
    <cellStyle name="Note 2 2 2 19 2 24" xfId="20813"/>
    <cellStyle name="Note 2 2 2 19 2 24 2" xfId="20814"/>
    <cellStyle name="Note 2 2 2 19 2 25" xfId="20815"/>
    <cellStyle name="Note 2 2 2 19 2 25 2" xfId="20816"/>
    <cellStyle name="Note 2 2 2 19 2 26" xfId="20817"/>
    <cellStyle name="Note 2 2 2 19 2 26 2" xfId="20818"/>
    <cellStyle name="Note 2 2 2 19 2 27" xfId="20819"/>
    <cellStyle name="Note 2 2 2 19 2 27 2" xfId="20820"/>
    <cellStyle name="Note 2 2 2 19 2 28" xfId="20821"/>
    <cellStyle name="Note 2 2 2 19 2 28 2" xfId="20822"/>
    <cellStyle name="Note 2 2 2 19 2 29" xfId="20823"/>
    <cellStyle name="Note 2 2 2 19 2 29 2" xfId="20824"/>
    <cellStyle name="Note 2 2 2 19 2 3" xfId="20825"/>
    <cellStyle name="Note 2 2 2 19 2 3 2" xfId="20826"/>
    <cellStyle name="Note 2 2 2 19 2 3 3" xfId="20827"/>
    <cellStyle name="Note 2 2 2 19 2 30" xfId="20828"/>
    <cellStyle name="Note 2 2 2 19 2 30 2" xfId="20829"/>
    <cellStyle name="Note 2 2 2 19 2 31" xfId="20830"/>
    <cellStyle name="Note 2 2 2 19 2 4" xfId="20831"/>
    <cellStyle name="Note 2 2 2 19 2 4 2" xfId="20832"/>
    <cellStyle name="Note 2 2 2 19 2 5" xfId="20833"/>
    <cellStyle name="Note 2 2 2 19 2 5 2" xfId="20834"/>
    <cellStyle name="Note 2 2 2 19 2 6" xfId="20835"/>
    <cellStyle name="Note 2 2 2 19 2 6 2" xfId="20836"/>
    <cellStyle name="Note 2 2 2 19 2 7" xfId="20837"/>
    <cellStyle name="Note 2 2 2 19 2 7 2" xfId="20838"/>
    <cellStyle name="Note 2 2 2 19 2 8" xfId="20839"/>
    <cellStyle name="Note 2 2 2 19 2 8 2" xfId="20840"/>
    <cellStyle name="Note 2 2 2 19 2 9" xfId="20841"/>
    <cellStyle name="Note 2 2 2 19 2 9 2" xfId="20842"/>
    <cellStyle name="Note 2 2 2 19 20" xfId="20843"/>
    <cellStyle name="Note 2 2 2 19 20 2" xfId="20844"/>
    <cellStyle name="Note 2 2 2 19 21" xfId="20845"/>
    <cellStyle name="Note 2 2 2 19 21 2" xfId="20846"/>
    <cellStyle name="Note 2 2 2 19 22" xfId="20847"/>
    <cellStyle name="Note 2 2 2 19 22 2" xfId="20848"/>
    <cellStyle name="Note 2 2 2 19 23" xfId="20849"/>
    <cellStyle name="Note 2 2 2 19 23 2" xfId="20850"/>
    <cellStyle name="Note 2 2 2 19 24" xfId="20851"/>
    <cellStyle name="Note 2 2 2 19 24 2" xfId="20852"/>
    <cellStyle name="Note 2 2 2 19 25" xfId="20853"/>
    <cellStyle name="Note 2 2 2 19 25 2" xfId="20854"/>
    <cellStyle name="Note 2 2 2 19 26" xfId="20855"/>
    <cellStyle name="Note 2 2 2 19 26 2" xfId="20856"/>
    <cellStyle name="Note 2 2 2 19 27" xfId="20857"/>
    <cellStyle name="Note 2 2 2 19 27 2" xfId="20858"/>
    <cellStyle name="Note 2 2 2 19 28" xfId="20859"/>
    <cellStyle name="Note 2 2 2 19 28 2" xfId="20860"/>
    <cellStyle name="Note 2 2 2 19 29" xfId="20861"/>
    <cellStyle name="Note 2 2 2 19 29 2" xfId="20862"/>
    <cellStyle name="Note 2 2 2 19 3" xfId="20863"/>
    <cellStyle name="Note 2 2 2 19 3 2" xfId="20864"/>
    <cellStyle name="Note 2 2 2 19 3 2 2" xfId="20865"/>
    <cellStyle name="Note 2 2 2 19 3 3" xfId="20866"/>
    <cellStyle name="Note 2 2 2 19 3 3 2" xfId="20867"/>
    <cellStyle name="Note 2 2 2 19 3 4" xfId="20868"/>
    <cellStyle name="Note 2 2 2 19 3 4 2" xfId="20869"/>
    <cellStyle name="Note 2 2 2 19 3 5" xfId="20870"/>
    <cellStyle name="Note 2 2 2 19 30" xfId="20871"/>
    <cellStyle name="Note 2 2 2 19 30 2" xfId="20872"/>
    <cellStyle name="Note 2 2 2 19 31" xfId="20873"/>
    <cellStyle name="Note 2 2 2 19 31 2" xfId="20874"/>
    <cellStyle name="Note 2 2 2 19 32" xfId="20875"/>
    <cellStyle name="Note 2 2 2 19 32 2" xfId="20876"/>
    <cellStyle name="Note 2 2 2 19 33" xfId="20877"/>
    <cellStyle name="Note 2 2 2 19 33 2" xfId="20878"/>
    <cellStyle name="Note 2 2 2 19 34" xfId="20879"/>
    <cellStyle name="Note 2 2 2 19 34 2" xfId="20880"/>
    <cellStyle name="Note 2 2 2 19 35" xfId="20881"/>
    <cellStyle name="Note 2 2 2 19 35 2" xfId="20882"/>
    <cellStyle name="Note 2 2 2 19 36" xfId="20883"/>
    <cellStyle name="Note 2 2 2 19 36 2" xfId="20884"/>
    <cellStyle name="Note 2 2 2 19 37" xfId="20885"/>
    <cellStyle name="Note 2 2 2 19 37 2" xfId="20886"/>
    <cellStyle name="Note 2 2 2 19 38" xfId="20887"/>
    <cellStyle name="Note 2 2 2 19 38 2" xfId="20888"/>
    <cellStyle name="Note 2 2 2 19 39" xfId="20889"/>
    <cellStyle name="Note 2 2 2 19 39 2" xfId="20890"/>
    <cellStyle name="Note 2 2 2 19 4" xfId="20891"/>
    <cellStyle name="Note 2 2 2 19 4 2" xfId="20892"/>
    <cellStyle name="Note 2 2 2 19 4 2 2" xfId="20893"/>
    <cellStyle name="Note 2 2 2 19 4 3" xfId="20894"/>
    <cellStyle name="Note 2 2 2 19 4 3 2" xfId="20895"/>
    <cellStyle name="Note 2 2 2 19 4 4" xfId="20896"/>
    <cellStyle name="Note 2 2 2 19 4 4 2" xfId="20897"/>
    <cellStyle name="Note 2 2 2 19 4 5" xfId="20898"/>
    <cellStyle name="Note 2 2 2 19 40" xfId="20899"/>
    <cellStyle name="Note 2 2 2 19 40 2" xfId="20900"/>
    <cellStyle name="Note 2 2 2 19 41" xfId="20901"/>
    <cellStyle name="Note 2 2 2 19 41 2" xfId="20902"/>
    <cellStyle name="Note 2 2 2 19 42" xfId="20903"/>
    <cellStyle name="Note 2 2 2 19 42 2" xfId="20904"/>
    <cellStyle name="Note 2 2 2 19 43" xfId="20905"/>
    <cellStyle name="Note 2 2 2 19 43 2" xfId="20906"/>
    <cellStyle name="Note 2 2 2 19 44" xfId="20907"/>
    <cellStyle name="Note 2 2 2 19 44 2" xfId="20908"/>
    <cellStyle name="Note 2 2 2 19 45" xfId="20909"/>
    <cellStyle name="Note 2 2 2 19 45 2" xfId="20910"/>
    <cellStyle name="Note 2 2 2 19 46" xfId="20911"/>
    <cellStyle name="Note 2 2 2 19 46 2" xfId="20912"/>
    <cellStyle name="Note 2 2 2 19 47" xfId="20913"/>
    <cellStyle name="Note 2 2 2 19 47 2" xfId="20914"/>
    <cellStyle name="Note 2 2 2 19 48" xfId="20915"/>
    <cellStyle name="Note 2 2 2 19 48 2" xfId="20916"/>
    <cellStyle name="Note 2 2 2 19 49" xfId="20917"/>
    <cellStyle name="Note 2 2 2 19 49 2" xfId="20918"/>
    <cellStyle name="Note 2 2 2 19 5" xfId="20919"/>
    <cellStyle name="Note 2 2 2 19 5 2" xfId="20920"/>
    <cellStyle name="Note 2 2 2 19 5 2 2" xfId="20921"/>
    <cellStyle name="Note 2 2 2 19 5 3" xfId="20922"/>
    <cellStyle name="Note 2 2 2 19 5 3 2" xfId="20923"/>
    <cellStyle name="Note 2 2 2 19 5 4" xfId="20924"/>
    <cellStyle name="Note 2 2 2 19 5 4 2" xfId="20925"/>
    <cellStyle name="Note 2 2 2 19 5 5" xfId="20926"/>
    <cellStyle name="Note 2 2 2 19 50" xfId="20927"/>
    <cellStyle name="Note 2 2 2 19 50 2" xfId="20928"/>
    <cellStyle name="Note 2 2 2 19 51" xfId="20929"/>
    <cellStyle name="Note 2 2 2 19 51 2" xfId="20930"/>
    <cellStyle name="Note 2 2 2 19 52" xfId="20931"/>
    <cellStyle name="Note 2 2 2 19 52 2" xfId="20932"/>
    <cellStyle name="Note 2 2 2 19 53" xfId="20933"/>
    <cellStyle name="Note 2 2 2 19 53 2" xfId="20934"/>
    <cellStyle name="Note 2 2 2 19 54" xfId="20935"/>
    <cellStyle name="Note 2 2 2 19 54 2" xfId="20936"/>
    <cellStyle name="Note 2 2 2 19 55" xfId="20937"/>
    <cellStyle name="Note 2 2 2 19 55 2" xfId="20938"/>
    <cellStyle name="Note 2 2 2 19 56" xfId="20939"/>
    <cellStyle name="Note 2 2 2 19 56 2" xfId="20940"/>
    <cellStyle name="Note 2 2 2 19 57" xfId="20941"/>
    <cellStyle name="Note 2 2 2 19 57 2" xfId="20942"/>
    <cellStyle name="Note 2 2 2 19 58" xfId="20943"/>
    <cellStyle name="Note 2 2 2 19 58 2" xfId="20944"/>
    <cellStyle name="Note 2 2 2 19 59" xfId="20945"/>
    <cellStyle name="Note 2 2 2 19 59 2" xfId="20946"/>
    <cellStyle name="Note 2 2 2 19 6" xfId="20947"/>
    <cellStyle name="Note 2 2 2 19 6 2" xfId="20948"/>
    <cellStyle name="Note 2 2 2 19 6 2 2" xfId="20949"/>
    <cellStyle name="Note 2 2 2 19 6 3" xfId="20950"/>
    <cellStyle name="Note 2 2 2 19 6 3 2" xfId="20951"/>
    <cellStyle name="Note 2 2 2 19 6 4" xfId="20952"/>
    <cellStyle name="Note 2 2 2 19 6 4 2" xfId="20953"/>
    <cellStyle name="Note 2 2 2 19 6 5" xfId="20954"/>
    <cellStyle name="Note 2 2 2 19 60" xfId="20955"/>
    <cellStyle name="Note 2 2 2 19 60 2" xfId="20956"/>
    <cellStyle name="Note 2 2 2 19 61" xfId="20957"/>
    <cellStyle name="Note 2 2 2 19 61 2" xfId="20958"/>
    <cellStyle name="Note 2 2 2 19 62" xfId="20959"/>
    <cellStyle name="Note 2 2 2 19 7" xfId="20960"/>
    <cellStyle name="Note 2 2 2 19 7 2" xfId="20961"/>
    <cellStyle name="Note 2 2 2 19 7 2 2" xfId="20962"/>
    <cellStyle name="Note 2 2 2 19 7 3" xfId="20963"/>
    <cellStyle name="Note 2 2 2 19 7 3 2" xfId="20964"/>
    <cellStyle name="Note 2 2 2 19 7 4" xfId="20965"/>
    <cellStyle name="Note 2 2 2 19 7 4 2" xfId="20966"/>
    <cellStyle name="Note 2 2 2 19 7 5" xfId="20967"/>
    <cellStyle name="Note 2 2 2 19 8" xfId="20968"/>
    <cellStyle name="Note 2 2 2 19 8 2" xfId="20969"/>
    <cellStyle name="Note 2 2 2 19 8 2 2" xfId="20970"/>
    <cellStyle name="Note 2 2 2 19 8 3" xfId="20971"/>
    <cellStyle name="Note 2 2 2 19 8 3 2" xfId="20972"/>
    <cellStyle name="Note 2 2 2 19 8 4" xfId="20973"/>
    <cellStyle name="Note 2 2 2 19 8 4 2" xfId="20974"/>
    <cellStyle name="Note 2 2 2 19 8 5" xfId="20975"/>
    <cellStyle name="Note 2 2 2 19 9" xfId="20976"/>
    <cellStyle name="Note 2 2 2 19 9 2" xfId="20977"/>
    <cellStyle name="Note 2 2 2 19 9 2 2" xfId="20978"/>
    <cellStyle name="Note 2 2 2 19 9 3" xfId="20979"/>
    <cellStyle name="Note 2 2 2 19 9 3 2" xfId="20980"/>
    <cellStyle name="Note 2 2 2 19 9 4" xfId="20981"/>
    <cellStyle name="Note 2 2 2 19 9 4 2" xfId="20982"/>
    <cellStyle name="Note 2 2 2 19 9 5" xfId="20983"/>
    <cellStyle name="Note 2 2 2 2" xfId="20984"/>
    <cellStyle name="Note 2 2 2 2 10" xfId="20985"/>
    <cellStyle name="Note 2 2 2 2 10 2" xfId="20986"/>
    <cellStyle name="Note 2 2 2 2 10 2 2" xfId="20987"/>
    <cellStyle name="Note 2 2 2 2 10 3" xfId="20988"/>
    <cellStyle name="Note 2 2 2 2 10 3 2" xfId="20989"/>
    <cellStyle name="Note 2 2 2 2 10 4" xfId="20990"/>
    <cellStyle name="Note 2 2 2 2 10 4 2" xfId="20991"/>
    <cellStyle name="Note 2 2 2 2 10 5" xfId="20992"/>
    <cellStyle name="Note 2 2 2 2 11" xfId="20993"/>
    <cellStyle name="Note 2 2 2 2 11 2" xfId="20994"/>
    <cellStyle name="Note 2 2 2 2 11 2 2" xfId="20995"/>
    <cellStyle name="Note 2 2 2 2 11 3" xfId="20996"/>
    <cellStyle name="Note 2 2 2 2 11 3 2" xfId="20997"/>
    <cellStyle name="Note 2 2 2 2 11 4" xfId="20998"/>
    <cellStyle name="Note 2 2 2 2 11 4 2" xfId="20999"/>
    <cellStyle name="Note 2 2 2 2 11 5" xfId="21000"/>
    <cellStyle name="Note 2 2 2 2 12" xfId="21001"/>
    <cellStyle name="Note 2 2 2 2 12 2" xfId="21002"/>
    <cellStyle name="Note 2 2 2 2 12 2 2" xfId="21003"/>
    <cellStyle name="Note 2 2 2 2 12 3" xfId="21004"/>
    <cellStyle name="Note 2 2 2 2 12 3 2" xfId="21005"/>
    <cellStyle name="Note 2 2 2 2 12 4" xfId="21006"/>
    <cellStyle name="Note 2 2 2 2 12 4 2" xfId="21007"/>
    <cellStyle name="Note 2 2 2 2 12 5" xfId="21008"/>
    <cellStyle name="Note 2 2 2 2 13" xfId="21009"/>
    <cellStyle name="Note 2 2 2 2 13 2" xfId="21010"/>
    <cellStyle name="Note 2 2 2 2 13 2 2" xfId="21011"/>
    <cellStyle name="Note 2 2 2 2 13 3" xfId="21012"/>
    <cellStyle name="Note 2 2 2 2 13 3 2" xfId="21013"/>
    <cellStyle name="Note 2 2 2 2 13 4" xfId="21014"/>
    <cellStyle name="Note 2 2 2 2 13 4 2" xfId="21015"/>
    <cellStyle name="Note 2 2 2 2 13 5" xfId="21016"/>
    <cellStyle name="Note 2 2 2 2 14" xfId="21017"/>
    <cellStyle name="Note 2 2 2 2 14 2" xfId="21018"/>
    <cellStyle name="Note 2 2 2 2 14 2 2" xfId="21019"/>
    <cellStyle name="Note 2 2 2 2 14 3" xfId="21020"/>
    <cellStyle name="Note 2 2 2 2 14 3 2" xfId="21021"/>
    <cellStyle name="Note 2 2 2 2 14 4" xfId="21022"/>
    <cellStyle name="Note 2 2 2 2 14 4 2" xfId="21023"/>
    <cellStyle name="Note 2 2 2 2 14 5" xfId="21024"/>
    <cellStyle name="Note 2 2 2 2 15" xfId="21025"/>
    <cellStyle name="Note 2 2 2 2 15 2" xfId="21026"/>
    <cellStyle name="Note 2 2 2 2 15 2 2" xfId="21027"/>
    <cellStyle name="Note 2 2 2 2 15 3" xfId="21028"/>
    <cellStyle name="Note 2 2 2 2 15 3 2" xfId="21029"/>
    <cellStyle name="Note 2 2 2 2 15 4" xfId="21030"/>
    <cellStyle name="Note 2 2 2 2 15 4 2" xfId="21031"/>
    <cellStyle name="Note 2 2 2 2 15 5" xfId="21032"/>
    <cellStyle name="Note 2 2 2 2 16" xfId="21033"/>
    <cellStyle name="Note 2 2 2 2 16 2" xfId="21034"/>
    <cellStyle name="Note 2 2 2 2 16 2 2" xfId="21035"/>
    <cellStyle name="Note 2 2 2 2 16 3" xfId="21036"/>
    <cellStyle name="Note 2 2 2 2 16 3 2" xfId="21037"/>
    <cellStyle name="Note 2 2 2 2 16 4" xfId="21038"/>
    <cellStyle name="Note 2 2 2 2 16 4 2" xfId="21039"/>
    <cellStyle name="Note 2 2 2 2 16 5" xfId="21040"/>
    <cellStyle name="Note 2 2 2 2 17" xfId="21041"/>
    <cellStyle name="Note 2 2 2 2 17 2" xfId="21042"/>
    <cellStyle name="Note 2 2 2 2 17 2 2" xfId="21043"/>
    <cellStyle name="Note 2 2 2 2 17 3" xfId="21044"/>
    <cellStyle name="Note 2 2 2 2 17 3 2" xfId="21045"/>
    <cellStyle name="Note 2 2 2 2 17 4" xfId="21046"/>
    <cellStyle name="Note 2 2 2 2 17 4 2" xfId="21047"/>
    <cellStyle name="Note 2 2 2 2 17 5" xfId="21048"/>
    <cellStyle name="Note 2 2 2 2 18" xfId="21049"/>
    <cellStyle name="Note 2 2 2 2 18 2" xfId="21050"/>
    <cellStyle name="Note 2 2 2 2 18 2 2" xfId="21051"/>
    <cellStyle name="Note 2 2 2 2 18 3" xfId="21052"/>
    <cellStyle name="Note 2 2 2 2 18 3 2" xfId="21053"/>
    <cellStyle name="Note 2 2 2 2 18 4" xfId="21054"/>
    <cellStyle name="Note 2 2 2 2 18 4 2" xfId="21055"/>
    <cellStyle name="Note 2 2 2 2 18 5" xfId="21056"/>
    <cellStyle name="Note 2 2 2 2 19" xfId="21057"/>
    <cellStyle name="Note 2 2 2 2 19 2" xfId="21058"/>
    <cellStyle name="Note 2 2 2 2 2" xfId="21059"/>
    <cellStyle name="Note 2 2 2 2 2 10" xfId="21060"/>
    <cellStyle name="Note 2 2 2 2 2 10 2" xfId="21061"/>
    <cellStyle name="Note 2 2 2 2 2 10 2 2" xfId="21062"/>
    <cellStyle name="Note 2 2 2 2 2 10 3" xfId="21063"/>
    <cellStyle name="Note 2 2 2 2 2 10 3 2" xfId="21064"/>
    <cellStyle name="Note 2 2 2 2 2 10 4" xfId="21065"/>
    <cellStyle name="Note 2 2 2 2 2 10 4 2" xfId="21066"/>
    <cellStyle name="Note 2 2 2 2 2 10 5" xfId="21067"/>
    <cellStyle name="Note 2 2 2 2 2 11" xfId="21068"/>
    <cellStyle name="Note 2 2 2 2 2 11 2" xfId="21069"/>
    <cellStyle name="Note 2 2 2 2 2 11 2 2" xfId="21070"/>
    <cellStyle name="Note 2 2 2 2 2 11 3" xfId="21071"/>
    <cellStyle name="Note 2 2 2 2 2 11 3 2" xfId="21072"/>
    <cellStyle name="Note 2 2 2 2 2 11 4" xfId="21073"/>
    <cellStyle name="Note 2 2 2 2 2 11 4 2" xfId="21074"/>
    <cellStyle name="Note 2 2 2 2 2 11 5" xfId="21075"/>
    <cellStyle name="Note 2 2 2 2 2 12" xfId="21076"/>
    <cellStyle name="Note 2 2 2 2 2 12 2" xfId="21077"/>
    <cellStyle name="Note 2 2 2 2 2 12 2 2" xfId="21078"/>
    <cellStyle name="Note 2 2 2 2 2 12 3" xfId="21079"/>
    <cellStyle name="Note 2 2 2 2 2 12 3 2" xfId="21080"/>
    <cellStyle name="Note 2 2 2 2 2 12 4" xfId="21081"/>
    <cellStyle name="Note 2 2 2 2 2 12 4 2" xfId="21082"/>
    <cellStyle name="Note 2 2 2 2 2 12 5" xfId="21083"/>
    <cellStyle name="Note 2 2 2 2 2 13" xfId="21084"/>
    <cellStyle name="Note 2 2 2 2 2 13 2" xfId="21085"/>
    <cellStyle name="Note 2 2 2 2 2 13 2 2" xfId="21086"/>
    <cellStyle name="Note 2 2 2 2 2 13 3" xfId="21087"/>
    <cellStyle name="Note 2 2 2 2 2 13 3 2" xfId="21088"/>
    <cellStyle name="Note 2 2 2 2 2 13 4" xfId="21089"/>
    <cellStyle name="Note 2 2 2 2 2 13 4 2" xfId="21090"/>
    <cellStyle name="Note 2 2 2 2 2 13 5" xfId="21091"/>
    <cellStyle name="Note 2 2 2 2 2 14" xfId="21092"/>
    <cellStyle name="Note 2 2 2 2 2 14 2" xfId="21093"/>
    <cellStyle name="Note 2 2 2 2 2 14 2 2" xfId="21094"/>
    <cellStyle name="Note 2 2 2 2 2 14 3" xfId="21095"/>
    <cellStyle name="Note 2 2 2 2 2 14 3 2" xfId="21096"/>
    <cellStyle name="Note 2 2 2 2 2 14 4" xfId="21097"/>
    <cellStyle name="Note 2 2 2 2 2 14 4 2" xfId="21098"/>
    <cellStyle name="Note 2 2 2 2 2 14 5" xfId="21099"/>
    <cellStyle name="Note 2 2 2 2 2 15" xfId="21100"/>
    <cellStyle name="Note 2 2 2 2 2 15 2" xfId="21101"/>
    <cellStyle name="Note 2 2 2 2 2 15 2 2" xfId="21102"/>
    <cellStyle name="Note 2 2 2 2 2 15 3" xfId="21103"/>
    <cellStyle name="Note 2 2 2 2 2 15 3 2" xfId="21104"/>
    <cellStyle name="Note 2 2 2 2 2 15 4" xfId="21105"/>
    <cellStyle name="Note 2 2 2 2 2 15 4 2" xfId="21106"/>
    <cellStyle name="Note 2 2 2 2 2 15 5" xfId="21107"/>
    <cellStyle name="Note 2 2 2 2 2 16" xfId="21108"/>
    <cellStyle name="Note 2 2 2 2 2 16 2" xfId="21109"/>
    <cellStyle name="Note 2 2 2 2 2 16 2 2" xfId="21110"/>
    <cellStyle name="Note 2 2 2 2 2 16 3" xfId="21111"/>
    <cellStyle name="Note 2 2 2 2 2 16 3 2" xfId="21112"/>
    <cellStyle name="Note 2 2 2 2 2 16 4" xfId="21113"/>
    <cellStyle name="Note 2 2 2 2 2 16 4 2" xfId="21114"/>
    <cellStyle name="Note 2 2 2 2 2 16 5" xfId="21115"/>
    <cellStyle name="Note 2 2 2 2 2 17" xfId="21116"/>
    <cellStyle name="Note 2 2 2 2 2 17 2" xfId="21117"/>
    <cellStyle name="Note 2 2 2 2 2 17 2 2" xfId="21118"/>
    <cellStyle name="Note 2 2 2 2 2 17 3" xfId="21119"/>
    <cellStyle name="Note 2 2 2 2 2 17 3 2" xfId="21120"/>
    <cellStyle name="Note 2 2 2 2 2 17 4" xfId="21121"/>
    <cellStyle name="Note 2 2 2 2 2 17 4 2" xfId="21122"/>
    <cellStyle name="Note 2 2 2 2 2 17 5" xfId="21123"/>
    <cellStyle name="Note 2 2 2 2 2 18" xfId="21124"/>
    <cellStyle name="Note 2 2 2 2 2 18 2" xfId="21125"/>
    <cellStyle name="Note 2 2 2 2 2 18 2 2" xfId="21126"/>
    <cellStyle name="Note 2 2 2 2 2 18 3" xfId="21127"/>
    <cellStyle name="Note 2 2 2 2 2 18 3 2" xfId="21128"/>
    <cellStyle name="Note 2 2 2 2 2 18 4" xfId="21129"/>
    <cellStyle name="Note 2 2 2 2 2 18 4 2" xfId="21130"/>
    <cellStyle name="Note 2 2 2 2 2 18 5" xfId="21131"/>
    <cellStyle name="Note 2 2 2 2 2 19" xfId="21132"/>
    <cellStyle name="Note 2 2 2 2 2 19 2" xfId="21133"/>
    <cellStyle name="Note 2 2 2 2 2 2" xfId="21134"/>
    <cellStyle name="Note 2 2 2 2 2 2 10" xfId="21135"/>
    <cellStyle name="Note 2 2 2 2 2 2 10 2" xfId="21136"/>
    <cellStyle name="Note 2 2 2 2 2 2 10 2 2" xfId="21137"/>
    <cellStyle name="Note 2 2 2 2 2 2 10 3" xfId="21138"/>
    <cellStyle name="Note 2 2 2 2 2 2 10 3 2" xfId="21139"/>
    <cellStyle name="Note 2 2 2 2 2 2 10 4" xfId="21140"/>
    <cellStyle name="Note 2 2 2 2 2 2 10 4 2" xfId="21141"/>
    <cellStyle name="Note 2 2 2 2 2 2 10 5" xfId="21142"/>
    <cellStyle name="Note 2 2 2 2 2 2 11" xfId="21143"/>
    <cellStyle name="Note 2 2 2 2 2 2 11 2" xfId="21144"/>
    <cellStyle name="Note 2 2 2 2 2 2 11 2 2" xfId="21145"/>
    <cellStyle name="Note 2 2 2 2 2 2 11 3" xfId="21146"/>
    <cellStyle name="Note 2 2 2 2 2 2 11 3 2" xfId="21147"/>
    <cellStyle name="Note 2 2 2 2 2 2 11 4" xfId="21148"/>
    <cellStyle name="Note 2 2 2 2 2 2 11 4 2" xfId="21149"/>
    <cellStyle name="Note 2 2 2 2 2 2 11 5" xfId="21150"/>
    <cellStyle name="Note 2 2 2 2 2 2 12" xfId="21151"/>
    <cellStyle name="Note 2 2 2 2 2 2 12 2" xfId="21152"/>
    <cellStyle name="Note 2 2 2 2 2 2 12 2 2" xfId="21153"/>
    <cellStyle name="Note 2 2 2 2 2 2 12 3" xfId="21154"/>
    <cellStyle name="Note 2 2 2 2 2 2 12 3 2" xfId="21155"/>
    <cellStyle name="Note 2 2 2 2 2 2 12 4" xfId="21156"/>
    <cellStyle name="Note 2 2 2 2 2 2 12 4 2" xfId="21157"/>
    <cellStyle name="Note 2 2 2 2 2 2 12 5" xfId="21158"/>
    <cellStyle name="Note 2 2 2 2 2 2 13" xfId="21159"/>
    <cellStyle name="Note 2 2 2 2 2 2 13 2" xfId="21160"/>
    <cellStyle name="Note 2 2 2 2 2 2 13 2 2" xfId="21161"/>
    <cellStyle name="Note 2 2 2 2 2 2 13 3" xfId="21162"/>
    <cellStyle name="Note 2 2 2 2 2 2 13 3 2" xfId="21163"/>
    <cellStyle name="Note 2 2 2 2 2 2 13 4" xfId="21164"/>
    <cellStyle name="Note 2 2 2 2 2 2 13 4 2" xfId="21165"/>
    <cellStyle name="Note 2 2 2 2 2 2 13 5" xfId="21166"/>
    <cellStyle name="Note 2 2 2 2 2 2 14" xfId="21167"/>
    <cellStyle name="Note 2 2 2 2 2 2 14 2" xfId="21168"/>
    <cellStyle name="Note 2 2 2 2 2 2 14 2 2" xfId="21169"/>
    <cellStyle name="Note 2 2 2 2 2 2 14 3" xfId="21170"/>
    <cellStyle name="Note 2 2 2 2 2 2 14 3 2" xfId="21171"/>
    <cellStyle name="Note 2 2 2 2 2 2 14 4" xfId="21172"/>
    <cellStyle name="Note 2 2 2 2 2 2 14 4 2" xfId="21173"/>
    <cellStyle name="Note 2 2 2 2 2 2 14 5" xfId="21174"/>
    <cellStyle name="Note 2 2 2 2 2 2 15" xfId="21175"/>
    <cellStyle name="Note 2 2 2 2 2 2 15 2" xfId="21176"/>
    <cellStyle name="Note 2 2 2 2 2 2 15 2 2" xfId="21177"/>
    <cellStyle name="Note 2 2 2 2 2 2 15 3" xfId="21178"/>
    <cellStyle name="Note 2 2 2 2 2 2 15 3 2" xfId="21179"/>
    <cellStyle name="Note 2 2 2 2 2 2 15 4" xfId="21180"/>
    <cellStyle name="Note 2 2 2 2 2 2 15 4 2" xfId="21181"/>
    <cellStyle name="Note 2 2 2 2 2 2 15 5" xfId="21182"/>
    <cellStyle name="Note 2 2 2 2 2 2 16" xfId="21183"/>
    <cellStyle name="Note 2 2 2 2 2 2 16 2" xfId="21184"/>
    <cellStyle name="Note 2 2 2 2 2 2 16 2 2" xfId="21185"/>
    <cellStyle name="Note 2 2 2 2 2 2 16 3" xfId="21186"/>
    <cellStyle name="Note 2 2 2 2 2 2 16 3 2" xfId="21187"/>
    <cellStyle name="Note 2 2 2 2 2 2 16 4" xfId="21188"/>
    <cellStyle name="Note 2 2 2 2 2 2 16 4 2" xfId="21189"/>
    <cellStyle name="Note 2 2 2 2 2 2 16 5" xfId="21190"/>
    <cellStyle name="Note 2 2 2 2 2 2 17" xfId="21191"/>
    <cellStyle name="Note 2 2 2 2 2 2 17 2" xfId="21192"/>
    <cellStyle name="Note 2 2 2 2 2 2 17 2 2" xfId="21193"/>
    <cellStyle name="Note 2 2 2 2 2 2 17 3" xfId="21194"/>
    <cellStyle name="Note 2 2 2 2 2 2 17 3 2" xfId="21195"/>
    <cellStyle name="Note 2 2 2 2 2 2 17 4" xfId="21196"/>
    <cellStyle name="Note 2 2 2 2 2 2 17 4 2" xfId="21197"/>
    <cellStyle name="Note 2 2 2 2 2 2 17 5" xfId="21198"/>
    <cellStyle name="Note 2 2 2 2 2 2 18" xfId="21199"/>
    <cellStyle name="Note 2 2 2 2 2 2 18 2" xfId="21200"/>
    <cellStyle name="Note 2 2 2 2 2 2 18 2 2" xfId="21201"/>
    <cellStyle name="Note 2 2 2 2 2 2 18 3" xfId="21202"/>
    <cellStyle name="Note 2 2 2 2 2 2 18 3 2" xfId="21203"/>
    <cellStyle name="Note 2 2 2 2 2 2 18 4" xfId="21204"/>
    <cellStyle name="Note 2 2 2 2 2 2 18 4 2" xfId="21205"/>
    <cellStyle name="Note 2 2 2 2 2 2 18 5" xfId="21206"/>
    <cellStyle name="Note 2 2 2 2 2 2 19" xfId="21207"/>
    <cellStyle name="Note 2 2 2 2 2 2 19 2" xfId="21208"/>
    <cellStyle name="Note 2 2 2 2 2 2 2" xfId="21209"/>
    <cellStyle name="Note 2 2 2 2 2 2 2 10" xfId="21210"/>
    <cellStyle name="Note 2 2 2 2 2 2 2 10 2" xfId="21211"/>
    <cellStyle name="Note 2 2 2 2 2 2 2 11" xfId="21212"/>
    <cellStyle name="Note 2 2 2 2 2 2 2 11 2" xfId="21213"/>
    <cellStyle name="Note 2 2 2 2 2 2 2 12" xfId="21214"/>
    <cellStyle name="Note 2 2 2 2 2 2 2 12 2" xfId="21215"/>
    <cellStyle name="Note 2 2 2 2 2 2 2 13" xfId="21216"/>
    <cellStyle name="Note 2 2 2 2 2 2 2 13 2" xfId="21217"/>
    <cellStyle name="Note 2 2 2 2 2 2 2 14" xfId="21218"/>
    <cellStyle name="Note 2 2 2 2 2 2 2 14 2" xfId="21219"/>
    <cellStyle name="Note 2 2 2 2 2 2 2 15" xfId="21220"/>
    <cellStyle name="Note 2 2 2 2 2 2 2 15 2" xfId="21221"/>
    <cellStyle name="Note 2 2 2 2 2 2 2 16" xfId="21222"/>
    <cellStyle name="Note 2 2 2 2 2 2 2 16 2" xfId="21223"/>
    <cellStyle name="Note 2 2 2 2 2 2 2 17" xfId="21224"/>
    <cellStyle name="Note 2 2 2 2 2 2 2 17 2" xfId="21225"/>
    <cellStyle name="Note 2 2 2 2 2 2 2 18" xfId="21226"/>
    <cellStyle name="Note 2 2 2 2 2 2 2 18 2" xfId="21227"/>
    <cellStyle name="Note 2 2 2 2 2 2 2 19" xfId="21228"/>
    <cellStyle name="Note 2 2 2 2 2 2 2 19 2" xfId="21229"/>
    <cellStyle name="Note 2 2 2 2 2 2 2 2" xfId="21230"/>
    <cellStyle name="Note 2 2 2 2 2 2 2 2 2" xfId="21231"/>
    <cellStyle name="Note 2 2 2 2 2 2 2 2 3" xfId="21232"/>
    <cellStyle name="Note 2 2 2 2 2 2 2 20" xfId="21233"/>
    <cellStyle name="Note 2 2 2 2 2 2 2 20 2" xfId="21234"/>
    <cellStyle name="Note 2 2 2 2 2 2 2 21" xfId="21235"/>
    <cellStyle name="Note 2 2 2 2 2 2 2 21 2" xfId="21236"/>
    <cellStyle name="Note 2 2 2 2 2 2 2 22" xfId="21237"/>
    <cellStyle name="Note 2 2 2 2 2 2 2 22 2" xfId="21238"/>
    <cellStyle name="Note 2 2 2 2 2 2 2 23" xfId="21239"/>
    <cellStyle name="Note 2 2 2 2 2 2 2 23 2" xfId="21240"/>
    <cellStyle name="Note 2 2 2 2 2 2 2 24" xfId="21241"/>
    <cellStyle name="Note 2 2 2 2 2 2 2 24 2" xfId="21242"/>
    <cellStyle name="Note 2 2 2 2 2 2 2 25" xfId="21243"/>
    <cellStyle name="Note 2 2 2 2 2 2 2 25 2" xfId="21244"/>
    <cellStyle name="Note 2 2 2 2 2 2 2 26" xfId="21245"/>
    <cellStyle name="Note 2 2 2 2 2 2 2 26 2" xfId="21246"/>
    <cellStyle name="Note 2 2 2 2 2 2 2 27" xfId="21247"/>
    <cellStyle name="Note 2 2 2 2 2 2 2 27 2" xfId="21248"/>
    <cellStyle name="Note 2 2 2 2 2 2 2 27 2 2" xfId="21249"/>
    <cellStyle name="Note 2 2 2 2 2 2 2 27 2 3" xfId="21250"/>
    <cellStyle name="Note 2 2 2 2 2 2 2 27 2 4" xfId="21251"/>
    <cellStyle name="Note 2 2 2 2 2 2 2 27 2 5" xfId="21252"/>
    <cellStyle name="Note 2 2 2 2 2 2 2 27 2 6" xfId="21253"/>
    <cellStyle name="Note 2 2 2 2 2 2 2 27 3" xfId="21254"/>
    <cellStyle name="Note 2 2 2 2 2 2 2 27 3 2" xfId="21255"/>
    <cellStyle name="Note 2 2 2 2 2 2 2 27 4" xfId="21256"/>
    <cellStyle name="Note 2 2 2 2 2 2 2 27 4 2" xfId="21257"/>
    <cellStyle name="Note 2 2 2 2 2 2 2 27 5" xfId="21258"/>
    <cellStyle name="Note 2 2 2 2 2 2 2 27 5 2" xfId="21259"/>
    <cellStyle name="Note 2 2 2 2 2 2 2 27 6" xfId="21260"/>
    <cellStyle name="Note 2 2 2 2 2 2 2 27 7" xfId="21261"/>
    <cellStyle name="Note 2 2 2 2 2 2 2 27 8" xfId="21262"/>
    <cellStyle name="Note 2 2 2 2 2 2 2 27 9" xfId="21263"/>
    <cellStyle name="Note 2 2 2 2 2 2 2 28" xfId="21264"/>
    <cellStyle name="Note 2 2 2 2 2 2 2 28 2" xfId="21265"/>
    <cellStyle name="Note 2 2 2 2 2 2 2 28 2 2" xfId="21266"/>
    <cellStyle name="Note 2 2 2 2 2 2 2 28 2 3" xfId="21267"/>
    <cellStyle name="Note 2 2 2 2 2 2 2 28 2 4" xfId="21268"/>
    <cellStyle name="Note 2 2 2 2 2 2 2 28 2 5" xfId="21269"/>
    <cellStyle name="Note 2 2 2 2 2 2 2 28 2 6" xfId="21270"/>
    <cellStyle name="Note 2 2 2 2 2 2 2 28 3" xfId="21271"/>
    <cellStyle name="Note 2 2 2 2 2 2 2 28 3 2" xfId="21272"/>
    <cellStyle name="Note 2 2 2 2 2 2 2 28 4" xfId="21273"/>
    <cellStyle name="Note 2 2 2 2 2 2 2 28 4 2" xfId="21274"/>
    <cellStyle name="Note 2 2 2 2 2 2 2 28 5" xfId="21275"/>
    <cellStyle name="Note 2 2 2 2 2 2 2 28 6" xfId="21276"/>
    <cellStyle name="Note 2 2 2 2 2 2 2 28 7" xfId="21277"/>
    <cellStyle name="Note 2 2 2 2 2 2 2 28 8" xfId="21278"/>
    <cellStyle name="Note 2 2 2 2 2 2 2 29" xfId="21279"/>
    <cellStyle name="Note 2 2 2 2 2 2 2 29 2" xfId="21280"/>
    <cellStyle name="Note 2 2 2 2 2 2 2 29 2 2" xfId="21281"/>
    <cellStyle name="Note 2 2 2 2 2 2 2 29 3" xfId="21282"/>
    <cellStyle name="Note 2 2 2 2 2 2 2 29 3 2" xfId="21283"/>
    <cellStyle name="Note 2 2 2 2 2 2 2 29 4" xfId="21284"/>
    <cellStyle name="Note 2 2 2 2 2 2 2 29 4 2" xfId="21285"/>
    <cellStyle name="Note 2 2 2 2 2 2 2 29 5" xfId="21286"/>
    <cellStyle name="Note 2 2 2 2 2 2 2 3" xfId="21287"/>
    <cellStyle name="Note 2 2 2 2 2 2 2 3 10" xfId="21288"/>
    <cellStyle name="Note 2 2 2 2 2 2 2 3 11" xfId="21289"/>
    <cellStyle name="Note 2 2 2 2 2 2 2 3 2" xfId="21290"/>
    <cellStyle name="Note 2 2 2 2 2 2 2 3 2 2" xfId="21291"/>
    <cellStyle name="Note 2 2 2 2 2 2 2 3 2 3" xfId="21292"/>
    <cellStyle name="Note 2 2 2 2 2 2 2 3 2 4" xfId="21293"/>
    <cellStyle name="Note 2 2 2 2 2 2 2 3 2 5" xfId="21294"/>
    <cellStyle name="Note 2 2 2 2 2 2 2 3 2 6" xfId="21295"/>
    <cellStyle name="Note 2 2 2 2 2 2 2 3 3" xfId="21296"/>
    <cellStyle name="Note 2 2 2 2 2 2 2 3 3 2" xfId="21297"/>
    <cellStyle name="Note 2 2 2 2 2 2 2 3 4" xfId="21298"/>
    <cellStyle name="Note 2 2 2 2 2 2 2 3 4 2" xfId="21299"/>
    <cellStyle name="Note 2 2 2 2 2 2 2 3 5" xfId="21300"/>
    <cellStyle name="Note 2 2 2 2 2 2 2 3 5 2" xfId="21301"/>
    <cellStyle name="Note 2 2 2 2 2 2 2 3 6" xfId="21302"/>
    <cellStyle name="Note 2 2 2 2 2 2 2 3 6 2" xfId="21303"/>
    <cellStyle name="Note 2 2 2 2 2 2 2 3 7" xfId="21304"/>
    <cellStyle name="Note 2 2 2 2 2 2 2 3 7 2" xfId="21305"/>
    <cellStyle name="Note 2 2 2 2 2 2 2 3 8" xfId="21306"/>
    <cellStyle name="Note 2 2 2 2 2 2 2 3 9" xfId="21307"/>
    <cellStyle name="Note 2 2 2 2 2 2 2 30" xfId="21308"/>
    <cellStyle name="Note 2 2 2 2 2 2 2 30 2" xfId="21309"/>
    <cellStyle name="Note 2 2 2 2 2 2 2 30 2 2" xfId="21310"/>
    <cellStyle name="Note 2 2 2 2 2 2 2 30 3" xfId="21311"/>
    <cellStyle name="Note 2 2 2 2 2 2 2 30 3 2" xfId="21312"/>
    <cellStyle name="Note 2 2 2 2 2 2 2 30 4" xfId="21313"/>
    <cellStyle name="Note 2 2 2 2 2 2 2 31" xfId="21314"/>
    <cellStyle name="Note 2 2 2 2 2 2 2 31 2" xfId="21315"/>
    <cellStyle name="Note 2 2 2 2 2 2 2 31 2 2" xfId="21316"/>
    <cellStyle name="Note 2 2 2 2 2 2 2 31 3" xfId="21317"/>
    <cellStyle name="Note 2 2 2 2 2 2 2 32" xfId="21318"/>
    <cellStyle name="Note 2 2 2 2 2 2 2 33" xfId="21319"/>
    <cellStyle name="Note 2 2 2 2 2 2 2 34" xfId="21320"/>
    <cellStyle name="Note 2 2 2 2 2 2 2 35" xfId="21321"/>
    <cellStyle name="Note 2 2 2 2 2 2 2 4" xfId="21322"/>
    <cellStyle name="Note 2 2 2 2 2 2 2 4 10" xfId="21323"/>
    <cellStyle name="Note 2 2 2 2 2 2 2 4 11" xfId="21324"/>
    <cellStyle name="Note 2 2 2 2 2 2 2 4 2" xfId="21325"/>
    <cellStyle name="Note 2 2 2 2 2 2 2 4 2 2" xfId="21326"/>
    <cellStyle name="Note 2 2 2 2 2 2 2 4 2 3" xfId="21327"/>
    <cellStyle name="Note 2 2 2 2 2 2 2 4 2 4" xfId="21328"/>
    <cellStyle name="Note 2 2 2 2 2 2 2 4 2 5" xfId="21329"/>
    <cellStyle name="Note 2 2 2 2 2 2 2 4 2 6" xfId="21330"/>
    <cellStyle name="Note 2 2 2 2 2 2 2 4 3" xfId="21331"/>
    <cellStyle name="Note 2 2 2 2 2 2 2 4 3 2" xfId="21332"/>
    <cellStyle name="Note 2 2 2 2 2 2 2 4 4" xfId="21333"/>
    <cellStyle name="Note 2 2 2 2 2 2 2 4 4 2" xfId="21334"/>
    <cellStyle name="Note 2 2 2 2 2 2 2 4 5" xfId="21335"/>
    <cellStyle name="Note 2 2 2 2 2 2 2 4 5 2" xfId="21336"/>
    <cellStyle name="Note 2 2 2 2 2 2 2 4 6" xfId="21337"/>
    <cellStyle name="Note 2 2 2 2 2 2 2 4 6 2" xfId="21338"/>
    <cellStyle name="Note 2 2 2 2 2 2 2 4 7" xfId="21339"/>
    <cellStyle name="Note 2 2 2 2 2 2 2 4 7 2" xfId="21340"/>
    <cellStyle name="Note 2 2 2 2 2 2 2 4 8" xfId="21341"/>
    <cellStyle name="Note 2 2 2 2 2 2 2 4 9" xfId="21342"/>
    <cellStyle name="Note 2 2 2 2 2 2 2 5" xfId="21343"/>
    <cellStyle name="Note 2 2 2 2 2 2 2 5 2" xfId="21344"/>
    <cellStyle name="Note 2 2 2 2 2 2 2 6" xfId="21345"/>
    <cellStyle name="Note 2 2 2 2 2 2 2 6 2" xfId="21346"/>
    <cellStyle name="Note 2 2 2 2 2 2 2 7" xfId="21347"/>
    <cellStyle name="Note 2 2 2 2 2 2 2 7 2" xfId="21348"/>
    <cellStyle name="Note 2 2 2 2 2 2 2 8" xfId="21349"/>
    <cellStyle name="Note 2 2 2 2 2 2 2 8 2" xfId="21350"/>
    <cellStyle name="Note 2 2 2 2 2 2 2 9" xfId="21351"/>
    <cellStyle name="Note 2 2 2 2 2 2 2 9 2" xfId="21352"/>
    <cellStyle name="Note 2 2 2 2 2 2 20" xfId="21353"/>
    <cellStyle name="Note 2 2 2 2 2 2 20 2" xfId="21354"/>
    <cellStyle name="Note 2 2 2 2 2 2 21" xfId="21355"/>
    <cellStyle name="Note 2 2 2 2 2 2 21 2" xfId="21356"/>
    <cellStyle name="Note 2 2 2 2 2 2 22" xfId="21357"/>
    <cellStyle name="Note 2 2 2 2 2 2 22 2" xfId="21358"/>
    <cellStyle name="Note 2 2 2 2 2 2 23" xfId="21359"/>
    <cellStyle name="Note 2 2 2 2 2 2 23 2" xfId="21360"/>
    <cellStyle name="Note 2 2 2 2 2 2 24" xfId="21361"/>
    <cellStyle name="Note 2 2 2 2 2 2 24 2" xfId="21362"/>
    <cellStyle name="Note 2 2 2 2 2 2 25" xfId="21363"/>
    <cellStyle name="Note 2 2 2 2 2 2 25 2" xfId="21364"/>
    <cellStyle name="Note 2 2 2 2 2 2 26" xfId="21365"/>
    <cellStyle name="Note 2 2 2 2 2 2 26 2" xfId="21366"/>
    <cellStyle name="Note 2 2 2 2 2 2 27" xfId="21367"/>
    <cellStyle name="Note 2 2 2 2 2 2 27 2" xfId="21368"/>
    <cellStyle name="Note 2 2 2 2 2 2 28" xfId="21369"/>
    <cellStyle name="Note 2 2 2 2 2 2 28 2" xfId="21370"/>
    <cellStyle name="Note 2 2 2 2 2 2 29" xfId="21371"/>
    <cellStyle name="Note 2 2 2 2 2 2 29 2" xfId="21372"/>
    <cellStyle name="Note 2 2 2 2 2 2 3" xfId="21373"/>
    <cellStyle name="Note 2 2 2 2 2 2 3 2" xfId="21374"/>
    <cellStyle name="Note 2 2 2 2 2 2 3 2 2" xfId="21375"/>
    <cellStyle name="Note 2 2 2 2 2 2 3 3" xfId="21376"/>
    <cellStyle name="Note 2 2 2 2 2 2 3 3 2" xfId="21377"/>
    <cellStyle name="Note 2 2 2 2 2 2 3 4" xfId="21378"/>
    <cellStyle name="Note 2 2 2 2 2 2 3 4 2" xfId="21379"/>
    <cellStyle name="Note 2 2 2 2 2 2 3 5" xfId="21380"/>
    <cellStyle name="Note 2 2 2 2 2 2 30" xfId="21381"/>
    <cellStyle name="Note 2 2 2 2 2 2 30 2" xfId="21382"/>
    <cellStyle name="Note 2 2 2 2 2 2 31" xfId="21383"/>
    <cellStyle name="Note 2 2 2 2 2 2 31 2" xfId="21384"/>
    <cellStyle name="Note 2 2 2 2 2 2 32" xfId="21385"/>
    <cellStyle name="Note 2 2 2 2 2 2 32 2" xfId="21386"/>
    <cellStyle name="Note 2 2 2 2 2 2 33" xfId="21387"/>
    <cellStyle name="Note 2 2 2 2 2 2 33 2" xfId="21388"/>
    <cellStyle name="Note 2 2 2 2 2 2 34" xfId="21389"/>
    <cellStyle name="Note 2 2 2 2 2 2 34 2" xfId="21390"/>
    <cellStyle name="Note 2 2 2 2 2 2 35" xfId="21391"/>
    <cellStyle name="Note 2 2 2 2 2 2 35 2" xfId="21392"/>
    <cellStyle name="Note 2 2 2 2 2 2 36" xfId="21393"/>
    <cellStyle name="Note 2 2 2 2 2 2 36 2" xfId="21394"/>
    <cellStyle name="Note 2 2 2 2 2 2 37" xfId="21395"/>
    <cellStyle name="Note 2 2 2 2 2 2 37 2" xfId="21396"/>
    <cellStyle name="Note 2 2 2 2 2 2 38" xfId="21397"/>
    <cellStyle name="Note 2 2 2 2 2 2 38 2" xfId="21398"/>
    <cellStyle name="Note 2 2 2 2 2 2 39" xfId="21399"/>
    <cellStyle name="Note 2 2 2 2 2 2 39 2" xfId="21400"/>
    <cellStyle name="Note 2 2 2 2 2 2 4" xfId="21401"/>
    <cellStyle name="Note 2 2 2 2 2 2 4 2" xfId="21402"/>
    <cellStyle name="Note 2 2 2 2 2 2 4 2 2" xfId="21403"/>
    <cellStyle name="Note 2 2 2 2 2 2 4 3" xfId="21404"/>
    <cellStyle name="Note 2 2 2 2 2 2 4 3 2" xfId="21405"/>
    <cellStyle name="Note 2 2 2 2 2 2 4 4" xfId="21406"/>
    <cellStyle name="Note 2 2 2 2 2 2 4 4 2" xfId="21407"/>
    <cellStyle name="Note 2 2 2 2 2 2 4 5" xfId="21408"/>
    <cellStyle name="Note 2 2 2 2 2 2 40" xfId="21409"/>
    <cellStyle name="Note 2 2 2 2 2 2 40 2" xfId="21410"/>
    <cellStyle name="Note 2 2 2 2 2 2 41" xfId="21411"/>
    <cellStyle name="Note 2 2 2 2 2 2 41 2" xfId="21412"/>
    <cellStyle name="Note 2 2 2 2 2 2 42" xfId="21413"/>
    <cellStyle name="Note 2 2 2 2 2 2 42 2" xfId="21414"/>
    <cellStyle name="Note 2 2 2 2 2 2 43" xfId="21415"/>
    <cellStyle name="Note 2 2 2 2 2 2 43 2" xfId="21416"/>
    <cellStyle name="Note 2 2 2 2 2 2 44" xfId="21417"/>
    <cellStyle name="Note 2 2 2 2 2 2 44 2" xfId="21418"/>
    <cellStyle name="Note 2 2 2 2 2 2 45" xfId="21419"/>
    <cellStyle name="Note 2 2 2 2 2 2 45 2" xfId="21420"/>
    <cellStyle name="Note 2 2 2 2 2 2 46" xfId="21421"/>
    <cellStyle name="Note 2 2 2 2 2 2 46 2" xfId="21422"/>
    <cellStyle name="Note 2 2 2 2 2 2 47" xfId="21423"/>
    <cellStyle name="Note 2 2 2 2 2 2 47 2" xfId="21424"/>
    <cellStyle name="Note 2 2 2 2 2 2 48" xfId="21425"/>
    <cellStyle name="Note 2 2 2 2 2 2 48 2" xfId="21426"/>
    <cellStyle name="Note 2 2 2 2 2 2 49" xfId="21427"/>
    <cellStyle name="Note 2 2 2 2 2 2 49 2" xfId="21428"/>
    <cellStyle name="Note 2 2 2 2 2 2 5" xfId="21429"/>
    <cellStyle name="Note 2 2 2 2 2 2 5 2" xfId="21430"/>
    <cellStyle name="Note 2 2 2 2 2 2 5 2 2" xfId="21431"/>
    <cellStyle name="Note 2 2 2 2 2 2 5 3" xfId="21432"/>
    <cellStyle name="Note 2 2 2 2 2 2 5 3 2" xfId="21433"/>
    <cellStyle name="Note 2 2 2 2 2 2 5 4" xfId="21434"/>
    <cellStyle name="Note 2 2 2 2 2 2 5 4 2" xfId="21435"/>
    <cellStyle name="Note 2 2 2 2 2 2 5 5" xfId="21436"/>
    <cellStyle name="Note 2 2 2 2 2 2 50" xfId="21437"/>
    <cellStyle name="Note 2 2 2 2 2 2 50 2" xfId="21438"/>
    <cellStyle name="Note 2 2 2 2 2 2 51" xfId="21439"/>
    <cellStyle name="Note 2 2 2 2 2 2 51 2" xfId="21440"/>
    <cellStyle name="Note 2 2 2 2 2 2 52" xfId="21441"/>
    <cellStyle name="Note 2 2 2 2 2 2 52 2" xfId="21442"/>
    <cellStyle name="Note 2 2 2 2 2 2 53" xfId="21443"/>
    <cellStyle name="Note 2 2 2 2 2 2 53 2" xfId="21444"/>
    <cellStyle name="Note 2 2 2 2 2 2 54" xfId="21445"/>
    <cellStyle name="Note 2 2 2 2 2 2 54 2" xfId="21446"/>
    <cellStyle name="Note 2 2 2 2 2 2 55" xfId="21447"/>
    <cellStyle name="Note 2 2 2 2 2 2 55 2" xfId="21448"/>
    <cellStyle name="Note 2 2 2 2 2 2 56" xfId="21449"/>
    <cellStyle name="Note 2 2 2 2 2 2 56 2" xfId="21450"/>
    <cellStyle name="Note 2 2 2 2 2 2 57" xfId="21451"/>
    <cellStyle name="Note 2 2 2 2 2 2 57 2" xfId="21452"/>
    <cellStyle name="Note 2 2 2 2 2 2 58" xfId="21453"/>
    <cellStyle name="Note 2 2 2 2 2 2 58 2" xfId="21454"/>
    <cellStyle name="Note 2 2 2 2 2 2 59" xfId="21455"/>
    <cellStyle name="Note 2 2 2 2 2 2 59 2" xfId="21456"/>
    <cellStyle name="Note 2 2 2 2 2 2 6" xfId="21457"/>
    <cellStyle name="Note 2 2 2 2 2 2 6 2" xfId="21458"/>
    <cellStyle name="Note 2 2 2 2 2 2 6 2 2" xfId="21459"/>
    <cellStyle name="Note 2 2 2 2 2 2 6 3" xfId="21460"/>
    <cellStyle name="Note 2 2 2 2 2 2 6 3 2" xfId="21461"/>
    <cellStyle name="Note 2 2 2 2 2 2 6 4" xfId="21462"/>
    <cellStyle name="Note 2 2 2 2 2 2 6 4 2" xfId="21463"/>
    <cellStyle name="Note 2 2 2 2 2 2 6 5" xfId="21464"/>
    <cellStyle name="Note 2 2 2 2 2 2 60" xfId="21465"/>
    <cellStyle name="Note 2 2 2 2 2 2 60 2" xfId="21466"/>
    <cellStyle name="Note 2 2 2 2 2 2 61" xfId="21467"/>
    <cellStyle name="Note 2 2 2 2 2 2 61 2" xfId="21468"/>
    <cellStyle name="Note 2 2 2 2 2 2 62" xfId="21469"/>
    <cellStyle name="Note 2 2 2 2 2 2 62 2" xfId="21470"/>
    <cellStyle name="Note 2 2 2 2 2 2 62 2 2" xfId="21471"/>
    <cellStyle name="Note 2 2 2 2 2 2 62 2 3" xfId="21472"/>
    <cellStyle name="Note 2 2 2 2 2 2 62 2 4" xfId="21473"/>
    <cellStyle name="Note 2 2 2 2 2 2 62 2 5" xfId="21474"/>
    <cellStyle name="Note 2 2 2 2 2 2 62 2 6" xfId="21475"/>
    <cellStyle name="Note 2 2 2 2 2 2 62 3" xfId="21476"/>
    <cellStyle name="Note 2 2 2 2 2 2 62 3 2" xfId="21477"/>
    <cellStyle name="Note 2 2 2 2 2 2 62 4" xfId="21478"/>
    <cellStyle name="Note 2 2 2 2 2 2 62 4 2" xfId="21479"/>
    <cellStyle name="Note 2 2 2 2 2 2 62 5" xfId="21480"/>
    <cellStyle name="Note 2 2 2 2 2 2 62 5 2" xfId="21481"/>
    <cellStyle name="Note 2 2 2 2 2 2 62 6" xfId="21482"/>
    <cellStyle name="Note 2 2 2 2 2 2 62 7" xfId="21483"/>
    <cellStyle name="Note 2 2 2 2 2 2 62 8" xfId="21484"/>
    <cellStyle name="Note 2 2 2 2 2 2 62 9" xfId="21485"/>
    <cellStyle name="Note 2 2 2 2 2 2 63" xfId="21486"/>
    <cellStyle name="Note 2 2 2 2 2 2 63 2" xfId="21487"/>
    <cellStyle name="Note 2 2 2 2 2 2 63 2 2" xfId="21488"/>
    <cellStyle name="Note 2 2 2 2 2 2 63 2 3" xfId="21489"/>
    <cellStyle name="Note 2 2 2 2 2 2 63 2 4" xfId="21490"/>
    <cellStyle name="Note 2 2 2 2 2 2 63 2 5" xfId="21491"/>
    <cellStyle name="Note 2 2 2 2 2 2 63 2 6" xfId="21492"/>
    <cellStyle name="Note 2 2 2 2 2 2 63 3" xfId="21493"/>
    <cellStyle name="Note 2 2 2 2 2 2 63 3 2" xfId="21494"/>
    <cellStyle name="Note 2 2 2 2 2 2 63 4" xfId="21495"/>
    <cellStyle name="Note 2 2 2 2 2 2 63 4 2" xfId="21496"/>
    <cellStyle name="Note 2 2 2 2 2 2 63 5" xfId="21497"/>
    <cellStyle name="Note 2 2 2 2 2 2 63 6" xfId="21498"/>
    <cellStyle name="Note 2 2 2 2 2 2 63 7" xfId="21499"/>
    <cellStyle name="Note 2 2 2 2 2 2 63 8" xfId="21500"/>
    <cellStyle name="Note 2 2 2 2 2 2 64" xfId="21501"/>
    <cellStyle name="Note 2 2 2 2 2 2 64 2" xfId="21502"/>
    <cellStyle name="Note 2 2 2 2 2 2 64 2 2" xfId="21503"/>
    <cellStyle name="Note 2 2 2 2 2 2 64 3" xfId="21504"/>
    <cellStyle name="Note 2 2 2 2 2 2 64 3 2" xfId="21505"/>
    <cellStyle name="Note 2 2 2 2 2 2 64 4" xfId="21506"/>
    <cellStyle name="Note 2 2 2 2 2 2 64 4 2" xfId="21507"/>
    <cellStyle name="Note 2 2 2 2 2 2 64 5" xfId="21508"/>
    <cellStyle name="Note 2 2 2 2 2 2 65" xfId="21509"/>
    <cellStyle name="Note 2 2 2 2 2 2 65 2" xfId="21510"/>
    <cellStyle name="Note 2 2 2 2 2 2 65 2 2" xfId="21511"/>
    <cellStyle name="Note 2 2 2 2 2 2 65 3" xfId="21512"/>
    <cellStyle name="Note 2 2 2 2 2 2 65 3 2" xfId="21513"/>
    <cellStyle name="Note 2 2 2 2 2 2 65 4" xfId="21514"/>
    <cellStyle name="Note 2 2 2 2 2 2 66" xfId="21515"/>
    <cellStyle name="Note 2 2 2 2 2 2 66 2" xfId="21516"/>
    <cellStyle name="Note 2 2 2 2 2 2 66 2 2" xfId="21517"/>
    <cellStyle name="Note 2 2 2 2 2 2 66 3" xfId="21518"/>
    <cellStyle name="Note 2 2 2 2 2 2 67" xfId="21519"/>
    <cellStyle name="Note 2 2 2 2 2 2 68" xfId="21520"/>
    <cellStyle name="Note 2 2 2 2 2 2 69" xfId="21521"/>
    <cellStyle name="Note 2 2 2 2 2 2 7" xfId="21522"/>
    <cellStyle name="Note 2 2 2 2 2 2 7 2" xfId="21523"/>
    <cellStyle name="Note 2 2 2 2 2 2 7 2 2" xfId="21524"/>
    <cellStyle name="Note 2 2 2 2 2 2 7 3" xfId="21525"/>
    <cellStyle name="Note 2 2 2 2 2 2 7 3 2" xfId="21526"/>
    <cellStyle name="Note 2 2 2 2 2 2 7 4" xfId="21527"/>
    <cellStyle name="Note 2 2 2 2 2 2 7 4 2" xfId="21528"/>
    <cellStyle name="Note 2 2 2 2 2 2 7 5" xfId="21529"/>
    <cellStyle name="Note 2 2 2 2 2 2 70" xfId="21530"/>
    <cellStyle name="Note 2 2 2 2 2 2 8" xfId="21531"/>
    <cellStyle name="Note 2 2 2 2 2 2 8 2" xfId="21532"/>
    <cellStyle name="Note 2 2 2 2 2 2 8 2 2" xfId="21533"/>
    <cellStyle name="Note 2 2 2 2 2 2 8 3" xfId="21534"/>
    <cellStyle name="Note 2 2 2 2 2 2 8 3 2" xfId="21535"/>
    <cellStyle name="Note 2 2 2 2 2 2 8 4" xfId="21536"/>
    <cellStyle name="Note 2 2 2 2 2 2 8 4 2" xfId="21537"/>
    <cellStyle name="Note 2 2 2 2 2 2 8 5" xfId="21538"/>
    <cellStyle name="Note 2 2 2 2 2 2 9" xfId="21539"/>
    <cellStyle name="Note 2 2 2 2 2 2 9 2" xfId="21540"/>
    <cellStyle name="Note 2 2 2 2 2 2 9 2 2" xfId="21541"/>
    <cellStyle name="Note 2 2 2 2 2 2 9 3" xfId="21542"/>
    <cellStyle name="Note 2 2 2 2 2 2 9 3 2" xfId="21543"/>
    <cellStyle name="Note 2 2 2 2 2 2 9 4" xfId="21544"/>
    <cellStyle name="Note 2 2 2 2 2 2 9 4 2" xfId="21545"/>
    <cellStyle name="Note 2 2 2 2 2 2 9 5" xfId="21546"/>
    <cellStyle name="Note 2 2 2 2 2 20" xfId="21547"/>
    <cellStyle name="Note 2 2 2 2 2 20 2" xfId="21548"/>
    <cellStyle name="Note 2 2 2 2 2 21" xfId="21549"/>
    <cellStyle name="Note 2 2 2 2 2 21 2" xfId="21550"/>
    <cellStyle name="Note 2 2 2 2 2 22" xfId="21551"/>
    <cellStyle name="Note 2 2 2 2 2 22 2" xfId="21552"/>
    <cellStyle name="Note 2 2 2 2 2 23" xfId="21553"/>
    <cellStyle name="Note 2 2 2 2 2 23 2" xfId="21554"/>
    <cellStyle name="Note 2 2 2 2 2 24" xfId="21555"/>
    <cellStyle name="Note 2 2 2 2 2 24 2" xfId="21556"/>
    <cellStyle name="Note 2 2 2 2 2 25" xfId="21557"/>
    <cellStyle name="Note 2 2 2 2 2 25 2" xfId="21558"/>
    <cellStyle name="Note 2 2 2 2 2 26" xfId="21559"/>
    <cellStyle name="Note 2 2 2 2 2 26 2" xfId="21560"/>
    <cellStyle name="Note 2 2 2 2 2 27" xfId="21561"/>
    <cellStyle name="Note 2 2 2 2 2 27 2" xfId="21562"/>
    <cellStyle name="Note 2 2 2 2 2 28" xfId="21563"/>
    <cellStyle name="Note 2 2 2 2 2 28 2" xfId="21564"/>
    <cellStyle name="Note 2 2 2 2 2 29" xfId="21565"/>
    <cellStyle name="Note 2 2 2 2 2 29 2" xfId="21566"/>
    <cellStyle name="Note 2 2 2 2 2 3" xfId="21567"/>
    <cellStyle name="Note 2 2 2 2 2 3 10" xfId="21568"/>
    <cellStyle name="Note 2 2 2 2 2 3 10 2" xfId="21569"/>
    <cellStyle name="Note 2 2 2 2 2 3 11" xfId="21570"/>
    <cellStyle name="Note 2 2 2 2 2 3 11 2" xfId="21571"/>
    <cellStyle name="Note 2 2 2 2 2 3 12" xfId="21572"/>
    <cellStyle name="Note 2 2 2 2 2 3 12 2" xfId="21573"/>
    <cellStyle name="Note 2 2 2 2 2 3 13" xfId="21574"/>
    <cellStyle name="Note 2 2 2 2 2 3 13 2" xfId="21575"/>
    <cellStyle name="Note 2 2 2 2 2 3 14" xfId="21576"/>
    <cellStyle name="Note 2 2 2 2 2 3 14 2" xfId="21577"/>
    <cellStyle name="Note 2 2 2 2 2 3 15" xfId="21578"/>
    <cellStyle name="Note 2 2 2 2 2 3 15 2" xfId="21579"/>
    <cellStyle name="Note 2 2 2 2 2 3 16" xfId="21580"/>
    <cellStyle name="Note 2 2 2 2 2 3 16 2" xfId="21581"/>
    <cellStyle name="Note 2 2 2 2 2 3 17" xfId="21582"/>
    <cellStyle name="Note 2 2 2 2 2 3 17 2" xfId="21583"/>
    <cellStyle name="Note 2 2 2 2 2 3 18" xfId="21584"/>
    <cellStyle name="Note 2 2 2 2 2 3 18 2" xfId="21585"/>
    <cellStyle name="Note 2 2 2 2 2 3 19" xfId="21586"/>
    <cellStyle name="Note 2 2 2 2 2 3 19 2" xfId="21587"/>
    <cellStyle name="Note 2 2 2 2 2 3 2" xfId="21588"/>
    <cellStyle name="Note 2 2 2 2 2 3 2 2" xfId="21589"/>
    <cellStyle name="Note 2 2 2 2 2 3 2 3" xfId="21590"/>
    <cellStyle name="Note 2 2 2 2 2 3 20" xfId="21591"/>
    <cellStyle name="Note 2 2 2 2 2 3 20 2" xfId="21592"/>
    <cellStyle name="Note 2 2 2 2 2 3 21" xfId="21593"/>
    <cellStyle name="Note 2 2 2 2 2 3 21 2" xfId="21594"/>
    <cellStyle name="Note 2 2 2 2 2 3 22" xfId="21595"/>
    <cellStyle name="Note 2 2 2 2 2 3 22 2" xfId="21596"/>
    <cellStyle name="Note 2 2 2 2 2 3 23" xfId="21597"/>
    <cellStyle name="Note 2 2 2 2 2 3 23 2" xfId="21598"/>
    <cellStyle name="Note 2 2 2 2 2 3 24" xfId="21599"/>
    <cellStyle name="Note 2 2 2 2 2 3 24 2" xfId="21600"/>
    <cellStyle name="Note 2 2 2 2 2 3 25" xfId="21601"/>
    <cellStyle name="Note 2 2 2 2 2 3 25 2" xfId="21602"/>
    <cellStyle name="Note 2 2 2 2 2 3 26" xfId="21603"/>
    <cellStyle name="Note 2 2 2 2 2 3 26 2" xfId="21604"/>
    <cellStyle name="Note 2 2 2 2 2 3 27" xfId="21605"/>
    <cellStyle name="Note 2 2 2 2 2 3 27 2" xfId="21606"/>
    <cellStyle name="Note 2 2 2 2 2 3 28" xfId="21607"/>
    <cellStyle name="Note 2 2 2 2 2 3 28 2" xfId="21608"/>
    <cellStyle name="Note 2 2 2 2 2 3 29" xfId="21609"/>
    <cellStyle name="Note 2 2 2 2 2 3 29 2" xfId="21610"/>
    <cellStyle name="Note 2 2 2 2 2 3 3" xfId="21611"/>
    <cellStyle name="Note 2 2 2 2 2 3 3 2" xfId="21612"/>
    <cellStyle name="Note 2 2 2 2 2 3 3 3" xfId="21613"/>
    <cellStyle name="Note 2 2 2 2 2 3 30" xfId="21614"/>
    <cellStyle name="Note 2 2 2 2 2 3 30 2" xfId="21615"/>
    <cellStyle name="Note 2 2 2 2 2 3 31" xfId="21616"/>
    <cellStyle name="Note 2 2 2 2 2 3 4" xfId="21617"/>
    <cellStyle name="Note 2 2 2 2 2 3 4 2" xfId="21618"/>
    <cellStyle name="Note 2 2 2 2 2 3 5" xfId="21619"/>
    <cellStyle name="Note 2 2 2 2 2 3 5 2" xfId="21620"/>
    <cellStyle name="Note 2 2 2 2 2 3 6" xfId="21621"/>
    <cellStyle name="Note 2 2 2 2 2 3 6 2" xfId="21622"/>
    <cellStyle name="Note 2 2 2 2 2 3 7" xfId="21623"/>
    <cellStyle name="Note 2 2 2 2 2 3 7 2" xfId="21624"/>
    <cellStyle name="Note 2 2 2 2 2 3 8" xfId="21625"/>
    <cellStyle name="Note 2 2 2 2 2 3 8 2" xfId="21626"/>
    <cellStyle name="Note 2 2 2 2 2 3 9" xfId="21627"/>
    <cellStyle name="Note 2 2 2 2 2 3 9 2" xfId="21628"/>
    <cellStyle name="Note 2 2 2 2 2 30" xfId="21629"/>
    <cellStyle name="Note 2 2 2 2 2 30 2" xfId="21630"/>
    <cellStyle name="Note 2 2 2 2 2 31" xfId="21631"/>
    <cellStyle name="Note 2 2 2 2 2 31 2" xfId="21632"/>
    <cellStyle name="Note 2 2 2 2 2 32" xfId="21633"/>
    <cellStyle name="Note 2 2 2 2 2 32 2" xfId="21634"/>
    <cellStyle name="Note 2 2 2 2 2 33" xfId="21635"/>
    <cellStyle name="Note 2 2 2 2 2 33 2" xfId="21636"/>
    <cellStyle name="Note 2 2 2 2 2 34" xfId="21637"/>
    <cellStyle name="Note 2 2 2 2 2 34 2" xfId="21638"/>
    <cellStyle name="Note 2 2 2 2 2 35" xfId="21639"/>
    <cellStyle name="Note 2 2 2 2 2 35 2" xfId="21640"/>
    <cellStyle name="Note 2 2 2 2 2 36" xfId="21641"/>
    <cellStyle name="Note 2 2 2 2 2 36 2" xfId="21642"/>
    <cellStyle name="Note 2 2 2 2 2 37" xfId="21643"/>
    <cellStyle name="Note 2 2 2 2 2 37 2" xfId="21644"/>
    <cellStyle name="Note 2 2 2 2 2 38" xfId="21645"/>
    <cellStyle name="Note 2 2 2 2 2 38 2" xfId="21646"/>
    <cellStyle name="Note 2 2 2 2 2 39" xfId="21647"/>
    <cellStyle name="Note 2 2 2 2 2 39 2" xfId="21648"/>
    <cellStyle name="Note 2 2 2 2 2 4" xfId="21649"/>
    <cellStyle name="Note 2 2 2 2 2 4 2" xfId="21650"/>
    <cellStyle name="Note 2 2 2 2 2 4 2 2" xfId="21651"/>
    <cellStyle name="Note 2 2 2 2 2 4 3" xfId="21652"/>
    <cellStyle name="Note 2 2 2 2 2 4 3 2" xfId="21653"/>
    <cellStyle name="Note 2 2 2 2 2 4 4" xfId="21654"/>
    <cellStyle name="Note 2 2 2 2 2 4 4 2" xfId="21655"/>
    <cellStyle name="Note 2 2 2 2 2 4 5" xfId="21656"/>
    <cellStyle name="Note 2 2 2 2 2 40" xfId="21657"/>
    <cellStyle name="Note 2 2 2 2 2 40 2" xfId="21658"/>
    <cellStyle name="Note 2 2 2 2 2 41" xfId="21659"/>
    <cellStyle name="Note 2 2 2 2 2 41 2" xfId="21660"/>
    <cellStyle name="Note 2 2 2 2 2 42" xfId="21661"/>
    <cellStyle name="Note 2 2 2 2 2 42 2" xfId="21662"/>
    <cellStyle name="Note 2 2 2 2 2 43" xfId="21663"/>
    <cellStyle name="Note 2 2 2 2 2 43 2" xfId="21664"/>
    <cellStyle name="Note 2 2 2 2 2 44" xfId="21665"/>
    <cellStyle name="Note 2 2 2 2 2 44 2" xfId="21666"/>
    <cellStyle name="Note 2 2 2 2 2 45" xfId="21667"/>
    <cellStyle name="Note 2 2 2 2 2 45 2" xfId="21668"/>
    <cellStyle name="Note 2 2 2 2 2 46" xfId="21669"/>
    <cellStyle name="Note 2 2 2 2 2 46 2" xfId="21670"/>
    <cellStyle name="Note 2 2 2 2 2 47" xfId="21671"/>
    <cellStyle name="Note 2 2 2 2 2 47 2" xfId="21672"/>
    <cellStyle name="Note 2 2 2 2 2 48" xfId="21673"/>
    <cellStyle name="Note 2 2 2 2 2 48 2" xfId="21674"/>
    <cellStyle name="Note 2 2 2 2 2 49" xfId="21675"/>
    <cellStyle name="Note 2 2 2 2 2 49 2" xfId="21676"/>
    <cellStyle name="Note 2 2 2 2 2 5" xfId="21677"/>
    <cellStyle name="Note 2 2 2 2 2 5 2" xfId="21678"/>
    <cellStyle name="Note 2 2 2 2 2 5 2 2" xfId="21679"/>
    <cellStyle name="Note 2 2 2 2 2 5 3" xfId="21680"/>
    <cellStyle name="Note 2 2 2 2 2 5 3 2" xfId="21681"/>
    <cellStyle name="Note 2 2 2 2 2 5 4" xfId="21682"/>
    <cellStyle name="Note 2 2 2 2 2 5 4 2" xfId="21683"/>
    <cellStyle name="Note 2 2 2 2 2 5 5" xfId="21684"/>
    <cellStyle name="Note 2 2 2 2 2 50" xfId="21685"/>
    <cellStyle name="Note 2 2 2 2 2 50 2" xfId="21686"/>
    <cellStyle name="Note 2 2 2 2 2 51" xfId="21687"/>
    <cellStyle name="Note 2 2 2 2 2 51 2" xfId="21688"/>
    <cellStyle name="Note 2 2 2 2 2 52" xfId="21689"/>
    <cellStyle name="Note 2 2 2 2 2 52 2" xfId="21690"/>
    <cellStyle name="Note 2 2 2 2 2 53" xfId="21691"/>
    <cellStyle name="Note 2 2 2 2 2 53 2" xfId="21692"/>
    <cellStyle name="Note 2 2 2 2 2 54" xfId="21693"/>
    <cellStyle name="Note 2 2 2 2 2 54 2" xfId="21694"/>
    <cellStyle name="Note 2 2 2 2 2 55" xfId="21695"/>
    <cellStyle name="Note 2 2 2 2 2 55 2" xfId="21696"/>
    <cellStyle name="Note 2 2 2 2 2 56" xfId="21697"/>
    <cellStyle name="Note 2 2 2 2 2 56 2" xfId="21698"/>
    <cellStyle name="Note 2 2 2 2 2 57" xfId="21699"/>
    <cellStyle name="Note 2 2 2 2 2 57 2" xfId="21700"/>
    <cellStyle name="Note 2 2 2 2 2 58" xfId="21701"/>
    <cellStyle name="Note 2 2 2 2 2 58 2" xfId="21702"/>
    <cellStyle name="Note 2 2 2 2 2 59" xfId="21703"/>
    <cellStyle name="Note 2 2 2 2 2 59 2" xfId="21704"/>
    <cellStyle name="Note 2 2 2 2 2 6" xfId="21705"/>
    <cellStyle name="Note 2 2 2 2 2 6 2" xfId="21706"/>
    <cellStyle name="Note 2 2 2 2 2 6 2 2" xfId="21707"/>
    <cellStyle name="Note 2 2 2 2 2 6 3" xfId="21708"/>
    <cellStyle name="Note 2 2 2 2 2 6 3 2" xfId="21709"/>
    <cellStyle name="Note 2 2 2 2 2 6 4" xfId="21710"/>
    <cellStyle name="Note 2 2 2 2 2 6 4 2" xfId="21711"/>
    <cellStyle name="Note 2 2 2 2 2 6 5" xfId="21712"/>
    <cellStyle name="Note 2 2 2 2 2 60" xfId="21713"/>
    <cellStyle name="Note 2 2 2 2 2 60 2" xfId="21714"/>
    <cellStyle name="Note 2 2 2 2 2 61" xfId="21715"/>
    <cellStyle name="Note 2 2 2 2 2 61 2" xfId="21716"/>
    <cellStyle name="Note 2 2 2 2 2 62" xfId="21717"/>
    <cellStyle name="Note 2 2 2 2 2 62 2" xfId="21718"/>
    <cellStyle name="Note 2 2 2 2 2 62 2 2" xfId="21719"/>
    <cellStyle name="Note 2 2 2 2 2 62 2 3" xfId="21720"/>
    <cellStyle name="Note 2 2 2 2 2 62 2 4" xfId="21721"/>
    <cellStyle name="Note 2 2 2 2 2 62 2 5" xfId="21722"/>
    <cellStyle name="Note 2 2 2 2 2 62 2 6" xfId="21723"/>
    <cellStyle name="Note 2 2 2 2 2 62 3" xfId="21724"/>
    <cellStyle name="Note 2 2 2 2 2 62 3 2" xfId="21725"/>
    <cellStyle name="Note 2 2 2 2 2 62 4" xfId="21726"/>
    <cellStyle name="Note 2 2 2 2 2 62 4 2" xfId="21727"/>
    <cellStyle name="Note 2 2 2 2 2 62 5" xfId="21728"/>
    <cellStyle name="Note 2 2 2 2 2 62 5 2" xfId="21729"/>
    <cellStyle name="Note 2 2 2 2 2 62 6" xfId="21730"/>
    <cellStyle name="Note 2 2 2 2 2 62 7" xfId="21731"/>
    <cellStyle name="Note 2 2 2 2 2 62 8" xfId="21732"/>
    <cellStyle name="Note 2 2 2 2 2 62 9" xfId="21733"/>
    <cellStyle name="Note 2 2 2 2 2 63" xfId="21734"/>
    <cellStyle name="Note 2 2 2 2 2 63 2" xfId="21735"/>
    <cellStyle name="Note 2 2 2 2 2 63 2 2" xfId="21736"/>
    <cellStyle name="Note 2 2 2 2 2 63 2 3" xfId="21737"/>
    <cellStyle name="Note 2 2 2 2 2 63 2 4" xfId="21738"/>
    <cellStyle name="Note 2 2 2 2 2 63 2 5" xfId="21739"/>
    <cellStyle name="Note 2 2 2 2 2 63 2 6" xfId="21740"/>
    <cellStyle name="Note 2 2 2 2 2 63 3" xfId="21741"/>
    <cellStyle name="Note 2 2 2 2 2 63 3 2" xfId="21742"/>
    <cellStyle name="Note 2 2 2 2 2 63 4" xfId="21743"/>
    <cellStyle name="Note 2 2 2 2 2 63 4 2" xfId="21744"/>
    <cellStyle name="Note 2 2 2 2 2 63 5" xfId="21745"/>
    <cellStyle name="Note 2 2 2 2 2 63 6" xfId="21746"/>
    <cellStyle name="Note 2 2 2 2 2 63 7" xfId="21747"/>
    <cellStyle name="Note 2 2 2 2 2 63 8" xfId="21748"/>
    <cellStyle name="Note 2 2 2 2 2 64" xfId="21749"/>
    <cellStyle name="Note 2 2 2 2 2 64 2" xfId="21750"/>
    <cellStyle name="Note 2 2 2 2 2 64 2 2" xfId="21751"/>
    <cellStyle name="Note 2 2 2 2 2 64 3" xfId="21752"/>
    <cellStyle name="Note 2 2 2 2 2 64 3 2" xfId="21753"/>
    <cellStyle name="Note 2 2 2 2 2 64 4" xfId="21754"/>
    <cellStyle name="Note 2 2 2 2 2 64 4 2" xfId="21755"/>
    <cellStyle name="Note 2 2 2 2 2 64 5" xfId="21756"/>
    <cellStyle name="Note 2 2 2 2 2 65" xfId="21757"/>
    <cellStyle name="Note 2 2 2 2 2 65 2" xfId="21758"/>
    <cellStyle name="Note 2 2 2 2 2 65 2 2" xfId="21759"/>
    <cellStyle name="Note 2 2 2 2 2 65 3" xfId="21760"/>
    <cellStyle name="Note 2 2 2 2 2 65 3 2" xfId="21761"/>
    <cellStyle name="Note 2 2 2 2 2 65 4" xfId="21762"/>
    <cellStyle name="Note 2 2 2 2 2 66" xfId="21763"/>
    <cellStyle name="Note 2 2 2 2 2 66 2" xfId="21764"/>
    <cellStyle name="Note 2 2 2 2 2 66 2 2" xfId="21765"/>
    <cellStyle name="Note 2 2 2 2 2 66 3" xfId="21766"/>
    <cellStyle name="Note 2 2 2 2 2 67" xfId="21767"/>
    <cellStyle name="Note 2 2 2 2 2 68" xfId="21768"/>
    <cellStyle name="Note 2 2 2 2 2 69" xfId="21769"/>
    <cellStyle name="Note 2 2 2 2 2 7" xfId="21770"/>
    <cellStyle name="Note 2 2 2 2 2 7 2" xfId="21771"/>
    <cellStyle name="Note 2 2 2 2 2 7 2 2" xfId="21772"/>
    <cellStyle name="Note 2 2 2 2 2 7 3" xfId="21773"/>
    <cellStyle name="Note 2 2 2 2 2 7 3 2" xfId="21774"/>
    <cellStyle name="Note 2 2 2 2 2 7 4" xfId="21775"/>
    <cellStyle name="Note 2 2 2 2 2 7 4 2" xfId="21776"/>
    <cellStyle name="Note 2 2 2 2 2 7 5" xfId="21777"/>
    <cellStyle name="Note 2 2 2 2 2 70" xfId="21778"/>
    <cellStyle name="Note 2 2 2 2 2 8" xfId="21779"/>
    <cellStyle name="Note 2 2 2 2 2 8 2" xfId="21780"/>
    <cellStyle name="Note 2 2 2 2 2 8 2 2" xfId="21781"/>
    <cellStyle name="Note 2 2 2 2 2 8 3" xfId="21782"/>
    <cellStyle name="Note 2 2 2 2 2 8 3 2" xfId="21783"/>
    <cellStyle name="Note 2 2 2 2 2 8 4" xfId="21784"/>
    <cellStyle name="Note 2 2 2 2 2 8 4 2" xfId="21785"/>
    <cellStyle name="Note 2 2 2 2 2 8 5" xfId="21786"/>
    <cellStyle name="Note 2 2 2 2 2 9" xfId="21787"/>
    <cellStyle name="Note 2 2 2 2 2 9 2" xfId="21788"/>
    <cellStyle name="Note 2 2 2 2 2 9 2 2" xfId="21789"/>
    <cellStyle name="Note 2 2 2 2 2 9 3" xfId="21790"/>
    <cellStyle name="Note 2 2 2 2 2 9 3 2" xfId="21791"/>
    <cellStyle name="Note 2 2 2 2 2 9 4" xfId="21792"/>
    <cellStyle name="Note 2 2 2 2 2 9 4 2" xfId="21793"/>
    <cellStyle name="Note 2 2 2 2 2 9 5" xfId="21794"/>
    <cellStyle name="Note 2 2 2 2 20" xfId="21795"/>
    <cellStyle name="Note 2 2 2 2 20 2" xfId="21796"/>
    <cellStyle name="Note 2 2 2 2 21" xfId="21797"/>
    <cellStyle name="Note 2 2 2 2 21 2" xfId="21798"/>
    <cellStyle name="Note 2 2 2 2 22" xfId="21799"/>
    <cellStyle name="Note 2 2 2 2 22 2" xfId="21800"/>
    <cellStyle name="Note 2 2 2 2 23" xfId="21801"/>
    <cellStyle name="Note 2 2 2 2 23 2" xfId="21802"/>
    <cellStyle name="Note 2 2 2 2 24" xfId="21803"/>
    <cellStyle name="Note 2 2 2 2 24 2" xfId="21804"/>
    <cellStyle name="Note 2 2 2 2 25" xfId="21805"/>
    <cellStyle name="Note 2 2 2 2 25 2" xfId="21806"/>
    <cellStyle name="Note 2 2 2 2 26" xfId="21807"/>
    <cellStyle name="Note 2 2 2 2 26 2" xfId="21808"/>
    <cellStyle name="Note 2 2 2 2 27" xfId="21809"/>
    <cellStyle name="Note 2 2 2 2 27 2" xfId="21810"/>
    <cellStyle name="Note 2 2 2 2 28" xfId="21811"/>
    <cellStyle name="Note 2 2 2 2 28 2" xfId="21812"/>
    <cellStyle name="Note 2 2 2 2 29" xfId="21813"/>
    <cellStyle name="Note 2 2 2 2 29 2" xfId="21814"/>
    <cellStyle name="Note 2 2 2 2 3" xfId="21815"/>
    <cellStyle name="Note 2 2 2 2 3 10" xfId="21816"/>
    <cellStyle name="Note 2 2 2 2 3 10 2" xfId="21817"/>
    <cellStyle name="Note 2 2 2 2 3 11" xfId="21818"/>
    <cellStyle name="Note 2 2 2 2 3 11 2" xfId="21819"/>
    <cellStyle name="Note 2 2 2 2 3 12" xfId="21820"/>
    <cellStyle name="Note 2 2 2 2 3 12 2" xfId="21821"/>
    <cellStyle name="Note 2 2 2 2 3 13" xfId="21822"/>
    <cellStyle name="Note 2 2 2 2 3 13 2" xfId="21823"/>
    <cellStyle name="Note 2 2 2 2 3 14" xfId="21824"/>
    <cellStyle name="Note 2 2 2 2 3 14 2" xfId="21825"/>
    <cellStyle name="Note 2 2 2 2 3 15" xfId="21826"/>
    <cellStyle name="Note 2 2 2 2 3 15 2" xfId="21827"/>
    <cellStyle name="Note 2 2 2 2 3 16" xfId="21828"/>
    <cellStyle name="Note 2 2 2 2 3 16 2" xfId="21829"/>
    <cellStyle name="Note 2 2 2 2 3 17" xfId="21830"/>
    <cellStyle name="Note 2 2 2 2 3 17 2" xfId="21831"/>
    <cellStyle name="Note 2 2 2 2 3 18" xfId="21832"/>
    <cellStyle name="Note 2 2 2 2 3 18 2" xfId="21833"/>
    <cellStyle name="Note 2 2 2 2 3 19" xfId="21834"/>
    <cellStyle name="Note 2 2 2 2 3 19 2" xfId="21835"/>
    <cellStyle name="Note 2 2 2 2 3 2" xfId="21836"/>
    <cellStyle name="Note 2 2 2 2 3 2 2" xfId="21837"/>
    <cellStyle name="Note 2 2 2 2 3 2 3" xfId="21838"/>
    <cellStyle name="Note 2 2 2 2 3 20" xfId="21839"/>
    <cellStyle name="Note 2 2 2 2 3 20 2" xfId="21840"/>
    <cellStyle name="Note 2 2 2 2 3 21" xfId="21841"/>
    <cellStyle name="Note 2 2 2 2 3 21 2" xfId="21842"/>
    <cellStyle name="Note 2 2 2 2 3 22" xfId="21843"/>
    <cellStyle name="Note 2 2 2 2 3 22 2" xfId="21844"/>
    <cellStyle name="Note 2 2 2 2 3 23" xfId="21845"/>
    <cellStyle name="Note 2 2 2 2 3 23 2" xfId="21846"/>
    <cellStyle name="Note 2 2 2 2 3 24" xfId="21847"/>
    <cellStyle name="Note 2 2 2 2 3 24 2" xfId="21848"/>
    <cellStyle name="Note 2 2 2 2 3 25" xfId="21849"/>
    <cellStyle name="Note 2 2 2 2 3 25 2" xfId="21850"/>
    <cellStyle name="Note 2 2 2 2 3 26" xfId="21851"/>
    <cellStyle name="Note 2 2 2 2 3 26 2" xfId="21852"/>
    <cellStyle name="Note 2 2 2 2 3 27" xfId="21853"/>
    <cellStyle name="Note 2 2 2 2 3 27 2" xfId="21854"/>
    <cellStyle name="Note 2 2 2 2 3 28" xfId="21855"/>
    <cellStyle name="Note 2 2 2 2 3 28 2" xfId="21856"/>
    <cellStyle name="Note 2 2 2 2 3 29" xfId="21857"/>
    <cellStyle name="Note 2 2 2 2 3 29 2" xfId="21858"/>
    <cellStyle name="Note 2 2 2 2 3 3" xfId="21859"/>
    <cellStyle name="Note 2 2 2 2 3 3 2" xfId="21860"/>
    <cellStyle name="Note 2 2 2 2 3 3 3" xfId="21861"/>
    <cellStyle name="Note 2 2 2 2 3 30" xfId="21862"/>
    <cellStyle name="Note 2 2 2 2 3 30 2" xfId="21863"/>
    <cellStyle name="Note 2 2 2 2 3 31" xfId="21864"/>
    <cellStyle name="Note 2 2 2 2 3 4" xfId="21865"/>
    <cellStyle name="Note 2 2 2 2 3 4 2" xfId="21866"/>
    <cellStyle name="Note 2 2 2 2 3 5" xfId="21867"/>
    <cellStyle name="Note 2 2 2 2 3 5 2" xfId="21868"/>
    <cellStyle name="Note 2 2 2 2 3 6" xfId="21869"/>
    <cellStyle name="Note 2 2 2 2 3 6 2" xfId="21870"/>
    <cellStyle name="Note 2 2 2 2 3 7" xfId="21871"/>
    <cellStyle name="Note 2 2 2 2 3 7 2" xfId="21872"/>
    <cellStyle name="Note 2 2 2 2 3 8" xfId="21873"/>
    <cellStyle name="Note 2 2 2 2 3 8 2" xfId="21874"/>
    <cellStyle name="Note 2 2 2 2 3 9" xfId="21875"/>
    <cellStyle name="Note 2 2 2 2 3 9 2" xfId="21876"/>
    <cellStyle name="Note 2 2 2 2 30" xfId="21877"/>
    <cellStyle name="Note 2 2 2 2 30 2" xfId="21878"/>
    <cellStyle name="Note 2 2 2 2 31" xfId="21879"/>
    <cellStyle name="Note 2 2 2 2 31 2" xfId="21880"/>
    <cellStyle name="Note 2 2 2 2 32" xfId="21881"/>
    <cellStyle name="Note 2 2 2 2 32 2" xfId="21882"/>
    <cellStyle name="Note 2 2 2 2 33" xfId="21883"/>
    <cellStyle name="Note 2 2 2 2 33 2" xfId="21884"/>
    <cellStyle name="Note 2 2 2 2 34" xfId="21885"/>
    <cellStyle name="Note 2 2 2 2 34 2" xfId="21886"/>
    <cellStyle name="Note 2 2 2 2 35" xfId="21887"/>
    <cellStyle name="Note 2 2 2 2 35 2" xfId="21888"/>
    <cellStyle name="Note 2 2 2 2 36" xfId="21889"/>
    <cellStyle name="Note 2 2 2 2 36 2" xfId="21890"/>
    <cellStyle name="Note 2 2 2 2 37" xfId="21891"/>
    <cellStyle name="Note 2 2 2 2 37 2" xfId="21892"/>
    <cellStyle name="Note 2 2 2 2 38" xfId="21893"/>
    <cellStyle name="Note 2 2 2 2 38 2" xfId="21894"/>
    <cellStyle name="Note 2 2 2 2 39" xfId="21895"/>
    <cellStyle name="Note 2 2 2 2 39 2" xfId="21896"/>
    <cellStyle name="Note 2 2 2 2 4" xfId="21897"/>
    <cellStyle name="Note 2 2 2 2 4 2" xfId="21898"/>
    <cellStyle name="Note 2 2 2 2 4 2 2" xfId="21899"/>
    <cellStyle name="Note 2 2 2 2 4 3" xfId="21900"/>
    <cellStyle name="Note 2 2 2 2 4 3 2" xfId="21901"/>
    <cellStyle name="Note 2 2 2 2 4 4" xfId="21902"/>
    <cellStyle name="Note 2 2 2 2 4 4 2" xfId="21903"/>
    <cellStyle name="Note 2 2 2 2 4 5" xfId="21904"/>
    <cellStyle name="Note 2 2 2 2 40" xfId="21905"/>
    <cellStyle name="Note 2 2 2 2 40 2" xfId="21906"/>
    <cellStyle name="Note 2 2 2 2 41" xfId="21907"/>
    <cellStyle name="Note 2 2 2 2 41 2" xfId="21908"/>
    <cellStyle name="Note 2 2 2 2 42" xfId="21909"/>
    <cellStyle name="Note 2 2 2 2 42 2" xfId="21910"/>
    <cellStyle name="Note 2 2 2 2 43" xfId="21911"/>
    <cellStyle name="Note 2 2 2 2 43 2" xfId="21912"/>
    <cellStyle name="Note 2 2 2 2 44" xfId="21913"/>
    <cellStyle name="Note 2 2 2 2 44 2" xfId="21914"/>
    <cellStyle name="Note 2 2 2 2 45" xfId="21915"/>
    <cellStyle name="Note 2 2 2 2 45 2" xfId="21916"/>
    <cellStyle name="Note 2 2 2 2 46" xfId="21917"/>
    <cellStyle name="Note 2 2 2 2 46 2" xfId="21918"/>
    <cellStyle name="Note 2 2 2 2 47" xfId="21919"/>
    <cellStyle name="Note 2 2 2 2 47 2" xfId="21920"/>
    <cellStyle name="Note 2 2 2 2 48" xfId="21921"/>
    <cellStyle name="Note 2 2 2 2 48 2" xfId="21922"/>
    <cellStyle name="Note 2 2 2 2 49" xfId="21923"/>
    <cellStyle name="Note 2 2 2 2 49 2" xfId="21924"/>
    <cellStyle name="Note 2 2 2 2 5" xfId="21925"/>
    <cellStyle name="Note 2 2 2 2 5 2" xfId="21926"/>
    <cellStyle name="Note 2 2 2 2 5 2 2" xfId="21927"/>
    <cellStyle name="Note 2 2 2 2 5 3" xfId="21928"/>
    <cellStyle name="Note 2 2 2 2 5 3 2" xfId="21929"/>
    <cellStyle name="Note 2 2 2 2 5 4" xfId="21930"/>
    <cellStyle name="Note 2 2 2 2 5 4 2" xfId="21931"/>
    <cellStyle name="Note 2 2 2 2 5 5" xfId="21932"/>
    <cellStyle name="Note 2 2 2 2 50" xfId="21933"/>
    <cellStyle name="Note 2 2 2 2 50 2" xfId="21934"/>
    <cellStyle name="Note 2 2 2 2 51" xfId="21935"/>
    <cellStyle name="Note 2 2 2 2 51 2" xfId="21936"/>
    <cellStyle name="Note 2 2 2 2 52" xfId="21937"/>
    <cellStyle name="Note 2 2 2 2 52 2" xfId="21938"/>
    <cellStyle name="Note 2 2 2 2 53" xfId="21939"/>
    <cellStyle name="Note 2 2 2 2 53 2" xfId="21940"/>
    <cellStyle name="Note 2 2 2 2 54" xfId="21941"/>
    <cellStyle name="Note 2 2 2 2 54 2" xfId="21942"/>
    <cellStyle name="Note 2 2 2 2 55" xfId="21943"/>
    <cellStyle name="Note 2 2 2 2 55 2" xfId="21944"/>
    <cellStyle name="Note 2 2 2 2 56" xfId="21945"/>
    <cellStyle name="Note 2 2 2 2 56 2" xfId="21946"/>
    <cellStyle name="Note 2 2 2 2 57" xfId="21947"/>
    <cellStyle name="Note 2 2 2 2 57 2" xfId="21948"/>
    <cellStyle name="Note 2 2 2 2 58" xfId="21949"/>
    <cellStyle name="Note 2 2 2 2 58 2" xfId="21950"/>
    <cellStyle name="Note 2 2 2 2 59" xfId="21951"/>
    <cellStyle name="Note 2 2 2 2 59 2" xfId="21952"/>
    <cellStyle name="Note 2 2 2 2 6" xfId="21953"/>
    <cellStyle name="Note 2 2 2 2 6 2" xfId="21954"/>
    <cellStyle name="Note 2 2 2 2 6 2 2" xfId="21955"/>
    <cellStyle name="Note 2 2 2 2 6 3" xfId="21956"/>
    <cellStyle name="Note 2 2 2 2 6 3 2" xfId="21957"/>
    <cellStyle name="Note 2 2 2 2 6 4" xfId="21958"/>
    <cellStyle name="Note 2 2 2 2 6 4 2" xfId="21959"/>
    <cellStyle name="Note 2 2 2 2 6 5" xfId="21960"/>
    <cellStyle name="Note 2 2 2 2 60" xfId="21961"/>
    <cellStyle name="Note 2 2 2 2 60 2" xfId="21962"/>
    <cellStyle name="Note 2 2 2 2 61" xfId="21963"/>
    <cellStyle name="Note 2 2 2 2 61 2" xfId="21964"/>
    <cellStyle name="Note 2 2 2 2 62" xfId="21965"/>
    <cellStyle name="Note 2 2 2 2 62 2" xfId="21966"/>
    <cellStyle name="Note 2 2 2 2 62 2 2" xfId="21967"/>
    <cellStyle name="Note 2 2 2 2 62 2 3" xfId="21968"/>
    <cellStyle name="Note 2 2 2 2 62 2 4" xfId="21969"/>
    <cellStyle name="Note 2 2 2 2 62 2 5" xfId="21970"/>
    <cellStyle name="Note 2 2 2 2 62 2 6" xfId="21971"/>
    <cellStyle name="Note 2 2 2 2 62 3" xfId="21972"/>
    <cellStyle name="Note 2 2 2 2 62 3 2" xfId="21973"/>
    <cellStyle name="Note 2 2 2 2 62 4" xfId="21974"/>
    <cellStyle name="Note 2 2 2 2 62 4 2" xfId="21975"/>
    <cellStyle name="Note 2 2 2 2 62 5" xfId="21976"/>
    <cellStyle name="Note 2 2 2 2 62 5 2" xfId="21977"/>
    <cellStyle name="Note 2 2 2 2 62 6" xfId="21978"/>
    <cellStyle name="Note 2 2 2 2 62 7" xfId="21979"/>
    <cellStyle name="Note 2 2 2 2 62 8" xfId="21980"/>
    <cellStyle name="Note 2 2 2 2 62 9" xfId="21981"/>
    <cellStyle name="Note 2 2 2 2 63" xfId="21982"/>
    <cellStyle name="Note 2 2 2 2 63 2" xfId="21983"/>
    <cellStyle name="Note 2 2 2 2 63 2 2" xfId="21984"/>
    <cellStyle name="Note 2 2 2 2 63 2 3" xfId="21985"/>
    <cellStyle name="Note 2 2 2 2 63 2 4" xfId="21986"/>
    <cellStyle name="Note 2 2 2 2 63 2 5" xfId="21987"/>
    <cellStyle name="Note 2 2 2 2 63 2 6" xfId="21988"/>
    <cellStyle name="Note 2 2 2 2 63 3" xfId="21989"/>
    <cellStyle name="Note 2 2 2 2 63 3 2" xfId="21990"/>
    <cellStyle name="Note 2 2 2 2 63 4" xfId="21991"/>
    <cellStyle name="Note 2 2 2 2 63 4 2" xfId="21992"/>
    <cellStyle name="Note 2 2 2 2 63 5" xfId="21993"/>
    <cellStyle name="Note 2 2 2 2 63 6" xfId="21994"/>
    <cellStyle name="Note 2 2 2 2 63 7" xfId="21995"/>
    <cellStyle name="Note 2 2 2 2 63 8" xfId="21996"/>
    <cellStyle name="Note 2 2 2 2 64" xfId="21997"/>
    <cellStyle name="Note 2 2 2 2 64 2" xfId="21998"/>
    <cellStyle name="Note 2 2 2 2 64 2 2" xfId="21999"/>
    <cellStyle name="Note 2 2 2 2 64 3" xfId="22000"/>
    <cellStyle name="Note 2 2 2 2 64 3 2" xfId="22001"/>
    <cellStyle name="Note 2 2 2 2 64 4" xfId="22002"/>
    <cellStyle name="Note 2 2 2 2 64 4 2" xfId="22003"/>
    <cellStyle name="Note 2 2 2 2 64 5" xfId="22004"/>
    <cellStyle name="Note 2 2 2 2 65" xfId="22005"/>
    <cellStyle name="Note 2 2 2 2 65 2" xfId="22006"/>
    <cellStyle name="Note 2 2 2 2 65 2 2" xfId="22007"/>
    <cellStyle name="Note 2 2 2 2 65 3" xfId="22008"/>
    <cellStyle name="Note 2 2 2 2 65 3 2" xfId="22009"/>
    <cellStyle name="Note 2 2 2 2 65 4" xfId="22010"/>
    <cellStyle name="Note 2 2 2 2 66" xfId="22011"/>
    <cellStyle name="Note 2 2 2 2 66 2" xfId="22012"/>
    <cellStyle name="Note 2 2 2 2 66 2 2" xfId="22013"/>
    <cellStyle name="Note 2 2 2 2 66 3" xfId="22014"/>
    <cellStyle name="Note 2 2 2 2 67" xfId="22015"/>
    <cellStyle name="Note 2 2 2 2 68" xfId="22016"/>
    <cellStyle name="Note 2 2 2 2 69" xfId="22017"/>
    <cellStyle name="Note 2 2 2 2 7" xfId="22018"/>
    <cellStyle name="Note 2 2 2 2 7 2" xfId="22019"/>
    <cellStyle name="Note 2 2 2 2 7 2 2" xfId="22020"/>
    <cellStyle name="Note 2 2 2 2 7 3" xfId="22021"/>
    <cellStyle name="Note 2 2 2 2 7 3 2" xfId="22022"/>
    <cellStyle name="Note 2 2 2 2 7 4" xfId="22023"/>
    <cellStyle name="Note 2 2 2 2 7 4 2" xfId="22024"/>
    <cellStyle name="Note 2 2 2 2 7 5" xfId="22025"/>
    <cellStyle name="Note 2 2 2 2 70" xfId="22026"/>
    <cellStyle name="Note 2 2 2 2 8" xfId="22027"/>
    <cellStyle name="Note 2 2 2 2 8 2" xfId="22028"/>
    <cellStyle name="Note 2 2 2 2 8 2 2" xfId="22029"/>
    <cellStyle name="Note 2 2 2 2 8 3" xfId="22030"/>
    <cellStyle name="Note 2 2 2 2 8 3 2" xfId="22031"/>
    <cellStyle name="Note 2 2 2 2 8 4" xfId="22032"/>
    <cellStyle name="Note 2 2 2 2 8 4 2" xfId="22033"/>
    <cellStyle name="Note 2 2 2 2 8 5" xfId="22034"/>
    <cellStyle name="Note 2 2 2 2 9" xfId="22035"/>
    <cellStyle name="Note 2 2 2 2 9 2" xfId="22036"/>
    <cellStyle name="Note 2 2 2 2 9 2 2" xfId="22037"/>
    <cellStyle name="Note 2 2 2 2 9 3" xfId="22038"/>
    <cellStyle name="Note 2 2 2 2 9 3 2" xfId="22039"/>
    <cellStyle name="Note 2 2 2 2 9 4" xfId="22040"/>
    <cellStyle name="Note 2 2 2 2 9 4 2" xfId="22041"/>
    <cellStyle name="Note 2 2 2 2 9 5" xfId="22042"/>
    <cellStyle name="Note 2 2 2 20" xfId="22043"/>
    <cellStyle name="Note 2 2 2 20 10" xfId="22044"/>
    <cellStyle name="Note 2 2 2 20 10 2" xfId="22045"/>
    <cellStyle name="Note 2 2 2 20 10 2 2" xfId="22046"/>
    <cellStyle name="Note 2 2 2 20 10 3" xfId="22047"/>
    <cellStyle name="Note 2 2 2 20 10 3 2" xfId="22048"/>
    <cellStyle name="Note 2 2 2 20 10 4" xfId="22049"/>
    <cellStyle name="Note 2 2 2 20 10 4 2" xfId="22050"/>
    <cellStyle name="Note 2 2 2 20 10 5" xfId="22051"/>
    <cellStyle name="Note 2 2 2 20 11" xfId="22052"/>
    <cellStyle name="Note 2 2 2 20 11 2" xfId="22053"/>
    <cellStyle name="Note 2 2 2 20 11 2 2" xfId="22054"/>
    <cellStyle name="Note 2 2 2 20 11 3" xfId="22055"/>
    <cellStyle name="Note 2 2 2 20 11 3 2" xfId="22056"/>
    <cellStyle name="Note 2 2 2 20 11 4" xfId="22057"/>
    <cellStyle name="Note 2 2 2 20 11 4 2" xfId="22058"/>
    <cellStyle name="Note 2 2 2 20 11 5" xfId="22059"/>
    <cellStyle name="Note 2 2 2 20 12" xfId="22060"/>
    <cellStyle name="Note 2 2 2 20 12 2" xfId="22061"/>
    <cellStyle name="Note 2 2 2 20 12 2 2" xfId="22062"/>
    <cellStyle name="Note 2 2 2 20 12 3" xfId="22063"/>
    <cellStyle name="Note 2 2 2 20 12 3 2" xfId="22064"/>
    <cellStyle name="Note 2 2 2 20 12 4" xfId="22065"/>
    <cellStyle name="Note 2 2 2 20 12 4 2" xfId="22066"/>
    <cellStyle name="Note 2 2 2 20 12 5" xfId="22067"/>
    <cellStyle name="Note 2 2 2 20 13" xfId="22068"/>
    <cellStyle name="Note 2 2 2 20 13 2" xfId="22069"/>
    <cellStyle name="Note 2 2 2 20 13 2 2" xfId="22070"/>
    <cellStyle name="Note 2 2 2 20 13 3" xfId="22071"/>
    <cellStyle name="Note 2 2 2 20 13 3 2" xfId="22072"/>
    <cellStyle name="Note 2 2 2 20 13 4" xfId="22073"/>
    <cellStyle name="Note 2 2 2 20 13 4 2" xfId="22074"/>
    <cellStyle name="Note 2 2 2 20 13 5" xfId="22075"/>
    <cellStyle name="Note 2 2 2 20 14" xfId="22076"/>
    <cellStyle name="Note 2 2 2 20 14 2" xfId="22077"/>
    <cellStyle name="Note 2 2 2 20 14 2 2" xfId="22078"/>
    <cellStyle name="Note 2 2 2 20 14 3" xfId="22079"/>
    <cellStyle name="Note 2 2 2 20 14 3 2" xfId="22080"/>
    <cellStyle name="Note 2 2 2 20 14 4" xfId="22081"/>
    <cellStyle name="Note 2 2 2 20 14 4 2" xfId="22082"/>
    <cellStyle name="Note 2 2 2 20 14 5" xfId="22083"/>
    <cellStyle name="Note 2 2 2 20 15" xfId="22084"/>
    <cellStyle name="Note 2 2 2 20 15 2" xfId="22085"/>
    <cellStyle name="Note 2 2 2 20 16" xfId="22086"/>
    <cellStyle name="Note 2 2 2 20 16 2" xfId="22087"/>
    <cellStyle name="Note 2 2 2 20 17" xfId="22088"/>
    <cellStyle name="Note 2 2 2 20 17 2" xfId="22089"/>
    <cellStyle name="Note 2 2 2 20 18" xfId="22090"/>
    <cellStyle name="Note 2 2 2 20 18 2" xfId="22091"/>
    <cellStyle name="Note 2 2 2 20 19" xfId="22092"/>
    <cellStyle name="Note 2 2 2 20 19 2" xfId="22093"/>
    <cellStyle name="Note 2 2 2 20 2" xfId="22094"/>
    <cellStyle name="Note 2 2 2 20 2 10" xfId="22095"/>
    <cellStyle name="Note 2 2 2 20 2 10 2" xfId="22096"/>
    <cellStyle name="Note 2 2 2 20 2 11" xfId="22097"/>
    <cellStyle name="Note 2 2 2 20 2 11 2" xfId="22098"/>
    <cellStyle name="Note 2 2 2 20 2 12" xfId="22099"/>
    <cellStyle name="Note 2 2 2 20 2 12 2" xfId="22100"/>
    <cellStyle name="Note 2 2 2 20 2 13" xfId="22101"/>
    <cellStyle name="Note 2 2 2 20 2 13 2" xfId="22102"/>
    <cellStyle name="Note 2 2 2 20 2 14" xfId="22103"/>
    <cellStyle name="Note 2 2 2 20 2 14 2" xfId="22104"/>
    <cellStyle name="Note 2 2 2 20 2 15" xfId="22105"/>
    <cellStyle name="Note 2 2 2 20 2 15 2" xfId="22106"/>
    <cellStyle name="Note 2 2 2 20 2 16" xfId="22107"/>
    <cellStyle name="Note 2 2 2 20 2 16 2" xfId="22108"/>
    <cellStyle name="Note 2 2 2 20 2 17" xfId="22109"/>
    <cellStyle name="Note 2 2 2 20 2 17 2" xfId="22110"/>
    <cellStyle name="Note 2 2 2 20 2 18" xfId="22111"/>
    <cellStyle name="Note 2 2 2 20 2 18 2" xfId="22112"/>
    <cellStyle name="Note 2 2 2 20 2 19" xfId="22113"/>
    <cellStyle name="Note 2 2 2 20 2 19 2" xfId="22114"/>
    <cellStyle name="Note 2 2 2 20 2 2" xfId="22115"/>
    <cellStyle name="Note 2 2 2 20 2 2 2" xfId="22116"/>
    <cellStyle name="Note 2 2 2 20 2 2 3" xfId="22117"/>
    <cellStyle name="Note 2 2 2 20 2 20" xfId="22118"/>
    <cellStyle name="Note 2 2 2 20 2 20 2" xfId="22119"/>
    <cellStyle name="Note 2 2 2 20 2 21" xfId="22120"/>
    <cellStyle name="Note 2 2 2 20 2 21 2" xfId="22121"/>
    <cellStyle name="Note 2 2 2 20 2 22" xfId="22122"/>
    <cellStyle name="Note 2 2 2 20 2 22 2" xfId="22123"/>
    <cellStyle name="Note 2 2 2 20 2 23" xfId="22124"/>
    <cellStyle name="Note 2 2 2 20 2 23 2" xfId="22125"/>
    <cellStyle name="Note 2 2 2 20 2 24" xfId="22126"/>
    <cellStyle name="Note 2 2 2 20 2 24 2" xfId="22127"/>
    <cellStyle name="Note 2 2 2 20 2 25" xfId="22128"/>
    <cellStyle name="Note 2 2 2 20 2 25 2" xfId="22129"/>
    <cellStyle name="Note 2 2 2 20 2 26" xfId="22130"/>
    <cellStyle name="Note 2 2 2 20 2 26 2" xfId="22131"/>
    <cellStyle name="Note 2 2 2 20 2 27" xfId="22132"/>
    <cellStyle name="Note 2 2 2 20 2 27 2" xfId="22133"/>
    <cellStyle name="Note 2 2 2 20 2 28" xfId="22134"/>
    <cellStyle name="Note 2 2 2 20 2 28 2" xfId="22135"/>
    <cellStyle name="Note 2 2 2 20 2 29" xfId="22136"/>
    <cellStyle name="Note 2 2 2 20 2 29 2" xfId="22137"/>
    <cellStyle name="Note 2 2 2 20 2 3" xfId="22138"/>
    <cellStyle name="Note 2 2 2 20 2 3 2" xfId="22139"/>
    <cellStyle name="Note 2 2 2 20 2 3 3" xfId="22140"/>
    <cellStyle name="Note 2 2 2 20 2 30" xfId="22141"/>
    <cellStyle name="Note 2 2 2 20 2 30 2" xfId="22142"/>
    <cellStyle name="Note 2 2 2 20 2 31" xfId="22143"/>
    <cellStyle name="Note 2 2 2 20 2 4" xfId="22144"/>
    <cellStyle name="Note 2 2 2 20 2 4 2" xfId="22145"/>
    <cellStyle name="Note 2 2 2 20 2 5" xfId="22146"/>
    <cellStyle name="Note 2 2 2 20 2 5 2" xfId="22147"/>
    <cellStyle name="Note 2 2 2 20 2 6" xfId="22148"/>
    <cellStyle name="Note 2 2 2 20 2 6 2" xfId="22149"/>
    <cellStyle name="Note 2 2 2 20 2 7" xfId="22150"/>
    <cellStyle name="Note 2 2 2 20 2 7 2" xfId="22151"/>
    <cellStyle name="Note 2 2 2 20 2 8" xfId="22152"/>
    <cellStyle name="Note 2 2 2 20 2 8 2" xfId="22153"/>
    <cellStyle name="Note 2 2 2 20 2 9" xfId="22154"/>
    <cellStyle name="Note 2 2 2 20 2 9 2" xfId="22155"/>
    <cellStyle name="Note 2 2 2 20 20" xfId="22156"/>
    <cellStyle name="Note 2 2 2 20 20 2" xfId="22157"/>
    <cellStyle name="Note 2 2 2 20 21" xfId="22158"/>
    <cellStyle name="Note 2 2 2 20 21 2" xfId="22159"/>
    <cellStyle name="Note 2 2 2 20 22" xfId="22160"/>
    <cellStyle name="Note 2 2 2 20 22 2" xfId="22161"/>
    <cellStyle name="Note 2 2 2 20 23" xfId="22162"/>
    <cellStyle name="Note 2 2 2 20 23 2" xfId="22163"/>
    <cellStyle name="Note 2 2 2 20 24" xfId="22164"/>
    <cellStyle name="Note 2 2 2 20 24 2" xfId="22165"/>
    <cellStyle name="Note 2 2 2 20 25" xfId="22166"/>
    <cellStyle name="Note 2 2 2 20 25 2" xfId="22167"/>
    <cellStyle name="Note 2 2 2 20 26" xfId="22168"/>
    <cellStyle name="Note 2 2 2 20 26 2" xfId="22169"/>
    <cellStyle name="Note 2 2 2 20 27" xfId="22170"/>
    <cellStyle name="Note 2 2 2 20 27 2" xfId="22171"/>
    <cellStyle name="Note 2 2 2 20 28" xfId="22172"/>
    <cellStyle name="Note 2 2 2 20 28 2" xfId="22173"/>
    <cellStyle name="Note 2 2 2 20 29" xfId="22174"/>
    <cellStyle name="Note 2 2 2 20 29 2" xfId="22175"/>
    <cellStyle name="Note 2 2 2 20 3" xfId="22176"/>
    <cellStyle name="Note 2 2 2 20 3 2" xfId="22177"/>
    <cellStyle name="Note 2 2 2 20 3 2 2" xfId="22178"/>
    <cellStyle name="Note 2 2 2 20 3 3" xfId="22179"/>
    <cellStyle name="Note 2 2 2 20 3 3 2" xfId="22180"/>
    <cellStyle name="Note 2 2 2 20 3 4" xfId="22181"/>
    <cellStyle name="Note 2 2 2 20 3 4 2" xfId="22182"/>
    <cellStyle name="Note 2 2 2 20 3 5" xfId="22183"/>
    <cellStyle name="Note 2 2 2 20 30" xfId="22184"/>
    <cellStyle name="Note 2 2 2 20 30 2" xfId="22185"/>
    <cellStyle name="Note 2 2 2 20 31" xfId="22186"/>
    <cellStyle name="Note 2 2 2 20 31 2" xfId="22187"/>
    <cellStyle name="Note 2 2 2 20 32" xfId="22188"/>
    <cellStyle name="Note 2 2 2 20 32 2" xfId="22189"/>
    <cellStyle name="Note 2 2 2 20 33" xfId="22190"/>
    <cellStyle name="Note 2 2 2 20 33 2" xfId="22191"/>
    <cellStyle name="Note 2 2 2 20 34" xfId="22192"/>
    <cellStyle name="Note 2 2 2 20 34 2" xfId="22193"/>
    <cellStyle name="Note 2 2 2 20 35" xfId="22194"/>
    <cellStyle name="Note 2 2 2 20 35 2" xfId="22195"/>
    <cellStyle name="Note 2 2 2 20 36" xfId="22196"/>
    <cellStyle name="Note 2 2 2 20 36 2" xfId="22197"/>
    <cellStyle name="Note 2 2 2 20 37" xfId="22198"/>
    <cellStyle name="Note 2 2 2 20 37 2" xfId="22199"/>
    <cellStyle name="Note 2 2 2 20 38" xfId="22200"/>
    <cellStyle name="Note 2 2 2 20 38 2" xfId="22201"/>
    <cellStyle name="Note 2 2 2 20 39" xfId="22202"/>
    <cellStyle name="Note 2 2 2 20 39 2" xfId="22203"/>
    <cellStyle name="Note 2 2 2 20 4" xfId="22204"/>
    <cellStyle name="Note 2 2 2 20 4 2" xfId="22205"/>
    <cellStyle name="Note 2 2 2 20 4 2 2" xfId="22206"/>
    <cellStyle name="Note 2 2 2 20 4 3" xfId="22207"/>
    <cellStyle name="Note 2 2 2 20 4 3 2" xfId="22208"/>
    <cellStyle name="Note 2 2 2 20 4 4" xfId="22209"/>
    <cellStyle name="Note 2 2 2 20 4 4 2" xfId="22210"/>
    <cellStyle name="Note 2 2 2 20 4 5" xfId="22211"/>
    <cellStyle name="Note 2 2 2 20 40" xfId="22212"/>
    <cellStyle name="Note 2 2 2 20 40 2" xfId="22213"/>
    <cellStyle name="Note 2 2 2 20 41" xfId="22214"/>
    <cellStyle name="Note 2 2 2 20 41 2" xfId="22215"/>
    <cellStyle name="Note 2 2 2 20 42" xfId="22216"/>
    <cellStyle name="Note 2 2 2 20 42 2" xfId="22217"/>
    <cellStyle name="Note 2 2 2 20 43" xfId="22218"/>
    <cellStyle name="Note 2 2 2 20 43 2" xfId="22219"/>
    <cellStyle name="Note 2 2 2 20 44" xfId="22220"/>
    <cellStyle name="Note 2 2 2 20 44 2" xfId="22221"/>
    <cellStyle name="Note 2 2 2 20 45" xfId="22222"/>
    <cellStyle name="Note 2 2 2 20 45 2" xfId="22223"/>
    <cellStyle name="Note 2 2 2 20 46" xfId="22224"/>
    <cellStyle name="Note 2 2 2 20 46 2" xfId="22225"/>
    <cellStyle name="Note 2 2 2 20 47" xfId="22226"/>
    <cellStyle name="Note 2 2 2 20 47 2" xfId="22227"/>
    <cellStyle name="Note 2 2 2 20 48" xfId="22228"/>
    <cellStyle name="Note 2 2 2 20 48 2" xfId="22229"/>
    <cellStyle name="Note 2 2 2 20 49" xfId="22230"/>
    <cellStyle name="Note 2 2 2 20 49 2" xfId="22231"/>
    <cellStyle name="Note 2 2 2 20 5" xfId="22232"/>
    <cellStyle name="Note 2 2 2 20 5 2" xfId="22233"/>
    <cellStyle name="Note 2 2 2 20 5 2 2" xfId="22234"/>
    <cellStyle name="Note 2 2 2 20 5 3" xfId="22235"/>
    <cellStyle name="Note 2 2 2 20 5 3 2" xfId="22236"/>
    <cellStyle name="Note 2 2 2 20 5 4" xfId="22237"/>
    <cellStyle name="Note 2 2 2 20 5 4 2" xfId="22238"/>
    <cellStyle name="Note 2 2 2 20 5 5" xfId="22239"/>
    <cellStyle name="Note 2 2 2 20 50" xfId="22240"/>
    <cellStyle name="Note 2 2 2 20 50 2" xfId="22241"/>
    <cellStyle name="Note 2 2 2 20 51" xfId="22242"/>
    <cellStyle name="Note 2 2 2 20 51 2" xfId="22243"/>
    <cellStyle name="Note 2 2 2 20 52" xfId="22244"/>
    <cellStyle name="Note 2 2 2 20 52 2" xfId="22245"/>
    <cellStyle name="Note 2 2 2 20 53" xfId="22246"/>
    <cellStyle name="Note 2 2 2 20 53 2" xfId="22247"/>
    <cellStyle name="Note 2 2 2 20 54" xfId="22248"/>
    <cellStyle name="Note 2 2 2 20 54 2" xfId="22249"/>
    <cellStyle name="Note 2 2 2 20 55" xfId="22250"/>
    <cellStyle name="Note 2 2 2 20 55 2" xfId="22251"/>
    <cellStyle name="Note 2 2 2 20 56" xfId="22252"/>
    <cellStyle name="Note 2 2 2 20 56 2" xfId="22253"/>
    <cellStyle name="Note 2 2 2 20 57" xfId="22254"/>
    <cellStyle name="Note 2 2 2 20 57 2" xfId="22255"/>
    <cellStyle name="Note 2 2 2 20 58" xfId="22256"/>
    <cellStyle name="Note 2 2 2 20 58 2" xfId="22257"/>
    <cellStyle name="Note 2 2 2 20 59" xfId="22258"/>
    <cellStyle name="Note 2 2 2 20 59 2" xfId="22259"/>
    <cellStyle name="Note 2 2 2 20 6" xfId="22260"/>
    <cellStyle name="Note 2 2 2 20 6 2" xfId="22261"/>
    <cellStyle name="Note 2 2 2 20 6 2 2" xfId="22262"/>
    <cellStyle name="Note 2 2 2 20 6 3" xfId="22263"/>
    <cellStyle name="Note 2 2 2 20 6 3 2" xfId="22264"/>
    <cellStyle name="Note 2 2 2 20 6 4" xfId="22265"/>
    <cellStyle name="Note 2 2 2 20 6 4 2" xfId="22266"/>
    <cellStyle name="Note 2 2 2 20 6 5" xfId="22267"/>
    <cellStyle name="Note 2 2 2 20 60" xfId="22268"/>
    <cellStyle name="Note 2 2 2 20 60 2" xfId="22269"/>
    <cellStyle name="Note 2 2 2 20 61" xfId="22270"/>
    <cellStyle name="Note 2 2 2 20 61 2" xfId="22271"/>
    <cellStyle name="Note 2 2 2 20 62" xfId="22272"/>
    <cellStyle name="Note 2 2 2 20 7" xfId="22273"/>
    <cellStyle name="Note 2 2 2 20 7 2" xfId="22274"/>
    <cellStyle name="Note 2 2 2 20 7 2 2" xfId="22275"/>
    <cellStyle name="Note 2 2 2 20 7 3" xfId="22276"/>
    <cellStyle name="Note 2 2 2 20 7 3 2" xfId="22277"/>
    <cellStyle name="Note 2 2 2 20 7 4" xfId="22278"/>
    <cellStyle name="Note 2 2 2 20 7 4 2" xfId="22279"/>
    <cellStyle name="Note 2 2 2 20 7 5" xfId="22280"/>
    <cellStyle name="Note 2 2 2 20 8" xfId="22281"/>
    <cellStyle name="Note 2 2 2 20 8 2" xfId="22282"/>
    <cellStyle name="Note 2 2 2 20 8 2 2" xfId="22283"/>
    <cellStyle name="Note 2 2 2 20 8 3" xfId="22284"/>
    <cellStyle name="Note 2 2 2 20 8 3 2" xfId="22285"/>
    <cellStyle name="Note 2 2 2 20 8 4" xfId="22286"/>
    <cellStyle name="Note 2 2 2 20 8 4 2" xfId="22287"/>
    <cellStyle name="Note 2 2 2 20 8 5" xfId="22288"/>
    <cellStyle name="Note 2 2 2 20 9" xfId="22289"/>
    <cellStyle name="Note 2 2 2 20 9 2" xfId="22290"/>
    <cellStyle name="Note 2 2 2 20 9 2 2" xfId="22291"/>
    <cellStyle name="Note 2 2 2 20 9 3" xfId="22292"/>
    <cellStyle name="Note 2 2 2 20 9 3 2" xfId="22293"/>
    <cellStyle name="Note 2 2 2 20 9 4" xfId="22294"/>
    <cellStyle name="Note 2 2 2 20 9 4 2" xfId="22295"/>
    <cellStyle name="Note 2 2 2 20 9 5" xfId="22296"/>
    <cellStyle name="Note 2 2 2 21" xfId="22297"/>
    <cellStyle name="Note 2 2 2 21 10" xfId="22298"/>
    <cellStyle name="Note 2 2 2 21 10 2" xfId="22299"/>
    <cellStyle name="Note 2 2 2 21 10 2 2" xfId="22300"/>
    <cellStyle name="Note 2 2 2 21 10 3" xfId="22301"/>
    <cellStyle name="Note 2 2 2 21 10 3 2" xfId="22302"/>
    <cellStyle name="Note 2 2 2 21 10 4" xfId="22303"/>
    <cellStyle name="Note 2 2 2 21 10 4 2" xfId="22304"/>
    <cellStyle name="Note 2 2 2 21 10 5" xfId="22305"/>
    <cellStyle name="Note 2 2 2 21 11" xfId="22306"/>
    <cellStyle name="Note 2 2 2 21 11 2" xfId="22307"/>
    <cellStyle name="Note 2 2 2 21 11 2 2" xfId="22308"/>
    <cellStyle name="Note 2 2 2 21 11 3" xfId="22309"/>
    <cellStyle name="Note 2 2 2 21 11 3 2" xfId="22310"/>
    <cellStyle name="Note 2 2 2 21 11 4" xfId="22311"/>
    <cellStyle name="Note 2 2 2 21 11 4 2" xfId="22312"/>
    <cellStyle name="Note 2 2 2 21 11 5" xfId="22313"/>
    <cellStyle name="Note 2 2 2 21 12" xfId="22314"/>
    <cellStyle name="Note 2 2 2 21 12 2" xfId="22315"/>
    <cellStyle name="Note 2 2 2 21 12 2 2" xfId="22316"/>
    <cellStyle name="Note 2 2 2 21 12 3" xfId="22317"/>
    <cellStyle name="Note 2 2 2 21 12 3 2" xfId="22318"/>
    <cellStyle name="Note 2 2 2 21 12 4" xfId="22319"/>
    <cellStyle name="Note 2 2 2 21 12 4 2" xfId="22320"/>
    <cellStyle name="Note 2 2 2 21 12 5" xfId="22321"/>
    <cellStyle name="Note 2 2 2 21 13" xfId="22322"/>
    <cellStyle name="Note 2 2 2 21 13 2" xfId="22323"/>
    <cellStyle name="Note 2 2 2 21 13 2 2" xfId="22324"/>
    <cellStyle name="Note 2 2 2 21 13 3" xfId="22325"/>
    <cellStyle name="Note 2 2 2 21 13 3 2" xfId="22326"/>
    <cellStyle name="Note 2 2 2 21 13 4" xfId="22327"/>
    <cellStyle name="Note 2 2 2 21 13 4 2" xfId="22328"/>
    <cellStyle name="Note 2 2 2 21 13 5" xfId="22329"/>
    <cellStyle name="Note 2 2 2 21 14" xfId="22330"/>
    <cellStyle name="Note 2 2 2 21 14 2" xfId="22331"/>
    <cellStyle name="Note 2 2 2 21 14 2 2" xfId="22332"/>
    <cellStyle name="Note 2 2 2 21 14 3" xfId="22333"/>
    <cellStyle name="Note 2 2 2 21 14 3 2" xfId="22334"/>
    <cellStyle name="Note 2 2 2 21 14 4" xfId="22335"/>
    <cellStyle name="Note 2 2 2 21 14 4 2" xfId="22336"/>
    <cellStyle name="Note 2 2 2 21 14 5" xfId="22337"/>
    <cellStyle name="Note 2 2 2 21 15" xfId="22338"/>
    <cellStyle name="Note 2 2 2 21 15 2" xfId="22339"/>
    <cellStyle name="Note 2 2 2 21 16" xfId="22340"/>
    <cellStyle name="Note 2 2 2 21 16 2" xfId="22341"/>
    <cellStyle name="Note 2 2 2 21 17" xfId="22342"/>
    <cellStyle name="Note 2 2 2 21 17 2" xfId="22343"/>
    <cellStyle name="Note 2 2 2 21 18" xfId="22344"/>
    <cellStyle name="Note 2 2 2 21 18 2" xfId="22345"/>
    <cellStyle name="Note 2 2 2 21 19" xfId="22346"/>
    <cellStyle name="Note 2 2 2 21 19 2" xfId="22347"/>
    <cellStyle name="Note 2 2 2 21 2" xfId="22348"/>
    <cellStyle name="Note 2 2 2 21 2 10" xfId="22349"/>
    <cellStyle name="Note 2 2 2 21 2 10 2" xfId="22350"/>
    <cellStyle name="Note 2 2 2 21 2 11" xfId="22351"/>
    <cellStyle name="Note 2 2 2 21 2 11 2" xfId="22352"/>
    <cellStyle name="Note 2 2 2 21 2 12" xfId="22353"/>
    <cellStyle name="Note 2 2 2 21 2 12 2" xfId="22354"/>
    <cellStyle name="Note 2 2 2 21 2 13" xfId="22355"/>
    <cellStyle name="Note 2 2 2 21 2 13 2" xfId="22356"/>
    <cellStyle name="Note 2 2 2 21 2 14" xfId="22357"/>
    <cellStyle name="Note 2 2 2 21 2 14 2" xfId="22358"/>
    <cellStyle name="Note 2 2 2 21 2 15" xfId="22359"/>
    <cellStyle name="Note 2 2 2 21 2 15 2" xfId="22360"/>
    <cellStyle name="Note 2 2 2 21 2 16" xfId="22361"/>
    <cellStyle name="Note 2 2 2 21 2 16 2" xfId="22362"/>
    <cellStyle name="Note 2 2 2 21 2 17" xfId="22363"/>
    <cellStyle name="Note 2 2 2 21 2 17 2" xfId="22364"/>
    <cellStyle name="Note 2 2 2 21 2 18" xfId="22365"/>
    <cellStyle name="Note 2 2 2 21 2 18 2" xfId="22366"/>
    <cellStyle name="Note 2 2 2 21 2 19" xfId="22367"/>
    <cellStyle name="Note 2 2 2 21 2 19 2" xfId="22368"/>
    <cellStyle name="Note 2 2 2 21 2 2" xfId="22369"/>
    <cellStyle name="Note 2 2 2 21 2 2 2" xfId="22370"/>
    <cellStyle name="Note 2 2 2 21 2 2 3" xfId="22371"/>
    <cellStyle name="Note 2 2 2 21 2 20" xfId="22372"/>
    <cellStyle name="Note 2 2 2 21 2 20 2" xfId="22373"/>
    <cellStyle name="Note 2 2 2 21 2 21" xfId="22374"/>
    <cellStyle name="Note 2 2 2 21 2 21 2" xfId="22375"/>
    <cellStyle name="Note 2 2 2 21 2 22" xfId="22376"/>
    <cellStyle name="Note 2 2 2 21 2 22 2" xfId="22377"/>
    <cellStyle name="Note 2 2 2 21 2 23" xfId="22378"/>
    <cellStyle name="Note 2 2 2 21 2 23 2" xfId="22379"/>
    <cellStyle name="Note 2 2 2 21 2 24" xfId="22380"/>
    <cellStyle name="Note 2 2 2 21 2 24 2" xfId="22381"/>
    <cellStyle name="Note 2 2 2 21 2 25" xfId="22382"/>
    <cellStyle name="Note 2 2 2 21 2 25 2" xfId="22383"/>
    <cellStyle name="Note 2 2 2 21 2 26" xfId="22384"/>
    <cellStyle name="Note 2 2 2 21 2 26 2" xfId="22385"/>
    <cellStyle name="Note 2 2 2 21 2 27" xfId="22386"/>
    <cellStyle name="Note 2 2 2 21 2 27 2" xfId="22387"/>
    <cellStyle name="Note 2 2 2 21 2 28" xfId="22388"/>
    <cellStyle name="Note 2 2 2 21 2 28 2" xfId="22389"/>
    <cellStyle name="Note 2 2 2 21 2 29" xfId="22390"/>
    <cellStyle name="Note 2 2 2 21 2 29 2" xfId="22391"/>
    <cellStyle name="Note 2 2 2 21 2 3" xfId="22392"/>
    <cellStyle name="Note 2 2 2 21 2 3 2" xfId="22393"/>
    <cellStyle name="Note 2 2 2 21 2 3 3" xfId="22394"/>
    <cellStyle name="Note 2 2 2 21 2 30" xfId="22395"/>
    <cellStyle name="Note 2 2 2 21 2 30 2" xfId="22396"/>
    <cellStyle name="Note 2 2 2 21 2 31" xfId="22397"/>
    <cellStyle name="Note 2 2 2 21 2 4" xfId="22398"/>
    <cellStyle name="Note 2 2 2 21 2 4 2" xfId="22399"/>
    <cellStyle name="Note 2 2 2 21 2 5" xfId="22400"/>
    <cellStyle name="Note 2 2 2 21 2 5 2" xfId="22401"/>
    <cellStyle name="Note 2 2 2 21 2 6" xfId="22402"/>
    <cellStyle name="Note 2 2 2 21 2 6 2" xfId="22403"/>
    <cellStyle name="Note 2 2 2 21 2 7" xfId="22404"/>
    <cellStyle name="Note 2 2 2 21 2 7 2" xfId="22405"/>
    <cellStyle name="Note 2 2 2 21 2 8" xfId="22406"/>
    <cellStyle name="Note 2 2 2 21 2 8 2" xfId="22407"/>
    <cellStyle name="Note 2 2 2 21 2 9" xfId="22408"/>
    <cellStyle name="Note 2 2 2 21 2 9 2" xfId="22409"/>
    <cellStyle name="Note 2 2 2 21 20" xfId="22410"/>
    <cellStyle name="Note 2 2 2 21 20 2" xfId="22411"/>
    <cellStyle name="Note 2 2 2 21 21" xfId="22412"/>
    <cellStyle name="Note 2 2 2 21 21 2" xfId="22413"/>
    <cellStyle name="Note 2 2 2 21 22" xfId="22414"/>
    <cellStyle name="Note 2 2 2 21 22 2" xfId="22415"/>
    <cellStyle name="Note 2 2 2 21 23" xfId="22416"/>
    <cellStyle name="Note 2 2 2 21 23 2" xfId="22417"/>
    <cellStyle name="Note 2 2 2 21 24" xfId="22418"/>
    <cellStyle name="Note 2 2 2 21 24 2" xfId="22419"/>
    <cellStyle name="Note 2 2 2 21 25" xfId="22420"/>
    <cellStyle name="Note 2 2 2 21 25 2" xfId="22421"/>
    <cellStyle name="Note 2 2 2 21 26" xfId="22422"/>
    <cellStyle name="Note 2 2 2 21 26 2" xfId="22423"/>
    <cellStyle name="Note 2 2 2 21 27" xfId="22424"/>
    <cellStyle name="Note 2 2 2 21 27 2" xfId="22425"/>
    <cellStyle name="Note 2 2 2 21 28" xfId="22426"/>
    <cellStyle name="Note 2 2 2 21 28 2" xfId="22427"/>
    <cellStyle name="Note 2 2 2 21 29" xfId="22428"/>
    <cellStyle name="Note 2 2 2 21 29 2" xfId="22429"/>
    <cellStyle name="Note 2 2 2 21 3" xfId="22430"/>
    <cellStyle name="Note 2 2 2 21 3 2" xfId="22431"/>
    <cellStyle name="Note 2 2 2 21 3 2 2" xfId="22432"/>
    <cellStyle name="Note 2 2 2 21 3 3" xfId="22433"/>
    <cellStyle name="Note 2 2 2 21 3 3 2" xfId="22434"/>
    <cellStyle name="Note 2 2 2 21 3 4" xfId="22435"/>
    <cellStyle name="Note 2 2 2 21 3 4 2" xfId="22436"/>
    <cellStyle name="Note 2 2 2 21 3 5" xfId="22437"/>
    <cellStyle name="Note 2 2 2 21 30" xfId="22438"/>
    <cellStyle name="Note 2 2 2 21 30 2" xfId="22439"/>
    <cellStyle name="Note 2 2 2 21 31" xfId="22440"/>
    <cellStyle name="Note 2 2 2 21 31 2" xfId="22441"/>
    <cellStyle name="Note 2 2 2 21 32" xfId="22442"/>
    <cellStyle name="Note 2 2 2 21 32 2" xfId="22443"/>
    <cellStyle name="Note 2 2 2 21 33" xfId="22444"/>
    <cellStyle name="Note 2 2 2 21 33 2" xfId="22445"/>
    <cellStyle name="Note 2 2 2 21 34" xfId="22446"/>
    <cellStyle name="Note 2 2 2 21 34 2" xfId="22447"/>
    <cellStyle name="Note 2 2 2 21 35" xfId="22448"/>
    <cellStyle name="Note 2 2 2 21 35 2" xfId="22449"/>
    <cellStyle name="Note 2 2 2 21 36" xfId="22450"/>
    <cellStyle name="Note 2 2 2 21 36 2" xfId="22451"/>
    <cellStyle name="Note 2 2 2 21 37" xfId="22452"/>
    <cellStyle name="Note 2 2 2 21 37 2" xfId="22453"/>
    <cellStyle name="Note 2 2 2 21 38" xfId="22454"/>
    <cellStyle name="Note 2 2 2 21 38 2" xfId="22455"/>
    <cellStyle name="Note 2 2 2 21 39" xfId="22456"/>
    <cellStyle name="Note 2 2 2 21 39 2" xfId="22457"/>
    <cellStyle name="Note 2 2 2 21 4" xfId="22458"/>
    <cellStyle name="Note 2 2 2 21 4 2" xfId="22459"/>
    <cellStyle name="Note 2 2 2 21 4 2 2" xfId="22460"/>
    <cellStyle name="Note 2 2 2 21 4 3" xfId="22461"/>
    <cellStyle name="Note 2 2 2 21 4 3 2" xfId="22462"/>
    <cellStyle name="Note 2 2 2 21 4 4" xfId="22463"/>
    <cellStyle name="Note 2 2 2 21 4 4 2" xfId="22464"/>
    <cellStyle name="Note 2 2 2 21 4 5" xfId="22465"/>
    <cellStyle name="Note 2 2 2 21 40" xfId="22466"/>
    <cellStyle name="Note 2 2 2 21 40 2" xfId="22467"/>
    <cellStyle name="Note 2 2 2 21 41" xfId="22468"/>
    <cellStyle name="Note 2 2 2 21 41 2" xfId="22469"/>
    <cellStyle name="Note 2 2 2 21 42" xfId="22470"/>
    <cellStyle name="Note 2 2 2 21 42 2" xfId="22471"/>
    <cellStyle name="Note 2 2 2 21 43" xfId="22472"/>
    <cellStyle name="Note 2 2 2 21 43 2" xfId="22473"/>
    <cellStyle name="Note 2 2 2 21 44" xfId="22474"/>
    <cellStyle name="Note 2 2 2 21 44 2" xfId="22475"/>
    <cellStyle name="Note 2 2 2 21 45" xfId="22476"/>
    <cellStyle name="Note 2 2 2 21 45 2" xfId="22477"/>
    <cellStyle name="Note 2 2 2 21 46" xfId="22478"/>
    <cellStyle name="Note 2 2 2 21 46 2" xfId="22479"/>
    <cellStyle name="Note 2 2 2 21 47" xfId="22480"/>
    <cellStyle name="Note 2 2 2 21 47 2" xfId="22481"/>
    <cellStyle name="Note 2 2 2 21 48" xfId="22482"/>
    <cellStyle name="Note 2 2 2 21 48 2" xfId="22483"/>
    <cellStyle name="Note 2 2 2 21 49" xfId="22484"/>
    <cellStyle name="Note 2 2 2 21 49 2" xfId="22485"/>
    <cellStyle name="Note 2 2 2 21 5" xfId="22486"/>
    <cellStyle name="Note 2 2 2 21 5 2" xfId="22487"/>
    <cellStyle name="Note 2 2 2 21 5 2 2" xfId="22488"/>
    <cellStyle name="Note 2 2 2 21 5 3" xfId="22489"/>
    <cellStyle name="Note 2 2 2 21 5 3 2" xfId="22490"/>
    <cellStyle name="Note 2 2 2 21 5 4" xfId="22491"/>
    <cellStyle name="Note 2 2 2 21 5 4 2" xfId="22492"/>
    <cellStyle name="Note 2 2 2 21 5 5" xfId="22493"/>
    <cellStyle name="Note 2 2 2 21 50" xfId="22494"/>
    <cellStyle name="Note 2 2 2 21 50 2" xfId="22495"/>
    <cellStyle name="Note 2 2 2 21 51" xfId="22496"/>
    <cellStyle name="Note 2 2 2 21 51 2" xfId="22497"/>
    <cellStyle name="Note 2 2 2 21 52" xfId="22498"/>
    <cellStyle name="Note 2 2 2 21 52 2" xfId="22499"/>
    <cellStyle name="Note 2 2 2 21 53" xfId="22500"/>
    <cellStyle name="Note 2 2 2 21 53 2" xfId="22501"/>
    <cellStyle name="Note 2 2 2 21 54" xfId="22502"/>
    <cellStyle name="Note 2 2 2 21 54 2" xfId="22503"/>
    <cellStyle name="Note 2 2 2 21 55" xfId="22504"/>
    <cellStyle name="Note 2 2 2 21 55 2" xfId="22505"/>
    <cellStyle name="Note 2 2 2 21 56" xfId="22506"/>
    <cellStyle name="Note 2 2 2 21 56 2" xfId="22507"/>
    <cellStyle name="Note 2 2 2 21 57" xfId="22508"/>
    <cellStyle name="Note 2 2 2 21 57 2" xfId="22509"/>
    <cellStyle name="Note 2 2 2 21 58" xfId="22510"/>
    <cellStyle name="Note 2 2 2 21 58 2" xfId="22511"/>
    <cellStyle name="Note 2 2 2 21 59" xfId="22512"/>
    <cellStyle name="Note 2 2 2 21 59 2" xfId="22513"/>
    <cellStyle name="Note 2 2 2 21 6" xfId="22514"/>
    <cellStyle name="Note 2 2 2 21 6 2" xfId="22515"/>
    <cellStyle name="Note 2 2 2 21 6 2 2" xfId="22516"/>
    <cellStyle name="Note 2 2 2 21 6 3" xfId="22517"/>
    <cellStyle name="Note 2 2 2 21 6 3 2" xfId="22518"/>
    <cellStyle name="Note 2 2 2 21 6 4" xfId="22519"/>
    <cellStyle name="Note 2 2 2 21 6 4 2" xfId="22520"/>
    <cellStyle name="Note 2 2 2 21 6 5" xfId="22521"/>
    <cellStyle name="Note 2 2 2 21 60" xfId="22522"/>
    <cellStyle name="Note 2 2 2 21 60 2" xfId="22523"/>
    <cellStyle name="Note 2 2 2 21 61" xfId="22524"/>
    <cellStyle name="Note 2 2 2 21 61 2" xfId="22525"/>
    <cellStyle name="Note 2 2 2 21 62" xfId="22526"/>
    <cellStyle name="Note 2 2 2 21 7" xfId="22527"/>
    <cellStyle name="Note 2 2 2 21 7 2" xfId="22528"/>
    <cellStyle name="Note 2 2 2 21 7 2 2" xfId="22529"/>
    <cellStyle name="Note 2 2 2 21 7 3" xfId="22530"/>
    <cellStyle name="Note 2 2 2 21 7 3 2" xfId="22531"/>
    <cellStyle name="Note 2 2 2 21 7 4" xfId="22532"/>
    <cellStyle name="Note 2 2 2 21 7 4 2" xfId="22533"/>
    <cellStyle name="Note 2 2 2 21 7 5" xfId="22534"/>
    <cellStyle name="Note 2 2 2 21 8" xfId="22535"/>
    <cellStyle name="Note 2 2 2 21 8 2" xfId="22536"/>
    <cellStyle name="Note 2 2 2 21 8 2 2" xfId="22537"/>
    <cellStyle name="Note 2 2 2 21 8 3" xfId="22538"/>
    <cellStyle name="Note 2 2 2 21 8 3 2" xfId="22539"/>
    <cellStyle name="Note 2 2 2 21 8 4" xfId="22540"/>
    <cellStyle name="Note 2 2 2 21 8 4 2" xfId="22541"/>
    <cellStyle name="Note 2 2 2 21 8 5" xfId="22542"/>
    <cellStyle name="Note 2 2 2 21 9" xfId="22543"/>
    <cellStyle name="Note 2 2 2 21 9 2" xfId="22544"/>
    <cellStyle name="Note 2 2 2 21 9 2 2" xfId="22545"/>
    <cellStyle name="Note 2 2 2 21 9 3" xfId="22546"/>
    <cellStyle name="Note 2 2 2 21 9 3 2" xfId="22547"/>
    <cellStyle name="Note 2 2 2 21 9 4" xfId="22548"/>
    <cellStyle name="Note 2 2 2 21 9 4 2" xfId="22549"/>
    <cellStyle name="Note 2 2 2 21 9 5" xfId="22550"/>
    <cellStyle name="Note 2 2 2 22" xfId="22551"/>
    <cellStyle name="Note 2 2 2 22 10" xfId="22552"/>
    <cellStyle name="Note 2 2 2 22 10 2" xfId="22553"/>
    <cellStyle name="Note 2 2 2 22 10 2 2" xfId="22554"/>
    <cellStyle name="Note 2 2 2 22 10 3" xfId="22555"/>
    <cellStyle name="Note 2 2 2 22 10 3 2" xfId="22556"/>
    <cellStyle name="Note 2 2 2 22 10 4" xfId="22557"/>
    <cellStyle name="Note 2 2 2 22 10 4 2" xfId="22558"/>
    <cellStyle name="Note 2 2 2 22 10 5" xfId="22559"/>
    <cellStyle name="Note 2 2 2 22 11" xfId="22560"/>
    <cellStyle name="Note 2 2 2 22 11 2" xfId="22561"/>
    <cellStyle name="Note 2 2 2 22 11 2 2" xfId="22562"/>
    <cellStyle name="Note 2 2 2 22 11 3" xfId="22563"/>
    <cellStyle name="Note 2 2 2 22 11 3 2" xfId="22564"/>
    <cellStyle name="Note 2 2 2 22 11 4" xfId="22565"/>
    <cellStyle name="Note 2 2 2 22 11 4 2" xfId="22566"/>
    <cellStyle name="Note 2 2 2 22 11 5" xfId="22567"/>
    <cellStyle name="Note 2 2 2 22 12" xfId="22568"/>
    <cellStyle name="Note 2 2 2 22 12 2" xfId="22569"/>
    <cellStyle name="Note 2 2 2 22 12 2 2" xfId="22570"/>
    <cellStyle name="Note 2 2 2 22 12 3" xfId="22571"/>
    <cellStyle name="Note 2 2 2 22 12 3 2" xfId="22572"/>
    <cellStyle name="Note 2 2 2 22 12 4" xfId="22573"/>
    <cellStyle name="Note 2 2 2 22 12 4 2" xfId="22574"/>
    <cellStyle name="Note 2 2 2 22 12 5" xfId="22575"/>
    <cellStyle name="Note 2 2 2 22 13" xfId="22576"/>
    <cellStyle name="Note 2 2 2 22 13 2" xfId="22577"/>
    <cellStyle name="Note 2 2 2 22 13 2 2" xfId="22578"/>
    <cellStyle name="Note 2 2 2 22 13 3" xfId="22579"/>
    <cellStyle name="Note 2 2 2 22 13 3 2" xfId="22580"/>
    <cellStyle name="Note 2 2 2 22 13 4" xfId="22581"/>
    <cellStyle name="Note 2 2 2 22 13 4 2" xfId="22582"/>
    <cellStyle name="Note 2 2 2 22 13 5" xfId="22583"/>
    <cellStyle name="Note 2 2 2 22 14" xfId="22584"/>
    <cellStyle name="Note 2 2 2 22 14 2" xfId="22585"/>
    <cellStyle name="Note 2 2 2 22 14 2 2" xfId="22586"/>
    <cellStyle name="Note 2 2 2 22 14 3" xfId="22587"/>
    <cellStyle name="Note 2 2 2 22 14 3 2" xfId="22588"/>
    <cellStyle name="Note 2 2 2 22 14 4" xfId="22589"/>
    <cellStyle name="Note 2 2 2 22 14 4 2" xfId="22590"/>
    <cellStyle name="Note 2 2 2 22 14 5" xfId="22591"/>
    <cellStyle name="Note 2 2 2 22 15" xfId="22592"/>
    <cellStyle name="Note 2 2 2 22 15 2" xfId="22593"/>
    <cellStyle name="Note 2 2 2 22 16" xfId="22594"/>
    <cellStyle name="Note 2 2 2 22 16 2" xfId="22595"/>
    <cellStyle name="Note 2 2 2 22 17" xfId="22596"/>
    <cellStyle name="Note 2 2 2 22 17 2" xfId="22597"/>
    <cellStyle name="Note 2 2 2 22 18" xfId="22598"/>
    <cellStyle name="Note 2 2 2 22 18 2" xfId="22599"/>
    <cellStyle name="Note 2 2 2 22 19" xfId="22600"/>
    <cellStyle name="Note 2 2 2 22 19 2" xfId="22601"/>
    <cellStyle name="Note 2 2 2 22 2" xfId="22602"/>
    <cellStyle name="Note 2 2 2 22 2 10" xfId="22603"/>
    <cellStyle name="Note 2 2 2 22 2 10 2" xfId="22604"/>
    <cellStyle name="Note 2 2 2 22 2 11" xfId="22605"/>
    <cellStyle name="Note 2 2 2 22 2 11 2" xfId="22606"/>
    <cellStyle name="Note 2 2 2 22 2 12" xfId="22607"/>
    <cellStyle name="Note 2 2 2 22 2 12 2" xfId="22608"/>
    <cellStyle name="Note 2 2 2 22 2 13" xfId="22609"/>
    <cellStyle name="Note 2 2 2 22 2 13 2" xfId="22610"/>
    <cellStyle name="Note 2 2 2 22 2 14" xfId="22611"/>
    <cellStyle name="Note 2 2 2 22 2 14 2" xfId="22612"/>
    <cellStyle name="Note 2 2 2 22 2 15" xfId="22613"/>
    <cellStyle name="Note 2 2 2 22 2 15 2" xfId="22614"/>
    <cellStyle name="Note 2 2 2 22 2 16" xfId="22615"/>
    <cellStyle name="Note 2 2 2 22 2 16 2" xfId="22616"/>
    <cellStyle name="Note 2 2 2 22 2 17" xfId="22617"/>
    <cellStyle name="Note 2 2 2 22 2 17 2" xfId="22618"/>
    <cellStyle name="Note 2 2 2 22 2 18" xfId="22619"/>
    <cellStyle name="Note 2 2 2 22 2 18 2" xfId="22620"/>
    <cellStyle name="Note 2 2 2 22 2 19" xfId="22621"/>
    <cellStyle name="Note 2 2 2 22 2 19 2" xfId="22622"/>
    <cellStyle name="Note 2 2 2 22 2 2" xfId="22623"/>
    <cellStyle name="Note 2 2 2 22 2 2 2" xfId="22624"/>
    <cellStyle name="Note 2 2 2 22 2 2 3" xfId="22625"/>
    <cellStyle name="Note 2 2 2 22 2 20" xfId="22626"/>
    <cellStyle name="Note 2 2 2 22 2 20 2" xfId="22627"/>
    <cellStyle name="Note 2 2 2 22 2 21" xfId="22628"/>
    <cellStyle name="Note 2 2 2 22 2 21 2" xfId="22629"/>
    <cellStyle name="Note 2 2 2 22 2 22" xfId="22630"/>
    <cellStyle name="Note 2 2 2 22 2 22 2" xfId="22631"/>
    <cellStyle name="Note 2 2 2 22 2 23" xfId="22632"/>
    <cellStyle name="Note 2 2 2 22 2 23 2" xfId="22633"/>
    <cellStyle name="Note 2 2 2 22 2 24" xfId="22634"/>
    <cellStyle name="Note 2 2 2 22 2 24 2" xfId="22635"/>
    <cellStyle name="Note 2 2 2 22 2 25" xfId="22636"/>
    <cellStyle name="Note 2 2 2 22 2 25 2" xfId="22637"/>
    <cellStyle name="Note 2 2 2 22 2 26" xfId="22638"/>
    <cellStyle name="Note 2 2 2 22 2 26 2" xfId="22639"/>
    <cellStyle name="Note 2 2 2 22 2 27" xfId="22640"/>
    <cellStyle name="Note 2 2 2 22 2 27 2" xfId="22641"/>
    <cellStyle name="Note 2 2 2 22 2 28" xfId="22642"/>
    <cellStyle name="Note 2 2 2 22 2 28 2" xfId="22643"/>
    <cellStyle name="Note 2 2 2 22 2 29" xfId="22644"/>
    <cellStyle name="Note 2 2 2 22 2 29 2" xfId="22645"/>
    <cellStyle name="Note 2 2 2 22 2 3" xfId="22646"/>
    <cellStyle name="Note 2 2 2 22 2 3 2" xfId="22647"/>
    <cellStyle name="Note 2 2 2 22 2 3 3" xfId="22648"/>
    <cellStyle name="Note 2 2 2 22 2 30" xfId="22649"/>
    <cellStyle name="Note 2 2 2 22 2 30 2" xfId="22650"/>
    <cellStyle name="Note 2 2 2 22 2 31" xfId="22651"/>
    <cellStyle name="Note 2 2 2 22 2 4" xfId="22652"/>
    <cellStyle name="Note 2 2 2 22 2 4 2" xfId="22653"/>
    <cellStyle name="Note 2 2 2 22 2 5" xfId="22654"/>
    <cellStyle name="Note 2 2 2 22 2 5 2" xfId="22655"/>
    <cellStyle name="Note 2 2 2 22 2 6" xfId="22656"/>
    <cellStyle name="Note 2 2 2 22 2 6 2" xfId="22657"/>
    <cellStyle name="Note 2 2 2 22 2 7" xfId="22658"/>
    <cellStyle name="Note 2 2 2 22 2 7 2" xfId="22659"/>
    <cellStyle name="Note 2 2 2 22 2 8" xfId="22660"/>
    <cellStyle name="Note 2 2 2 22 2 8 2" xfId="22661"/>
    <cellStyle name="Note 2 2 2 22 2 9" xfId="22662"/>
    <cellStyle name="Note 2 2 2 22 2 9 2" xfId="22663"/>
    <cellStyle name="Note 2 2 2 22 20" xfId="22664"/>
    <cellStyle name="Note 2 2 2 22 20 2" xfId="22665"/>
    <cellStyle name="Note 2 2 2 22 21" xfId="22666"/>
    <cellStyle name="Note 2 2 2 22 21 2" xfId="22667"/>
    <cellStyle name="Note 2 2 2 22 22" xfId="22668"/>
    <cellStyle name="Note 2 2 2 22 22 2" xfId="22669"/>
    <cellStyle name="Note 2 2 2 22 23" xfId="22670"/>
    <cellStyle name="Note 2 2 2 22 23 2" xfId="22671"/>
    <cellStyle name="Note 2 2 2 22 24" xfId="22672"/>
    <cellStyle name="Note 2 2 2 22 24 2" xfId="22673"/>
    <cellStyle name="Note 2 2 2 22 25" xfId="22674"/>
    <cellStyle name="Note 2 2 2 22 25 2" xfId="22675"/>
    <cellStyle name="Note 2 2 2 22 26" xfId="22676"/>
    <cellStyle name="Note 2 2 2 22 26 2" xfId="22677"/>
    <cellStyle name="Note 2 2 2 22 27" xfId="22678"/>
    <cellStyle name="Note 2 2 2 22 27 2" xfId="22679"/>
    <cellStyle name="Note 2 2 2 22 28" xfId="22680"/>
    <cellStyle name="Note 2 2 2 22 28 2" xfId="22681"/>
    <cellStyle name="Note 2 2 2 22 29" xfId="22682"/>
    <cellStyle name="Note 2 2 2 22 29 2" xfId="22683"/>
    <cellStyle name="Note 2 2 2 22 3" xfId="22684"/>
    <cellStyle name="Note 2 2 2 22 3 2" xfId="22685"/>
    <cellStyle name="Note 2 2 2 22 3 2 2" xfId="22686"/>
    <cellStyle name="Note 2 2 2 22 3 3" xfId="22687"/>
    <cellStyle name="Note 2 2 2 22 3 3 2" xfId="22688"/>
    <cellStyle name="Note 2 2 2 22 3 4" xfId="22689"/>
    <cellStyle name="Note 2 2 2 22 3 4 2" xfId="22690"/>
    <cellStyle name="Note 2 2 2 22 3 5" xfId="22691"/>
    <cellStyle name="Note 2 2 2 22 30" xfId="22692"/>
    <cellStyle name="Note 2 2 2 22 30 2" xfId="22693"/>
    <cellStyle name="Note 2 2 2 22 31" xfId="22694"/>
    <cellStyle name="Note 2 2 2 22 31 2" xfId="22695"/>
    <cellStyle name="Note 2 2 2 22 32" xfId="22696"/>
    <cellStyle name="Note 2 2 2 22 32 2" xfId="22697"/>
    <cellStyle name="Note 2 2 2 22 33" xfId="22698"/>
    <cellStyle name="Note 2 2 2 22 33 2" xfId="22699"/>
    <cellStyle name="Note 2 2 2 22 34" xfId="22700"/>
    <cellStyle name="Note 2 2 2 22 34 2" xfId="22701"/>
    <cellStyle name="Note 2 2 2 22 35" xfId="22702"/>
    <cellStyle name="Note 2 2 2 22 35 2" xfId="22703"/>
    <cellStyle name="Note 2 2 2 22 36" xfId="22704"/>
    <cellStyle name="Note 2 2 2 22 36 2" xfId="22705"/>
    <cellStyle name="Note 2 2 2 22 37" xfId="22706"/>
    <cellStyle name="Note 2 2 2 22 37 2" xfId="22707"/>
    <cellStyle name="Note 2 2 2 22 38" xfId="22708"/>
    <cellStyle name="Note 2 2 2 22 38 2" xfId="22709"/>
    <cellStyle name="Note 2 2 2 22 39" xfId="22710"/>
    <cellStyle name="Note 2 2 2 22 39 2" xfId="22711"/>
    <cellStyle name="Note 2 2 2 22 4" xfId="22712"/>
    <cellStyle name="Note 2 2 2 22 4 2" xfId="22713"/>
    <cellStyle name="Note 2 2 2 22 4 2 2" xfId="22714"/>
    <cellStyle name="Note 2 2 2 22 4 3" xfId="22715"/>
    <cellStyle name="Note 2 2 2 22 4 3 2" xfId="22716"/>
    <cellStyle name="Note 2 2 2 22 4 4" xfId="22717"/>
    <cellStyle name="Note 2 2 2 22 4 4 2" xfId="22718"/>
    <cellStyle name="Note 2 2 2 22 4 5" xfId="22719"/>
    <cellStyle name="Note 2 2 2 22 40" xfId="22720"/>
    <cellStyle name="Note 2 2 2 22 40 2" xfId="22721"/>
    <cellStyle name="Note 2 2 2 22 41" xfId="22722"/>
    <cellStyle name="Note 2 2 2 22 41 2" xfId="22723"/>
    <cellStyle name="Note 2 2 2 22 42" xfId="22724"/>
    <cellStyle name="Note 2 2 2 22 42 2" xfId="22725"/>
    <cellStyle name="Note 2 2 2 22 43" xfId="22726"/>
    <cellStyle name="Note 2 2 2 22 43 2" xfId="22727"/>
    <cellStyle name="Note 2 2 2 22 44" xfId="22728"/>
    <cellStyle name="Note 2 2 2 22 44 2" xfId="22729"/>
    <cellStyle name="Note 2 2 2 22 45" xfId="22730"/>
    <cellStyle name="Note 2 2 2 22 45 2" xfId="22731"/>
    <cellStyle name="Note 2 2 2 22 46" xfId="22732"/>
    <cellStyle name="Note 2 2 2 22 46 2" xfId="22733"/>
    <cellStyle name="Note 2 2 2 22 47" xfId="22734"/>
    <cellStyle name="Note 2 2 2 22 47 2" xfId="22735"/>
    <cellStyle name="Note 2 2 2 22 48" xfId="22736"/>
    <cellStyle name="Note 2 2 2 22 48 2" xfId="22737"/>
    <cellStyle name="Note 2 2 2 22 49" xfId="22738"/>
    <cellStyle name="Note 2 2 2 22 49 2" xfId="22739"/>
    <cellStyle name="Note 2 2 2 22 5" xfId="22740"/>
    <cellStyle name="Note 2 2 2 22 5 2" xfId="22741"/>
    <cellStyle name="Note 2 2 2 22 5 2 2" xfId="22742"/>
    <cellStyle name="Note 2 2 2 22 5 3" xfId="22743"/>
    <cellStyle name="Note 2 2 2 22 5 3 2" xfId="22744"/>
    <cellStyle name="Note 2 2 2 22 5 4" xfId="22745"/>
    <cellStyle name="Note 2 2 2 22 5 4 2" xfId="22746"/>
    <cellStyle name="Note 2 2 2 22 5 5" xfId="22747"/>
    <cellStyle name="Note 2 2 2 22 50" xfId="22748"/>
    <cellStyle name="Note 2 2 2 22 50 2" xfId="22749"/>
    <cellStyle name="Note 2 2 2 22 51" xfId="22750"/>
    <cellStyle name="Note 2 2 2 22 51 2" xfId="22751"/>
    <cellStyle name="Note 2 2 2 22 52" xfId="22752"/>
    <cellStyle name="Note 2 2 2 22 52 2" xfId="22753"/>
    <cellStyle name="Note 2 2 2 22 53" xfId="22754"/>
    <cellStyle name="Note 2 2 2 22 53 2" xfId="22755"/>
    <cellStyle name="Note 2 2 2 22 54" xfId="22756"/>
    <cellStyle name="Note 2 2 2 22 54 2" xfId="22757"/>
    <cellStyle name="Note 2 2 2 22 55" xfId="22758"/>
    <cellStyle name="Note 2 2 2 22 55 2" xfId="22759"/>
    <cellStyle name="Note 2 2 2 22 56" xfId="22760"/>
    <cellStyle name="Note 2 2 2 22 56 2" xfId="22761"/>
    <cellStyle name="Note 2 2 2 22 57" xfId="22762"/>
    <cellStyle name="Note 2 2 2 22 57 2" xfId="22763"/>
    <cellStyle name="Note 2 2 2 22 58" xfId="22764"/>
    <cellStyle name="Note 2 2 2 22 58 2" xfId="22765"/>
    <cellStyle name="Note 2 2 2 22 59" xfId="22766"/>
    <cellStyle name="Note 2 2 2 22 59 2" xfId="22767"/>
    <cellStyle name="Note 2 2 2 22 6" xfId="22768"/>
    <cellStyle name="Note 2 2 2 22 6 2" xfId="22769"/>
    <cellStyle name="Note 2 2 2 22 6 2 2" xfId="22770"/>
    <cellStyle name="Note 2 2 2 22 6 3" xfId="22771"/>
    <cellStyle name="Note 2 2 2 22 6 3 2" xfId="22772"/>
    <cellStyle name="Note 2 2 2 22 6 4" xfId="22773"/>
    <cellStyle name="Note 2 2 2 22 6 4 2" xfId="22774"/>
    <cellStyle name="Note 2 2 2 22 6 5" xfId="22775"/>
    <cellStyle name="Note 2 2 2 22 60" xfId="22776"/>
    <cellStyle name="Note 2 2 2 22 60 2" xfId="22777"/>
    <cellStyle name="Note 2 2 2 22 61" xfId="22778"/>
    <cellStyle name="Note 2 2 2 22 61 2" xfId="22779"/>
    <cellStyle name="Note 2 2 2 22 62" xfId="22780"/>
    <cellStyle name="Note 2 2 2 22 7" xfId="22781"/>
    <cellStyle name="Note 2 2 2 22 7 2" xfId="22782"/>
    <cellStyle name="Note 2 2 2 22 7 2 2" xfId="22783"/>
    <cellStyle name="Note 2 2 2 22 7 3" xfId="22784"/>
    <cellStyle name="Note 2 2 2 22 7 3 2" xfId="22785"/>
    <cellStyle name="Note 2 2 2 22 7 4" xfId="22786"/>
    <cellStyle name="Note 2 2 2 22 7 4 2" xfId="22787"/>
    <cellStyle name="Note 2 2 2 22 7 5" xfId="22788"/>
    <cellStyle name="Note 2 2 2 22 8" xfId="22789"/>
    <cellStyle name="Note 2 2 2 22 8 2" xfId="22790"/>
    <cellStyle name="Note 2 2 2 22 8 2 2" xfId="22791"/>
    <cellStyle name="Note 2 2 2 22 8 3" xfId="22792"/>
    <cellStyle name="Note 2 2 2 22 8 3 2" xfId="22793"/>
    <cellStyle name="Note 2 2 2 22 8 4" xfId="22794"/>
    <cellStyle name="Note 2 2 2 22 8 4 2" xfId="22795"/>
    <cellStyle name="Note 2 2 2 22 8 5" xfId="22796"/>
    <cellStyle name="Note 2 2 2 22 9" xfId="22797"/>
    <cellStyle name="Note 2 2 2 22 9 2" xfId="22798"/>
    <cellStyle name="Note 2 2 2 22 9 2 2" xfId="22799"/>
    <cellStyle name="Note 2 2 2 22 9 3" xfId="22800"/>
    <cellStyle name="Note 2 2 2 22 9 3 2" xfId="22801"/>
    <cellStyle name="Note 2 2 2 22 9 4" xfId="22802"/>
    <cellStyle name="Note 2 2 2 22 9 4 2" xfId="22803"/>
    <cellStyle name="Note 2 2 2 22 9 5" xfId="22804"/>
    <cellStyle name="Note 2 2 2 23" xfId="22805"/>
    <cellStyle name="Note 2 2 2 23 10" xfId="22806"/>
    <cellStyle name="Note 2 2 2 23 10 2" xfId="22807"/>
    <cellStyle name="Note 2 2 2 23 10 2 2" xfId="22808"/>
    <cellStyle name="Note 2 2 2 23 10 3" xfId="22809"/>
    <cellStyle name="Note 2 2 2 23 10 3 2" xfId="22810"/>
    <cellStyle name="Note 2 2 2 23 10 4" xfId="22811"/>
    <cellStyle name="Note 2 2 2 23 10 4 2" xfId="22812"/>
    <cellStyle name="Note 2 2 2 23 10 5" xfId="22813"/>
    <cellStyle name="Note 2 2 2 23 11" xfId="22814"/>
    <cellStyle name="Note 2 2 2 23 11 2" xfId="22815"/>
    <cellStyle name="Note 2 2 2 23 11 2 2" xfId="22816"/>
    <cellStyle name="Note 2 2 2 23 11 3" xfId="22817"/>
    <cellStyle name="Note 2 2 2 23 11 3 2" xfId="22818"/>
    <cellStyle name="Note 2 2 2 23 11 4" xfId="22819"/>
    <cellStyle name="Note 2 2 2 23 11 4 2" xfId="22820"/>
    <cellStyle name="Note 2 2 2 23 11 5" xfId="22821"/>
    <cellStyle name="Note 2 2 2 23 12" xfId="22822"/>
    <cellStyle name="Note 2 2 2 23 12 2" xfId="22823"/>
    <cellStyle name="Note 2 2 2 23 12 2 2" xfId="22824"/>
    <cellStyle name="Note 2 2 2 23 12 3" xfId="22825"/>
    <cellStyle name="Note 2 2 2 23 12 3 2" xfId="22826"/>
    <cellStyle name="Note 2 2 2 23 12 4" xfId="22827"/>
    <cellStyle name="Note 2 2 2 23 12 4 2" xfId="22828"/>
    <cellStyle name="Note 2 2 2 23 12 5" xfId="22829"/>
    <cellStyle name="Note 2 2 2 23 13" xfId="22830"/>
    <cellStyle name="Note 2 2 2 23 13 2" xfId="22831"/>
    <cellStyle name="Note 2 2 2 23 13 2 2" xfId="22832"/>
    <cellStyle name="Note 2 2 2 23 13 3" xfId="22833"/>
    <cellStyle name="Note 2 2 2 23 13 3 2" xfId="22834"/>
    <cellStyle name="Note 2 2 2 23 13 4" xfId="22835"/>
    <cellStyle name="Note 2 2 2 23 13 4 2" xfId="22836"/>
    <cellStyle name="Note 2 2 2 23 13 5" xfId="22837"/>
    <cellStyle name="Note 2 2 2 23 14" xfId="22838"/>
    <cellStyle name="Note 2 2 2 23 14 2" xfId="22839"/>
    <cellStyle name="Note 2 2 2 23 14 2 2" xfId="22840"/>
    <cellStyle name="Note 2 2 2 23 14 3" xfId="22841"/>
    <cellStyle name="Note 2 2 2 23 14 3 2" xfId="22842"/>
    <cellStyle name="Note 2 2 2 23 14 4" xfId="22843"/>
    <cellStyle name="Note 2 2 2 23 14 4 2" xfId="22844"/>
    <cellStyle name="Note 2 2 2 23 14 5" xfId="22845"/>
    <cellStyle name="Note 2 2 2 23 15" xfId="22846"/>
    <cellStyle name="Note 2 2 2 23 15 2" xfId="22847"/>
    <cellStyle name="Note 2 2 2 23 16" xfId="22848"/>
    <cellStyle name="Note 2 2 2 23 16 2" xfId="22849"/>
    <cellStyle name="Note 2 2 2 23 17" xfId="22850"/>
    <cellStyle name="Note 2 2 2 23 17 2" xfId="22851"/>
    <cellStyle name="Note 2 2 2 23 18" xfId="22852"/>
    <cellStyle name="Note 2 2 2 23 18 2" xfId="22853"/>
    <cellStyle name="Note 2 2 2 23 19" xfId="22854"/>
    <cellStyle name="Note 2 2 2 23 19 2" xfId="22855"/>
    <cellStyle name="Note 2 2 2 23 2" xfId="22856"/>
    <cellStyle name="Note 2 2 2 23 2 10" xfId="22857"/>
    <cellStyle name="Note 2 2 2 23 2 10 2" xfId="22858"/>
    <cellStyle name="Note 2 2 2 23 2 11" xfId="22859"/>
    <cellStyle name="Note 2 2 2 23 2 11 2" xfId="22860"/>
    <cellStyle name="Note 2 2 2 23 2 12" xfId="22861"/>
    <cellStyle name="Note 2 2 2 23 2 12 2" xfId="22862"/>
    <cellStyle name="Note 2 2 2 23 2 13" xfId="22863"/>
    <cellStyle name="Note 2 2 2 23 2 13 2" xfId="22864"/>
    <cellStyle name="Note 2 2 2 23 2 14" xfId="22865"/>
    <cellStyle name="Note 2 2 2 23 2 14 2" xfId="22866"/>
    <cellStyle name="Note 2 2 2 23 2 15" xfId="22867"/>
    <cellStyle name="Note 2 2 2 23 2 15 2" xfId="22868"/>
    <cellStyle name="Note 2 2 2 23 2 16" xfId="22869"/>
    <cellStyle name="Note 2 2 2 23 2 16 2" xfId="22870"/>
    <cellStyle name="Note 2 2 2 23 2 17" xfId="22871"/>
    <cellStyle name="Note 2 2 2 23 2 17 2" xfId="22872"/>
    <cellStyle name="Note 2 2 2 23 2 18" xfId="22873"/>
    <cellStyle name="Note 2 2 2 23 2 18 2" xfId="22874"/>
    <cellStyle name="Note 2 2 2 23 2 19" xfId="22875"/>
    <cellStyle name="Note 2 2 2 23 2 19 2" xfId="22876"/>
    <cellStyle name="Note 2 2 2 23 2 2" xfId="22877"/>
    <cellStyle name="Note 2 2 2 23 2 2 2" xfId="22878"/>
    <cellStyle name="Note 2 2 2 23 2 2 3" xfId="22879"/>
    <cellStyle name="Note 2 2 2 23 2 20" xfId="22880"/>
    <cellStyle name="Note 2 2 2 23 2 20 2" xfId="22881"/>
    <cellStyle name="Note 2 2 2 23 2 21" xfId="22882"/>
    <cellStyle name="Note 2 2 2 23 2 21 2" xfId="22883"/>
    <cellStyle name="Note 2 2 2 23 2 22" xfId="22884"/>
    <cellStyle name="Note 2 2 2 23 2 22 2" xfId="22885"/>
    <cellStyle name="Note 2 2 2 23 2 23" xfId="22886"/>
    <cellStyle name="Note 2 2 2 23 2 23 2" xfId="22887"/>
    <cellStyle name="Note 2 2 2 23 2 24" xfId="22888"/>
    <cellStyle name="Note 2 2 2 23 2 24 2" xfId="22889"/>
    <cellStyle name="Note 2 2 2 23 2 25" xfId="22890"/>
    <cellStyle name="Note 2 2 2 23 2 25 2" xfId="22891"/>
    <cellStyle name="Note 2 2 2 23 2 26" xfId="22892"/>
    <cellStyle name="Note 2 2 2 23 2 26 2" xfId="22893"/>
    <cellStyle name="Note 2 2 2 23 2 27" xfId="22894"/>
    <cellStyle name="Note 2 2 2 23 2 27 2" xfId="22895"/>
    <cellStyle name="Note 2 2 2 23 2 28" xfId="22896"/>
    <cellStyle name="Note 2 2 2 23 2 28 2" xfId="22897"/>
    <cellStyle name="Note 2 2 2 23 2 29" xfId="22898"/>
    <cellStyle name="Note 2 2 2 23 2 29 2" xfId="22899"/>
    <cellStyle name="Note 2 2 2 23 2 3" xfId="22900"/>
    <cellStyle name="Note 2 2 2 23 2 3 2" xfId="22901"/>
    <cellStyle name="Note 2 2 2 23 2 3 3" xfId="22902"/>
    <cellStyle name="Note 2 2 2 23 2 30" xfId="22903"/>
    <cellStyle name="Note 2 2 2 23 2 30 2" xfId="22904"/>
    <cellStyle name="Note 2 2 2 23 2 31" xfId="22905"/>
    <cellStyle name="Note 2 2 2 23 2 4" xfId="22906"/>
    <cellStyle name="Note 2 2 2 23 2 4 2" xfId="22907"/>
    <cellStyle name="Note 2 2 2 23 2 5" xfId="22908"/>
    <cellStyle name="Note 2 2 2 23 2 5 2" xfId="22909"/>
    <cellStyle name="Note 2 2 2 23 2 6" xfId="22910"/>
    <cellStyle name="Note 2 2 2 23 2 6 2" xfId="22911"/>
    <cellStyle name="Note 2 2 2 23 2 7" xfId="22912"/>
    <cellStyle name="Note 2 2 2 23 2 7 2" xfId="22913"/>
    <cellStyle name="Note 2 2 2 23 2 8" xfId="22914"/>
    <cellStyle name="Note 2 2 2 23 2 8 2" xfId="22915"/>
    <cellStyle name="Note 2 2 2 23 2 9" xfId="22916"/>
    <cellStyle name="Note 2 2 2 23 2 9 2" xfId="22917"/>
    <cellStyle name="Note 2 2 2 23 20" xfId="22918"/>
    <cellStyle name="Note 2 2 2 23 20 2" xfId="22919"/>
    <cellStyle name="Note 2 2 2 23 21" xfId="22920"/>
    <cellStyle name="Note 2 2 2 23 21 2" xfId="22921"/>
    <cellStyle name="Note 2 2 2 23 22" xfId="22922"/>
    <cellStyle name="Note 2 2 2 23 22 2" xfId="22923"/>
    <cellStyle name="Note 2 2 2 23 23" xfId="22924"/>
    <cellStyle name="Note 2 2 2 23 23 2" xfId="22925"/>
    <cellStyle name="Note 2 2 2 23 24" xfId="22926"/>
    <cellStyle name="Note 2 2 2 23 24 2" xfId="22927"/>
    <cellStyle name="Note 2 2 2 23 25" xfId="22928"/>
    <cellStyle name="Note 2 2 2 23 25 2" xfId="22929"/>
    <cellStyle name="Note 2 2 2 23 26" xfId="22930"/>
    <cellStyle name="Note 2 2 2 23 26 2" xfId="22931"/>
    <cellStyle name="Note 2 2 2 23 27" xfId="22932"/>
    <cellStyle name="Note 2 2 2 23 27 2" xfId="22933"/>
    <cellStyle name="Note 2 2 2 23 28" xfId="22934"/>
    <cellStyle name="Note 2 2 2 23 28 2" xfId="22935"/>
    <cellStyle name="Note 2 2 2 23 29" xfId="22936"/>
    <cellStyle name="Note 2 2 2 23 29 2" xfId="22937"/>
    <cellStyle name="Note 2 2 2 23 3" xfId="22938"/>
    <cellStyle name="Note 2 2 2 23 3 2" xfId="22939"/>
    <cellStyle name="Note 2 2 2 23 3 2 2" xfId="22940"/>
    <cellStyle name="Note 2 2 2 23 3 3" xfId="22941"/>
    <cellStyle name="Note 2 2 2 23 3 3 2" xfId="22942"/>
    <cellStyle name="Note 2 2 2 23 3 4" xfId="22943"/>
    <cellStyle name="Note 2 2 2 23 3 4 2" xfId="22944"/>
    <cellStyle name="Note 2 2 2 23 3 5" xfId="22945"/>
    <cellStyle name="Note 2 2 2 23 30" xfId="22946"/>
    <cellStyle name="Note 2 2 2 23 30 2" xfId="22947"/>
    <cellStyle name="Note 2 2 2 23 31" xfId="22948"/>
    <cellStyle name="Note 2 2 2 23 31 2" xfId="22949"/>
    <cellStyle name="Note 2 2 2 23 32" xfId="22950"/>
    <cellStyle name="Note 2 2 2 23 32 2" xfId="22951"/>
    <cellStyle name="Note 2 2 2 23 33" xfId="22952"/>
    <cellStyle name="Note 2 2 2 23 33 2" xfId="22953"/>
    <cellStyle name="Note 2 2 2 23 34" xfId="22954"/>
    <cellStyle name="Note 2 2 2 23 34 2" xfId="22955"/>
    <cellStyle name="Note 2 2 2 23 35" xfId="22956"/>
    <cellStyle name="Note 2 2 2 23 35 2" xfId="22957"/>
    <cellStyle name="Note 2 2 2 23 36" xfId="22958"/>
    <cellStyle name="Note 2 2 2 23 36 2" xfId="22959"/>
    <cellStyle name="Note 2 2 2 23 37" xfId="22960"/>
    <cellStyle name="Note 2 2 2 23 37 2" xfId="22961"/>
    <cellStyle name="Note 2 2 2 23 38" xfId="22962"/>
    <cellStyle name="Note 2 2 2 23 38 2" xfId="22963"/>
    <cellStyle name="Note 2 2 2 23 39" xfId="22964"/>
    <cellStyle name="Note 2 2 2 23 39 2" xfId="22965"/>
    <cellStyle name="Note 2 2 2 23 4" xfId="22966"/>
    <cellStyle name="Note 2 2 2 23 4 2" xfId="22967"/>
    <cellStyle name="Note 2 2 2 23 4 2 2" xfId="22968"/>
    <cellStyle name="Note 2 2 2 23 4 3" xfId="22969"/>
    <cellStyle name="Note 2 2 2 23 4 3 2" xfId="22970"/>
    <cellStyle name="Note 2 2 2 23 4 4" xfId="22971"/>
    <cellStyle name="Note 2 2 2 23 4 4 2" xfId="22972"/>
    <cellStyle name="Note 2 2 2 23 4 5" xfId="22973"/>
    <cellStyle name="Note 2 2 2 23 40" xfId="22974"/>
    <cellStyle name="Note 2 2 2 23 40 2" xfId="22975"/>
    <cellStyle name="Note 2 2 2 23 41" xfId="22976"/>
    <cellStyle name="Note 2 2 2 23 41 2" xfId="22977"/>
    <cellStyle name="Note 2 2 2 23 42" xfId="22978"/>
    <cellStyle name="Note 2 2 2 23 42 2" xfId="22979"/>
    <cellStyle name="Note 2 2 2 23 43" xfId="22980"/>
    <cellStyle name="Note 2 2 2 23 43 2" xfId="22981"/>
    <cellStyle name="Note 2 2 2 23 44" xfId="22982"/>
    <cellStyle name="Note 2 2 2 23 44 2" xfId="22983"/>
    <cellStyle name="Note 2 2 2 23 45" xfId="22984"/>
    <cellStyle name="Note 2 2 2 23 45 2" xfId="22985"/>
    <cellStyle name="Note 2 2 2 23 46" xfId="22986"/>
    <cellStyle name="Note 2 2 2 23 46 2" xfId="22987"/>
    <cellStyle name="Note 2 2 2 23 47" xfId="22988"/>
    <cellStyle name="Note 2 2 2 23 47 2" xfId="22989"/>
    <cellStyle name="Note 2 2 2 23 48" xfId="22990"/>
    <cellStyle name="Note 2 2 2 23 48 2" xfId="22991"/>
    <cellStyle name="Note 2 2 2 23 49" xfId="22992"/>
    <cellStyle name="Note 2 2 2 23 49 2" xfId="22993"/>
    <cellStyle name="Note 2 2 2 23 5" xfId="22994"/>
    <cellStyle name="Note 2 2 2 23 5 2" xfId="22995"/>
    <cellStyle name="Note 2 2 2 23 5 2 2" xfId="22996"/>
    <cellStyle name="Note 2 2 2 23 5 3" xfId="22997"/>
    <cellStyle name="Note 2 2 2 23 5 3 2" xfId="22998"/>
    <cellStyle name="Note 2 2 2 23 5 4" xfId="22999"/>
    <cellStyle name="Note 2 2 2 23 5 4 2" xfId="23000"/>
    <cellStyle name="Note 2 2 2 23 5 5" xfId="23001"/>
    <cellStyle name="Note 2 2 2 23 50" xfId="23002"/>
    <cellStyle name="Note 2 2 2 23 50 2" xfId="23003"/>
    <cellStyle name="Note 2 2 2 23 51" xfId="23004"/>
    <cellStyle name="Note 2 2 2 23 51 2" xfId="23005"/>
    <cellStyle name="Note 2 2 2 23 52" xfId="23006"/>
    <cellStyle name="Note 2 2 2 23 52 2" xfId="23007"/>
    <cellStyle name="Note 2 2 2 23 53" xfId="23008"/>
    <cellStyle name="Note 2 2 2 23 53 2" xfId="23009"/>
    <cellStyle name="Note 2 2 2 23 54" xfId="23010"/>
    <cellStyle name="Note 2 2 2 23 54 2" xfId="23011"/>
    <cellStyle name="Note 2 2 2 23 55" xfId="23012"/>
    <cellStyle name="Note 2 2 2 23 55 2" xfId="23013"/>
    <cellStyle name="Note 2 2 2 23 56" xfId="23014"/>
    <cellStyle name="Note 2 2 2 23 56 2" xfId="23015"/>
    <cellStyle name="Note 2 2 2 23 57" xfId="23016"/>
    <cellStyle name="Note 2 2 2 23 57 2" xfId="23017"/>
    <cellStyle name="Note 2 2 2 23 58" xfId="23018"/>
    <cellStyle name="Note 2 2 2 23 58 2" xfId="23019"/>
    <cellStyle name="Note 2 2 2 23 59" xfId="23020"/>
    <cellStyle name="Note 2 2 2 23 59 2" xfId="23021"/>
    <cellStyle name="Note 2 2 2 23 6" xfId="23022"/>
    <cellStyle name="Note 2 2 2 23 6 2" xfId="23023"/>
    <cellStyle name="Note 2 2 2 23 6 2 2" xfId="23024"/>
    <cellStyle name="Note 2 2 2 23 6 3" xfId="23025"/>
    <cellStyle name="Note 2 2 2 23 6 3 2" xfId="23026"/>
    <cellStyle name="Note 2 2 2 23 6 4" xfId="23027"/>
    <cellStyle name="Note 2 2 2 23 6 4 2" xfId="23028"/>
    <cellStyle name="Note 2 2 2 23 6 5" xfId="23029"/>
    <cellStyle name="Note 2 2 2 23 60" xfId="23030"/>
    <cellStyle name="Note 2 2 2 23 60 2" xfId="23031"/>
    <cellStyle name="Note 2 2 2 23 61" xfId="23032"/>
    <cellStyle name="Note 2 2 2 23 61 2" xfId="23033"/>
    <cellStyle name="Note 2 2 2 23 62" xfId="23034"/>
    <cellStyle name="Note 2 2 2 23 7" xfId="23035"/>
    <cellStyle name="Note 2 2 2 23 7 2" xfId="23036"/>
    <cellStyle name="Note 2 2 2 23 7 2 2" xfId="23037"/>
    <cellStyle name="Note 2 2 2 23 7 3" xfId="23038"/>
    <cellStyle name="Note 2 2 2 23 7 3 2" xfId="23039"/>
    <cellStyle name="Note 2 2 2 23 7 4" xfId="23040"/>
    <cellStyle name="Note 2 2 2 23 7 4 2" xfId="23041"/>
    <cellStyle name="Note 2 2 2 23 7 5" xfId="23042"/>
    <cellStyle name="Note 2 2 2 23 8" xfId="23043"/>
    <cellStyle name="Note 2 2 2 23 8 2" xfId="23044"/>
    <cellStyle name="Note 2 2 2 23 8 2 2" xfId="23045"/>
    <cellStyle name="Note 2 2 2 23 8 3" xfId="23046"/>
    <cellStyle name="Note 2 2 2 23 8 3 2" xfId="23047"/>
    <cellStyle name="Note 2 2 2 23 8 4" xfId="23048"/>
    <cellStyle name="Note 2 2 2 23 8 4 2" xfId="23049"/>
    <cellStyle name="Note 2 2 2 23 8 5" xfId="23050"/>
    <cellStyle name="Note 2 2 2 23 9" xfId="23051"/>
    <cellStyle name="Note 2 2 2 23 9 2" xfId="23052"/>
    <cellStyle name="Note 2 2 2 23 9 2 2" xfId="23053"/>
    <cellStyle name="Note 2 2 2 23 9 3" xfId="23054"/>
    <cellStyle name="Note 2 2 2 23 9 3 2" xfId="23055"/>
    <cellStyle name="Note 2 2 2 23 9 4" xfId="23056"/>
    <cellStyle name="Note 2 2 2 23 9 4 2" xfId="23057"/>
    <cellStyle name="Note 2 2 2 23 9 5" xfId="23058"/>
    <cellStyle name="Note 2 2 2 24" xfId="23059"/>
    <cellStyle name="Note 2 2 2 24 10" xfId="23060"/>
    <cellStyle name="Note 2 2 2 24 10 2" xfId="23061"/>
    <cellStyle name="Note 2 2 2 24 10 2 2" xfId="23062"/>
    <cellStyle name="Note 2 2 2 24 10 3" xfId="23063"/>
    <cellStyle name="Note 2 2 2 24 10 3 2" xfId="23064"/>
    <cellStyle name="Note 2 2 2 24 10 4" xfId="23065"/>
    <cellStyle name="Note 2 2 2 24 10 4 2" xfId="23066"/>
    <cellStyle name="Note 2 2 2 24 10 5" xfId="23067"/>
    <cellStyle name="Note 2 2 2 24 11" xfId="23068"/>
    <cellStyle name="Note 2 2 2 24 11 2" xfId="23069"/>
    <cellStyle name="Note 2 2 2 24 11 2 2" xfId="23070"/>
    <cellStyle name="Note 2 2 2 24 11 3" xfId="23071"/>
    <cellStyle name="Note 2 2 2 24 11 3 2" xfId="23072"/>
    <cellStyle name="Note 2 2 2 24 11 4" xfId="23073"/>
    <cellStyle name="Note 2 2 2 24 11 4 2" xfId="23074"/>
    <cellStyle name="Note 2 2 2 24 11 5" xfId="23075"/>
    <cellStyle name="Note 2 2 2 24 12" xfId="23076"/>
    <cellStyle name="Note 2 2 2 24 12 2" xfId="23077"/>
    <cellStyle name="Note 2 2 2 24 12 2 2" xfId="23078"/>
    <cellStyle name="Note 2 2 2 24 12 3" xfId="23079"/>
    <cellStyle name="Note 2 2 2 24 12 3 2" xfId="23080"/>
    <cellStyle name="Note 2 2 2 24 12 4" xfId="23081"/>
    <cellStyle name="Note 2 2 2 24 12 4 2" xfId="23082"/>
    <cellStyle name="Note 2 2 2 24 12 5" xfId="23083"/>
    <cellStyle name="Note 2 2 2 24 13" xfId="23084"/>
    <cellStyle name="Note 2 2 2 24 13 2" xfId="23085"/>
    <cellStyle name="Note 2 2 2 24 13 2 2" xfId="23086"/>
    <cellStyle name="Note 2 2 2 24 13 3" xfId="23087"/>
    <cellStyle name="Note 2 2 2 24 13 3 2" xfId="23088"/>
    <cellStyle name="Note 2 2 2 24 13 4" xfId="23089"/>
    <cellStyle name="Note 2 2 2 24 13 4 2" xfId="23090"/>
    <cellStyle name="Note 2 2 2 24 13 5" xfId="23091"/>
    <cellStyle name="Note 2 2 2 24 14" xfId="23092"/>
    <cellStyle name="Note 2 2 2 24 14 2" xfId="23093"/>
    <cellStyle name="Note 2 2 2 24 14 2 2" xfId="23094"/>
    <cellStyle name="Note 2 2 2 24 14 3" xfId="23095"/>
    <cellStyle name="Note 2 2 2 24 14 3 2" xfId="23096"/>
    <cellStyle name="Note 2 2 2 24 14 4" xfId="23097"/>
    <cellStyle name="Note 2 2 2 24 14 4 2" xfId="23098"/>
    <cellStyle name="Note 2 2 2 24 14 5" xfId="23099"/>
    <cellStyle name="Note 2 2 2 24 15" xfId="23100"/>
    <cellStyle name="Note 2 2 2 24 15 2" xfId="23101"/>
    <cellStyle name="Note 2 2 2 24 16" xfId="23102"/>
    <cellStyle name="Note 2 2 2 24 16 2" xfId="23103"/>
    <cellStyle name="Note 2 2 2 24 17" xfId="23104"/>
    <cellStyle name="Note 2 2 2 24 17 2" xfId="23105"/>
    <cellStyle name="Note 2 2 2 24 18" xfId="23106"/>
    <cellStyle name="Note 2 2 2 24 18 2" xfId="23107"/>
    <cellStyle name="Note 2 2 2 24 19" xfId="23108"/>
    <cellStyle name="Note 2 2 2 24 19 2" xfId="23109"/>
    <cellStyle name="Note 2 2 2 24 2" xfId="23110"/>
    <cellStyle name="Note 2 2 2 24 2 10" xfId="23111"/>
    <cellStyle name="Note 2 2 2 24 2 10 2" xfId="23112"/>
    <cellStyle name="Note 2 2 2 24 2 11" xfId="23113"/>
    <cellStyle name="Note 2 2 2 24 2 11 2" xfId="23114"/>
    <cellStyle name="Note 2 2 2 24 2 12" xfId="23115"/>
    <cellStyle name="Note 2 2 2 24 2 12 2" xfId="23116"/>
    <cellStyle name="Note 2 2 2 24 2 13" xfId="23117"/>
    <cellStyle name="Note 2 2 2 24 2 13 2" xfId="23118"/>
    <cellStyle name="Note 2 2 2 24 2 14" xfId="23119"/>
    <cellStyle name="Note 2 2 2 24 2 14 2" xfId="23120"/>
    <cellStyle name="Note 2 2 2 24 2 15" xfId="23121"/>
    <cellStyle name="Note 2 2 2 24 2 15 2" xfId="23122"/>
    <cellStyle name="Note 2 2 2 24 2 16" xfId="23123"/>
    <cellStyle name="Note 2 2 2 24 2 16 2" xfId="23124"/>
    <cellStyle name="Note 2 2 2 24 2 17" xfId="23125"/>
    <cellStyle name="Note 2 2 2 24 2 17 2" xfId="23126"/>
    <cellStyle name="Note 2 2 2 24 2 18" xfId="23127"/>
    <cellStyle name="Note 2 2 2 24 2 18 2" xfId="23128"/>
    <cellStyle name="Note 2 2 2 24 2 19" xfId="23129"/>
    <cellStyle name="Note 2 2 2 24 2 19 2" xfId="23130"/>
    <cellStyle name="Note 2 2 2 24 2 2" xfId="23131"/>
    <cellStyle name="Note 2 2 2 24 2 2 2" xfId="23132"/>
    <cellStyle name="Note 2 2 2 24 2 2 3" xfId="23133"/>
    <cellStyle name="Note 2 2 2 24 2 20" xfId="23134"/>
    <cellStyle name="Note 2 2 2 24 2 20 2" xfId="23135"/>
    <cellStyle name="Note 2 2 2 24 2 21" xfId="23136"/>
    <cellStyle name="Note 2 2 2 24 2 21 2" xfId="23137"/>
    <cellStyle name="Note 2 2 2 24 2 22" xfId="23138"/>
    <cellStyle name="Note 2 2 2 24 2 22 2" xfId="23139"/>
    <cellStyle name="Note 2 2 2 24 2 23" xfId="23140"/>
    <cellStyle name="Note 2 2 2 24 2 23 2" xfId="23141"/>
    <cellStyle name="Note 2 2 2 24 2 24" xfId="23142"/>
    <cellStyle name="Note 2 2 2 24 2 24 2" xfId="23143"/>
    <cellStyle name="Note 2 2 2 24 2 25" xfId="23144"/>
    <cellStyle name="Note 2 2 2 24 2 25 2" xfId="23145"/>
    <cellStyle name="Note 2 2 2 24 2 26" xfId="23146"/>
    <cellStyle name="Note 2 2 2 24 2 26 2" xfId="23147"/>
    <cellStyle name="Note 2 2 2 24 2 27" xfId="23148"/>
    <cellStyle name="Note 2 2 2 24 2 27 2" xfId="23149"/>
    <cellStyle name="Note 2 2 2 24 2 28" xfId="23150"/>
    <cellStyle name="Note 2 2 2 24 2 28 2" xfId="23151"/>
    <cellStyle name="Note 2 2 2 24 2 29" xfId="23152"/>
    <cellStyle name="Note 2 2 2 24 2 29 2" xfId="23153"/>
    <cellStyle name="Note 2 2 2 24 2 3" xfId="23154"/>
    <cellStyle name="Note 2 2 2 24 2 3 2" xfId="23155"/>
    <cellStyle name="Note 2 2 2 24 2 3 3" xfId="23156"/>
    <cellStyle name="Note 2 2 2 24 2 30" xfId="23157"/>
    <cellStyle name="Note 2 2 2 24 2 30 2" xfId="23158"/>
    <cellStyle name="Note 2 2 2 24 2 31" xfId="23159"/>
    <cellStyle name="Note 2 2 2 24 2 4" xfId="23160"/>
    <cellStyle name="Note 2 2 2 24 2 4 2" xfId="23161"/>
    <cellStyle name="Note 2 2 2 24 2 5" xfId="23162"/>
    <cellStyle name="Note 2 2 2 24 2 5 2" xfId="23163"/>
    <cellStyle name="Note 2 2 2 24 2 6" xfId="23164"/>
    <cellStyle name="Note 2 2 2 24 2 6 2" xfId="23165"/>
    <cellStyle name="Note 2 2 2 24 2 7" xfId="23166"/>
    <cellStyle name="Note 2 2 2 24 2 7 2" xfId="23167"/>
    <cellStyle name="Note 2 2 2 24 2 8" xfId="23168"/>
    <cellStyle name="Note 2 2 2 24 2 8 2" xfId="23169"/>
    <cellStyle name="Note 2 2 2 24 2 9" xfId="23170"/>
    <cellStyle name="Note 2 2 2 24 2 9 2" xfId="23171"/>
    <cellStyle name="Note 2 2 2 24 20" xfId="23172"/>
    <cellStyle name="Note 2 2 2 24 20 2" xfId="23173"/>
    <cellStyle name="Note 2 2 2 24 21" xfId="23174"/>
    <cellStyle name="Note 2 2 2 24 21 2" xfId="23175"/>
    <cellStyle name="Note 2 2 2 24 22" xfId="23176"/>
    <cellStyle name="Note 2 2 2 24 22 2" xfId="23177"/>
    <cellStyle name="Note 2 2 2 24 23" xfId="23178"/>
    <cellStyle name="Note 2 2 2 24 23 2" xfId="23179"/>
    <cellStyle name="Note 2 2 2 24 24" xfId="23180"/>
    <cellStyle name="Note 2 2 2 24 24 2" xfId="23181"/>
    <cellStyle name="Note 2 2 2 24 25" xfId="23182"/>
    <cellStyle name="Note 2 2 2 24 25 2" xfId="23183"/>
    <cellStyle name="Note 2 2 2 24 26" xfId="23184"/>
    <cellStyle name="Note 2 2 2 24 26 2" xfId="23185"/>
    <cellStyle name="Note 2 2 2 24 27" xfId="23186"/>
    <cellStyle name="Note 2 2 2 24 27 2" xfId="23187"/>
    <cellStyle name="Note 2 2 2 24 28" xfId="23188"/>
    <cellStyle name="Note 2 2 2 24 28 2" xfId="23189"/>
    <cellStyle name="Note 2 2 2 24 29" xfId="23190"/>
    <cellStyle name="Note 2 2 2 24 29 2" xfId="23191"/>
    <cellStyle name="Note 2 2 2 24 3" xfId="23192"/>
    <cellStyle name="Note 2 2 2 24 3 2" xfId="23193"/>
    <cellStyle name="Note 2 2 2 24 3 2 2" xfId="23194"/>
    <cellStyle name="Note 2 2 2 24 3 3" xfId="23195"/>
    <cellStyle name="Note 2 2 2 24 3 3 2" xfId="23196"/>
    <cellStyle name="Note 2 2 2 24 3 4" xfId="23197"/>
    <cellStyle name="Note 2 2 2 24 3 4 2" xfId="23198"/>
    <cellStyle name="Note 2 2 2 24 3 5" xfId="23199"/>
    <cellStyle name="Note 2 2 2 24 30" xfId="23200"/>
    <cellStyle name="Note 2 2 2 24 30 2" xfId="23201"/>
    <cellStyle name="Note 2 2 2 24 31" xfId="23202"/>
    <cellStyle name="Note 2 2 2 24 31 2" xfId="23203"/>
    <cellStyle name="Note 2 2 2 24 32" xfId="23204"/>
    <cellStyle name="Note 2 2 2 24 32 2" xfId="23205"/>
    <cellStyle name="Note 2 2 2 24 33" xfId="23206"/>
    <cellStyle name="Note 2 2 2 24 33 2" xfId="23207"/>
    <cellStyle name="Note 2 2 2 24 34" xfId="23208"/>
    <cellStyle name="Note 2 2 2 24 34 2" xfId="23209"/>
    <cellStyle name="Note 2 2 2 24 35" xfId="23210"/>
    <cellStyle name="Note 2 2 2 24 35 2" xfId="23211"/>
    <cellStyle name="Note 2 2 2 24 36" xfId="23212"/>
    <cellStyle name="Note 2 2 2 24 36 2" xfId="23213"/>
    <cellStyle name="Note 2 2 2 24 37" xfId="23214"/>
    <cellStyle name="Note 2 2 2 24 37 2" xfId="23215"/>
    <cellStyle name="Note 2 2 2 24 38" xfId="23216"/>
    <cellStyle name="Note 2 2 2 24 38 2" xfId="23217"/>
    <cellStyle name="Note 2 2 2 24 39" xfId="23218"/>
    <cellStyle name="Note 2 2 2 24 39 2" xfId="23219"/>
    <cellStyle name="Note 2 2 2 24 4" xfId="23220"/>
    <cellStyle name="Note 2 2 2 24 4 2" xfId="23221"/>
    <cellStyle name="Note 2 2 2 24 4 2 2" xfId="23222"/>
    <cellStyle name="Note 2 2 2 24 4 3" xfId="23223"/>
    <cellStyle name="Note 2 2 2 24 4 3 2" xfId="23224"/>
    <cellStyle name="Note 2 2 2 24 4 4" xfId="23225"/>
    <cellStyle name="Note 2 2 2 24 4 4 2" xfId="23226"/>
    <cellStyle name="Note 2 2 2 24 4 5" xfId="23227"/>
    <cellStyle name="Note 2 2 2 24 40" xfId="23228"/>
    <cellStyle name="Note 2 2 2 24 40 2" xfId="23229"/>
    <cellStyle name="Note 2 2 2 24 41" xfId="23230"/>
    <cellStyle name="Note 2 2 2 24 41 2" xfId="23231"/>
    <cellStyle name="Note 2 2 2 24 42" xfId="23232"/>
    <cellStyle name="Note 2 2 2 24 42 2" xfId="23233"/>
    <cellStyle name="Note 2 2 2 24 43" xfId="23234"/>
    <cellStyle name="Note 2 2 2 24 43 2" xfId="23235"/>
    <cellStyle name="Note 2 2 2 24 44" xfId="23236"/>
    <cellStyle name="Note 2 2 2 24 44 2" xfId="23237"/>
    <cellStyle name="Note 2 2 2 24 45" xfId="23238"/>
    <cellStyle name="Note 2 2 2 24 45 2" xfId="23239"/>
    <cellStyle name="Note 2 2 2 24 46" xfId="23240"/>
    <cellStyle name="Note 2 2 2 24 46 2" xfId="23241"/>
    <cellStyle name="Note 2 2 2 24 47" xfId="23242"/>
    <cellStyle name="Note 2 2 2 24 47 2" xfId="23243"/>
    <cellStyle name="Note 2 2 2 24 48" xfId="23244"/>
    <cellStyle name="Note 2 2 2 24 48 2" xfId="23245"/>
    <cellStyle name="Note 2 2 2 24 49" xfId="23246"/>
    <cellStyle name="Note 2 2 2 24 49 2" xfId="23247"/>
    <cellStyle name="Note 2 2 2 24 5" xfId="23248"/>
    <cellStyle name="Note 2 2 2 24 5 2" xfId="23249"/>
    <cellStyle name="Note 2 2 2 24 5 2 2" xfId="23250"/>
    <cellStyle name="Note 2 2 2 24 5 3" xfId="23251"/>
    <cellStyle name="Note 2 2 2 24 5 3 2" xfId="23252"/>
    <cellStyle name="Note 2 2 2 24 5 4" xfId="23253"/>
    <cellStyle name="Note 2 2 2 24 5 4 2" xfId="23254"/>
    <cellStyle name="Note 2 2 2 24 5 5" xfId="23255"/>
    <cellStyle name="Note 2 2 2 24 50" xfId="23256"/>
    <cellStyle name="Note 2 2 2 24 50 2" xfId="23257"/>
    <cellStyle name="Note 2 2 2 24 51" xfId="23258"/>
    <cellStyle name="Note 2 2 2 24 51 2" xfId="23259"/>
    <cellStyle name="Note 2 2 2 24 52" xfId="23260"/>
    <cellStyle name="Note 2 2 2 24 52 2" xfId="23261"/>
    <cellStyle name="Note 2 2 2 24 53" xfId="23262"/>
    <cellStyle name="Note 2 2 2 24 53 2" xfId="23263"/>
    <cellStyle name="Note 2 2 2 24 54" xfId="23264"/>
    <cellStyle name="Note 2 2 2 24 54 2" xfId="23265"/>
    <cellStyle name="Note 2 2 2 24 55" xfId="23266"/>
    <cellStyle name="Note 2 2 2 24 55 2" xfId="23267"/>
    <cellStyle name="Note 2 2 2 24 56" xfId="23268"/>
    <cellStyle name="Note 2 2 2 24 56 2" xfId="23269"/>
    <cellStyle name="Note 2 2 2 24 57" xfId="23270"/>
    <cellStyle name="Note 2 2 2 24 57 2" xfId="23271"/>
    <cellStyle name="Note 2 2 2 24 58" xfId="23272"/>
    <cellStyle name="Note 2 2 2 24 58 2" xfId="23273"/>
    <cellStyle name="Note 2 2 2 24 59" xfId="23274"/>
    <cellStyle name="Note 2 2 2 24 59 2" xfId="23275"/>
    <cellStyle name="Note 2 2 2 24 6" xfId="23276"/>
    <cellStyle name="Note 2 2 2 24 6 2" xfId="23277"/>
    <cellStyle name="Note 2 2 2 24 6 2 2" xfId="23278"/>
    <cellStyle name="Note 2 2 2 24 6 3" xfId="23279"/>
    <cellStyle name="Note 2 2 2 24 6 3 2" xfId="23280"/>
    <cellStyle name="Note 2 2 2 24 6 4" xfId="23281"/>
    <cellStyle name="Note 2 2 2 24 6 4 2" xfId="23282"/>
    <cellStyle name="Note 2 2 2 24 6 5" xfId="23283"/>
    <cellStyle name="Note 2 2 2 24 60" xfId="23284"/>
    <cellStyle name="Note 2 2 2 24 60 2" xfId="23285"/>
    <cellStyle name="Note 2 2 2 24 61" xfId="23286"/>
    <cellStyle name="Note 2 2 2 24 61 2" xfId="23287"/>
    <cellStyle name="Note 2 2 2 24 62" xfId="23288"/>
    <cellStyle name="Note 2 2 2 24 7" xfId="23289"/>
    <cellStyle name="Note 2 2 2 24 7 2" xfId="23290"/>
    <cellStyle name="Note 2 2 2 24 7 2 2" xfId="23291"/>
    <cellStyle name="Note 2 2 2 24 7 3" xfId="23292"/>
    <cellStyle name="Note 2 2 2 24 7 3 2" xfId="23293"/>
    <cellStyle name="Note 2 2 2 24 7 4" xfId="23294"/>
    <cellStyle name="Note 2 2 2 24 7 4 2" xfId="23295"/>
    <cellStyle name="Note 2 2 2 24 7 5" xfId="23296"/>
    <cellStyle name="Note 2 2 2 24 8" xfId="23297"/>
    <cellStyle name="Note 2 2 2 24 8 2" xfId="23298"/>
    <cellStyle name="Note 2 2 2 24 8 2 2" xfId="23299"/>
    <cellStyle name="Note 2 2 2 24 8 3" xfId="23300"/>
    <cellStyle name="Note 2 2 2 24 8 3 2" xfId="23301"/>
    <cellStyle name="Note 2 2 2 24 8 4" xfId="23302"/>
    <cellStyle name="Note 2 2 2 24 8 4 2" xfId="23303"/>
    <cellStyle name="Note 2 2 2 24 8 5" xfId="23304"/>
    <cellStyle name="Note 2 2 2 24 9" xfId="23305"/>
    <cellStyle name="Note 2 2 2 24 9 2" xfId="23306"/>
    <cellStyle name="Note 2 2 2 24 9 2 2" xfId="23307"/>
    <cellStyle name="Note 2 2 2 24 9 3" xfId="23308"/>
    <cellStyle name="Note 2 2 2 24 9 3 2" xfId="23309"/>
    <cellStyle name="Note 2 2 2 24 9 4" xfId="23310"/>
    <cellStyle name="Note 2 2 2 24 9 4 2" xfId="23311"/>
    <cellStyle name="Note 2 2 2 24 9 5" xfId="23312"/>
    <cellStyle name="Note 2 2 2 25" xfId="23313"/>
    <cellStyle name="Note 2 2 2 25 10" xfId="23314"/>
    <cellStyle name="Note 2 2 2 25 10 2" xfId="23315"/>
    <cellStyle name="Note 2 2 2 25 10 2 2" xfId="23316"/>
    <cellStyle name="Note 2 2 2 25 10 3" xfId="23317"/>
    <cellStyle name="Note 2 2 2 25 10 3 2" xfId="23318"/>
    <cellStyle name="Note 2 2 2 25 10 4" xfId="23319"/>
    <cellStyle name="Note 2 2 2 25 10 4 2" xfId="23320"/>
    <cellStyle name="Note 2 2 2 25 10 5" xfId="23321"/>
    <cellStyle name="Note 2 2 2 25 11" xfId="23322"/>
    <cellStyle name="Note 2 2 2 25 11 2" xfId="23323"/>
    <cellStyle name="Note 2 2 2 25 11 2 2" xfId="23324"/>
    <cellStyle name="Note 2 2 2 25 11 3" xfId="23325"/>
    <cellStyle name="Note 2 2 2 25 11 3 2" xfId="23326"/>
    <cellStyle name="Note 2 2 2 25 11 4" xfId="23327"/>
    <cellStyle name="Note 2 2 2 25 11 4 2" xfId="23328"/>
    <cellStyle name="Note 2 2 2 25 11 5" xfId="23329"/>
    <cellStyle name="Note 2 2 2 25 12" xfId="23330"/>
    <cellStyle name="Note 2 2 2 25 12 2" xfId="23331"/>
    <cellStyle name="Note 2 2 2 25 12 2 2" xfId="23332"/>
    <cellStyle name="Note 2 2 2 25 12 3" xfId="23333"/>
    <cellStyle name="Note 2 2 2 25 12 3 2" xfId="23334"/>
    <cellStyle name="Note 2 2 2 25 12 4" xfId="23335"/>
    <cellStyle name="Note 2 2 2 25 12 4 2" xfId="23336"/>
    <cellStyle name="Note 2 2 2 25 12 5" xfId="23337"/>
    <cellStyle name="Note 2 2 2 25 13" xfId="23338"/>
    <cellStyle name="Note 2 2 2 25 13 2" xfId="23339"/>
    <cellStyle name="Note 2 2 2 25 13 2 2" xfId="23340"/>
    <cellStyle name="Note 2 2 2 25 13 3" xfId="23341"/>
    <cellStyle name="Note 2 2 2 25 13 3 2" xfId="23342"/>
    <cellStyle name="Note 2 2 2 25 13 4" xfId="23343"/>
    <cellStyle name="Note 2 2 2 25 13 4 2" xfId="23344"/>
    <cellStyle name="Note 2 2 2 25 13 5" xfId="23345"/>
    <cellStyle name="Note 2 2 2 25 14" xfId="23346"/>
    <cellStyle name="Note 2 2 2 25 14 2" xfId="23347"/>
    <cellStyle name="Note 2 2 2 25 14 2 2" xfId="23348"/>
    <cellStyle name="Note 2 2 2 25 14 3" xfId="23349"/>
    <cellStyle name="Note 2 2 2 25 14 3 2" xfId="23350"/>
    <cellStyle name="Note 2 2 2 25 14 4" xfId="23351"/>
    <cellStyle name="Note 2 2 2 25 14 4 2" xfId="23352"/>
    <cellStyle name="Note 2 2 2 25 14 5" xfId="23353"/>
    <cellStyle name="Note 2 2 2 25 15" xfId="23354"/>
    <cellStyle name="Note 2 2 2 25 15 2" xfId="23355"/>
    <cellStyle name="Note 2 2 2 25 16" xfId="23356"/>
    <cellStyle name="Note 2 2 2 25 16 2" xfId="23357"/>
    <cellStyle name="Note 2 2 2 25 17" xfId="23358"/>
    <cellStyle name="Note 2 2 2 25 17 2" xfId="23359"/>
    <cellStyle name="Note 2 2 2 25 18" xfId="23360"/>
    <cellStyle name="Note 2 2 2 25 18 2" xfId="23361"/>
    <cellStyle name="Note 2 2 2 25 19" xfId="23362"/>
    <cellStyle name="Note 2 2 2 25 19 2" xfId="23363"/>
    <cellStyle name="Note 2 2 2 25 2" xfId="23364"/>
    <cellStyle name="Note 2 2 2 25 2 10" xfId="23365"/>
    <cellStyle name="Note 2 2 2 25 2 10 2" xfId="23366"/>
    <cellStyle name="Note 2 2 2 25 2 11" xfId="23367"/>
    <cellStyle name="Note 2 2 2 25 2 11 2" xfId="23368"/>
    <cellStyle name="Note 2 2 2 25 2 12" xfId="23369"/>
    <cellStyle name="Note 2 2 2 25 2 12 2" xfId="23370"/>
    <cellStyle name="Note 2 2 2 25 2 13" xfId="23371"/>
    <cellStyle name="Note 2 2 2 25 2 13 2" xfId="23372"/>
    <cellStyle name="Note 2 2 2 25 2 14" xfId="23373"/>
    <cellStyle name="Note 2 2 2 25 2 14 2" xfId="23374"/>
    <cellStyle name="Note 2 2 2 25 2 15" xfId="23375"/>
    <cellStyle name="Note 2 2 2 25 2 15 2" xfId="23376"/>
    <cellStyle name="Note 2 2 2 25 2 16" xfId="23377"/>
    <cellStyle name="Note 2 2 2 25 2 16 2" xfId="23378"/>
    <cellStyle name="Note 2 2 2 25 2 17" xfId="23379"/>
    <cellStyle name="Note 2 2 2 25 2 17 2" xfId="23380"/>
    <cellStyle name="Note 2 2 2 25 2 18" xfId="23381"/>
    <cellStyle name="Note 2 2 2 25 2 18 2" xfId="23382"/>
    <cellStyle name="Note 2 2 2 25 2 19" xfId="23383"/>
    <cellStyle name="Note 2 2 2 25 2 19 2" xfId="23384"/>
    <cellStyle name="Note 2 2 2 25 2 2" xfId="23385"/>
    <cellStyle name="Note 2 2 2 25 2 2 2" xfId="23386"/>
    <cellStyle name="Note 2 2 2 25 2 2 3" xfId="23387"/>
    <cellStyle name="Note 2 2 2 25 2 20" xfId="23388"/>
    <cellStyle name="Note 2 2 2 25 2 20 2" xfId="23389"/>
    <cellStyle name="Note 2 2 2 25 2 21" xfId="23390"/>
    <cellStyle name="Note 2 2 2 25 2 21 2" xfId="23391"/>
    <cellStyle name="Note 2 2 2 25 2 22" xfId="23392"/>
    <cellStyle name="Note 2 2 2 25 2 22 2" xfId="23393"/>
    <cellStyle name="Note 2 2 2 25 2 23" xfId="23394"/>
    <cellStyle name="Note 2 2 2 25 2 23 2" xfId="23395"/>
    <cellStyle name="Note 2 2 2 25 2 24" xfId="23396"/>
    <cellStyle name="Note 2 2 2 25 2 24 2" xfId="23397"/>
    <cellStyle name="Note 2 2 2 25 2 25" xfId="23398"/>
    <cellStyle name="Note 2 2 2 25 2 25 2" xfId="23399"/>
    <cellStyle name="Note 2 2 2 25 2 26" xfId="23400"/>
    <cellStyle name="Note 2 2 2 25 2 26 2" xfId="23401"/>
    <cellStyle name="Note 2 2 2 25 2 27" xfId="23402"/>
    <cellStyle name="Note 2 2 2 25 2 27 2" xfId="23403"/>
    <cellStyle name="Note 2 2 2 25 2 28" xfId="23404"/>
    <cellStyle name="Note 2 2 2 25 2 28 2" xfId="23405"/>
    <cellStyle name="Note 2 2 2 25 2 29" xfId="23406"/>
    <cellStyle name="Note 2 2 2 25 2 29 2" xfId="23407"/>
    <cellStyle name="Note 2 2 2 25 2 3" xfId="23408"/>
    <cellStyle name="Note 2 2 2 25 2 3 2" xfId="23409"/>
    <cellStyle name="Note 2 2 2 25 2 3 3" xfId="23410"/>
    <cellStyle name="Note 2 2 2 25 2 30" xfId="23411"/>
    <cellStyle name="Note 2 2 2 25 2 30 2" xfId="23412"/>
    <cellStyle name="Note 2 2 2 25 2 31" xfId="23413"/>
    <cellStyle name="Note 2 2 2 25 2 4" xfId="23414"/>
    <cellStyle name="Note 2 2 2 25 2 4 2" xfId="23415"/>
    <cellStyle name="Note 2 2 2 25 2 5" xfId="23416"/>
    <cellStyle name="Note 2 2 2 25 2 5 2" xfId="23417"/>
    <cellStyle name="Note 2 2 2 25 2 6" xfId="23418"/>
    <cellStyle name="Note 2 2 2 25 2 6 2" xfId="23419"/>
    <cellStyle name="Note 2 2 2 25 2 7" xfId="23420"/>
    <cellStyle name="Note 2 2 2 25 2 7 2" xfId="23421"/>
    <cellStyle name="Note 2 2 2 25 2 8" xfId="23422"/>
    <cellStyle name="Note 2 2 2 25 2 8 2" xfId="23423"/>
    <cellStyle name="Note 2 2 2 25 2 9" xfId="23424"/>
    <cellStyle name="Note 2 2 2 25 2 9 2" xfId="23425"/>
    <cellStyle name="Note 2 2 2 25 20" xfId="23426"/>
    <cellStyle name="Note 2 2 2 25 20 2" xfId="23427"/>
    <cellStyle name="Note 2 2 2 25 21" xfId="23428"/>
    <cellStyle name="Note 2 2 2 25 21 2" xfId="23429"/>
    <cellStyle name="Note 2 2 2 25 22" xfId="23430"/>
    <cellStyle name="Note 2 2 2 25 22 2" xfId="23431"/>
    <cellStyle name="Note 2 2 2 25 23" xfId="23432"/>
    <cellStyle name="Note 2 2 2 25 23 2" xfId="23433"/>
    <cellStyle name="Note 2 2 2 25 24" xfId="23434"/>
    <cellStyle name="Note 2 2 2 25 24 2" xfId="23435"/>
    <cellStyle name="Note 2 2 2 25 25" xfId="23436"/>
    <cellStyle name="Note 2 2 2 25 25 2" xfId="23437"/>
    <cellStyle name="Note 2 2 2 25 26" xfId="23438"/>
    <cellStyle name="Note 2 2 2 25 26 2" xfId="23439"/>
    <cellStyle name="Note 2 2 2 25 27" xfId="23440"/>
    <cellStyle name="Note 2 2 2 25 27 2" xfId="23441"/>
    <cellStyle name="Note 2 2 2 25 28" xfId="23442"/>
    <cellStyle name="Note 2 2 2 25 28 2" xfId="23443"/>
    <cellStyle name="Note 2 2 2 25 29" xfId="23444"/>
    <cellStyle name="Note 2 2 2 25 29 2" xfId="23445"/>
    <cellStyle name="Note 2 2 2 25 3" xfId="23446"/>
    <cellStyle name="Note 2 2 2 25 3 2" xfId="23447"/>
    <cellStyle name="Note 2 2 2 25 3 2 2" xfId="23448"/>
    <cellStyle name="Note 2 2 2 25 3 3" xfId="23449"/>
    <cellStyle name="Note 2 2 2 25 3 3 2" xfId="23450"/>
    <cellStyle name="Note 2 2 2 25 3 4" xfId="23451"/>
    <cellStyle name="Note 2 2 2 25 3 4 2" xfId="23452"/>
    <cellStyle name="Note 2 2 2 25 3 5" xfId="23453"/>
    <cellStyle name="Note 2 2 2 25 30" xfId="23454"/>
    <cellStyle name="Note 2 2 2 25 30 2" xfId="23455"/>
    <cellStyle name="Note 2 2 2 25 31" xfId="23456"/>
    <cellStyle name="Note 2 2 2 25 31 2" xfId="23457"/>
    <cellStyle name="Note 2 2 2 25 32" xfId="23458"/>
    <cellStyle name="Note 2 2 2 25 32 2" xfId="23459"/>
    <cellStyle name="Note 2 2 2 25 33" xfId="23460"/>
    <cellStyle name="Note 2 2 2 25 33 2" xfId="23461"/>
    <cellStyle name="Note 2 2 2 25 34" xfId="23462"/>
    <cellStyle name="Note 2 2 2 25 34 2" xfId="23463"/>
    <cellStyle name="Note 2 2 2 25 35" xfId="23464"/>
    <cellStyle name="Note 2 2 2 25 35 2" xfId="23465"/>
    <cellStyle name="Note 2 2 2 25 36" xfId="23466"/>
    <cellStyle name="Note 2 2 2 25 36 2" xfId="23467"/>
    <cellStyle name="Note 2 2 2 25 37" xfId="23468"/>
    <cellStyle name="Note 2 2 2 25 37 2" xfId="23469"/>
    <cellStyle name="Note 2 2 2 25 38" xfId="23470"/>
    <cellStyle name="Note 2 2 2 25 38 2" xfId="23471"/>
    <cellStyle name="Note 2 2 2 25 39" xfId="23472"/>
    <cellStyle name="Note 2 2 2 25 39 2" xfId="23473"/>
    <cellStyle name="Note 2 2 2 25 4" xfId="23474"/>
    <cellStyle name="Note 2 2 2 25 4 2" xfId="23475"/>
    <cellStyle name="Note 2 2 2 25 4 2 2" xfId="23476"/>
    <cellStyle name="Note 2 2 2 25 4 3" xfId="23477"/>
    <cellStyle name="Note 2 2 2 25 4 3 2" xfId="23478"/>
    <cellStyle name="Note 2 2 2 25 4 4" xfId="23479"/>
    <cellStyle name="Note 2 2 2 25 4 4 2" xfId="23480"/>
    <cellStyle name="Note 2 2 2 25 4 5" xfId="23481"/>
    <cellStyle name="Note 2 2 2 25 40" xfId="23482"/>
    <cellStyle name="Note 2 2 2 25 40 2" xfId="23483"/>
    <cellStyle name="Note 2 2 2 25 41" xfId="23484"/>
    <cellStyle name="Note 2 2 2 25 41 2" xfId="23485"/>
    <cellStyle name="Note 2 2 2 25 42" xfId="23486"/>
    <cellStyle name="Note 2 2 2 25 42 2" xfId="23487"/>
    <cellStyle name="Note 2 2 2 25 43" xfId="23488"/>
    <cellStyle name="Note 2 2 2 25 43 2" xfId="23489"/>
    <cellStyle name="Note 2 2 2 25 44" xfId="23490"/>
    <cellStyle name="Note 2 2 2 25 44 2" xfId="23491"/>
    <cellStyle name="Note 2 2 2 25 45" xfId="23492"/>
    <cellStyle name="Note 2 2 2 25 45 2" xfId="23493"/>
    <cellStyle name="Note 2 2 2 25 46" xfId="23494"/>
    <cellStyle name="Note 2 2 2 25 46 2" xfId="23495"/>
    <cellStyle name="Note 2 2 2 25 47" xfId="23496"/>
    <cellStyle name="Note 2 2 2 25 47 2" xfId="23497"/>
    <cellStyle name="Note 2 2 2 25 48" xfId="23498"/>
    <cellStyle name="Note 2 2 2 25 48 2" xfId="23499"/>
    <cellStyle name="Note 2 2 2 25 49" xfId="23500"/>
    <cellStyle name="Note 2 2 2 25 49 2" xfId="23501"/>
    <cellStyle name="Note 2 2 2 25 5" xfId="23502"/>
    <cellStyle name="Note 2 2 2 25 5 2" xfId="23503"/>
    <cellStyle name="Note 2 2 2 25 5 2 2" xfId="23504"/>
    <cellStyle name="Note 2 2 2 25 5 3" xfId="23505"/>
    <cellStyle name="Note 2 2 2 25 5 3 2" xfId="23506"/>
    <cellStyle name="Note 2 2 2 25 5 4" xfId="23507"/>
    <cellStyle name="Note 2 2 2 25 5 4 2" xfId="23508"/>
    <cellStyle name="Note 2 2 2 25 5 5" xfId="23509"/>
    <cellStyle name="Note 2 2 2 25 50" xfId="23510"/>
    <cellStyle name="Note 2 2 2 25 50 2" xfId="23511"/>
    <cellStyle name="Note 2 2 2 25 51" xfId="23512"/>
    <cellStyle name="Note 2 2 2 25 51 2" xfId="23513"/>
    <cellStyle name="Note 2 2 2 25 52" xfId="23514"/>
    <cellStyle name="Note 2 2 2 25 52 2" xfId="23515"/>
    <cellStyle name="Note 2 2 2 25 53" xfId="23516"/>
    <cellStyle name="Note 2 2 2 25 53 2" xfId="23517"/>
    <cellStyle name="Note 2 2 2 25 54" xfId="23518"/>
    <cellStyle name="Note 2 2 2 25 54 2" xfId="23519"/>
    <cellStyle name="Note 2 2 2 25 55" xfId="23520"/>
    <cellStyle name="Note 2 2 2 25 55 2" xfId="23521"/>
    <cellStyle name="Note 2 2 2 25 56" xfId="23522"/>
    <cellStyle name="Note 2 2 2 25 56 2" xfId="23523"/>
    <cellStyle name="Note 2 2 2 25 57" xfId="23524"/>
    <cellStyle name="Note 2 2 2 25 57 2" xfId="23525"/>
    <cellStyle name="Note 2 2 2 25 58" xfId="23526"/>
    <cellStyle name="Note 2 2 2 25 58 2" xfId="23527"/>
    <cellStyle name="Note 2 2 2 25 59" xfId="23528"/>
    <cellStyle name="Note 2 2 2 25 59 2" xfId="23529"/>
    <cellStyle name="Note 2 2 2 25 6" xfId="23530"/>
    <cellStyle name="Note 2 2 2 25 6 2" xfId="23531"/>
    <cellStyle name="Note 2 2 2 25 6 2 2" xfId="23532"/>
    <cellStyle name="Note 2 2 2 25 6 3" xfId="23533"/>
    <cellStyle name="Note 2 2 2 25 6 3 2" xfId="23534"/>
    <cellStyle name="Note 2 2 2 25 6 4" xfId="23535"/>
    <cellStyle name="Note 2 2 2 25 6 4 2" xfId="23536"/>
    <cellStyle name="Note 2 2 2 25 6 5" xfId="23537"/>
    <cellStyle name="Note 2 2 2 25 60" xfId="23538"/>
    <cellStyle name="Note 2 2 2 25 60 2" xfId="23539"/>
    <cellStyle name="Note 2 2 2 25 61" xfId="23540"/>
    <cellStyle name="Note 2 2 2 25 61 2" xfId="23541"/>
    <cellStyle name="Note 2 2 2 25 62" xfId="23542"/>
    <cellStyle name="Note 2 2 2 25 7" xfId="23543"/>
    <cellStyle name="Note 2 2 2 25 7 2" xfId="23544"/>
    <cellStyle name="Note 2 2 2 25 7 2 2" xfId="23545"/>
    <cellStyle name="Note 2 2 2 25 7 3" xfId="23546"/>
    <cellStyle name="Note 2 2 2 25 7 3 2" xfId="23547"/>
    <cellStyle name="Note 2 2 2 25 7 4" xfId="23548"/>
    <cellStyle name="Note 2 2 2 25 7 4 2" xfId="23549"/>
    <cellStyle name="Note 2 2 2 25 7 5" xfId="23550"/>
    <cellStyle name="Note 2 2 2 25 8" xfId="23551"/>
    <cellStyle name="Note 2 2 2 25 8 2" xfId="23552"/>
    <cellStyle name="Note 2 2 2 25 8 2 2" xfId="23553"/>
    <cellStyle name="Note 2 2 2 25 8 3" xfId="23554"/>
    <cellStyle name="Note 2 2 2 25 8 3 2" xfId="23555"/>
    <cellStyle name="Note 2 2 2 25 8 4" xfId="23556"/>
    <cellStyle name="Note 2 2 2 25 8 4 2" xfId="23557"/>
    <cellStyle name="Note 2 2 2 25 8 5" xfId="23558"/>
    <cellStyle name="Note 2 2 2 25 9" xfId="23559"/>
    <cellStyle name="Note 2 2 2 25 9 2" xfId="23560"/>
    <cellStyle name="Note 2 2 2 25 9 2 2" xfId="23561"/>
    <cellStyle name="Note 2 2 2 25 9 3" xfId="23562"/>
    <cellStyle name="Note 2 2 2 25 9 3 2" xfId="23563"/>
    <cellStyle name="Note 2 2 2 25 9 4" xfId="23564"/>
    <cellStyle name="Note 2 2 2 25 9 4 2" xfId="23565"/>
    <cellStyle name="Note 2 2 2 25 9 5" xfId="23566"/>
    <cellStyle name="Note 2 2 2 26" xfId="23567"/>
    <cellStyle name="Note 2 2 2 26 10" xfId="23568"/>
    <cellStyle name="Note 2 2 2 26 10 2" xfId="23569"/>
    <cellStyle name="Note 2 2 2 26 10 2 2" xfId="23570"/>
    <cellStyle name="Note 2 2 2 26 10 3" xfId="23571"/>
    <cellStyle name="Note 2 2 2 26 10 3 2" xfId="23572"/>
    <cellStyle name="Note 2 2 2 26 10 4" xfId="23573"/>
    <cellStyle name="Note 2 2 2 26 10 4 2" xfId="23574"/>
    <cellStyle name="Note 2 2 2 26 10 5" xfId="23575"/>
    <cellStyle name="Note 2 2 2 26 11" xfId="23576"/>
    <cellStyle name="Note 2 2 2 26 11 2" xfId="23577"/>
    <cellStyle name="Note 2 2 2 26 11 2 2" xfId="23578"/>
    <cellStyle name="Note 2 2 2 26 11 3" xfId="23579"/>
    <cellStyle name="Note 2 2 2 26 11 3 2" xfId="23580"/>
    <cellStyle name="Note 2 2 2 26 11 4" xfId="23581"/>
    <cellStyle name="Note 2 2 2 26 11 4 2" xfId="23582"/>
    <cellStyle name="Note 2 2 2 26 11 5" xfId="23583"/>
    <cellStyle name="Note 2 2 2 26 12" xfId="23584"/>
    <cellStyle name="Note 2 2 2 26 12 2" xfId="23585"/>
    <cellStyle name="Note 2 2 2 26 12 2 2" xfId="23586"/>
    <cellStyle name="Note 2 2 2 26 12 3" xfId="23587"/>
    <cellStyle name="Note 2 2 2 26 12 3 2" xfId="23588"/>
    <cellStyle name="Note 2 2 2 26 12 4" xfId="23589"/>
    <cellStyle name="Note 2 2 2 26 12 4 2" xfId="23590"/>
    <cellStyle name="Note 2 2 2 26 12 5" xfId="23591"/>
    <cellStyle name="Note 2 2 2 26 13" xfId="23592"/>
    <cellStyle name="Note 2 2 2 26 13 2" xfId="23593"/>
    <cellStyle name="Note 2 2 2 26 13 2 2" xfId="23594"/>
    <cellStyle name="Note 2 2 2 26 13 3" xfId="23595"/>
    <cellStyle name="Note 2 2 2 26 13 3 2" xfId="23596"/>
    <cellStyle name="Note 2 2 2 26 13 4" xfId="23597"/>
    <cellStyle name="Note 2 2 2 26 13 4 2" xfId="23598"/>
    <cellStyle name="Note 2 2 2 26 13 5" xfId="23599"/>
    <cellStyle name="Note 2 2 2 26 14" xfId="23600"/>
    <cellStyle name="Note 2 2 2 26 14 2" xfId="23601"/>
    <cellStyle name="Note 2 2 2 26 14 2 2" xfId="23602"/>
    <cellStyle name="Note 2 2 2 26 14 3" xfId="23603"/>
    <cellStyle name="Note 2 2 2 26 14 3 2" xfId="23604"/>
    <cellStyle name="Note 2 2 2 26 14 4" xfId="23605"/>
    <cellStyle name="Note 2 2 2 26 14 4 2" xfId="23606"/>
    <cellStyle name="Note 2 2 2 26 14 5" xfId="23607"/>
    <cellStyle name="Note 2 2 2 26 15" xfId="23608"/>
    <cellStyle name="Note 2 2 2 26 15 2" xfId="23609"/>
    <cellStyle name="Note 2 2 2 26 16" xfId="23610"/>
    <cellStyle name="Note 2 2 2 26 16 2" xfId="23611"/>
    <cellStyle name="Note 2 2 2 26 17" xfId="23612"/>
    <cellStyle name="Note 2 2 2 26 17 2" xfId="23613"/>
    <cellStyle name="Note 2 2 2 26 18" xfId="23614"/>
    <cellStyle name="Note 2 2 2 26 18 2" xfId="23615"/>
    <cellStyle name="Note 2 2 2 26 19" xfId="23616"/>
    <cellStyle name="Note 2 2 2 26 19 2" xfId="23617"/>
    <cellStyle name="Note 2 2 2 26 2" xfId="23618"/>
    <cellStyle name="Note 2 2 2 26 2 10" xfId="23619"/>
    <cellStyle name="Note 2 2 2 26 2 10 2" xfId="23620"/>
    <cellStyle name="Note 2 2 2 26 2 11" xfId="23621"/>
    <cellStyle name="Note 2 2 2 26 2 11 2" xfId="23622"/>
    <cellStyle name="Note 2 2 2 26 2 12" xfId="23623"/>
    <cellStyle name="Note 2 2 2 26 2 12 2" xfId="23624"/>
    <cellStyle name="Note 2 2 2 26 2 13" xfId="23625"/>
    <cellStyle name="Note 2 2 2 26 2 13 2" xfId="23626"/>
    <cellStyle name="Note 2 2 2 26 2 14" xfId="23627"/>
    <cellStyle name="Note 2 2 2 26 2 14 2" xfId="23628"/>
    <cellStyle name="Note 2 2 2 26 2 15" xfId="23629"/>
    <cellStyle name="Note 2 2 2 26 2 15 2" xfId="23630"/>
    <cellStyle name="Note 2 2 2 26 2 16" xfId="23631"/>
    <cellStyle name="Note 2 2 2 26 2 16 2" xfId="23632"/>
    <cellStyle name="Note 2 2 2 26 2 17" xfId="23633"/>
    <cellStyle name="Note 2 2 2 26 2 17 2" xfId="23634"/>
    <cellStyle name="Note 2 2 2 26 2 18" xfId="23635"/>
    <cellStyle name="Note 2 2 2 26 2 18 2" xfId="23636"/>
    <cellStyle name="Note 2 2 2 26 2 19" xfId="23637"/>
    <cellStyle name="Note 2 2 2 26 2 19 2" xfId="23638"/>
    <cellStyle name="Note 2 2 2 26 2 2" xfId="23639"/>
    <cellStyle name="Note 2 2 2 26 2 2 2" xfId="23640"/>
    <cellStyle name="Note 2 2 2 26 2 2 3" xfId="23641"/>
    <cellStyle name="Note 2 2 2 26 2 20" xfId="23642"/>
    <cellStyle name="Note 2 2 2 26 2 20 2" xfId="23643"/>
    <cellStyle name="Note 2 2 2 26 2 21" xfId="23644"/>
    <cellStyle name="Note 2 2 2 26 2 21 2" xfId="23645"/>
    <cellStyle name="Note 2 2 2 26 2 22" xfId="23646"/>
    <cellStyle name="Note 2 2 2 26 2 22 2" xfId="23647"/>
    <cellStyle name="Note 2 2 2 26 2 23" xfId="23648"/>
    <cellStyle name="Note 2 2 2 26 2 23 2" xfId="23649"/>
    <cellStyle name="Note 2 2 2 26 2 24" xfId="23650"/>
    <cellStyle name="Note 2 2 2 26 2 24 2" xfId="23651"/>
    <cellStyle name="Note 2 2 2 26 2 25" xfId="23652"/>
    <cellStyle name="Note 2 2 2 26 2 25 2" xfId="23653"/>
    <cellStyle name="Note 2 2 2 26 2 26" xfId="23654"/>
    <cellStyle name="Note 2 2 2 26 2 26 2" xfId="23655"/>
    <cellStyle name="Note 2 2 2 26 2 27" xfId="23656"/>
    <cellStyle name="Note 2 2 2 26 2 27 2" xfId="23657"/>
    <cellStyle name="Note 2 2 2 26 2 28" xfId="23658"/>
    <cellStyle name="Note 2 2 2 26 2 28 2" xfId="23659"/>
    <cellStyle name="Note 2 2 2 26 2 29" xfId="23660"/>
    <cellStyle name="Note 2 2 2 26 2 29 2" xfId="23661"/>
    <cellStyle name="Note 2 2 2 26 2 3" xfId="23662"/>
    <cellStyle name="Note 2 2 2 26 2 3 2" xfId="23663"/>
    <cellStyle name="Note 2 2 2 26 2 3 3" xfId="23664"/>
    <cellStyle name="Note 2 2 2 26 2 30" xfId="23665"/>
    <cellStyle name="Note 2 2 2 26 2 30 2" xfId="23666"/>
    <cellStyle name="Note 2 2 2 26 2 31" xfId="23667"/>
    <cellStyle name="Note 2 2 2 26 2 4" xfId="23668"/>
    <cellStyle name="Note 2 2 2 26 2 4 2" xfId="23669"/>
    <cellStyle name="Note 2 2 2 26 2 5" xfId="23670"/>
    <cellStyle name="Note 2 2 2 26 2 5 2" xfId="23671"/>
    <cellStyle name="Note 2 2 2 26 2 6" xfId="23672"/>
    <cellStyle name="Note 2 2 2 26 2 6 2" xfId="23673"/>
    <cellStyle name="Note 2 2 2 26 2 7" xfId="23674"/>
    <cellStyle name="Note 2 2 2 26 2 7 2" xfId="23675"/>
    <cellStyle name="Note 2 2 2 26 2 8" xfId="23676"/>
    <cellStyle name="Note 2 2 2 26 2 8 2" xfId="23677"/>
    <cellStyle name="Note 2 2 2 26 2 9" xfId="23678"/>
    <cellStyle name="Note 2 2 2 26 2 9 2" xfId="23679"/>
    <cellStyle name="Note 2 2 2 26 20" xfId="23680"/>
    <cellStyle name="Note 2 2 2 26 20 2" xfId="23681"/>
    <cellStyle name="Note 2 2 2 26 21" xfId="23682"/>
    <cellStyle name="Note 2 2 2 26 21 2" xfId="23683"/>
    <cellStyle name="Note 2 2 2 26 22" xfId="23684"/>
    <cellStyle name="Note 2 2 2 26 22 2" xfId="23685"/>
    <cellStyle name="Note 2 2 2 26 23" xfId="23686"/>
    <cellStyle name="Note 2 2 2 26 23 2" xfId="23687"/>
    <cellStyle name="Note 2 2 2 26 24" xfId="23688"/>
    <cellStyle name="Note 2 2 2 26 24 2" xfId="23689"/>
    <cellStyle name="Note 2 2 2 26 25" xfId="23690"/>
    <cellStyle name="Note 2 2 2 26 25 2" xfId="23691"/>
    <cellStyle name="Note 2 2 2 26 26" xfId="23692"/>
    <cellStyle name="Note 2 2 2 26 26 2" xfId="23693"/>
    <cellStyle name="Note 2 2 2 26 27" xfId="23694"/>
    <cellStyle name="Note 2 2 2 26 27 2" xfId="23695"/>
    <cellStyle name="Note 2 2 2 26 28" xfId="23696"/>
    <cellStyle name="Note 2 2 2 26 28 2" xfId="23697"/>
    <cellStyle name="Note 2 2 2 26 29" xfId="23698"/>
    <cellStyle name="Note 2 2 2 26 29 2" xfId="23699"/>
    <cellStyle name="Note 2 2 2 26 3" xfId="23700"/>
    <cellStyle name="Note 2 2 2 26 3 2" xfId="23701"/>
    <cellStyle name="Note 2 2 2 26 3 2 2" xfId="23702"/>
    <cellStyle name="Note 2 2 2 26 3 3" xfId="23703"/>
    <cellStyle name="Note 2 2 2 26 3 3 2" xfId="23704"/>
    <cellStyle name="Note 2 2 2 26 3 4" xfId="23705"/>
    <cellStyle name="Note 2 2 2 26 3 4 2" xfId="23706"/>
    <cellStyle name="Note 2 2 2 26 3 5" xfId="23707"/>
    <cellStyle name="Note 2 2 2 26 30" xfId="23708"/>
    <cellStyle name="Note 2 2 2 26 30 2" xfId="23709"/>
    <cellStyle name="Note 2 2 2 26 31" xfId="23710"/>
    <cellStyle name="Note 2 2 2 26 31 2" xfId="23711"/>
    <cellStyle name="Note 2 2 2 26 32" xfId="23712"/>
    <cellStyle name="Note 2 2 2 26 32 2" xfId="23713"/>
    <cellStyle name="Note 2 2 2 26 33" xfId="23714"/>
    <cellStyle name="Note 2 2 2 26 33 2" xfId="23715"/>
    <cellStyle name="Note 2 2 2 26 34" xfId="23716"/>
    <cellStyle name="Note 2 2 2 26 34 2" xfId="23717"/>
    <cellStyle name="Note 2 2 2 26 35" xfId="23718"/>
    <cellStyle name="Note 2 2 2 26 35 2" xfId="23719"/>
    <cellStyle name="Note 2 2 2 26 36" xfId="23720"/>
    <cellStyle name="Note 2 2 2 26 36 2" xfId="23721"/>
    <cellStyle name="Note 2 2 2 26 37" xfId="23722"/>
    <cellStyle name="Note 2 2 2 26 37 2" xfId="23723"/>
    <cellStyle name="Note 2 2 2 26 38" xfId="23724"/>
    <cellStyle name="Note 2 2 2 26 38 2" xfId="23725"/>
    <cellStyle name="Note 2 2 2 26 39" xfId="23726"/>
    <cellStyle name="Note 2 2 2 26 39 2" xfId="23727"/>
    <cellStyle name="Note 2 2 2 26 4" xfId="23728"/>
    <cellStyle name="Note 2 2 2 26 4 2" xfId="23729"/>
    <cellStyle name="Note 2 2 2 26 4 2 2" xfId="23730"/>
    <cellStyle name="Note 2 2 2 26 4 3" xfId="23731"/>
    <cellStyle name="Note 2 2 2 26 4 3 2" xfId="23732"/>
    <cellStyle name="Note 2 2 2 26 4 4" xfId="23733"/>
    <cellStyle name="Note 2 2 2 26 4 4 2" xfId="23734"/>
    <cellStyle name="Note 2 2 2 26 4 5" xfId="23735"/>
    <cellStyle name="Note 2 2 2 26 40" xfId="23736"/>
    <cellStyle name="Note 2 2 2 26 40 2" xfId="23737"/>
    <cellStyle name="Note 2 2 2 26 41" xfId="23738"/>
    <cellStyle name="Note 2 2 2 26 41 2" xfId="23739"/>
    <cellStyle name="Note 2 2 2 26 42" xfId="23740"/>
    <cellStyle name="Note 2 2 2 26 42 2" xfId="23741"/>
    <cellStyle name="Note 2 2 2 26 43" xfId="23742"/>
    <cellStyle name="Note 2 2 2 26 43 2" xfId="23743"/>
    <cellStyle name="Note 2 2 2 26 44" xfId="23744"/>
    <cellStyle name="Note 2 2 2 26 44 2" xfId="23745"/>
    <cellStyle name="Note 2 2 2 26 45" xfId="23746"/>
    <cellStyle name="Note 2 2 2 26 45 2" xfId="23747"/>
    <cellStyle name="Note 2 2 2 26 46" xfId="23748"/>
    <cellStyle name="Note 2 2 2 26 46 2" xfId="23749"/>
    <cellStyle name="Note 2 2 2 26 47" xfId="23750"/>
    <cellStyle name="Note 2 2 2 26 47 2" xfId="23751"/>
    <cellStyle name="Note 2 2 2 26 48" xfId="23752"/>
    <cellStyle name="Note 2 2 2 26 48 2" xfId="23753"/>
    <cellStyle name="Note 2 2 2 26 49" xfId="23754"/>
    <cellStyle name="Note 2 2 2 26 49 2" xfId="23755"/>
    <cellStyle name="Note 2 2 2 26 5" xfId="23756"/>
    <cellStyle name="Note 2 2 2 26 5 2" xfId="23757"/>
    <cellStyle name="Note 2 2 2 26 5 2 2" xfId="23758"/>
    <cellStyle name="Note 2 2 2 26 5 3" xfId="23759"/>
    <cellStyle name="Note 2 2 2 26 5 3 2" xfId="23760"/>
    <cellStyle name="Note 2 2 2 26 5 4" xfId="23761"/>
    <cellStyle name="Note 2 2 2 26 5 4 2" xfId="23762"/>
    <cellStyle name="Note 2 2 2 26 5 5" xfId="23763"/>
    <cellStyle name="Note 2 2 2 26 50" xfId="23764"/>
    <cellStyle name="Note 2 2 2 26 50 2" xfId="23765"/>
    <cellStyle name="Note 2 2 2 26 51" xfId="23766"/>
    <cellStyle name="Note 2 2 2 26 51 2" xfId="23767"/>
    <cellStyle name="Note 2 2 2 26 52" xfId="23768"/>
    <cellStyle name="Note 2 2 2 26 52 2" xfId="23769"/>
    <cellStyle name="Note 2 2 2 26 53" xfId="23770"/>
    <cellStyle name="Note 2 2 2 26 53 2" xfId="23771"/>
    <cellStyle name="Note 2 2 2 26 54" xfId="23772"/>
    <cellStyle name="Note 2 2 2 26 54 2" xfId="23773"/>
    <cellStyle name="Note 2 2 2 26 55" xfId="23774"/>
    <cellStyle name="Note 2 2 2 26 55 2" xfId="23775"/>
    <cellStyle name="Note 2 2 2 26 56" xfId="23776"/>
    <cellStyle name="Note 2 2 2 26 56 2" xfId="23777"/>
    <cellStyle name="Note 2 2 2 26 57" xfId="23778"/>
    <cellStyle name="Note 2 2 2 26 57 2" xfId="23779"/>
    <cellStyle name="Note 2 2 2 26 58" xfId="23780"/>
    <cellStyle name="Note 2 2 2 26 58 2" xfId="23781"/>
    <cellStyle name="Note 2 2 2 26 59" xfId="23782"/>
    <cellStyle name="Note 2 2 2 26 59 2" xfId="23783"/>
    <cellStyle name="Note 2 2 2 26 6" xfId="23784"/>
    <cellStyle name="Note 2 2 2 26 6 2" xfId="23785"/>
    <cellStyle name="Note 2 2 2 26 6 2 2" xfId="23786"/>
    <cellStyle name="Note 2 2 2 26 6 3" xfId="23787"/>
    <cellStyle name="Note 2 2 2 26 6 3 2" xfId="23788"/>
    <cellStyle name="Note 2 2 2 26 6 4" xfId="23789"/>
    <cellStyle name="Note 2 2 2 26 6 4 2" xfId="23790"/>
    <cellStyle name="Note 2 2 2 26 6 5" xfId="23791"/>
    <cellStyle name="Note 2 2 2 26 60" xfId="23792"/>
    <cellStyle name="Note 2 2 2 26 60 2" xfId="23793"/>
    <cellStyle name="Note 2 2 2 26 61" xfId="23794"/>
    <cellStyle name="Note 2 2 2 26 61 2" xfId="23795"/>
    <cellStyle name="Note 2 2 2 26 62" xfId="23796"/>
    <cellStyle name="Note 2 2 2 26 7" xfId="23797"/>
    <cellStyle name="Note 2 2 2 26 7 2" xfId="23798"/>
    <cellStyle name="Note 2 2 2 26 7 2 2" xfId="23799"/>
    <cellStyle name="Note 2 2 2 26 7 3" xfId="23800"/>
    <cellStyle name="Note 2 2 2 26 7 3 2" xfId="23801"/>
    <cellStyle name="Note 2 2 2 26 7 4" xfId="23802"/>
    <cellStyle name="Note 2 2 2 26 7 4 2" xfId="23803"/>
    <cellStyle name="Note 2 2 2 26 7 5" xfId="23804"/>
    <cellStyle name="Note 2 2 2 26 8" xfId="23805"/>
    <cellStyle name="Note 2 2 2 26 8 2" xfId="23806"/>
    <cellStyle name="Note 2 2 2 26 8 2 2" xfId="23807"/>
    <cellStyle name="Note 2 2 2 26 8 3" xfId="23808"/>
    <cellStyle name="Note 2 2 2 26 8 3 2" xfId="23809"/>
    <cellStyle name="Note 2 2 2 26 8 4" xfId="23810"/>
    <cellStyle name="Note 2 2 2 26 8 4 2" xfId="23811"/>
    <cellStyle name="Note 2 2 2 26 8 5" xfId="23812"/>
    <cellStyle name="Note 2 2 2 26 9" xfId="23813"/>
    <cellStyle name="Note 2 2 2 26 9 2" xfId="23814"/>
    <cellStyle name="Note 2 2 2 26 9 2 2" xfId="23815"/>
    <cellStyle name="Note 2 2 2 26 9 3" xfId="23816"/>
    <cellStyle name="Note 2 2 2 26 9 3 2" xfId="23817"/>
    <cellStyle name="Note 2 2 2 26 9 4" xfId="23818"/>
    <cellStyle name="Note 2 2 2 26 9 4 2" xfId="23819"/>
    <cellStyle name="Note 2 2 2 26 9 5" xfId="23820"/>
    <cellStyle name="Note 2 2 2 27" xfId="23821"/>
    <cellStyle name="Note 2 2 2 27 10" xfId="23822"/>
    <cellStyle name="Note 2 2 2 27 10 2" xfId="23823"/>
    <cellStyle name="Note 2 2 2 27 10 2 2" xfId="23824"/>
    <cellStyle name="Note 2 2 2 27 10 3" xfId="23825"/>
    <cellStyle name="Note 2 2 2 27 10 3 2" xfId="23826"/>
    <cellStyle name="Note 2 2 2 27 10 4" xfId="23827"/>
    <cellStyle name="Note 2 2 2 27 10 4 2" xfId="23828"/>
    <cellStyle name="Note 2 2 2 27 10 5" xfId="23829"/>
    <cellStyle name="Note 2 2 2 27 11" xfId="23830"/>
    <cellStyle name="Note 2 2 2 27 11 2" xfId="23831"/>
    <cellStyle name="Note 2 2 2 27 11 2 2" xfId="23832"/>
    <cellStyle name="Note 2 2 2 27 11 3" xfId="23833"/>
    <cellStyle name="Note 2 2 2 27 11 3 2" xfId="23834"/>
    <cellStyle name="Note 2 2 2 27 11 4" xfId="23835"/>
    <cellStyle name="Note 2 2 2 27 11 4 2" xfId="23836"/>
    <cellStyle name="Note 2 2 2 27 11 5" xfId="23837"/>
    <cellStyle name="Note 2 2 2 27 12" xfId="23838"/>
    <cellStyle name="Note 2 2 2 27 12 2" xfId="23839"/>
    <cellStyle name="Note 2 2 2 27 12 2 2" xfId="23840"/>
    <cellStyle name="Note 2 2 2 27 12 3" xfId="23841"/>
    <cellStyle name="Note 2 2 2 27 12 3 2" xfId="23842"/>
    <cellStyle name="Note 2 2 2 27 12 4" xfId="23843"/>
    <cellStyle name="Note 2 2 2 27 12 4 2" xfId="23844"/>
    <cellStyle name="Note 2 2 2 27 12 5" xfId="23845"/>
    <cellStyle name="Note 2 2 2 27 13" xfId="23846"/>
    <cellStyle name="Note 2 2 2 27 13 2" xfId="23847"/>
    <cellStyle name="Note 2 2 2 27 13 2 2" xfId="23848"/>
    <cellStyle name="Note 2 2 2 27 13 3" xfId="23849"/>
    <cellStyle name="Note 2 2 2 27 13 3 2" xfId="23850"/>
    <cellStyle name="Note 2 2 2 27 13 4" xfId="23851"/>
    <cellStyle name="Note 2 2 2 27 13 4 2" xfId="23852"/>
    <cellStyle name="Note 2 2 2 27 13 5" xfId="23853"/>
    <cellStyle name="Note 2 2 2 27 14" xfId="23854"/>
    <cellStyle name="Note 2 2 2 27 14 2" xfId="23855"/>
    <cellStyle name="Note 2 2 2 27 14 2 2" xfId="23856"/>
    <cellStyle name="Note 2 2 2 27 14 3" xfId="23857"/>
    <cellStyle name="Note 2 2 2 27 14 3 2" xfId="23858"/>
    <cellStyle name="Note 2 2 2 27 14 4" xfId="23859"/>
    <cellStyle name="Note 2 2 2 27 14 4 2" xfId="23860"/>
    <cellStyle name="Note 2 2 2 27 14 5" xfId="23861"/>
    <cellStyle name="Note 2 2 2 27 15" xfId="23862"/>
    <cellStyle name="Note 2 2 2 27 15 2" xfId="23863"/>
    <cellStyle name="Note 2 2 2 27 16" xfId="23864"/>
    <cellStyle name="Note 2 2 2 27 16 2" xfId="23865"/>
    <cellStyle name="Note 2 2 2 27 17" xfId="23866"/>
    <cellStyle name="Note 2 2 2 27 17 2" xfId="23867"/>
    <cellStyle name="Note 2 2 2 27 18" xfId="23868"/>
    <cellStyle name="Note 2 2 2 27 18 2" xfId="23869"/>
    <cellStyle name="Note 2 2 2 27 19" xfId="23870"/>
    <cellStyle name="Note 2 2 2 27 19 2" xfId="23871"/>
    <cellStyle name="Note 2 2 2 27 2" xfId="23872"/>
    <cellStyle name="Note 2 2 2 27 2 10" xfId="23873"/>
    <cellStyle name="Note 2 2 2 27 2 10 2" xfId="23874"/>
    <cellStyle name="Note 2 2 2 27 2 11" xfId="23875"/>
    <cellStyle name="Note 2 2 2 27 2 11 2" xfId="23876"/>
    <cellStyle name="Note 2 2 2 27 2 12" xfId="23877"/>
    <cellStyle name="Note 2 2 2 27 2 12 2" xfId="23878"/>
    <cellStyle name="Note 2 2 2 27 2 13" xfId="23879"/>
    <cellStyle name="Note 2 2 2 27 2 13 2" xfId="23880"/>
    <cellStyle name="Note 2 2 2 27 2 14" xfId="23881"/>
    <cellStyle name="Note 2 2 2 27 2 14 2" xfId="23882"/>
    <cellStyle name="Note 2 2 2 27 2 15" xfId="23883"/>
    <cellStyle name="Note 2 2 2 27 2 15 2" xfId="23884"/>
    <cellStyle name="Note 2 2 2 27 2 16" xfId="23885"/>
    <cellStyle name="Note 2 2 2 27 2 16 2" xfId="23886"/>
    <cellStyle name="Note 2 2 2 27 2 17" xfId="23887"/>
    <cellStyle name="Note 2 2 2 27 2 17 2" xfId="23888"/>
    <cellStyle name="Note 2 2 2 27 2 18" xfId="23889"/>
    <cellStyle name="Note 2 2 2 27 2 18 2" xfId="23890"/>
    <cellStyle name="Note 2 2 2 27 2 19" xfId="23891"/>
    <cellStyle name="Note 2 2 2 27 2 19 2" xfId="23892"/>
    <cellStyle name="Note 2 2 2 27 2 2" xfId="23893"/>
    <cellStyle name="Note 2 2 2 27 2 2 2" xfId="23894"/>
    <cellStyle name="Note 2 2 2 27 2 2 3" xfId="23895"/>
    <cellStyle name="Note 2 2 2 27 2 20" xfId="23896"/>
    <cellStyle name="Note 2 2 2 27 2 20 2" xfId="23897"/>
    <cellStyle name="Note 2 2 2 27 2 21" xfId="23898"/>
    <cellStyle name="Note 2 2 2 27 2 21 2" xfId="23899"/>
    <cellStyle name="Note 2 2 2 27 2 22" xfId="23900"/>
    <cellStyle name="Note 2 2 2 27 2 22 2" xfId="23901"/>
    <cellStyle name="Note 2 2 2 27 2 23" xfId="23902"/>
    <cellStyle name="Note 2 2 2 27 2 23 2" xfId="23903"/>
    <cellStyle name="Note 2 2 2 27 2 24" xfId="23904"/>
    <cellStyle name="Note 2 2 2 27 2 24 2" xfId="23905"/>
    <cellStyle name="Note 2 2 2 27 2 25" xfId="23906"/>
    <cellStyle name="Note 2 2 2 27 2 25 2" xfId="23907"/>
    <cellStyle name="Note 2 2 2 27 2 26" xfId="23908"/>
    <cellStyle name="Note 2 2 2 27 2 26 2" xfId="23909"/>
    <cellStyle name="Note 2 2 2 27 2 27" xfId="23910"/>
    <cellStyle name="Note 2 2 2 27 2 27 2" xfId="23911"/>
    <cellStyle name="Note 2 2 2 27 2 28" xfId="23912"/>
    <cellStyle name="Note 2 2 2 27 2 28 2" xfId="23913"/>
    <cellStyle name="Note 2 2 2 27 2 29" xfId="23914"/>
    <cellStyle name="Note 2 2 2 27 2 29 2" xfId="23915"/>
    <cellStyle name="Note 2 2 2 27 2 3" xfId="23916"/>
    <cellStyle name="Note 2 2 2 27 2 3 2" xfId="23917"/>
    <cellStyle name="Note 2 2 2 27 2 3 3" xfId="23918"/>
    <cellStyle name="Note 2 2 2 27 2 30" xfId="23919"/>
    <cellStyle name="Note 2 2 2 27 2 30 2" xfId="23920"/>
    <cellStyle name="Note 2 2 2 27 2 31" xfId="23921"/>
    <cellStyle name="Note 2 2 2 27 2 4" xfId="23922"/>
    <cellStyle name="Note 2 2 2 27 2 4 2" xfId="23923"/>
    <cellStyle name="Note 2 2 2 27 2 5" xfId="23924"/>
    <cellStyle name="Note 2 2 2 27 2 5 2" xfId="23925"/>
    <cellStyle name="Note 2 2 2 27 2 6" xfId="23926"/>
    <cellStyle name="Note 2 2 2 27 2 6 2" xfId="23927"/>
    <cellStyle name="Note 2 2 2 27 2 7" xfId="23928"/>
    <cellStyle name="Note 2 2 2 27 2 7 2" xfId="23929"/>
    <cellStyle name="Note 2 2 2 27 2 8" xfId="23930"/>
    <cellStyle name="Note 2 2 2 27 2 8 2" xfId="23931"/>
    <cellStyle name="Note 2 2 2 27 2 9" xfId="23932"/>
    <cellStyle name="Note 2 2 2 27 2 9 2" xfId="23933"/>
    <cellStyle name="Note 2 2 2 27 20" xfId="23934"/>
    <cellStyle name="Note 2 2 2 27 20 2" xfId="23935"/>
    <cellStyle name="Note 2 2 2 27 21" xfId="23936"/>
    <cellStyle name="Note 2 2 2 27 21 2" xfId="23937"/>
    <cellStyle name="Note 2 2 2 27 22" xfId="23938"/>
    <cellStyle name="Note 2 2 2 27 22 2" xfId="23939"/>
    <cellStyle name="Note 2 2 2 27 23" xfId="23940"/>
    <cellStyle name="Note 2 2 2 27 23 2" xfId="23941"/>
    <cellStyle name="Note 2 2 2 27 24" xfId="23942"/>
    <cellStyle name="Note 2 2 2 27 24 2" xfId="23943"/>
    <cellStyle name="Note 2 2 2 27 25" xfId="23944"/>
    <cellStyle name="Note 2 2 2 27 25 2" xfId="23945"/>
    <cellStyle name="Note 2 2 2 27 26" xfId="23946"/>
    <cellStyle name="Note 2 2 2 27 26 2" xfId="23947"/>
    <cellStyle name="Note 2 2 2 27 27" xfId="23948"/>
    <cellStyle name="Note 2 2 2 27 27 2" xfId="23949"/>
    <cellStyle name="Note 2 2 2 27 28" xfId="23950"/>
    <cellStyle name="Note 2 2 2 27 28 2" xfId="23951"/>
    <cellStyle name="Note 2 2 2 27 29" xfId="23952"/>
    <cellStyle name="Note 2 2 2 27 29 2" xfId="23953"/>
    <cellStyle name="Note 2 2 2 27 3" xfId="23954"/>
    <cellStyle name="Note 2 2 2 27 3 2" xfId="23955"/>
    <cellStyle name="Note 2 2 2 27 3 2 2" xfId="23956"/>
    <cellStyle name="Note 2 2 2 27 3 3" xfId="23957"/>
    <cellStyle name="Note 2 2 2 27 3 3 2" xfId="23958"/>
    <cellStyle name="Note 2 2 2 27 3 4" xfId="23959"/>
    <cellStyle name="Note 2 2 2 27 3 4 2" xfId="23960"/>
    <cellStyle name="Note 2 2 2 27 3 5" xfId="23961"/>
    <cellStyle name="Note 2 2 2 27 30" xfId="23962"/>
    <cellStyle name="Note 2 2 2 27 30 2" xfId="23963"/>
    <cellStyle name="Note 2 2 2 27 31" xfId="23964"/>
    <cellStyle name="Note 2 2 2 27 31 2" xfId="23965"/>
    <cellStyle name="Note 2 2 2 27 32" xfId="23966"/>
    <cellStyle name="Note 2 2 2 27 32 2" xfId="23967"/>
    <cellStyle name="Note 2 2 2 27 33" xfId="23968"/>
    <cellStyle name="Note 2 2 2 27 33 2" xfId="23969"/>
    <cellStyle name="Note 2 2 2 27 34" xfId="23970"/>
    <cellStyle name="Note 2 2 2 27 34 2" xfId="23971"/>
    <cellStyle name="Note 2 2 2 27 35" xfId="23972"/>
    <cellStyle name="Note 2 2 2 27 35 2" xfId="23973"/>
    <cellStyle name="Note 2 2 2 27 36" xfId="23974"/>
    <cellStyle name="Note 2 2 2 27 36 2" xfId="23975"/>
    <cellStyle name="Note 2 2 2 27 37" xfId="23976"/>
    <cellStyle name="Note 2 2 2 27 37 2" xfId="23977"/>
    <cellStyle name="Note 2 2 2 27 38" xfId="23978"/>
    <cellStyle name="Note 2 2 2 27 38 2" xfId="23979"/>
    <cellStyle name="Note 2 2 2 27 39" xfId="23980"/>
    <cellStyle name="Note 2 2 2 27 39 2" xfId="23981"/>
    <cellStyle name="Note 2 2 2 27 4" xfId="23982"/>
    <cellStyle name="Note 2 2 2 27 4 2" xfId="23983"/>
    <cellStyle name="Note 2 2 2 27 4 2 2" xfId="23984"/>
    <cellStyle name="Note 2 2 2 27 4 3" xfId="23985"/>
    <cellStyle name="Note 2 2 2 27 4 3 2" xfId="23986"/>
    <cellStyle name="Note 2 2 2 27 4 4" xfId="23987"/>
    <cellStyle name="Note 2 2 2 27 4 4 2" xfId="23988"/>
    <cellStyle name="Note 2 2 2 27 4 5" xfId="23989"/>
    <cellStyle name="Note 2 2 2 27 40" xfId="23990"/>
    <cellStyle name="Note 2 2 2 27 40 2" xfId="23991"/>
    <cellStyle name="Note 2 2 2 27 41" xfId="23992"/>
    <cellStyle name="Note 2 2 2 27 41 2" xfId="23993"/>
    <cellStyle name="Note 2 2 2 27 42" xfId="23994"/>
    <cellStyle name="Note 2 2 2 27 42 2" xfId="23995"/>
    <cellStyle name="Note 2 2 2 27 43" xfId="23996"/>
    <cellStyle name="Note 2 2 2 27 43 2" xfId="23997"/>
    <cellStyle name="Note 2 2 2 27 44" xfId="23998"/>
    <cellStyle name="Note 2 2 2 27 44 2" xfId="23999"/>
    <cellStyle name="Note 2 2 2 27 45" xfId="24000"/>
    <cellStyle name="Note 2 2 2 27 45 2" xfId="24001"/>
    <cellStyle name="Note 2 2 2 27 46" xfId="24002"/>
    <cellStyle name="Note 2 2 2 27 46 2" xfId="24003"/>
    <cellStyle name="Note 2 2 2 27 47" xfId="24004"/>
    <cellStyle name="Note 2 2 2 27 47 2" xfId="24005"/>
    <cellStyle name="Note 2 2 2 27 48" xfId="24006"/>
    <cellStyle name="Note 2 2 2 27 48 2" xfId="24007"/>
    <cellStyle name="Note 2 2 2 27 49" xfId="24008"/>
    <cellStyle name="Note 2 2 2 27 49 2" xfId="24009"/>
    <cellStyle name="Note 2 2 2 27 5" xfId="24010"/>
    <cellStyle name="Note 2 2 2 27 5 2" xfId="24011"/>
    <cellStyle name="Note 2 2 2 27 5 2 2" xfId="24012"/>
    <cellStyle name="Note 2 2 2 27 5 3" xfId="24013"/>
    <cellStyle name="Note 2 2 2 27 5 3 2" xfId="24014"/>
    <cellStyle name="Note 2 2 2 27 5 4" xfId="24015"/>
    <cellStyle name="Note 2 2 2 27 5 4 2" xfId="24016"/>
    <cellStyle name="Note 2 2 2 27 5 5" xfId="24017"/>
    <cellStyle name="Note 2 2 2 27 50" xfId="24018"/>
    <cellStyle name="Note 2 2 2 27 50 2" xfId="24019"/>
    <cellStyle name="Note 2 2 2 27 51" xfId="24020"/>
    <cellStyle name="Note 2 2 2 27 51 2" xfId="24021"/>
    <cellStyle name="Note 2 2 2 27 52" xfId="24022"/>
    <cellStyle name="Note 2 2 2 27 52 2" xfId="24023"/>
    <cellStyle name="Note 2 2 2 27 53" xfId="24024"/>
    <cellStyle name="Note 2 2 2 27 53 2" xfId="24025"/>
    <cellStyle name="Note 2 2 2 27 54" xfId="24026"/>
    <cellStyle name="Note 2 2 2 27 54 2" xfId="24027"/>
    <cellStyle name="Note 2 2 2 27 55" xfId="24028"/>
    <cellStyle name="Note 2 2 2 27 55 2" xfId="24029"/>
    <cellStyle name="Note 2 2 2 27 56" xfId="24030"/>
    <cellStyle name="Note 2 2 2 27 56 2" xfId="24031"/>
    <cellStyle name="Note 2 2 2 27 57" xfId="24032"/>
    <cellStyle name="Note 2 2 2 27 57 2" xfId="24033"/>
    <cellStyle name="Note 2 2 2 27 58" xfId="24034"/>
    <cellStyle name="Note 2 2 2 27 58 2" xfId="24035"/>
    <cellStyle name="Note 2 2 2 27 59" xfId="24036"/>
    <cellStyle name="Note 2 2 2 27 59 2" xfId="24037"/>
    <cellStyle name="Note 2 2 2 27 6" xfId="24038"/>
    <cellStyle name="Note 2 2 2 27 6 2" xfId="24039"/>
    <cellStyle name="Note 2 2 2 27 6 2 2" xfId="24040"/>
    <cellStyle name="Note 2 2 2 27 6 3" xfId="24041"/>
    <cellStyle name="Note 2 2 2 27 6 3 2" xfId="24042"/>
    <cellStyle name="Note 2 2 2 27 6 4" xfId="24043"/>
    <cellStyle name="Note 2 2 2 27 6 4 2" xfId="24044"/>
    <cellStyle name="Note 2 2 2 27 6 5" xfId="24045"/>
    <cellStyle name="Note 2 2 2 27 60" xfId="24046"/>
    <cellStyle name="Note 2 2 2 27 60 2" xfId="24047"/>
    <cellStyle name="Note 2 2 2 27 61" xfId="24048"/>
    <cellStyle name="Note 2 2 2 27 61 2" xfId="24049"/>
    <cellStyle name="Note 2 2 2 27 62" xfId="24050"/>
    <cellStyle name="Note 2 2 2 27 7" xfId="24051"/>
    <cellStyle name="Note 2 2 2 27 7 2" xfId="24052"/>
    <cellStyle name="Note 2 2 2 27 7 2 2" xfId="24053"/>
    <cellStyle name="Note 2 2 2 27 7 3" xfId="24054"/>
    <cellStyle name="Note 2 2 2 27 7 3 2" xfId="24055"/>
    <cellStyle name="Note 2 2 2 27 7 4" xfId="24056"/>
    <cellStyle name="Note 2 2 2 27 7 4 2" xfId="24057"/>
    <cellStyle name="Note 2 2 2 27 7 5" xfId="24058"/>
    <cellStyle name="Note 2 2 2 27 8" xfId="24059"/>
    <cellStyle name="Note 2 2 2 27 8 2" xfId="24060"/>
    <cellStyle name="Note 2 2 2 27 8 2 2" xfId="24061"/>
    <cellStyle name="Note 2 2 2 27 8 3" xfId="24062"/>
    <cellStyle name="Note 2 2 2 27 8 3 2" xfId="24063"/>
    <cellStyle name="Note 2 2 2 27 8 4" xfId="24064"/>
    <cellStyle name="Note 2 2 2 27 8 4 2" xfId="24065"/>
    <cellStyle name="Note 2 2 2 27 8 5" xfId="24066"/>
    <cellStyle name="Note 2 2 2 27 9" xfId="24067"/>
    <cellStyle name="Note 2 2 2 27 9 2" xfId="24068"/>
    <cellStyle name="Note 2 2 2 27 9 2 2" xfId="24069"/>
    <cellStyle name="Note 2 2 2 27 9 3" xfId="24070"/>
    <cellStyle name="Note 2 2 2 27 9 3 2" xfId="24071"/>
    <cellStyle name="Note 2 2 2 27 9 4" xfId="24072"/>
    <cellStyle name="Note 2 2 2 27 9 4 2" xfId="24073"/>
    <cellStyle name="Note 2 2 2 27 9 5" xfId="24074"/>
    <cellStyle name="Note 2 2 2 28" xfId="24075"/>
    <cellStyle name="Note 2 2 2 28 10" xfId="24076"/>
    <cellStyle name="Note 2 2 2 28 10 2" xfId="24077"/>
    <cellStyle name="Note 2 2 2 28 10 2 2" xfId="24078"/>
    <cellStyle name="Note 2 2 2 28 10 3" xfId="24079"/>
    <cellStyle name="Note 2 2 2 28 10 3 2" xfId="24080"/>
    <cellStyle name="Note 2 2 2 28 10 4" xfId="24081"/>
    <cellStyle name="Note 2 2 2 28 10 4 2" xfId="24082"/>
    <cellStyle name="Note 2 2 2 28 10 5" xfId="24083"/>
    <cellStyle name="Note 2 2 2 28 11" xfId="24084"/>
    <cellStyle name="Note 2 2 2 28 11 2" xfId="24085"/>
    <cellStyle name="Note 2 2 2 28 11 2 2" xfId="24086"/>
    <cellStyle name="Note 2 2 2 28 11 3" xfId="24087"/>
    <cellStyle name="Note 2 2 2 28 11 3 2" xfId="24088"/>
    <cellStyle name="Note 2 2 2 28 11 4" xfId="24089"/>
    <cellStyle name="Note 2 2 2 28 11 4 2" xfId="24090"/>
    <cellStyle name="Note 2 2 2 28 11 5" xfId="24091"/>
    <cellStyle name="Note 2 2 2 28 12" xfId="24092"/>
    <cellStyle name="Note 2 2 2 28 12 2" xfId="24093"/>
    <cellStyle name="Note 2 2 2 28 12 2 2" xfId="24094"/>
    <cellStyle name="Note 2 2 2 28 12 3" xfId="24095"/>
    <cellStyle name="Note 2 2 2 28 12 3 2" xfId="24096"/>
    <cellStyle name="Note 2 2 2 28 12 4" xfId="24097"/>
    <cellStyle name="Note 2 2 2 28 12 4 2" xfId="24098"/>
    <cellStyle name="Note 2 2 2 28 12 5" xfId="24099"/>
    <cellStyle name="Note 2 2 2 28 13" xfId="24100"/>
    <cellStyle name="Note 2 2 2 28 13 2" xfId="24101"/>
    <cellStyle name="Note 2 2 2 28 13 2 2" xfId="24102"/>
    <cellStyle name="Note 2 2 2 28 13 3" xfId="24103"/>
    <cellStyle name="Note 2 2 2 28 13 3 2" xfId="24104"/>
    <cellStyle name="Note 2 2 2 28 13 4" xfId="24105"/>
    <cellStyle name="Note 2 2 2 28 13 4 2" xfId="24106"/>
    <cellStyle name="Note 2 2 2 28 13 5" xfId="24107"/>
    <cellStyle name="Note 2 2 2 28 14" xfId="24108"/>
    <cellStyle name="Note 2 2 2 28 14 2" xfId="24109"/>
    <cellStyle name="Note 2 2 2 28 14 2 2" xfId="24110"/>
    <cellStyle name="Note 2 2 2 28 14 3" xfId="24111"/>
    <cellStyle name="Note 2 2 2 28 14 3 2" xfId="24112"/>
    <cellStyle name="Note 2 2 2 28 14 4" xfId="24113"/>
    <cellStyle name="Note 2 2 2 28 14 4 2" xfId="24114"/>
    <cellStyle name="Note 2 2 2 28 14 5" xfId="24115"/>
    <cellStyle name="Note 2 2 2 28 15" xfId="24116"/>
    <cellStyle name="Note 2 2 2 28 15 2" xfId="24117"/>
    <cellStyle name="Note 2 2 2 28 16" xfId="24118"/>
    <cellStyle name="Note 2 2 2 28 16 2" xfId="24119"/>
    <cellStyle name="Note 2 2 2 28 17" xfId="24120"/>
    <cellStyle name="Note 2 2 2 28 17 2" xfId="24121"/>
    <cellStyle name="Note 2 2 2 28 18" xfId="24122"/>
    <cellStyle name="Note 2 2 2 28 18 2" xfId="24123"/>
    <cellStyle name="Note 2 2 2 28 19" xfId="24124"/>
    <cellStyle name="Note 2 2 2 28 19 2" xfId="24125"/>
    <cellStyle name="Note 2 2 2 28 2" xfId="24126"/>
    <cellStyle name="Note 2 2 2 28 2 10" xfId="24127"/>
    <cellStyle name="Note 2 2 2 28 2 10 2" xfId="24128"/>
    <cellStyle name="Note 2 2 2 28 2 11" xfId="24129"/>
    <cellStyle name="Note 2 2 2 28 2 11 2" xfId="24130"/>
    <cellStyle name="Note 2 2 2 28 2 12" xfId="24131"/>
    <cellStyle name="Note 2 2 2 28 2 12 2" xfId="24132"/>
    <cellStyle name="Note 2 2 2 28 2 13" xfId="24133"/>
    <cellStyle name="Note 2 2 2 28 2 13 2" xfId="24134"/>
    <cellStyle name="Note 2 2 2 28 2 14" xfId="24135"/>
    <cellStyle name="Note 2 2 2 28 2 14 2" xfId="24136"/>
    <cellStyle name="Note 2 2 2 28 2 15" xfId="24137"/>
    <cellStyle name="Note 2 2 2 28 2 15 2" xfId="24138"/>
    <cellStyle name="Note 2 2 2 28 2 16" xfId="24139"/>
    <cellStyle name="Note 2 2 2 28 2 16 2" xfId="24140"/>
    <cellStyle name="Note 2 2 2 28 2 17" xfId="24141"/>
    <cellStyle name="Note 2 2 2 28 2 17 2" xfId="24142"/>
    <cellStyle name="Note 2 2 2 28 2 18" xfId="24143"/>
    <cellStyle name="Note 2 2 2 28 2 18 2" xfId="24144"/>
    <cellStyle name="Note 2 2 2 28 2 19" xfId="24145"/>
    <cellStyle name="Note 2 2 2 28 2 19 2" xfId="24146"/>
    <cellStyle name="Note 2 2 2 28 2 2" xfId="24147"/>
    <cellStyle name="Note 2 2 2 28 2 2 2" xfId="24148"/>
    <cellStyle name="Note 2 2 2 28 2 2 3" xfId="24149"/>
    <cellStyle name="Note 2 2 2 28 2 20" xfId="24150"/>
    <cellStyle name="Note 2 2 2 28 2 20 2" xfId="24151"/>
    <cellStyle name="Note 2 2 2 28 2 21" xfId="24152"/>
    <cellStyle name="Note 2 2 2 28 2 21 2" xfId="24153"/>
    <cellStyle name="Note 2 2 2 28 2 22" xfId="24154"/>
    <cellStyle name="Note 2 2 2 28 2 22 2" xfId="24155"/>
    <cellStyle name="Note 2 2 2 28 2 23" xfId="24156"/>
    <cellStyle name="Note 2 2 2 28 2 23 2" xfId="24157"/>
    <cellStyle name="Note 2 2 2 28 2 24" xfId="24158"/>
    <cellStyle name="Note 2 2 2 28 2 24 2" xfId="24159"/>
    <cellStyle name="Note 2 2 2 28 2 25" xfId="24160"/>
    <cellStyle name="Note 2 2 2 28 2 25 2" xfId="24161"/>
    <cellStyle name="Note 2 2 2 28 2 26" xfId="24162"/>
    <cellStyle name="Note 2 2 2 28 2 26 2" xfId="24163"/>
    <cellStyle name="Note 2 2 2 28 2 27" xfId="24164"/>
    <cellStyle name="Note 2 2 2 28 2 27 2" xfId="24165"/>
    <cellStyle name="Note 2 2 2 28 2 28" xfId="24166"/>
    <cellStyle name="Note 2 2 2 28 2 28 2" xfId="24167"/>
    <cellStyle name="Note 2 2 2 28 2 29" xfId="24168"/>
    <cellStyle name="Note 2 2 2 28 2 29 2" xfId="24169"/>
    <cellStyle name="Note 2 2 2 28 2 3" xfId="24170"/>
    <cellStyle name="Note 2 2 2 28 2 3 2" xfId="24171"/>
    <cellStyle name="Note 2 2 2 28 2 3 3" xfId="24172"/>
    <cellStyle name="Note 2 2 2 28 2 30" xfId="24173"/>
    <cellStyle name="Note 2 2 2 28 2 30 2" xfId="24174"/>
    <cellStyle name="Note 2 2 2 28 2 31" xfId="24175"/>
    <cellStyle name="Note 2 2 2 28 2 4" xfId="24176"/>
    <cellStyle name="Note 2 2 2 28 2 4 2" xfId="24177"/>
    <cellStyle name="Note 2 2 2 28 2 5" xfId="24178"/>
    <cellStyle name="Note 2 2 2 28 2 5 2" xfId="24179"/>
    <cellStyle name="Note 2 2 2 28 2 6" xfId="24180"/>
    <cellStyle name="Note 2 2 2 28 2 6 2" xfId="24181"/>
    <cellStyle name="Note 2 2 2 28 2 7" xfId="24182"/>
    <cellStyle name="Note 2 2 2 28 2 7 2" xfId="24183"/>
    <cellStyle name="Note 2 2 2 28 2 8" xfId="24184"/>
    <cellStyle name="Note 2 2 2 28 2 8 2" xfId="24185"/>
    <cellStyle name="Note 2 2 2 28 2 9" xfId="24186"/>
    <cellStyle name="Note 2 2 2 28 2 9 2" xfId="24187"/>
    <cellStyle name="Note 2 2 2 28 20" xfId="24188"/>
    <cellStyle name="Note 2 2 2 28 20 2" xfId="24189"/>
    <cellStyle name="Note 2 2 2 28 21" xfId="24190"/>
    <cellStyle name="Note 2 2 2 28 21 2" xfId="24191"/>
    <cellStyle name="Note 2 2 2 28 22" xfId="24192"/>
    <cellStyle name="Note 2 2 2 28 22 2" xfId="24193"/>
    <cellStyle name="Note 2 2 2 28 23" xfId="24194"/>
    <cellStyle name="Note 2 2 2 28 23 2" xfId="24195"/>
    <cellStyle name="Note 2 2 2 28 24" xfId="24196"/>
    <cellStyle name="Note 2 2 2 28 24 2" xfId="24197"/>
    <cellStyle name="Note 2 2 2 28 25" xfId="24198"/>
    <cellStyle name="Note 2 2 2 28 25 2" xfId="24199"/>
    <cellStyle name="Note 2 2 2 28 26" xfId="24200"/>
    <cellStyle name="Note 2 2 2 28 26 2" xfId="24201"/>
    <cellStyle name="Note 2 2 2 28 27" xfId="24202"/>
    <cellStyle name="Note 2 2 2 28 27 2" xfId="24203"/>
    <cellStyle name="Note 2 2 2 28 28" xfId="24204"/>
    <cellStyle name="Note 2 2 2 28 28 2" xfId="24205"/>
    <cellStyle name="Note 2 2 2 28 29" xfId="24206"/>
    <cellStyle name="Note 2 2 2 28 29 2" xfId="24207"/>
    <cellStyle name="Note 2 2 2 28 3" xfId="24208"/>
    <cellStyle name="Note 2 2 2 28 3 2" xfId="24209"/>
    <cellStyle name="Note 2 2 2 28 3 2 2" xfId="24210"/>
    <cellStyle name="Note 2 2 2 28 3 3" xfId="24211"/>
    <cellStyle name="Note 2 2 2 28 3 3 2" xfId="24212"/>
    <cellStyle name="Note 2 2 2 28 3 4" xfId="24213"/>
    <cellStyle name="Note 2 2 2 28 3 4 2" xfId="24214"/>
    <cellStyle name="Note 2 2 2 28 3 5" xfId="24215"/>
    <cellStyle name="Note 2 2 2 28 30" xfId="24216"/>
    <cellStyle name="Note 2 2 2 28 30 2" xfId="24217"/>
    <cellStyle name="Note 2 2 2 28 31" xfId="24218"/>
    <cellStyle name="Note 2 2 2 28 31 2" xfId="24219"/>
    <cellStyle name="Note 2 2 2 28 32" xfId="24220"/>
    <cellStyle name="Note 2 2 2 28 32 2" xfId="24221"/>
    <cellStyle name="Note 2 2 2 28 33" xfId="24222"/>
    <cellStyle name="Note 2 2 2 28 33 2" xfId="24223"/>
    <cellStyle name="Note 2 2 2 28 34" xfId="24224"/>
    <cellStyle name="Note 2 2 2 28 34 2" xfId="24225"/>
    <cellStyle name="Note 2 2 2 28 35" xfId="24226"/>
    <cellStyle name="Note 2 2 2 28 35 2" xfId="24227"/>
    <cellStyle name="Note 2 2 2 28 36" xfId="24228"/>
    <cellStyle name="Note 2 2 2 28 36 2" xfId="24229"/>
    <cellStyle name="Note 2 2 2 28 37" xfId="24230"/>
    <cellStyle name="Note 2 2 2 28 37 2" xfId="24231"/>
    <cellStyle name="Note 2 2 2 28 38" xfId="24232"/>
    <cellStyle name="Note 2 2 2 28 38 2" xfId="24233"/>
    <cellStyle name="Note 2 2 2 28 39" xfId="24234"/>
    <cellStyle name="Note 2 2 2 28 39 2" xfId="24235"/>
    <cellStyle name="Note 2 2 2 28 4" xfId="24236"/>
    <cellStyle name="Note 2 2 2 28 4 2" xfId="24237"/>
    <cellStyle name="Note 2 2 2 28 4 2 2" xfId="24238"/>
    <cellStyle name="Note 2 2 2 28 4 3" xfId="24239"/>
    <cellStyle name="Note 2 2 2 28 4 3 2" xfId="24240"/>
    <cellStyle name="Note 2 2 2 28 4 4" xfId="24241"/>
    <cellStyle name="Note 2 2 2 28 4 4 2" xfId="24242"/>
    <cellStyle name="Note 2 2 2 28 4 5" xfId="24243"/>
    <cellStyle name="Note 2 2 2 28 40" xfId="24244"/>
    <cellStyle name="Note 2 2 2 28 40 2" xfId="24245"/>
    <cellStyle name="Note 2 2 2 28 41" xfId="24246"/>
    <cellStyle name="Note 2 2 2 28 41 2" xfId="24247"/>
    <cellStyle name="Note 2 2 2 28 42" xfId="24248"/>
    <cellStyle name="Note 2 2 2 28 42 2" xfId="24249"/>
    <cellStyle name="Note 2 2 2 28 43" xfId="24250"/>
    <cellStyle name="Note 2 2 2 28 43 2" xfId="24251"/>
    <cellStyle name="Note 2 2 2 28 44" xfId="24252"/>
    <cellStyle name="Note 2 2 2 28 44 2" xfId="24253"/>
    <cellStyle name="Note 2 2 2 28 45" xfId="24254"/>
    <cellStyle name="Note 2 2 2 28 45 2" xfId="24255"/>
    <cellStyle name="Note 2 2 2 28 46" xfId="24256"/>
    <cellStyle name="Note 2 2 2 28 46 2" xfId="24257"/>
    <cellStyle name="Note 2 2 2 28 47" xfId="24258"/>
    <cellStyle name="Note 2 2 2 28 47 2" xfId="24259"/>
    <cellStyle name="Note 2 2 2 28 48" xfId="24260"/>
    <cellStyle name="Note 2 2 2 28 48 2" xfId="24261"/>
    <cellStyle name="Note 2 2 2 28 49" xfId="24262"/>
    <cellStyle name="Note 2 2 2 28 49 2" xfId="24263"/>
    <cellStyle name="Note 2 2 2 28 5" xfId="24264"/>
    <cellStyle name="Note 2 2 2 28 5 2" xfId="24265"/>
    <cellStyle name="Note 2 2 2 28 5 2 2" xfId="24266"/>
    <cellStyle name="Note 2 2 2 28 5 3" xfId="24267"/>
    <cellStyle name="Note 2 2 2 28 5 3 2" xfId="24268"/>
    <cellStyle name="Note 2 2 2 28 5 4" xfId="24269"/>
    <cellStyle name="Note 2 2 2 28 5 4 2" xfId="24270"/>
    <cellStyle name="Note 2 2 2 28 5 5" xfId="24271"/>
    <cellStyle name="Note 2 2 2 28 50" xfId="24272"/>
    <cellStyle name="Note 2 2 2 28 50 2" xfId="24273"/>
    <cellStyle name="Note 2 2 2 28 51" xfId="24274"/>
    <cellStyle name="Note 2 2 2 28 51 2" xfId="24275"/>
    <cellStyle name="Note 2 2 2 28 52" xfId="24276"/>
    <cellStyle name="Note 2 2 2 28 52 2" xfId="24277"/>
    <cellStyle name="Note 2 2 2 28 53" xfId="24278"/>
    <cellStyle name="Note 2 2 2 28 53 2" xfId="24279"/>
    <cellStyle name="Note 2 2 2 28 54" xfId="24280"/>
    <cellStyle name="Note 2 2 2 28 54 2" xfId="24281"/>
    <cellStyle name="Note 2 2 2 28 55" xfId="24282"/>
    <cellStyle name="Note 2 2 2 28 55 2" xfId="24283"/>
    <cellStyle name="Note 2 2 2 28 56" xfId="24284"/>
    <cellStyle name="Note 2 2 2 28 56 2" xfId="24285"/>
    <cellStyle name="Note 2 2 2 28 57" xfId="24286"/>
    <cellStyle name="Note 2 2 2 28 57 2" xfId="24287"/>
    <cellStyle name="Note 2 2 2 28 58" xfId="24288"/>
    <cellStyle name="Note 2 2 2 28 58 2" xfId="24289"/>
    <cellStyle name="Note 2 2 2 28 59" xfId="24290"/>
    <cellStyle name="Note 2 2 2 28 59 2" xfId="24291"/>
    <cellStyle name="Note 2 2 2 28 6" xfId="24292"/>
    <cellStyle name="Note 2 2 2 28 6 2" xfId="24293"/>
    <cellStyle name="Note 2 2 2 28 6 2 2" xfId="24294"/>
    <cellStyle name="Note 2 2 2 28 6 3" xfId="24295"/>
    <cellStyle name="Note 2 2 2 28 6 3 2" xfId="24296"/>
    <cellStyle name="Note 2 2 2 28 6 4" xfId="24297"/>
    <cellStyle name="Note 2 2 2 28 6 4 2" xfId="24298"/>
    <cellStyle name="Note 2 2 2 28 6 5" xfId="24299"/>
    <cellStyle name="Note 2 2 2 28 60" xfId="24300"/>
    <cellStyle name="Note 2 2 2 28 60 2" xfId="24301"/>
    <cellStyle name="Note 2 2 2 28 61" xfId="24302"/>
    <cellStyle name="Note 2 2 2 28 61 2" xfId="24303"/>
    <cellStyle name="Note 2 2 2 28 62" xfId="24304"/>
    <cellStyle name="Note 2 2 2 28 7" xfId="24305"/>
    <cellStyle name="Note 2 2 2 28 7 2" xfId="24306"/>
    <cellStyle name="Note 2 2 2 28 7 2 2" xfId="24307"/>
    <cellStyle name="Note 2 2 2 28 7 3" xfId="24308"/>
    <cellStyle name="Note 2 2 2 28 7 3 2" xfId="24309"/>
    <cellStyle name="Note 2 2 2 28 7 4" xfId="24310"/>
    <cellStyle name="Note 2 2 2 28 7 4 2" xfId="24311"/>
    <cellStyle name="Note 2 2 2 28 7 5" xfId="24312"/>
    <cellStyle name="Note 2 2 2 28 8" xfId="24313"/>
    <cellStyle name="Note 2 2 2 28 8 2" xfId="24314"/>
    <cellStyle name="Note 2 2 2 28 8 2 2" xfId="24315"/>
    <cellStyle name="Note 2 2 2 28 8 3" xfId="24316"/>
    <cellStyle name="Note 2 2 2 28 8 3 2" xfId="24317"/>
    <cellStyle name="Note 2 2 2 28 8 4" xfId="24318"/>
    <cellStyle name="Note 2 2 2 28 8 4 2" xfId="24319"/>
    <cellStyle name="Note 2 2 2 28 8 5" xfId="24320"/>
    <cellStyle name="Note 2 2 2 28 9" xfId="24321"/>
    <cellStyle name="Note 2 2 2 28 9 2" xfId="24322"/>
    <cellStyle name="Note 2 2 2 28 9 2 2" xfId="24323"/>
    <cellStyle name="Note 2 2 2 28 9 3" xfId="24324"/>
    <cellStyle name="Note 2 2 2 28 9 3 2" xfId="24325"/>
    <cellStyle name="Note 2 2 2 28 9 4" xfId="24326"/>
    <cellStyle name="Note 2 2 2 28 9 4 2" xfId="24327"/>
    <cellStyle name="Note 2 2 2 28 9 5" xfId="24328"/>
    <cellStyle name="Note 2 2 2 29" xfId="24329"/>
    <cellStyle name="Note 2 2 2 29 10" xfId="24330"/>
    <cellStyle name="Note 2 2 2 29 10 2" xfId="24331"/>
    <cellStyle name="Note 2 2 2 29 10 2 2" xfId="24332"/>
    <cellStyle name="Note 2 2 2 29 10 3" xfId="24333"/>
    <cellStyle name="Note 2 2 2 29 10 3 2" xfId="24334"/>
    <cellStyle name="Note 2 2 2 29 10 4" xfId="24335"/>
    <cellStyle name="Note 2 2 2 29 10 4 2" xfId="24336"/>
    <cellStyle name="Note 2 2 2 29 10 5" xfId="24337"/>
    <cellStyle name="Note 2 2 2 29 11" xfId="24338"/>
    <cellStyle name="Note 2 2 2 29 11 2" xfId="24339"/>
    <cellStyle name="Note 2 2 2 29 11 2 2" xfId="24340"/>
    <cellStyle name="Note 2 2 2 29 11 3" xfId="24341"/>
    <cellStyle name="Note 2 2 2 29 11 3 2" xfId="24342"/>
    <cellStyle name="Note 2 2 2 29 11 4" xfId="24343"/>
    <cellStyle name="Note 2 2 2 29 11 4 2" xfId="24344"/>
    <cellStyle name="Note 2 2 2 29 11 5" xfId="24345"/>
    <cellStyle name="Note 2 2 2 29 12" xfId="24346"/>
    <cellStyle name="Note 2 2 2 29 12 2" xfId="24347"/>
    <cellStyle name="Note 2 2 2 29 12 2 2" xfId="24348"/>
    <cellStyle name="Note 2 2 2 29 12 3" xfId="24349"/>
    <cellStyle name="Note 2 2 2 29 12 3 2" xfId="24350"/>
    <cellStyle name="Note 2 2 2 29 12 4" xfId="24351"/>
    <cellStyle name="Note 2 2 2 29 12 4 2" xfId="24352"/>
    <cellStyle name="Note 2 2 2 29 12 5" xfId="24353"/>
    <cellStyle name="Note 2 2 2 29 13" xfId="24354"/>
    <cellStyle name="Note 2 2 2 29 13 2" xfId="24355"/>
    <cellStyle name="Note 2 2 2 29 13 2 2" xfId="24356"/>
    <cellStyle name="Note 2 2 2 29 13 3" xfId="24357"/>
    <cellStyle name="Note 2 2 2 29 13 3 2" xfId="24358"/>
    <cellStyle name="Note 2 2 2 29 13 4" xfId="24359"/>
    <cellStyle name="Note 2 2 2 29 13 4 2" xfId="24360"/>
    <cellStyle name="Note 2 2 2 29 13 5" xfId="24361"/>
    <cellStyle name="Note 2 2 2 29 14" xfId="24362"/>
    <cellStyle name="Note 2 2 2 29 14 2" xfId="24363"/>
    <cellStyle name="Note 2 2 2 29 14 2 2" xfId="24364"/>
    <cellStyle name="Note 2 2 2 29 14 3" xfId="24365"/>
    <cellStyle name="Note 2 2 2 29 14 3 2" xfId="24366"/>
    <cellStyle name="Note 2 2 2 29 14 4" xfId="24367"/>
    <cellStyle name="Note 2 2 2 29 14 4 2" xfId="24368"/>
    <cellStyle name="Note 2 2 2 29 14 5" xfId="24369"/>
    <cellStyle name="Note 2 2 2 29 15" xfId="24370"/>
    <cellStyle name="Note 2 2 2 29 15 2" xfId="24371"/>
    <cellStyle name="Note 2 2 2 29 16" xfId="24372"/>
    <cellStyle name="Note 2 2 2 29 16 2" xfId="24373"/>
    <cellStyle name="Note 2 2 2 29 17" xfId="24374"/>
    <cellStyle name="Note 2 2 2 29 17 2" xfId="24375"/>
    <cellStyle name="Note 2 2 2 29 18" xfId="24376"/>
    <cellStyle name="Note 2 2 2 29 18 2" xfId="24377"/>
    <cellStyle name="Note 2 2 2 29 19" xfId="24378"/>
    <cellStyle name="Note 2 2 2 29 19 2" xfId="24379"/>
    <cellStyle name="Note 2 2 2 29 2" xfId="24380"/>
    <cellStyle name="Note 2 2 2 29 2 10" xfId="24381"/>
    <cellStyle name="Note 2 2 2 29 2 10 2" xfId="24382"/>
    <cellStyle name="Note 2 2 2 29 2 11" xfId="24383"/>
    <cellStyle name="Note 2 2 2 29 2 11 2" xfId="24384"/>
    <cellStyle name="Note 2 2 2 29 2 12" xfId="24385"/>
    <cellStyle name="Note 2 2 2 29 2 12 2" xfId="24386"/>
    <cellStyle name="Note 2 2 2 29 2 13" xfId="24387"/>
    <cellStyle name="Note 2 2 2 29 2 13 2" xfId="24388"/>
    <cellStyle name="Note 2 2 2 29 2 14" xfId="24389"/>
    <cellStyle name="Note 2 2 2 29 2 14 2" xfId="24390"/>
    <cellStyle name="Note 2 2 2 29 2 15" xfId="24391"/>
    <cellStyle name="Note 2 2 2 29 2 15 2" xfId="24392"/>
    <cellStyle name="Note 2 2 2 29 2 16" xfId="24393"/>
    <cellStyle name="Note 2 2 2 29 2 16 2" xfId="24394"/>
    <cellStyle name="Note 2 2 2 29 2 17" xfId="24395"/>
    <cellStyle name="Note 2 2 2 29 2 17 2" xfId="24396"/>
    <cellStyle name="Note 2 2 2 29 2 18" xfId="24397"/>
    <cellStyle name="Note 2 2 2 29 2 18 2" xfId="24398"/>
    <cellStyle name="Note 2 2 2 29 2 19" xfId="24399"/>
    <cellStyle name="Note 2 2 2 29 2 19 2" xfId="24400"/>
    <cellStyle name="Note 2 2 2 29 2 2" xfId="24401"/>
    <cellStyle name="Note 2 2 2 29 2 2 2" xfId="24402"/>
    <cellStyle name="Note 2 2 2 29 2 2 3" xfId="24403"/>
    <cellStyle name="Note 2 2 2 29 2 20" xfId="24404"/>
    <cellStyle name="Note 2 2 2 29 2 20 2" xfId="24405"/>
    <cellStyle name="Note 2 2 2 29 2 21" xfId="24406"/>
    <cellStyle name="Note 2 2 2 29 2 21 2" xfId="24407"/>
    <cellStyle name="Note 2 2 2 29 2 22" xfId="24408"/>
    <cellStyle name="Note 2 2 2 29 2 22 2" xfId="24409"/>
    <cellStyle name="Note 2 2 2 29 2 23" xfId="24410"/>
    <cellStyle name="Note 2 2 2 29 2 23 2" xfId="24411"/>
    <cellStyle name="Note 2 2 2 29 2 24" xfId="24412"/>
    <cellStyle name="Note 2 2 2 29 2 24 2" xfId="24413"/>
    <cellStyle name="Note 2 2 2 29 2 25" xfId="24414"/>
    <cellStyle name="Note 2 2 2 29 2 25 2" xfId="24415"/>
    <cellStyle name="Note 2 2 2 29 2 26" xfId="24416"/>
    <cellStyle name="Note 2 2 2 29 2 26 2" xfId="24417"/>
    <cellStyle name="Note 2 2 2 29 2 27" xfId="24418"/>
    <cellStyle name="Note 2 2 2 29 2 27 2" xfId="24419"/>
    <cellStyle name="Note 2 2 2 29 2 28" xfId="24420"/>
    <cellStyle name="Note 2 2 2 29 2 28 2" xfId="24421"/>
    <cellStyle name="Note 2 2 2 29 2 29" xfId="24422"/>
    <cellStyle name="Note 2 2 2 29 2 29 2" xfId="24423"/>
    <cellStyle name="Note 2 2 2 29 2 3" xfId="24424"/>
    <cellStyle name="Note 2 2 2 29 2 3 2" xfId="24425"/>
    <cellStyle name="Note 2 2 2 29 2 3 3" xfId="24426"/>
    <cellStyle name="Note 2 2 2 29 2 30" xfId="24427"/>
    <cellStyle name="Note 2 2 2 29 2 30 2" xfId="24428"/>
    <cellStyle name="Note 2 2 2 29 2 31" xfId="24429"/>
    <cellStyle name="Note 2 2 2 29 2 4" xfId="24430"/>
    <cellStyle name="Note 2 2 2 29 2 4 2" xfId="24431"/>
    <cellStyle name="Note 2 2 2 29 2 5" xfId="24432"/>
    <cellStyle name="Note 2 2 2 29 2 5 2" xfId="24433"/>
    <cellStyle name="Note 2 2 2 29 2 6" xfId="24434"/>
    <cellStyle name="Note 2 2 2 29 2 6 2" xfId="24435"/>
    <cellStyle name="Note 2 2 2 29 2 7" xfId="24436"/>
    <cellStyle name="Note 2 2 2 29 2 7 2" xfId="24437"/>
    <cellStyle name="Note 2 2 2 29 2 8" xfId="24438"/>
    <cellStyle name="Note 2 2 2 29 2 8 2" xfId="24439"/>
    <cellStyle name="Note 2 2 2 29 2 9" xfId="24440"/>
    <cellStyle name="Note 2 2 2 29 2 9 2" xfId="24441"/>
    <cellStyle name="Note 2 2 2 29 20" xfId="24442"/>
    <cellStyle name="Note 2 2 2 29 20 2" xfId="24443"/>
    <cellStyle name="Note 2 2 2 29 21" xfId="24444"/>
    <cellStyle name="Note 2 2 2 29 21 2" xfId="24445"/>
    <cellStyle name="Note 2 2 2 29 22" xfId="24446"/>
    <cellStyle name="Note 2 2 2 29 22 2" xfId="24447"/>
    <cellStyle name="Note 2 2 2 29 23" xfId="24448"/>
    <cellStyle name="Note 2 2 2 29 23 2" xfId="24449"/>
    <cellStyle name="Note 2 2 2 29 24" xfId="24450"/>
    <cellStyle name="Note 2 2 2 29 24 2" xfId="24451"/>
    <cellStyle name="Note 2 2 2 29 25" xfId="24452"/>
    <cellStyle name="Note 2 2 2 29 25 2" xfId="24453"/>
    <cellStyle name="Note 2 2 2 29 26" xfId="24454"/>
    <cellStyle name="Note 2 2 2 29 26 2" xfId="24455"/>
    <cellStyle name="Note 2 2 2 29 27" xfId="24456"/>
    <cellStyle name="Note 2 2 2 29 27 2" xfId="24457"/>
    <cellStyle name="Note 2 2 2 29 28" xfId="24458"/>
    <cellStyle name="Note 2 2 2 29 28 2" xfId="24459"/>
    <cellStyle name="Note 2 2 2 29 29" xfId="24460"/>
    <cellStyle name="Note 2 2 2 29 29 2" xfId="24461"/>
    <cellStyle name="Note 2 2 2 29 3" xfId="24462"/>
    <cellStyle name="Note 2 2 2 29 3 2" xfId="24463"/>
    <cellStyle name="Note 2 2 2 29 3 2 2" xfId="24464"/>
    <cellStyle name="Note 2 2 2 29 3 3" xfId="24465"/>
    <cellStyle name="Note 2 2 2 29 3 3 2" xfId="24466"/>
    <cellStyle name="Note 2 2 2 29 3 4" xfId="24467"/>
    <cellStyle name="Note 2 2 2 29 3 4 2" xfId="24468"/>
    <cellStyle name="Note 2 2 2 29 3 5" xfId="24469"/>
    <cellStyle name="Note 2 2 2 29 30" xfId="24470"/>
    <cellStyle name="Note 2 2 2 29 30 2" xfId="24471"/>
    <cellStyle name="Note 2 2 2 29 31" xfId="24472"/>
    <cellStyle name="Note 2 2 2 29 31 2" xfId="24473"/>
    <cellStyle name="Note 2 2 2 29 32" xfId="24474"/>
    <cellStyle name="Note 2 2 2 29 32 2" xfId="24475"/>
    <cellStyle name="Note 2 2 2 29 33" xfId="24476"/>
    <cellStyle name="Note 2 2 2 29 33 2" xfId="24477"/>
    <cellStyle name="Note 2 2 2 29 34" xfId="24478"/>
    <cellStyle name="Note 2 2 2 29 34 2" xfId="24479"/>
    <cellStyle name="Note 2 2 2 29 35" xfId="24480"/>
    <cellStyle name="Note 2 2 2 29 35 2" xfId="24481"/>
    <cellStyle name="Note 2 2 2 29 36" xfId="24482"/>
    <cellStyle name="Note 2 2 2 29 36 2" xfId="24483"/>
    <cellStyle name="Note 2 2 2 29 37" xfId="24484"/>
    <cellStyle name="Note 2 2 2 29 37 2" xfId="24485"/>
    <cellStyle name="Note 2 2 2 29 38" xfId="24486"/>
    <cellStyle name="Note 2 2 2 29 38 2" xfId="24487"/>
    <cellStyle name="Note 2 2 2 29 39" xfId="24488"/>
    <cellStyle name="Note 2 2 2 29 39 2" xfId="24489"/>
    <cellStyle name="Note 2 2 2 29 4" xfId="24490"/>
    <cellStyle name="Note 2 2 2 29 4 2" xfId="24491"/>
    <cellStyle name="Note 2 2 2 29 4 2 2" xfId="24492"/>
    <cellStyle name="Note 2 2 2 29 4 3" xfId="24493"/>
    <cellStyle name="Note 2 2 2 29 4 3 2" xfId="24494"/>
    <cellStyle name="Note 2 2 2 29 4 4" xfId="24495"/>
    <cellStyle name="Note 2 2 2 29 4 4 2" xfId="24496"/>
    <cellStyle name="Note 2 2 2 29 4 5" xfId="24497"/>
    <cellStyle name="Note 2 2 2 29 40" xfId="24498"/>
    <cellStyle name="Note 2 2 2 29 40 2" xfId="24499"/>
    <cellStyle name="Note 2 2 2 29 41" xfId="24500"/>
    <cellStyle name="Note 2 2 2 29 41 2" xfId="24501"/>
    <cellStyle name="Note 2 2 2 29 42" xfId="24502"/>
    <cellStyle name="Note 2 2 2 29 42 2" xfId="24503"/>
    <cellStyle name="Note 2 2 2 29 43" xfId="24504"/>
    <cellStyle name="Note 2 2 2 29 43 2" xfId="24505"/>
    <cellStyle name="Note 2 2 2 29 44" xfId="24506"/>
    <cellStyle name="Note 2 2 2 29 44 2" xfId="24507"/>
    <cellStyle name="Note 2 2 2 29 45" xfId="24508"/>
    <cellStyle name="Note 2 2 2 29 45 2" xfId="24509"/>
    <cellStyle name="Note 2 2 2 29 46" xfId="24510"/>
    <cellStyle name="Note 2 2 2 29 46 2" xfId="24511"/>
    <cellStyle name="Note 2 2 2 29 47" xfId="24512"/>
    <cellStyle name="Note 2 2 2 29 47 2" xfId="24513"/>
    <cellStyle name="Note 2 2 2 29 48" xfId="24514"/>
    <cellStyle name="Note 2 2 2 29 48 2" xfId="24515"/>
    <cellStyle name="Note 2 2 2 29 49" xfId="24516"/>
    <cellStyle name="Note 2 2 2 29 49 2" xfId="24517"/>
    <cellStyle name="Note 2 2 2 29 5" xfId="24518"/>
    <cellStyle name="Note 2 2 2 29 5 2" xfId="24519"/>
    <cellStyle name="Note 2 2 2 29 5 2 2" xfId="24520"/>
    <cellStyle name="Note 2 2 2 29 5 3" xfId="24521"/>
    <cellStyle name="Note 2 2 2 29 5 3 2" xfId="24522"/>
    <cellStyle name="Note 2 2 2 29 5 4" xfId="24523"/>
    <cellStyle name="Note 2 2 2 29 5 4 2" xfId="24524"/>
    <cellStyle name="Note 2 2 2 29 5 5" xfId="24525"/>
    <cellStyle name="Note 2 2 2 29 50" xfId="24526"/>
    <cellStyle name="Note 2 2 2 29 50 2" xfId="24527"/>
    <cellStyle name="Note 2 2 2 29 51" xfId="24528"/>
    <cellStyle name="Note 2 2 2 29 51 2" xfId="24529"/>
    <cellStyle name="Note 2 2 2 29 52" xfId="24530"/>
    <cellStyle name="Note 2 2 2 29 52 2" xfId="24531"/>
    <cellStyle name="Note 2 2 2 29 53" xfId="24532"/>
    <cellStyle name="Note 2 2 2 29 53 2" xfId="24533"/>
    <cellStyle name="Note 2 2 2 29 54" xfId="24534"/>
    <cellStyle name="Note 2 2 2 29 54 2" xfId="24535"/>
    <cellStyle name="Note 2 2 2 29 55" xfId="24536"/>
    <cellStyle name="Note 2 2 2 29 55 2" xfId="24537"/>
    <cellStyle name="Note 2 2 2 29 56" xfId="24538"/>
    <cellStyle name="Note 2 2 2 29 56 2" xfId="24539"/>
    <cellStyle name="Note 2 2 2 29 57" xfId="24540"/>
    <cellStyle name="Note 2 2 2 29 57 2" xfId="24541"/>
    <cellStyle name="Note 2 2 2 29 58" xfId="24542"/>
    <cellStyle name="Note 2 2 2 29 58 2" xfId="24543"/>
    <cellStyle name="Note 2 2 2 29 59" xfId="24544"/>
    <cellStyle name="Note 2 2 2 29 59 2" xfId="24545"/>
    <cellStyle name="Note 2 2 2 29 6" xfId="24546"/>
    <cellStyle name="Note 2 2 2 29 6 2" xfId="24547"/>
    <cellStyle name="Note 2 2 2 29 6 2 2" xfId="24548"/>
    <cellStyle name="Note 2 2 2 29 6 3" xfId="24549"/>
    <cellStyle name="Note 2 2 2 29 6 3 2" xfId="24550"/>
    <cellStyle name="Note 2 2 2 29 6 4" xfId="24551"/>
    <cellStyle name="Note 2 2 2 29 6 4 2" xfId="24552"/>
    <cellStyle name="Note 2 2 2 29 6 5" xfId="24553"/>
    <cellStyle name="Note 2 2 2 29 60" xfId="24554"/>
    <cellStyle name="Note 2 2 2 29 60 2" xfId="24555"/>
    <cellStyle name="Note 2 2 2 29 61" xfId="24556"/>
    <cellStyle name="Note 2 2 2 29 61 2" xfId="24557"/>
    <cellStyle name="Note 2 2 2 29 62" xfId="24558"/>
    <cellStyle name="Note 2 2 2 29 7" xfId="24559"/>
    <cellStyle name="Note 2 2 2 29 7 2" xfId="24560"/>
    <cellStyle name="Note 2 2 2 29 7 2 2" xfId="24561"/>
    <cellStyle name="Note 2 2 2 29 7 3" xfId="24562"/>
    <cellStyle name="Note 2 2 2 29 7 3 2" xfId="24563"/>
    <cellStyle name="Note 2 2 2 29 7 4" xfId="24564"/>
    <cellStyle name="Note 2 2 2 29 7 4 2" xfId="24565"/>
    <cellStyle name="Note 2 2 2 29 7 5" xfId="24566"/>
    <cellStyle name="Note 2 2 2 29 8" xfId="24567"/>
    <cellStyle name="Note 2 2 2 29 8 2" xfId="24568"/>
    <cellStyle name="Note 2 2 2 29 8 2 2" xfId="24569"/>
    <cellStyle name="Note 2 2 2 29 8 3" xfId="24570"/>
    <cellStyle name="Note 2 2 2 29 8 3 2" xfId="24571"/>
    <cellStyle name="Note 2 2 2 29 8 4" xfId="24572"/>
    <cellStyle name="Note 2 2 2 29 8 4 2" xfId="24573"/>
    <cellStyle name="Note 2 2 2 29 8 5" xfId="24574"/>
    <cellStyle name="Note 2 2 2 29 9" xfId="24575"/>
    <cellStyle name="Note 2 2 2 29 9 2" xfId="24576"/>
    <cellStyle name="Note 2 2 2 29 9 2 2" xfId="24577"/>
    <cellStyle name="Note 2 2 2 29 9 3" xfId="24578"/>
    <cellStyle name="Note 2 2 2 29 9 3 2" xfId="24579"/>
    <cellStyle name="Note 2 2 2 29 9 4" xfId="24580"/>
    <cellStyle name="Note 2 2 2 29 9 4 2" xfId="24581"/>
    <cellStyle name="Note 2 2 2 29 9 5" xfId="24582"/>
    <cellStyle name="Note 2 2 2 3" xfId="24583"/>
    <cellStyle name="Note 2 2 2 3 10" xfId="24584"/>
    <cellStyle name="Note 2 2 2 3 10 2" xfId="24585"/>
    <cellStyle name="Note 2 2 2 3 10 2 2" xfId="24586"/>
    <cellStyle name="Note 2 2 2 3 10 3" xfId="24587"/>
    <cellStyle name="Note 2 2 2 3 10 3 2" xfId="24588"/>
    <cellStyle name="Note 2 2 2 3 10 4" xfId="24589"/>
    <cellStyle name="Note 2 2 2 3 10 4 2" xfId="24590"/>
    <cellStyle name="Note 2 2 2 3 10 5" xfId="24591"/>
    <cellStyle name="Note 2 2 2 3 11" xfId="24592"/>
    <cellStyle name="Note 2 2 2 3 11 2" xfId="24593"/>
    <cellStyle name="Note 2 2 2 3 11 2 2" xfId="24594"/>
    <cellStyle name="Note 2 2 2 3 11 3" xfId="24595"/>
    <cellStyle name="Note 2 2 2 3 11 3 2" xfId="24596"/>
    <cellStyle name="Note 2 2 2 3 11 4" xfId="24597"/>
    <cellStyle name="Note 2 2 2 3 11 4 2" xfId="24598"/>
    <cellStyle name="Note 2 2 2 3 11 5" xfId="24599"/>
    <cellStyle name="Note 2 2 2 3 12" xfId="24600"/>
    <cellStyle name="Note 2 2 2 3 12 2" xfId="24601"/>
    <cellStyle name="Note 2 2 2 3 12 2 2" xfId="24602"/>
    <cellStyle name="Note 2 2 2 3 12 3" xfId="24603"/>
    <cellStyle name="Note 2 2 2 3 12 3 2" xfId="24604"/>
    <cellStyle name="Note 2 2 2 3 12 4" xfId="24605"/>
    <cellStyle name="Note 2 2 2 3 12 4 2" xfId="24606"/>
    <cellStyle name="Note 2 2 2 3 12 5" xfId="24607"/>
    <cellStyle name="Note 2 2 2 3 13" xfId="24608"/>
    <cellStyle name="Note 2 2 2 3 13 2" xfId="24609"/>
    <cellStyle name="Note 2 2 2 3 13 2 2" xfId="24610"/>
    <cellStyle name="Note 2 2 2 3 13 3" xfId="24611"/>
    <cellStyle name="Note 2 2 2 3 13 3 2" xfId="24612"/>
    <cellStyle name="Note 2 2 2 3 13 4" xfId="24613"/>
    <cellStyle name="Note 2 2 2 3 13 4 2" xfId="24614"/>
    <cellStyle name="Note 2 2 2 3 13 5" xfId="24615"/>
    <cellStyle name="Note 2 2 2 3 14" xfId="24616"/>
    <cellStyle name="Note 2 2 2 3 14 2" xfId="24617"/>
    <cellStyle name="Note 2 2 2 3 14 2 2" xfId="24618"/>
    <cellStyle name="Note 2 2 2 3 14 3" xfId="24619"/>
    <cellStyle name="Note 2 2 2 3 14 3 2" xfId="24620"/>
    <cellStyle name="Note 2 2 2 3 14 4" xfId="24621"/>
    <cellStyle name="Note 2 2 2 3 14 4 2" xfId="24622"/>
    <cellStyle name="Note 2 2 2 3 14 5" xfId="24623"/>
    <cellStyle name="Note 2 2 2 3 15" xfId="24624"/>
    <cellStyle name="Note 2 2 2 3 15 2" xfId="24625"/>
    <cellStyle name="Note 2 2 2 3 16" xfId="24626"/>
    <cellStyle name="Note 2 2 2 3 16 2" xfId="24627"/>
    <cellStyle name="Note 2 2 2 3 17" xfId="24628"/>
    <cellStyle name="Note 2 2 2 3 17 2" xfId="24629"/>
    <cellStyle name="Note 2 2 2 3 18" xfId="24630"/>
    <cellStyle name="Note 2 2 2 3 18 2" xfId="24631"/>
    <cellStyle name="Note 2 2 2 3 19" xfId="24632"/>
    <cellStyle name="Note 2 2 2 3 19 2" xfId="24633"/>
    <cellStyle name="Note 2 2 2 3 2" xfId="24634"/>
    <cellStyle name="Note 2 2 2 3 2 10" xfId="24635"/>
    <cellStyle name="Note 2 2 2 3 2 10 2" xfId="24636"/>
    <cellStyle name="Note 2 2 2 3 2 11" xfId="24637"/>
    <cellStyle name="Note 2 2 2 3 2 11 2" xfId="24638"/>
    <cellStyle name="Note 2 2 2 3 2 12" xfId="24639"/>
    <cellStyle name="Note 2 2 2 3 2 12 2" xfId="24640"/>
    <cellStyle name="Note 2 2 2 3 2 13" xfId="24641"/>
    <cellStyle name="Note 2 2 2 3 2 13 2" xfId="24642"/>
    <cellStyle name="Note 2 2 2 3 2 14" xfId="24643"/>
    <cellStyle name="Note 2 2 2 3 2 14 2" xfId="24644"/>
    <cellStyle name="Note 2 2 2 3 2 15" xfId="24645"/>
    <cellStyle name="Note 2 2 2 3 2 15 2" xfId="24646"/>
    <cellStyle name="Note 2 2 2 3 2 16" xfId="24647"/>
    <cellStyle name="Note 2 2 2 3 2 16 2" xfId="24648"/>
    <cellStyle name="Note 2 2 2 3 2 17" xfId="24649"/>
    <cellStyle name="Note 2 2 2 3 2 17 2" xfId="24650"/>
    <cellStyle name="Note 2 2 2 3 2 18" xfId="24651"/>
    <cellStyle name="Note 2 2 2 3 2 18 2" xfId="24652"/>
    <cellStyle name="Note 2 2 2 3 2 19" xfId="24653"/>
    <cellStyle name="Note 2 2 2 3 2 19 2" xfId="24654"/>
    <cellStyle name="Note 2 2 2 3 2 2" xfId="24655"/>
    <cellStyle name="Note 2 2 2 3 2 2 2" xfId="24656"/>
    <cellStyle name="Note 2 2 2 3 2 2 3" xfId="24657"/>
    <cellStyle name="Note 2 2 2 3 2 20" xfId="24658"/>
    <cellStyle name="Note 2 2 2 3 2 20 2" xfId="24659"/>
    <cellStyle name="Note 2 2 2 3 2 21" xfId="24660"/>
    <cellStyle name="Note 2 2 2 3 2 21 2" xfId="24661"/>
    <cellStyle name="Note 2 2 2 3 2 22" xfId="24662"/>
    <cellStyle name="Note 2 2 2 3 2 22 2" xfId="24663"/>
    <cellStyle name="Note 2 2 2 3 2 23" xfId="24664"/>
    <cellStyle name="Note 2 2 2 3 2 23 2" xfId="24665"/>
    <cellStyle name="Note 2 2 2 3 2 24" xfId="24666"/>
    <cellStyle name="Note 2 2 2 3 2 24 2" xfId="24667"/>
    <cellStyle name="Note 2 2 2 3 2 25" xfId="24668"/>
    <cellStyle name="Note 2 2 2 3 2 25 2" xfId="24669"/>
    <cellStyle name="Note 2 2 2 3 2 26" xfId="24670"/>
    <cellStyle name="Note 2 2 2 3 2 26 2" xfId="24671"/>
    <cellStyle name="Note 2 2 2 3 2 27" xfId="24672"/>
    <cellStyle name="Note 2 2 2 3 2 27 2" xfId="24673"/>
    <cellStyle name="Note 2 2 2 3 2 28" xfId="24674"/>
    <cellStyle name="Note 2 2 2 3 2 28 2" xfId="24675"/>
    <cellStyle name="Note 2 2 2 3 2 29" xfId="24676"/>
    <cellStyle name="Note 2 2 2 3 2 29 2" xfId="24677"/>
    <cellStyle name="Note 2 2 2 3 2 3" xfId="24678"/>
    <cellStyle name="Note 2 2 2 3 2 3 2" xfId="24679"/>
    <cellStyle name="Note 2 2 2 3 2 3 3" xfId="24680"/>
    <cellStyle name="Note 2 2 2 3 2 30" xfId="24681"/>
    <cellStyle name="Note 2 2 2 3 2 30 2" xfId="24682"/>
    <cellStyle name="Note 2 2 2 3 2 31" xfId="24683"/>
    <cellStyle name="Note 2 2 2 3 2 4" xfId="24684"/>
    <cellStyle name="Note 2 2 2 3 2 4 2" xfId="24685"/>
    <cellStyle name="Note 2 2 2 3 2 5" xfId="24686"/>
    <cellStyle name="Note 2 2 2 3 2 5 2" xfId="24687"/>
    <cellStyle name="Note 2 2 2 3 2 6" xfId="24688"/>
    <cellStyle name="Note 2 2 2 3 2 6 2" xfId="24689"/>
    <cellStyle name="Note 2 2 2 3 2 7" xfId="24690"/>
    <cellStyle name="Note 2 2 2 3 2 7 2" xfId="24691"/>
    <cellStyle name="Note 2 2 2 3 2 8" xfId="24692"/>
    <cellStyle name="Note 2 2 2 3 2 8 2" xfId="24693"/>
    <cellStyle name="Note 2 2 2 3 2 9" xfId="24694"/>
    <cellStyle name="Note 2 2 2 3 2 9 2" xfId="24695"/>
    <cellStyle name="Note 2 2 2 3 20" xfId="24696"/>
    <cellStyle name="Note 2 2 2 3 20 2" xfId="24697"/>
    <cellStyle name="Note 2 2 2 3 21" xfId="24698"/>
    <cellStyle name="Note 2 2 2 3 21 2" xfId="24699"/>
    <cellStyle name="Note 2 2 2 3 22" xfId="24700"/>
    <cellStyle name="Note 2 2 2 3 22 2" xfId="24701"/>
    <cellStyle name="Note 2 2 2 3 23" xfId="24702"/>
    <cellStyle name="Note 2 2 2 3 23 2" xfId="24703"/>
    <cellStyle name="Note 2 2 2 3 24" xfId="24704"/>
    <cellStyle name="Note 2 2 2 3 24 2" xfId="24705"/>
    <cellStyle name="Note 2 2 2 3 25" xfId="24706"/>
    <cellStyle name="Note 2 2 2 3 25 2" xfId="24707"/>
    <cellStyle name="Note 2 2 2 3 26" xfId="24708"/>
    <cellStyle name="Note 2 2 2 3 26 2" xfId="24709"/>
    <cellStyle name="Note 2 2 2 3 27" xfId="24710"/>
    <cellStyle name="Note 2 2 2 3 27 2" xfId="24711"/>
    <cellStyle name="Note 2 2 2 3 28" xfId="24712"/>
    <cellStyle name="Note 2 2 2 3 28 2" xfId="24713"/>
    <cellStyle name="Note 2 2 2 3 29" xfId="24714"/>
    <cellStyle name="Note 2 2 2 3 29 2" xfId="24715"/>
    <cellStyle name="Note 2 2 2 3 3" xfId="24716"/>
    <cellStyle name="Note 2 2 2 3 3 2" xfId="24717"/>
    <cellStyle name="Note 2 2 2 3 3 2 2" xfId="24718"/>
    <cellStyle name="Note 2 2 2 3 3 3" xfId="24719"/>
    <cellStyle name="Note 2 2 2 3 3 3 2" xfId="24720"/>
    <cellStyle name="Note 2 2 2 3 3 4" xfId="24721"/>
    <cellStyle name="Note 2 2 2 3 3 4 2" xfId="24722"/>
    <cellStyle name="Note 2 2 2 3 3 5" xfId="24723"/>
    <cellStyle name="Note 2 2 2 3 30" xfId="24724"/>
    <cellStyle name="Note 2 2 2 3 30 2" xfId="24725"/>
    <cellStyle name="Note 2 2 2 3 31" xfId="24726"/>
    <cellStyle name="Note 2 2 2 3 31 2" xfId="24727"/>
    <cellStyle name="Note 2 2 2 3 32" xfId="24728"/>
    <cellStyle name="Note 2 2 2 3 32 2" xfId="24729"/>
    <cellStyle name="Note 2 2 2 3 33" xfId="24730"/>
    <cellStyle name="Note 2 2 2 3 33 2" xfId="24731"/>
    <cellStyle name="Note 2 2 2 3 34" xfId="24732"/>
    <cellStyle name="Note 2 2 2 3 34 2" xfId="24733"/>
    <cellStyle name="Note 2 2 2 3 35" xfId="24734"/>
    <cellStyle name="Note 2 2 2 3 35 2" xfId="24735"/>
    <cellStyle name="Note 2 2 2 3 36" xfId="24736"/>
    <cellStyle name="Note 2 2 2 3 36 2" xfId="24737"/>
    <cellStyle name="Note 2 2 2 3 37" xfId="24738"/>
    <cellStyle name="Note 2 2 2 3 37 2" xfId="24739"/>
    <cellStyle name="Note 2 2 2 3 38" xfId="24740"/>
    <cellStyle name="Note 2 2 2 3 38 2" xfId="24741"/>
    <cellStyle name="Note 2 2 2 3 39" xfId="24742"/>
    <cellStyle name="Note 2 2 2 3 39 2" xfId="24743"/>
    <cellStyle name="Note 2 2 2 3 4" xfId="24744"/>
    <cellStyle name="Note 2 2 2 3 4 2" xfId="24745"/>
    <cellStyle name="Note 2 2 2 3 4 2 2" xfId="24746"/>
    <cellStyle name="Note 2 2 2 3 4 3" xfId="24747"/>
    <cellStyle name="Note 2 2 2 3 4 3 2" xfId="24748"/>
    <cellStyle name="Note 2 2 2 3 4 4" xfId="24749"/>
    <cellStyle name="Note 2 2 2 3 4 4 2" xfId="24750"/>
    <cellStyle name="Note 2 2 2 3 4 5" xfId="24751"/>
    <cellStyle name="Note 2 2 2 3 40" xfId="24752"/>
    <cellStyle name="Note 2 2 2 3 40 2" xfId="24753"/>
    <cellStyle name="Note 2 2 2 3 41" xfId="24754"/>
    <cellStyle name="Note 2 2 2 3 41 2" xfId="24755"/>
    <cellStyle name="Note 2 2 2 3 42" xfId="24756"/>
    <cellStyle name="Note 2 2 2 3 42 2" xfId="24757"/>
    <cellStyle name="Note 2 2 2 3 43" xfId="24758"/>
    <cellStyle name="Note 2 2 2 3 43 2" xfId="24759"/>
    <cellStyle name="Note 2 2 2 3 44" xfId="24760"/>
    <cellStyle name="Note 2 2 2 3 44 2" xfId="24761"/>
    <cellStyle name="Note 2 2 2 3 45" xfId="24762"/>
    <cellStyle name="Note 2 2 2 3 45 2" xfId="24763"/>
    <cellStyle name="Note 2 2 2 3 46" xfId="24764"/>
    <cellStyle name="Note 2 2 2 3 46 2" xfId="24765"/>
    <cellStyle name="Note 2 2 2 3 47" xfId="24766"/>
    <cellStyle name="Note 2 2 2 3 47 2" xfId="24767"/>
    <cellStyle name="Note 2 2 2 3 48" xfId="24768"/>
    <cellStyle name="Note 2 2 2 3 48 2" xfId="24769"/>
    <cellStyle name="Note 2 2 2 3 49" xfId="24770"/>
    <cellStyle name="Note 2 2 2 3 49 2" xfId="24771"/>
    <cellStyle name="Note 2 2 2 3 5" xfId="24772"/>
    <cellStyle name="Note 2 2 2 3 5 2" xfId="24773"/>
    <cellStyle name="Note 2 2 2 3 5 2 2" xfId="24774"/>
    <cellStyle name="Note 2 2 2 3 5 3" xfId="24775"/>
    <cellStyle name="Note 2 2 2 3 5 3 2" xfId="24776"/>
    <cellStyle name="Note 2 2 2 3 5 4" xfId="24777"/>
    <cellStyle name="Note 2 2 2 3 5 4 2" xfId="24778"/>
    <cellStyle name="Note 2 2 2 3 5 5" xfId="24779"/>
    <cellStyle name="Note 2 2 2 3 50" xfId="24780"/>
    <cellStyle name="Note 2 2 2 3 50 2" xfId="24781"/>
    <cellStyle name="Note 2 2 2 3 51" xfId="24782"/>
    <cellStyle name="Note 2 2 2 3 51 2" xfId="24783"/>
    <cellStyle name="Note 2 2 2 3 52" xfId="24784"/>
    <cellStyle name="Note 2 2 2 3 52 2" xfId="24785"/>
    <cellStyle name="Note 2 2 2 3 53" xfId="24786"/>
    <cellStyle name="Note 2 2 2 3 53 2" xfId="24787"/>
    <cellStyle name="Note 2 2 2 3 54" xfId="24788"/>
    <cellStyle name="Note 2 2 2 3 54 2" xfId="24789"/>
    <cellStyle name="Note 2 2 2 3 55" xfId="24790"/>
    <cellStyle name="Note 2 2 2 3 55 2" xfId="24791"/>
    <cellStyle name="Note 2 2 2 3 56" xfId="24792"/>
    <cellStyle name="Note 2 2 2 3 56 2" xfId="24793"/>
    <cellStyle name="Note 2 2 2 3 57" xfId="24794"/>
    <cellStyle name="Note 2 2 2 3 57 2" xfId="24795"/>
    <cellStyle name="Note 2 2 2 3 58" xfId="24796"/>
    <cellStyle name="Note 2 2 2 3 58 2" xfId="24797"/>
    <cellStyle name="Note 2 2 2 3 59" xfId="24798"/>
    <cellStyle name="Note 2 2 2 3 59 2" xfId="24799"/>
    <cellStyle name="Note 2 2 2 3 6" xfId="24800"/>
    <cellStyle name="Note 2 2 2 3 6 2" xfId="24801"/>
    <cellStyle name="Note 2 2 2 3 6 2 2" xfId="24802"/>
    <cellStyle name="Note 2 2 2 3 6 3" xfId="24803"/>
    <cellStyle name="Note 2 2 2 3 6 3 2" xfId="24804"/>
    <cellStyle name="Note 2 2 2 3 6 4" xfId="24805"/>
    <cellStyle name="Note 2 2 2 3 6 4 2" xfId="24806"/>
    <cellStyle name="Note 2 2 2 3 6 5" xfId="24807"/>
    <cellStyle name="Note 2 2 2 3 60" xfId="24808"/>
    <cellStyle name="Note 2 2 2 3 60 2" xfId="24809"/>
    <cellStyle name="Note 2 2 2 3 61" xfId="24810"/>
    <cellStyle name="Note 2 2 2 3 61 2" xfId="24811"/>
    <cellStyle name="Note 2 2 2 3 62" xfId="24812"/>
    <cellStyle name="Note 2 2 2 3 7" xfId="24813"/>
    <cellStyle name="Note 2 2 2 3 7 2" xfId="24814"/>
    <cellStyle name="Note 2 2 2 3 7 2 2" xfId="24815"/>
    <cellStyle name="Note 2 2 2 3 7 3" xfId="24816"/>
    <cellStyle name="Note 2 2 2 3 7 3 2" xfId="24817"/>
    <cellStyle name="Note 2 2 2 3 7 4" xfId="24818"/>
    <cellStyle name="Note 2 2 2 3 7 4 2" xfId="24819"/>
    <cellStyle name="Note 2 2 2 3 7 5" xfId="24820"/>
    <cellStyle name="Note 2 2 2 3 8" xfId="24821"/>
    <cellStyle name="Note 2 2 2 3 8 2" xfId="24822"/>
    <cellStyle name="Note 2 2 2 3 8 2 2" xfId="24823"/>
    <cellStyle name="Note 2 2 2 3 8 3" xfId="24824"/>
    <cellStyle name="Note 2 2 2 3 8 3 2" xfId="24825"/>
    <cellStyle name="Note 2 2 2 3 8 4" xfId="24826"/>
    <cellStyle name="Note 2 2 2 3 8 4 2" xfId="24827"/>
    <cellStyle name="Note 2 2 2 3 8 5" xfId="24828"/>
    <cellStyle name="Note 2 2 2 3 9" xfId="24829"/>
    <cellStyle name="Note 2 2 2 3 9 2" xfId="24830"/>
    <cellStyle name="Note 2 2 2 3 9 2 2" xfId="24831"/>
    <cellStyle name="Note 2 2 2 3 9 3" xfId="24832"/>
    <cellStyle name="Note 2 2 2 3 9 3 2" xfId="24833"/>
    <cellStyle name="Note 2 2 2 3 9 4" xfId="24834"/>
    <cellStyle name="Note 2 2 2 3 9 4 2" xfId="24835"/>
    <cellStyle name="Note 2 2 2 3 9 5" xfId="24836"/>
    <cellStyle name="Note 2 2 2 30" xfId="24837"/>
    <cellStyle name="Note 2 2 2 30 10" xfId="24838"/>
    <cellStyle name="Note 2 2 2 30 10 2" xfId="24839"/>
    <cellStyle name="Note 2 2 2 30 10 2 2" xfId="24840"/>
    <cellStyle name="Note 2 2 2 30 10 3" xfId="24841"/>
    <cellStyle name="Note 2 2 2 30 10 3 2" xfId="24842"/>
    <cellStyle name="Note 2 2 2 30 10 4" xfId="24843"/>
    <cellStyle name="Note 2 2 2 30 10 4 2" xfId="24844"/>
    <cellStyle name="Note 2 2 2 30 10 5" xfId="24845"/>
    <cellStyle name="Note 2 2 2 30 11" xfId="24846"/>
    <cellStyle name="Note 2 2 2 30 11 2" xfId="24847"/>
    <cellStyle name="Note 2 2 2 30 11 2 2" xfId="24848"/>
    <cellStyle name="Note 2 2 2 30 11 3" xfId="24849"/>
    <cellStyle name="Note 2 2 2 30 11 3 2" xfId="24850"/>
    <cellStyle name="Note 2 2 2 30 11 4" xfId="24851"/>
    <cellStyle name="Note 2 2 2 30 11 4 2" xfId="24852"/>
    <cellStyle name="Note 2 2 2 30 11 5" xfId="24853"/>
    <cellStyle name="Note 2 2 2 30 12" xfId="24854"/>
    <cellStyle name="Note 2 2 2 30 12 2" xfId="24855"/>
    <cellStyle name="Note 2 2 2 30 12 2 2" xfId="24856"/>
    <cellStyle name="Note 2 2 2 30 12 3" xfId="24857"/>
    <cellStyle name="Note 2 2 2 30 12 3 2" xfId="24858"/>
    <cellStyle name="Note 2 2 2 30 12 4" xfId="24859"/>
    <cellStyle name="Note 2 2 2 30 12 4 2" xfId="24860"/>
    <cellStyle name="Note 2 2 2 30 12 5" xfId="24861"/>
    <cellStyle name="Note 2 2 2 30 13" xfId="24862"/>
    <cellStyle name="Note 2 2 2 30 13 2" xfId="24863"/>
    <cellStyle name="Note 2 2 2 30 13 2 2" xfId="24864"/>
    <cellStyle name="Note 2 2 2 30 13 3" xfId="24865"/>
    <cellStyle name="Note 2 2 2 30 13 3 2" xfId="24866"/>
    <cellStyle name="Note 2 2 2 30 13 4" xfId="24867"/>
    <cellStyle name="Note 2 2 2 30 13 4 2" xfId="24868"/>
    <cellStyle name="Note 2 2 2 30 13 5" xfId="24869"/>
    <cellStyle name="Note 2 2 2 30 14" xfId="24870"/>
    <cellStyle name="Note 2 2 2 30 14 2" xfId="24871"/>
    <cellStyle name="Note 2 2 2 30 14 2 2" xfId="24872"/>
    <cellStyle name="Note 2 2 2 30 14 3" xfId="24873"/>
    <cellStyle name="Note 2 2 2 30 14 3 2" xfId="24874"/>
    <cellStyle name="Note 2 2 2 30 14 4" xfId="24875"/>
    <cellStyle name="Note 2 2 2 30 14 4 2" xfId="24876"/>
    <cellStyle name="Note 2 2 2 30 14 5" xfId="24877"/>
    <cellStyle name="Note 2 2 2 30 15" xfId="24878"/>
    <cellStyle name="Note 2 2 2 30 15 2" xfId="24879"/>
    <cellStyle name="Note 2 2 2 30 16" xfId="24880"/>
    <cellStyle name="Note 2 2 2 30 16 2" xfId="24881"/>
    <cellStyle name="Note 2 2 2 30 17" xfId="24882"/>
    <cellStyle name="Note 2 2 2 30 17 2" xfId="24883"/>
    <cellStyle name="Note 2 2 2 30 18" xfId="24884"/>
    <cellStyle name="Note 2 2 2 30 18 2" xfId="24885"/>
    <cellStyle name="Note 2 2 2 30 19" xfId="24886"/>
    <cellStyle name="Note 2 2 2 30 19 2" xfId="24887"/>
    <cellStyle name="Note 2 2 2 30 2" xfId="24888"/>
    <cellStyle name="Note 2 2 2 30 2 10" xfId="24889"/>
    <cellStyle name="Note 2 2 2 30 2 10 2" xfId="24890"/>
    <cellStyle name="Note 2 2 2 30 2 11" xfId="24891"/>
    <cellStyle name="Note 2 2 2 30 2 11 2" xfId="24892"/>
    <cellStyle name="Note 2 2 2 30 2 12" xfId="24893"/>
    <cellStyle name="Note 2 2 2 30 2 12 2" xfId="24894"/>
    <cellStyle name="Note 2 2 2 30 2 13" xfId="24895"/>
    <cellStyle name="Note 2 2 2 30 2 13 2" xfId="24896"/>
    <cellStyle name="Note 2 2 2 30 2 14" xfId="24897"/>
    <cellStyle name="Note 2 2 2 30 2 14 2" xfId="24898"/>
    <cellStyle name="Note 2 2 2 30 2 15" xfId="24899"/>
    <cellStyle name="Note 2 2 2 30 2 15 2" xfId="24900"/>
    <cellStyle name="Note 2 2 2 30 2 16" xfId="24901"/>
    <cellStyle name="Note 2 2 2 30 2 16 2" xfId="24902"/>
    <cellStyle name="Note 2 2 2 30 2 17" xfId="24903"/>
    <cellStyle name="Note 2 2 2 30 2 17 2" xfId="24904"/>
    <cellStyle name="Note 2 2 2 30 2 18" xfId="24905"/>
    <cellStyle name="Note 2 2 2 30 2 18 2" xfId="24906"/>
    <cellStyle name="Note 2 2 2 30 2 19" xfId="24907"/>
    <cellStyle name="Note 2 2 2 30 2 19 2" xfId="24908"/>
    <cellStyle name="Note 2 2 2 30 2 2" xfId="24909"/>
    <cellStyle name="Note 2 2 2 30 2 2 2" xfId="24910"/>
    <cellStyle name="Note 2 2 2 30 2 2 3" xfId="24911"/>
    <cellStyle name="Note 2 2 2 30 2 20" xfId="24912"/>
    <cellStyle name="Note 2 2 2 30 2 20 2" xfId="24913"/>
    <cellStyle name="Note 2 2 2 30 2 21" xfId="24914"/>
    <cellStyle name="Note 2 2 2 30 2 21 2" xfId="24915"/>
    <cellStyle name="Note 2 2 2 30 2 22" xfId="24916"/>
    <cellStyle name="Note 2 2 2 30 2 22 2" xfId="24917"/>
    <cellStyle name="Note 2 2 2 30 2 23" xfId="24918"/>
    <cellStyle name="Note 2 2 2 30 2 23 2" xfId="24919"/>
    <cellStyle name="Note 2 2 2 30 2 24" xfId="24920"/>
    <cellStyle name="Note 2 2 2 30 2 24 2" xfId="24921"/>
    <cellStyle name="Note 2 2 2 30 2 25" xfId="24922"/>
    <cellStyle name="Note 2 2 2 30 2 25 2" xfId="24923"/>
    <cellStyle name="Note 2 2 2 30 2 26" xfId="24924"/>
    <cellStyle name="Note 2 2 2 30 2 26 2" xfId="24925"/>
    <cellStyle name="Note 2 2 2 30 2 27" xfId="24926"/>
    <cellStyle name="Note 2 2 2 30 2 27 2" xfId="24927"/>
    <cellStyle name="Note 2 2 2 30 2 28" xfId="24928"/>
    <cellStyle name="Note 2 2 2 30 2 28 2" xfId="24929"/>
    <cellStyle name="Note 2 2 2 30 2 29" xfId="24930"/>
    <cellStyle name="Note 2 2 2 30 2 29 2" xfId="24931"/>
    <cellStyle name="Note 2 2 2 30 2 3" xfId="24932"/>
    <cellStyle name="Note 2 2 2 30 2 3 2" xfId="24933"/>
    <cellStyle name="Note 2 2 2 30 2 3 3" xfId="24934"/>
    <cellStyle name="Note 2 2 2 30 2 30" xfId="24935"/>
    <cellStyle name="Note 2 2 2 30 2 30 2" xfId="24936"/>
    <cellStyle name="Note 2 2 2 30 2 31" xfId="24937"/>
    <cellStyle name="Note 2 2 2 30 2 4" xfId="24938"/>
    <cellStyle name="Note 2 2 2 30 2 4 2" xfId="24939"/>
    <cellStyle name="Note 2 2 2 30 2 5" xfId="24940"/>
    <cellStyle name="Note 2 2 2 30 2 5 2" xfId="24941"/>
    <cellStyle name="Note 2 2 2 30 2 6" xfId="24942"/>
    <cellStyle name="Note 2 2 2 30 2 6 2" xfId="24943"/>
    <cellStyle name="Note 2 2 2 30 2 7" xfId="24944"/>
    <cellStyle name="Note 2 2 2 30 2 7 2" xfId="24945"/>
    <cellStyle name="Note 2 2 2 30 2 8" xfId="24946"/>
    <cellStyle name="Note 2 2 2 30 2 8 2" xfId="24947"/>
    <cellStyle name="Note 2 2 2 30 2 9" xfId="24948"/>
    <cellStyle name="Note 2 2 2 30 2 9 2" xfId="24949"/>
    <cellStyle name="Note 2 2 2 30 20" xfId="24950"/>
    <cellStyle name="Note 2 2 2 30 20 2" xfId="24951"/>
    <cellStyle name="Note 2 2 2 30 21" xfId="24952"/>
    <cellStyle name="Note 2 2 2 30 21 2" xfId="24953"/>
    <cellStyle name="Note 2 2 2 30 22" xfId="24954"/>
    <cellStyle name="Note 2 2 2 30 22 2" xfId="24955"/>
    <cellStyle name="Note 2 2 2 30 23" xfId="24956"/>
    <cellStyle name="Note 2 2 2 30 23 2" xfId="24957"/>
    <cellStyle name="Note 2 2 2 30 24" xfId="24958"/>
    <cellStyle name="Note 2 2 2 30 24 2" xfId="24959"/>
    <cellStyle name="Note 2 2 2 30 25" xfId="24960"/>
    <cellStyle name="Note 2 2 2 30 25 2" xfId="24961"/>
    <cellStyle name="Note 2 2 2 30 26" xfId="24962"/>
    <cellStyle name="Note 2 2 2 30 26 2" xfId="24963"/>
    <cellStyle name="Note 2 2 2 30 27" xfId="24964"/>
    <cellStyle name="Note 2 2 2 30 27 2" xfId="24965"/>
    <cellStyle name="Note 2 2 2 30 28" xfId="24966"/>
    <cellStyle name="Note 2 2 2 30 28 2" xfId="24967"/>
    <cellStyle name="Note 2 2 2 30 29" xfId="24968"/>
    <cellStyle name="Note 2 2 2 30 29 2" xfId="24969"/>
    <cellStyle name="Note 2 2 2 30 3" xfId="24970"/>
    <cellStyle name="Note 2 2 2 30 3 2" xfId="24971"/>
    <cellStyle name="Note 2 2 2 30 3 2 2" xfId="24972"/>
    <cellStyle name="Note 2 2 2 30 3 3" xfId="24973"/>
    <cellStyle name="Note 2 2 2 30 3 3 2" xfId="24974"/>
    <cellStyle name="Note 2 2 2 30 3 4" xfId="24975"/>
    <cellStyle name="Note 2 2 2 30 3 4 2" xfId="24976"/>
    <cellStyle name="Note 2 2 2 30 3 5" xfId="24977"/>
    <cellStyle name="Note 2 2 2 30 30" xfId="24978"/>
    <cellStyle name="Note 2 2 2 30 30 2" xfId="24979"/>
    <cellStyle name="Note 2 2 2 30 31" xfId="24980"/>
    <cellStyle name="Note 2 2 2 30 31 2" xfId="24981"/>
    <cellStyle name="Note 2 2 2 30 32" xfId="24982"/>
    <cellStyle name="Note 2 2 2 30 32 2" xfId="24983"/>
    <cellStyle name="Note 2 2 2 30 33" xfId="24984"/>
    <cellStyle name="Note 2 2 2 30 33 2" xfId="24985"/>
    <cellStyle name="Note 2 2 2 30 34" xfId="24986"/>
    <cellStyle name="Note 2 2 2 30 34 2" xfId="24987"/>
    <cellStyle name="Note 2 2 2 30 35" xfId="24988"/>
    <cellStyle name="Note 2 2 2 30 35 2" xfId="24989"/>
    <cellStyle name="Note 2 2 2 30 36" xfId="24990"/>
    <cellStyle name="Note 2 2 2 30 36 2" xfId="24991"/>
    <cellStyle name="Note 2 2 2 30 37" xfId="24992"/>
    <cellStyle name="Note 2 2 2 30 37 2" xfId="24993"/>
    <cellStyle name="Note 2 2 2 30 38" xfId="24994"/>
    <cellStyle name="Note 2 2 2 30 38 2" xfId="24995"/>
    <cellStyle name="Note 2 2 2 30 39" xfId="24996"/>
    <cellStyle name="Note 2 2 2 30 39 2" xfId="24997"/>
    <cellStyle name="Note 2 2 2 30 4" xfId="24998"/>
    <cellStyle name="Note 2 2 2 30 4 2" xfId="24999"/>
    <cellStyle name="Note 2 2 2 30 4 2 2" xfId="25000"/>
    <cellStyle name="Note 2 2 2 30 4 3" xfId="25001"/>
    <cellStyle name="Note 2 2 2 30 4 3 2" xfId="25002"/>
    <cellStyle name="Note 2 2 2 30 4 4" xfId="25003"/>
    <cellStyle name="Note 2 2 2 30 4 4 2" xfId="25004"/>
    <cellStyle name="Note 2 2 2 30 4 5" xfId="25005"/>
    <cellStyle name="Note 2 2 2 30 40" xfId="25006"/>
    <cellStyle name="Note 2 2 2 30 40 2" xfId="25007"/>
    <cellStyle name="Note 2 2 2 30 41" xfId="25008"/>
    <cellStyle name="Note 2 2 2 30 41 2" xfId="25009"/>
    <cellStyle name="Note 2 2 2 30 42" xfId="25010"/>
    <cellStyle name="Note 2 2 2 30 42 2" xfId="25011"/>
    <cellStyle name="Note 2 2 2 30 43" xfId="25012"/>
    <cellStyle name="Note 2 2 2 30 43 2" xfId="25013"/>
    <cellStyle name="Note 2 2 2 30 44" xfId="25014"/>
    <cellStyle name="Note 2 2 2 30 44 2" xfId="25015"/>
    <cellStyle name="Note 2 2 2 30 45" xfId="25016"/>
    <cellStyle name="Note 2 2 2 30 45 2" xfId="25017"/>
    <cellStyle name="Note 2 2 2 30 46" xfId="25018"/>
    <cellStyle name="Note 2 2 2 30 46 2" xfId="25019"/>
    <cellStyle name="Note 2 2 2 30 47" xfId="25020"/>
    <cellStyle name="Note 2 2 2 30 47 2" xfId="25021"/>
    <cellStyle name="Note 2 2 2 30 48" xfId="25022"/>
    <cellStyle name="Note 2 2 2 30 48 2" xfId="25023"/>
    <cellStyle name="Note 2 2 2 30 49" xfId="25024"/>
    <cellStyle name="Note 2 2 2 30 49 2" xfId="25025"/>
    <cellStyle name="Note 2 2 2 30 5" xfId="25026"/>
    <cellStyle name="Note 2 2 2 30 5 2" xfId="25027"/>
    <cellStyle name="Note 2 2 2 30 5 2 2" xfId="25028"/>
    <cellStyle name="Note 2 2 2 30 5 3" xfId="25029"/>
    <cellStyle name="Note 2 2 2 30 5 3 2" xfId="25030"/>
    <cellStyle name="Note 2 2 2 30 5 4" xfId="25031"/>
    <cellStyle name="Note 2 2 2 30 5 4 2" xfId="25032"/>
    <cellStyle name="Note 2 2 2 30 5 5" xfId="25033"/>
    <cellStyle name="Note 2 2 2 30 50" xfId="25034"/>
    <cellStyle name="Note 2 2 2 30 50 2" xfId="25035"/>
    <cellStyle name="Note 2 2 2 30 51" xfId="25036"/>
    <cellStyle name="Note 2 2 2 30 51 2" xfId="25037"/>
    <cellStyle name="Note 2 2 2 30 52" xfId="25038"/>
    <cellStyle name="Note 2 2 2 30 52 2" xfId="25039"/>
    <cellStyle name="Note 2 2 2 30 53" xfId="25040"/>
    <cellStyle name="Note 2 2 2 30 53 2" xfId="25041"/>
    <cellStyle name="Note 2 2 2 30 54" xfId="25042"/>
    <cellStyle name="Note 2 2 2 30 54 2" xfId="25043"/>
    <cellStyle name="Note 2 2 2 30 55" xfId="25044"/>
    <cellStyle name="Note 2 2 2 30 55 2" xfId="25045"/>
    <cellStyle name="Note 2 2 2 30 56" xfId="25046"/>
    <cellStyle name="Note 2 2 2 30 56 2" xfId="25047"/>
    <cellStyle name="Note 2 2 2 30 57" xfId="25048"/>
    <cellStyle name="Note 2 2 2 30 57 2" xfId="25049"/>
    <cellStyle name="Note 2 2 2 30 58" xfId="25050"/>
    <cellStyle name="Note 2 2 2 30 58 2" xfId="25051"/>
    <cellStyle name="Note 2 2 2 30 59" xfId="25052"/>
    <cellStyle name="Note 2 2 2 30 59 2" xfId="25053"/>
    <cellStyle name="Note 2 2 2 30 6" xfId="25054"/>
    <cellStyle name="Note 2 2 2 30 6 2" xfId="25055"/>
    <cellStyle name="Note 2 2 2 30 6 2 2" xfId="25056"/>
    <cellStyle name="Note 2 2 2 30 6 3" xfId="25057"/>
    <cellStyle name="Note 2 2 2 30 6 3 2" xfId="25058"/>
    <cellStyle name="Note 2 2 2 30 6 4" xfId="25059"/>
    <cellStyle name="Note 2 2 2 30 6 4 2" xfId="25060"/>
    <cellStyle name="Note 2 2 2 30 6 5" xfId="25061"/>
    <cellStyle name="Note 2 2 2 30 60" xfId="25062"/>
    <cellStyle name="Note 2 2 2 30 60 2" xfId="25063"/>
    <cellStyle name="Note 2 2 2 30 61" xfId="25064"/>
    <cellStyle name="Note 2 2 2 30 61 2" xfId="25065"/>
    <cellStyle name="Note 2 2 2 30 62" xfId="25066"/>
    <cellStyle name="Note 2 2 2 30 7" xfId="25067"/>
    <cellStyle name="Note 2 2 2 30 7 2" xfId="25068"/>
    <cellStyle name="Note 2 2 2 30 7 2 2" xfId="25069"/>
    <cellStyle name="Note 2 2 2 30 7 3" xfId="25070"/>
    <cellStyle name="Note 2 2 2 30 7 3 2" xfId="25071"/>
    <cellStyle name="Note 2 2 2 30 7 4" xfId="25072"/>
    <cellStyle name="Note 2 2 2 30 7 4 2" xfId="25073"/>
    <cellStyle name="Note 2 2 2 30 7 5" xfId="25074"/>
    <cellStyle name="Note 2 2 2 30 8" xfId="25075"/>
    <cellStyle name="Note 2 2 2 30 8 2" xfId="25076"/>
    <cellStyle name="Note 2 2 2 30 8 2 2" xfId="25077"/>
    <cellStyle name="Note 2 2 2 30 8 3" xfId="25078"/>
    <cellStyle name="Note 2 2 2 30 8 3 2" xfId="25079"/>
    <cellStyle name="Note 2 2 2 30 8 4" xfId="25080"/>
    <cellStyle name="Note 2 2 2 30 8 4 2" xfId="25081"/>
    <cellStyle name="Note 2 2 2 30 8 5" xfId="25082"/>
    <cellStyle name="Note 2 2 2 30 9" xfId="25083"/>
    <cellStyle name="Note 2 2 2 30 9 2" xfId="25084"/>
    <cellStyle name="Note 2 2 2 30 9 2 2" xfId="25085"/>
    <cellStyle name="Note 2 2 2 30 9 3" xfId="25086"/>
    <cellStyle name="Note 2 2 2 30 9 3 2" xfId="25087"/>
    <cellStyle name="Note 2 2 2 30 9 4" xfId="25088"/>
    <cellStyle name="Note 2 2 2 30 9 4 2" xfId="25089"/>
    <cellStyle name="Note 2 2 2 30 9 5" xfId="25090"/>
    <cellStyle name="Note 2 2 2 31" xfId="25091"/>
    <cellStyle name="Note 2 2 2 31 10" xfId="25092"/>
    <cellStyle name="Note 2 2 2 31 10 2" xfId="25093"/>
    <cellStyle name="Note 2 2 2 31 10 2 2" xfId="25094"/>
    <cellStyle name="Note 2 2 2 31 10 3" xfId="25095"/>
    <cellStyle name="Note 2 2 2 31 10 3 2" xfId="25096"/>
    <cellStyle name="Note 2 2 2 31 10 4" xfId="25097"/>
    <cellStyle name="Note 2 2 2 31 10 4 2" xfId="25098"/>
    <cellStyle name="Note 2 2 2 31 10 5" xfId="25099"/>
    <cellStyle name="Note 2 2 2 31 11" xfId="25100"/>
    <cellStyle name="Note 2 2 2 31 11 2" xfId="25101"/>
    <cellStyle name="Note 2 2 2 31 11 2 2" xfId="25102"/>
    <cellStyle name="Note 2 2 2 31 11 3" xfId="25103"/>
    <cellStyle name="Note 2 2 2 31 11 3 2" xfId="25104"/>
    <cellStyle name="Note 2 2 2 31 11 4" xfId="25105"/>
    <cellStyle name="Note 2 2 2 31 11 4 2" xfId="25106"/>
    <cellStyle name="Note 2 2 2 31 11 5" xfId="25107"/>
    <cellStyle name="Note 2 2 2 31 12" xfId="25108"/>
    <cellStyle name="Note 2 2 2 31 12 2" xfId="25109"/>
    <cellStyle name="Note 2 2 2 31 12 2 2" xfId="25110"/>
    <cellStyle name="Note 2 2 2 31 12 3" xfId="25111"/>
    <cellStyle name="Note 2 2 2 31 12 3 2" xfId="25112"/>
    <cellStyle name="Note 2 2 2 31 12 4" xfId="25113"/>
    <cellStyle name="Note 2 2 2 31 12 4 2" xfId="25114"/>
    <cellStyle name="Note 2 2 2 31 12 5" xfId="25115"/>
    <cellStyle name="Note 2 2 2 31 13" xfId="25116"/>
    <cellStyle name="Note 2 2 2 31 13 2" xfId="25117"/>
    <cellStyle name="Note 2 2 2 31 13 2 2" xfId="25118"/>
    <cellStyle name="Note 2 2 2 31 13 3" xfId="25119"/>
    <cellStyle name="Note 2 2 2 31 13 3 2" xfId="25120"/>
    <cellStyle name="Note 2 2 2 31 13 4" xfId="25121"/>
    <cellStyle name="Note 2 2 2 31 13 4 2" xfId="25122"/>
    <cellStyle name="Note 2 2 2 31 13 5" xfId="25123"/>
    <cellStyle name="Note 2 2 2 31 14" xfId="25124"/>
    <cellStyle name="Note 2 2 2 31 14 2" xfId="25125"/>
    <cellStyle name="Note 2 2 2 31 14 2 2" xfId="25126"/>
    <cellStyle name="Note 2 2 2 31 14 3" xfId="25127"/>
    <cellStyle name="Note 2 2 2 31 14 3 2" xfId="25128"/>
    <cellStyle name="Note 2 2 2 31 14 4" xfId="25129"/>
    <cellStyle name="Note 2 2 2 31 14 4 2" xfId="25130"/>
    <cellStyle name="Note 2 2 2 31 14 5" xfId="25131"/>
    <cellStyle name="Note 2 2 2 31 15" xfId="25132"/>
    <cellStyle name="Note 2 2 2 31 15 2" xfId="25133"/>
    <cellStyle name="Note 2 2 2 31 16" xfId="25134"/>
    <cellStyle name="Note 2 2 2 31 16 2" xfId="25135"/>
    <cellStyle name="Note 2 2 2 31 17" xfId="25136"/>
    <cellStyle name="Note 2 2 2 31 17 2" xfId="25137"/>
    <cellStyle name="Note 2 2 2 31 18" xfId="25138"/>
    <cellStyle name="Note 2 2 2 31 18 2" xfId="25139"/>
    <cellStyle name="Note 2 2 2 31 19" xfId="25140"/>
    <cellStyle name="Note 2 2 2 31 19 2" xfId="25141"/>
    <cellStyle name="Note 2 2 2 31 2" xfId="25142"/>
    <cellStyle name="Note 2 2 2 31 2 10" xfId="25143"/>
    <cellStyle name="Note 2 2 2 31 2 10 2" xfId="25144"/>
    <cellStyle name="Note 2 2 2 31 2 11" xfId="25145"/>
    <cellStyle name="Note 2 2 2 31 2 11 2" xfId="25146"/>
    <cellStyle name="Note 2 2 2 31 2 12" xfId="25147"/>
    <cellStyle name="Note 2 2 2 31 2 12 2" xfId="25148"/>
    <cellStyle name="Note 2 2 2 31 2 13" xfId="25149"/>
    <cellStyle name="Note 2 2 2 31 2 13 2" xfId="25150"/>
    <cellStyle name="Note 2 2 2 31 2 14" xfId="25151"/>
    <cellStyle name="Note 2 2 2 31 2 14 2" xfId="25152"/>
    <cellStyle name="Note 2 2 2 31 2 15" xfId="25153"/>
    <cellStyle name="Note 2 2 2 31 2 15 2" xfId="25154"/>
    <cellStyle name="Note 2 2 2 31 2 16" xfId="25155"/>
    <cellStyle name="Note 2 2 2 31 2 16 2" xfId="25156"/>
    <cellStyle name="Note 2 2 2 31 2 17" xfId="25157"/>
    <cellStyle name="Note 2 2 2 31 2 17 2" xfId="25158"/>
    <cellStyle name="Note 2 2 2 31 2 18" xfId="25159"/>
    <cellStyle name="Note 2 2 2 31 2 18 2" xfId="25160"/>
    <cellStyle name="Note 2 2 2 31 2 19" xfId="25161"/>
    <cellStyle name="Note 2 2 2 31 2 19 2" xfId="25162"/>
    <cellStyle name="Note 2 2 2 31 2 2" xfId="25163"/>
    <cellStyle name="Note 2 2 2 31 2 2 2" xfId="25164"/>
    <cellStyle name="Note 2 2 2 31 2 2 3" xfId="25165"/>
    <cellStyle name="Note 2 2 2 31 2 20" xfId="25166"/>
    <cellStyle name="Note 2 2 2 31 2 20 2" xfId="25167"/>
    <cellStyle name="Note 2 2 2 31 2 21" xfId="25168"/>
    <cellStyle name="Note 2 2 2 31 2 21 2" xfId="25169"/>
    <cellStyle name="Note 2 2 2 31 2 22" xfId="25170"/>
    <cellStyle name="Note 2 2 2 31 2 22 2" xfId="25171"/>
    <cellStyle name="Note 2 2 2 31 2 23" xfId="25172"/>
    <cellStyle name="Note 2 2 2 31 2 23 2" xfId="25173"/>
    <cellStyle name="Note 2 2 2 31 2 24" xfId="25174"/>
    <cellStyle name="Note 2 2 2 31 2 24 2" xfId="25175"/>
    <cellStyle name="Note 2 2 2 31 2 25" xfId="25176"/>
    <cellStyle name="Note 2 2 2 31 2 25 2" xfId="25177"/>
    <cellStyle name="Note 2 2 2 31 2 26" xfId="25178"/>
    <cellStyle name="Note 2 2 2 31 2 26 2" xfId="25179"/>
    <cellStyle name="Note 2 2 2 31 2 27" xfId="25180"/>
    <cellStyle name="Note 2 2 2 31 2 27 2" xfId="25181"/>
    <cellStyle name="Note 2 2 2 31 2 28" xfId="25182"/>
    <cellStyle name="Note 2 2 2 31 2 28 2" xfId="25183"/>
    <cellStyle name="Note 2 2 2 31 2 29" xfId="25184"/>
    <cellStyle name="Note 2 2 2 31 2 29 2" xfId="25185"/>
    <cellStyle name="Note 2 2 2 31 2 3" xfId="25186"/>
    <cellStyle name="Note 2 2 2 31 2 3 2" xfId="25187"/>
    <cellStyle name="Note 2 2 2 31 2 3 3" xfId="25188"/>
    <cellStyle name="Note 2 2 2 31 2 30" xfId="25189"/>
    <cellStyle name="Note 2 2 2 31 2 30 2" xfId="25190"/>
    <cellStyle name="Note 2 2 2 31 2 31" xfId="25191"/>
    <cellStyle name="Note 2 2 2 31 2 4" xfId="25192"/>
    <cellStyle name="Note 2 2 2 31 2 4 2" xfId="25193"/>
    <cellStyle name="Note 2 2 2 31 2 5" xfId="25194"/>
    <cellStyle name="Note 2 2 2 31 2 5 2" xfId="25195"/>
    <cellStyle name="Note 2 2 2 31 2 6" xfId="25196"/>
    <cellStyle name="Note 2 2 2 31 2 6 2" xfId="25197"/>
    <cellStyle name="Note 2 2 2 31 2 7" xfId="25198"/>
    <cellStyle name="Note 2 2 2 31 2 7 2" xfId="25199"/>
    <cellStyle name="Note 2 2 2 31 2 8" xfId="25200"/>
    <cellStyle name="Note 2 2 2 31 2 8 2" xfId="25201"/>
    <cellStyle name="Note 2 2 2 31 2 9" xfId="25202"/>
    <cellStyle name="Note 2 2 2 31 2 9 2" xfId="25203"/>
    <cellStyle name="Note 2 2 2 31 20" xfId="25204"/>
    <cellStyle name="Note 2 2 2 31 20 2" xfId="25205"/>
    <cellStyle name="Note 2 2 2 31 21" xfId="25206"/>
    <cellStyle name="Note 2 2 2 31 21 2" xfId="25207"/>
    <cellStyle name="Note 2 2 2 31 22" xfId="25208"/>
    <cellStyle name="Note 2 2 2 31 22 2" xfId="25209"/>
    <cellStyle name="Note 2 2 2 31 23" xfId="25210"/>
    <cellStyle name="Note 2 2 2 31 23 2" xfId="25211"/>
    <cellStyle name="Note 2 2 2 31 24" xfId="25212"/>
    <cellStyle name="Note 2 2 2 31 24 2" xfId="25213"/>
    <cellStyle name="Note 2 2 2 31 25" xfId="25214"/>
    <cellStyle name="Note 2 2 2 31 25 2" xfId="25215"/>
    <cellStyle name="Note 2 2 2 31 26" xfId="25216"/>
    <cellStyle name="Note 2 2 2 31 26 2" xfId="25217"/>
    <cellStyle name="Note 2 2 2 31 27" xfId="25218"/>
    <cellStyle name="Note 2 2 2 31 27 2" xfId="25219"/>
    <cellStyle name="Note 2 2 2 31 28" xfId="25220"/>
    <cellStyle name="Note 2 2 2 31 28 2" xfId="25221"/>
    <cellStyle name="Note 2 2 2 31 29" xfId="25222"/>
    <cellStyle name="Note 2 2 2 31 29 2" xfId="25223"/>
    <cellStyle name="Note 2 2 2 31 3" xfId="25224"/>
    <cellStyle name="Note 2 2 2 31 3 2" xfId="25225"/>
    <cellStyle name="Note 2 2 2 31 3 2 2" xfId="25226"/>
    <cellStyle name="Note 2 2 2 31 3 3" xfId="25227"/>
    <cellStyle name="Note 2 2 2 31 3 3 2" xfId="25228"/>
    <cellStyle name="Note 2 2 2 31 3 4" xfId="25229"/>
    <cellStyle name="Note 2 2 2 31 3 4 2" xfId="25230"/>
    <cellStyle name="Note 2 2 2 31 3 5" xfId="25231"/>
    <cellStyle name="Note 2 2 2 31 30" xfId="25232"/>
    <cellStyle name="Note 2 2 2 31 30 2" xfId="25233"/>
    <cellStyle name="Note 2 2 2 31 31" xfId="25234"/>
    <cellStyle name="Note 2 2 2 31 31 2" xfId="25235"/>
    <cellStyle name="Note 2 2 2 31 32" xfId="25236"/>
    <cellStyle name="Note 2 2 2 31 32 2" xfId="25237"/>
    <cellStyle name="Note 2 2 2 31 33" xfId="25238"/>
    <cellStyle name="Note 2 2 2 31 33 2" xfId="25239"/>
    <cellStyle name="Note 2 2 2 31 34" xfId="25240"/>
    <cellStyle name="Note 2 2 2 31 34 2" xfId="25241"/>
    <cellStyle name="Note 2 2 2 31 35" xfId="25242"/>
    <cellStyle name="Note 2 2 2 31 35 2" xfId="25243"/>
    <cellStyle name="Note 2 2 2 31 36" xfId="25244"/>
    <cellStyle name="Note 2 2 2 31 36 2" xfId="25245"/>
    <cellStyle name="Note 2 2 2 31 37" xfId="25246"/>
    <cellStyle name="Note 2 2 2 31 37 2" xfId="25247"/>
    <cellStyle name="Note 2 2 2 31 38" xfId="25248"/>
    <cellStyle name="Note 2 2 2 31 38 2" xfId="25249"/>
    <cellStyle name="Note 2 2 2 31 39" xfId="25250"/>
    <cellStyle name="Note 2 2 2 31 39 2" xfId="25251"/>
    <cellStyle name="Note 2 2 2 31 4" xfId="25252"/>
    <cellStyle name="Note 2 2 2 31 4 2" xfId="25253"/>
    <cellStyle name="Note 2 2 2 31 4 2 2" xfId="25254"/>
    <cellStyle name="Note 2 2 2 31 4 3" xfId="25255"/>
    <cellStyle name="Note 2 2 2 31 4 3 2" xfId="25256"/>
    <cellStyle name="Note 2 2 2 31 4 4" xfId="25257"/>
    <cellStyle name="Note 2 2 2 31 4 4 2" xfId="25258"/>
    <cellStyle name="Note 2 2 2 31 4 5" xfId="25259"/>
    <cellStyle name="Note 2 2 2 31 40" xfId="25260"/>
    <cellStyle name="Note 2 2 2 31 40 2" xfId="25261"/>
    <cellStyle name="Note 2 2 2 31 41" xfId="25262"/>
    <cellStyle name="Note 2 2 2 31 41 2" xfId="25263"/>
    <cellStyle name="Note 2 2 2 31 42" xfId="25264"/>
    <cellStyle name="Note 2 2 2 31 42 2" xfId="25265"/>
    <cellStyle name="Note 2 2 2 31 43" xfId="25266"/>
    <cellStyle name="Note 2 2 2 31 43 2" xfId="25267"/>
    <cellStyle name="Note 2 2 2 31 44" xfId="25268"/>
    <cellStyle name="Note 2 2 2 31 44 2" xfId="25269"/>
    <cellStyle name="Note 2 2 2 31 45" xfId="25270"/>
    <cellStyle name="Note 2 2 2 31 45 2" xfId="25271"/>
    <cellStyle name="Note 2 2 2 31 46" xfId="25272"/>
    <cellStyle name="Note 2 2 2 31 46 2" xfId="25273"/>
    <cellStyle name="Note 2 2 2 31 47" xfId="25274"/>
    <cellStyle name="Note 2 2 2 31 47 2" xfId="25275"/>
    <cellStyle name="Note 2 2 2 31 48" xfId="25276"/>
    <cellStyle name="Note 2 2 2 31 48 2" xfId="25277"/>
    <cellStyle name="Note 2 2 2 31 49" xfId="25278"/>
    <cellStyle name="Note 2 2 2 31 49 2" xfId="25279"/>
    <cellStyle name="Note 2 2 2 31 5" xfId="25280"/>
    <cellStyle name="Note 2 2 2 31 5 2" xfId="25281"/>
    <cellStyle name="Note 2 2 2 31 5 2 2" xfId="25282"/>
    <cellStyle name="Note 2 2 2 31 5 3" xfId="25283"/>
    <cellStyle name="Note 2 2 2 31 5 3 2" xfId="25284"/>
    <cellStyle name="Note 2 2 2 31 5 4" xfId="25285"/>
    <cellStyle name="Note 2 2 2 31 5 4 2" xfId="25286"/>
    <cellStyle name="Note 2 2 2 31 5 5" xfId="25287"/>
    <cellStyle name="Note 2 2 2 31 50" xfId="25288"/>
    <cellStyle name="Note 2 2 2 31 50 2" xfId="25289"/>
    <cellStyle name="Note 2 2 2 31 51" xfId="25290"/>
    <cellStyle name="Note 2 2 2 31 51 2" xfId="25291"/>
    <cellStyle name="Note 2 2 2 31 52" xfId="25292"/>
    <cellStyle name="Note 2 2 2 31 52 2" xfId="25293"/>
    <cellStyle name="Note 2 2 2 31 53" xfId="25294"/>
    <cellStyle name="Note 2 2 2 31 53 2" xfId="25295"/>
    <cellStyle name="Note 2 2 2 31 54" xfId="25296"/>
    <cellStyle name="Note 2 2 2 31 54 2" xfId="25297"/>
    <cellStyle name="Note 2 2 2 31 55" xfId="25298"/>
    <cellStyle name="Note 2 2 2 31 55 2" xfId="25299"/>
    <cellStyle name="Note 2 2 2 31 56" xfId="25300"/>
    <cellStyle name="Note 2 2 2 31 56 2" xfId="25301"/>
    <cellStyle name="Note 2 2 2 31 57" xfId="25302"/>
    <cellStyle name="Note 2 2 2 31 57 2" xfId="25303"/>
    <cellStyle name="Note 2 2 2 31 58" xfId="25304"/>
    <cellStyle name="Note 2 2 2 31 58 2" xfId="25305"/>
    <cellStyle name="Note 2 2 2 31 59" xfId="25306"/>
    <cellStyle name="Note 2 2 2 31 59 2" xfId="25307"/>
    <cellStyle name="Note 2 2 2 31 6" xfId="25308"/>
    <cellStyle name="Note 2 2 2 31 6 2" xfId="25309"/>
    <cellStyle name="Note 2 2 2 31 6 2 2" xfId="25310"/>
    <cellStyle name="Note 2 2 2 31 6 3" xfId="25311"/>
    <cellStyle name="Note 2 2 2 31 6 3 2" xfId="25312"/>
    <cellStyle name="Note 2 2 2 31 6 4" xfId="25313"/>
    <cellStyle name="Note 2 2 2 31 6 4 2" xfId="25314"/>
    <cellStyle name="Note 2 2 2 31 6 5" xfId="25315"/>
    <cellStyle name="Note 2 2 2 31 60" xfId="25316"/>
    <cellStyle name="Note 2 2 2 31 60 2" xfId="25317"/>
    <cellStyle name="Note 2 2 2 31 61" xfId="25318"/>
    <cellStyle name="Note 2 2 2 31 61 2" xfId="25319"/>
    <cellStyle name="Note 2 2 2 31 62" xfId="25320"/>
    <cellStyle name="Note 2 2 2 31 7" xfId="25321"/>
    <cellStyle name="Note 2 2 2 31 7 2" xfId="25322"/>
    <cellStyle name="Note 2 2 2 31 7 2 2" xfId="25323"/>
    <cellStyle name="Note 2 2 2 31 7 3" xfId="25324"/>
    <cellStyle name="Note 2 2 2 31 7 3 2" xfId="25325"/>
    <cellStyle name="Note 2 2 2 31 7 4" xfId="25326"/>
    <cellStyle name="Note 2 2 2 31 7 4 2" xfId="25327"/>
    <cellStyle name="Note 2 2 2 31 7 5" xfId="25328"/>
    <cellStyle name="Note 2 2 2 31 8" xfId="25329"/>
    <cellStyle name="Note 2 2 2 31 8 2" xfId="25330"/>
    <cellStyle name="Note 2 2 2 31 8 2 2" xfId="25331"/>
    <cellStyle name="Note 2 2 2 31 8 3" xfId="25332"/>
    <cellStyle name="Note 2 2 2 31 8 3 2" xfId="25333"/>
    <cellStyle name="Note 2 2 2 31 8 4" xfId="25334"/>
    <cellStyle name="Note 2 2 2 31 8 4 2" xfId="25335"/>
    <cellStyle name="Note 2 2 2 31 8 5" xfId="25336"/>
    <cellStyle name="Note 2 2 2 31 9" xfId="25337"/>
    <cellStyle name="Note 2 2 2 31 9 2" xfId="25338"/>
    <cellStyle name="Note 2 2 2 31 9 2 2" xfId="25339"/>
    <cellStyle name="Note 2 2 2 31 9 3" xfId="25340"/>
    <cellStyle name="Note 2 2 2 31 9 3 2" xfId="25341"/>
    <cellStyle name="Note 2 2 2 31 9 4" xfId="25342"/>
    <cellStyle name="Note 2 2 2 31 9 4 2" xfId="25343"/>
    <cellStyle name="Note 2 2 2 31 9 5" xfId="25344"/>
    <cellStyle name="Note 2 2 2 32" xfId="25345"/>
    <cellStyle name="Note 2 2 2 32 10" xfId="25346"/>
    <cellStyle name="Note 2 2 2 32 10 2" xfId="25347"/>
    <cellStyle name="Note 2 2 2 32 11" xfId="25348"/>
    <cellStyle name="Note 2 2 2 32 11 2" xfId="25349"/>
    <cellStyle name="Note 2 2 2 32 12" xfId="25350"/>
    <cellStyle name="Note 2 2 2 32 12 2" xfId="25351"/>
    <cellStyle name="Note 2 2 2 32 13" xfId="25352"/>
    <cellStyle name="Note 2 2 2 32 13 2" xfId="25353"/>
    <cellStyle name="Note 2 2 2 32 14" xfId="25354"/>
    <cellStyle name="Note 2 2 2 32 14 2" xfId="25355"/>
    <cellStyle name="Note 2 2 2 32 15" xfId="25356"/>
    <cellStyle name="Note 2 2 2 32 15 2" xfId="25357"/>
    <cellStyle name="Note 2 2 2 32 16" xfId="25358"/>
    <cellStyle name="Note 2 2 2 32 16 2" xfId="25359"/>
    <cellStyle name="Note 2 2 2 32 17" xfId="25360"/>
    <cellStyle name="Note 2 2 2 32 17 2" xfId="25361"/>
    <cellStyle name="Note 2 2 2 32 18" xfId="25362"/>
    <cellStyle name="Note 2 2 2 32 18 2" xfId="25363"/>
    <cellStyle name="Note 2 2 2 32 19" xfId="25364"/>
    <cellStyle name="Note 2 2 2 32 19 2" xfId="25365"/>
    <cellStyle name="Note 2 2 2 32 2" xfId="25366"/>
    <cellStyle name="Note 2 2 2 32 2 2" xfId="25367"/>
    <cellStyle name="Note 2 2 2 32 2 3" xfId="25368"/>
    <cellStyle name="Note 2 2 2 32 20" xfId="25369"/>
    <cellStyle name="Note 2 2 2 32 20 2" xfId="25370"/>
    <cellStyle name="Note 2 2 2 32 21" xfId="25371"/>
    <cellStyle name="Note 2 2 2 32 21 2" xfId="25372"/>
    <cellStyle name="Note 2 2 2 32 22" xfId="25373"/>
    <cellStyle name="Note 2 2 2 32 22 2" xfId="25374"/>
    <cellStyle name="Note 2 2 2 32 23" xfId="25375"/>
    <cellStyle name="Note 2 2 2 32 23 2" xfId="25376"/>
    <cellStyle name="Note 2 2 2 32 24" xfId="25377"/>
    <cellStyle name="Note 2 2 2 32 24 2" xfId="25378"/>
    <cellStyle name="Note 2 2 2 32 25" xfId="25379"/>
    <cellStyle name="Note 2 2 2 32 25 2" xfId="25380"/>
    <cellStyle name="Note 2 2 2 32 26" xfId="25381"/>
    <cellStyle name="Note 2 2 2 32 26 2" xfId="25382"/>
    <cellStyle name="Note 2 2 2 32 27" xfId="25383"/>
    <cellStyle name="Note 2 2 2 32 27 2" xfId="25384"/>
    <cellStyle name="Note 2 2 2 32 28" xfId="25385"/>
    <cellStyle name="Note 2 2 2 32 28 2" xfId="25386"/>
    <cellStyle name="Note 2 2 2 32 29" xfId="25387"/>
    <cellStyle name="Note 2 2 2 32 29 2" xfId="25388"/>
    <cellStyle name="Note 2 2 2 32 3" xfId="25389"/>
    <cellStyle name="Note 2 2 2 32 3 2" xfId="25390"/>
    <cellStyle name="Note 2 2 2 32 3 3" xfId="25391"/>
    <cellStyle name="Note 2 2 2 32 30" xfId="25392"/>
    <cellStyle name="Note 2 2 2 32 30 2" xfId="25393"/>
    <cellStyle name="Note 2 2 2 32 31" xfId="25394"/>
    <cellStyle name="Note 2 2 2 32 4" xfId="25395"/>
    <cellStyle name="Note 2 2 2 32 4 2" xfId="25396"/>
    <cellStyle name="Note 2 2 2 32 5" xfId="25397"/>
    <cellStyle name="Note 2 2 2 32 5 2" xfId="25398"/>
    <cellStyle name="Note 2 2 2 32 6" xfId="25399"/>
    <cellStyle name="Note 2 2 2 32 6 2" xfId="25400"/>
    <cellStyle name="Note 2 2 2 32 7" xfId="25401"/>
    <cellStyle name="Note 2 2 2 32 7 2" xfId="25402"/>
    <cellStyle name="Note 2 2 2 32 8" xfId="25403"/>
    <cellStyle name="Note 2 2 2 32 8 2" xfId="25404"/>
    <cellStyle name="Note 2 2 2 32 9" xfId="25405"/>
    <cellStyle name="Note 2 2 2 32 9 2" xfId="25406"/>
    <cellStyle name="Note 2 2 2 33" xfId="25407"/>
    <cellStyle name="Note 2 2 2 33 2" xfId="25408"/>
    <cellStyle name="Note 2 2 2 33 2 2" xfId="25409"/>
    <cellStyle name="Note 2 2 2 33 3" xfId="25410"/>
    <cellStyle name="Note 2 2 2 33 3 2" xfId="25411"/>
    <cellStyle name="Note 2 2 2 33 4" xfId="25412"/>
    <cellStyle name="Note 2 2 2 33 4 2" xfId="25413"/>
    <cellStyle name="Note 2 2 2 33 5" xfId="25414"/>
    <cellStyle name="Note 2 2 2 34" xfId="25415"/>
    <cellStyle name="Note 2 2 2 34 2" xfId="25416"/>
    <cellStyle name="Note 2 2 2 34 2 2" xfId="25417"/>
    <cellStyle name="Note 2 2 2 34 3" xfId="25418"/>
    <cellStyle name="Note 2 2 2 34 3 2" xfId="25419"/>
    <cellStyle name="Note 2 2 2 34 4" xfId="25420"/>
    <cellStyle name="Note 2 2 2 34 4 2" xfId="25421"/>
    <cellStyle name="Note 2 2 2 34 5" xfId="25422"/>
    <cellStyle name="Note 2 2 2 35" xfId="25423"/>
    <cellStyle name="Note 2 2 2 35 2" xfId="25424"/>
    <cellStyle name="Note 2 2 2 35 2 2" xfId="25425"/>
    <cellStyle name="Note 2 2 2 35 3" xfId="25426"/>
    <cellStyle name="Note 2 2 2 35 3 2" xfId="25427"/>
    <cellStyle name="Note 2 2 2 35 4" xfId="25428"/>
    <cellStyle name="Note 2 2 2 35 4 2" xfId="25429"/>
    <cellStyle name="Note 2 2 2 35 5" xfId="25430"/>
    <cellStyle name="Note 2 2 2 36" xfId="25431"/>
    <cellStyle name="Note 2 2 2 36 2" xfId="25432"/>
    <cellStyle name="Note 2 2 2 36 2 2" xfId="25433"/>
    <cellStyle name="Note 2 2 2 36 3" xfId="25434"/>
    <cellStyle name="Note 2 2 2 36 3 2" xfId="25435"/>
    <cellStyle name="Note 2 2 2 36 4" xfId="25436"/>
    <cellStyle name="Note 2 2 2 36 4 2" xfId="25437"/>
    <cellStyle name="Note 2 2 2 36 5" xfId="25438"/>
    <cellStyle name="Note 2 2 2 37" xfId="25439"/>
    <cellStyle name="Note 2 2 2 37 2" xfId="25440"/>
    <cellStyle name="Note 2 2 2 37 2 2" xfId="25441"/>
    <cellStyle name="Note 2 2 2 37 3" xfId="25442"/>
    <cellStyle name="Note 2 2 2 37 3 2" xfId="25443"/>
    <cellStyle name="Note 2 2 2 37 4" xfId="25444"/>
    <cellStyle name="Note 2 2 2 37 4 2" xfId="25445"/>
    <cellStyle name="Note 2 2 2 37 5" xfId="25446"/>
    <cellStyle name="Note 2 2 2 38" xfId="25447"/>
    <cellStyle name="Note 2 2 2 38 2" xfId="25448"/>
    <cellStyle name="Note 2 2 2 38 2 2" xfId="25449"/>
    <cellStyle name="Note 2 2 2 38 3" xfId="25450"/>
    <cellStyle name="Note 2 2 2 38 3 2" xfId="25451"/>
    <cellStyle name="Note 2 2 2 38 4" xfId="25452"/>
    <cellStyle name="Note 2 2 2 38 4 2" xfId="25453"/>
    <cellStyle name="Note 2 2 2 38 5" xfId="25454"/>
    <cellStyle name="Note 2 2 2 39" xfId="25455"/>
    <cellStyle name="Note 2 2 2 39 2" xfId="25456"/>
    <cellStyle name="Note 2 2 2 39 2 2" xfId="25457"/>
    <cellStyle name="Note 2 2 2 39 3" xfId="25458"/>
    <cellStyle name="Note 2 2 2 39 3 2" xfId="25459"/>
    <cellStyle name="Note 2 2 2 39 4" xfId="25460"/>
    <cellStyle name="Note 2 2 2 39 4 2" xfId="25461"/>
    <cellStyle name="Note 2 2 2 39 5" xfId="25462"/>
    <cellStyle name="Note 2 2 2 4" xfId="25463"/>
    <cellStyle name="Note 2 2 2 4 10" xfId="25464"/>
    <cellStyle name="Note 2 2 2 4 10 2" xfId="25465"/>
    <cellStyle name="Note 2 2 2 4 10 2 2" xfId="25466"/>
    <cellStyle name="Note 2 2 2 4 10 3" xfId="25467"/>
    <cellStyle name="Note 2 2 2 4 10 3 2" xfId="25468"/>
    <cellStyle name="Note 2 2 2 4 10 4" xfId="25469"/>
    <cellStyle name="Note 2 2 2 4 10 4 2" xfId="25470"/>
    <cellStyle name="Note 2 2 2 4 10 5" xfId="25471"/>
    <cellStyle name="Note 2 2 2 4 11" xfId="25472"/>
    <cellStyle name="Note 2 2 2 4 11 2" xfId="25473"/>
    <cellStyle name="Note 2 2 2 4 11 2 2" xfId="25474"/>
    <cellStyle name="Note 2 2 2 4 11 3" xfId="25475"/>
    <cellStyle name="Note 2 2 2 4 11 3 2" xfId="25476"/>
    <cellStyle name="Note 2 2 2 4 11 4" xfId="25477"/>
    <cellStyle name="Note 2 2 2 4 11 4 2" xfId="25478"/>
    <cellStyle name="Note 2 2 2 4 11 5" xfId="25479"/>
    <cellStyle name="Note 2 2 2 4 12" xfId="25480"/>
    <cellStyle name="Note 2 2 2 4 12 2" xfId="25481"/>
    <cellStyle name="Note 2 2 2 4 12 2 2" xfId="25482"/>
    <cellStyle name="Note 2 2 2 4 12 3" xfId="25483"/>
    <cellStyle name="Note 2 2 2 4 12 3 2" xfId="25484"/>
    <cellStyle name="Note 2 2 2 4 12 4" xfId="25485"/>
    <cellStyle name="Note 2 2 2 4 12 4 2" xfId="25486"/>
    <cellStyle name="Note 2 2 2 4 12 5" xfId="25487"/>
    <cellStyle name="Note 2 2 2 4 13" xfId="25488"/>
    <cellStyle name="Note 2 2 2 4 13 2" xfId="25489"/>
    <cellStyle name="Note 2 2 2 4 13 2 2" xfId="25490"/>
    <cellStyle name="Note 2 2 2 4 13 3" xfId="25491"/>
    <cellStyle name="Note 2 2 2 4 13 3 2" xfId="25492"/>
    <cellStyle name="Note 2 2 2 4 13 4" xfId="25493"/>
    <cellStyle name="Note 2 2 2 4 13 4 2" xfId="25494"/>
    <cellStyle name="Note 2 2 2 4 13 5" xfId="25495"/>
    <cellStyle name="Note 2 2 2 4 14" xfId="25496"/>
    <cellStyle name="Note 2 2 2 4 14 2" xfId="25497"/>
    <cellStyle name="Note 2 2 2 4 14 2 2" xfId="25498"/>
    <cellStyle name="Note 2 2 2 4 14 3" xfId="25499"/>
    <cellStyle name="Note 2 2 2 4 14 3 2" xfId="25500"/>
    <cellStyle name="Note 2 2 2 4 14 4" xfId="25501"/>
    <cellStyle name="Note 2 2 2 4 14 4 2" xfId="25502"/>
    <cellStyle name="Note 2 2 2 4 14 5" xfId="25503"/>
    <cellStyle name="Note 2 2 2 4 15" xfId="25504"/>
    <cellStyle name="Note 2 2 2 4 15 2" xfId="25505"/>
    <cellStyle name="Note 2 2 2 4 16" xfId="25506"/>
    <cellStyle name="Note 2 2 2 4 16 2" xfId="25507"/>
    <cellStyle name="Note 2 2 2 4 17" xfId="25508"/>
    <cellStyle name="Note 2 2 2 4 17 2" xfId="25509"/>
    <cellStyle name="Note 2 2 2 4 18" xfId="25510"/>
    <cellStyle name="Note 2 2 2 4 18 2" xfId="25511"/>
    <cellStyle name="Note 2 2 2 4 19" xfId="25512"/>
    <cellStyle name="Note 2 2 2 4 19 2" xfId="25513"/>
    <cellStyle name="Note 2 2 2 4 2" xfId="25514"/>
    <cellStyle name="Note 2 2 2 4 2 10" xfId="25515"/>
    <cellStyle name="Note 2 2 2 4 2 10 2" xfId="25516"/>
    <cellStyle name="Note 2 2 2 4 2 11" xfId="25517"/>
    <cellStyle name="Note 2 2 2 4 2 11 2" xfId="25518"/>
    <cellStyle name="Note 2 2 2 4 2 12" xfId="25519"/>
    <cellStyle name="Note 2 2 2 4 2 12 2" xfId="25520"/>
    <cellStyle name="Note 2 2 2 4 2 13" xfId="25521"/>
    <cellStyle name="Note 2 2 2 4 2 13 2" xfId="25522"/>
    <cellStyle name="Note 2 2 2 4 2 14" xfId="25523"/>
    <cellStyle name="Note 2 2 2 4 2 14 2" xfId="25524"/>
    <cellStyle name="Note 2 2 2 4 2 15" xfId="25525"/>
    <cellStyle name="Note 2 2 2 4 2 15 2" xfId="25526"/>
    <cellStyle name="Note 2 2 2 4 2 16" xfId="25527"/>
    <cellStyle name="Note 2 2 2 4 2 16 2" xfId="25528"/>
    <cellStyle name="Note 2 2 2 4 2 17" xfId="25529"/>
    <cellStyle name="Note 2 2 2 4 2 17 2" xfId="25530"/>
    <cellStyle name="Note 2 2 2 4 2 18" xfId="25531"/>
    <cellStyle name="Note 2 2 2 4 2 18 2" xfId="25532"/>
    <cellStyle name="Note 2 2 2 4 2 19" xfId="25533"/>
    <cellStyle name="Note 2 2 2 4 2 19 2" xfId="25534"/>
    <cellStyle name="Note 2 2 2 4 2 2" xfId="25535"/>
    <cellStyle name="Note 2 2 2 4 2 2 2" xfId="25536"/>
    <cellStyle name="Note 2 2 2 4 2 2 3" xfId="25537"/>
    <cellStyle name="Note 2 2 2 4 2 20" xfId="25538"/>
    <cellStyle name="Note 2 2 2 4 2 20 2" xfId="25539"/>
    <cellStyle name="Note 2 2 2 4 2 21" xfId="25540"/>
    <cellStyle name="Note 2 2 2 4 2 21 2" xfId="25541"/>
    <cellStyle name="Note 2 2 2 4 2 22" xfId="25542"/>
    <cellStyle name="Note 2 2 2 4 2 22 2" xfId="25543"/>
    <cellStyle name="Note 2 2 2 4 2 23" xfId="25544"/>
    <cellStyle name="Note 2 2 2 4 2 23 2" xfId="25545"/>
    <cellStyle name="Note 2 2 2 4 2 24" xfId="25546"/>
    <cellStyle name="Note 2 2 2 4 2 24 2" xfId="25547"/>
    <cellStyle name="Note 2 2 2 4 2 25" xfId="25548"/>
    <cellStyle name="Note 2 2 2 4 2 25 2" xfId="25549"/>
    <cellStyle name="Note 2 2 2 4 2 26" xfId="25550"/>
    <cellStyle name="Note 2 2 2 4 2 26 2" xfId="25551"/>
    <cellStyle name="Note 2 2 2 4 2 27" xfId="25552"/>
    <cellStyle name="Note 2 2 2 4 2 27 2" xfId="25553"/>
    <cellStyle name="Note 2 2 2 4 2 28" xfId="25554"/>
    <cellStyle name="Note 2 2 2 4 2 28 2" xfId="25555"/>
    <cellStyle name="Note 2 2 2 4 2 29" xfId="25556"/>
    <cellStyle name="Note 2 2 2 4 2 29 2" xfId="25557"/>
    <cellStyle name="Note 2 2 2 4 2 3" xfId="25558"/>
    <cellStyle name="Note 2 2 2 4 2 3 2" xfId="25559"/>
    <cellStyle name="Note 2 2 2 4 2 3 3" xfId="25560"/>
    <cellStyle name="Note 2 2 2 4 2 30" xfId="25561"/>
    <cellStyle name="Note 2 2 2 4 2 30 2" xfId="25562"/>
    <cellStyle name="Note 2 2 2 4 2 31" xfId="25563"/>
    <cellStyle name="Note 2 2 2 4 2 4" xfId="25564"/>
    <cellStyle name="Note 2 2 2 4 2 4 2" xfId="25565"/>
    <cellStyle name="Note 2 2 2 4 2 5" xfId="25566"/>
    <cellStyle name="Note 2 2 2 4 2 5 2" xfId="25567"/>
    <cellStyle name="Note 2 2 2 4 2 6" xfId="25568"/>
    <cellStyle name="Note 2 2 2 4 2 6 2" xfId="25569"/>
    <cellStyle name="Note 2 2 2 4 2 7" xfId="25570"/>
    <cellStyle name="Note 2 2 2 4 2 7 2" xfId="25571"/>
    <cellStyle name="Note 2 2 2 4 2 8" xfId="25572"/>
    <cellStyle name="Note 2 2 2 4 2 8 2" xfId="25573"/>
    <cellStyle name="Note 2 2 2 4 2 9" xfId="25574"/>
    <cellStyle name="Note 2 2 2 4 2 9 2" xfId="25575"/>
    <cellStyle name="Note 2 2 2 4 20" xfId="25576"/>
    <cellStyle name="Note 2 2 2 4 20 2" xfId="25577"/>
    <cellStyle name="Note 2 2 2 4 21" xfId="25578"/>
    <cellStyle name="Note 2 2 2 4 21 2" xfId="25579"/>
    <cellStyle name="Note 2 2 2 4 22" xfId="25580"/>
    <cellStyle name="Note 2 2 2 4 22 2" xfId="25581"/>
    <cellStyle name="Note 2 2 2 4 23" xfId="25582"/>
    <cellStyle name="Note 2 2 2 4 23 2" xfId="25583"/>
    <cellStyle name="Note 2 2 2 4 24" xfId="25584"/>
    <cellStyle name="Note 2 2 2 4 24 2" xfId="25585"/>
    <cellStyle name="Note 2 2 2 4 25" xfId="25586"/>
    <cellStyle name="Note 2 2 2 4 25 2" xfId="25587"/>
    <cellStyle name="Note 2 2 2 4 26" xfId="25588"/>
    <cellStyle name="Note 2 2 2 4 26 2" xfId="25589"/>
    <cellStyle name="Note 2 2 2 4 27" xfId="25590"/>
    <cellStyle name="Note 2 2 2 4 27 2" xfId="25591"/>
    <cellStyle name="Note 2 2 2 4 28" xfId="25592"/>
    <cellStyle name="Note 2 2 2 4 28 2" xfId="25593"/>
    <cellStyle name="Note 2 2 2 4 29" xfId="25594"/>
    <cellStyle name="Note 2 2 2 4 29 2" xfId="25595"/>
    <cellStyle name="Note 2 2 2 4 3" xfId="25596"/>
    <cellStyle name="Note 2 2 2 4 3 2" xfId="25597"/>
    <cellStyle name="Note 2 2 2 4 3 2 2" xfId="25598"/>
    <cellStyle name="Note 2 2 2 4 3 3" xfId="25599"/>
    <cellStyle name="Note 2 2 2 4 3 3 2" xfId="25600"/>
    <cellStyle name="Note 2 2 2 4 3 4" xfId="25601"/>
    <cellStyle name="Note 2 2 2 4 3 4 2" xfId="25602"/>
    <cellStyle name="Note 2 2 2 4 3 5" xfId="25603"/>
    <cellStyle name="Note 2 2 2 4 30" xfId="25604"/>
    <cellStyle name="Note 2 2 2 4 30 2" xfId="25605"/>
    <cellStyle name="Note 2 2 2 4 31" xfId="25606"/>
    <cellStyle name="Note 2 2 2 4 31 2" xfId="25607"/>
    <cellStyle name="Note 2 2 2 4 32" xfId="25608"/>
    <cellStyle name="Note 2 2 2 4 32 2" xfId="25609"/>
    <cellStyle name="Note 2 2 2 4 33" xfId="25610"/>
    <cellStyle name="Note 2 2 2 4 33 2" xfId="25611"/>
    <cellStyle name="Note 2 2 2 4 34" xfId="25612"/>
    <cellStyle name="Note 2 2 2 4 34 2" xfId="25613"/>
    <cellStyle name="Note 2 2 2 4 35" xfId="25614"/>
    <cellStyle name="Note 2 2 2 4 35 2" xfId="25615"/>
    <cellStyle name="Note 2 2 2 4 36" xfId="25616"/>
    <cellStyle name="Note 2 2 2 4 36 2" xfId="25617"/>
    <cellStyle name="Note 2 2 2 4 37" xfId="25618"/>
    <cellStyle name="Note 2 2 2 4 37 2" xfId="25619"/>
    <cellStyle name="Note 2 2 2 4 38" xfId="25620"/>
    <cellStyle name="Note 2 2 2 4 38 2" xfId="25621"/>
    <cellStyle name="Note 2 2 2 4 39" xfId="25622"/>
    <cellStyle name="Note 2 2 2 4 39 2" xfId="25623"/>
    <cellStyle name="Note 2 2 2 4 4" xfId="25624"/>
    <cellStyle name="Note 2 2 2 4 4 2" xfId="25625"/>
    <cellStyle name="Note 2 2 2 4 4 2 2" xfId="25626"/>
    <cellStyle name="Note 2 2 2 4 4 3" xfId="25627"/>
    <cellStyle name="Note 2 2 2 4 4 3 2" xfId="25628"/>
    <cellStyle name="Note 2 2 2 4 4 4" xfId="25629"/>
    <cellStyle name="Note 2 2 2 4 4 4 2" xfId="25630"/>
    <cellStyle name="Note 2 2 2 4 4 5" xfId="25631"/>
    <cellStyle name="Note 2 2 2 4 40" xfId="25632"/>
    <cellStyle name="Note 2 2 2 4 40 2" xfId="25633"/>
    <cellStyle name="Note 2 2 2 4 41" xfId="25634"/>
    <cellStyle name="Note 2 2 2 4 41 2" xfId="25635"/>
    <cellStyle name="Note 2 2 2 4 42" xfId="25636"/>
    <cellStyle name="Note 2 2 2 4 42 2" xfId="25637"/>
    <cellStyle name="Note 2 2 2 4 43" xfId="25638"/>
    <cellStyle name="Note 2 2 2 4 43 2" xfId="25639"/>
    <cellStyle name="Note 2 2 2 4 44" xfId="25640"/>
    <cellStyle name="Note 2 2 2 4 44 2" xfId="25641"/>
    <cellStyle name="Note 2 2 2 4 45" xfId="25642"/>
    <cellStyle name="Note 2 2 2 4 45 2" xfId="25643"/>
    <cellStyle name="Note 2 2 2 4 46" xfId="25644"/>
    <cellStyle name="Note 2 2 2 4 46 2" xfId="25645"/>
    <cellStyle name="Note 2 2 2 4 47" xfId="25646"/>
    <cellStyle name="Note 2 2 2 4 47 2" xfId="25647"/>
    <cellStyle name="Note 2 2 2 4 48" xfId="25648"/>
    <cellStyle name="Note 2 2 2 4 48 2" xfId="25649"/>
    <cellStyle name="Note 2 2 2 4 49" xfId="25650"/>
    <cellStyle name="Note 2 2 2 4 49 2" xfId="25651"/>
    <cellStyle name="Note 2 2 2 4 5" xfId="25652"/>
    <cellStyle name="Note 2 2 2 4 5 2" xfId="25653"/>
    <cellStyle name="Note 2 2 2 4 5 2 2" xfId="25654"/>
    <cellStyle name="Note 2 2 2 4 5 3" xfId="25655"/>
    <cellStyle name="Note 2 2 2 4 5 3 2" xfId="25656"/>
    <cellStyle name="Note 2 2 2 4 5 4" xfId="25657"/>
    <cellStyle name="Note 2 2 2 4 5 4 2" xfId="25658"/>
    <cellStyle name="Note 2 2 2 4 5 5" xfId="25659"/>
    <cellStyle name="Note 2 2 2 4 50" xfId="25660"/>
    <cellStyle name="Note 2 2 2 4 50 2" xfId="25661"/>
    <cellStyle name="Note 2 2 2 4 51" xfId="25662"/>
    <cellStyle name="Note 2 2 2 4 51 2" xfId="25663"/>
    <cellStyle name="Note 2 2 2 4 52" xfId="25664"/>
    <cellStyle name="Note 2 2 2 4 52 2" xfId="25665"/>
    <cellStyle name="Note 2 2 2 4 53" xfId="25666"/>
    <cellStyle name="Note 2 2 2 4 53 2" xfId="25667"/>
    <cellStyle name="Note 2 2 2 4 54" xfId="25668"/>
    <cellStyle name="Note 2 2 2 4 54 2" xfId="25669"/>
    <cellStyle name="Note 2 2 2 4 55" xfId="25670"/>
    <cellStyle name="Note 2 2 2 4 55 2" xfId="25671"/>
    <cellStyle name="Note 2 2 2 4 56" xfId="25672"/>
    <cellStyle name="Note 2 2 2 4 56 2" xfId="25673"/>
    <cellStyle name="Note 2 2 2 4 57" xfId="25674"/>
    <cellStyle name="Note 2 2 2 4 57 2" xfId="25675"/>
    <cellStyle name="Note 2 2 2 4 58" xfId="25676"/>
    <cellStyle name="Note 2 2 2 4 58 2" xfId="25677"/>
    <cellStyle name="Note 2 2 2 4 59" xfId="25678"/>
    <cellStyle name="Note 2 2 2 4 59 2" xfId="25679"/>
    <cellStyle name="Note 2 2 2 4 6" xfId="25680"/>
    <cellStyle name="Note 2 2 2 4 6 2" xfId="25681"/>
    <cellStyle name="Note 2 2 2 4 6 2 2" xfId="25682"/>
    <cellStyle name="Note 2 2 2 4 6 3" xfId="25683"/>
    <cellStyle name="Note 2 2 2 4 6 3 2" xfId="25684"/>
    <cellStyle name="Note 2 2 2 4 6 4" xfId="25685"/>
    <cellStyle name="Note 2 2 2 4 6 4 2" xfId="25686"/>
    <cellStyle name="Note 2 2 2 4 6 5" xfId="25687"/>
    <cellStyle name="Note 2 2 2 4 60" xfId="25688"/>
    <cellStyle name="Note 2 2 2 4 60 2" xfId="25689"/>
    <cellStyle name="Note 2 2 2 4 61" xfId="25690"/>
    <cellStyle name="Note 2 2 2 4 61 2" xfId="25691"/>
    <cellStyle name="Note 2 2 2 4 62" xfId="25692"/>
    <cellStyle name="Note 2 2 2 4 7" xfId="25693"/>
    <cellStyle name="Note 2 2 2 4 7 2" xfId="25694"/>
    <cellStyle name="Note 2 2 2 4 7 2 2" xfId="25695"/>
    <cellStyle name="Note 2 2 2 4 7 3" xfId="25696"/>
    <cellStyle name="Note 2 2 2 4 7 3 2" xfId="25697"/>
    <cellStyle name="Note 2 2 2 4 7 4" xfId="25698"/>
    <cellStyle name="Note 2 2 2 4 7 4 2" xfId="25699"/>
    <cellStyle name="Note 2 2 2 4 7 5" xfId="25700"/>
    <cellStyle name="Note 2 2 2 4 8" xfId="25701"/>
    <cellStyle name="Note 2 2 2 4 8 2" xfId="25702"/>
    <cellStyle name="Note 2 2 2 4 8 2 2" xfId="25703"/>
    <cellStyle name="Note 2 2 2 4 8 3" xfId="25704"/>
    <cellStyle name="Note 2 2 2 4 8 3 2" xfId="25705"/>
    <cellStyle name="Note 2 2 2 4 8 4" xfId="25706"/>
    <cellStyle name="Note 2 2 2 4 8 4 2" xfId="25707"/>
    <cellStyle name="Note 2 2 2 4 8 5" xfId="25708"/>
    <cellStyle name="Note 2 2 2 4 9" xfId="25709"/>
    <cellStyle name="Note 2 2 2 4 9 2" xfId="25710"/>
    <cellStyle name="Note 2 2 2 4 9 2 2" xfId="25711"/>
    <cellStyle name="Note 2 2 2 4 9 3" xfId="25712"/>
    <cellStyle name="Note 2 2 2 4 9 3 2" xfId="25713"/>
    <cellStyle name="Note 2 2 2 4 9 4" xfId="25714"/>
    <cellStyle name="Note 2 2 2 4 9 4 2" xfId="25715"/>
    <cellStyle name="Note 2 2 2 4 9 5" xfId="25716"/>
    <cellStyle name="Note 2 2 2 40" xfId="25717"/>
    <cellStyle name="Note 2 2 2 40 2" xfId="25718"/>
    <cellStyle name="Note 2 2 2 40 2 2" xfId="25719"/>
    <cellStyle name="Note 2 2 2 40 3" xfId="25720"/>
    <cellStyle name="Note 2 2 2 40 3 2" xfId="25721"/>
    <cellStyle name="Note 2 2 2 40 4" xfId="25722"/>
    <cellStyle name="Note 2 2 2 40 4 2" xfId="25723"/>
    <cellStyle name="Note 2 2 2 40 5" xfId="25724"/>
    <cellStyle name="Note 2 2 2 41" xfId="25725"/>
    <cellStyle name="Note 2 2 2 41 2" xfId="25726"/>
    <cellStyle name="Note 2 2 2 41 2 2" xfId="25727"/>
    <cellStyle name="Note 2 2 2 41 3" xfId="25728"/>
    <cellStyle name="Note 2 2 2 41 3 2" xfId="25729"/>
    <cellStyle name="Note 2 2 2 41 4" xfId="25730"/>
    <cellStyle name="Note 2 2 2 41 4 2" xfId="25731"/>
    <cellStyle name="Note 2 2 2 41 5" xfId="25732"/>
    <cellStyle name="Note 2 2 2 42" xfId="25733"/>
    <cellStyle name="Note 2 2 2 42 2" xfId="25734"/>
    <cellStyle name="Note 2 2 2 42 2 2" xfId="25735"/>
    <cellStyle name="Note 2 2 2 42 3" xfId="25736"/>
    <cellStyle name="Note 2 2 2 42 3 2" xfId="25737"/>
    <cellStyle name="Note 2 2 2 42 4" xfId="25738"/>
    <cellStyle name="Note 2 2 2 42 4 2" xfId="25739"/>
    <cellStyle name="Note 2 2 2 42 5" xfId="25740"/>
    <cellStyle name="Note 2 2 2 43" xfId="25741"/>
    <cellStyle name="Note 2 2 2 43 2" xfId="25742"/>
    <cellStyle name="Note 2 2 2 43 2 2" xfId="25743"/>
    <cellStyle name="Note 2 2 2 43 3" xfId="25744"/>
    <cellStyle name="Note 2 2 2 43 3 2" xfId="25745"/>
    <cellStyle name="Note 2 2 2 43 4" xfId="25746"/>
    <cellStyle name="Note 2 2 2 43 4 2" xfId="25747"/>
    <cellStyle name="Note 2 2 2 43 5" xfId="25748"/>
    <cellStyle name="Note 2 2 2 44" xfId="25749"/>
    <cellStyle name="Note 2 2 2 44 2" xfId="25750"/>
    <cellStyle name="Note 2 2 2 44 2 2" xfId="25751"/>
    <cellStyle name="Note 2 2 2 44 3" xfId="25752"/>
    <cellStyle name="Note 2 2 2 44 3 2" xfId="25753"/>
    <cellStyle name="Note 2 2 2 44 4" xfId="25754"/>
    <cellStyle name="Note 2 2 2 44 4 2" xfId="25755"/>
    <cellStyle name="Note 2 2 2 44 5" xfId="25756"/>
    <cellStyle name="Note 2 2 2 45" xfId="25757"/>
    <cellStyle name="Note 2 2 2 45 2" xfId="25758"/>
    <cellStyle name="Note 2 2 2 45 2 2" xfId="25759"/>
    <cellStyle name="Note 2 2 2 45 3" xfId="25760"/>
    <cellStyle name="Note 2 2 2 45 3 2" xfId="25761"/>
    <cellStyle name="Note 2 2 2 45 4" xfId="25762"/>
    <cellStyle name="Note 2 2 2 45 4 2" xfId="25763"/>
    <cellStyle name="Note 2 2 2 45 5" xfId="25764"/>
    <cellStyle name="Note 2 2 2 46" xfId="25765"/>
    <cellStyle name="Note 2 2 2 46 2" xfId="25766"/>
    <cellStyle name="Note 2 2 2 46 2 2" xfId="25767"/>
    <cellStyle name="Note 2 2 2 46 3" xfId="25768"/>
    <cellStyle name="Note 2 2 2 46 3 2" xfId="25769"/>
    <cellStyle name="Note 2 2 2 46 4" xfId="25770"/>
    <cellStyle name="Note 2 2 2 46 4 2" xfId="25771"/>
    <cellStyle name="Note 2 2 2 46 5" xfId="25772"/>
    <cellStyle name="Note 2 2 2 47" xfId="25773"/>
    <cellStyle name="Note 2 2 2 47 2" xfId="25774"/>
    <cellStyle name="Note 2 2 2 47 2 2" xfId="25775"/>
    <cellStyle name="Note 2 2 2 47 3" xfId="25776"/>
    <cellStyle name="Note 2 2 2 47 3 2" xfId="25777"/>
    <cellStyle name="Note 2 2 2 47 4" xfId="25778"/>
    <cellStyle name="Note 2 2 2 47 4 2" xfId="25779"/>
    <cellStyle name="Note 2 2 2 47 5" xfId="25780"/>
    <cellStyle name="Note 2 2 2 48" xfId="25781"/>
    <cellStyle name="Note 2 2 2 48 2" xfId="25782"/>
    <cellStyle name="Note 2 2 2 49" xfId="25783"/>
    <cellStyle name="Note 2 2 2 49 2" xfId="25784"/>
    <cellStyle name="Note 2 2 2 5" xfId="25785"/>
    <cellStyle name="Note 2 2 2 5 10" xfId="25786"/>
    <cellStyle name="Note 2 2 2 5 10 2" xfId="25787"/>
    <cellStyle name="Note 2 2 2 5 10 2 2" xfId="25788"/>
    <cellStyle name="Note 2 2 2 5 10 3" xfId="25789"/>
    <cellStyle name="Note 2 2 2 5 10 3 2" xfId="25790"/>
    <cellStyle name="Note 2 2 2 5 10 4" xfId="25791"/>
    <cellStyle name="Note 2 2 2 5 10 4 2" xfId="25792"/>
    <cellStyle name="Note 2 2 2 5 10 5" xfId="25793"/>
    <cellStyle name="Note 2 2 2 5 11" xfId="25794"/>
    <cellStyle name="Note 2 2 2 5 11 2" xfId="25795"/>
    <cellStyle name="Note 2 2 2 5 11 2 2" xfId="25796"/>
    <cellStyle name="Note 2 2 2 5 11 3" xfId="25797"/>
    <cellStyle name="Note 2 2 2 5 11 3 2" xfId="25798"/>
    <cellStyle name="Note 2 2 2 5 11 4" xfId="25799"/>
    <cellStyle name="Note 2 2 2 5 11 4 2" xfId="25800"/>
    <cellStyle name="Note 2 2 2 5 11 5" xfId="25801"/>
    <cellStyle name="Note 2 2 2 5 12" xfId="25802"/>
    <cellStyle name="Note 2 2 2 5 12 2" xfId="25803"/>
    <cellStyle name="Note 2 2 2 5 12 2 2" xfId="25804"/>
    <cellStyle name="Note 2 2 2 5 12 3" xfId="25805"/>
    <cellStyle name="Note 2 2 2 5 12 3 2" xfId="25806"/>
    <cellStyle name="Note 2 2 2 5 12 4" xfId="25807"/>
    <cellStyle name="Note 2 2 2 5 12 4 2" xfId="25808"/>
    <cellStyle name="Note 2 2 2 5 12 5" xfId="25809"/>
    <cellStyle name="Note 2 2 2 5 13" xfId="25810"/>
    <cellStyle name="Note 2 2 2 5 13 2" xfId="25811"/>
    <cellStyle name="Note 2 2 2 5 13 2 2" xfId="25812"/>
    <cellStyle name="Note 2 2 2 5 13 3" xfId="25813"/>
    <cellStyle name="Note 2 2 2 5 13 3 2" xfId="25814"/>
    <cellStyle name="Note 2 2 2 5 13 4" xfId="25815"/>
    <cellStyle name="Note 2 2 2 5 13 4 2" xfId="25816"/>
    <cellStyle name="Note 2 2 2 5 13 5" xfId="25817"/>
    <cellStyle name="Note 2 2 2 5 14" xfId="25818"/>
    <cellStyle name="Note 2 2 2 5 14 2" xfId="25819"/>
    <cellStyle name="Note 2 2 2 5 14 2 2" xfId="25820"/>
    <cellStyle name="Note 2 2 2 5 14 3" xfId="25821"/>
    <cellStyle name="Note 2 2 2 5 14 3 2" xfId="25822"/>
    <cellStyle name="Note 2 2 2 5 14 4" xfId="25823"/>
    <cellStyle name="Note 2 2 2 5 14 4 2" xfId="25824"/>
    <cellStyle name="Note 2 2 2 5 14 5" xfId="25825"/>
    <cellStyle name="Note 2 2 2 5 15" xfId="25826"/>
    <cellStyle name="Note 2 2 2 5 15 2" xfId="25827"/>
    <cellStyle name="Note 2 2 2 5 16" xfId="25828"/>
    <cellStyle name="Note 2 2 2 5 16 2" xfId="25829"/>
    <cellStyle name="Note 2 2 2 5 17" xfId="25830"/>
    <cellStyle name="Note 2 2 2 5 17 2" xfId="25831"/>
    <cellStyle name="Note 2 2 2 5 18" xfId="25832"/>
    <cellStyle name="Note 2 2 2 5 18 2" xfId="25833"/>
    <cellStyle name="Note 2 2 2 5 19" xfId="25834"/>
    <cellStyle name="Note 2 2 2 5 19 2" xfId="25835"/>
    <cellStyle name="Note 2 2 2 5 2" xfId="25836"/>
    <cellStyle name="Note 2 2 2 5 2 10" xfId="25837"/>
    <cellStyle name="Note 2 2 2 5 2 10 2" xfId="25838"/>
    <cellStyle name="Note 2 2 2 5 2 11" xfId="25839"/>
    <cellStyle name="Note 2 2 2 5 2 11 2" xfId="25840"/>
    <cellStyle name="Note 2 2 2 5 2 12" xfId="25841"/>
    <cellStyle name="Note 2 2 2 5 2 12 2" xfId="25842"/>
    <cellStyle name="Note 2 2 2 5 2 13" xfId="25843"/>
    <cellStyle name="Note 2 2 2 5 2 13 2" xfId="25844"/>
    <cellStyle name="Note 2 2 2 5 2 14" xfId="25845"/>
    <cellStyle name="Note 2 2 2 5 2 14 2" xfId="25846"/>
    <cellStyle name="Note 2 2 2 5 2 15" xfId="25847"/>
    <cellStyle name="Note 2 2 2 5 2 15 2" xfId="25848"/>
    <cellStyle name="Note 2 2 2 5 2 16" xfId="25849"/>
    <cellStyle name="Note 2 2 2 5 2 16 2" xfId="25850"/>
    <cellStyle name="Note 2 2 2 5 2 17" xfId="25851"/>
    <cellStyle name="Note 2 2 2 5 2 17 2" xfId="25852"/>
    <cellStyle name="Note 2 2 2 5 2 18" xfId="25853"/>
    <cellStyle name="Note 2 2 2 5 2 18 2" xfId="25854"/>
    <cellStyle name="Note 2 2 2 5 2 19" xfId="25855"/>
    <cellStyle name="Note 2 2 2 5 2 19 2" xfId="25856"/>
    <cellStyle name="Note 2 2 2 5 2 2" xfId="25857"/>
    <cellStyle name="Note 2 2 2 5 2 2 2" xfId="25858"/>
    <cellStyle name="Note 2 2 2 5 2 2 3" xfId="25859"/>
    <cellStyle name="Note 2 2 2 5 2 20" xfId="25860"/>
    <cellStyle name="Note 2 2 2 5 2 20 2" xfId="25861"/>
    <cellStyle name="Note 2 2 2 5 2 21" xfId="25862"/>
    <cellStyle name="Note 2 2 2 5 2 21 2" xfId="25863"/>
    <cellStyle name="Note 2 2 2 5 2 22" xfId="25864"/>
    <cellStyle name="Note 2 2 2 5 2 22 2" xfId="25865"/>
    <cellStyle name="Note 2 2 2 5 2 23" xfId="25866"/>
    <cellStyle name="Note 2 2 2 5 2 23 2" xfId="25867"/>
    <cellStyle name="Note 2 2 2 5 2 24" xfId="25868"/>
    <cellStyle name="Note 2 2 2 5 2 24 2" xfId="25869"/>
    <cellStyle name="Note 2 2 2 5 2 25" xfId="25870"/>
    <cellStyle name="Note 2 2 2 5 2 25 2" xfId="25871"/>
    <cellStyle name="Note 2 2 2 5 2 26" xfId="25872"/>
    <cellStyle name="Note 2 2 2 5 2 26 2" xfId="25873"/>
    <cellStyle name="Note 2 2 2 5 2 27" xfId="25874"/>
    <cellStyle name="Note 2 2 2 5 2 27 2" xfId="25875"/>
    <cellStyle name="Note 2 2 2 5 2 28" xfId="25876"/>
    <cellStyle name="Note 2 2 2 5 2 28 2" xfId="25877"/>
    <cellStyle name="Note 2 2 2 5 2 29" xfId="25878"/>
    <cellStyle name="Note 2 2 2 5 2 29 2" xfId="25879"/>
    <cellStyle name="Note 2 2 2 5 2 3" xfId="25880"/>
    <cellStyle name="Note 2 2 2 5 2 3 2" xfId="25881"/>
    <cellStyle name="Note 2 2 2 5 2 3 3" xfId="25882"/>
    <cellStyle name="Note 2 2 2 5 2 30" xfId="25883"/>
    <cellStyle name="Note 2 2 2 5 2 30 2" xfId="25884"/>
    <cellStyle name="Note 2 2 2 5 2 31" xfId="25885"/>
    <cellStyle name="Note 2 2 2 5 2 4" xfId="25886"/>
    <cellStyle name="Note 2 2 2 5 2 4 2" xfId="25887"/>
    <cellStyle name="Note 2 2 2 5 2 5" xfId="25888"/>
    <cellStyle name="Note 2 2 2 5 2 5 2" xfId="25889"/>
    <cellStyle name="Note 2 2 2 5 2 6" xfId="25890"/>
    <cellStyle name="Note 2 2 2 5 2 6 2" xfId="25891"/>
    <cellStyle name="Note 2 2 2 5 2 7" xfId="25892"/>
    <cellStyle name="Note 2 2 2 5 2 7 2" xfId="25893"/>
    <cellStyle name="Note 2 2 2 5 2 8" xfId="25894"/>
    <cellStyle name="Note 2 2 2 5 2 8 2" xfId="25895"/>
    <cellStyle name="Note 2 2 2 5 2 9" xfId="25896"/>
    <cellStyle name="Note 2 2 2 5 2 9 2" xfId="25897"/>
    <cellStyle name="Note 2 2 2 5 20" xfId="25898"/>
    <cellStyle name="Note 2 2 2 5 20 2" xfId="25899"/>
    <cellStyle name="Note 2 2 2 5 21" xfId="25900"/>
    <cellStyle name="Note 2 2 2 5 21 2" xfId="25901"/>
    <cellStyle name="Note 2 2 2 5 22" xfId="25902"/>
    <cellStyle name="Note 2 2 2 5 22 2" xfId="25903"/>
    <cellStyle name="Note 2 2 2 5 23" xfId="25904"/>
    <cellStyle name="Note 2 2 2 5 23 2" xfId="25905"/>
    <cellStyle name="Note 2 2 2 5 24" xfId="25906"/>
    <cellStyle name="Note 2 2 2 5 24 2" xfId="25907"/>
    <cellStyle name="Note 2 2 2 5 25" xfId="25908"/>
    <cellStyle name="Note 2 2 2 5 25 2" xfId="25909"/>
    <cellStyle name="Note 2 2 2 5 26" xfId="25910"/>
    <cellStyle name="Note 2 2 2 5 26 2" xfId="25911"/>
    <cellStyle name="Note 2 2 2 5 27" xfId="25912"/>
    <cellStyle name="Note 2 2 2 5 27 2" xfId="25913"/>
    <cellStyle name="Note 2 2 2 5 28" xfId="25914"/>
    <cellStyle name="Note 2 2 2 5 28 2" xfId="25915"/>
    <cellStyle name="Note 2 2 2 5 29" xfId="25916"/>
    <cellStyle name="Note 2 2 2 5 29 2" xfId="25917"/>
    <cellStyle name="Note 2 2 2 5 3" xfId="25918"/>
    <cellStyle name="Note 2 2 2 5 3 2" xfId="25919"/>
    <cellStyle name="Note 2 2 2 5 3 2 2" xfId="25920"/>
    <cellStyle name="Note 2 2 2 5 3 3" xfId="25921"/>
    <cellStyle name="Note 2 2 2 5 3 3 2" xfId="25922"/>
    <cellStyle name="Note 2 2 2 5 3 4" xfId="25923"/>
    <cellStyle name="Note 2 2 2 5 3 4 2" xfId="25924"/>
    <cellStyle name="Note 2 2 2 5 3 5" xfId="25925"/>
    <cellStyle name="Note 2 2 2 5 30" xfId="25926"/>
    <cellStyle name="Note 2 2 2 5 30 2" xfId="25927"/>
    <cellStyle name="Note 2 2 2 5 31" xfId="25928"/>
    <cellStyle name="Note 2 2 2 5 31 2" xfId="25929"/>
    <cellStyle name="Note 2 2 2 5 32" xfId="25930"/>
    <cellStyle name="Note 2 2 2 5 32 2" xfId="25931"/>
    <cellStyle name="Note 2 2 2 5 33" xfId="25932"/>
    <cellStyle name="Note 2 2 2 5 33 2" xfId="25933"/>
    <cellStyle name="Note 2 2 2 5 34" xfId="25934"/>
    <cellStyle name="Note 2 2 2 5 34 2" xfId="25935"/>
    <cellStyle name="Note 2 2 2 5 35" xfId="25936"/>
    <cellStyle name="Note 2 2 2 5 35 2" xfId="25937"/>
    <cellStyle name="Note 2 2 2 5 36" xfId="25938"/>
    <cellStyle name="Note 2 2 2 5 36 2" xfId="25939"/>
    <cellStyle name="Note 2 2 2 5 37" xfId="25940"/>
    <cellStyle name="Note 2 2 2 5 37 2" xfId="25941"/>
    <cellStyle name="Note 2 2 2 5 38" xfId="25942"/>
    <cellStyle name="Note 2 2 2 5 38 2" xfId="25943"/>
    <cellStyle name="Note 2 2 2 5 39" xfId="25944"/>
    <cellStyle name="Note 2 2 2 5 39 2" xfId="25945"/>
    <cellStyle name="Note 2 2 2 5 4" xfId="25946"/>
    <cellStyle name="Note 2 2 2 5 4 2" xfId="25947"/>
    <cellStyle name="Note 2 2 2 5 4 2 2" xfId="25948"/>
    <cellStyle name="Note 2 2 2 5 4 3" xfId="25949"/>
    <cellStyle name="Note 2 2 2 5 4 3 2" xfId="25950"/>
    <cellStyle name="Note 2 2 2 5 4 4" xfId="25951"/>
    <cellStyle name="Note 2 2 2 5 4 4 2" xfId="25952"/>
    <cellStyle name="Note 2 2 2 5 4 5" xfId="25953"/>
    <cellStyle name="Note 2 2 2 5 40" xfId="25954"/>
    <cellStyle name="Note 2 2 2 5 40 2" xfId="25955"/>
    <cellStyle name="Note 2 2 2 5 41" xfId="25956"/>
    <cellStyle name="Note 2 2 2 5 41 2" xfId="25957"/>
    <cellStyle name="Note 2 2 2 5 42" xfId="25958"/>
    <cellStyle name="Note 2 2 2 5 42 2" xfId="25959"/>
    <cellStyle name="Note 2 2 2 5 43" xfId="25960"/>
    <cellStyle name="Note 2 2 2 5 43 2" xfId="25961"/>
    <cellStyle name="Note 2 2 2 5 44" xfId="25962"/>
    <cellStyle name="Note 2 2 2 5 44 2" xfId="25963"/>
    <cellStyle name="Note 2 2 2 5 45" xfId="25964"/>
    <cellStyle name="Note 2 2 2 5 45 2" xfId="25965"/>
    <cellStyle name="Note 2 2 2 5 46" xfId="25966"/>
    <cellStyle name="Note 2 2 2 5 46 2" xfId="25967"/>
    <cellStyle name="Note 2 2 2 5 47" xfId="25968"/>
    <cellStyle name="Note 2 2 2 5 47 2" xfId="25969"/>
    <cellStyle name="Note 2 2 2 5 48" xfId="25970"/>
    <cellStyle name="Note 2 2 2 5 48 2" xfId="25971"/>
    <cellStyle name="Note 2 2 2 5 49" xfId="25972"/>
    <cellStyle name="Note 2 2 2 5 49 2" xfId="25973"/>
    <cellStyle name="Note 2 2 2 5 5" xfId="25974"/>
    <cellStyle name="Note 2 2 2 5 5 2" xfId="25975"/>
    <cellStyle name="Note 2 2 2 5 5 2 2" xfId="25976"/>
    <cellStyle name="Note 2 2 2 5 5 3" xfId="25977"/>
    <cellStyle name="Note 2 2 2 5 5 3 2" xfId="25978"/>
    <cellStyle name="Note 2 2 2 5 5 4" xfId="25979"/>
    <cellStyle name="Note 2 2 2 5 5 4 2" xfId="25980"/>
    <cellStyle name="Note 2 2 2 5 5 5" xfId="25981"/>
    <cellStyle name="Note 2 2 2 5 50" xfId="25982"/>
    <cellStyle name="Note 2 2 2 5 50 2" xfId="25983"/>
    <cellStyle name="Note 2 2 2 5 51" xfId="25984"/>
    <cellStyle name="Note 2 2 2 5 51 2" xfId="25985"/>
    <cellStyle name="Note 2 2 2 5 52" xfId="25986"/>
    <cellStyle name="Note 2 2 2 5 52 2" xfId="25987"/>
    <cellStyle name="Note 2 2 2 5 53" xfId="25988"/>
    <cellStyle name="Note 2 2 2 5 53 2" xfId="25989"/>
    <cellStyle name="Note 2 2 2 5 54" xfId="25990"/>
    <cellStyle name="Note 2 2 2 5 54 2" xfId="25991"/>
    <cellStyle name="Note 2 2 2 5 55" xfId="25992"/>
    <cellStyle name="Note 2 2 2 5 55 2" xfId="25993"/>
    <cellStyle name="Note 2 2 2 5 56" xfId="25994"/>
    <cellStyle name="Note 2 2 2 5 56 2" xfId="25995"/>
    <cellStyle name="Note 2 2 2 5 57" xfId="25996"/>
    <cellStyle name="Note 2 2 2 5 57 2" xfId="25997"/>
    <cellStyle name="Note 2 2 2 5 58" xfId="25998"/>
    <cellStyle name="Note 2 2 2 5 58 2" xfId="25999"/>
    <cellStyle name="Note 2 2 2 5 59" xfId="26000"/>
    <cellStyle name="Note 2 2 2 5 59 2" xfId="26001"/>
    <cellStyle name="Note 2 2 2 5 6" xfId="26002"/>
    <cellStyle name="Note 2 2 2 5 6 2" xfId="26003"/>
    <cellStyle name="Note 2 2 2 5 6 2 2" xfId="26004"/>
    <cellStyle name="Note 2 2 2 5 6 3" xfId="26005"/>
    <cellStyle name="Note 2 2 2 5 6 3 2" xfId="26006"/>
    <cellStyle name="Note 2 2 2 5 6 4" xfId="26007"/>
    <cellStyle name="Note 2 2 2 5 6 4 2" xfId="26008"/>
    <cellStyle name="Note 2 2 2 5 6 5" xfId="26009"/>
    <cellStyle name="Note 2 2 2 5 60" xfId="26010"/>
    <cellStyle name="Note 2 2 2 5 60 2" xfId="26011"/>
    <cellStyle name="Note 2 2 2 5 61" xfId="26012"/>
    <cellStyle name="Note 2 2 2 5 61 2" xfId="26013"/>
    <cellStyle name="Note 2 2 2 5 62" xfId="26014"/>
    <cellStyle name="Note 2 2 2 5 7" xfId="26015"/>
    <cellStyle name="Note 2 2 2 5 7 2" xfId="26016"/>
    <cellStyle name="Note 2 2 2 5 7 2 2" xfId="26017"/>
    <cellStyle name="Note 2 2 2 5 7 3" xfId="26018"/>
    <cellStyle name="Note 2 2 2 5 7 3 2" xfId="26019"/>
    <cellStyle name="Note 2 2 2 5 7 4" xfId="26020"/>
    <cellStyle name="Note 2 2 2 5 7 4 2" xfId="26021"/>
    <cellStyle name="Note 2 2 2 5 7 5" xfId="26022"/>
    <cellStyle name="Note 2 2 2 5 8" xfId="26023"/>
    <cellStyle name="Note 2 2 2 5 8 2" xfId="26024"/>
    <cellStyle name="Note 2 2 2 5 8 2 2" xfId="26025"/>
    <cellStyle name="Note 2 2 2 5 8 3" xfId="26026"/>
    <cellStyle name="Note 2 2 2 5 8 3 2" xfId="26027"/>
    <cellStyle name="Note 2 2 2 5 8 4" xfId="26028"/>
    <cellStyle name="Note 2 2 2 5 8 4 2" xfId="26029"/>
    <cellStyle name="Note 2 2 2 5 8 5" xfId="26030"/>
    <cellStyle name="Note 2 2 2 5 9" xfId="26031"/>
    <cellStyle name="Note 2 2 2 5 9 2" xfId="26032"/>
    <cellStyle name="Note 2 2 2 5 9 2 2" xfId="26033"/>
    <cellStyle name="Note 2 2 2 5 9 3" xfId="26034"/>
    <cellStyle name="Note 2 2 2 5 9 3 2" xfId="26035"/>
    <cellStyle name="Note 2 2 2 5 9 4" xfId="26036"/>
    <cellStyle name="Note 2 2 2 5 9 4 2" xfId="26037"/>
    <cellStyle name="Note 2 2 2 5 9 5" xfId="26038"/>
    <cellStyle name="Note 2 2 2 50" xfId="26039"/>
    <cellStyle name="Note 2 2 2 50 2" xfId="26040"/>
    <cellStyle name="Note 2 2 2 51" xfId="26041"/>
    <cellStyle name="Note 2 2 2 51 2" xfId="26042"/>
    <cellStyle name="Note 2 2 2 52" xfId="26043"/>
    <cellStyle name="Note 2 2 2 52 2" xfId="26044"/>
    <cellStyle name="Note 2 2 2 53" xfId="26045"/>
    <cellStyle name="Note 2 2 2 53 2" xfId="26046"/>
    <cellStyle name="Note 2 2 2 54" xfId="26047"/>
    <cellStyle name="Note 2 2 2 54 2" xfId="26048"/>
    <cellStyle name="Note 2 2 2 55" xfId="26049"/>
    <cellStyle name="Note 2 2 2 55 2" xfId="26050"/>
    <cellStyle name="Note 2 2 2 56" xfId="26051"/>
    <cellStyle name="Note 2 2 2 56 2" xfId="26052"/>
    <cellStyle name="Note 2 2 2 57" xfId="26053"/>
    <cellStyle name="Note 2 2 2 57 2" xfId="26054"/>
    <cellStyle name="Note 2 2 2 58" xfId="26055"/>
    <cellStyle name="Note 2 2 2 58 2" xfId="26056"/>
    <cellStyle name="Note 2 2 2 59" xfId="26057"/>
    <cellStyle name="Note 2 2 2 59 2" xfId="26058"/>
    <cellStyle name="Note 2 2 2 6" xfId="26059"/>
    <cellStyle name="Note 2 2 2 6 10" xfId="26060"/>
    <cellStyle name="Note 2 2 2 6 10 2" xfId="26061"/>
    <cellStyle name="Note 2 2 2 6 10 2 2" xfId="26062"/>
    <cellStyle name="Note 2 2 2 6 10 3" xfId="26063"/>
    <cellStyle name="Note 2 2 2 6 10 3 2" xfId="26064"/>
    <cellStyle name="Note 2 2 2 6 10 4" xfId="26065"/>
    <cellStyle name="Note 2 2 2 6 10 4 2" xfId="26066"/>
    <cellStyle name="Note 2 2 2 6 10 5" xfId="26067"/>
    <cellStyle name="Note 2 2 2 6 11" xfId="26068"/>
    <cellStyle name="Note 2 2 2 6 11 2" xfId="26069"/>
    <cellStyle name="Note 2 2 2 6 11 2 2" xfId="26070"/>
    <cellStyle name="Note 2 2 2 6 11 3" xfId="26071"/>
    <cellStyle name="Note 2 2 2 6 11 3 2" xfId="26072"/>
    <cellStyle name="Note 2 2 2 6 11 4" xfId="26073"/>
    <cellStyle name="Note 2 2 2 6 11 4 2" xfId="26074"/>
    <cellStyle name="Note 2 2 2 6 11 5" xfId="26075"/>
    <cellStyle name="Note 2 2 2 6 12" xfId="26076"/>
    <cellStyle name="Note 2 2 2 6 12 2" xfId="26077"/>
    <cellStyle name="Note 2 2 2 6 12 2 2" xfId="26078"/>
    <cellStyle name="Note 2 2 2 6 12 3" xfId="26079"/>
    <cellStyle name="Note 2 2 2 6 12 3 2" xfId="26080"/>
    <cellStyle name="Note 2 2 2 6 12 4" xfId="26081"/>
    <cellStyle name="Note 2 2 2 6 12 4 2" xfId="26082"/>
    <cellStyle name="Note 2 2 2 6 12 5" xfId="26083"/>
    <cellStyle name="Note 2 2 2 6 13" xfId="26084"/>
    <cellStyle name="Note 2 2 2 6 13 2" xfId="26085"/>
    <cellStyle name="Note 2 2 2 6 13 2 2" xfId="26086"/>
    <cellStyle name="Note 2 2 2 6 13 3" xfId="26087"/>
    <cellStyle name="Note 2 2 2 6 13 3 2" xfId="26088"/>
    <cellStyle name="Note 2 2 2 6 13 4" xfId="26089"/>
    <cellStyle name="Note 2 2 2 6 13 4 2" xfId="26090"/>
    <cellStyle name="Note 2 2 2 6 13 5" xfId="26091"/>
    <cellStyle name="Note 2 2 2 6 14" xfId="26092"/>
    <cellStyle name="Note 2 2 2 6 14 2" xfId="26093"/>
    <cellStyle name="Note 2 2 2 6 14 2 2" xfId="26094"/>
    <cellStyle name="Note 2 2 2 6 14 3" xfId="26095"/>
    <cellStyle name="Note 2 2 2 6 14 3 2" xfId="26096"/>
    <cellStyle name="Note 2 2 2 6 14 4" xfId="26097"/>
    <cellStyle name="Note 2 2 2 6 14 4 2" xfId="26098"/>
    <cellStyle name="Note 2 2 2 6 14 5" xfId="26099"/>
    <cellStyle name="Note 2 2 2 6 15" xfId="26100"/>
    <cellStyle name="Note 2 2 2 6 15 2" xfId="26101"/>
    <cellStyle name="Note 2 2 2 6 16" xfId="26102"/>
    <cellStyle name="Note 2 2 2 6 16 2" xfId="26103"/>
    <cellStyle name="Note 2 2 2 6 17" xfId="26104"/>
    <cellStyle name="Note 2 2 2 6 17 2" xfId="26105"/>
    <cellStyle name="Note 2 2 2 6 18" xfId="26106"/>
    <cellStyle name="Note 2 2 2 6 18 2" xfId="26107"/>
    <cellStyle name="Note 2 2 2 6 19" xfId="26108"/>
    <cellStyle name="Note 2 2 2 6 19 2" xfId="26109"/>
    <cellStyle name="Note 2 2 2 6 2" xfId="26110"/>
    <cellStyle name="Note 2 2 2 6 2 10" xfId="26111"/>
    <cellStyle name="Note 2 2 2 6 2 10 2" xfId="26112"/>
    <cellStyle name="Note 2 2 2 6 2 11" xfId="26113"/>
    <cellStyle name="Note 2 2 2 6 2 11 2" xfId="26114"/>
    <cellStyle name="Note 2 2 2 6 2 12" xfId="26115"/>
    <cellStyle name="Note 2 2 2 6 2 12 2" xfId="26116"/>
    <cellStyle name="Note 2 2 2 6 2 13" xfId="26117"/>
    <cellStyle name="Note 2 2 2 6 2 13 2" xfId="26118"/>
    <cellStyle name="Note 2 2 2 6 2 14" xfId="26119"/>
    <cellStyle name="Note 2 2 2 6 2 14 2" xfId="26120"/>
    <cellStyle name="Note 2 2 2 6 2 15" xfId="26121"/>
    <cellStyle name="Note 2 2 2 6 2 15 2" xfId="26122"/>
    <cellStyle name="Note 2 2 2 6 2 16" xfId="26123"/>
    <cellStyle name="Note 2 2 2 6 2 16 2" xfId="26124"/>
    <cellStyle name="Note 2 2 2 6 2 17" xfId="26125"/>
    <cellStyle name="Note 2 2 2 6 2 17 2" xfId="26126"/>
    <cellStyle name="Note 2 2 2 6 2 18" xfId="26127"/>
    <cellStyle name="Note 2 2 2 6 2 18 2" xfId="26128"/>
    <cellStyle name="Note 2 2 2 6 2 19" xfId="26129"/>
    <cellStyle name="Note 2 2 2 6 2 19 2" xfId="26130"/>
    <cellStyle name="Note 2 2 2 6 2 2" xfId="26131"/>
    <cellStyle name="Note 2 2 2 6 2 2 2" xfId="26132"/>
    <cellStyle name="Note 2 2 2 6 2 2 3" xfId="26133"/>
    <cellStyle name="Note 2 2 2 6 2 20" xfId="26134"/>
    <cellStyle name="Note 2 2 2 6 2 20 2" xfId="26135"/>
    <cellStyle name="Note 2 2 2 6 2 21" xfId="26136"/>
    <cellStyle name="Note 2 2 2 6 2 21 2" xfId="26137"/>
    <cellStyle name="Note 2 2 2 6 2 22" xfId="26138"/>
    <cellStyle name="Note 2 2 2 6 2 22 2" xfId="26139"/>
    <cellStyle name="Note 2 2 2 6 2 23" xfId="26140"/>
    <cellStyle name="Note 2 2 2 6 2 23 2" xfId="26141"/>
    <cellStyle name="Note 2 2 2 6 2 24" xfId="26142"/>
    <cellStyle name="Note 2 2 2 6 2 24 2" xfId="26143"/>
    <cellStyle name="Note 2 2 2 6 2 25" xfId="26144"/>
    <cellStyle name="Note 2 2 2 6 2 25 2" xfId="26145"/>
    <cellStyle name="Note 2 2 2 6 2 26" xfId="26146"/>
    <cellStyle name="Note 2 2 2 6 2 26 2" xfId="26147"/>
    <cellStyle name="Note 2 2 2 6 2 27" xfId="26148"/>
    <cellStyle name="Note 2 2 2 6 2 27 2" xfId="26149"/>
    <cellStyle name="Note 2 2 2 6 2 28" xfId="26150"/>
    <cellStyle name="Note 2 2 2 6 2 28 2" xfId="26151"/>
    <cellStyle name="Note 2 2 2 6 2 29" xfId="26152"/>
    <cellStyle name="Note 2 2 2 6 2 29 2" xfId="26153"/>
    <cellStyle name="Note 2 2 2 6 2 3" xfId="26154"/>
    <cellStyle name="Note 2 2 2 6 2 3 2" xfId="26155"/>
    <cellStyle name="Note 2 2 2 6 2 3 3" xfId="26156"/>
    <cellStyle name="Note 2 2 2 6 2 30" xfId="26157"/>
    <cellStyle name="Note 2 2 2 6 2 30 2" xfId="26158"/>
    <cellStyle name="Note 2 2 2 6 2 31" xfId="26159"/>
    <cellStyle name="Note 2 2 2 6 2 4" xfId="26160"/>
    <cellStyle name="Note 2 2 2 6 2 4 2" xfId="26161"/>
    <cellStyle name="Note 2 2 2 6 2 5" xfId="26162"/>
    <cellStyle name="Note 2 2 2 6 2 5 2" xfId="26163"/>
    <cellStyle name="Note 2 2 2 6 2 6" xfId="26164"/>
    <cellStyle name="Note 2 2 2 6 2 6 2" xfId="26165"/>
    <cellStyle name="Note 2 2 2 6 2 7" xfId="26166"/>
    <cellStyle name="Note 2 2 2 6 2 7 2" xfId="26167"/>
    <cellStyle name="Note 2 2 2 6 2 8" xfId="26168"/>
    <cellStyle name="Note 2 2 2 6 2 8 2" xfId="26169"/>
    <cellStyle name="Note 2 2 2 6 2 9" xfId="26170"/>
    <cellStyle name="Note 2 2 2 6 2 9 2" xfId="26171"/>
    <cellStyle name="Note 2 2 2 6 20" xfId="26172"/>
    <cellStyle name="Note 2 2 2 6 20 2" xfId="26173"/>
    <cellStyle name="Note 2 2 2 6 21" xfId="26174"/>
    <cellStyle name="Note 2 2 2 6 21 2" xfId="26175"/>
    <cellStyle name="Note 2 2 2 6 22" xfId="26176"/>
    <cellStyle name="Note 2 2 2 6 22 2" xfId="26177"/>
    <cellStyle name="Note 2 2 2 6 23" xfId="26178"/>
    <cellStyle name="Note 2 2 2 6 23 2" xfId="26179"/>
    <cellStyle name="Note 2 2 2 6 24" xfId="26180"/>
    <cellStyle name="Note 2 2 2 6 24 2" xfId="26181"/>
    <cellStyle name="Note 2 2 2 6 25" xfId="26182"/>
    <cellStyle name="Note 2 2 2 6 25 2" xfId="26183"/>
    <cellStyle name="Note 2 2 2 6 26" xfId="26184"/>
    <cellStyle name="Note 2 2 2 6 26 2" xfId="26185"/>
    <cellStyle name="Note 2 2 2 6 27" xfId="26186"/>
    <cellStyle name="Note 2 2 2 6 27 2" xfId="26187"/>
    <cellStyle name="Note 2 2 2 6 28" xfId="26188"/>
    <cellStyle name="Note 2 2 2 6 28 2" xfId="26189"/>
    <cellStyle name="Note 2 2 2 6 29" xfId="26190"/>
    <cellStyle name="Note 2 2 2 6 29 2" xfId="26191"/>
    <cellStyle name="Note 2 2 2 6 3" xfId="26192"/>
    <cellStyle name="Note 2 2 2 6 3 2" xfId="26193"/>
    <cellStyle name="Note 2 2 2 6 3 2 2" xfId="26194"/>
    <cellStyle name="Note 2 2 2 6 3 3" xfId="26195"/>
    <cellStyle name="Note 2 2 2 6 3 3 2" xfId="26196"/>
    <cellStyle name="Note 2 2 2 6 3 4" xfId="26197"/>
    <cellStyle name="Note 2 2 2 6 3 4 2" xfId="26198"/>
    <cellStyle name="Note 2 2 2 6 3 5" xfId="26199"/>
    <cellStyle name="Note 2 2 2 6 30" xfId="26200"/>
    <cellStyle name="Note 2 2 2 6 30 2" xfId="26201"/>
    <cellStyle name="Note 2 2 2 6 31" xfId="26202"/>
    <cellStyle name="Note 2 2 2 6 31 2" xfId="26203"/>
    <cellStyle name="Note 2 2 2 6 32" xfId="26204"/>
    <cellStyle name="Note 2 2 2 6 32 2" xfId="26205"/>
    <cellStyle name="Note 2 2 2 6 33" xfId="26206"/>
    <cellStyle name="Note 2 2 2 6 33 2" xfId="26207"/>
    <cellStyle name="Note 2 2 2 6 34" xfId="26208"/>
    <cellStyle name="Note 2 2 2 6 34 2" xfId="26209"/>
    <cellStyle name="Note 2 2 2 6 35" xfId="26210"/>
    <cellStyle name="Note 2 2 2 6 35 2" xfId="26211"/>
    <cellStyle name="Note 2 2 2 6 36" xfId="26212"/>
    <cellStyle name="Note 2 2 2 6 36 2" xfId="26213"/>
    <cellStyle name="Note 2 2 2 6 37" xfId="26214"/>
    <cellStyle name="Note 2 2 2 6 37 2" xfId="26215"/>
    <cellStyle name="Note 2 2 2 6 38" xfId="26216"/>
    <cellStyle name="Note 2 2 2 6 38 2" xfId="26217"/>
    <cellStyle name="Note 2 2 2 6 39" xfId="26218"/>
    <cellStyle name="Note 2 2 2 6 39 2" xfId="26219"/>
    <cellStyle name="Note 2 2 2 6 4" xfId="26220"/>
    <cellStyle name="Note 2 2 2 6 4 2" xfId="26221"/>
    <cellStyle name="Note 2 2 2 6 4 2 2" xfId="26222"/>
    <cellStyle name="Note 2 2 2 6 4 3" xfId="26223"/>
    <cellStyle name="Note 2 2 2 6 4 3 2" xfId="26224"/>
    <cellStyle name="Note 2 2 2 6 4 4" xfId="26225"/>
    <cellStyle name="Note 2 2 2 6 4 4 2" xfId="26226"/>
    <cellStyle name="Note 2 2 2 6 4 5" xfId="26227"/>
    <cellStyle name="Note 2 2 2 6 40" xfId="26228"/>
    <cellStyle name="Note 2 2 2 6 40 2" xfId="26229"/>
    <cellStyle name="Note 2 2 2 6 41" xfId="26230"/>
    <cellStyle name="Note 2 2 2 6 41 2" xfId="26231"/>
    <cellStyle name="Note 2 2 2 6 42" xfId="26232"/>
    <cellStyle name="Note 2 2 2 6 42 2" xfId="26233"/>
    <cellStyle name="Note 2 2 2 6 43" xfId="26234"/>
    <cellStyle name="Note 2 2 2 6 43 2" xfId="26235"/>
    <cellStyle name="Note 2 2 2 6 44" xfId="26236"/>
    <cellStyle name="Note 2 2 2 6 44 2" xfId="26237"/>
    <cellStyle name="Note 2 2 2 6 45" xfId="26238"/>
    <cellStyle name="Note 2 2 2 6 45 2" xfId="26239"/>
    <cellStyle name="Note 2 2 2 6 46" xfId="26240"/>
    <cellStyle name="Note 2 2 2 6 46 2" xfId="26241"/>
    <cellStyle name="Note 2 2 2 6 47" xfId="26242"/>
    <cellStyle name="Note 2 2 2 6 47 2" xfId="26243"/>
    <cellStyle name="Note 2 2 2 6 48" xfId="26244"/>
    <cellStyle name="Note 2 2 2 6 48 2" xfId="26245"/>
    <cellStyle name="Note 2 2 2 6 49" xfId="26246"/>
    <cellStyle name="Note 2 2 2 6 49 2" xfId="26247"/>
    <cellStyle name="Note 2 2 2 6 5" xfId="26248"/>
    <cellStyle name="Note 2 2 2 6 5 2" xfId="26249"/>
    <cellStyle name="Note 2 2 2 6 5 2 2" xfId="26250"/>
    <cellStyle name="Note 2 2 2 6 5 3" xfId="26251"/>
    <cellStyle name="Note 2 2 2 6 5 3 2" xfId="26252"/>
    <cellStyle name="Note 2 2 2 6 5 4" xfId="26253"/>
    <cellStyle name="Note 2 2 2 6 5 4 2" xfId="26254"/>
    <cellStyle name="Note 2 2 2 6 5 5" xfId="26255"/>
    <cellStyle name="Note 2 2 2 6 50" xfId="26256"/>
    <cellStyle name="Note 2 2 2 6 50 2" xfId="26257"/>
    <cellStyle name="Note 2 2 2 6 51" xfId="26258"/>
    <cellStyle name="Note 2 2 2 6 51 2" xfId="26259"/>
    <cellStyle name="Note 2 2 2 6 52" xfId="26260"/>
    <cellStyle name="Note 2 2 2 6 52 2" xfId="26261"/>
    <cellStyle name="Note 2 2 2 6 53" xfId="26262"/>
    <cellStyle name="Note 2 2 2 6 53 2" xfId="26263"/>
    <cellStyle name="Note 2 2 2 6 54" xfId="26264"/>
    <cellStyle name="Note 2 2 2 6 54 2" xfId="26265"/>
    <cellStyle name="Note 2 2 2 6 55" xfId="26266"/>
    <cellStyle name="Note 2 2 2 6 55 2" xfId="26267"/>
    <cellStyle name="Note 2 2 2 6 56" xfId="26268"/>
    <cellStyle name="Note 2 2 2 6 56 2" xfId="26269"/>
    <cellStyle name="Note 2 2 2 6 57" xfId="26270"/>
    <cellStyle name="Note 2 2 2 6 57 2" xfId="26271"/>
    <cellStyle name="Note 2 2 2 6 58" xfId="26272"/>
    <cellStyle name="Note 2 2 2 6 58 2" xfId="26273"/>
    <cellStyle name="Note 2 2 2 6 59" xfId="26274"/>
    <cellStyle name="Note 2 2 2 6 59 2" xfId="26275"/>
    <cellStyle name="Note 2 2 2 6 6" xfId="26276"/>
    <cellStyle name="Note 2 2 2 6 6 2" xfId="26277"/>
    <cellStyle name="Note 2 2 2 6 6 2 2" xfId="26278"/>
    <cellStyle name="Note 2 2 2 6 6 3" xfId="26279"/>
    <cellStyle name="Note 2 2 2 6 6 3 2" xfId="26280"/>
    <cellStyle name="Note 2 2 2 6 6 4" xfId="26281"/>
    <cellStyle name="Note 2 2 2 6 6 4 2" xfId="26282"/>
    <cellStyle name="Note 2 2 2 6 6 5" xfId="26283"/>
    <cellStyle name="Note 2 2 2 6 60" xfId="26284"/>
    <cellStyle name="Note 2 2 2 6 60 2" xfId="26285"/>
    <cellStyle name="Note 2 2 2 6 61" xfId="26286"/>
    <cellStyle name="Note 2 2 2 6 61 2" xfId="26287"/>
    <cellStyle name="Note 2 2 2 6 62" xfId="26288"/>
    <cellStyle name="Note 2 2 2 6 7" xfId="26289"/>
    <cellStyle name="Note 2 2 2 6 7 2" xfId="26290"/>
    <cellStyle name="Note 2 2 2 6 7 2 2" xfId="26291"/>
    <cellStyle name="Note 2 2 2 6 7 3" xfId="26292"/>
    <cellStyle name="Note 2 2 2 6 7 3 2" xfId="26293"/>
    <cellStyle name="Note 2 2 2 6 7 4" xfId="26294"/>
    <cellStyle name="Note 2 2 2 6 7 4 2" xfId="26295"/>
    <cellStyle name="Note 2 2 2 6 7 5" xfId="26296"/>
    <cellStyle name="Note 2 2 2 6 8" xfId="26297"/>
    <cellStyle name="Note 2 2 2 6 8 2" xfId="26298"/>
    <cellStyle name="Note 2 2 2 6 8 2 2" xfId="26299"/>
    <cellStyle name="Note 2 2 2 6 8 3" xfId="26300"/>
    <cellStyle name="Note 2 2 2 6 8 3 2" xfId="26301"/>
    <cellStyle name="Note 2 2 2 6 8 4" xfId="26302"/>
    <cellStyle name="Note 2 2 2 6 8 4 2" xfId="26303"/>
    <cellStyle name="Note 2 2 2 6 8 5" xfId="26304"/>
    <cellStyle name="Note 2 2 2 6 9" xfId="26305"/>
    <cellStyle name="Note 2 2 2 6 9 2" xfId="26306"/>
    <cellStyle name="Note 2 2 2 6 9 2 2" xfId="26307"/>
    <cellStyle name="Note 2 2 2 6 9 3" xfId="26308"/>
    <cellStyle name="Note 2 2 2 6 9 3 2" xfId="26309"/>
    <cellStyle name="Note 2 2 2 6 9 4" xfId="26310"/>
    <cellStyle name="Note 2 2 2 6 9 4 2" xfId="26311"/>
    <cellStyle name="Note 2 2 2 6 9 5" xfId="26312"/>
    <cellStyle name="Note 2 2 2 60" xfId="26313"/>
    <cellStyle name="Note 2 2 2 60 2" xfId="26314"/>
    <cellStyle name="Note 2 2 2 61" xfId="26315"/>
    <cellStyle name="Note 2 2 2 61 2" xfId="26316"/>
    <cellStyle name="Note 2 2 2 62" xfId="26317"/>
    <cellStyle name="Note 2 2 2 62 2" xfId="26318"/>
    <cellStyle name="Note 2 2 2 63" xfId="26319"/>
    <cellStyle name="Note 2 2 2 63 2" xfId="26320"/>
    <cellStyle name="Note 2 2 2 64" xfId="26321"/>
    <cellStyle name="Note 2 2 2 64 2" xfId="26322"/>
    <cellStyle name="Note 2 2 2 65" xfId="26323"/>
    <cellStyle name="Note 2 2 2 65 2" xfId="26324"/>
    <cellStyle name="Note 2 2 2 66" xfId="26325"/>
    <cellStyle name="Note 2 2 2 66 2" xfId="26326"/>
    <cellStyle name="Note 2 2 2 67" xfId="26327"/>
    <cellStyle name="Note 2 2 2 67 2" xfId="26328"/>
    <cellStyle name="Note 2 2 2 68" xfId="26329"/>
    <cellStyle name="Note 2 2 2 68 2" xfId="26330"/>
    <cellStyle name="Note 2 2 2 69" xfId="26331"/>
    <cellStyle name="Note 2 2 2 69 2" xfId="26332"/>
    <cellStyle name="Note 2 2 2 7" xfId="26333"/>
    <cellStyle name="Note 2 2 2 7 10" xfId="26334"/>
    <cellStyle name="Note 2 2 2 7 10 2" xfId="26335"/>
    <cellStyle name="Note 2 2 2 7 10 2 2" xfId="26336"/>
    <cellStyle name="Note 2 2 2 7 10 3" xfId="26337"/>
    <cellStyle name="Note 2 2 2 7 10 3 2" xfId="26338"/>
    <cellStyle name="Note 2 2 2 7 10 4" xfId="26339"/>
    <cellStyle name="Note 2 2 2 7 10 4 2" xfId="26340"/>
    <cellStyle name="Note 2 2 2 7 10 5" xfId="26341"/>
    <cellStyle name="Note 2 2 2 7 11" xfId="26342"/>
    <cellStyle name="Note 2 2 2 7 11 2" xfId="26343"/>
    <cellStyle name="Note 2 2 2 7 11 2 2" xfId="26344"/>
    <cellStyle name="Note 2 2 2 7 11 3" xfId="26345"/>
    <cellStyle name="Note 2 2 2 7 11 3 2" xfId="26346"/>
    <cellStyle name="Note 2 2 2 7 11 4" xfId="26347"/>
    <cellStyle name="Note 2 2 2 7 11 4 2" xfId="26348"/>
    <cellStyle name="Note 2 2 2 7 11 5" xfId="26349"/>
    <cellStyle name="Note 2 2 2 7 12" xfId="26350"/>
    <cellStyle name="Note 2 2 2 7 12 2" xfId="26351"/>
    <cellStyle name="Note 2 2 2 7 12 2 2" xfId="26352"/>
    <cellStyle name="Note 2 2 2 7 12 3" xfId="26353"/>
    <cellStyle name="Note 2 2 2 7 12 3 2" xfId="26354"/>
    <cellStyle name="Note 2 2 2 7 12 4" xfId="26355"/>
    <cellStyle name="Note 2 2 2 7 12 4 2" xfId="26356"/>
    <cellStyle name="Note 2 2 2 7 12 5" xfId="26357"/>
    <cellStyle name="Note 2 2 2 7 13" xfId="26358"/>
    <cellStyle name="Note 2 2 2 7 13 2" xfId="26359"/>
    <cellStyle name="Note 2 2 2 7 13 2 2" xfId="26360"/>
    <cellStyle name="Note 2 2 2 7 13 3" xfId="26361"/>
    <cellStyle name="Note 2 2 2 7 13 3 2" xfId="26362"/>
    <cellStyle name="Note 2 2 2 7 13 4" xfId="26363"/>
    <cellStyle name="Note 2 2 2 7 13 4 2" xfId="26364"/>
    <cellStyle name="Note 2 2 2 7 13 5" xfId="26365"/>
    <cellStyle name="Note 2 2 2 7 14" xfId="26366"/>
    <cellStyle name="Note 2 2 2 7 14 2" xfId="26367"/>
    <cellStyle name="Note 2 2 2 7 14 2 2" xfId="26368"/>
    <cellStyle name="Note 2 2 2 7 14 3" xfId="26369"/>
    <cellStyle name="Note 2 2 2 7 14 3 2" xfId="26370"/>
    <cellStyle name="Note 2 2 2 7 14 4" xfId="26371"/>
    <cellStyle name="Note 2 2 2 7 14 4 2" xfId="26372"/>
    <cellStyle name="Note 2 2 2 7 14 5" xfId="26373"/>
    <cellStyle name="Note 2 2 2 7 15" xfId="26374"/>
    <cellStyle name="Note 2 2 2 7 15 2" xfId="26375"/>
    <cellStyle name="Note 2 2 2 7 16" xfId="26376"/>
    <cellStyle name="Note 2 2 2 7 16 2" xfId="26377"/>
    <cellStyle name="Note 2 2 2 7 17" xfId="26378"/>
    <cellStyle name="Note 2 2 2 7 17 2" xfId="26379"/>
    <cellStyle name="Note 2 2 2 7 18" xfId="26380"/>
    <cellStyle name="Note 2 2 2 7 18 2" xfId="26381"/>
    <cellStyle name="Note 2 2 2 7 19" xfId="26382"/>
    <cellStyle name="Note 2 2 2 7 19 2" xfId="26383"/>
    <cellStyle name="Note 2 2 2 7 2" xfId="26384"/>
    <cellStyle name="Note 2 2 2 7 2 10" xfId="26385"/>
    <cellStyle name="Note 2 2 2 7 2 10 2" xfId="26386"/>
    <cellStyle name="Note 2 2 2 7 2 11" xfId="26387"/>
    <cellStyle name="Note 2 2 2 7 2 11 2" xfId="26388"/>
    <cellStyle name="Note 2 2 2 7 2 12" xfId="26389"/>
    <cellStyle name="Note 2 2 2 7 2 12 2" xfId="26390"/>
    <cellStyle name="Note 2 2 2 7 2 13" xfId="26391"/>
    <cellStyle name="Note 2 2 2 7 2 13 2" xfId="26392"/>
    <cellStyle name="Note 2 2 2 7 2 14" xfId="26393"/>
    <cellStyle name="Note 2 2 2 7 2 14 2" xfId="26394"/>
    <cellStyle name="Note 2 2 2 7 2 15" xfId="26395"/>
    <cellStyle name="Note 2 2 2 7 2 15 2" xfId="26396"/>
    <cellStyle name="Note 2 2 2 7 2 16" xfId="26397"/>
    <cellStyle name="Note 2 2 2 7 2 16 2" xfId="26398"/>
    <cellStyle name="Note 2 2 2 7 2 17" xfId="26399"/>
    <cellStyle name="Note 2 2 2 7 2 17 2" xfId="26400"/>
    <cellStyle name="Note 2 2 2 7 2 18" xfId="26401"/>
    <cellStyle name="Note 2 2 2 7 2 18 2" xfId="26402"/>
    <cellStyle name="Note 2 2 2 7 2 19" xfId="26403"/>
    <cellStyle name="Note 2 2 2 7 2 19 2" xfId="26404"/>
    <cellStyle name="Note 2 2 2 7 2 2" xfId="26405"/>
    <cellStyle name="Note 2 2 2 7 2 2 2" xfId="26406"/>
    <cellStyle name="Note 2 2 2 7 2 2 3" xfId="26407"/>
    <cellStyle name="Note 2 2 2 7 2 20" xfId="26408"/>
    <cellStyle name="Note 2 2 2 7 2 20 2" xfId="26409"/>
    <cellStyle name="Note 2 2 2 7 2 21" xfId="26410"/>
    <cellStyle name="Note 2 2 2 7 2 21 2" xfId="26411"/>
    <cellStyle name="Note 2 2 2 7 2 22" xfId="26412"/>
    <cellStyle name="Note 2 2 2 7 2 22 2" xfId="26413"/>
    <cellStyle name="Note 2 2 2 7 2 23" xfId="26414"/>
    <cellStyle name="Note 2 2 2 7 2 23 2" xfId="26415"/>
    <cellStyle name="Note 2 2 2 7 2 24" xfId="26416"/>
    <cellStyle name="Note 2 2 2 7 2 24 2" xfId="26417"/>
    <cellStyle name="Note 2 2 2 7 2 25" xfId="26418"/>
    <cellStyle name="Note 2 2 2 7 2 25 2" xfId="26419"/>
    <cellStyle name="Note 2 2 2 7 2 26" xfId="26420"/>
    <cellStyle name="Note 2 2 2 7 2 26 2" xfId="26421"/>
    <cellStyle name="Note 2 2 2 7 2 27" xfId="26422"/>
    <cellStyle name="Note 2 2 2 7 2 27 2" xfId="26423"/>
    <cellStyle name="Note 2 2 2 7 2 28" xfId="26424"/>
    <cellStyle name="Note 2 2 2 7 2 28 2" xfId="26425"/>
    <cellStyle name="Note 2 2 2 7 2 29" xfId="26426"/>
    <cellStyle name="Note 2 2 2 7 2 29 2" xfId="26427"/>
    <cellStyle name="Note 2 2 2 7 2 3" xfId="26428"/>
    <cellStyle name="Note 2 2 2 7 2 3 2" xfId="26429"/>
    <cellStyle name="Note 2 2 2 7 2 3 3" xfId="26430"/>
    <cellStyle name="Note 2 2 2 7 2 30" xfId="26431"/>
    <cellStyle name="Note 2 2 2 7 2 30 2" xfId="26432"/>
    <cellStyle name="Note 2 2 2 7 2 31" xfId="26433"/>
    <cellStyle name="Note 2 2 2 7 2 4" xfId="26434"/>
    <cellStyle name="Note 2 2 2 7 2 4 2" xfId="26435"/>
    <cellStyle name="Note 2 2 2 7 2 5" xfId="26436"/>
    <cellStyle name="Note 2 2 2 7 2 5 2" xfId="26437"/>
    <cellStyle name="Note 2 2 2 7 2 6" xfId="26438"/>
    <cellStyle name="Note 2 2 2 7 2 6 2" xfId="26439"/>
    <cellStyle name="Note 2 2 2 7 2 7" xfId="26440"/>
    <cellStyle name="Note 2 2 2 7 2 7 2" xfId="26441"/>
    <cellStyle name="Note 2 2 2 7 2 8" xfId="26442"/>
    <cellStyle name="Note 2 2 2 7 2 8 2" xfId="26443"/>
    <cellStyle name="Note 2 2 2 7 2 9" xfId="26444"/>
    <cellStyle name="Note 2 2 2 7 2 9 2" xfId="26445"/>
    <cellStyle name="Note 2 2 2 7 20" xfId="26446"/>
    <cellStyle name="Note 2 2 2 7 20 2" xfId="26447"/>
    <cellStyle name="Note 2 2 2 7 21" xfId="26448"/>
    <cellStyle name="Note 2 2 2 7 21 2" xfId="26449"/>
    <cellStyle name="Note 2 2 2 7 22" xfId="26450"/>
    <cellStyle name="Note 2 2 2 7 22 2" xfId="26451"/>
    <cellStyle name="Note 2 2 2 7 23" xfId="26452"/>
    <cellStyle name="Note 2 2 2 7 23 2" xfId="26453"/>
    <cellStyle name="Note 2 2 2 7 24" xfId="26454"/>
    <cellStyle name="Note 2 2 2 7 24 2" xfId="26455"/>
    <cellStyle name="Note 2 2 2 7 25" xfId="26456"/>
    <cellStyle name="Note 2 2 2 7 25 2" xfId="26457"/>
    <cellStyle name="Note 2 2 2 7 26" xfId="26458"/>
    <cellStyle name="Note 2 2 2 7 26 2" xfId="26459"/>
    <cellStyle name="Note 2 2 2 7 27" xfId="26460"/>
    <cellStyle name="Note 2 2 2 7 27 2" xfId="26461"/>
    <cellStyle name="Note 2 2 2 7 28" xfId="26462"/>
    <cellStyle name="Note 2 2 2 7 28 2" xfId="26463"/>
    <cellStyle name="Note 2 2 2 7 29" xfId="26464"/>
    <cellStyle name="Note 2 2 2 7 29 2" xfId="26465"/>
    <cellStyle name="Note 2 2 2 7 3" xfId="26466"/>
    <cellStyle name="Note 2 2 2 7 3 2" xfId="26467"/>
    <cellStyle name="Note 2 2 2 7 3 2 2" xfId="26468"/>
    <cellStyle name="Note 2 2 2 7 3 3" xfId="26469"/>
    <cellStyle name="Note 2 2 2 7 3 3 2" xfId="26470"/>
    <cellStyle name="Note 2 2 2 7 3 4" xfId="26471"/>
    <cellStyle name="Note 2 2 2 7 3 4 2" xfId="26472"/>
    <cellStyle name="Note 2 2 2 7 3 5" xfId="26473"/>
    <cellStyle name="Note 2 2 2 7 30" xfId="26474"/>
    <cellStyle name="Note 2 2 2 7 30 2" xfId="26475"/>
    <cellStyle name="Note 2 2 2 7 31" xfId="26476"/>
    <cellStyle name="Note 2 2 2 7 31 2" xfId="26477"/>
    <cellStyle name="Note 2 2 2 7 32" xfId="26478"/>
    <cellStyle name="Note 2 2 2 7 32 2" xfId="26479"/>
    <cellStyle name="Note 2 2 2 7 33" xfId="26480"/>
    <cellStyle name="Note 2 2 2 7 33 2" xfId="26481"/>
    <cellStyle name="Note 2 2 2 7 34" xfId="26482"/>
    <cellStyle name="Note 2 2 2 7 34 2" xfId="26483"/>
    <cellStyle name="Note 2 2 2 7 35" xfId="26484"/>
    <cellStyle name="Note 2 2 2 7 35 2" xfId="26485"/>
    <cellStyle name="Note 2 2 2 7 36" xfId="26486"/>
    <cellStyle name="Note 2 2 2 7 36 2" xfId="26487"/>
    <cellStyle name="Note 2 2 2 7 37" xfId="26488"/>
    <cellStyle name="Note 2 2 2 7 37 2" xfId="26489"/>
    <cellStyle name="Note 2 2 2 7 38" xfId="26490"/>
    <cellStyle name="Note 2 2 2 7 38 2" xfId="26491"/>
    <cellStyle name="Note 2 2 2 7 39" xfId="26492"/>
    <cellStyle name="Note 2 2 2 7 39 2" xfId="26493"/>
    <cellStyle name="Note 2 2 2 7 4" xfId="26494"/>
    <cellStyle name="Note 2 2 2 7 4 2" xfId="26495"/>
    <cellStyle name="Note 2 2 2 7 4 2 2" xfId="26496"/>
    <cellStyle name="Note 2 2 2 7 4 3" xfId="26497"/>
    <cellStyle name="Note 2 2 2 7 4 3 2" xfId="26498"/>
    <cellStyle name="Note 2 2 2 7 4 4" xfId="26499"/>
    <cellStyle name="Note 2 2 2 7 4 4 2" xfId="26500"/>
    <cellStyle name="Note 2 2 2 7 4 5" xfId="26501"/>
    <cellStyle name="Note 2 2 2 7 40" xfId="26502"/>
    <cellStyle name="Note 2 2 2 7 40 2" xfId="26503"/>
    <cellStyle name="Note 2 2 2 7 41" xfId="26504"/>
    <cellStyle name="Note 2 2 2 7 41 2" xfId="26505"/>
    <cellStyle name="Note 2 2 2 7 42" xfId="26506"/>
    <cellStyle name="Note 2 2 2 7 42 2" xfId="26507"/>
    <cellStyle name="Note 2 2 2 7 43" xfId="26508"/>
    <cellStyle name="Note 2 2 2 7 43 2" xfId="26509"/>
    <cellStyle name="Note 2 2 2 7 44" xfId="26510"/>
    <cellStyle name="Note 2 2 2 7 44 2" xfId="26511"/>
    <cellStyle name="Note 2 2 2 7 45" xfId="26512"/>
    <cellStyle name="Note 2 2 2 7 45 2" xfId="26513"/>
    <cellStyle name="Note 2 2 2 7 46" xfId="26514"/>
    <cellStyle name="Note 2 2 2 7 46 2" xfId="26515"/>
    <cellStyle name="Note 2 2 2 7 47" xfId="26516"/>
    <cellStyle name="Note 2 2 2 7 47 2" xfId="26517"/>
    <cellStyle name="Note 2 2 2 7 48" xfId="26518"/>
    <cellStyle name="Note 2 2 2 7 48 2" xfId="26519"/>
    <cellStyle name="Note 2 2 2 7 49" xfId="26520"/>
    <cellStyle name="Note 2 2 2 7 49 2" xfId="26521"/>
    <cellStyle name="Note 2 2 2 7 5" xfId="26522"/>
    <cellStyle name="Note 2 2 2 7 5 2" xfId="26523"/>
    <cellStyle name="Note 2 2 2 7 5 2 2" xfId="26524"/>
    <cellStyle name="Note 2 2 2 7 5 3" xfId="26525"/>
    <cellStyle name="Note 2 2 2 7 5 3 2" xfId="26526"/>
    <cellStyle name="Note 2 2 2 7 5 4" xfId="26527"/>
    <cellStyle name="Note 2 2 2 7 5 4 2" xfId="26528"/>
    <cellStyle name="Note 2 2 2 7 5 5" xfId="26529"/>
    <cellStyle name="Note 2 2 2 7 50" xfId="26530"/>
    <cellStyle name="Note 2 2 2 7 50 2" xfId="26531"/>
    <cellStyle name="Note 2 2 2 7 51" xfId="26532"/>
    <cellStyle name="Note 2 2 2 7 51 2" xfId="26533"/>
    <cellStyle name="Note 2 2 2 7 52" xfId="26534"/>
    <cellStyle name="Note 2 2 2 7 52 2" xfId="26535"/>
    <cellStyle name="Note 2 2 2 7 53" xfId="26536"/>
    <cellStyle name="Note 2 2 2 7 53 2" xfId="26537"/>
    <cellStyle name="Note 2 2 2 7 54" xfId="26538"/>
    <cellStyle name="Note 2 2 2 7 54 2" xfId="26539"/>
    <cellStyle name="Note 2 2 2 7 55" xfId="26540"/>
    <cellStyle name="Note 2 2 2 7 55 2" xfId="26541"/>
    <cellStyle name="Note 2 2 2 7 56" xfId="26542"/>
    <cellStyle name="Note 2 2 2 7 56 2" xfId="26543"/>
    <cellStyle name="Note 2 2 2 7 57" xfId="26544"/>
    <cellStyle name="Note 2 2 2 7 57 2" xfId="26545"/>
    <cellStyle name="Note 2 2 2 7 58" xfId="26546"/>
    <cellStyle name="Note 2 2 2 7 58 2" xfId="26547"/>
    <cellStyle name="Note 2 2 2 7 59" xfId="26548"/>
    <cellStyle name="Note 2 2 2 7 59 2" xfId="26549"/>
    <cellStyle name="Note 2 2 2 7 6" xfId="26550"/>
    <cellStyle name="Note 2 2 2 7 6 2" xfId="26551"/>
    <cellStyle name="Note 2 2 2 7 6 2 2" xfId="26552"/>
    <cellStyle name="Note 2 2 2 7 6 3" xfId="26553"/>
    <cellStyle name="Note 2 2 2 7 6 3 2" xfId="26554"/>
    <cellStyle name="Note 2 2 2 7 6 4" xfId="26555"/>
    <cellStyle name="Note 2 2 2 7 6 4 2" xfId="26556"/>
    <cellStyle name="Note 2 2 2 7 6 5" xfId="26557"/>
    <cellStyle name="Note 2 2 2 7 60" xfId="26558"/>
    <cellStyle name="Note 2 2 2 7 60 2" xfId="26559"/>
    <cellStyle name="Note 2 2 2 7 61" xfId="26560"/>
    <cellStyle name="Note 2 2 2 7 61 2" xfId="26561"/>
    <cellStyle name="Note 2 2 2 7 62" xfId="26562"/>
    <cellStyle name="Note 2 2 2 7 7" xfId="26563"/>
    <cellStyle name="Note 2 2 2 7 7 2" xfId="26564"/>
    <cellStyle name="Note 2 2 2 7 7 2 2" xfId="26565"/>
    <cellStyle name="Note 2 2 2 7 7 3" xfId="26566"/>
    <cellStyle name="Note 2 2 2 7 7 3 2" xfId="26567"/>
    <cellStyle name="Note 2 2 2 7 7 4" xfId="26568"/>
    <cellStyle name="Note 2 2 2 7 7 4 2" xfId="26569"/>
    <cellStyle name="Note 2 2 2 7 7 5" xfId="26570"/>
    <cellStyle name="Note 2 2 2 7 8" xfId="26571"/>
    <cellStyle name="Note 2 2 2 7 8 2" xfId="26572"/>
    <cellStyle name="Note 2 2 2 7 8 2 2" xfId="26573"/>
    <cellStyle name="Note 2 2 2 7 8 3" xfId="26574"/>
    <cellStyle name="Note 2 2 2 7 8 3 2" xfId="26575"/>
    <cellStyle name="Note 2 2 2 7 8 4" xfId="26576"/>
    <cellStyle name="Note 2 2 2 7 8 4 2" xfId="26577"/>
    <cellStyle name="Note 2 2 2 7 8 5" xfId="26578"/>
    <cellStyle name="Note 2 2 2 7 9" xfId="26579"/>
    <cellStyle name="Note 2 2 2 7 9 2" xfId="26580"/>
    <cellStyle name="Note 2 2 2 7 9 2 2" xfId="26581"/>
    <cellStyle name="Note 2 2 2 7 9 3" xfId="26582"/>
    <cellStyle name="Note 2 2 2 7 9 3 2" xfId="26583"/>
    <cellStyle name="Note 2 2 2 7 9 4" xfId="26584"/>
    <cellStyle name="Note 2 2 2 7 9 4 2" xfId="26585"/>
    <cellStyle name="Note 2 2 2 7 9 5" xfId="26586"/>
    <cellStyle name="Note 2 2 2 70" xfId="26587"/>
    <cellStyle name="Note 2 2 2 70 2" xfId="26588"/>
    <cellStyle name="Note 2 2 2 71" xfId="26589"/>
    <cellStyle name="Note 2 2 2 71 2" xfId="26590"/>
    <cellStyle name="Note 2 2 2 72" xfId="26591"/>
    <cellStyle name="Note 2 2 2 72 2" xfId="26592"/>
    <cellStyle name="Note 2 2 2 73" xfId="26593"/>
    <cellStyle name="Note 2 2 2 73 2" xfId="26594"/>
    <cellStyle name="Note 2 2 2 74" xfId="26595"/>
    <cellStyle name="Note 2 2 2 74 2" xfId="26596"/>
    <cellStyle name="Note 2 2 2 75" xfId="26597"/>
    <cellStyle name="Note 2 2 2 75 2" xfId="26598"/>
    <cellStyle name="Note 2 2 2 76" xfId="26599"/>
    <cellStyle name="Note 2 2 2 76 2" xfId="26600"/>
    <cellStyle name="Note 2 2 2 77" xfId="26601"/>
    <cellStyle name="Note 2 2 2 77 2" xfId="26602"/>
    <cellStyle name="Note 2 2 2 78" xfId="26603"/>
    <cellStyle name="Note 2 2 2 78 2" xfId="26604"/>
    <cellStyle name="Note 2 2 2 79" xfId="26605"/>
    <cellStyle name="Note 2 2 2 79 2" xfId="26606"/>
    <cellStyle name="Note 2 2 2 8" xfId="26607"/>
    <cellStyle name="Note 2 2 2 8 10" xfId="26608"/>
    <cellStyle name="Note 2 2 2 8 10 2" xfId="26609"/>
    <cellStyle name="Note 2 2 2 8 10 2 2" xfId="26610"/>
    <cellStyle name="Note 2 2 2 8 10 3" xfId="26611"/>
    <cellStyle name="Note 2 2 2 8 10 3 2" xfId="26612"/>
    <cellStyle name="Note 2 2 2 8 10 4" xfId="26613"/>
    <cellStyle name="Note 2 2 2 8 10 4 2" xfId="26614"/>
    <cellStyle name="Note 2 2 2 8 10 5" xfId="26615"/>
    <cellStyle name="Note 2 2 2 8 11" xfId="26616"/>
    <cellStyle name="Note 2 2 2 8 11 2" xfId="26617"/>
    <cellStyle name="Note 2 2 2 8 11 2 2" xfId="26618"/>
    <cellStyle name="Note 2 2 2 8 11 3" xfId="26619"/>
    <cellStyle name="Note 2 2 2 8 11 3 2" xfId="26620"/>
    <cellStyle name="Note 2 2 2 8 11 4" xfId="26621"/>
    <cellStyle name="Note 2 2 2 8 11 4 2" xfId="26622"/>
    <cellStyle name="Note 2 2 2 8 11 5" xfId="26623"/>
    <cellStyle name="Note 2 2 2 8 12" xfId="26624"/>
    <cellStyle name="Note 2 2 2 8 12 2" xfId="26625"/>
    <cellStyle name="Note 2 2 2 8 12 2 2" xfId="26626"/>
    <cellStyle name="Note 2 2 2 8 12 3" xfId="26627"/>
    <cellStyle name="Note 2 2 2 8 12 3 2" xfId="26628"/>
    <cellStyle name="Note 2 2 2 8 12 4" xfId="26629"/>
    <cellStyle name="Note 2 2 2 8 12 4 2" xfId="26630"/>
    <cellStyle name="Note 2 2 2 8 12 5" xfId="26631"/>
    <cellStyle name="Note 2 2 2 8 13" xfId="26632"/>
    <cellStyle name="Note 2 2 2 8 13 2" xfId="26633"/>
    <cellStyle name="Note 2 2 2 8 13 2 2" xfId="26634"/>
    <cellStyle name="Note 2 2 2 8 13 3" xfId="26635"/>
    <cellStyle name="Note 2 2 2 8 13 3 2" xfId="26636"/>
    <cellStyle name="Note 2 2 2 8 13 4" xfId="26637"/>
    <cellStyle name="Note 2 2 2 8 13 4 2" xfId="26638"/>
    <cellStyle name="Note 2 2 2 8 13 5" xfId="26639"/>
    <cellStyle name="Note 2 2 2 8 14" xfId="26640"/>
    <cellStyle name="Note 2 2 2 8 14 2" xfId="26641"/>
    <cellStyle name="Note 2 2 2 8 14 2 2" xfId="26642"/>
    <cellStyle name="Note 2 2 2 8 14 3" xfId="26643"/>
    <cellStyle name="Note 2 2 2 8 14 3 2" xfId="26644"/>
    <cellStyle name="Note 2 2 2 8 14 4" xfId="26645"/>
    <cellStyle name="Note 2 2 2 8 14 4 2" xfId="26646"/>
    <cellStyle name="Note 2 2 2 8 14 5" xfId="26647"/>
    <cellStyle name="Note 2 2 2 8 15" xfId="26648"/>
    <cellStyle name="Note 2 2 2 8 15 2" xfId="26649"/>
    <cellStyle name="Note 2 2 2 8 16" xfId="26650"/>
    <cellStyle name="Note 2 2 2 8 16 2" xfId="26651"/>
    <cellStyle name="Note 2 2 2 8 17" xfId="26652"/>
    <cellStyle name="Note 2 2 2 8 17 2" xfId="26653"/>
    <cellStyle name="Note 2 2 2 8 18" xfId="26654"/>
    <cellStyle name="Note 2 2 2 8 18 2" xfId="26655"/>
    <cellStyle name="Note 2 2 2 8 19" xfId="26656"/>
    <cellStyle name="Note 2 2 2 8 19 2" xfId="26657"/>
    <cellStyle name="Note 2 2 2 8 2" xfId="26658"/>
    <cellStyle name="Note 2 2 2 8 2 10" xfId="26659"/>
    <cellStyle name="Note 2 2 2 8 2 10 2" xfId="26660"/>
    <cellStyle name="Note 2 2 2 8 2 11" xfId="26661"/>
    <cellStyle name="Note 2 2 2 8 2 11 2" xfId="26662"/>
    <cellStyle name="Note 2 2 2 8 2 12" xfId="26663"/>
    <cellStyle name="Note 2 2 2 8 2 12 2" xfId="26664"/>
    <cellStyle name="Note 2 2 2 8 2 13" xfId="26665"/>
    <cellStyle name="Note 2 2 2 8 2 13 2" xfId="26666"/>
    <cellStyle name="Note 2 2 2 8 2 14" xfId="26667"/>
    <cellStyle name="Note 2 2 2 8 2 14 2" xfId="26668"/>
    <cellStyle name="Note 2 2 2 8 2 15" xfId="26669"/>
    <cellStyle name="Note 2 2 2 8 2 15 2" xfId="26670"/>
    <cellStyle name="Note 2 2 2 8 2 16" xfId="26671"/>
    <cellStyle name="Note 2 2 2 8 2 16 2" xfId="26672"/>
    <cellStyle name="Note 2 2 2 8 2 17" xfId="26673"/>
    <cellStyle name="Note 2 2 2 8 2 17 2" xfId="26674"/>
    <cellStyle name="Note 2 2 2 8 2 18" xfId="26675"/>
    <cellStyle name="Note 2 2 2 8 2 18 2" xfId="26676"/>
    <cellStyle name="Note 2 2 2 8 2 19" xfId="26677"/>
    <cellStyle name="Note 2 2 2 8 2 19 2" xfId="26678"/>
    <cellStyle name="Note 2 2 2 8 2 2" xfId="26679"/>
    <cellStyle name="Note 2 2 2 8 2 2 2" xfId="26680"/>
    <cellStyle name="Note 2 2 2 8 2 2 3" xfId="26681"/>
    <cellStyle name="Note 2 2 2 8 2 20" xfId="26682"/>
    <cellStyle name="Note 2 2 2 8 2 20 2" xfId="26683"/>
    <cellStyle name="Note 2 2 2 8 2 21" xfId="26684"/>
    <cellStyle name="Note 2 2 2 8 2 21 2" xfId="26685"/>
    <cellStyle name="Note 2 2 2 8 2 22" xfId="26686"/>
    <cellStyle name="Note 2 2 2 8 2 22 2" xfId="26687"/>
    <cellStyle name="Note 2 2 2 8 2 23" xfId="26688"/>
    <cellStyle name="Note 2 2 2 8 2 23 2" xfId="26689"/>
    <cellStyle name="Note 2 2 2 8 2 24" xfId="26690"/>
    <cellStyle name="Note 2 2 2 8 2 24 2" xfId="26691"/>
    <cellStyle name="Note 2 2 2 8 2 25" xfId="26692"/>
    <cellStyle name="Note 2 2 2 8 2 25 2" xfId="26693"/>
    <cellStyle name="Note 2 2 2 8 2 26" xfId="26694"/>
    <cellStyle name="Note 2 2 2 8 2 26 2" xfId="26695"/>
    <cellStyle name="Note 2 2 2 8 2 27" xfId="26696"/>
    <cellStyle name="Note 2 2 2 8 2 27 2" xfId="26697"/>
    <cellStyle name="Note 2 2 2 8 2 28" xfId="26698"/>
    <cellStyle name="Note 2 2 2 8 2 28 2" xfId="26699"/>
    <cellStyle name="Note 2 2 2 8 2 29" xfId="26700"/>
    <cellStyle name="Note 2 2 2 8 2 29 2" xfId="26701"/>
    <cellStyle name="Note 2 2 2 8 2 3" xfId="26702"/>
    <cellStyle name="Note 2 2 2 8 2 3 2" xfId="26703"/>
    <cellStyle name="Note 2 2 2 8 2 3 3" xfId="26704"/>
    <cellStyle name="Note 2 2 2 8 2 30" xfId="26705"/>
    <cellStyle name="Note 2 2 2 8 2 30 2" xfId="26706"/>
    <cellStyle name="Note 2 2 2 8 2 31" xfId="26707"/>
    <cellStyle name="Note 2 2 2 8 2 4" xfId="26708"/>
    <cellStyle name="Note 2 2 2 8 2 4 2" xfId="26709"/>
    <cellStyle name="Note 2 2 2 8 2 5" xfId="26710"/>
    <cellStyle name="Note 2 2 2 8 2 5 2" xfId="26711"/>
    <cellStyle name="Note 2 2 2 8 2 6" xfId="26712"/>
    <cellStyle name="Note 2 2 2 8 2 6 2" xfId="26713"/>
    <cellStyle name="Note 2 2 2 8 2 7" xfId="26714"/>
    <cellStyle name="Note 2 2 2 8 2 7 2" xfId="26715"/>
    <cellStyle name="Note 2 2 2 8 2 8" xfId="26716"/>
    <cellStyle name="Note 2 2 2 8 2 8 2" xfId="26717"/>
    <cellStyle name="Note 2 2 2 8 2 9" xfId="26718"/>
    <cellStyle name="Note 2 2 2 8 2 9 2" xfId="26719"/>
    <cellStyle name="Note 2 2 2 8 20" xfId="26720"/>
    <cellStyle name="Note 2 2 2 8 20 2" xfId="26721"/>
    <cellStyle name="Note 2 2 2 8 21" xfId="26722"/>
    <cellStyle name="Note 2 2 2 8 21 2" xfId="26723"/>
    <cellStyle name="Note 2 2 2 8 22" xfId="26724"/>
    <cellStyle name="Note 2 2 2 8 22 2" xfId="26725"/>
    <cellStyle name="Note 2 2 2 8 23" xfId="26726"/>
    <cellStyle name="Note 2 2 2 8 23 2" xfId="26727"/>
    <cellStyle name="Note 2 2 2 8 24" xfId="26728"/>
    <cellStyle name="Note 2 2 2 8 24 2" xfId="26729"/>
    <cellStyle name="Note 2 2 2 8 25" xfId="26730"/>
    <cellStyle name="Note 2 2 2 8 25 2" xfId="26731"/>
    <cellStyle name="Note 2 2 2 8 26" xfId="26732"/>
    <cellStyle name="Note 2 2 2 8 26 2" xfId="26733"/>
    <cellStyle name="Note 2 2 2 8 27" xfId="26734"/>
    <cellStyle name="Note 2 2 2 8 27 2" xfId="26735"/>
    <cellStyle name="Note 2 2 2 8 28" xfId="26736"/>
    <cellStyle name="Note 2 2 2 8 28 2" xfId="26737"/>
    <cellStyle name="Note 2 2 2 8 29" xfId="26738"/>
    <cellStyle name="Note 2 2 2 8 29 2" xfId="26739"/>
    <cellStyle name="Note 2 2 2 8 3" xfId="26740"/>
    <cellStyle name="Note 2 2 2 8 3 2" xfId="26741"/>
    <cellStyle name="Note 2 2 2 8 3 2 2" xfId="26742"/>
    <cellStyle name="Note 2 2 2 8 3 3" xfId="26743"/>
    <cellStyle name="Note 2 2 2 8 3 3 2" xfId="26744"/>
    <cellStyle name="Note 2 2 2 8 3 4" xfId="26745"/>
    <cellStyle name="Note 2 2 2 8 3 4 2" xfId="26746"/>
    <cellStyle name="Note 2 2 2 8 3 5" xfId="26747"/>
    <cellStyle name="Note 2 2 2 8 30" xfId="26748"/>
    <cellStyle name="Note 2 2 2 8 30 2" xfId="26749"/>
    <cellStyle name="Note 2 2 2 8 31" xfId="26750"/>
    <cellStyle name="Note 2 2 2 8 31 2" xfId="26751"/>
    <cellStyle name="Note 2 2 2 8 32" xfId="26752"/>
    <cellStyle name="Note 2 2 2 8 32 2" xfId="26753"/>
    <cellStyle name="Note 2 2 2 8 33" xfId="26754"/>
    <cellStyle name="Note 2 2 2 8 33 2" xfId="26755"/>
    <cellStyle name="Note 2 2 2 8 34" xfId="26756"/>
    <cellStyle name="Note 2 2 2 8 34 2" xfId="26757"/>
    <cellStyle name="Note 2 2 2 8 35" xfId="26758"/>
    <cellStyle name="Note 2 2 2 8 35 2" xfId="26759"/>
    <cellStyle name="Note 2 2 2 8 36" xfId="26760"/>
    <cellStyle name="Note 2 2 2 8 36 2" xfId="26761"/>
    <cellStyle name="Note 2 2 2 8 37" xfId="26762"/>
    <cellStyle name="Note 2 2 2 8 37 2" xfId="26763"/>
    <cellStyle name="Note 2 2 2 8 38" xfId="26764"/>
    <cellStyle name="Note 2 2 2 8 38 2" xfId="26765"/>
    <cellStyle name="Note 2 2 2 8 39" xfId="26766"/>
    <cellStyle name="Note 2 2 2 8 39 2" xfId="26767"/>
    <cellStyle name="Note 2 2 2 8 4" xfId="26768"/>
    <cellStyle name="Note 2 2 2 8 4 2" xfId="26769"/>
    <cellStyle name="Note 2 2 2 8 4 2 2" xfId="26770"/>
    <cellStyle name="Note 2 2 2 8 4 3" xfId="26771"/>
    <cellStyle name="Note 2 2 2 8 4 3 2" xfId="26772"/>
    <cellStyle name="Note 2 2 2 8 4 4" xfId="26773"/>
    <cellStyle name="Note 2 2 2 8 4 4 2" xfId="26774"/>
    <cellStyle name="Note 2 2 2 8 4 5" xfId="26775"/>
    <cellStyle name="Note 2 2 2 8 40" xfId="26776"/>
    <cellStyle name="Note 2 2 2 8 40 2" xfId="26777"/>
    <cellStyle name="Note 2 2 2 8 41" xfId="26778"/>
    <cellStyle name="Note 2 2 2 8 41 2" xfId="26779"/>
    <cellStyle name="Note 2 2 2 8 42" xfId="26780"/>
    <cellStyle name="Note 2 2 2 8 42 2" xfId="26781"/>
    <cellStyle name="Note 2 2 2 8 43" xfId="26782"/>
    <cellStyle name="Note 2 2 2 8 43 2" xfId="26783"/>
    <cellStyle name="Note 2 2 2 8 44" xfId="26784"/>
    <cellStyle name="Note 2 2 2 8 44 2" xfId="26785"/>
    <cellStyle name="Note 2 2 2 8 45" xfId="26786"/>
    <cellStyle name="Note 2 2 2 8 45 2" xfId="26787"/>
    <cellStyle name="Note 2 2 2 8 46" xfId="26788"/>
    <cellStyle name="Note 2 2 2 8 46 2" xfId="26789"/>
    <cellStyle name="Note 2 2 2 8 47" xfId="26790"/>
    <cellStyle name="Note 2 2 2 8 47 2" xfId="26791"/>
    <cellStyle name="Note 2 2 2 8 48" xfId="26792"/>
    <cellStyle name="Note 2 2 2 8 48 2" xfId="26793"/>
    <cellStyle name="Note 2 2 2 8 49" xfId="26794"/>
    <cellStyle name="Note 2 2 2 8 49 2" xfId="26795"/>
    <cellStyle name="Note 2 2 2 8 5" xfId="26796"/>
    <cellStyle name="Note 2 2 2 8 5 2" xfId="26797"/>
    <cellStyle name="Note 2 2 2 8 5 2 2" xfId="26798"/>
    <cellStyle name="Note 2 2 2 8 5 3" xfId="26799"/>
    <cellStyle name="Note 2 2 2 8 5 3 2" xfId="26800"/>
    <cellStyle name="Note 2 2 2 8 5 4" xfId="26801"/>
    <cellStyle name="Note 2 2 2 8 5 4 2" xfId="26802"/>
    <cellStyle name="Note 2 2 2 8 5 5" xfId="26803"/>
    <cellStyle name="Note 2 2 2 8 50" xfId="26804"/>
    <cellStyle name="Note 2 2 2 8 50 2" xfId="26805"/>
    <cellStyle name="Note 2 2 2 8 51" xfId="26806"/>
    <cellStyle name="Note 2 2 2 8 51 2" xfId="26807"/>
    <cellStyle name="Note 2 2 2 8 52" xfId="26808"/>
    <cellStyle name="Note 2 2 2 8 52 2" xfId="26809"/>
    <cellStyle name="Note 2 2 2 8 53" xfId="26810"/>
    <cellStyle name="Note 2 2 2 8 53 2" xfId="26811"/>
    <cellStyle name="Note 2 2 2 8 54" xfId="26812"/>
    <cellStyle name="Note 2 2 2 8 54 2" xfId="26813"/>
    <cellStyle name="Note 2 2 2 8 55" xfId="26814"/>
    <cellStyle name="Note 2 2 2 8 55 2" xfId="26815"/>
    <cellStyle name="Note 2 2 2 8 56" xfId="26816"/>
    <cellStyle name="Note 2 2 2 8 56 2" xfId="26817"/>
    <cellStyle name="Note 2 2 2 8 57" xfId="26818"/>
    <cellStyle name="Note 2 2 2 8 57 2" xfId="26819"/>
    <cellStyle name="Note 2 2 2 8 58" xfId="26820"/>
    <cellStyle name="Note 2 2 2 8 58 2" xfId="26821"/>
    <cellStyle name="Note 2 2 2 8 59" xfId="26822"/>
    <cellStyle name="Note 2 2 2 8 59 2" xfId="26823"/>
    <cellStyle name="Note 2 2 2 8 6" xfId="26824"/>
    <cellStyle name="Note 2 2 2 8 6 2" xfId="26825"/>
    <cellStyle name="Note 2 2 2 8 6 2 2" xfId="26826"/>
    <cellStyle name="Note 2 2 2 8 6 3" xfId="26827"/>
    <cellStyle name="Note 2 2 2 8 6 3 2" xfId="26828"/>
    <cellStyle name="Note 2 2 2 8 6 4" xfId="26829"/>
    <cellStyle name="Note 2 2 2 8 6 4 2" xfId="26830"/>
    <cellStyle name="Note 2 2 2 8 6 5" xfId="26831"/>
    <cellStyle name="Note 2 2 2 8 60" xfId="26832"/>
    <cellStyle name="Note 2 2 2 8 60 2" xfId="26833"/>
    <cellStyle name="Note 2 2 2 8 61" xfId="26834"/>
    <cellStyle name="Note 2 2 2 8 61 2" xfId="26835"/>
    <cellStyle name="Note 2 2 2 8 62" xfId="26836"/>
    <cellStyle name="Note 2 2 2 8 7" xfId="26837"/>
    <cellStyle name="Note 2 2 2 8 7 2" xfId="26838"/>
    <cellStyle name="Note 2 2 2 8 7 2 2" xfId="26839"/>
    <cellStyle name="Note 2 2 2 8 7 3" xfId="26840"/>
    <cellStyle name="Note 2 2 2 8 7 3 2" xfId="26841"/>
    <cellStyle name="Note 2 2 2 8 7 4" xfId="26842"/>
    <cellStyle name="Note 2 2 2 8 7 4 2" xfId="26843"/>
    <cellStyle name="Note 2 2 2 8 7 5" xfId="26844"/>
    <cellStyle name="Note 2 2 2 8 8" xfId="26845"/>
    <cellStyle name="Note 2 2 2 8 8 2" xfId="26846"/>
    <cellStyle name="Note 2 2 2 8 8 2 2" xfId="26847"/>
    <cellStyle name="Note 2 2 2 8 8 3" xfId="26848"/>
    <cellStyle name="Note 2 2 2 8 8 3 2" xfId="26849"/>
    <cellStyle name="Note 2 2 2 8 8 4" xfId="26850"/>
    <cellStyle name="Note 2 2 2 8 8 4 2" xfId="26851"/>
    <cellStyle name="Note 2 2 2 8 8 5" xfId="26852"/>
    <cellStyle name="Note 2 2 2 8 9" xfId="26853"/>
    <cellStyle name="Note 2 2 2 8 9 2" xfId="26854"/>
    <cellStyle name="Note 2 2 2 8 9 2 2" xfId="26855"/>
    <cellStyle name="Note 2 2 2 8 9 3" xfId="26856"/>
    <cellStyle name="Note 2 2 2 8 9 3 2" xfId="26857"/>
    <cellStyle name="Note 2 2 2 8 9 4" xfId="26858"/>
    <cellStyle name="Note 2 2 2 8 9 4 2" xfId="26859"/>
    <cellStyle name="Note 2 2 2 8 9 5" xfId="26860"/>
    <cellStyle name="Note 2 2 2 80" xfId="26861"/>
    <cellStyle name="Note 2 2 2 80 2" xfId="26862"/>
    <cellStyle name="Note 2 2 2 81" xfId="26863"/>
    <cellStyle name="Note 2 2 2 81 2" xfId="26864"/>
    <cellStyle name="Note 2 2 2 82" xfId="26865"/>
    <cellStyle name="Note 2 2 2 82 2" xfId="26866"/>
    <cellStyle name="Note 2 2 2 83" xfId="26867"/>
    <cellStyle name="Note 2 2 2 83 2" xfId="26868"/>
    <cellStyle name="Note 2 2 2 84" xfId="26869"/>
    <cellStyle name="Note 2 2 2 84 2" xfId="26870"/>
    <cellStyle name="Note 2 2 2 85" xfId="26871"/>
    <cellStyle name="Note 2 2 2 85 2" xfId="26872"/>
    <cellStyle name="Note 2 2 2 86" xfId="26873"/>
    <cellStyle name="Note 2 2 2 86 2" xfId="26874"/>
    <cellStyle name="Note 2 2 2 87" xfId="26875"/>
    <cellStyle name="Note 2 2 2 87 2" xfId="26876"/>
    <cellStyle name="Note 2 2 2 88" xfId="26877"/>
    <cellStyle name="Note 2 2 2 88 2" xfId="26878"/>
    <cellStyle name="Note 2 2 2 89" xfId="26879"/>
    <cellStyle name="Note 2 2 2 89 2" xfId="26880"/>
    <cellStyle name="Note 2 2 2 9" xfId="26881"/>
    <cellStyle name="Note 2 2 2 9 10" xfId="26882"/>
    <cellStyle name="Note 2 2 2 9 10 2" xfId="26883"/>
    <cellStyle name="Note 2 2 2 9 10 2 2" xfId="26884"/>
    <cellStyle name="Note 2 2 2 9 10 3" xfId="26885"/>
    <cellStyle name="Note 2 2 2 9 10 3 2" xfId="26886"/>
    <cellStyle name="Note 2 2 2 9 10 4" xfId="26887"/>
    <cellStyle name="Note 2 2 2 9 10 4 2" xfId="26888"/>
    <cellStyle name="Note 2 2 2 9 10 5" xfId="26889"/>
    <cellStyle name="Note 2 2 2 9 11" xfId="26890"/>
    <cellStyle name="Note 2 2 2 9 11 2" xfId="26891"/>
    <cellStyle name="Note 2 2 2 9 11 2 2" xfId="26892"/>
    <cellStyle name="Note 2 2 2 9 11 3" xfId="26893"/>
    <cellStyle name="Note 2 2 2 9 11 3 2" xfId="26894"/>
    <cellStyle name="Note 2 2 2 9 11 4" xfId="26895"/>
    <cellStyle name="Note 2 2 2 9 11 4 2" xfId="26896"/>
    <cellStyle name="Note 2 2 2 9 11 5" xfId="26897"/>
    <cellStyle name="Note 2 2 2 9 12" xfId="26898"/>
    <cellStyle name="Note 2 2 2 9 12 2" xfId="26899"/>
    <cellStyle name="Note 2 2 2 9 12 2 2" xfId="26900"/>
    <cellStyle name="Note 2 2 2 9 12 3" xfId="26901"/>
    <cellStyle name="Note 2 2 2 9 12 3 2" xfId="26902"/>
    <cellStyle name="Note 2 2 2 9 12 4" xfId="26903"/>
    <cellStyle name="Note 2 2 2 9 12 4 2" xfId="26904"/>
    <cellStyle name="Note 2 2 2 9 12 5" xfId="26905"/>
    <cellStyle name="Note 2 2 2 9 13" xfId="26906"/>
    <cellStyle name="Note 2 2 2 9 13 2" xfId="26907"/>
    <cellStyle name="Note 2 2 2 9 13 2 2" xfId="26908"/>
    <cellStyle name="Note 2 2 2 9 13 3" xfId="26909"/>
    <cellStyle name="Note 2 2 2 9 13 3 2" xfId="26910"/>
    <cellStyle name="Note 2 2 2 9 13 4" xfId="26911"/>
    <cellStyle name="Note 2 2 2 9 13 4 2" xfId="26912"/>
    <cellStyle name="Note 2 2 2 9 13 5" xfId="26913"/>
    <cellStyle name="Note 2 2 2 9 14" xfId="26914"/>
    <cellStyle name="Note 2 2 2 9 14 2" xfId="26915"/>
    <cellStyle name="Note 2 2 2 9 14 2 2" xfId="26916"/>
    <cellStyle name="Note 2 2 2 9 14 3" xfId="26917"/>
    <cellStyle name="Note 2 2 2 9 14 3 2" xfId="26918"/>
    <cellStyle name="Note 2 2 2 9 14 4" xfId="26919"/>
    <cellStyle name="Note 2 2 2 9 14 4 2" xfId="26920"/>
    <cellStyle name="Note 2 2 2 9 14 5" xfId="26921"/>
    <cellStyle name="Note 2 2 2 9 15" xfId="26922"/>
    <cellStyle name="Note 2 2 2 9 15 2" xfId="26923"/>
    <cellStyle name="Note 2 2 2 9 16" xfId="26924"/>
    <cellStyle name="Note 2 2 2 9 16 2" xfId="26925"/>
    <cellStyle name="Note 2 2 2 9 17" xfId="26926"/>
    <cellStyle name="Note 2 2 2 9 17 2" xfId="26927"/>
    <cellStyle name="Note 2 2 2 9 18" xfId="26928"/>
    <cellStyle name="Note 2 2 2 9 18 2" xfId="26929"/>
    <cellStyle name="Note 2 2 2 9 19" xfId="26930"/>
    <cellStyle name="Note 2 2 2 9 19 2" xfId="26931"/>
    <cellStyle name="Note 2 2 2 9 2" xfId="26932"/>
    <cellStyle name="Note 2 2 2 9 2 10" xfId="26933"/>
    <cellStyle name="Note 2 2 2 9 2 10 2" xfId="26934"/>
    <cellStyle name="Note 2 2 2 9 2 11" xfId="26935"/>
    <cellStyle name="Note 2 2 2 9 2 11 2" xfId="26936"/>
    <cellStyle name="Note 2 2 2 9 2 12" xfId="26937"/>
    <cellStyle name="Note 2 2 2 9 2 12 2" xfId="26938"/>
    <cellStyle name="Note 2 2 2 9 2 13" xfId="26939"/>
    <cellStyle name="Note 2 2 2 9 2 13 2" xfId="26940"/>
    <cellStyle name="Note 2 2 2 9 2 14" xfId="26941"/>
    <cellStyle name="Note 2 2 2 9 2 14 2" xfId="26942"/>
    <cellStyle name="Note 2 2 2 9 2 15" xfId="26943"/>
    <cellStyle name="Note 2 2 2 9 2 15 2" xfId="26944"/>
    <cellStyle name="Note 2 2 2 9 2 16" xfId="26945"/>
    <cellStyle name="Note 2 2 2 9 2 16 2" xfId="26946"/>
    <cellStyle name="Note 2 2 2 9 2 17" xfId="26947"/>
    <cellStyle name="Note 2 2 2 9 2 17 2" xfId="26948"/>
    <cellStyle name="Note 2 2 2 9 2 18" xfId="26949"/>
    <cellStyle name="Note 2 2 2 9 2 18 2" xfId="26950"/>
    <cellStyle name="Note 2 2 2 9 2 19" xfId="26951"/>
    <cellStyle name="Note 2 2 2 9 2 19 2" xfId="26952"/>
    <cellStyle name="Note 2 2 2 9 2 2" xfId="26953"/>
    <cellStyle name="Note 2 2 2 9 2 2 2" xfId="26954"/>
    <cellStyle name="Note 2 2 2 9 2 2 3" xfId="26955"/>
    <cellStyle name="Note 2 2 2 9 2 20" xfId="26956"/>
    <cellStyle name="Note 2 2 2 9 2 20 2" xfId="26957"/>
    <cellStyle name="Note 2 2 2 9 2 21" xfId="26958"/>
    <cellStyle name="Note 2 2 2 9 2 21 2" xfId="26959"/>
    <cellStyle name="Note 2 2 2 9 2 22" xfId="26960"/>
    <cellStyle name="Note 2 2 2 9 2 22 2" xfId="26961"/>
    <cellStyle name="Note 2 2 2 9 2 23" xfId="26962"/>
    <cellStyle name="Note 2 2 2 9 2 23 2" xfId="26963"/>
    <cellStyle name="Note 2 2 2 9 2 24" xfId="26964"/>
    <cellStyle name="Note 2 2 2 9 2 24 2" xfId="26965"/>
    <cellStyle name="Note 2 2 2 9 2 25" xfId="26966"/>
    <cellStyle name="Note 2 2 2 9 2 25 2" xfId="26967"/>
    <cellStyle name="Note 2 2 2 9 2 26" xfId="26968"/>
    <cellStyle name="Note 2 2 2 9 2 26 2" xfId="26969"/>
    <cellStyle name="Note 2 2 2 9 2 27" xfId="26970"/>
    <cellStyle name="Note 2 2 2 9 2 27 2" xfId="26971"/>
    <cellStyle name="Note 2 2 2 9 2 28" xfId="26972"/>
    <cellStyle name="Note 2 2 2 9 2 28 2" xfId="26973"/>
    <cellStyle name="Note 2 2 2 9 2 29" xfId="26974"/>
    <cellStyle name="Note 2 2 2 9 2 29 2" xfId="26975"/>
    <cellStyle name="Note 2 2 2 9 2 3" xfId="26976"/>
    <cellStyle name="Note 2 2 2 9 2 3 2" xfId="26977"/>
    <cellStyle name="Note 2 2 2 9 2 3 3" xfId="26978"/>
    <cellStyle name="Note 2 2 2 9 2 30" xfId="26979"/>
    <cellStyle name="Note 2 2 2 9 2 30 2" xfId="26980"/>
    <cellStyle name="Note 2 2 2 9 2 31" xfId="26981"/>
    <cellStyle name="Note 2 2 2 9 2 4" xfId="26982"/>
    <cellStyle name="Note 2 2 2 9 2 4 2" xfId="26983"/>
    <cellStyle name="Note 2 2 2 9 2 5" xfId="26984"/>
    <cellStyle name="Note 2 2 2 9 2 5 2" xfId="26985"/>
    <cellStyle name="Note 2 2 2 9 2 6" xfId="26986"/>
    <cellStyle name="Note 2 2 2 9 2 6 2" xfId="26987"/>
    <cellStyle name="Note 2 2 2 9 2 7" xfId="26988"/>
    <cellStyle name="Note 2 2 2 9 2 7 2" xfId="26989"/>
    <cellStyle name="Note 2 2 2 9 2 8" xfId="26990"/>
    <cellStyle name="Note 2 2 2 9 2 8 2" xfId="26991"/>
    <cellStyle name="Note 2 2 2 9 2 9" xfId="26992"/>
    <cellStyle name="Note 2 2 2 9 2 9 2" xfId="26993"/>
    <cellStyle name="Note 2 2 2 9 20" xfId="26994"/>
    <cellStyle name="Note 2 2 2 9 20 2" xfId="26995"/>
    <cellStyle name="Note 2 2 2 9 21" xfId="26996"/>
    <cellStyle name="Note 2 2 2 9 21 2" xfId="26997"/>
    <cellStyle name="Note 2 2 2 9 22" xfId="26998"/>
    <cellStyle name="Note 2 2 2 9 22 2" xfId="26999"/>
    <cellStyle name="Note 2 2 2 9 23" xfId="27000"/>
    <cellStyle name="Note 2 2 2 9 23 2" xfId="27001"/>
    <cellStyle name="Note 2 2 2 9 24" xfId="27002"/>
    <cellStyle name="Note 2 2 2 9 24 2" xfId="27003"/>
    <cellStyle name="Note 2 2 2 9 25" xfId="27004"/>
    <cellStyle name="Note 2 2 2 9 25 2" xfId="27005"/>
    <cellStyle name="Note 2 2 2 9 26" xfId="27006"/>
    <cellStyle name="Note 2 2 2 9 26 2" xfId="27007"/>
    <cellStyle name="Note 2 2 2 9 27" xfId="27008"/>
    <cellStyle name="Note 2 2 2 9 27 2" xfId="27009"/>
    <cellStyle name="Note 2 2 2 9 28" xfId="27010"/>
    <cellStyle name="Note 2 2 2 9 28 2" xfId="27011"/>
    <cellStyle name="Note 2 2 2 9 29" xfId="27012"/>
    <cellStyle name="Note 2 2 2 9 29 2" xfId="27013"/>
    <cellStyle name="Note 2 2 2 9 3" xfId="27014"/>
    <cellStyle name="Note 2 2 2 9 3 2" xfId="27015"/>
    <cellStyle name="Note 2 2 2 9 3 2 2" xfId="27016"/>
    <cellStyle name="Note 2 2 2 9 3 3" xfId="27017"/>
    <cellStyle name="Note 2 2 2 9 3 3 2" xfId="27018"/>
    <cellStyle name="Note 2 2 2 9 3 4" xfId="27019"/>
    <cellStyle name="Note 2 2 2 9 3 4 2" xfId="27020"/>
    <cellStyle name="Note 2 2 2 9 3 5" xfId="27021"/>
    <cellStyle name="Note 2 2 2 9 30" xfId="27022"/>
    <cellStyle name="Note 2 2 2 9 30 2" xfId="27023"/>
    <cellStyle name="Note 2 2 2 9 31" xfId="27024"/>
    <cellStyle name="Note 2 2 2 9 31 2" xfId="27025"/>
    <cellStyle name="Note 2 2 2 9 32" xfId="27026"/>
    <cellStyle name="Note 2 2 2 9 32 2" xfId="27027"/>
    <cellStyle name="Note 2 2 2 9 33" xfId="27028"/>
    <cellStyle name="Note 2 2 2 9 33 2" xfId="27029"/>
    <cellStyle name="Note 2 2 2 9 34" xfId="27030"/>
    <cellStyle name="Note 2 2 2 9 34 2" xfId="27031"/>
    <cellStyle name="Note 2 2 2 9 35" xfId="27032"/>
    <cellStyle name="Note 2 2 2 9 35 2" xfId="27033"/>
    <cellStyle name="Note 2 2 2 9 36" xfId="27034"/>
    <cellStyle name="Note 2 2 2 9 36 2" xfId="27035"/>
    <cellStyle name="Note 2 2 2 9 37" xfId="27036"/>
    <cellStyle name="Note 2 2 2 9 37 2" xfId="27037"/>
    <cellStyle name="Note 2 2 2 9 38" xfId="27038"/>
    <cellStyle name="Note 2 2 2 9 38 2" xfId="27039"/>
    <cellStyle name="Note 2 2 2 9 39" xfId="27040"/>
    <cellStyle name="Note 2 2 2 9 39 2" xfId="27041"/>
    <cellStyle name="Note 2 2 2 9 4" xfId="27042"/>
    <cellStyle name="Note 2 2 2 9 4 2" xfId="27043"/>
    <cellStyle name="Note 2 2 2 9 4 2 2" xfId="27044"/>
    <cellStyle name="Note 2 2 2 9 4 3" xfId="27045"/>
    <cellStyle name="Note 2 2 2 9 4 3 2" xfId="27046"/>
    <cellStyle name="Note 2 2 2 9 4 4" xfId="27047"/>
    <cellStyle name="Note 2 2 2 9 4 4 2" xfId="27048"/>
    <cellStyle name="Note 2 2 2 9 4 5" xfId="27049"/>
    <cellStyle name="Note 2 2 2 9 40" xfId="27050"/>
    <cellStyle name="Note 2 2 2 9 40 2" xfId="27051"/>
    <cellStyle name="Note 2 2 2 9 41" xfId="27052"/>
    <cellStyle name="Note 2 2 2 9 41 2" xfId="27053"/>
    <cellStyle name="Note 2 2 2 9 42" xfId="27054"/>
    <cellStyle name="Note 2 2 2 9 42 2" xfId="27055"/>
    <cellStyle name="Note 2 2 2 9 43" xfId="27056"/>
    <cellStyle name="Note 2 2 2 9 43 2" xfId="27057"/>
    <cellStyle name="Note 2 2 2 9 44" xfId="27058"/>
    <cellStyle name="Note 2 2 2 9 44 2" xfId="27059"/>
    <cellStyle name="Note 2 2 2 9 45" xfId="27060"/>
    <cellStyle name="Note 2 2 2 9 45 2" xfId="27061"/>
    <cellStyle name="Note 2 2 2 9 46" xfId="27062"/>
    <cellStyle name="Note 2 2 2 9 46 2" xfId="27063"/>
    <cellStyle name="Note 2 2 2 9 47" xfId="27064"/>
    <cellStyle name="Note 2 2 2 9 47 2" xfId="27065"/>
    <cellStyle name="Note 2 2 2 9 48" xfId="27066"/>
    <cellStyle name="Note 2 2 2 9 48 2" xfId="27067"/>
    <cellStyle name="Note 2 2 2 9 49" xfId="27068"/>
    <cellStyle name="Note 2 2 2 9 49 2" xfId="27069"/>
    <cellStyle name="Note 2 2 2 9 5" xfId="27070"/>
    <cellStyle name="Note 2 2 2 9 5 2" xfId="27071"/>
    <cellStyle name="Note 2 2 2 9 5 2 2" xfId="27072"/>
    <cellStyle name="Note 2 2 2 9 5 3" xfId="27073"/>
    <cellStyle name="Note 2 2 2 9 5 3 2" xfId="27074"/>
    <cellStyle name="Note 2 2 2 9 5 4" xfId="27075"/>
    <cellStyle name="Note 2 2 2 9 5 4 2" xfId="27076"/>
    <cellStyle name="Note 2 2 2 9 5 5" xfId="27077"/>
    <cellStyle name="Note 2 2 2 9 50" xfId="27078"/>
    <cellStyle name="Note 2 2 2 9 50 2" xfId="27079"/>
    <cellStyle name="Note 2 2 2 9 51" xfId="27080"/>
    <cellStyle name="Note 2 2 2 9 51 2" xfId="27081"/>
    <cellStyle name="Note 2 2 2 9 52" xfId="27082"/>
    <cellStyle name="Note 2 2 2 9 52 2" xfId="27083"/>
    <cellStyle name="Note 2 2 2 9 53" xfId="27084"/>
    <cellStyle name="Note 2 2 2 9 53 2" xfId="27085"/>
    <cellStyle name="Note 2 2 2 9 54" xfId="27086"/>
    <cellStyle name="Note 2 2 2 9 54 2" xfId="27087"/>
    <cellStyle name="Note 2 2 2 9 55" xfId="27088"/>
    <cellStyle name="Note 2 2 2 9 55 2" xfId="27089"/>
    <cellStyle name="Note 2 2 2 9 56" xfId="27090"/>
    <cellStyle name="Note 2 2 2 9 56 2" xfId="27091"/>
    <cellStyle name="Note 2 2 2 9 57" xfId="27092"/>
    <cellStyle name="Note 2 2 2 9 57 2" xfId="27093"/>
    <cellStyle name="Note 2 2 2 9 58" xfId="27094"/>
    <cellStyle name="Note 2 2 2 9 58 2" xfId="27095"/>
    <cellStyle name="Note 2 2 2 9 59" xfId="27096"/>
    <cellStyle name="Note 2 2 2 9 59 2" xfId="27097"/>
    <cellStyle name="Note 2 2 2 9 6" xfId="27098"/>
    <cellStyle name="Note 2 2 2 9 6 2" xfId="27099"/>
    <cellStyle name="Note 2 2 2 9 6 2 2" xfId="27100"/>
    <cellStyle name="Note 2 2 2 9 6 3" xfId="27101"/>
    <cellStyle name="Note 2 2 2 9 6 3 2" xfId="27102"/>
    <cellStyle name="Note 2 2 2 9 6 4" xfId="27103"/>
    <cellStyle name="Note 2 2 2 9 6 4 2" xfId="27104"/>
    <cellStyle name="Note 2 2 2 9 6 5" xfId="27105"/>
    <cellStyle name="Note 2 2 2 9 60" xfId="27106"/>
    <cellStyle name="Note 2 2 2 9 60 2" xfId="27107"/>
    <cellStyle name="Note 2 2 2 9 61" xfId="27108"/>
    <cellStyle name="Note 2 2 2 9 61 2" xfId="27109"/>
    <cellStyle name="Note 2 2 2 9 62" xfId="27110"/>
    <cellStyle name="Note 2 2 2 9 7" xfId="27111"/>
    <cellStyle name="Note 2 2 2 9 7 2" xfId="27112"/>
    <cellStyle name="Note 2 2 2 9 7 2 2" xfId="27113"/>
    <cellStyle name="Note 2 2 2 9 7 3" xfId="27114"/>
    <cellStyle name="Note 2 2 2 9 7 3 2" xfId="27115"/>
    <cellStyle name="Note 2 2 2 9 7 4" xfId="27116"/>
    <cellStyle name="Note 2 2 2 9 7 4 2" xfId="27117"/>
    <cellStyle name="Note 2 2 2 9 7 5" xfId="27118"/>
    <cellStyle name="Note 2 2 2 9 8" xfId="27119"/>
    <cellStyle name="Note 2 2 2 9 8 2" xfId="27120"/>
    <cellStyle name="Note 2 2 2 9 8 2 2" xfId="27121"/>
    <cellStyle name="Note 2 2 2 9 8 3" xfId="27122"/>
    <cellStyle name="Note 2 2 2 9 8 3 2" xfId="27123"/>
    <cellStyle name="Note 2 2 2 9 8 4" xfId="27124"/>
    <cellStyle name="Note 2 2 2 9 8 4 2" xfId="27125"/>
    <cellStyle name="Note 2 2 2 9 8 5" xfId="27126"/>
    <cellStyle name="Note 2 2 2 9 9" xfId="27127"/>
    <cellStyle name="Note 2 2 2 9 9 2" xfId="27128"/>
    <cellStyle name="Note 2 2 2 9 9 2 2" xfId="27129"/>
    <cellStyle name="Note 2 2 2 9 9 3" xfId="27130"/>
    <cellStyle name="Note 2 2 2 9 9 3 2" xfId="27131"/>
    <cellStyle name="Note 2 2 2 9 9 4" xfId="27132"/>
    <cellStyle name="Note 2 2 2 9 9 4 2" xfId="27133"/>
    <cellStyle name="Note 2 2 2 9 9 5" xfId="27134"/>
    <cellStyle name="Note 2 2 2 90" xfId="27135"/>
    <cellStyle name="Note 2 2 2 90 2" xfId="27136"/>
    <cellStyle name="Note 2 2 2 91" xfId="27137"/>
    <cellStyle name="Note 2 2 2 91 2" xfId="27138"/>
    <cellStyle name="Note 2 2 2 91 2 2" xfId="27139"/>
    <cellStyle name="Note 2 2 2 91 2 3" xfId="27140"/>
    <cellStyle name="Note 2 2 2 91 2 4" xfId="27141"/>
    <cellStyle name="Note 2 2 2 91 2 5" xfId="27142"/>
    <cellStyle name="Note 2 2 2 91 2 6" xfId="27143"/>
    <cellStyle name="Note 2 2 2 91 3" xfId="27144"/>
    <cellStyle name="Note 2 2 2 91 3 2" xfId="27145"/>
    <cellStyle name="Note 2 2 2 91 4" xfId="27146"/>
    <cellStyle name="Note 2 2 2 91 4 2" xfId="27147"/>
    <cellStyle name="Note 2 2 2 91 5" xfId="27148"/>
    <cellStyle name="Note 2 2 2 91 5 2" xfId="27149"/>
    <cellStyle name="Note 2 2 2 91 6" xfId="27150"/>
    <cellStyle name="Note 2 2 2 91 7" xfId="27151"/>
    <cellStyle name="Note 2 2 2 91 8" xfId="27152"/>
    <cellStyle name="Note 2 2 2 91 9" xfId="27153"/>
    <cellStyle name="Note 2 2 2 92" xfId="27154"/>
    <cellStyle name="Note 2 2 2 92 2" xfId="27155"/>
    <cellStyle name="Note 2 2 2 92 2 2" xfId="27156"/>
    <cellStyle name="Note 2 2 2 92 2 3" xfId="27157"/>
    <cellStyle name="Note 2 2 2 92 2 4" xfId="27158"/>
    <cellStyle name="Note 2 2 2 92 2 5" xfId="27159"/>
    <cellStyle name="Note 2 2 2 92 2 6" xfId="27160"/>
    <cellStyle name="Note 2 2 2 92 3" xfId="27161"/>
    <cellStyle name="Note 2 2 2 92 3 2" xfId="27162"/>
    <cellStyle name="Note 2 2 2 92 4" xfId="27163"/>
    <cellStyle name="Note 2 2 2 92 4 2" xfId="27164"/>
    <cellStyle name="Note 2 2 2 92 5" xfId="27165"/>
    <cellStyle name="Note 2 2 2 92 6" xfId="27166"/>
    <cellStyle name="Note 2 2 2 92 7" xfId="27167"/>
    <cellStyle name="Note 2 2 2 92 8" xfId="27168"/>
    <cellStyle name="Note 2 2 2 93" xfId="27169"/>
    <cellStyle name="Note 2 2 2 93 2" xfId="27170"/>
    <cellStyle name="Note 2 2 2 93 2 2" xfId="27171"/>
    <cellStyle name="Note 2 2 2 93 3" xfId="27172"/>
    <cellStyle name="Note 2 2 2 93 3 2" xfId="27173"/>
    <cellStyle name="Note 2 2 2 93 4" xfId="27174"/>
    <cellStyle name="Note 2 2 2 93 4 2" xfId="27175"/>
    <cellStyle name="Note 2 2 2 93 5" xfId="27176"/>
    <cellStyle name="Note 2 2 2 94" xfId="27177"/>
    <cellStyle name="Note 2 2 2 94 2" xfId="27178"/>
    <cellStyle name="Note 2 2 2 94 2 2" xfId="27179"/>
    <cellStyle name="Note 2 2 2 94 3" xfId="27180"/>
    <cellStyle name="Note 2 2 2 94 3 2" xfId="27181"/>
    <cellStyle name="Note 2 2 2 94 4" xfId="27182"/>
    <cellStyle name="Note 2 2 2 95" xfId="27183"/>
    <cellStyle name="Note 2 2 2 95 2" xfId="27184"/>
    <cellStyle name="Note 2 2 2 95 2 2" xfId="27185"/>
    <cellStyle name="Note 2 2 2 95 3" xfId="27186"/>
    <cellStyle name="Note 2 2 2 96" xfId="27187"/>
    <cellStyle name="Note 2 2 2 97" xfId="27188"/>
    <cellStyle name="Note 2 2 2 98" xfId="27189"/>
    <cellStyle name="Note 2 2 2 99" xfId="27190"/>
    <cellStyle name="Note 2 2 20" xfId="27191"/>
    <cellStyle name="Note 2 2 20 10" xfId="27192"/>
    <cellStyle name="Note 2 2 20 10 2" xfId="27193"/>
    <cellStyle name="Note 2 2 20 10 2 2" xfId="27194"/>
    <cellStyle name="Note 2 2 20 10 3" xfId="27195"/>
    <cellStyle name="Note 2 2 20 10 3 2" xfId="27196"/>
    <cellStyle name="Note 2 2 20 10 4" xfId="27197"/>
    <cellStyle name="Note 2 2 20 10 4 2" xfId="27198"/>
    <cellStyle name="Note 2 2 20 10 5" xfId="27199"/>
    <cellStyle name="Note 2 2 20 11" xfId="27200"/>
    <cellStyle name="Note 2 2 20 11 2" xfId="27201"/>
    <cellStyle name="Note 2 2 20 11 2 2" xfId="27202"/>
    <cellStyle name="Note 2 2 20 11 3" xfId="27203"/>
    <cellStyle name="Note 2 2 20 11 3 2" xfId="27204"/>
    <cellStyle name="Note 2 2 20 11 4" xfId="27205"/>
    <cellStyle name="Note 2 2 20 11 4 2" xfId="27206"/>
    <cellStyle name="Note 2 2 20 11 5" xfId="27207"/>
    <cellStyle name="Note 2 2 20 12" xfId="27208"/>
    <cellStyle name="Note 2 2 20 12 2" xfId="27209"/>
    <cellStyle name="Note 2 2 20 12 2 2" xfId="27210"/>
    <cellStyle name="Note 2 2 20 12 3" xfId="27211"/>
    <cellStyle name="Note 2 2 20 12 3 2" xfId="27212"/>
    <cellStyle name="Note 2 2 20 12 4" xfId="27213"/>
    <cellStyle name="Note 2 2 20 12 4 2" xfId="27214"/>
    <cellStyle name="Note 2 2 20 12 5" xfId="27215"/>
    <cellStyle name="Note 2 2 20 13" xfId="27216"/>
    <cellStyle name="Note 2 2 20 13 2" xfId="27217"/>
    <cellStyle name="Note 2 2 20 13 2 2" xfId="27218"/>
    <cellStyle name="Note 2 2 20 13 3" xfId="27219"/>
    <cellStyle name="Note 2 2 20 13 3 2" xfId="27220"/>
    <cellStyle name="Note 2 2 20 13 4" xfId="27221"/>
    <cellStyle name="Note 2 2 20 13 4 2" xfId="27222"/>
    <cellStyle name="Note 2 2 20 13 5" xfId="27223"/>
    <cellStyle name="Note 2 2 20 14" xfId="27224"/>
    <cellStyle name="Note 2 2 20 14 2" xfId="27225"/>
    <cellStyle name="Note 2 2 20 14 2 2" xfId="27226"/>
    <cellStyle name="Note 2 2 20 14 3" xfId="27227"/>
    <cellStyle name="Note 2 2 20 14 3 2" xfId="27228"/>
    <cellStyle name="Note 2 2 20 14 4" xfId="27229"/>
    <cellStyle name="Note 2 2 20 14 4 2" xfId="27230"/>
    <cellStyle name="Note 2 2 20 14 5" xfId="27231"/>
    <cellStyle name="Note 2 2 20 15" xfId="27232"/>
    <cellStyle name="Note 2 2 20 15 2" xfId="27233"/>
    <cellStyle name="Note 2 2 20 15 2 2" xfId="27234"/>
    <cellStyle name="Note 2 2 20 15 3" xfId="27235"/>
    <cellStyle name="Note 2 2 20 15 3 2" xfId="27236"/>
    <cellStyle name="Note 2 2 20 15 4" xfId="27237"/>
    <cellStyle name="Note 2 2 20 15 4 2" xfId="27238"/>
    <cellStyle name="Note 2 2 20 15 5" xfId="27239"/>
    <cellStyle name="Note 2 2 20 16" xfId="27240"/>
    <cellStyle name="Note 2 2 20 16 2" xfId="27241"/>
    <cellStyle name="Note 2 2 20 16 2 2" xfId="27242"/>
    <cellStyle name="Note 2 2 20 16 3" xfId="27243"/>
    <cellStyle name="Note 2 2 20 16 3 2" xfId="27244"/>
    <cellStyle name="Note 2 2 20 16 4" xfId="27245"/>
    <cellStyle name="Note 2 2 20 16 4 2" xfId="27246"/>
    <cellStyle name="Note 2 2 20 16 5" xfId="27247"/>
    <cellStyle name="Note 2 2 20 17" xfId="27248"/>
    <cellStyle name="Note 2 2 20 17 2" xfId="27249"/>
    <cellStyle name="Note 2 2 20 17 2 2" xfId="27250"/>
    <cellStyle name="Note 2 2 20 17 3" xfId="27251"/>
    <cellStyle name="Note 2 2 20 17 3 2" xfId="27252"/>
    <cellStyle name="Note 2 2 20 17 4" xfId="27253"/>
    <cellStyle name="Note 2 2 20 17 4 2" xfId="27254"/>
    <cellStyle name="Note 2 2 20 17 5" xfId="27255"/>
    <cellStyle name="Note 2 2 20 18" xfId="27256"/>
    <cellStyle name="Note 2 2 20 18 2" xfId="27257"/>
    <cellStyle name="Note 2 2 20 18 2 2" xfId="27258"/>
    <cellStyle name="Note 2 2 20 18 3" xfId="27259"/>
    <cellStyle name="Note 2 2 20 18 3 2" xfId="27260"/>
    <cellStyle name="Note 2 2 20 18 4" xfId="27261"/>
    <cellStyle name="Note 2 2 20 18 4 2" xfId="27262"/>
    <cellStyle name="Note 2 2 20 18 5" xfId="27263"/>
    <cellStyle name="Note 2 2 20 19" xfId="27264"/>
    <cellStyle name="Note 2 2 20 19 10" xfId="27265"/>
    <cellStyle name="Note 2 2 20 19 11" xfId="27266"/>
    <cellStyle name="Note 2 2 20 19 2" xfId="27267"/>
    <cellStyle name="Note 2 2 20 19 2 2" xfId="27268"/>
    <cellStyle name="Note 2 2 20 19 2 3" xfId="27269"/>
    <cellStyle name="Note 2 2 20 19 2 4" xfId="27270"/>
    <cellStyle name="Note 2 2 20 19 2 5" xfId="27271"/>
    <cellStyle name="Note 2 2 20 19 2 6" xfId="27272"/>
    <cellStyle name="Note 2 2 20 19 3" xfId="27273"/>
    <cellStyle name="Note 2 2 20 19 3 2" xfId="27274"/>
    <cellStyle name="Note 2 2 20 19 4" xfId="27275"/>
    <cellStyle name="Note 2 2 20 19 4 2" xfId="27276"/>
    <cellStyle name="Note 2 2 20 19 5" xfId="27277"/>
    <cellStyle name="Note 2 2 20 19 5 2" xfId="27278"/>
    <cellStyle name="Note 2 2 20 19 6" xfId="27279"/>
    <cellStyle name="Note 2 2 20 19 6 2" xfId="27280"/>
    <cellStyle name="Note 2 2 20 19 7" xfId="27281"/>
    <cellStyle name="Note 2 2 20 19 7 2" xfId="27282"/>
    <cellStyle name="Note 2 2 20 19 8" xfId="27283"/>
    <cellStyle name="Note 2 2 20 19 9" xfId="27284"/>
    <cellStyle name="Note 2 2 20 2" xfId="27285"/>
    <cellStyle name="Note 2 2 20 2 10" xfId="27286"/>
    <cellStyle name="Note 2 2 20 2 10 2" xfId="27287"/>
    <cellStyle name="Note 2 2 20 2 11" xfId="27288"/>
    <cellStyle name="Note 2 2 20 2 11 2" xfId="27289"/>
    <cellStyle name="Note 2 2 20 2 12" xfId="27290"/>
    <cellStyle name="Note 2 2 20 2 12 2" xfId="27291"/>
    <cellStyle name="Note 2 2 20 2 13" xfId="27292"/>
    <cellStyle name="Note 2 2 20 2 13 2" xfId="27293"/>
    <cellStyle name="Note 2 2 20 2 14" xfId="27294"/>
    <cellStyle name="Note 2 2 20 2 14 2" xfId="27295"/>
    <cellStyle name="Note 2 2 20 2 15" xfId="27296"/>
    <cellStyle name="Note 2 2 20 2 15 2" xfId="27297"/>
    <cellStyle name="Note 2 2 20 2 16" xfId="27298"/>
    <cellStyle name="Note 2 2 20 2 16 2" xfId="27299"/>
    <cellStyle name="Note 2 2 20 2 17" xfId="27300"/>
    <cellStyle name="Note 2 2 20 2 17 2" xfId="27301"/>
    <cellStyle name="Note 2 2 20 2 18" xfId="27302"/>
    <cellStyle name="Note 2 2 20 2 18 2" xfId="27303"/>
    <cellStyle name="Note 2 2 20 2 19" xfId="27304"/>
    <cellStyle name="Note 2 2 20 2 19 2" xfId="27305"/>
    <cellStyle name="Note 2 2 20 2 2" xfId="27306"/>
    <cellStyle name="Note 2 2 20 2 2 2" xfId="27307"/>
    <cellStyle name="Note 2 2 20 2 2 3" xfId="27308"/>
    <cellStyle name="Note 2 2 20 2 20" xfId="27309"/>
    <cellStyle name="Note 2 2 20 2 20 2" xfId="27310"/>
    <cellStyle name="Note 2 2 20 2 21" xfId="27311"/>
    <cellStyle name="Note 2 2 20 2 21 2" xfId="27312"/>
    <cellStyle name="Note 2 2 20 2 22" xfId="27313"/>
    <cellStyle name="Note 2 2 20 2 22 2" xfId="27314"/>
    <cellStyle name="Note 2 2 20 2 23" xfId="27315"/>
    <cellStyle name="Note 2 2 20 2 23 2" xfId="27316"/>
    <cellStyle name="Note 2 2 20 2 24" xfId="27317"/>
    <cellStyle name="Note 2 2 20 2 24 2" xfId="27318"/>
    <cellStyle name="Note 2 2 20 2 25" xfId="27319"/>
    <cellStyle name="Note 2 2 20 2 25 2" xfId="27320"/>
    <cellStyle name="Note 2 2 20 2 26" xfId="27321"/>
    <cellStyle name="Note 2 2 20 2 26 2" xfId="27322"/>
    <cellStyle name="Note 2 2 20 2 27" xfId="27323"/>
    <cellStyle name="Note 2 2 20 2 27 2" xfId="27324"/>
    <cellStyle name="Note 2 2 20 2 28" xfId="27325"/>
    <cellStyle name="Note 2 2 20 2 28 2" xfId="27326"/>
    <cellStyle name="Note 2 2 20 2 29" xfId="27327"/>
    <cellStyle name="Note 2 2 20 2 29 2" xfId="27328"/>
    <cellStyle name="Note 2 2 20 2 3" xfId="27329"/>
    <cellStyle name="Note 2 2 20 2 3 2" xfId="27330"/>
    <cellStyle name="Note 2 2 20 2 3 3" xfId="27331"/>
    <cellStyle name="Note 2 2 20 2 30" xfId="27332"/>
    <cellStyle name="Note 2 2 20 2 30 2" xfId="27333"/>
    <cellStyle name="Note 2 2 20 2 31" xfId="27334"/>
    <cellStyle name="Note 2 2 20 2 4" xfId="27335"/>
    <cellStyle name="Note 2 2 20 2 4 2" xfId="27336"/>
    <cellStyle name="Note 2 2 20 2 5" xfId="27337"/>
    <cellStyle name="Note 2 2 20 2 5 2" xfId="27338"/>
    <cellStyle name="Note 2 2 20 2 6" xfId="27339"/>
    <cellStyle name="Note 2 2 20 2 6 2" xfId="27340"/>
    <cellStyle name="Note 2 2 20 2 7" xfId="27341"/>
    <cellStyle name="Note 2 2 20 2 7 2" xfId="27342"/>
    <cellStyle name="Note 2 2 20 2 8" xfId="27343"/>
    <cellStyle name="Note 2 2 20 2 8 2" xfId="27344"/>
    <cellStyle name="Note 2 2 20 2 9" xfId="27345"/>
    <cellStyle name="Note 2 2 20 2 9 2" xfId="27346"/>
    <cellStyle name="Note 2 2 20 20" xfId="27347"/>
    <cellStyle name="Note 2 2 20 20 2" xfId="27348"/>
    <cellStyle name="Note 2 2 20 21" xfId="27349"/>
    <cellStyle name="Note 2 2 20 21 2" xfId="27350"/>
    <cellStyle name="Note 2 2 20 22" xfId="27351"/>
    <cellStyle name="Note 2 2 20 22 2" xfId="27352"/>
    <cellStyle name="Note 2 2 20 23" xfId="27353"/>
    <cellStyle name="Note 2 2 20 23 2" xfId="27354"/>
    <cellStyle name="Note 2 2 20 24" xfId="27355"/>
    <cellStyle name="Note 2 2 20 24 2" xfId="27356"/>
    <cellStyle name="Note 2 2 20 25" xfId="27357"/>
    <cellStyle name="Note 2 2 20 25 2" xfId="27358"/>
    <cellStyle name="Note 2 2 20 26" xfId="27359"/>
    <cellStyle name="Note 2 2 20 26 2" xfId="27360"/>
    <cellStyle name="Note 2 2 20 27" xfId="27361"/>
    <cellStyle name="Note 2 2 20 27 2" xfId="27362"/>
    <cellStyle name="Note 2 2 20 28" xfId="27363"/>
    <cellStyle name="Note 2 2 20 28 2" xfId="27364"/>
    <cellStyle name="Note 2 2 20 29" xfId="27365"/>
    <cellStyle name="Note 2 2 20 29 2" xfId="27366"/>
    <cellStyle name="Note 2 2 20 3" xfId="27367"/>
    <cellStyle name="Note 2 2 20 3 2" xfId="27368"/>
    <cellStyle name="Note 2 2 20 3 2 2" xfId="27369"/>
    <cellStyle name="Note 2 2 20 3 3" xfId="27370"/>
    <cellStyle name="Note 2 2 20 3 3 2" xfId="27371"/>
    <cellStyle name="Note 2 2 20 3 4" xfId="27372"/>
    <cellStyle name="Note 2 2 20 3 4 2" xfId="27373"/>
    <cellStyle name="Note 2 2 20 3 5" xfId="27374"/>
    <cellStyle name="Note 2 2 20 30" xfId="27375"/>
    <cellStyle name="Note 2 2 20 30 2" xfId="27376"/>
    <cellStyle name="Note 2 2 20 31" xfId="27377"/>
    <cellStyle name="Note 2 2 20 31 2" xfId="27378"/>
    <cellStyle name="Note 2 2 20 32" xfId="27379"/>
    <cellStyle name="Note 2 2 20 32 2" xfId="27380"/>
    <cellStyle name="Note 2 2 20 33" xfId="27381"/>
    <cellStyle name="Note 2 2 20 33 2" xfId="27382"/>
    <cellStyle name="Note 2 2 20 34" xfId="27383"/>
    <cellStyle name="Note 2 2 20 34 2" xfId="27384"/>
    <cellStyle name="Note 2 2 20 35" xfId="27385"/>
    <cellStyle name="Note 2 2 20 35 2" xfId="27386"/>
    <cellStyle name="Note 2 2 20 36" xfId="27387"/>
    <cellStyle name="Note 2 2 20 36 2" xfId="27388"/>
    <cellStyle name="Note 2 2 20 37" xfId="27389"/>
    <cellStyle name="Note 2 2 20 37 2" xfId="27390"/>
    <cellStyle name="Note 2 2 20 38" xfId="27391"/>
    <cellStyle name="Note 2 2 20 38 2" xfId="27392"/>
    <cellStyle name="Note 2 2 20 39" xfId="27393"/>
    <cellStyle name="Note 2 2 20 39 2" xfId="27394"/>
    <cellStyle name="Note 2 2 20 4" xfId="27395"/>
    <cellStyle name="Note 2 2 20 4 10" xfId="27396"/>
    <cellStyle name="Note 2 2 20 4 11" xfId="27397"/>
    <cellStyle name="Note 2 2 20 4 12" xfId="27398"/>
    <cellStyle name="Note 2 2 20 4 13" xfId="27399"/>
    <cellStyle name="Note 2 2 20 4 2" xfId="27400"/>
    <cellStyle name="Note 2 2 20 4 2 2" xfId="27401"/>
    <cellStyle name="Note 2 2 20 4 2 3" xfId="27402"/>
    <cellStyle name="Note 2 2 20 4 3" xfId="27403"/>
    <cellStyle name="Note 2 2 20 4 3 2" xfId="27404"/>
    <cellStyle name="Note 2 2 20 4 4" xfId="27405"/>
    <cellStyle name="Note 2 2 20 4 4 2" xfId="27406"/>
    <cellStyle name="Note 2 2 20 4 5" xfId="27407"/>
    <cellStyle name="Note 2 2 20 4 5 2" xfId="27408"/>
    <cellStyle name="Note 2 2 20 4 5 3" xfId="27409"/>
    <cellStyle name="Note 2 2 20 4 5 4" xfId="27410"/>
    <cellStyle name="Note 2 2 20 4 5 5" xfId="27411"/>
    <cellStyle name="Note 2 2 20 4 5 6" xfId="27412"/>
    <cellStyle name="Note 2 2 20 4 6" xfId="27413"/>
    <cellStyle name="Note 2 2 20 4 6 2" xfId="27414"/>
    <cellStyle name="Note 2 2 20 4 7" xfId="27415"/>
    <cellStyle name="Note 2 2 20 4 7 2" xfId="27416"/>
    <cellStyle name="Note 2 2 20 4 8" xfId="27417"/>
    <cellStyle name="Note 2 2 20 4 8 2" xfId="27418"/>
    <cellStyle name="Note 2 2 20 4 9" xfId="27419"/>
    <cellStyle name="Note 2 2 20 4 9 2" xfId="27420"/>
    <cellStyle name="Note 2 2 20 40" xfId="27421"/>
    <cellStyle name="Note 2 2 20 40 2" xfId="27422"/>
    <cellStyle name="Note 2 2 20 41" xfId="27423"/>
    <cellStyle name="Note 2 2 20 41 2" xfId="27424"/>
    <cellStyle name="Note 2 2 20 42" xfId="27425"/>
    <cellStyle name="Note 2 2 20 42 2" xfId="27426"/>
    <cellStyle name="Note 2 2 20 43" xfId="27427"/>
    <cellStyle name="Note 2 2 20 43 2" xfId="27428"/>
    <cellStyle name="Note 2 2 20 44" xfId="27429"/>
    <cellStyle name="Note 2 2 20 44 2" xfId="27430"/>
    <cellStyle name="Note 2 2 20 45" xfId="27431"/>
    <cellStyle name="Note 2 2 20 45 2" xfId="27432"/>
    <cellStyle name="Note 2 2 20 46" xfId="27433"/>
    <cellStyle name="Note 2 2 20 46 2" xfId="27434"/>
    <cellStyle name="Note 2 2 20 47" xfId="27435"/>
    <cellStyle name="Note 2 2 20 47 2" xfId="27436"/>
    <cellStyle name="Note 2 2 20 48" xfId="27437"/>
    <cellStyle name="Note 2 2 20 48 2" xfId="27438"/>
    <cellStyle name="Note 2 2 20 49" xfId="27439"/>
    <cellStyle name="Note 2 2 20 49 2" xfId="27440"/>
    <cellStyle name="Note 2 2 20 5" xfId="27441"/>
    <cellStyle name="Note 2 2 20 5 2" xfId="27442"/>
    <cellStyle name="Note 2 2 20 5 2 2" xfId="27443"/>
    <cellStyle name="Note 2 2 20 5 3" xfId="27444"/>
    <cellStyle name="Note 2 2 20 5 3 2" xfId="27445"/>
    <cellStyle name="Note 2 2 20 5 4" xfId="27446"/>
    <cellStyle name="Note 2 2 20 5 4 2" xfId="27447"/>
    <cellStyle name="Note 2 2 20 5 5" xfId="27448"/>
    <cellStyle name="Note 2 2 20 50" xfId="27449"/>
    <cellStyle name="Note 2 2 20 50 2" xfId="27450"/>
    <cellStyle name="Note 2 2 20 51" xfId="27451"/>
    <cellStyle name="Note 2 2 20 51 2" xfId="27452"/>
    <cellStyle name="Note 2 2 20 52" xfId="27453"/>
    <cellStyle name="Note 2 2 20 52 2" xfId="27454"/>
    <cellStyle name="Note 2 2 20 53" xfId="27455"/>
    <cellStyle name="Note 2 2 20 53 2" xfId="27456"/>
    <cellStyle name="Note 2 2 20 54" xfId="27457"/>
    <cellStyle name="Note 2 2 20 54 2" xfId="27458"/>
    <cellStyle name="Note 2 2 20 55" xfId="27459"/>
    <cellStyle name="Note 2 2 20 55 2" xfId="27460"/>
    <cellStyle name="Note 2 2 20 56" xfId="27461"/>
    <cellStyle name="Note 2 2 20 56 2" xfId="27462"/>
    <cellStyle name="Note 2 2 20 57" xfId="27463"/>
    <cellStyle name="Note 2 2 20 57 2" xfId="27464"/>
    <cellStyle name="Note 2 2 20 58" xfId="27465"/>
    <cellStyle name="Note 2 2 20 58 2" xfId="27466"/>
    <cellStyle name="Note 2 2 20 59" xfId="27467"/>
    <cellStyle name="Note 2 2 20 59 2" xfId="27468"/>
    <cellStyle name="Note 2 2 20 6" xfId="27469"/>
    <cellStyle name="Note 2 2 20 6 2" xfId="27470"/>
    <cellStyle name="Note 2 2 20 6 2 2" xfId="27471"/>
    <cellStyle name="Note 2 2 20 6 3" xfId="27472"/>
    <cellStyle name="Note 2 2 20 6 3 2" xfId="27473"/>
    <cellStyle name="Note 2 2 20 6 4" xfId="27474"/>
    <cellStyle name="Note 2 2 20 6 4 2" xfId="27475"/>
    <cellStyle name="Note 2 2 20 6 5" xfId="27476"/>
    <cellStyle name="Note 2 2 20 60" xfId="27477"/>
    <cellStyle name="Note 2 2 20 60 2" xfId="27478"/>
    <cellStyle name="Note 2 2 20 61" xfId="27479"/>
    <cellStyle name="Note 2 2 20 61 2" xfId="27480"/>
    <cellStyle name="Note 2 2 20 61 3" xfId="27481"/>
    <cellStyle name="Note 2 2 20 61 4" xfId="27482"/>
    <cellStyle name="Note 2 2 20 61 5" xfId="27483"/>
    <cellStyle name="Note 2 2 20 61 6" xfId="27484"/>
    <cellStyle name="Note 2 2 20 62" xfId="27485"/>
    <cellStyle name="Note 2 2 20 62 2" xfId="27486"/>
    <cellStyle name="Note 2 2 20 63" xfId="27487"/>
    <cellStyle name="Note 2 2 20 63 2" xfId="27488"/>
    <cellStyle name="Note 2 2 20 64" xfId="27489"/>
    <cellStyle name="Note 2 2 20 64 2" xfId="27490"/>
    <cellStyle name="Note 2 2 20 65" xfId="27491"/>
    <cellStyle name="Note 2 2 20 65 2" xfId="27492"/>
    <cellStyle name="Note 2 2 20 66" xfId="27493"/>
    <cellStyle name="Note 2 2 20 67" xfId="27494"/>
    <cellStyle name="Note 2 2 20 68" xfId="27495"/>
    <cellStyle name="Note 2 2 20 69" xfId="27496"/>
    <cellStyle name="Note 2 2 20 7" xfId="27497"/>
    <cellStyle name="Note 2 2 20 7 2" xfId="27498"/>
    <cellStyle name="Note 2 2 20 7 2 2" xfId="27499"/>
    <cellStyle name="Note 2 2 20 7 3" xfId="27500"/>
    <cellStyle name="Note 2 2 20 7 3 2" xfId="27501"/>
    <cellStyle name="Note 2 2 20 7 4" xfId="27502"/>
    <cellStyle name="Note 2 2 20 7 4 2" xfId="27503"/>
    <cellStyle name="Note 2 2 20 7 5" xfId="27504"/>
    <cellStyle name="Note 2 2 20 8" xfId="27505"/>
    <cellStyle name="Note 2 2 20 8 2" xfId="27506"/>
    <cellStyle name="Note 2 2 20 8 2 2" xfId="27507"/>
    <cellStyle name="Note 2 2 20 8 3" xfId="27508"/>
    <cellStyle name="Note 2 2 20 8 3 2" xfId="27509"/>
    <cellStyle name="Note 2 2 20 8 4" xfId="27510"/>
    <cellStyle name="Note 2 2 20 8 4 2" xfId="27511"/>
    <cellStyle name="Note 2 2 20 8 5" xfId="27512"/>
    <cellStyle name="Note 2 2 20 9" xfId="27513"/>
    <cellStyle name="Note 2 2 20 9 2" xfId="27514"/>
    <cellStyle name="Note 2 2 20 9 2 2" xfId="27515"/>
    <cellStyle name="Note 2 2 20 9 3" xfId="27516"/>
    <cellStyle name="Note 2 2 20 9 3 2" xfId="27517"/>
    <cellStyle name="Note 2 2 20 9 4" xfId="27518"/>
    <cellStyle name="Note 2 2 20 9 4 2" xfId="27519"/>
    <cellStyle name="Note 2 2 20 9 5" xfId="27520"/>
    <cellStyle name="Note 2 2 21" xfId="27521"/>
    <cellStyle name="Note 2 2 21 10" xfId="27522"/>
    <cellStyle name="Note 2 2 21 10 2" xfId="27523"/>
    <cellStyle name="Note 2 2 21 10 2 2" xfId="27524"/>
    <cellStyle name="Note 2 2 21 10 3" xfId="27525"/>
    <cellStyle name="Note 2 2 21 10 3 2" xfId="27526"/>
    <cellStyle name="Note 2 2 21 10 4" xfId="27527"/>
    <cellStyle name="Note 2 2 21 10 4 2" xfId="27528"/>
    <cellStyle name="Note 2 2 21 10 5" xfId="27529"/>
    <cellStyle name="Note 2 2 21 11" xfId="27530"/>
    <cellStyle name="Note 2 2 21 11 2" xfId="27531"/>
    <cellStyle name="Note 2 2 21 11 2 2" xfId="27532"/>
    <cellStyle name="Note 2 2 21 11 3" xfId="27533"/>
    <cellStyle name="Note 2 2 21 11 3 2" xfId="27534"/>
    <cellStyle name="Note 2 2 21 11 4" xfId="27535"/>
    <cellStyle name="Note 2 2 21 11 4 2" xfId="27536"/>
    <cellStyle name="Note 2 2 21 11 5" xfId="27537"/>
    <cellStyle name="Note 2 2 21 12" xfId="27538"/>
    <cellStyle name="Note 2 2 21 12 2" xfId="27539"/>
    <cellStyle name="Note 2 2 21 12 2 2" xfId="27540"/>
    <cellStyle name="Note 2 2 21 12 3" xfId="27541"/>
    <cellStyle name="Note 2 2 21 12 3 2" xfId="27542"/>
    <cellStyle name="Note 2 2 21 12 4" xfId="27543"/>
    <cellStyle name="Note 2 2 21 12 4 2" xfId="27544"/>
    <cellStyle name="Note 2 2 21 12 5" xfId="27545"/>
    <cellStyle name="Note 2 2 21 13" xfId="27546"/>
    <cellStyle name="Note 2 2 21 13 2" xfId="27547"/>
    <cellStyle name="Note 2 2 21 13 2 2" xfId="27548"/>
    <cellStyle name="Note 2 2 21 13 3" xfId="27549"/>
    <cellStyle name="Note 2 2 21 13 3 2" xfId="27550"/>
    <cellStyle name="Note 2 2 21 13 4" xfId="27551"/>
    <cellStyle name="Note 2 2 21 13 4 2" xfId="27552"/>
    <cellStyle name="Note 2 2 21 13 5" xfId="27553"/>
    <cellStyle name="Note 2 2 21 14" xfId="27554"/>
    <cellStyle name="Note 2 2 21 14 2" xfId="27555"/>
    <cellStyle name="Note 2 2 21 14 2 2" xfId="27556"/>
    <cellStyle name="Note 2 2 21 14 3" xfId="27557"/>
    <cellStyle name="Note 2 2 21 14 3 2" xfId="27558"/>
    <cellStyle name="Note 2 2 21 14 4" xfId="27559"/>
    <cellStyle name="Note 2 2 21 14 4 2" xfId="27560"/>
    <cellStyle name="Note 2 2 21 14 5" xfId="27561"/>
    <cellStyle name="Note 2 2 21 15" xfId="27562"/>
    <cellStyle name="Note 2 2 21 15 2" xfId="27563"/>
    <cellStyle name="Note 2 2 21 15 2 2" xfId="27564"/>
    <cellStyle name="Note 2 2 21 15 3" xfId="27565"/>
    <cellStyle name="Note 2 2 21 15 3 2" xfId="27566"/>
    <cellStyle name="Note 2 2 21 15 4" xfId="27567"/>
    <cellStyle name="Note 2 2 21 15 4 2" xfId="27568"/>
    <cellStyle name="Note 2 2 21 15 5" xfId="27569"/>
    <cellStyle name="Note 2 2 21 16" xfId="27570"/>
    <cellStyle name="Note 2 2 21 16 2" xfId="27571"/>
    <cellStyle name="Note 2 2 21 16 2 2" xfId="27572"/>
    <cellStyle name="Note 2 2 21 16 3" xfId="27573"/>
    <cellStyle name="Note 2 2 21 16 3 2" xfId="27574"/>
    <cellStyle name="Note 2 2 21 16 4" xfId="27575"/>
    <cellStyle name="Note 2 2 21 16 4 2" xfId="27576"/>
    <cellStyle name="Note 2 2 21 16 5" xfId="27577"/>
    <cellStyle name="Note 2 2 21 17" xfId="27578"/>
    <cellStyle name="Note 2 2 21 17 2" xfId="27579"/>
    <cellStyle name="Note 2 2 21 17 2 2" xfId="27580"/>
    <cellStyle name="Note 2 2 21 17 3" xfId="27581"/>
    <cellStyle name="Note 2 2 21 17 3 2" xfId="27582"/>
    <cellStyle name="Note 2 2 21 17 4" xfId="27583"/>
    <cellStyle name="Note 2 2 21 17 4 2" xfId="27584"/>
    <cellStyle name="Note 2 2 21 17 5" xfId="27585"/>
    <cellStyle name="Note 2 2 21 18" xfId="27586"/>
    <cellStyle name="Note 2 2 21 18 2" xfId="27587"/>
    <cellStyle name="Note 2 2 21 18 2 2" xfId="27588"/>
    <cellStyle name="Note 2 2 21 18 3" xfId="27589"/>
    <cellStyle name="Note 2 2 21 18 3 2" xfId="27590"/>
    <cellStyle name="Note 2 2 21 18 4" xfId="27591"/>
    <cellStyle name="Note 2 2 21 18 4 2" xfId="27592"/>
    <cellStyle name="Note 2 2 21 18 5" xfId="27593"/>
    <cellStyle name="Note 2 2 21 19" xfId="27594"/>
    <cellStyle name="Note 2 2 21 19 10" xfId="27595"/>
    <cellStyle name="Note 2 2 21 19 11" xfId="27596"/>
    <cellStyle name="Note 2 2 21 19 2" xfId="27597"/>
    <cellStyle name="Note 2 2 21 19 2 2" xfId="27598"/>
    <cellStyle name="Note 2 2 21 19 2 3" xfId="27599"/>
    <cellStyle name="Note 2 2 21 19 2 4" xfId="27600"/>
    <cellStyle name="Note 2 2 21 19 2 5" xfId="27601"/>
    <cellStyle name="Note 2 2 21 19 2 6" xfId="27602"/>
    <cellStyle name="Note 2 2 21 19 3" xfId="27603"/>
    <cellStyle name="Note 2 2 21 19 3 2" xfId="27604"/>
    <cellStyle name="Note 2 2 21 19 4" xfId="27605"/>
    <cellStyle name="Note 2 2 21 19 4 2" xfId="27606"/>
    <cellStyle name="Note 2 2 21 19 5" xfId="27607"/>
    <cellStyle name="Note 2 2 21 19 5 2" xfId="27608"/>
    <cellStyle name="Note 2 2 21 19 6" xfId="27609"/>
    <cellStyle name="Note 2 2 21 19 6 2" xfId="27610"/>
    <cellStyle name="Note 2 2 21 19 7" xfId="27611"/>
    <cellStyle name="Note 2 2 21 19 7 2" xfId="27612"/>
    <cellStyle name="Note 2 2 21 19 8" xfId="27613"/>
    <cellStyle name="Note 2 2 21 19 9" xfId="27614"/>
    <cellStyle name="Note 2 2 21 2" xfId="27615"/>
    <cellStyle name="Note 2 2 21 2 10" xfId="27616"/>
    <cellStyle name="Note 2 2 21 2 10 2" xfId="27617"/>
    <cellStyle name="Note 2 2 21 2 11" xfId="27618"/>
    <cellStyle name="Note 2 2 21 2 11 2" xfId="27619"/>
    <cellStyle name="Note 2 2 21 2 12" xfId="27620"/>
    <cellStyle name="Note 2 2 21 2 12 2" xfId="27621"/>
    <cellStyle name="Note 2 2 21 2 13" xfId="27622"/>
    <cellStyle name="Note 2 2 21 2 13 2" xfId="27623"/>
    <cellStyle name="Note 2 2 21 2 14" xfId="27624"/>
    <cellStyle name="Note 2 2 21 2 14 2" xfId="27625"/>
    <cellStyle name="Note 2 2 21 2 15" xfId="27626"/>
    <cellStyle name="Note 2 2 21 2 15 2" xfId="27627"/>
    <cellStyle name="Note 2 2 21 2 16" xfId="27628"/>
    <cellStyle name="Note 2 2 21 2 16 2" xfId="27629"/>
    <cellStyle name="Note 2 2 21 2 17" xfId="27630"/>
    <cellStyle name="Note 2 2 21 2 17 2" xfId="27631"/>
    <cellStyle name="Note 2 2 21 2 18" xfId="27632"/>
    <cellStyle name="Note 2 2 21 2 18 2" xfId="27633"/>
    <cellStyle name="Note 2 2 21 2 19" xfId="27634"/>
    <cellStyle name="Note 2 2 21 2 19 2" xfId="27635"/>
    <cellStyle name="Note 2 2 21 2 2" xfId="27636"/>
    <cellStyle name="Note 2 2 21 2 2 2" xfId="27637"/>
    <cellStyle name="Note 2 2 21 2 2 3" xfId="27638"/>
    <cellStyle name="Note 2 2 21 2 20" xfId="27639"/>
    <cellStyle name="Note 2 2 21 2 20 2" xfId="27640"/>
    <cellStyle name="Note 2 2 21 2 21" xfId="27641"/>
    <cellStyle name="Note 2 2 21 2 21 2" xfId="27642"/>
    <cellStyle name="Note 2 2 21 2 22" xfId="27643"/>
    <cellStyle name="Note 2 2 21 2 22 2" xfId="27644"/>
    <cellStyle name="Note 2 2 21 2 23" xfId="27645"/>
    <cellStyle name="Note 2 2 21 2 23 2" xfId="27646"/>
    <cellStyle name="Note 2 2 21 2 24" xfId="27647"/>
    <cellStyle name="Note 2 2 21 2 24 2" xfId="27648"/>
    <cellStyle name="Note 2 2 21 2 25" xfId="27649"/>
    <cellStyle name="Note 2 2 21 2 25 2" xfId="27650"/>
    <cellStyle name="Note 2 2 21 2 26" xfId="27651"/>
    <cellStyle name="Note 2 2 21 2 26 2" xfId="27652"/>
    <cellStyle name="Note 2 2 21 2 27" xfId="27653"/>
    <cellStyle name="Note 2 2 21 2 27 2" xfId="27654"/>
    <cellStyle name="Note 2 2 21 2 28" xfId="27655"/>
    <cellStyle name="Note 2 2 21 2 28 2" xfId="27656"/>
    <cellStyle name="Note 2 2 21 2 29" xfId="27657"/>
    <cellStyle name="Note 2 2 21 2 29 2" xfId="27658"/>
    <cellStyle name="Note 2 2 21 2 3" xfId="27659"/>
    <cellStyle name="Note 2 2 21 2 3 2" xfId="27660"/>
    <cellStyle name="Note 2 2 21 2 3 3" xfId="27661"/>
    <cellStyle name="Note 2 2 21 2 30" xfId="27662"/>
    <cellStyle name="Note 2 2 21 2 30 2" xfId="27663"/>
    <cellStyle name="Note 2 2 21 2 31" xfId="27664"/>
    <cellStyle name="Note 2 2 21 2 4" xfId="27665"/>
    <cellStyle name="Note 2 2 21 2 4 2" xfId="27666"/>
    <cellStyle name="Note 2 2 21 2 5" xfId="27667"/>
    <cellStyle name="Note 2 2 21 2 5 2" xfId="27668"/>
    <cellStyle name="Note 2 2 21 2 6" xfId="27669"/>
    <cellStyle name="Note 2 2 21 2 6 2" xfId="27670"/>
    <cellStyle name="Note 2 2 21 2 7" xfId="27671"/>
    <cellStyle name="Note 2 2 21 2 7 2" xfId="27672"/>
    <cellStyle name="Note 2 2 21 2 8" xfId="27673"/>
    <cellStyle name="Note 2 2 21 2 8 2" xfId="27674"/>
    <cellStyle name="Note 2 2 21 2 9" xfId="27675"/>
    <cellStyle name="Note 2 2 21 2 9 2" xfId="27676"/>
    <cellStyle name="Note 2 2 21 20" xfId="27677"/>
    <cellStyle name="Note 2 2 21 20 2" xfId="27678"/>
    <cellStyle name="Note 2 2 21 21" xfId="27679"/>
    <cellStyle name="Note 2 2 21 21 2" xfId="27680"/>
    <cellStyle name="Note 2 2 21 22" xfId="27681"/>
    <cellStyle name="Note 2 2 21 22 2" xfId="27682"/>
    <cellStyle name="Note 2 2 21 23" xfId="27683"/>
    <cellStyle name="Note 2 2 21 23 2" xfId="27684"/>
    <cellStyle name="Note 2 2 21 24" xfId="27685"/>
    <cellStyle name="Note 2 2 21 24 2" xfId="27686"/>
    <cellStyle name="Note 2 2 21 25" xfId="27687"/>
    <cellStyle name="Note 2 2 21 25 2" xfId="27688"/>
    <cellStyle name="Note 2 2 21 26" xfId="27689"/>
    <cellStyle name="Note 2 2 21 26 2" xfId="27690"/>
    <cellStyle name="Note 2 2 21 27" xfId="27691"/>
    <cellStyle name="Note 2 2 21 27 2" xfId="27692"/>
    <cellStyle name="Note 2 2 21 28" xfId="27693"/>
    <cellStyle name="Note 2 2 21 28 2" xfId="27694"/>
    <cellStyle name="Note 2 2 21 29" xfId="27695"/>
    <cellStyle name="Note 2 2 21 29 2" xfId="27696"/>
    <cellStyle name="Note 2 2 21 3" xfId="27697"/>
    <cellStyle name="Note 2 2 21 3 2" xfId="27698"/>
    <cellStyle name="Note 2 2 21 3 2 2" xfId="27699"/>
    <cellStyle name="Note 2 2 21 3 3" xfId="27700"/>
    <cellStyle name="Note 2 2 21 3 3 2" xfId="27701"/>
    <cellStyle name="Note 2 2 21 3 4" xfId="27702"/>
    <cellStyle name="Note 2 2 21 3 4 2" xfId="27703"/>
    <cellStyle name="Note 2 2 21 3 5" xfId="27704"/>
    <cellStyle name="Note 2 2 21 30" xfId="27705"/>
    <cellStyle name="Note 2 2 21 30 2" xfId="27706"/>
    <cellStyle name="Note 2 2 21 31" xfId="27707"/>
    <cellStyle name="Note 2 2 21 31 2" xfId="27708"/>
    <cellStyle name="Note 2 2 21 32" xfId="27709"/>
    <cellStyle name="Note 2 2 21 32 2" xfId="27710"/>
    <cellStyle name="Note 2 2 21 33" xfId="27711"/>
    <cellStyle name="Note 2 2 21 33 2" xfId="27712"/>
    <cellStyle name="Note 2 2 21 34" xfId="27713"/>
    <cellStyle name="Note 2 2 21 34 2" xfId="27714"/>
    <cellStyle name="Note 2 2 21 35" xfId="27715"/>
    <cellStyle name="Note 2 2 21 35 2" xfId="27716"/>
    <cellStyle name="Note 2 2 21 36" xfId="27717"/>
    <cellStyle name="Note 2 2 21 36 2" xfId="27718"/>
    <cellStyle name="Note 2 2 21 37" xfId="27719"/>
    <cellStyle name="Note 2 2 21 37 2" xfId="27720"/>
    <cellStyle name="Note 2 2 21 38" xfId="27721"/>
    <cellStyle name="Note 2 2 21 38 2" xfId="27722"/>
    <cellStyle name="Note 2 2 21 39" xfId="27723"/>
    <cellStyle name="Note 2 2 21 39 2" xfId="27724"/>
    <cellStyle name="Note 2 2 21 4" xfId="27725"/>
    <cellStyle name="Note 2 2 21 4 10" xfId="27726"/>
    <cellStyle name="Note 2 2 21 4 11" xfId="27727"/>
    <cellStyle name="Note 2 2 21 4 12" xfId="27728"/>
    <cellStyle name="Note 2 2 21 4 13" xfId="27729"/>
    <cellStyle name="Note 2 2 21 4 2" xfId="27730"/>
    <cellStyle name="Note 2 2 21 4 2 2" xfId="27731"/>
    <cellStyle name="Note 2 2 21 4 2 3" xfId="27732"/>
    <cellStyle name="Note 2 2 21 4 3" xfId="27733"/>
    <cellStyle name="Note 2 2 21 4 3 2" xfId="27734"/>
    <cellStyle name="Note 2 2 21 4 4" xfId="27735"/>
    <cellStyle name="Note 2 2 21 4 4 2" xfId="27736"/>
    <cellStyle name="Note 2 2 21 4 5" xfId="27737"/>
    <cellStyle name="Note 2 2 21 4 5 2" xfId="27738"/>
    <cellStyle name="Note 2 2 21 4 5 3" xfId="27739"/>
    <cellStyle name="Note 2 2 21 4 5 4" xfId="27740"/>
    <cellStyle name="Note 2 2 21 4 5 5" xfId="27741"/>
    <cellStyle name="Note 2 2 21 4 5 6" xfId="27742"/>
    <cellStyle name="Note 2 2 21 4 6" xfId="27743"/>
    <cellStyle name="Note 2 2 21 4 6 2" xfId="27744"/>
    <cellStyle name="Note 2 2 21 4 7" xfId="27745"/>
    <cellStyle name="Note 2 2 21 4 7 2" xfId="27746"/>
    <cellStyle name="Note 2 2 21 4 8" xfId="27747"/>
    <cellStyle name="Note 2 2 21 4 8 2" xfId="27748"/>
    <cellStyle name="Note 2 2 21 4 9" xfId="27749"/>
    <cellStyle name="Note 2 2 21 4 9 2" xfId="27750"/>
    <cellStyle name="Note 2 2 21 40" xfId="27751"/>
    <cellStyle name="Note 2 2 21 40 2" xfId="27752"/>
    <cellStyle name="Note 2 2 21 41" xfId="27753"/>
    <cellStyle name="Note 2 2 21 41 2" xfId="27754"/>
    <cellStyle name="Note 2 2 21 42" xfId="27755"/>
    <cellStyle name="Note 2 2 21 42 2" xfId="27756"/>
    <cellStyle name="Note 2 2 21 43" xfId="27757"/>
    <cellStyle name="Note 2 2 21 43 2" xfId="27758"/>
    <cellStyle name="Note 2 2 21 44" xfId="27759"/>
    <cellStyle name="Note 2 2 21 44 2" xfId="27760"/>
    <cellStyle name="Note 2 2 21 45" xfId="27761"/>
    <cellStyle name="Note 2 2 21 45 2" xfId="27762"/>
    <cellStyle name="Note 2 2 21 46" xfId="27763"/>
    <cellStyle name="Note 2 2 21 46 2" xfId="27764"/>
    <cellStyle name="Note 2 2 21 47" xfId="27765"/>
    <cellStyle name="Note 2 2 21 47 2" xfId="27766"/>
    <cellStyle name="Note 2 2 21 48" xfId="27767"/>
    <cellStyle name="Note 2 2 21 48 2" xfId="27768"/>
    <cellStyle name="Note 2 2 21 49" xfId="27769"/>
    <cellStyle name="Note 2 2 21 49 2" xfId="27770"/>
    <cellStyle name="Note 2 2 21 5" xfId="27771"/>
    <cellStyle name="Note 2 2 21 5 2" xfId="27772"/>
    <cellStyle name="Note 2 2 21 5 2 2" xfId="27773"/>
    <cellStyle name="Note 2 2 21 5 3" xfId="27774"/>
    <cellStyle name="Note 2 2 21 5 3 2" xfId="27775"/>
    <cellStyle name="Note 2 2 21 5 4" xfId="27776"/>
    <cellStyle name="Note 2 2 21 5 4 2" xfId="27777"/>
    <cellStyle name="Note 2 2 21 5 5" xfId="27778"/>
    <cellStyle name="Note 2 2 21 50" xfId="27779"/>
    <cellStyle name="Note 2 2 21 50 2" xfId="27780"/>
    <cellStyle name="Note 2 2 21 51" xfId="27781"/>
    <cellStyle name="Note 2 2 21 51 2" xfId="27782"/>
    <cellStyle name="Note 2 2 21 52" xfId="27783"/>
    <cellStyle name="Note 2 2 21 52 2" xfId="27784"/>
    <cellStyle name="Note 2 2 21 53" xfId="27785"/>
    <cellStyle name="Note 2 2 21 53 2" xfId="27786"/>
    <cellStyle name="Note 2 2 21 54" xfId="27787"/>
    <cellStyle name="Note 2 2 21 54 2" xfId="27788"/>
    <cellStyle name="Note 2 2 21 55" xfId="27789"/>
    <cellStyle name="Note 2 2 21 55 2" xfId="27790"/>
    <cellStyle name="Note 2 2 21 56" xfId="27791"/>
    <cellStyle name="Note 2 2 21 56 2" xfId="27792"/>
    <cellStyle name="Note 2 2 21 57" xfId="27793"/>
    <cellStyle name="Note 2 2 21 57 2" xfId="27794"/>
    <cellStyle name="Note 2 2 21 58" xfId="27795"/>
    <cellStyle name="Note 2 2 21 58 2" xfId="27796"/>
    <cellStyle name="Note 2 2 21 59" xfId="27797"/>
    <cellStyle name="Note 2 2 21 59 2" xfId="27798"/>
    <cellStyle name="Note 2 2 21 6" xfId="27799"/>
    <cellStyle name="Note 2 2 21 6 2" xfId="27800"/>
    <cellStyle name="Note 2 2 21 6 2 2" xfId="27801"/>
    <cellStyle name="Note 2 2 21 6 3" xfId="27802"/>
    <cellStyle name="Note 2 2 21 6 3 2" xfId="27803"/>
    <cellStyle name="Note 2 2 21 6 4" xfId="27804"/>
    <cellStyle name="Note 2 2 21 6 4 2" xfId="27805"/>
    <cellStyle name="Note 2 2 21 6 5" xfId="27806"/>
    <cellStyle name="Note 2 2 21 60" xfId="27807"/>
    <cellStyle name="Note 2 2 21 60 2" xfId="27808"/>
    <cellStyle name="Note 2 2 21 61" xfId="27809"/>
    <cellStyle name="Note 2 2 21 61 2" xfId="27810"/>
    <cellStyle name="Note 2 2 21 61 3" xfId="27811"/>
    <cellStyle name="Note 2 2 21 61 4" xfId="27812"/>
    <cellStyle name="Note 2 2 21 61 5" xfId="27813"/>
    <cellStyle name="Note 2 2 21 61 6" xfId="27814"/>
    <cellStyle name="Note 2 2 21 62" xfId="27815"/>
    <cellStyle name="Note 2 2 21 62 2" xfId="27816"/>
    <cellStyle name="Note 2 2 21 63" xfId="27817"/>
    <cellStyle name="Note 2 2 21 63 2" xfId="27818"/>
    <cellStyle name="Note 2 2 21 64" xfId="27819"/>
    <cellStyle name="Note 2 2 21 64 2" xfId="27820"/>
    <cellStyle name="Note 2 2 21 65" xfId="27821"/>
    <cellStyle name="Note 2 2 21 65 2" xfId="27822"/>
    <cellStyle name="Note 2 2 21 66" xfId="27823"/>
    <cellStyle name="Note 2 2 21 67" xfId="27824"/>
    <cellStyle name="Note 2 2 21 68" xfId="27825"/>
    <cellStyle name="Note 2 2 21 69" xfId="27826"/>
    <cellStyle name="Note 2 2 21 7" xfId="27827"/>
    <cellStyle name="Note 2 2 21 7 2" xfId="27828"/>
    <cellStyle name="Note 2 2 21 7 2 2" xfId="27829"/>
    <cellStyle name="Note 2 2 21 7 3" xfId="27830"/>
    <cellStyle name="Note 2 2 21 7 3 2" xfId="27831"/>
    <cellStyle name="Note 2 2 21 7 4" xfId="27832"/>
    <cellStyle name="Note 2 2 21 7 4 2" xfId="27833"/>
    <cellStyle name="Note 2 2 21 7 5" xfId="27834"/>
    <cellStyle name="Note 2 2 21 8" xfId="27835"/>
    <cellStyle name="Note 2 2 21 8 2" xfId="27836"/>
    <cellStyle name="Note 2 2 21 8 2 2" xfId="27837"/>
    <cellStyle name="Note 2 2 21 8 3" xfId="27838"/>
    <cellStyle name="Note 2 2 21 8 3 2" xfId="27839"/>
    <cellStyle name="Note 2 2 21 8 4" xfId="27840"/>
    <cellStyle name="Note 2 2 21 8 4 2" xfId="27841"/>
    <cellStyle name="Note 2 2 21 8 5" xfId="27842"/>
    <cellStyle name="Note 2 2 21 9" xfId="27843"/>
    <cellStyle name="Note 2 2 21 9 2" xfId="27844"/>
    <cellStyle name="Note 2 2 21 9 2 2" xfId="27845"/>
    <cellStyle name="Note 2 2 21 9 3" xfId="27846"/>
    <cellStyle name="Note 2 2 21 9 3 2" xfId="27847"/>
    <cellStyle name="Note 2 2 21 9 4" xfId="27848"/>
    <cellStyle name="Note 2 2 21 9 4 2" xfId="27849"/>
    <cellStyle name="Note 2 2 21 9 5" xfId="27850"/>
    <cellStyle name="Note 2 2 22" xfId="27851"/>
    <cellStyle name="Note 2 2 22 10" xfId="27852"/>
    <cellStyle name="Note 2 2 22 10 2" xfId="27853"/>
    <cellStyle name="Note 2 2 22 10 2 2" xfId="27854"/>
    <cellStyle name="Note 2 2 22 10 3" xfId="27855"/>
    <cellStyle name="Note 2 2 22 10 3 2" xfId="27856"/>
    <cellStyle name="Note 2 2 22 10 4" xfId="27857"/>
    <cellStyle name="Note 2 2 22 10 4 2" xfId="27858"/>
    <cellStyle name="Note 2 2 22 10 5" xfId="27859"/>
    <cellStyle name="Note 2 2 22 11" xfId="27860"/>
    <cellStyle name="Note 2 2 22 11 2" xfId="27861"/>
    <cellStyle name="Note 2 2 22 11 2 2" xfId="27862"/>
    <cellStyle name="Note 2 2 22 11 3" xfId="27863"/>
    <cellStyle name="Note 2 2 22 11 3 2" xfId="27864"/>
    <cellStyle name="Note 2 2 22 11 4" xfId="27865"/>
    <cellStyle name="Note 2 2 22 11 4 2" xfId="27866"/>
    <cellStyle name="Note 2 2 22 11 5" xfId="27867"/>
    <cellStyle name="Note 2 2 22 12" xfId="27868"/>
    <cellStyle name="Note 2 2 22 12 2" xfId="27869"/>
    <cellStyle name="Note 2 2 22 12 2 2" xfId="27870"/>
    <cellStyle name="Note 2 2 22 12 3" xfId="27871"/>
    <cellStyle name="Note 2 2 22 12 3 2" xfId="27872"/>
    <cellStyle name="Note 2 2 22 12 4" xfId="27873"/>
    <cellStyle name="Note 2 2 22 12 4 2" xfId="27874"/>
    <cellStyle name="Note 2 2 22 12 5" xfId="27875"/>
    <cellStyle name="Note 2 2 22 13" xfId="27876"/>
    <cellStyle name="Note 2 2 22 13 2" xfId="27877"/>
    <cellStyle name="Note 2 2 22 13 2 2" xfId="27878"/>
    <cellStyle name="Note 2 2 22 13 3" xfId="27879"/>
    <cellStyle name="Note 2 2 22 13 3 2" xfId="27880"/>
    <cellStyle name="Note 2 2 22 13 4" xfId="27881"/>
    <cellStyle name="Note 2 2 22 13 4 2" xfId="27882"/>
    <cellStyle name="Note 2 2 22 13 5" xfId="27883"/>
    <cellStyle name="Note 2 2 22 14" xfId="27884"/>
    <cellStyle name="Note 2 2 22 14 2" xfId="27885"/>
    <cellStyle name="Note 2 2 22 14 2 2" xfId="27886"/>
    <cellStyle name="Note 2 2 22 14 3" xfId="27887"/>
    <cellStyle name="Note 2 2 22 14 3 2" xfId="27888"/>
    <cellStyle name="Note 2 2 22 14 4" xfId="27889"/>
    <cellStyle name="Note 2 2 22 14 4 2" xfId="27890"/>
    <cellStyle name="Note 2 2 22 14 5" xfId="27891"/>
    <cellStyle name="Note 2 2 22 15" xfId="27892"/>
    <cellStyle name="Note 2 2 22 15 2" xfId="27893"/>
    <cellStyle name="Note 2 2 22 15 2 2" xfId="27894"/>
    <cellStyle name="Note 2 2 22 15 3" xfId="27895"/>
    <cellStyle name="Note 2 2 22 15 3 2" xfId="27896"/>
    <cellStyle name="Note 2 2 22 15 4" xfId="27897"/>
    <cellStyle name="Note 2 2 22 15 4 2" xfId="27898"/>
    <cellStyle name="Note 2 2 22 15 5" xfId="27899"/>
    <cellStyle name="Note 2 2 22 16" xfId="27900"/>
    <cellStyle name="Note 2 2 22 16 2" xfId="27901"/>
    <cellStyle name="Note 2 2 22 16 2 2" xfId="27902"/>
    <cellStyle name="Note 2 2 22 16 3" xfId="27903"/>
    <cellStyle name="Note 2 2 22 16 3 2" xfId="27904"/>
    <cellStyle name="Note 2 2 22 16 4" xfId="27905"/>
    <cellStyle name="Note 2 2 22 16 4 2" xfId="27906"/>
    <cellStyle name="Note 2 2 22 16 5" xfId="27907"/>
    <cellStyle name="Note 2 2 22 17" xfId="27908"/>
    <cellStyle name="Note 2 2 22 17 2" xfId="27909"/>
    <cellStyle name="Note 2 2 22 17 2 2" xfId="27910"/>
    <cellStyle name="Note 2 2 22 17 3" xfId="27911"/>
    <cellStyle name="Note 2 2 22 17 3 2" xfId="27912"/>
    <cellStyle name="Note 2 2 22 17 4" xfId="27913"/>
    <cellStyle name="Note 2 2 22 17 4 2" xfId="27914"/>
    <cellStyle name="Note 2 2 22 17 5" xfId="27915"/>
    <cellStyle name="Note 2 2 22 18" xfId="27916"/>
    <cellStyle name="Note 2 2 22 18 2" xfId="27917"/>
    <cellStyle name="Note 2 2 22 18 2 2" xfId="27918"/>
    <cellStyle name="Note 2 2 22 18 3" xfId="27919"/>
    <cellStyle name="Note 2 2 22 18 3 2" xfId="27920"/>
    <cellStyle name="Note 2 2 22 18 4" xfId="27921"/>
    <cellStyle name="Note 2 2 22 18 4 2" xfId="27922"/>
    <cellStyle name="Note 2 2 22 18 5" xfId="27923"/>
    <cellStyle name="Note 2 2 22 19" xfId="27924"/>
    <cellStyle name="Note 2 2 22 19 10" xfId="27925"/>
    <cellStyle name="Note 2 2 22 19 11" xfId="27926"/>
    <cellStyle name="Note 2 2 22 19 2" xfId="27927"/>
    <cellStyle name="Note 2 2 22 19 2 2" xfId="27928"/>
    <cellStyle name="Note 2 2 22 19 2 3" xfId="27929"/>
    <cellStyle name="Note 2 2 22 19 2 4" xfId="27930"/>
    <cellStyle name="Note 2 2 22 19 2 5" xfId="27931"/>
    <cellStyle name="Note 2 2 22 19 2 6" xfId="27932"/>
    <cellStyle name="Note 2 2 22 19 3" xfId="27933"/>
    <cellStyle name="Note 2 2 22 19 3 2" xfId="27934"/>
    <cellStyle name="Note 2 2 22 19 4" xfId="27935"/>
    <cellStyle name="Note 2 2 22 19 4 2" xfId="27936"/>
    <cellStyle name="Note 2 2 22 19 5" xfId="27937"/>
    <cellStyle name="Note 2 2 22 19 5 2" xfId="27938"/>
    <cellStyle name="Note 2 2 22 19 6" xfId="27939"/>
    <cellStyle name="Note 2 2 22 19 6 2" xfId="27940"/>
    <cellStyle name="Note 2 2 22 19 7" xfId="27941"/>
    <cellStyle name="Note 2 2 22 19 7 2" xfId="27942"/>
    <cellStyle name="Note 2 2 22 19 8" xfId="27943"/>
    <cellStyle name="Note 2 2 22 19 9" xfId="27944"/>
    <cellStyle name="Note 2 2 22 2" xfId="27945"/>
    <cellStyle name="Note 2 2 22 2 10" xfId="27946"/>
    <cellStyle name="Note 2 2 22 2 10 2" xfId="27947"/>
    <cellStyle name="Note 2 2 22 2 11" xfId="27948"/>
    <cellStyle name="Note 2 2 22 2 11 2" xfId="27949"/>
    <cellStyle name="Note 2 2 22 2 12" xfId="27950"/>
    <cellStyle name="Note 2 2 22 2 12 2" xfId="27951"/>
    <cellStyle name="Note 2 2 22 2 13" xfId="27952"/>
    <cellStyle name="Note 2 2 22 2 13 2" xfId="27953"/>
    <cellStyle name="Note 2 2 22 2 14" xfId="27954"/>
    <cellStyle name="Note 2 2 22 2 14 2" xfId="27955"/>
    <cellStyle name="Note 2 2 22 2 15" xfId="27956"/>
    <cellStyle name="Note 2 2 22 2 15 2" xfId="27957"/>
    <cellStyle name="Note 2 2 22 2 16" xfId="27958"/>
    <cellStyle name="Note 2 2 22 2 16 2" xfId="27959"/>
    <cellStyle name="Note 2 2 22 2 17" xfId="27960"/>
    <cellStyle name="Note 2 2 22 2 17 2" xfId="27961"/>
    <cellStyle name="Note 2 2 22 2 18" xfId="27962"/>
    <cellStyle name="Note 2 2 22 2 18 2" xfId="27963"/>
    <cellStyle name="Note 2 2 22 2 19" xfId="27964"/>
    <cellStyle name="Note 2 2 22 2 19 2" xfId="27965"/>
    <cellStyle name="Note 2 2 22 2 2" xfId="27966"/>
    <cellStyle name="Note 2 2 22 2 2 2" xfId="27967"/>
    <cellStyle name="Note 2 2 22 2 2 3" xfId="27968"/>
    <cellStyle name="Note 2 2 22 2 20" xfId="27969"/>
    <cellStyle name="Note 2 2 22 2 20 2" xfId="27970"/>
    <cellStyle name="Note 2 2 22 2 21" xfId="27971"/>
    <cellStyle name="Note 2 2 22 2 21 2" xfId="27972"/>
    <cellStyle name="Note 2 2 22 2 22" xfId="27973"/>
    <cellStyle name="Note 2 2 22 2 22 2" xfId="27974"/>
    <cellStyle name="Note 2 2 22 2 23" xfId="27975"/>
    <cellStyle name="Note 2 2 22 2 23 2" xfId="27976"/>
    <cellStyle name="Note 2 2 22 2 24" xfId="27977"/>
    <cellStyle name="Note 2 2 22 2 24 2" xfId="27978"/>
    <cellStyle name="Note 2 2 22 2 25" xfId="27979"/>
    <cellStyle name="Note 2 2 22 2 25 2" xfId="27980"/>
    <cellStyle name="Note 2 2 22 2 26" xfId="27981"/>
    <cellStyle name="Note 2 2 22 2 26 2" xfId="27982"/>
    <cellStyle name="Note 2 2 22 2 27" xfId="27983"/>
    <cellStyle name="Note 2 2 22 2 27 2" xfId="27984"/>
    <cellStyle name="Note 2 2 22 2 28" xfId="27985"/>
    <cellStyle name="Note 2 2 22 2 28 2" xfId="27986"/>
    <cellStyle name="Note 2 2 22 2 29" xfId="27987"/>
    <cellStyle name="Note 2 2 22 2 29 2" xfId="27988"/>
    <cellStyle name="Note 2 2 22 2 3" xfId="27989"/>
    <cellStyle name="Note 2 2 22 2 3 2" xfId="27990"/>
    <cellStyle name="Note 2 2 22 2 3 3" xfId="27991"/>
    <cellStyle name="Note 2 2 22 2 30" xfId="27992"/>
    <cellStyle name="Note 2 2 22 2 30 2" xfId="27993"/>
    <cellStyle name="Note 2 2 22 2 31" xfId="27994"/>
    <cellStyle name="Note 2 2 22 2 4" xfId="27995"/>
    <cellStyle name="Note 2 2 22 2 4 2" xfId="27996"/>
    <cellStyle name="Note 2 2 22 2 5" xfId="27997"/>
    <cellStyle name="Note 2 2 22 2 5 2" xfId="27998"/>
    <cellStyle name="Note 2 2 22 2 6" xfId="27999"/>
    <cellStyle name="Note 2 2 22 2 6 2" xfId="28000"/>
    <cellStyle name="Note 2 2 22 2 7" xfId="28001"/>
    <cellStyle name="Note 2 2 22 2 7 2" xfId="28002"/>
    <cellStyle name="Note 2 2 22 2 8" xfId="28003"/>
    <cellStyle name="Note 2 2 22 2 8 2" xfId="28004"/>
    <cellStyle name="Note 2 2 22 2 9" xfId="28005"/>
    <cellStyle name="Note 2 2 22 2 9 2" xfId="28006"/>
    <cellStyle name="Note 2 2 22 20" xfId="28007"/>
    <cellStyle name="Note 2 2 22 20 2" xfId="28008"/>
    <cellStyle name="Note 2 2 22 21" xfId="28009"/>
    <cellStyle name="Note 2 2 22 21 2" xfId="28010"/>
    <cellStyle name="Note 2 2 22 22" xfId="28011"/>
    <cellStyle name="Note 2 2 22 22 2" xfId="28012"/>
    <cellStyle name="Note 2 2 22 23" xfId="28013"/>
    <cellStyle name="Note 2 2 22 23 2" xfId="28014"/>
    <cellStyle name="Note 2 2 22 24" xfId="28015"/>
    <cellStyle name="Note 2 2 22 24 2" xfId="28016"/>
    <cellStyle name="Note 2 2 22 25" xfId="28017"/>
    <cellStyle name="Note 2 2 22 25 2" xfId="28018"/>
    <cellStyle name="Note 2 2 22 26" xfId="28019"/>
    <cellStyle name="Note 2 2 22 26 2" xfId="28020"/>
    <cellStyle name="Note 2 2 22 27" xfId="28021"/>
    <cellStyle name="Note 2 2 22 27 2" xfId="28022"/>
    <cellStyle name="Note 2 2 22 28" xfId="28023"/>
    <cellStyle name="Note 2 2 22 28 2" xfId="28024"/>
    <cellStyle name="Note 2 2 22 29" xfId="28025"/>
    <cellStyle name="Note 2 2 22 29 2" xfId="28026"/>
    <cellStyle name="Note 2 2 22 3" xfId="28027"/>
    <cellStyle name="Note 2 2 22 3 2" xfId="28028"/>
    <cellStyle name="Note 2 2 22 3 2 2" xfId="28029"/>
    <cellStyle name="Note 2 2 22 3 3" xfId="28030"/>
    <cellStyle name="Note 2 2 22 3 3 2" xfId="28031"/>
    <cellStyle name="Note 2 2 22 3 4" xfId="28032"/>
    <cellStyle name="Note 2 2 22 3 4 2" xfId="28033"/>
    <cellStyle name="Note 2 2 22 3 5" xfId="28034"/>
    <cellStyle name="Note 2 2 22 30" xfId="28035"/>
    <cellStyle name="Note 2 2 22 30 2" xfId="28036"/>
    <cellStyle name="Note 2 2 22 31" xfId="28037"/>
    <cellStyle name="Note 2 2 22 31 2" xfId="28038"/>
    <cellStyle name="Note 2 2 22 32" xfId="28039"/>
    <cellStyle name="Note 2 2 22 32 2" xfId="28040"/>
    <cellStyle name="Note 2 2 22 33" xfId="28041"/>
    <cellStyle name="Note 2 2 22 33 2" xfId="28042"/>
    <cellStyle name="Note 2 2 22 34" xfId="28043"/>
    <cellStyle name="Note 2 2 22 34 2" xfId="28044"/>
    <cellStyle name="Note 2 2 22 35" xfId="28045"/>
    <cellStyle name="Note 2 2 22 35 2" xfId="28046"/>
    <cellStyle name="Note 2 2 22 36" xfId="28047"/>
    <cellStyle name="Note 2 2 22 36 2" xfId="28048"/>
    <cellStyle name="Note 2 2 22 37" xfId="28049"/>
    <cellStyle name="Note 2 2 22 37 2" xfId="28050"/>
    <cellStyle name="Note 2 2 22 38" xfId="28051"/>
    <cellStyle name="Note 2 2 22 38 2" xfId="28052"/>
    <cellStyle name="Note 2 2 22 39" xfId="28053"/>
    <cellStyle name="Note 2 2 22 39 2" xfId="28054"/>
    <cellStyle name="Note 2 2 22 4" xfId="28055"/>
    <cellStyle name="Note 2 2 22 4 10" xfId="28056"/>
    <cellStyle name="Note 2 2 22 4 11" xfId="28057"/>
    <cellStyle name="Note 2 2 22 4 12" xfId="28058"/>
    <cellStyle name="Note 2 2 22 4 13" xfId="28059"/>
    <cellStyle name="Note 2 2 22 4 2" xfId="28060"/>
    <cellStyle name="Note 2 2 22 4 2 2" xfId="28061"/>
    <cellStyle name="Note 2 2 22 4 2 3" xfId="28062"/>
    <cellStyle name="Note 2 2 22 4 3" xfId="28063"/>
    <cellStyle name="Note 2 2 22 4 3 2" xfId="28064"/>
    <cellStyle name="Note 2 2 22 4 4" xfId="28065"/>
    <cellStyle name="Note 2 2 22 4 4 2" xfId="28066"/>
    <cellStyle name="Note 2 2 22 4 5" xfId="28067"/>
    <cellStyle name="Note 2 2 22 4 5 2" xfId="28068"/>
    <cellStyle name="Note 2 2 22 4 5 3" xfId="28069"/>
    <cellStyle name="Note 2 2 22 4 5 4" xfId="28070"/>
    <cellStyle name="Note 2 2 22 4 5 5" xfId="28071"/>
    <cellStyle name="Note 2 2 22 4 5 6" xfId="28072"/>
    <cellStyle name="Note 2 2 22 4 6" xfId="28073"/>
    <cellStyle name="Note 2 2 22 4 6 2" xfId="28074"/>
    <cellStyle name="Note 2 2 22 4 7" xfId="28075"/>
    <cellStyle name="Note 2 2 22 4 7 2" xfId="28076"/>
    <cellStyle name="Note 2 2 22 4 8" xfId="28077"/>
    <cellStyle name="Note 2 2 22 4 8 2" xfId="28078"/>
    <cellStyle name="Note 2 2 22 4 9" xfId="28079"/>
    <cellStyle name="Note 2 2 22 4 9 2" xfId="28080"/>
    <cellStyle name="Note 2 2 22 40" xfId="28081"/>
    <cellStyle name="Note 2 2 22 40 2" xfId="28082"/>
    <cellStyle name="Note 2 2 22 41" xfId="28083"/>
    <cellStyle name="Note 2 2 22 41 2" xfId="28084"/>
    <cellStyle name="Note 2 2 22 42" xfId="28085"/>
    <cellStyle name="Note 2 2 22 42 2" xfId="28086"/>
    <cellStyle name="Note 2 2 22 43" xfId="28087"/>
    <cellStyle name="Note 2 2 22 43 2" xfId="28088"/>
    <cellStyle name="Note 2 2 22 44" xfId="28089"/>
    <cellStyle name="Note 2 2 22 44 2" xfId="28090"/>
    <cellStyle name="Note 2 2 22 45" xfId="28091"/>
    <cellStyle name="Note 2 2 22 45 2" xfId="28092"/>
    <cellStyle name="Note 2 2 22 46" xfId="28093"/>
    <cellStyle name="Note 2 2 22 46 2" xfId="28094"/>
    <cellStyle name="Note 2 2 22 47" xfId="28095"/>
    <cellStyle name="Note 2 2 22 47 2" xfId="28096"/>
    <cellStyle name="Note 2 2 22 48" xfId="28097"/>
    <cellStyle name="Note 2 2 22 48 2" xfId="28098"/>
    <cellStyle name="Note 2 2 22 49" xfId="28099"/>
    <cellStyle name="Note 2 2 22 49 2" xfId="28100"/>
    <cellStyle name="Note 2 2 22 5" xfId="28101"/>
    <cellStyle name="Note 2 2 22 5 2" xfId="28102"/>
    <cellStyle name="Note 2 2 22 5 2 2" xfId="28103"/>
    <cellStyle name="Note 2 2 22 5 3" xfId="28104"/>
    <cellStyle name="Note 2 2 22 5 3 2" xfId="28105"/>
    <cellStyle name="Note 2 2 22 5 4" xfId="28106"/>
    <cellStyle name="Note 2 2 22 5 4 2" xfId="28107"/>
    <cellStyle name="Note 2 2 22 5 5" xfId="28108"/>
    <cellStyle name="Note 2 2 22 50" xfId="28109"/>
    <cellStyle name="Note 2 2 22 50 2" xfId="28110"/>
    <cellStyle name="Note 2 2 22 51" xfId="28111"/>
    <cellStyle name="Note 2 2 22 51 2" xfId="28112"/>
    <cellStyle name="Note 2 2 22 52" xfId="28113"/>
    <cellStyle name="Note 2 2 22 52 2" xfId="28114"/>
    <cellStyle name="Note 2 2 22 53" xfId="28115"/>
    <cellStyle name="Note 2 2 22 53 2" xfId="28116"/>
    <cellStyle name="Note 2 2 22 54" xfId="28117"/>
    <cellStyle name="Note 2 2 22 54 2" xfId="28118"/>
    <cellStyle name="Note 2 2 22 55" xfId="28119"/>
    <cellStyle name="Note 2 2 22 55 2" xfId="28120"/>
    <cellStyle name="Note 2 2 22 56" xfId="28121"/>
    <cellStyle name="Note 2 2 22 56 2" xfId="28122"/>
    <cellStyle name="Note 2 2 22 57" xfId="28123"/>
    <cellStyle name="Note 2 2 22 57 2" xfId="28124"/>
    <cellStyle name="Note 2 2 22 58" xfId="28125"/>
    <cellStyle name="Note 2 2 22 58 2" xfId="28126"/>
    <cellStyle name="Note 2 2 22 59" xfId="28127"/>
    <cellStyle name="Note 2 2 22 59 2" xfId="28128"/>
    <cellStyle name="Note 2 2 22 6" xfId="28129"/>
    <cellStyle name="Note 2 2 22 6 2" xfId="28130"/>
    <cellStyle name="Note 2 2 22 6 2 2" xfId="28131"/>
    <cellStyle name="Note 2 2 22 6 3" xfId="28132"/>
    <cellStyle name="Note 2 2 22 6 3 2" xfId="28133"/>
    <cellStyle name="Note 2 2 22 6 4" xfId="28134"/>
    <cellStyle name="Note 2 2 22 6 4 2" xfId="28135"/>
    <cellStyle name="Note 2 2 22 6 5" xfId="28136"/>
    <cellStyle name="Note 2 2 22 60" xfId="28137"/>
    <cellStyle name="Note 2 2 22 60 2" xfId="28138"/>
    <cellStyle name="Note 2 2 22 61" xfId="28139"/>
    <cellStyle name="Note 2 2 22 61 2" xfId="28140"/>
    <cellStyle name="Note 2 2 22 61 3" xfId="28141"/>
    <cellStyle name="Note 2 2 22 61 4" xfId="28142"/>
    <cellStyle name="Note 2 2 22 61 5" xfId="28143"/>
    <cellStyle name="Note 2 2 22 61 6" xfId="28144"/>
    <cellStyle name="Note 2 2 22 62" xfId="28145"/>
    <cellStyle name="Note 2 2 22 62 2" xfId="28146"/>
    <cellStyle name="Note 2 2 22 63" xfId="28147"/>
    <cellStyle name="Note 2 2 22 63 2" xfId="28148"/>
    <cellStyle name="Note 2 2 22 64" xfId="28149"/>
    <cellStyle name="Note 2 2 22 64 2" xfId="28150"/>
    <cellStyle name="Note 2 2 22 65" xfId="28151"/>
    <cellStyle name="Note 2 2 22 65 2" xfId="28152"/>
    <cellStyle name="Note 2 2 22 66" xfId="28153"/>
    <cellStyle name="Note 2 2 22 67" xfId="28154"/>
    <cellStyle name="Note 2 2 22 68" xfId="28155"/>
    <cellStyle name="Note 2 2 22 69" xfId="28156"/>
    <cellStyle name="Note 2 2 22 7" xfId="28157"/>
    <cellStyle name="Note 2 2 22 7 2" xfId="28158"/>
    <cellStyle name="Note 2 2 22 7 2 2" xfId="28159"/>
    <cellStyle name="Note 2 2 22 7 3" xfId="28160"/>
    <cellStyle name="Note 2 2 22 7 3 2" xfId="28161"/>
    <cellStyle name="Note 2 2 22 7 4" xfId="28162"/>
    <cellStyle name="Note 2 2 22 7 4 2" xfId="28163"/>
    <cellStyle name="Note 2 2 22 7 5" xfId="28164"/>
    <cellStyle name="Note 2 2 22 8" xfId="28165"/>
    <cellStyle name="Note 2 2 22 8 2" xfId="28166"/>
    <cellStyle name="Note 2 2 22 8 2 2" xfId="28167"/>
    <cellStyle name="Note 2 2 22 8 3" xfId="28168"/>
    <cellStyle name="Note 2 2 22 8 3 2" xfId="28169"/>
    <cellStyle name="Note 2 2 22 8 4" xfId="28170"/>
    <cellStyle name="Note 2 2 22 8 4 2" xfId="28171"/>
    <cellStyle name="Note 2 2 22 8 5" xfId="28172"/>
    <cellStyle name="Note 2 2 22 9" xfId="28173"/>
    <cellStyle name="Note 2 2 22 9 2" xfId="28174"/>
    <cellStyle name="Note 2 2 22 9 2 2" xfId="28175"/>
    <cellStyle name="Note 2 2 22 9 3" xfId="28176"/>
    <cellStyle name="Note 2 2 22 9 3 2" xfId="28177"/>
    <cellStyle name="Note 2 2 22 9 4" xfId="28178"/>
    <cellStyle name="Note 2 2 22 9 4 2" xfId="28179"/>
    <cellStyle name="Note 2 2 22 9 5" xfId="28180"/>
    <cellStyle name="Note 2 2 23" xfId="28181"/>
    <cellStyle name="Note 2 2 23 10" xfId="28182"/>
    <cellStyle name="Note 2 2 23 10 2" xfId="28183"/>
    <cellStyle name="Note 2 2 23 10 2 2" xfId="28184"/>
    <cellStyle name="Note 2 2 23 10 3" xfId="28185"/>
    <cellStyle name="Note 2 2 23 10 3 2" xfId="28186"/>
    <cellStyle name="Note 2 2 23 10 4" xfId="28187"/>
    <cellStyle name="Note 2 2 23 10 4 2" xfId="28188"/>
    <cellStyle name="Note 2 2 23 10 5" xfId="28189"/>
    <cellStyle name="Note 2 2 23 11" xfId="28190"/>
    <cellStyle name="Note 2 2 23 11 2" xfId="28191"/>
    <cellStyle name="Note 2 2 23 11 2 2" xfId="28192"/>
    <cellStyle name="Note 2 2 23 11 3" xfId="28193"/>
    <cellStyle name="Note 2 2 23 11 3 2" xfId="28194"/>
    <cellStyle name="Note 2 2 23 11 4" xfId="28195"/>
    <cellStyle name="Note 2 2 23 11 4 2" xfId="28196"/>
    <cellStyle name="Note 2 2 23 11 5" xfId="28197"/>
    <cellStyle name="Note 2 2 23 12" xfId="28198"/>
    <cellStyle name="Note 2 2 23 12 2" xfId="28199"/>
    <cellStyle name="Note 2 2 23 12 2 2" xfId="28200"/>
    <cellStyle name="Note 2 2 23 12 3" xfId="28201"/>
    <cellStyle name="Note 2 2 23 12 3 2" xfId="28202"/>
    <cellStyle name="Note 2 2 23 12 4" xfId="28203"/>
    <cellStyle name="Note 2 2 23 12 4 2" xfId="28204"/>
    <cellStyle name="Note 2 2 23 12 5" xfId="28205"/>
    <cellStyle name="Note 2 2 23 13" xfId="28206"/>
    <cellStyle name="Note 2 2 23 13 2" xfId="28207"/>
    <cellStyle name="Note 2 2 23 13 2 2" xfId="28208"/>
    <cellStyle name="Note 2 2 23 13 3" xfId="28209"/>
    <cellStyle name="Note 2 2 23 13 3 2" xfId="28210"/>
    <cellStyle name="Note 2 2 23 13 4" xfId="28211"/>
    <cellStyle name="Note 2 2 23 13 4 2" xfId="28212"/>
    <cellStyle name="Note 2 2 23 13 5" xfId="28213"/>
    <cellStyle name="Note 2 2 23 14" xfId="28214"/>
    <cellStyle name="Note 2 2 23 14 2" xfId="28215"/>
    <cellStyle name="Note 2 2 23 14 2 2" xfId="28216"/>
    <cellStyle name="Note 2 2 23 14 3" xfId="28217"/>
    <cellStyle name="Note 2 2 23 14 3 2" xfId="28218"/>
    <cellStyle name="Note 2 2 23 14 4" xfId="28219"/>
    <cellStyle name="Note 2 2 23 14 4 2" xfId="28220"/>
    <cellStyle name="Note 2 2 23 14 5" xfId="28221"/>
    <cellStyle name="Note 2 2 23 15" xfId="28222"/>
    <cellStyle name="Note 2 2 23 15 2" xfId="28223"/>
    <cellStyle name="Note 2 2 23 15 2 2" xfId="28224"/>
    <cellStyle name="Note 2 2 23 15 3" xfId="28225"/>
    <cellStyle name="Note 2 2 23 15 3 2" xfId="28226"/>
    <cellStyle name="Note 2 2 23 15 4" xfId="28227"/>
    <cellStyle name="Note 2 2 23 15 4 2" xfId="28228"/>
    <cellStyle name="Note 2 2 23 15 5" xfId="28229"/>
    <cellStyle name="Note 2 2 23 16" xfId="28230"/>
    <cellStyle name="Note 2 2 23 16 2" xfId="28231"/>
    <cellStyle name="Note 2 2 23 16 2 2" xfId="28232"/>
    <cellStyle name="Note 2 2 23 16 3" xfId="28233"/>
    <cellStyle name="Note 2 2 23 16 3 2" xfId="28234"/>
    <cellStyle name="Note 2 2 23 16 4" xfId="28235"/>
    <cellStyle name="Note 2 2 23 16 4 2" xfId="28236"/>
    <cellStyle name="Note 2 2 23 16 5" xfId="28237"/>
    <cellStyle name="Note 2 2 23 17" xfId="28238"/>
    <cellStyle name="Note 2 2 23 17 2" xfId="28239"/>
    <cellStyle name="Note 2 2 23 17 2 2" xfId="28240"/>
    <cellStyle name="Note 2 2 23 17 3" xfId="28241"/>
    <cellStyle name="Note 2 2 23 17 3 2" xfId="28242"/>
    <cellStyle name="Note 2 2 23 17 4" xfId="28243"/>
    <cellStyle name="Note 2 2 23 17 4 2" xfId="28244"/>
    <cellStyle name="Note 2 2 23 17 5" xfId="28245"/>
    <cellStyle name="Note 2 2 23 18" xfId="28246"/>
    <cellStyle name="Note 2 2 23 18 2" xfId="28247"/>
    <cellStyle name="Note 2 2 23 18 2 2" xfId="28248"/>
    <cellStyle name="Note 2 2 23 18 3" xfId="28249"/>
    <cellStyle name="Note 2 2 23 18 3 2" xfId="28250"/>
    <cellStyle name="Note 2 2 23 18 4" xfId="28251"/>
    <cellStyle name="Note 2 2 23 18 4 2" xfId="28252"/>
    <cellStyle name="Note 2 2 23 18 5" xfId="28253"/>
    <cellStyle name="Note 2 2 23 19" xfId="28254"/>
    <cellStyle name="Note 2 2 23 19 10" xfId="28255"/>
    <cellStyle name="Note 2 2 23 19 11" xfId="28256"/>
    <cellStyle name="Note 2 2 23 19 2" xfId="28257"/>
    <cellStyle name="Note 2 2 23 19 2 2" xfId="28258"/>
    <cellStyle name="Note 2 2 23 19 2 3" xfId="28259"/>
    <cellStyle name="Note 2 2 23 19 2 4" xfId="28260"/>
    <cellStyle name="Note 2 2 23 19 2 5" xfId="28261"/>
    <cellStyle name="Note 2 2 23 19 2 6" xfId="28262"/>
    <cellStyle name="Note 2 2 23 19 3" xfId="28263"/>
    <cellStyle name="Note 2 2 23 19 3 2" xfId="28264"/>
    <cellStyle name="Note 2 2 23 19 4" xfId="28265"/>
    <cellStyle name="Note 2 2 23 19 4 2" xfId="28266"/>
    <cellStyle name="Note 2 2 23 19 5" xfId="28267"/>
    <cellStyle name="Note 2 2 23 19 5 2" xfId="28268"/>
    <cellStyle name="Note 2 2 23 19 6" xfId="28269"/>
    <cellStyle name="Note 2 2 23 19 6 2" xfId="28270"/>
    <cellStyle name="Note 2 2 23 19 7" xfId="28271"/>
    <cellStyle name="Note 2 2 23 19 7 2" xfId="28272"/>
    <cellStyle name="Note 2 2 23 19 8" xfId="28273"/>
    <cellStyle name="Note 2 2 23 19 9" xfId="28274"/>
    <cellStyle name="Note 2 2 23 2" xfId="28275"/>
    <cellStyle name="Note 2 2 23 2 10" xfId="28276"/>
    <cellStyle name="Note 2 2 23 2 10 2" xfId="28277"/>
    <cellStyle name="Note 2 2 23 2 11" xfId="28278"/>
    <cellStyle name="Note 2 2 23 2 11 2" xfId="28279"/>
    <cellStyle name="Note 2 2 23 2 12" xfId="28280"/>
    <cellStyle name="Note 2 2 23 2 12 2" xfId="28281"/>
    <cellStyle name="Note 2 2 23 2 13" xfId="28282"/>
    <cellStyle name="Note 2 2 23 2 13 2" xfId="28283"/>
    <cellStyle name="Note 2 2 23 2 14" xfId="28284"/>
    <cellStyle name="Note 2 2 23 2 14 2" xfId="28285"/>
    <cellStyle name="Note 2 2 23 2 15" xfId="28286"/>
    <cellStyle name="Note 2 2 23 2 15 2" xfId="28287"/>
    <cellStyle name="Note 2 2 23 2 16" xfId="28288"/>
    <cellStyle name="Note 2 2 23 2 16 2" xfId="28289"/>
    <cellStyle name="Note 2 2 23 2 17" xfId="28290"/>
    <cellStyle name="Note 2 2 23 2 17 2" xfId="28291"/>
    <cellStyle name="Note 2 2 23 2 18" xfId="28292"/>
    <cellStyle name="Note 2 2 23 2 18 2" xfId="28293"/>
    <cellStyle name="Note 2 2 23 2 19" xfId="28294"/>
    <cellStyle name="Note 2 2 23 2 19 2" xfId="28295"/>
    <cellStyle name="Note 2 2 23 2 2" xfId="28296"/>
    <cellStyle name="Note 2 2 23 2 2 2" xfId="28297"/>
    <cellStyle name="Note 2 2 23 2 2 3" xfId="28298"/>
    <cellStyle name="Note 2 2 23 2 20" xfId="28299"/>
    <cellStyle name="Note 2 2 23 2 20 2" xfId="28300"/>
    <cellStyle name="Note 2 2 23 2 21" xfId="28301"/>
    <cellStyle name="Note 2 2 23 2 21 2" xfId="28302"/>
    <cellStyle name="Note 2 2 23 2 22" xfId="28303"/>
    <cellStyle name="Note 2 2 23 2 22 2" xfId="28304"/>
    <cellStyle name="Note 2 2 23 2 23" xfId="28305"/>
    <cellStyle name="Note 2 2 23 2 23 2" xfId="28306"/>
    <cellStyle name="Note 2 2 23 2 24" xfId="28307"/>
    <cellStyle name="Note 2 2 23 2 24 2" xfId="28308"/>
    <cellStyle name="Note 2 2 23 2 25" xfId="28309"/>
    <cellStyle name="Note 2 2 23 2 25 2" xfId="28310"/>
    <cellStyle name="Note 2 2 23 2 26" xfId="28311"/>
    <cellStyle name="Note 2 2 23 2 26 2" xfId="28312"/>
    <cellStyle name="Note 2 2 23 2 27" xfId="28313"/>
    <cellStyle name="Note 2 2 23 2 27 2" xfId="28314"/>
    <cellStyle name="Note 2 2 23 2 28" xfId="28315"/>
    <cellStyle name="Note 2 2 23 2 28 2" xfId="28316"/>
    <cellStyle name="Note 2 2 23 2 29" xfId="28317"/>
    <cellStyle name="Note 2 2 23 2 29 2" xfId="28318"/>
    <cellStyle name="Note 2 2 23 2 3" xfId="28319"/>
    <cellStyle name="Note 2 2 23 2 3 2" xfId="28320"/>
    <cellStyle name="Note 2 2 23 2 3 3" xfId="28321"/>
    <cellStyle name="Note 2 2 23 2 30" xfId="28322"/>
    <cellStyle name="Note 2 2 23 2 30 2" xfId="28323"/>
    <cellStyle name="Note 2 2 23 2 31" xfId="28324"/>
    <cellStyle name="Note 2 2 23 2 4" xfId="28325"/>
    <cellStyle name="Note 2 2 23 2 4 2" xfId="28326"/>
    <cellStyle name="Note 2 2 23 2 5" xfId="28327"/>
    <cellStyle name="Note 2 2 23 2 5 2" xfId="28328"/>
    <cellStyle name="Note 2 2 23 2 6" xfId="28329"/>
    <cellStyle name="Note 2 2 23 2 6 2" xfId="28330"/>
    <cellStyle name="Note 2 2 23 2 7" xfId="28331"/>
    <cellStyle name="Note 2 2 23 2 7 2" xfId="28332"/>
    <cellStyle name="Note 2 2 23 2 8" xfId="28333"/>
    <cellStyle name="Note 2 2 23 2 8 2" xfId="28334"/>
    <cellStyle name="Note 2 2 23 2 9" xfId="28335"/>
    <cellStyle name="Note 2 2 23 2 9 2" xfId="28336"/>
    <cellStyle name="Note 2 2 23 20" xfId="28337"/>
    <cellStyle name="Note 2 2 23 20 2" xfId="28338"/>
    <cellStyle name="Note 2 2 23 21" xfId="28339"/>
    <cellStyle name="Note 2 2 23 21 2" xfId="28340"/>
    <cellStyle name="Note 2 2 23 22" xfId="28341"/>
    <cellStyle name="Note 2 2 23 22 2" xfId="28342"/>
    <cellStyle name="Note 2 2 23 23" xfId="28343"/>
    <cellStyle name="Note 2 2 23 23 2" xfId="28344"/>
    <cellStyle name="Note 2 2 23 24" xfId="28345"/>
    <cellStyle name="Note 2 2 23 24 2" xfId="28346"/>
    <cellStyle name="Note 2 2 23 25" xfId="28347"/>
    <cellStyle name="Note 2 2 23 25 2" xfId="28348"/>
    <cellStyle name="Note 2 2 23 26" xfId="28349"/>
    <cellStyle name="Note 2 2 23 26 2" xfId="28350"/>
    <cellStyle name="Note 2 2 23 27" xfId="28351"/>
    <cellStyle name="Note 2 2 23 27 2" xfId="28352"/>
    <cellStyle name="Note 2 2 23 28" xfId="28353"/>
    <cellStyle name="Note 2 2 23 28 2" xfId="28354"/>
    <cellStyle name="Note 2 2 23 29" xfId="28355"/>
    <cellStyle name="Note 2 2 23 29 2" xfId="28356"/>
    <cellStyle name="Note 2 2 23 3" xfId="28357"/>
    <cellStyle name="Note 2 2 23 3 2" xfId="28358"/>
    <cellStyle name="Note 2 2 23 3 2 2" xfId="28359"/>
    <cellStyle name="Note 2 2 23 3 3" xfId="28360"/>
    <cellStyle name="Note 2 2 23 3 3 2" xfId="28361"/>
    <cellStyle name="Note 2 2 23 3 4" xfId="28362"/>
    <cellStyle name="Note 2 2 23 3 4 2" xfId="28363"/>
    <cellStyle name="Note 2 2 23 3 5" xfId="28364"/>
    <cellStyle name="Note 2 2 23 30" xfId="28365"/>
    <cellStyle name="Note 2 2 23 30 2" xfId="28366"/>
    <cellStyle name="Note 2 2 23 31" xfId="28367"/>
    <cellStyle name="Note 2 2 23 31 2" xfId="28368"/>
    <cellStyle name="Note 2 2 23 32" xfId="28369"/>
    <cellStyle name="Note 2 2 23 32 2" xfId="28370"/>
    <cellStyle name="Note 2 2 23 33" xfId="28371"/>
    <cellStyle name="Note 2 2 23 33 2" xfId="28372"/>
    <cellStyle name="Note 2 2 23 34" xfId="28373"/>
    <cellStyle name="Note 2 2 23 34 2" xfId="28374"/>
    <cellStyle name="Note 2 2 23 35" xfId="28375"/>
    <cellStyle name="Note 2 2 23 35 2" xfId="28376"/>
    <cellStyle name="Note 2 2 23 36" xfId="28377"/>
    <cellStyle name="Note 2 2 23 36 2" xfId="28378"/>
    <cellStyle name="Note 2 2 23 37" xfId="28379"/>
    <cellStyle name="Note 2 2 23 37 2" xfId="28380"/>
    <cellStyle name="Note 2 2 23 38" xfId="28381"/>
    <cellStyle name="Note 2 2 23 38 2" xfId="28382"/>
    <cellStyle name="Note 2 2 23 39" xfId="28383"/>
    <cellStyle name="Note 2 2 23 39 2" xfId="28384"/>
    <cellStyle name="Note 2 2 23 4" xfId="28385"/>
    <cellStyle name="Note 2 2 23 4 10" xfId="28386"/>
    <cellStyle name="Note 2 2 23 4 11" xfId="28387"/>
    <cellStyle name="Note 2 2 23 4 12" xfId="28388"/>
    <cellStyle name="Note 2 2 23 4 13" xfId="28389"/>
    <cellStyle name="Note 2 2 23 4 2" xfId="28390"/>
    <cellStyle name="Note 2 2 23 4 2 2" xfId="28391"/>
    <cellStyle name="Note 2 2 23 4 2 3" xfId="28392"/>
    <cellStyle name="Note 2 2 23 4 3" xfId="28393"/>
    <cellStyle name="Note 2 2 23 4 3 2" xfId="28394"/>
    <cellStyle name="Note 2 2 23 4 4" xfId="28395"/>
    <cellStyle name="Note 2 2 23 4 4 2" xfId="28396"/>
    <cellStyle name="Note 2 2 23 4 5" xfId="28397"/>
    <cellStyle name="Note 2 2 23 4 5 2" xfId="28398"/>
    <cellStyle name="Note 2 2 23 4 5 3" xfId="28399"/>
    <cellStyle name="Note 2 2 23 4 5 4" xfId="28400"/>
    <cellStyle name="Note 2 2 23 4 5 5" xfId="28401"/>
    <cellStyle name="Note 2 2 23 4 5 6" xfId="28402"/>
    <cellStyle name="Note 2 2 23 4 6" xfId="28403"/>
    <cellStyle name="Note 2 2 23 4 6 2" xfId="28404"/>
    <cellStyle name="Note 2 2 23 4 7" xfId="28405"/>
    <cellStyle name="Note 2 2 23 4 7 2" xfId="28406"/>
    <cellStyle name="Note 2 2 23 4 8" xfId="28407"/>
    <cellStyle name="Note 2 2 23 4 8 2" xfId="28408"/>
    <cellStyle name="Note 2 2 23 4 9" xfId="28409"/>
    <cellStyle name="Note 2 2 23 4 9 2" xfId="28410"/>
    <cellStyle name="Note 2 2 23 40" xfId="28411"/>
    <cellStyle name="Note 2 2 23 40 2" xfId="28412"/>
    <cellStyle name="Note 2 2 23 41" xfId="28413"/>
    <cellStyle name="Note 2 2 23 41 2" xfId="28414"/>
    <cellStyle name="Note 2 2 23 42" xfId="28415"/>
    <cellStyle name="Note 2 2 23 42 2" xfId="28416"/>
    <cellStyle name="Note 2 2 23 43" xfId="28417"/>
    <cellStyle name="Note 2 2 23 43 2" xfId="28418"/>
    <cellStyle name="Note 2 2 23 44" xfId="28419"/>
    <cellStyle name="Note 2 2 23 44 2" xfId="28420"/>
    <cellStyle name="Note 2 2 23 45" xfId="28421"/>
    <cellStyle name="Note 2 2 23 45 2" xfId="28422"/>
    <cellStyle name="Note 2 2 23 46" xfId="28423"/>
    <cellStyle name="Note 2 2 23 46 2" xfId="28424"/>
    <cellStyle name="Note 2 2 23 47" xfId="28425"/>
    <cellStyle name="Note 2 2 23 47 2" xfId="28426"/>
    <cellStyle name="Note 2 2 23 48" xfId="28427"/>
    <cellStyle name="Note 2 2 23 48 2" xfId="28428"/>
    <cellStyle name="Note 2 2 23 49" xfId="28429"/>
    <cellStyle name="Note 2 2 23 49 2" xfId="28430"/>
    <cellStyle name="Note 2 2 23 5" xfId="28431"/>
    <cellStyle name="Note 2 2 23 5 2" xfId="28432"/>
    <cellStyle name="Note 2 2 23 5 2 2" xfId="28433"/>
    <cellStyle name="Note 2 2 23 5 3" xfId="28434"/>
    <cellStyle name="Note 2 2 23 5 3 2" xfId="28435"/>
    <cellStyle name="Note 2 2 23 5 4" xfId="28436"/>
    <cellStyle name="Note 2 2 23 5 4 2" xfId="28437"/>
    <cellStyle name="Note 2 2 23 5 5" xfId="28438"/>
    <cellStyle name="Note 2 2 23 50" xfId="28439"/>
    <cellStyle name="Note 2 2 23 50 2" xfId="28440"/>
    <cellStyle name="Note 2 2 23 51" xfId="28441"/>
    <cellStyle name="Note 2 2 23 51 2" xfId="28442"/>
    <cellStyle name="Note 2 2 23 52" xfId="28443"/>
    <cellStyle name="Note 2 2 23 52 2" xfId="28444"/>
    <cellStyle name="Note 2 2 23 53" xfId="28445"/>
    <cellStyle name="Note 2 2 23 53 2" xfId="28446"/>
    <cellStyle name="Note 2 2 23 54" xfId="28447"/>
    <cellStyle name="Note 2 2 23 54 2" xfId="28448"/>
    <cellStyle name="Note 2 2 23 55" xfId="28449"/>
    <cellStyle name="Note 2 2 23 55 2" xfId="28450"/>
    <cellStyle name="Note 2 2 23 56" xfId="28451"/>
    <cellStyle name="Note 2 2 23 56 2" xfId="28452"/>
    <cellStyle name="Note 2 2 23 57" xfId="28453"/>
    <cellStyle name="Note 2 2 23 57 2" xfId="28454"/>
    <cellStyle name="Note 2 2 23 58" xfId="28455"/>
    <cellStyle name="Note 2 2 23 58 2" xfId="28456"/>
    <cellStyle name="Note 2 2 23 59" xfId="28457"/>
    <cellStyle name="Note 2 2 23 59 2" xfId="28458"/>
    <cellStyle name="Note 2 2 23 6" xfId="28459"/>
    <cellStyle name="Note 2 2 23 6 2" xfId="28460"/>
    <cellStyle name="Note 2 2 23 6 2 2" xfId="28461"/>
    <cellStyle name="Note 2 2 23 6 3" xfId="28462"/>
    <cellStyle name="Note 2 2 23 6 3 2" xfId="28463"/>
    <cellStyle name="Note 2 2 23 6 4" xfId="28464"/>
    <cellStyle name="Note 2 2 23 6 4 2" xfId="28465"/>
    <cellStyle name="Note 2 2 23 6 5" xfId="28466"/>
    <cellStyle name="Note 2 2 23 60" xfId="28467"/>
    <cellStyle name="Note 2 2 23 60 2" xfId="28468"/>
    <cellStyle name="Note 2 2 23 61" xfId="28469"/>
    <cellStyle name="Note 2 2 23 61 2" xfId="28470"/>
    <cellStyle name="Note 2 2 23 61 3" xfId="28471"/>
    <cellStyle name="Note 2 2 23 61 4" xfId="28472"/>
    <cellStyle name="Note 2 2 23 61 5" xfId="28473"/>
    <cellStyle name="Note 2 2 23 61 6" xfId="28474"/>
    <cellStyle name="Note 2 2 23 62" xfId="28475"/>
    <cellStyle name="Note 2 2 23 62 2" xfId="28476"/>
    <cellStyle name="Note 2 2 23 63" xfId="28477"/>
    <cellStyle name="Note 2 2 23 63 2" xfId="28478"/>
    <cellStyle name="Note 2 2 23 64" xfId="28479"/>
    <cellStyle name="Note 2 2 23 64 2" xfId="28480"/>
    <cellStyle name="Note 2 2 23 65" xfId="28481"/>
    <cellStyle name="Note 2 2 23 65 2" xfId="28482"/>
    <cellStyle name="Note 2 2 23 66" xfId="28483"/>
    <cellStyle name="Note 2 2 23 67" xfId="28484"/>
    <cellStyle name="Note 2 2 23 68" xfId="28485"/>
    <cellStyle name="Note 2 2 23 69" xfId="28486"/>
    <cellStyle name="Note 2 2 23 7" xfId="28487"/>
    <cellStyle name="Note 2 2 23 7 2" xfId="28488"/>
    <cellStyle name="Note 2 2 23 7 2 2" xfId="28489"/>
    <cellStyle name="Note 2 2 23 7 3" xfId="28490"/>
    <cellStyle name="Note 2 2 23 7 3 2" xfId="28491"/>
    <cellStyle name="Note 2 2 23 7 4" xfId="28492"/>
    <cellStyle name="Note 2 2 23 7 4 2" xfId="28493"/>
    <cellStyle name="Note 2 2 23 7 5" xfId="28494"/>
    <cellStyle name="Note 2 2 23 8" xfId="28495"/>
    <cellStyle name="Note 2 2 23 8 2" xfId="28496"/>
    <cellStyle name="Note 2 2 23 8 2 2" xfId="28497"/>
    <cellStyle name="Note 2 2 23 8 3" xfId="28498"/>
    <cellStyle name="Note 2 2 23 8 3 2" xfId="28499"/>
    <cellStyle name="Note 2 2 23 8 4" xfId="28500"/>
    <cellStyle name="Note 2 2 23 8 4 2" xfId="28501"/>
    <cellStyle name="Note 2 2 23 8 5" xfId="28502"/>
    <cellStyle name="Note 2 2 23 9" xfId="28503"/>
    <cellStyle name="Note 2 2 23 9 2" xfId="28504"/>
    <cellStyle name="Note 2 2 23 9 2 2" xfId="28505"/>
    <cellStyle name="Note 2 2 23 9 3" xfId="28506"/>
    <cellStyle name="Note 2 2 23 9 3 2" xfId="28507"/>
    <cellStyle name="Note 2 2 23 9 4" xfId="28508"/>
    <cellStyle name="Note 2 2 23 9 4 2" xfId="28509"/>
    <cellStyle name="Note 2 2 23 9 5" xfId="28510"/>
    <cellStyle name="Note 2 2 24" xfId="28511"/>
    <cellStyle name="Note 2 2 24 10" xfId="28512"/>
    <cellStyle name="Note 2 2 24 10 2" xfId="28513"/>
    <cellStyle name="Note 2 2 24 10 2 2" xfId="28514"/>
    <cellStyle name="Note 2 2 24 10 3" xfId="28515"/>
    <cellStyle name="Note 2 2 24 10 3 2" xfId="28516"/>
    <cellStyle name="Note 2 2 24 10 4" xfId="28517"/>
    <cellStyle name="Note 2 2 24 10 4 2" xfId="28518"/>
    <cellStyle name="Note 2 2 24 10 5" xfId="28519"/>
    <cellStyle name="Note 2 2 24 11" xfId="28520"/>
    <cellStyle name="Note 2 2 24 11 2" xfId="28521"/>
    <cellStyle name="Note 2 2 24 11 2 2" xfId="28522"/>
    <cellStyle name="Note 2 2 24 11 3" xfId="28523"/>
    <cellStyle name="Note 2 2 24 11 3 2" xfId="28524"/>
    <cellStyle name="Note 2 2 24 11 4" xfId="28525"/>
    <cellStyle name="Note 2 2 24 11 4 2" xfId="28526"/>
    <cellStyle name="Note 2 2 24 11 5" xfId="28527"/>
    <cellStyle name="Note 2 2 24 12" xfId="28528"/>
    <cellStyle name="Note 2 2 24 12 2" xfId="28529"/>
    <cellStyle name="Note 2 2 24 12 2 2" xfId="28530"/>
    <cellStyle name="Note 2 2 24 12 3" xfId="28531"/>
    <cellStyle name="Note 2 2 24 12 3 2" xfId="28532"/>
    <cellStyle name="Note 2 2 24 12 4" xfId="28533"/>
    <cellStyle name="Note 2 2 24 12 4 2" xfId="28534"/>
    <cellStyle name="Note 2 2 24 12 5" xfId="28535"/>
    <cellStyle name="Note 2 2 24 13" xfId="28536"/>
    <cellStyle name="Note 2 2 24 13 2" xfId="28537"/>
    <cellStyle name="Note 2 2 24 13 2 2" xfId="28538"/>
    <cellStyle name="Note 2 2 24 13 3" xfId="28539"/>
    <cellStyle name="Note 2 2 24 13 3 2" xfId="28540"/>
    <cellStyle name="Note 2 2 24 13 4" xfId="28541"/>
    <cellStyle name="Note 2 2 24 13 4 2" xfId="28542"/>
    <cellStyle name="Note 2 2 24 13 5" xfId="28543"/>
    <cellStyle name="Note 2 2 24 14" xfId="28544"/>
    <cellStyle name="Note 2 2 24 14 2" xfId="28545"/>
    <cellStyle name="Note 2 2 24 14 2 2" xfId="28546"/>
    <cellStyle name="Note 2 2 24 14 3" xfId="28547"/>
    <cellStyle name="Note 2 2 24 14 3 2" xfId="28548"/>
    <cellStyle name="Note 2 2 24 14 4" xfId="28549"/>
    <cellStyle name="Note 2 2 24 14 4 2" xfId="28550"/>
    <cellStyle name="Note 2 2 24 14 5" xfId="28551"/>
    <cellStyle name="Note 2 2 24 15" xfId="28552"/>
    <cellStyle name="Note 2 2 24 15 2" xfId="28553"/>
    <cellStyle name="Note 2 2 24 15 2 2" xfId="28554"/>
    <cellStyle name="Note 2 2 24 15 3" xfId="28555"/>
    <cellStyle name="Note 2 2 24 15 3 2" xfId="28556"/>
    <cellStyle name="Note 2 2 24 15 4" xfId="28557"/>
    <cellStyle name="Note 2 2 24 15 4 2" xfId="28558"/>
    <cellStyle name="Note 2 2 24 15 5" xfId="28559"/>
    <cellStyle name="Note 2 2 24 16" xfId="28560"/>
    <cellStyle name="Note 2 2 24 16 2" xfId="28561"/>
    <cellStyle name="Note 2 2 24 16 2 2" xfId="28562"/>
    <cellStyle name="Note 2 2 24 16 3" xfId="28563"/>
    <cellStyle name="Note 2 2 24 16 3 2" xfId="28564"/>
    <cellStyle name="Note 2 2 24 16 4" xfId="28565"/>
    <cellStyle name="Note 2 2 24 16 4 2" xfId="28566"/>
    <cellStyle name="Note 2 2 24 16 5" xfId="28567"/>
    <cellStyle name="Note 2 2 24 17" xfId="28568"/>
    <cellStyle name="Note 2 2 24 17 2" xfId="28569"/>
    <cellStyle name="Note 2 2 24 17 2 2" xfId="28570"/>
    <cellStyle name="Note 2 2 24 17 3" xfId="28571"/>
    <cellStyle name="Note 2 2 24 17 3 2" xfId="28572"/>
    <cellStyle name="Note 2 2 24 17 4" xfId="28573"/>
    <cellStyle name="Note 2 2 24 17 4 2" xfId="28574"/>
    <cellStyle name="Note 2 2 24 17 5" xfId="28575"/>
    <cellStyle name="Note 2 2 24 18" xfId="28576"/>
    <cellStyle name="Note 2 2 24 18 2" xfId="28577"/>
    <cellStyle name="Note 2 2 24 18 2 2" xfId="28578"/>
    <cellStyle name="Note 2 2 24 18 3" xfId="28579"/>
    <cellStyle name="Note 2 2 24 18 3 2" xfId="28580"/>
    <cellStyle name="Note 2 2 24 18 4" xfId="28581"/>
    <cellStyle name="Note 2 2 24 18 4 2" xfId="28582"/>
    <cellStyle name="Note 2 2 24 18 5" xfId="28583"/>
    <cellStyle name="Note 2 2 24 19" xfId="28584"/>
    <cellStyle name="Note 2 2 24 19 10" xfId="28585"/>
    <cellStyle name="Note 2 2 24 19 11" xfId="28586"/>
    <cellStyle name="Note 2 2 24 19 2" xfId="28587"/>
    <cellStyle name="Note 2 2 24 19 2 2" xfId="28588"/>
    <cellStyle name="Note 2 2 24 19 2 3" xfId="28589"/>
    <cellStyle name="Note 2 2 24 19 2 4" xfId="28590"/>
    <cellStyle name="Note 2 2 24 19 2 5" xfId="28591"/>
    <cellStyle name="Note 2 2 24 19 2 6" xfId="28592"/>
    <cellStyle name="Note 2 2 24 19 3" xfId="28593"/>
    <cellStyle name="Note 2 2 24 19 3 2" xfId="28594"/>
    <cellStyle name="Note 2 2 24 19 4" xfId="28595"/>
    <cellStyle name="Note 2 2 24 19 4 2" xfId="28596"/>
    <cellStyle name="Note 2 2 24 19 5" xfId="28597"/>
    <cellStyle name="Note 2 2 24 19 5 2" xfId="28598"/>
    <cellStyle name="Note 2 2 24 19 6" xfId="28599"/>
    <cellStyle name="Note 2 2 24 19 6 2" xfId="28600"/>
    <cellStyle name="Note 2 2 24 19 7" xfId="28601"/>
    <cellStyle name="Note 2 2 24 19 7 2" xfId="28602"/>
    <cellStyle name="Note 2 2 24 19 8" xfId="28603"/>
    <cellStyle name="Note 2 2 24 19 9" xfId="28604"/>
    <cellStyle name="Note 2 2 24 2" xfId="28605"/>
    <cellStyle name="Note 2 2 24 2 10" xfId="28606"/>
    <cellStyle name="Note 2 2 24 2 10 2" xfId="28607"/>
    <cellStyle name="Note 2 2 24 2 11" xfId="28608"/>
    <cellStyle name="Note 2 2 24 2 11 2" xfId="28609"/>
    <cellStyle name="Note 2 2 24 2 12" xfId="28610"/>
    <cellStyle name="Note 2 2 24 2 12 2" xfId="28611"/>
    <cellStyle name="Note 2 2 24 2 13" xfId="28612"/>
    <cellStyle name="Note 2 2 24 2 13 2" xfId="28613"/>
    <cellStyle name="Note 2 2 24 2 14" xfId="28614"/>
    <cellStyle name="Note 2 2 24 2 14 2" xfId="28615"/>
    <cellStyle name="Note 2 2 24 2 15" xfId="28616"/>
    <cellStyle name="Note 2 2 24 2 15 2" xfId="28617"/>
    <cellStyle name="Note 2 2 24 2 16" xfId="28618"/>
    <cellStyle name="Note 2 2 24 2 16 2" xfId="28619"/>
    <cellStyle name="Note 2 2 24 2 17" xfId="28620"/>
    <cellStyle name="Note 2 2 24 2 17 2" xfId="28621"/>
    <cellStyle name="Note 2 2 24 2 18" xfId="28622"/>
    <cellStyle name="Note 2 2 24 2 18 2" xfId="28623"/>
    <cellStyle name="Note 2 2 24 2 19" xfId="28624"/>
    <cellStyle name="Note 2 2 24 2 19 2" xfId="28625"/>
    <cellStyle name="Note 2 2 24 2 2" xfId="28626"/>
    <cellStyle name="Note 2 2 24 2 2 2" xfId="28627"/>
    <cellStyle name="Note 2 2 24 2 2 3" xfId="28628"/>
    <cellStyle name="Note 2 2 24 2 20" xfId="28629"/>
    <cellStyle name="Note 2 2 24 2 20 2" xfId="28630"/>
    <cellStyle name="Note 2 2 24 2 21" xfId="28631"/>
    <cellStyle name="Note 2 2 24 2 21 2" xfId="28632"/>
    <cellStyle name="Note 2 2 24 2 22" xfId="28633"/>
    <cellStyle name="Note 2 2 24 2 22 2" xfId="28634"/>
    <cellStyle name="Note 2 2 24 2 23" xfId="28635"/>
    <cellStyle name="Note 2 2 24 2 23 2" xfId="28636"/>
    <cellStyle name="Note 2 2 24 2 24" xfId="28637"/>
    <cellStyle name="Note 2 2 24 2 24 2" xfId="28638"/>
    <cellStyle name="Note 2 2 24 2 25" xfId="28639"/>
    <cellStyle name="Note 2 2 24 2 25 2" xfId="28640"/>
    <cellStyle name="Note 2 2 24 2 26" xfId="28641"/>
    <cellStyle name="Note 2 2 24 2 26 2" xfId="28642"/>
    <cellStyle name="Note 2 2 24 2 27" xfId="28643"/>
    <cellStyle name="Note 2 2 24 2 27 2" xfId="28644"/>
    <cellStyle name="Note 2 2 24 2 28" xfId="28645"/>
    <cellStyle name="Note 2 2 24 2 28 2" xfId="28646"/>
    <cellStyle name="Note 2 2 24 2 29" xfId="28647"/>
    <cellStyle name="Note 2 2 24 2 29 2" xfId="28648"/>
    <cellStyle name="Note 2 2 24 2 3" xfId="28649"/>
    <cellStyle name="Note 2 2 24 2 3 2" xfId="28650"/>
    <cellStyle name="Note 2 2 24 2 3 3" xfId="28651"/>
    <cellStyle name="Note 2 2 24 2 30" xfId="28652"/>
    <cellStyle name="Note 2 2 24 2 30 2" xfId="28653"/>
    <cellStyle name="Note 2 2 24 2 31" xfId="28654"/>
    <cellStyle name="Note 2 2 24 2 4" xfId="28655"/>
    <cellStyle name="Note 2 2 24 2 4 2" xfId="28656"/>
    <cellStyle name="Note 2 2 24 2 5" xfId="28657"/>
    <cellStyle name="Note 2 2 24 2 5 2" xfId="28658"/>
    <cellStyle name="Note 2 2 24 2 6" xfId="28659"/>
    <cellStyle name="Note 2 2 24 2 6 2" xfId="28660"/>
    <cellStyle name="Note 2 2 24 2 7" xfId="28661"/>
    <cellStyle name="Note 2 2 24 2 7 2" xfId="28662"/>
    <cellStyle name="Note 2 2 24 2 8" xfId="28663"/>
    <cellStyle name="Note 2 2 24 2 8 2" xfId="28664"/>
    <cellStyle name="Note 2 2 24 2 9" xfId="28665"/>
    <cellStyle name="Note 2 2 24 2 9 2" xfId="28666"/>
    <cellStyle name="Note 2 2 24 20" xfId="28667"/>
    <cellStyle name="Note 2 2 24 20 2" xfId="28668"/>
    <cellStyle name="Note 2 2 24 21" xfId="28669"/>
    <cellStyle name="Note 2 2 24 21 2" xfId="28670"/>
    <cellStyle name="Note 2 2 24 22" xfId="28671"/>
    <cellStyle name="Note 2 2 24 22 2" xfId="28672"/>
    <cellStyle name="Note 2 2 24 23" xfId="28673"/>
    <cellStyle name="Note 2 2 24 23 2" xfId="28674"/>
    <cellStyle name="Note 2 2 24 24" xfId="28675"/>
    <cellStyle name="Note 2 2 24 24 2" xfId="28676"/>
    <cellStyle name="Note 2 2 24 25" xfId="28677"/>
    <cellStyle name="Note 2 2 24 25 2" xfId="28678"/>
    <cellStyle name="Note 2 2 24 26" xfId="28679"/>
    <cellStyle name="Note 2 2 24 26 2" xfId="28680"/>
    <cellStyle name="Note 2 2 24 27" xfId="28681"/>
    <cellStyle name="Note 2 2 24 27 2" xfId="28682"/>
    <cellStyle name="Note 2 2 24 28" xfId="28683"/>
    <cellStyle name="Note 2 2 24 28 2" xfId="28684"/>
    <cellStyle name="Note 2 2 24 29" xfId="28685"/>
    <cellStyle name="Note 2 2 24 29 2" xfId="28686"/>
    <cellStyle name="Note 2 2 24 3" xfId="28687"/>
    <cellStyle name="Note 2 2 24 3 2" xfId="28688"/>
    <cellStyle name="Note 2 2 24 3 2 2" xfId="28689"/>
    <cellStyle name="Note 2 2 24 3 3" xfId="28690"/>
    <cellStyle name="Note 2 2 24 3 3 2" xfId="28691"/>
    <cellStyle name="Note 2 2 24 3 4" xfId="28692"/>
    <cellStyle name="Note 2 2 24 3 4 2" xfId="28693"/>
    <cellStyle name="Note 2 2 24 3 5" xfId="28694"/>
    <cellStyle name="Note 2 2 24 30" xfId="28695"/>
    <cellStyle name="Note 2 2 24 30 2" xfId="28696"/>
    <cellStyle name="Note 2 2 24 31" xfId="28697"/>
    <cellStyle name="Note 2 2 24 31 2" xfId="28698"/>
    <cellStyle name="Note 2 2 24 32" xfId="28699"/>
    <cellStyle name="Note 2 2 24 32 2" xfId="28700"/>
    <cellStyle name="Note 2 2 24 33" xfId="28701"/>
    <cellStyle name="Note 2 2 24 33 2" xfId="28702"/>
    <cellStyle name="Note 2 2 24 34" xfId="28703"/>
    <cellStyle name="Note 2 2 24 34 2" xfId="28704"/>
    <cellStyle name="Note 2 2 24 35" xfId="28705"/>
    <cellStyle name="Note 2 2 24 35 2" xfId="28706"/>
    <cellStyle name="Note 2 2 24 36" xfId="28707"/>
    <cellStyle name="Note 2 2 24 36 2" xfId="28708"/>
    <cellStyle name="Note 2 2 24 37" xfId="28709"/>
    <cellStyle name="Note 2 2 24 37 2" xfId="28710"/>
    <cellStyle name="Note 2 2 24 38" xfId="28711"/>
    <cellStyle name="Note 2 2 24 38 2" xfId="28712"/>
    <cellStyle name="Note 2 2 24 39" xfId="28713"/>
    <cellStyle name="Note 2 2 24 39 2" xfId="28714"/>
    <cellStyle name="Note 2 2 24 4" xfId="28715"/>
    <cellStyle name="Note 2 2 24 4 10" xfId="28716"/>
    <cellStyle name="Note 2 2 24 4 11" xfId="28717"/>
    <cellStyle name="Note 2 2 24 4 12" xfId="28718"/>
    <cellStyle name="Note 2 2 24 4 13" xfId="28719"/>
    <cellStyle name="Note 2 2 24 4 2" xfId="28720"/>
    <cellStyle name="Note 2 2 24 4 2 2" xfId="28721"/>
    <cellStyle name="Note 2 2 24 4 2 3" xfId="28722"/>
    <cellStyle name="Note 2 2 24 4 3" xfId="28723"/>
    <cellStyle name="Note 2 2 24 4 3 2" xfId="28724"/>
    <cellStyle name="Note 2 2 24 4 4" xfId="28725"/>
    <cellStyle name="Note 2 2 24 4 4 2" xfId="28726"/>
    <cellStyle name="Note 2 2 24 4 5" xfId="28727"/>
    <cellStyle name="Note 2 2 24 4 5 2" xfId="28728"/>
    <cellStyle name="Note 2 2 24 4 5 3" xfId="28729"/>
    <cellStyle name="Note 2 2 24 4 5 4" xfId="28730"/>
    <cellStyle name="Note 2 2 24 4 5 5" xfId="28731"/>
    <cellStyle name="Note 2 2 24 4 5 6" xfId="28732"/>
    <cellStyle name="Note 2 2 24 4 6" xfId="28733"/>
    <cellStyle name="Note 2 2 24 4 6 2" xfId="28734"/>
    <cellStyle name="Note 2 2 24 4 7" xfId="28735"/>
    <cellStyle name="Note 2 2 24 4 7 2" xfId="28736"/>
    <cellStyle name="Note 2 2 24 4 8" xfId="28737"/>
    <cellStyle name="Note 2 2 24 4 8 2" xfId="28738"/>
    <cellStyle name="Note 2 2 24 4 9" xfId="28739"/>
    <cellStyle name="Note 2 2 24 4 9 2" xfId="28740"/>
    <cellStyle name="Note 2 2 24 40" xfId="28741"/>
    <cellStyle name="Note 2 2 24 40 2" xfId="28742"/>
    <cellStyle name="Note 2 2 24 41" xfId="28743"/>
    <cellStyle name="Note 2 2 24 41 2" xfId="28744"/>
    <cellStyle name="Note 2 2 24 42" xfId="28745"/>
    <cellStyle name="Note 2 2 24 42 2" xfId="28746"/>
    <cellStyle name="Note 2 2 24 43" xfId="28747"/>
    <cellStyle name="Note 2 2 24 43 2" xfId="28748"/>
    <cellStyle name="Note 2 2 24 44" xfId="28749"/>
    <cellStyle name="Note 2 2 24 44 2" xfId="28750"/>
    <cellStyle name="Note 2 2 24 45" xfId="28751"/>
    <cellStyle name="Note 2 2 24 45 2" xfId="28752"/>
    <cellStyle name="Note 2 2 24 46" xfId="28753"/>
    <cellStyle name="Note 2 2 24 46 2" xfId="28754"/>
    <cellStyle name="Note 2 2 24 47" xfId="28755"/>
    <cellStyle name="Note 2 2 24 47 2" xfId="28756"/>
    <cellStyle name="Note 2 2 24 48" xfId="28757"/>
    <cellStyle name="Note 2 2 24 48 2" xfId="28758"/>
    <cellStyle name="Note 2 2 24 49" xfId="28759"/>
    <cellStyle name="Note 2 2 24 49 2" xfId="28760"/>
    <cellStyle name="Note 2 2 24 5" xfId="28761"/>
    <cellStyle name="Note 2 2 24 5 2" xfId="28762"/>
    <cellStyle name="Note 2 2 24 5 2 2" xfId="28763"/>
    <cellStyle name="Note 2 2 24 5 3" xfId="28764"/>
    <cellStyle name="Note 2 2 24 5 3 2" xfId="28765"/>
    <cellStyle name="Note 2 2 24 5 4" xfId="28766"/>
    <cellStyle name="Note 2 2 24 5 4 2" xfId="28767"/>
    <cellStyle name="Note 2 2 24 5 5" xfId="28768"/>
    <cellStyle name="Note 2 2 24 50" xfId="28769"/>
    <cellStyle name="Note 2 2 24 50 2" xfId="28770"/>
    <cellStyle name="Note 2 2 24 51" xfId="28771"/>
    <cellStyle name="Note 2 2 24 51 2" xfId="28772"/>
    <cellStyle name="Note 2 2 24 52" xfId="28773"/>
    <cellStyle name="Note 2 2 24 52 2" xfId="28774"/>
    <cellStyle name="Note 2 2 24 53" xfId="28775"/>
    <cellStyle name="Note 2 2 24 53 2" xfId="28776"/>
    <cellStyle name="Note 2 2 24 54" xfId="28777"/>
    <cellStyle name="Note 2 2 24 54 2" xfId="28778"/>
    <cellStyle name="Note 2 2 24 55" xfId="28779"/>
    <cellStyle name="Note 2 2 24 55 2" xfId="28780"/>
    <cellStyle name="Note 2 2 24 56" xfId="28781"/>
    <cellStyle name="Note 2 2 24 56 2" xfId="28782"/>
    <cellStyle name="Note 2 2 24 57" xfId="28783"/>
    <cellStyle name="Note 2 2 24 57 2" xfId="28784"/>
    <cellStyle name="Note 2 2 24 58" xfId="28785"/>
    <cellStyle name="Note 2 2 24 58 2" xfId="28786"/>
    <cellStyle name="Note 2 2 24 59" xfId="28787"/>
    <cellStyle name="Note 2 2 24 59 2" xfId="28788"/>
    <cellStyle name="Note 2 2 24 6" xfId="28789"/>
    <cellStyle name="Note 2 2 24 6 2" xfId="28790"/>
    <cellStyle name="Note 2 2 24 6 2 2" xfId="28791"/>
    <cellStyle name="Note 2 2 24 6 3" xfId="28792"/>
    <cellStyle name="Note 2 2 24 6 3 2" xfId="28793"/>
    <cellStyle name="Note 2 2 24 6 4" xfId="28794"/>
    <cellStyle name="Note 2 2 24 6 4 2" xfId="28795"/>
    <cellStyle name="Note 2 2 24 6 5" xfId="28796"/>
    <cellStyle name="Note 2 2 24 60" xfId="28797"/>
    <cellStyle name="Note 2 2 24 60 2" xfId="28798"/>
    <cellStyle name="Note 2 2 24 61" xfId="28799"/>
    <cellStyle name="Note 2 2 24 61 2" xfId="28800"/>
    <cellStyle name="Note 2 2 24 61 3" xfId="28801"/>
    <cellStyle name="Note 2 2 24 61 4" xfId="28802"/>
    <cellStyle name="Note 2 2 24 61 5" xfId="28803"/>
    <cellStyle name="Note 2 2 24 61 6" xfId="28804"/>
    <cellStyle name="Note 2 2 24 62" xfId="28805"/>
    <cellStyle name="Note 2 2 24 62 2" xfId="28806"/>
    <cellStyle name="Note 2 2 24 63" xfId="28807"/>
    <cellStyle name="Note 2 2 24 63 2" xfId="28808"/>
    <cellStyle name="Note 2 2 24 64" xfId="28809"/>
    <cellStyle name="Note 2 2 24 64 2" xfId="28810"/>
    <cellStyle name="Note 2 2 24 65" xfId="28811"/>
    <cellStyle name="Note 2 2 24 65 2" xfId="28812"/>
    <cellStyle name="Note 2 2 24 66" xfId="28813"/>
    <cellStyle name="Note 2 2 24 67" xfId="28814"/>
    <cellStyle name="Note 2 2 24 68" xfId="28815"/>
    <cellStyle name="Note 2 2 24 69" xfId="28816"/>
    <cellStyle name="Note 2 2 24 7" xfId="28817"/>
    <cellStyle name="Note 2 2 24 7 2" xfId="28818"/>
    <cellStyle name="Note 2 2 24 7 2 2" xfId="28819"/>
    <cellStyle name="Note 2 2 24 7 3" xfId="28820"/>
    <cellStyle name="Note 2 2 24 7 3 2" xfId="28821"/>
    <cellStyle name="Note 2 2 24 7 4" xfId="28822"/>
    <cellStyle name="Note 2 2 24 7 4 2" xfId="28823"/>
    <cellStyle name="Note 2 2 24 7 5" xfId="28824"/>
    <cellStyle name="Note 2 2 24 8" xfId="28825"/>
    <cellStyle name="Note 2 2 24 8 2" xfId="28826"/>
    <cellStyle name="Note 2 2 24 8 2 2" xfId="28827"/>
    <cellStyle name="Note 2 2 24 8 3" xfId="28828"/>
    <cellStyle name="Note 2 2 24 8 3 2" xfId="28829"/>
    <cellStyle name="Note 2 2 24 8 4" xfId="28830"/>
    <cellStyle name="Note 2 2 24 8 4 2" xfId="28831"/>
    <cellStyle name="Note 2 2 24 8 5" xfId="28832"/>
    <cellStyle name="Note 2 2 24 9" xfId="28833"/>
    <cellStyle name="Note 2 2 24 9 2" xfId="28834"/>
    <cellStyle name="Note 2 2 24 9 2 2" xfId="28835"/>
    <cellStyle name="Note 2 2 24 9 3" xfId="28836"/>
    <cellStyle name="Note 2 2 24 9 3 2" xfId="28837"/>
    <cellStyle name="Note 2 2 24 9 4" xfId="28838"/>
    <cellStyle name="Note 2 2 24 9 4 2" xfId="28839"/>
    <cellStyle name="Note 2 2 24 9 5" xfId="28840"/>
    <cellStyle name="Note 2 2 25" xfId="28841"/>
    <cellStyle name="Note 2 2 25 10" xfId="28842"/>
    <cellStyle name="Note 2 2 25 10 2" xfId="28843"/>
    <cellStyle name="Note 2 2 25 10 2 2" xfId="28844"/>
    <cellStyle name="Note 2 2 25 10 3" xfId="28845"/>
    <cellStyle name="Note 2 2 25 10 3 2" xfId="28846"/>
    <cellStyle name="Note 2 2 25 10 4" xfId="28847"/>
    <cellStyle name="Note 2 2 25 10 4 2" xfId="28848"/>
    <cellStyle name="Note 2 2 25 10 5" xfId="28849"/>
    <cellStyle name="Note 2 2 25 11" xfId="28850"/>
    <cellStyle name="Note 2 2 25 11 2" xfId="28851"/>
    <cellStyle name="Note 2 2 25 11 2 2" xfId="28852"/>
    <cellStyle name="Note 2 2 25 11 3" xfId="28853"/>
    <cellStyle name="Note 2 2 25 11 3 2" xfId="28854"/>
    <cellStyle name="Note 2 2 25 11 4" xfId="28855"/>
    <cellStyle name="Note 2 2 25 11 4 2" xfId="28856"/>
    <cellStyle name="Note 2 2 25 11 5" xfId="28857"/>
    <cellStyle name="Note 2 2 25 12" xfId="28858"/>
    <cellStyle name="Note 2 2 25 12 2" xfId="28859"/>
    <cellStyle name="Note 2 2 25 12 2 2" xfId="28860"/>
    <cellStyle name="Note 2 2 25 12 3" xfId="28861"/>
    <cellStyle name="Note 2 2 25 12 3 2" xfId="28862"/>
    <cellStyle name="Note 2 2 25 12 4" xfId="28863"/>
    <cellStyle name="Note 2 2 25 12 4 2" xfId="28864"/>
    <cellStyle name="Note 2 2 25 12 5" xfId="28865"/>
    <cellStyle name="Note 2 2 25 13" xfId="28866"/>
    <cellStyle name="Note 2 2 25 13 2" xfId="28867"/>
    <cellStyle name="Note 2 2 25 13 2 2" xfId="28868"/>
    <cellStyle name="Note 2 2 25 13 3" xfId="28869"/>
    <cellStyle name="Note 2 2 25 13 3 2" xfId="28870"/>
    <cellStyle name="Note 2 2 25 13 4" xfId="28871"/>
    <cellStyle name="Note 2 2 25 13 4 2" xfId="28872"/>
    <cellStyle name="Note 2 2 25 13 5" xfId="28873"/>
    <cellStyle name="Note 2 2 25 14" xfId="28874"/>
    <cellStyle name="Note 2 2 25 14 2" xfId="28875"/>
    <cellStyle name="Note 2 2 25 14 2 2" xfId="28876"/>
    <cellStyle name="Note 2 2 25 14 3" xfId="28877"/>
    <cellStyle name="Note 2 2 25 14 3 2" xfId="28878"/>
    <cellStyle name="Note 2 2 25 14 4" xfId="28879"/>
    <cellStyle name="Note 2 2 25 14 4 2" xfId="28880"/>
    <cellStyle name="Note 2 2 25 14 5" xfId="28881"/>
    <cellStyle name="Note 2 2 25 15" xfId="28882"/>
    <cellStyle name="Note 2 2 25 15 2" xfId="28883"/>
    <cellStyle name="Note 2 2 25 15 2 2" xfId="28884"/>
    <cellStyle name="Note 2 2 25 15 3" xfId="28885"/>
    <cellStyle name="Note 2 2 25 15 3 2" xfId="28886"/>
    <cellStyle name="Note 2 2 25 15 4" xfId="28887"/>
    <cellStyle name="Note 2 2 25 15 4 2" xfId="28888"/>
    <cellStyle name="Note 2 2 25 15 5" xfId="28889"/>
    <cellStyle name="Note 2 2 25 16" xfId="28890"/>
    <cellStyle name="Note 2 2 25 16 2" xfId="28891"/>
    <cellStyle name="Note 2 2 25 16 2 2" xfId="28892"/>
    <cellStyle name="Note 2 2 25 16 3" xfId="28893"/>
    <cellStyle name="Note 2 2 25 16 3 2" xfId="28894"/>
    <cellStyle name="Note 2 2 25 16 4" xfId="28895"/>
    <cellStyle name="Note 2 2 25 16 4 2" xfId="28896"/>
    <cellStyle name="Note 2 2 25 16 5" xfId="28897"/>
    <cellStyle name="Note 2 2 25 17" xfId="28898"/>
    <cellStyle name="Note 2 2 25 17 2" xfId="28899"/>
    <cellStyle name="Note 2 2 25 17 2 2" xfId="28900"/>
    <cellStyle name="Note 2 2 25 17 3" xfId="28901"/>
    <cellStyle name="Note 2 2 25 17 3 2" xfId="28902"/>
    <cellStyle name="Note 2 2 25 17 4" xfId="28903"/>
    <cellStyle name="Note 2 2 25 17 4 2" xfId="28904"/>
    <cellStyle name="Note 2 2 25 17 5" xfId="28905"/>
    <cellStyle name="Note 2 2 25 18" xfId="28906"/>
    <cellStyle name="Note 2 2 25 18 2" xfId="28907"/>
    <cellStyle name="Note 2 2 25 18 2 2" xfId="28908"/>
    <cellStyle name="Note 2 2 25 18 3" xfId="28909"/>
    <cellStyle name="Note 2 2 25 18 3 2" xfId="28910"/>
    <cellStyle name="Note 2 2 25 18 4" xfId="28911"/>
    <cellStyle name="Note 2 2 25 18 4 2" xfId="28912"/>
    <cellStyle name="Note 2 2 25 18 5" xfId="28913"/>
    <cellStyle name="Note 2 2 25 19" xfId="28914"/>
    <cellStyle name="Note 2 2 25 19 10" xfId="28915"/>
    <cellStyle name="Note 2 2 25 19 11" xfId="28916"/>
    <cellStyle name="Note 2 2 25 19 2" xfId="28917"/>
    <cellStyle name="Note 2 2 25 19 2 2" xfId="28918"/>
    <cellStyle name="Note 2 2 25 19 2 3" xfId="28919"/>
    <cellStyle name="Note 2 2 25 19 2 4" xfId="28920"/>
    <cellStyle name="Note 2 2 25 19 2 5" xfId="28921"/>
    <cellStyle name="Note 2 2 25 19 2 6" xfId="28922"/>
    <cellStyle name="Note 2 2 25 19 3" xfId="28923"/>
    <cellStyle name="Note 2 2 25 19 3 2" xfId="28924"/>
    <cellStyle name="Note 2 2 25 19 4" xfId="28925"/>
    <cellStyle name="Note 2 2 25 19 4 2" xfId="28926"/>
    <cellStyle name="Note 2 2 25 19 5" xfId="28927"/>
    <cellStyle name="Note 2 2 25 19 5 2" xfId="28928"/>
    <cellStyle name="Note 2 2 25 19 6" xfId="28929"/>
    <cellStyle name="Note 2 2 25 19 6 2" xfId="28930"/>
    <cellStyle name="Note 2 2 25 19 7" xfId="28931"/>
    <cellStyle name="Note 2 2 25 19 7 2" xfId="28932"/>
    <cellStyle name="Note 2 2 25 19 8" xfId="28933"/>
    <cellStyle name="Note 2 2 25 19 9" xfId="28934"/>
    <cellStyle name="Note 2 2 25 2" xfId="28935"/>
    <cellStyle name="Note 2 2 25 2 10" xfId="28936"/>
    <cellStyle name="Note 2 2 25 2 10 2" xfId="28937"/>
    <cellStyle name="Note 2 2 25 2 11" xfId="28938"/>
    <cellStyle name="Note 2 2 25 2 11 2" xfId="28939"/>
    <cellStyle name="Note 2 2 25 2 12" xfId="28940"/>
    <cellStyle name="Note 2 2 25 2 12 2" xfId="28941"/>
    <cellStyle name="Note 2 2 25 2 13" xfId="28942"/>
    <cellStyle name="Note 2 2 25 2 13 2" xfId="28943"/>
    <cellStyle name="Note 2 2 25 2 14" xfId="28944"/>
    <cellStyle name="Note 2 2 25 2 14 2" xfId="28945"/>
    <cellStyle name="Note 2 2 25 2 15" xfId="28946"/>
    <cellStyle name="Note 2 2 25 2 15 2" xfId="28947"/>
    <cellStyle name="Note 2 2 25 2 16" xfId="28948"/>
    <cellStyle name="Note 2 2 25 2 16 2" xfId="28949"/>
    <cellStyle name="Note 2 2 25 2 17" xfId="28950"/>
    <cellStyle name="Note 2 2 25 2 17 2" xfId="28951"/>
    <cellStyle name="Note 2 2 25 2 18" xfId="28952"/>
    <cellStyle name="Note 2 2 25 2 18 2" xfId="28953"/>
    <cellStyle name="Note 2 2 25 2 19" xfId="28954"/>
    <cellStyle name="Note 2 2 25 2 19 2" xfId="28955"/>
    <cellStyle name="Note 2 2 25 2 2" xfId="28956"/>
    <cellStyle name="Note 2 2 25 2 2 2" xfId="28957"/>
    <cellStyle name="Note 2 2 25 2 2 3" xfId="28958"/>
    <cellStyle name="Note 2 2 25 2 20" xfId="28959"/>
    <cellStyle name="Note 2 2 25 2 20 2" xfId="28960"/>
    <cellStyle name="Note 2 2 25 2 21" xfId="28961"/>
    <cellStyle name="Note 2 2 25 2 21 2" xfId="28962"/>
    <cellStyle name="Note 2 2 25 2 22" xfId="28963"/>
    <cellStyle name="Note 2 2 25 2 22 2" xfId="28964"/>
    <cellStyle name="Note 2 2 25 2 23" xfId="28965"/>
    <cellStyle name="Note 2 2 25 2 23 2" xfId="28966"/>
    <cellStyle name="Note 2 2 25 2 24" xfId="28967"/>
    <cellStyle name="Note 2 2 25 2 24 2" xfId="28968"/>
    <cellStyle name="Note 2 2 25 2 25" xfId="28969"/>
    <cellStyle name="Note 2 2 25 2 25 2" xfId="28970"/>
    <cellStyle name="Note 2 2 25 2 26" xfId="28971"/>
    <cellStyle name="Note 2 2 25 2 26 2" xfId="28972"/>
    <cellStyle name="Note 2 2 25 2 27" xfId="28973"/>
    <cellStyle name="Note 2 2 25 2 27 2" xfId="28974"/>
    <cellStyle name="Note 2 2 25 2 28" xfId="28975"/>
    <cellStyle name="Note 2 2 25 2 28 2" xfId="28976"/>
    <cellStyle name="Note 2 2 25 2 29" xfId="28977"/>
    <cellStyle name="Note 2 2 25 2 29 2" xfId="28978"/>
    <cellStyle name="Note 2 2 25 2 3" xfId="28979"/>
    <cellStyle name="Note 2 2 25 2 3 2" xfId="28980"/>
    <cellStyle name="Note 2 2 25 2 3 3" xfId="28981"/>
    <cellStyle name="Note 2 2 25 2 30" xfId="28982"/>
    <cellStyle name="Note 2 2 25 2 30 2" xfId="28983"/>
    <cellStyle name="Note 2 2 25 2 31" xfId="28984"/>
    <cellStyle name="Note 2 2 25 2 4" xfId="28985"/>
    <cellStyle name="Note 2 2 25 2 4 2" xfId="28986"/>
    <cellStyle name="Note 2 2 25 2 5" xfId="28987"/>
    <cellStyle name="Note 2 2 25 2 5 2" xfId="28988"/>
    <cellStyle name="Note 2 2 25 2 6" xfId="28989"/>
    <cellStyle name="Note 2 2 25 2 6 2" xfId="28990"/>
    <cellStyle name="Note 2 2 25 2 7" xfId="28991"/>
    <cellStyle name="Note 2 2 25 2 7 2" xfId="28992"/>
    <cellStyle name="Note 2 2 25 2 8" xfId="28993"/>
    <cellStyle name="Note 2 2 25 2 8 2" xfId="28994"/>
    <cellStyle name="Note 2 2 25 2 9" xfId="28995"/>
    <cellStyle name="Note 2 2 25 2 9 2" xfId="28996"/>
    <cellStyle name="Note 2 2 25 20" xfId="28997"/>
    <cellStyle name="Note 2 2 25 20 2" xfId="28998"/>
    <cellStyle name="Note 2 2 25 21" xfId="28999"/>
    <cellStyle name="Note 2 2 25 21 2" xfId="29000"/>
    <cellStyle name="Note 2 2 25 22" xfId="29001"/>
    <cellStyle name="Note 2 2 25 22 2" xfId="29002"/>
    <cellStyle name="Note 2 2 25 23" xfId="29003"/>
    <cellStyle name="Note 2 2 25 23 2" xfId="29004"/>
    <cellStyle name="Note 2 2 25 24" xfId="29005"/>
    <cellStyle name="Note 2 2 25 24 2" xfId="29006"/>
    <cellStyle name="Note 2 2 25 25" xfId="29007"/>
    <cellStyle name="Note 2 2 25 25 2" xfId="29008"/>
    <cellStyle name="Note 2 2 25 26" xfId="29009"/>
    <cellStyle name="Note 2 2 25 26 2" xfId="29010"/>
    <cellStyle name="Note 2 2 25 27" xfId="29011"/>
    <cellStyle name="Note 2 2 25 27 2" xfId="29012"/>
    <cellStyle name="Note 2 2 25 28" xfId="29013"/>
    <cellStyle name="Note 2 2 25 28 2" xfId="29014"/>
    <cellStyle name="Note 2 2 25 29" xfId="29015"/>
    <cellStyle name="Note 2 2 25 29 2" xfId="29016"/>
    <cellStyle name="Note 2 2 25 3" xfId="29017"/>
    <cellStyle name="Note 2 2 25 3 2" xfId="29018"/>
    <cellStyle name="Note 2 2 25 3 2 2" xfId="29019"/>
    <cellStyle name="Note 2 2 25 3 3" xfId="29020"/>
    <cellStyle name="Note 2 2 25 3 3 2" xfId="29021"/>
    <cellStyle name="Note 2 2 25 3 4" xfId="29022"/>
    <cellStyle name="Note 2 2 25 3 4 2" xfId="29023"/>
    <cellStyle name="Note 2 2 25 3 5" xfId="29024"/>
    <cellStyle name="Note 2 2 25 30" xfId="29025"/>
    <cellStyle name="Note 2 2 25 30 2" xfId="29026"/>
    <cellStyle name="Note 2 2 25 31" xfId="29027"/>
    <cellStyle name="Note 2 2 25 31 2" xfId="29028"/>
    <cellStyle name="Note 2 2 25 32" xfId="29029"/>
    <cellStyle name="Note 2 2 25 32 2" xfId="29030"/>
    <cellStyle name="Note 2 2 25 33" xfId="29031"/>
    <cellStyle name="Note 2 2 25 33 2" xfId="29032"/>
    <cellStyle name="Note 2 2 25 34" xfId="29033"/>
    <cellStyle name="Note 2 2 25 34 2" xfId="29034"/>
    <cellStyle name="Note 2 2 25 35" xfId="29035"/>
    <cellStyle name="Note 2 2 25 35 2" xfId="29036"/>
    <cellStyle name="Note 2 2 25 36" xfId="29037"/>
    <cellStyle name="Note 2 2 25 36 2" xfId="29038"/>
    <cellStyle name="Note 2 2 25 37" xfId="29039"/>
    <cellStyle name="Note 2 2 25 37 2" xfId="29040"/>
    <cellStyle name="Note 2 2 25 38" xfId="29041"/>
    <cellStyle name="Note 2 2 25 38 2" xfId="29042"/>
    <cellStyle name="Note 2 2 25 39" xfId="29043"/>
    <cellStyle name="Note 2 2 25 39 2" xfId="29044"/>
    <cellStyle name="Note 2 2 25 4" xfId="29045"/>
    <cellStyle name="Note 2 2 25 4 10" xfId="29046"/>
    <cellStyle name="Note 2 2 25 4 11" xfId="29047"/>
    <cellStyle name="Note 2 2 25 4 12" xfId="29048"/>
    <cellStyle name="Note 2 2 25 4 13" xfId="29049"/>
    <cellStyle name="Note 2 2 25 4 2" xfId="29050"/>
    <cellStyle name="Note 2 2 25 4 2 2" xfId="29051"/>
    <cellStyle name="Note 2 2 25 4 2 3" xfId="29052"/>
    <cellStyle name="Note 2 2 25 4 3" xfId="29053"/>
    <cellStyle name="Note 2 2 25 4 3 2" xfId="29054"/>
    <cellStyle name="Note 2 2 25 4 4" xfId="29055"/>
    <cellStyle name="Note 2 2 25 4 4 2" xfId="29056"/>
    <cellStyle name="Note 2 2 25 4 5" xfId="29057"/>
    <cellStyle name="Note 2 2 25 4 5 2" xfId="29058"/>
    <cellStyle name="Note 2 2 25 4 5 3" xfId="29059"/>
    <cellStyle name="Note 2 2 25 4 5 4" xfId="29060"/>
    <cellStyle name="Note 2 2 25 4 5 5" xfId="29061"/>
    <cellStyle name="Note 2 2 25 4 5 6" xfId="29062"/>
    <cellStyle name="Note 2 2 25 4 6" xfId="29063"/>
    <cellStyle name="Note 2 2 25 4 6 2" xfId="29064"/>
    <cellStyle name="Note 2 2 25 4 7" xfId="29065"/>
    <cellStyle name="Note 2 2 25 4 7 2" xfId="29066"/>
    <cellStyle name="Note 2 2 25 4 8" xfId="29067"/>
    <cellStyle name="Note 2 2 25 4 8 2" xfId="29068"/>
    <cellStyle name="Note 2 2 25 4 9" xfId="29069"/>
    <cellStyle name="Note 2 2 25 4 9 2" xfId="29070"/>
    <cellStyle name="Note 2 2 25 40" xfId="29071"/>
    <cellStyle name="Note 2 2 25 40 2" xfId="29072"/>
    <cellStyle name="Note 2 2 25 41" xfId="29073"/>
    <cellStyle name="Note 2 2 25 41 2" xfId="29074"/>
    <cellStyle name="Note 2 2 25 42" xfId="29075"/>
    <cellStyle name="Note 2 2 25 42 2" xfId="29076"/>
    <cellStyle name="Note 2 2 25 43" xfId="29077"/>
    <cellStyle name="Note 2 2 25 43 2" xfId="29078"/>
    <cellStyle name="Note 2 2 25 44" xfId="29079"/>
    <cellStyle name="Note 2 2 25 44 2" xfId="29080"/>
    <cellStyle name="Note 2 2 25 45" xfId="29081"/>
    <cellStyle name="Note 2 2 25 45 2" xfId="29082"/>
    <cellStyle name="Note 2 2 25 46" xfId="29083"/>
    <cellStyle name="Note 2 2 25 46 2" xfId="29084"/>
    <cellStyle name="Note 2 2 25 47" xfId="29085"/>
    <cellStyle name="Note 2 2 25 47 2" xfId="29086"/>
    <cellStyle name="Note 2 2 25 48" xfId="29087"/>
    <cellStyle name="Note 2 2 25 48 2" xfId="29088"/>
    <cellStyle name="Note 2 2 25 49" xfId="29089"/>
    <cellStyle name="Note 2 2 25 49 2" xfId="29090"/>
    <cellStyle name="Note 2 2 25 5" xfId="29091"/>
    <cellStyle name="Note 2 2 25 5 2" xfId="29092"/>
    <cellStyle name="Note 2 2 25 5 2 2" xfId="29093"/>
    <cellStyle name="Note 2 2 25 5 3" xfId="29094"/>
    <cellStyle name="Note 2 2 25 5 3 2" xfId="29095"/>
    <cellStyle name="Note 2 2 25 5 4" xfId="29096"/>
    <cellStyle name="Note 2 2 25 5 4 2" xfId="29097"/>
    <cellStyle name="Note 2 2 25 5 5" xfId="29098"/>
    <cellStyle name="Note 2 2 25 50" xfId="29099"/>
    <cellStyle name="Note 2 2 25 50 2" xfId="29100"/>
    <cellStyle name="Note 2 2 25 51" xfId="29101"/>
    <cellStyle name="Note 2 2 25 51 2" xfId="29102"/>
    <cellStyle name="Note 2 2 25 52" xfId="29103"/>
    <cellStyle name="Note 2 2 25 52 2" xfId="29104"/>
    <cellStyle name="Note 2 2 25 53" xfId="29105"/>
    <cellStyle name="Note 2 2 25 53 2" xfId="29106"/>
    <cellStyle name="Note 2 2 25 54" xfId="29107"/>
    <cellStyle name="Note 2 2 25 54 2" xfId="29108"/>
    <cellStyle name="Note 2 2 25 55" xfId="29109"/>
    <cellStyle name="Note 2 2 25 55 2" xfId="29110"/>
    <cellStyle name="Note 2 2 25 56" xfId="29111"/>
    <cellStyle name="Note 2 2 25 56 2" xfId="29112"/>
    <cellStyle name="Note 2 2 25 57" xfId="29113"/>
    <cellStyle name="Note 2 2 25 57 2" xfId="29114"/>
    <cellStyle name="Note 2 2 25 58" xfId="29115"/>
    <cellStyle name="Note 2 2 25 58 2" xfId="29116"/>
    <cellStyle name="Note 2 2 25 59" xfId="29117"/>
    <cellStyle name="Note 2 2 25 59 2" xfId="29118"/>
    <cellStyle name="Note 2 2 25 6" xfId="29119"/>
    <cellStyle name="Note 2 2 25 6 2" xfId="29120"/>
    <cellStyle name="Note 2 2 25 6 2 2" xfId="29121"/>
    <cellStyle name="Note 2 2 25 6 3" xfId="29122"/>
    <cellStyle name="Note 2 2 25 6 3 2" xfId="29123"/>
    <cellStyle name="Note 2 2 25 6 4" xfId="29124"/>
    <cellStyle name="Note 2 2 25 6 4 2" xfId="29125"/>
    <cellStyle name="Note 2 2 25 6 5" xfId="29126"/>
    <cellStyle name="Note 2 2 25 60" xfId="29127"/>
    <cellStyle name="Note 2 2 25 60 2" xfId="29128"/>
    <cellStyle name="Note 2 2 25 61" xfId="29129"/>
    <cellStyle name="Note 2 2 25 61 2" xfId="29130"/>
    <cellStyle name="Note 2 2 25 61 3" xfId="29131"/>
    <cellStyle name="Note 2 2 25 61 4" xfId="29132"/>
    <cellStyle name="Note 2 2 25 61 5" xfId="29133"/>
    <cellStyle name="Note 2 2 25 61 6" xfId="29134"/>
    <cellStyle name="Note 2 2 25 62" xfId="29135"/>
    <cellStyle name="Note 2 2 25 62 2" xfId="29136"/>
    <cellStyle name="Note 2 2 25 63" xfId="29137"/>
    <cellStyle name="Note 2 2 25 63 2" xfId="29138"/>
    <cellStyle name="Note 2 2 25 64" xfId="29139"/>
    <cellStyle name="Note 2 2 25 64 2" xfId="29140"/>
    <cellStyle name="Note 2 2 25 65" xfId="29141"/>
    <cellStyle name="Note 2 2 25 65 2" xfId="29142"/>
    <cellStyle name="Note 2 2 25 66" xfId="29143"/>
    <cellStyle name="Note 2 2 25 67" xfId="29144"/>
    <cellStyle name="Note 2 2 25 68" xfId="29145"/>
    <cellStyle name="Note 2 2 25 69" xfId="29146"/>
    <cellStyle name="Note 2 2 25 7" xfId="29147"/>
    <cellStyle name="Note 2 2 25 7 2" xfId="29148"/>
    <cellStyle name="Note 2 2 25 7 2 2" xfId="29149"/>
    <cellStyle name="Note 2 2 25 7 3" xfId="29150"/>
    <cellStyle name="Note 2 2 25 7 3 2" xfId="29151"/>
    <cellStyle name="Note 2 2 25 7 4" xfId="29152"/>
    <cellStyle name="Note 2 2 25 7 4 2" xfId="29153"/>
    <cellStyle name="Note 2 2 25 7 5" xfId="29154"/>
    <cellStyle name="Note 2 2 25 8" xfId="29155"/>
    <cellStyle name="Note 2 2 25 8 2" xfId="29156"/>
    <cellStyle name="Note 2 2 25 8 2 2" xfId="29157"/>
    <cellStyle name="Note 2 2 25 8 3" xfId="29158"/>
    <cellStyle name="Note 2 2 25 8 3 2" xfId="29159"/>
    <cellStyle name="Note 2 2 25 8 4" xfId="29160"/>
    <cellStyle name="Note 2 2 25 8 4 2" xfId="29161"/>
    <cellStyle name="Note 2 2 25 8 5" xfId="29162"/>
    <cellStyle name="Note 2 2 25 9" xfId="29163"/>
    <cellStyle name="Note 2 2 25 9 2" xfId="29164"/>
    <cellStyle name="Note 2 2 25 9 2 2" xfId="29165"/>
    <cellStyle name="Note 2 2 25 9 3" xfId="29166"/>
    <cellStyle name="Note 2 2 25 9 3 2" xfId="29167"/>
    <cellStyle name="Note 2 2 25 9 4" xfId="29168"/>
    <cellStyle name="Note 2 2 25 9 4 2" xfId="29169"/>
    <cellStyle name="Note 2 2 25 9 5" xfId="29170"/>
    <cellStyle name="Note 2 2 26" xfId="29171"/>
    <cellStyle name="Note 2 2 26 10" xfId="29172"/>
    <cellStyle name="Note 2 2 26 10 2" xfId="29173"/>
    <cellStyle name="Note 2 2 26 10 2 2" xfId="29174"/>
    <cellStyle name="Note 2 2 26 10 3" xfId="29175"/>
    <cellStyle name="Note 2 2 26 10 3 2" xfId="29176"/>
    <cellStyle name="Note 2 2 26 10 4" xfId="29177"/>
    <cellStyle name="Note 2 2 26 10 4 2" xfId="29178"/>
    <cellStyle name="Note 2 2 26 10 5" xfId="29179"/>
    <cellStyle name="Note 2 2 26 11" xfId="29180"/>
    <cellStyle name="Note 2 2 26 11 2" xfId="29181"/>
    <cellStyle name="Note 2 2 26 11 2 2" xfId="29182"/>
    <cellStyle name="Note 2 2 26 11 3" xfId="29183"/>
    <cellStyle name="Note 2 2 26 11 3 2" xfId="29184"/>
    <cellStyle name="Note 2 2 26 11 4" xfId="29185"/>
    <cellStyle name="Note 2 2 26 11 4 2" xfId="29186"/>
    <cellStyle name="Note 2 2 26 11 5" xfId="29187"/>
    <cellStyle name="Note 2 2 26 12" xfId="29188"/>
    <cellStyle name="Note 2 2 26 12 2" xfId="29189"/>
    <cellStyle name="Note 2 2 26 12 2 2" xfId="29190"/>
    <cellStyle name="Note 2 2 26 12 3" xfId="29191"/>
    <cellStyle name="Note 2 2 26 12 3 2" xfId="29192"/>
    <cellStyle name="Note 2 2 26 12 4" xfId="29193"/>
    <cellStyle name="Note 2 2 26 12 4 2" xfId="29194"/>
    <cellStyle name="Note 2 2 26 12 5" xfId="29195"/>
    <cellStyle name="Note 2 2 26 13" xfId="29196"/>
    <cellStyle name="Note 2 2 26 13 2" xfId="29197"/>
    <cellStyle name="Note 2 2 26 13 2 2" xfId="29198"/>
    <cellStyle name="Note 2 2 26 13 3" xfId="29199"/>
    <cellStyle name="Note 2 2 26 13 3 2" xfId="29200"/>
    <cellStyle name="Note 2 2 26 13 4" xfId="29201"/>
    <cellStyle name="Note 2 2 26 13 4 2" xfId="29202"/>
    <cellStyle name="Note 2 2 26 13 5" xfId="29203"/>
    <cellStyle name="Note 2 2 26 14" xfId="29204"/>
    <cellStyle name="Note 2 2 26 14 2" xfId="29205"/>
    <cellStyle name="Note 2 2 26 14 2 2" xfId="29206"/>
    <cellStyle name="Note 2 2 26 14 3" xfId="29207"/>
    <cellStyle name="Note 2 2 26 14 3 2" xfId="29208"/>
    <cellStyle name="Note 2 2 26 14 4" xfId="29209"/>
    <cellStyle name="Note 2 2 26 14 4 2" xfId="29210"/>
    <cellStyle name="Note 2 2 26 14 5" xfId="29211"/>
    <cellStyle name="Note 2 2 26 15" xfId="29212"/>
    <cellStyle name="Note 2 2 26 15 2" xfId="29213"/>
    <cellStyle name="Note 2 2 26 16" xfId="29214"/>
    <cellStyle name="Note 2 2 26 16 2" xfId="29215"/>
    <cellStyle name="Note 2 2 26 17" xfId="29216"/>
    <cellStyle name="Note 2 2 26 17 2" xfId="29217"/>
    <cellStyle name="Note 2 2 26 18" xfId="29218"/>
    <cellStyle name="Note 2 2 26 18 2" xfId="29219"/>
    <cellStyle name="Note 2 2 26 19" xfId="29220"/>
    <cellStyle name="Note 2 2 26 19 2" xfId="29221"/>
    <cellStyle name="Note 2 2 26 2" xfId="29222"/>
    <cellStyle name="Note 2 2 26 2 10" xfId="29223"/>
    <cellStyle name="Note 2 2 26 2 10 2" xfId="29224"/>
    <cellStyle name="Note 2 2 26 2 11" xfId="29225"/>
    <cellStyle name="Note 2 2 26 2 11 2" xfId="29226"/>
    <cellStyle name="Note 2 2 26 2 12" xfId="29227"/>
    <cellStyle name="Note 2 2 26 2 12 2" xfId="29228"/>
    <cellStyle name="Note 2 2 26 2 13" xfId="29229"/>
    <cellStyle name="Note 2 2 26 2 13 2" xfId="29230"/>
    <cellStyle name="Note 2 2 26 2 14" xfId="29231"/>
    <cellStyle name="Note 2 2 26 2 14 2" xfId="29232"/>
    <cellStyle name="Note 2 2 26 2 15" xfId="29233"/>
    <cellStyle name="Note 2 2 26 2 15 2" xfId="29234"/>
    <cellStyle name="Note 2 2 26 2 16" xfId="29235"/>
    <cellStyle name="Note 2 2 26 2 16 2" xfId="29236"/>
    <cellStyle name="Note 2 2 26 2 17" xfId="29237"/>
    <cellStyle name="Note 2 2 26 2 17 2" xfId="29238"/>
    <cellStyle name="Note 2 2 26 2 18" xfId="29239"/>
    <cellStyle name="Note 2 2 26 2 18 2" xfId="29240"/>
    <cellStyle name="Note 2 2 26 2 19" xfId="29241"/>
    <cellStyle name="Note 2 2 26 2 19 2" xfId="29242"/>
    <cellStyle name="Note 2 2 26 2 2" xfId="29243"/>
    <cellStyle name="Note 2 2 26 2 2 2" xfId="29244"/>
    <cellStyle name="Note 2 2 26 2 2 3" xfId="29245"/>
    <cellStyle name="Note 2 2 26 2 20" xfId="29246"/>
    <cellStyle name="Note 2 2 26 2 20 2" xfId="29247"/>
    <cellStyle name="Note 2 2 26 2 21" xfId="29248"/>
    <cellStyle name="Note 2 2 26 2 21 2" xfId="29249"/>
    <cellStyle name="Note 2 2 26 2 22" xfId="29250"/>
    <cellStyle name="Note 2 2 26 2 22 2" xfId="29251"/>
    <cellStyle name="Note 2 2 26 2 23" xfId="29252"/>
    <cellStyle name="Note 2 2 26 2 23 2" xfId="29253"/>
    <cellStyle name="Note 2 2 26 2 24" xfId="29254"/>
    <cellStyle name="Note 2 2 26 2 24 2" xfId="29255"/>
    <cellStyle name="Note 2 2 26 2 25" xfId="29256"/>
    <cellStyle name="Note 2 2 26 2 25 2" xfId="29257"/>
    <cellStyle name="Note 2 2 26 2 26" xfId="29258"/>
    <cellStyle name="Note 2 2 26 2 26 2" xfId="29259"/>
    <cellStyle name="Note 2 2 26 2 27" xfId="29260"/>
    <cellStyle name="Note 2 2 26 2 27 2" xfId="29261"/>
    <cellStyle name="Note 2 2 26 2 28" xfId="29262"/>
    <cellStyle name="Note 2 2 26 2 28 2" xfId="29263"/>
    <cellStyle name="Note 2 2 26 2 29" xfId="29264"/>
    <cellStyle name="Note 2 2 26 2 29 2" xfId="29265"/>
    <cellStyle name="Note 2 2 26 2 3" xfId="29266"/>
    <cellStyle name="Note 2 2 26 2 3 2" xfId="29267"/>
    <cellStyle name="Note 2 2 26 2 3 3" xfId="29268"/>
    <cellStyle name="Note 2 2 26 2 30" xfId="29269"/>
    <cellStyle name="Note 2 2 26 2 30 2" xfId="29270"/>
    <cellStyle name="Note 2 2 26 2 31" xfId="29271"/>
    <cellStyle name="Note 2 2 26 2 4" xfId="29272"/>
    <cellStyle name="Note 2 2 26 2 4 2" xfId="29273"/>
    <cellStyle name="Note 2 2 26 2 5" xfId="29274"/>
    <cellStyle name="Note 2 2 26 2 5 2" xfId="29275"/>
    <cellStyle name="Note 2 2 26 2 6" xfId="29276"/>
    <cellStyle name="Note 2 2 26 2 6 2" xfId="29277"/>
    <cellStyle name="Note 2 2 26 2 7" xfId="29278"/>
    <cellStyle name="Note 2 2 26 2 7 2" xfId="29279"/>
    <cellStyle name="Note 2 2 26 2 8" xfId="29280"/>
    <cellStyle name="Note 2 2 26 2 8 2" xfId="29281"/>
    <cellStyle name="Note 2 2 26 2 9" xfId="29282"/>
    <cellStyle name="Note 2 2 26 2 9 2" xfId="29283"/>
    <cellStyle name="Note 2 2 26 20" xfId="29284"/>
    <cellStyle name="Note 2 2 26 20 2" xfId="29285"/>
    <cellStyle name="Note 2 2 26 21" xfId="29286"/>
    <cellStyle name="Note 2 2 26 21 2" xfId="29287"/>
    <cellStyle name="Note 2 2 26 22" xfId="29288"/>
    <cellStyle name="Note 2 2 26 22 2" xfId="29289"/>
    <cellStyle name="Note 2 2 26 23" xfId="29290"/>
    <cellStyle name="Note 2 2 26 23 2" xfId="29291"/>
    <cellStyle name="Note 2 2 26 24" xfId="29292"/>
    <cellStyle name="Note 2 2 26 24 2" xfId="29293"/>
    <cellStyle name="Note 2 2 26 25" xfId="29294"/>
    <cellStyle name="Note 2 2 26 25 2" xfId="29295"/>
    <cellStyle name="Note 2 2 26 26" xfId="29296"/>
    <cellStyle name="Note 2 2 26 26 2" xfId="29297"/>
    <cellStyle name="Note 2 2 26 27" xfId="29298"/>
    <cellStyle name="Note 2 2 26 27 2" xfId="29299"/>
    <cellStyle name="Note 2 2 26 28" xfId="29300"/>
    <cellStyle name="Note 2 2 26 28 2" xfId="29301"/>
    <cellStyle name="Note 2 2 26 29" xfId="29302"/>
    <cellStyle name="Note 2 2 26 29 2" xfId="29303"/>
    <cellStyle name="Note 2 2 26 3" xfId="29304"/>
    <cellStyle name="Note 2 2 26 3 2" xfId="29305"/>
    <cellStyle name="Note 2 2 26 3 2 2" xfId="29306"/>
    <cellStyle name="Note 2 2 26 3 3" xfId="29307"/>
    <cellStyle name="Note 2 2 26 3 3 2" xfId="29308"/>
    <cellStyle name="Note 2 2 26 3 4" xfId="29309"/>
    <cellStyle name="Note 2 2 26 3 4 2" xfId="29310"/>
    <cellStyle name="Note 2 2 26 3 5" xfId="29311"/>
    <cellStyle name="Note 2 2 26 30" xfId="29312"/>
    <cellStyle name="Note 2 2 26 30 2" xfId="29313"/>
    <cellStyle name="Note 2 2 26 31" xfId="29314"/>
    <cellStyle name="Note 2 2 26 31 2" xfId="29315"/>
    <cellStyle name="Note 2 2 26 32" xfId="29316"/>
    <cellStyle name="Note 2 2 26 32 2" xfId="29317"/>
    <cellStyle name="Note 2 2 26 33" xfId="29318"/>
    <cellStyle name="Note 2 2 26 33 2" xfId="29319"/>
    <cellStyle name="Note 2 2 26 34" xfId="29320"/>
    <cellStyle name="Note 2 2 26 34 2" xfId="29321"/>
    <cellStyle name="Note 2 2 26 35" xfId="29322"/>
    <cellStyle name="Note 2 2 26 35 2" xfId="29323"/>
    <cellStyle name="Note 2 2 26 36" xfId="29324"/>
    <cellStyle name="Note 2 2 26 36 2" xfId="29325"/>
    <cellStyle name="Note 2 2 26 37" xfId="29326"/>
    <cellStyle name="Note 2 2 26 37 2" xfId="29327"/>
    <cellStyle name="Note 2 2 26 38" xfId="29328"/>
    <cellStyle name="Note 2 2 26 38 2" xfId="29329"/>
    <cellStyle name="Note 2 2 26 39" xfId="29330"/>
    <cellStyle name="Note 2 2 26 39 2" xfId="29331"/>
    <cellStyle name="Note 2 2 26 4" xfId="29332"/>
    <cellStyle name="Note 2 2 26 4 2" xfId="29333"/>
    <cellStyle name="Note 2 2 26 4 2 2" xfId="29334"/>
    <cellStyle name="Note 2 2 26 4 3" xfId="29335"/>
    <cellStyle name="Note 2 2 26 4 3 2" xfId="29336"/>
    <cellStyle name="Note 2 2 26 4 4" xfId="29337"/>
    <cellStyle name="Note 2 2 26 4 4 2" xfId="29338"/>
    <cellStyle name="Note 2 2 26 4 5" xfId="29339"/>
    <cellStyle name="Note 2 2 26 40" xfId="29340"/>
    <cellStyle name="Note 2 2 26 40 2" xfId="29341"/>
    <cellStyle name="Note 2 2 26 41" xfId="29342"/>
    <cellStyle name="Note 2 2 26 41 2" xfId="29343"/>
    <cellStyle name="Note 2 2 26 42" xfId="29344"/>
    <cellStyle name="Note 2 2 26 42 2" xfId="29345"/>
    <cellStyle name="Note 2 2 26 43" xfId="29346"/>
    <cellStyle name="Note 2 2 26 43 2" xfId="29347"/>
    <cellStyle name="Note 2 2 26 44" xfId="29348"/>
    <cellStyle name="Note 2 2 26 44 2" xfId="29349"/>
    <cellStyle name="Note 2 2 26 45" xfId="29350"/>
    <cellStyle name="Note 2 2 26 45 2" xfId="29351"/>
    <cellStyle name="Note 2 2 26 46" xfId="29352"/>
    <cellStyle name="Note 2 2 26 46 2" xfId="29353"/>
    <cellStyle name="Note 2 2 26 47" xfId="29354"/>
    <cellStyle name="Note 2 2 26 47 2" xfId="29355"/>
    <cellStyle name="Note 2 2 26 48" xfId="29356"/>
    <cellStyle name="Note 2 2 26 48 2" xfId="29357"/>
    <cellStyle name="Note 2 2 26 49" xfId="29358"/>
    <cellStyle name="Note 2 2 26 49 2" xfId="29359"/>
    <cellStyle name="Note 2 2 26 5" xfId="29360"/>
    <cellStyle name="Note 2 2 26 5 2" xfId="29361"/>
    <cellStyle name="Note 2 2 26 5 2 2" xfId="29362"/>
    <cellStyle name="Note 2 2 26 5 3" xfId="29363"/>
    <cellStyle name="Note 2 2 26 5 3 2" xfId="29364"/>
    <cellStyle name="Note 2 2 26 5 4" xfId="29365"/>
    <cellStyle name="Note 2 2 26 5 4 2" xfId="29366"/>
    <cellStyle name="Note 2 2 26 5 5" xfId="29367"/>
    <cellStyle name="Note 2 2 26 50" xfId="29368"/>
    <cellStyle name="Note 2 2 26 50 2" xfId="29369"/>
    <cellStyle name="Note 2 2 26 51" xfId="29370"/>
    <cellStyle name="Note 2 2 26 51 2" xfId="29371"/>
    <cellStyle name="Note 2 2 26 52" xfId="29372"/>
    <cellStyle name="Note 2 2 26 52 2" xfId="29373"/>
    <cellStyle name="Note 2 2 26 53" xfId="29374"/>
    <cellStyle name="Note 2 2 26 53 2" xfId="29375"/>
    <cellStyle name="Note 2 2 26 54" xfId="29376"/>
    <cellStyle name="Note 2 2 26 54 2" xfId="29377"/>
    <cellStyle name="Note 2 2 26 55" xfId="29378"/>
    <cellStyle name="Note 2 2 26 55 2" xfId="29379"/>
    <cellStyle name="Note 2 2 26 56" xfId="29380"/>
    <cellStyle name="Note 2 2 26 56 2" xfId="29381"/>
    <cellStyle name="Note 2 2 26 57" xfId="29382"/>
    <cellStyle name="Note 2 2 26 57 2" xfId="29383"/>
    <cellStyle name="Note 2 2 26 58" xfId="29384"/>
    <cellStyle name="Note 2 2 26 58 2" xfId="29385"/>
    <cellStyle name="Note 2 2 26 59" xfId="29386"/>
    <cellStyle name="Note 2 2 26 59 2" xfId="29387"/>
    <cellStyle name="Note 2 2 26 6" xfId="29388"/>
    <cellStyle name="Note 2 2 26 6 2" xfId="29389"/>
    <cellStyle name="Note 2 2 26 6 2 2" xfId="29390"/>
    <cellStyle name="Note 2 2 26 6 3" xfId="29391"/>
    <cellStyle name="Note 2 2 26 6 3 2" xfId="29392"/>
    <cellStyle name="Note 2 2 26 6 4" xfId="29393"/>
    <cellStyle name="Note 2 2 26 6 4 2" xfId="29394"/>
    <cellStyle name="Note 2 2 26 6 5" xfId="29395"/>
    <cellStyle name="Note 2 2 26 60" xfId="29396"/>
    <cellStyle name="Note 2 2 26 60 2" xfId="29397"/>
    <cellStyle name="Note 2 2 26 61" xfId="29398"/>
    <cellStyle name="Note 2 2 26 61 2" xfId="29399"/>
    <cellStyle name="Note 2 2 26 62" xfId="29400"/>
    <cellStyle name="Note 2 2 26 7" xfId="29401"/>
    <cellStyle name="Note 2 2 26 7 2" xfId="29402"/>
    <cellStyle name="Note 2 2 26 7 2 2" xfId="29403"/>
    <cellStyle name="Note 2 2 26 7 3" xfId="29404"/>
    <cellStyle name="Note 2 2 26 7 3 2" xfId="29405"/>
    <cellStyle name="Note 2 2 26 7 4" xfId="29406"/>
    <cellStyle name="Note 2 2 26 7 4 2" xfId="29407"/>
    <cellStyle name="Note 2 2 26 7 5" xfId="29408"/>
    <cellStyle name="Note 2 2 26 8" xfId="29409"/>
    <cellStyle name="Note 2 2 26 8 2" xfId="29410"/>
    <cellStyle name="Note 2 2 26 8 2 2" xfId="29411"/>
    <cellStyle name="Note 2 2 26 8 3" xfId="29412"/>
    <cellStyle name="Note 2 2 26 8 3 2" xfId="29413"/>
    <cellStyle name="Note 2 2 26 8 4" xfId="29414"/>
    <cellStyle name="Note 2 2 26 8 4 2" xfId="29415"/>
    <cellStyle name="Note 2 2 26 8 5" xfId="29416"/>
    <cellStyle name="Note 2 2 26 9" xfId="29417"/>
    <cellStyle name="Note 2 2 26 9 2" xfId="29418"/>
    <cellStyle name="Note 2 2 26 9 2 2" xfId="29419"/>
    <cellStyle name="Note 2 2 26 9 3" xfId="29420"/>
    <cellStyle name="Note 2 2 26 9 3 2" xfId="29421"/>
    <cellStyle name="Note 2 2 26 9 4" xfId="29422"/>
    <cellStyle name="Note 2 2 26 9 4 2" xfId="29423"/>
    <cellStyle name="Note 2 2 26 9 5" xfId="29424"/>
    <cellStyle name="Note 2 2 27" xfId="29425"/>
    <cellStyle name="Note 2 2 27 10" xfId="29426"/>
    <cellStyle name="Note 2 2 27 10 2" xfId="29427"/>
    <cellStyle name="Note 2 2 27 10 2 2" xfId="29428"/>
    <cellStyle name="Note 2 2 27 10 3" xfId="29429"/>
    <cellStyle name="Note 2 2 27 10 3 2" xfId="29430"/>
    <cellStyle name="Note 2 2 27 10 4" xfId="29431"/>
    <cellStyle name="Note 2 2 27 10 4 2" xfId="29432"/>
    <cellStyle name="Note 2 2 27 10 5" xfId="29433"/>
    <cellStyle name="Note 2 2 27 11" xfId="29434"/>
    <cellStyle name="Note 2 2 27 11 2" xfId="29435"/>
    <cellStyle name="Note 2 2 27 11 2 2" xfId="29436"/>
    <cellStyle name="Note 2 2 27 11 3" xfId="29437"/>
    <cellStyle name="Note 2 2 27 11 3 2" xfId="29438"/>
    <cellStyle name="Note 2 2 27 11 4" xfId="29439"/>
    <cellStyle name="Note 2 2 27 11 4 2" xfId="29440"/>
    <cellStyle name="Note 2 2 27 11 5" xfId="29441"/>
    <cellStyle name="Note 2 2 27 12" xfId="29442"/>
    <cellStyle name="Note 2 2 27 12 2" xfId="29443"/>
    <cellStyle name="Note 2 2 27 12 2 2" xfId="29444"/>
    <cellStyle name="Note 2 2 27 12 3" xfId="29445"/>
    <cellStyle name="Note 2 2 27 12 3 2" xfId="29446"/>
    <cellStyle name="Note 2 2 27 12 4" xfId="29447"/>
    <cellStyle name="Note 2 2 27 12 4 2" xfId="29448"/>
    <cellStyle name="Note 2 2 27 12 5" xfId="29449"/>
    <cellStyle name="Note 2 2 27 13" xfId="29450"/>
    <cellStyle name="Note 2 2 27 13 2" xfId="29451"/>
    <cellStyle name="Note 2 2 27 13 2 2" xfId="29452"/>
    <cellStyle name="Note 2 2 27 13 3" xfId="29453"/>
    <cellStyle name="Note 2 2 27 13 3 2" xfId="29454"/>
    <cellStyle name="Note 2 2 27 13 4" xfId="29455"/>
    <cellStyle name="Note 2 2 27 13 4 2" xfId="29456"/>
    <cellStyle name="Note 2 2 27 13 5" xfId="29457"/>
    <cellStyle name="Note 2 2 27 14" xfId="29458"/>
    <cellStyle name="Note 2 2 27 14 2" xfId="29459"/>
    <cellStyle name="Note 2 2 27 14 2 2" xfId="29460"/>
    <cellStyle name="Note 2 2 27 14 3" xfId="29461"/>
    <cellStyle name="Note 2 2 27 14 3 2" xfId="29462"/>
    <cellStyle name="Note 2 2 27 14 4" xfId="29463"/>
    <cellStyle name="Note 2 2 27 14 4 2" xfId="29464"/>
    <cellStyle name="Note 2 2 27 14 5" xfId="29465"/>
    <cellStyle name="Note 2 2 27 15" xfId="29466"/>
    <cellStyle name="Note 2 2 27 15 2" xfId="29467"/>
    <cellStyle name="Note 2 2 27 16" xfId="29468"/>
    <cellStyle name="Note 2 2 27 16 2" xfId="29469"/>
    <cellStyle name="Note 2 2 27 17" xfId="29470"/>
    <cellStyle name="Note 2 2 27 17 2" xfId="29471"/>
    <cellStyle name="Note 2 2 27 18" xfId="29472"/>
    <cellStyle name="Note 2 2 27 18 2" xfId="29473"/>
    <cellStyle name="Note 2 2 27 19" xfId="29474"/>
    <cellStyle name="Note 2 2 27 19 2" xfId="29475"/>
    <cellStyle name="Note 2 2 27 2" xfId="29476"/>
    <cellStyle name="Note 2 2 27 2 10" xfId="29477"/>
    <cellStyle name="Note 2 2 27 2 10 2" xfId="29478"/>
    <cellStyle name="Note 2 2 27 2 11" xfId="29479"/>
    <cellStyle name="Note 2 2 27 2 11 2" xfId="29480"/>
    <cellStyle name="Note 2 2 27 2 12" xfId="29481"/>
    <cellStyle name="Note 2 2 27 2 12 2" xfId="29482"/>
    <cellStyle name="Note 2 2 27 2 13" xfId="29483"/>
    <cellStyle name="Note 2 2 27 2 13 2" xfId="29484"/>
    <cellStyle name="Note 2 2 27 2 14" xfId="29485"/>
    <cellStyle name="Note 2 2 27 2 14 2" xfId="29486"/>
    <cellStyle name="Note 2 2 27 2 15" xfId="29487"/>
    <cellStyle name="Note 2 2 27 2 15 2" xfId="29488"/>
    <cellStyle name="Note 2 2 27 2 16" xfId="29489"/>
    <cellStyle name="Note 2 2 27 2 16 2" xfId="29490"/>
    <cellStyle name="Note 2 2 27 2 17" xfId="29491"/>
    <cellStyle name="Note 2 2 27 2 17 2" xfId="29492"/>
    <cellStyle name="Note 2 2 27 2 18" xfId="29493"/>
    <cellStyle name="Note 2 2 27 2 18 2" xfId="29494"/>
    <cellStyle name="Note 2 2 27 2 19" xfId="29495"/>
    <cellStyle name="Note 2 2 27 2 19 2" xfId="29496"/>
    <cellStyle name="Note 2 2 27 2 2" xfId="29497"/>
    <cellStyle name="Note 2 2 27 2 2 2" xfId="29498"/>
    <cellStyle name="Note 2 2 27 2 2 3" xfId="29499"/>
    <cellStyle name="Note 2 2 27 2 20" xfId="29500"/>
    <cellStyle name="Note 2 2 27 2 20 2" xfId="29501"/>
    <cellStyle name="Note 2 2 27 2 21" xfId="29502"/>
    <cellStyle name="Note 2 2 27 2 21 2" xfId="29503"/>
    <cellStyle name="Note 2 2 27 2 22" xfId="29504"/>
    <cellStyle name="Note 2 2 27 2 22 2" xfId="29505"/>
    <cellStyle name="Note 2 2 27 2 23" xfId="29506"/>
    <cellStyle name="Note 2 2 27 2 23 2" xfId="29507"/>
    <cellStyle name="Note 2 2 27 2 24" xfId="29508"/>
    <cellStyle name="Note 2 2 27 2 24 2" xfId="29509"/>
    <cellStyle name="Note 2 2 27 2 25" xfId="29510"/>
    <cellStyle name="Note 2 2 27 2 25 2" xfId="29511"/>
    <cellStyle name="Note 2 2 27 2 26" xfId="29512"/>
    <cellStyle name="Note 2 2 27 2 26 2" xfId="29513"/>
    <cellStyle name="Note 2 2 27 2 27" xfId="29514"/>
    <cellStyle name="Note 2 2 27 2 27 2" xfId="29515"/>
    <cellStyle name="Note 2 2 27 2 28" xfId="29516"/>
    <cellStyle name="Note 2 2 27 2 28 2" xfId="29517"/>
    <cellStyle name="Note 2 2 27 2 29" xfId="29518"/>
    <cellStyle name="Note 2 2 27 2 29 2" xfId="29519"/>
    <cellStyle name="Note 2 2 27 2 3" xfId="29520"/>
    <cellStyle name="Note 2 2 27 2 3 2" xfId="29521"/>
    <cellStyle name="Note 2 2 27 2 3 3" xfId="29522"/>
    <cellStyle name="Note 2 2 27 2 30" xfId="29523"/>
    <cellStyle name="Note 2 2 27 2 30 2" xfId="29524"/>
    <cellStyle name="Note 2 2 27 2 31" xfId="29525"/>
    <cellStyle name="Note 2 2 27 2 4" xfId="29526"/>
    <cellStyle name="Note 2 2 27 2 4 2" xfId="29527"/>
    <cellStyle name="Note 2 2 27 2 5" xfId="29528"/>
    <cellStyle name="Note 2 2 27 2 5 2" xfId="29529"/>
    <cellStyle name="Note 2 2 27 2 6" xfId="29530"/>
    <cellStyle name="Note 2 2 27 2 6 2" xfId="29531"/>
    <cellStyle name="Note 2 2 27 2 7" xfId="29532"/>
    <cellStyle name="Note 2 2 27 2 7 2" xfId="29533"/>
    <cellStyle name="Note 2 2 27 2 8" xfId="29534"/>
    <cellStyle name="Note 2 2 27 2 8 2" xfId="29535"/>
    <cellStyle name="Note 2 2 27 2 9" xfId="29536"/>
    <cellStyle name="Note 2 2 27 2 9 2" xfId="29537"/>
    <cellStyle name="Note 2 2 27 20" xfId="29538"/>
    <cellStyle name="Note 2 2 27 20 2" xfId="29539"/>
    <cellStyle name="Note 2 2 27 21" xfId="29540"/>
    <cellStyle name="Note 2 2 27 21 2" xfId="29541"/>
    <cellStyle name="Note 2 2 27 22" xfId="29542"/>
    <cellStyle name="Note 2 2 27 22 2" xfId="29543"/>
    <cellStyle name="Note 2 2 27 23" xfId="29544"/>
    <cellStyle name="Note 2 2 27 23 2" xfId="29545"/>
    <cellStyle name="Note 2 2 27 24" xfId="29546"/>
    <cellStyle name="Note 2 2 27 24 2" xfId="29547"/>
    <cellStyle name="Note 2 2 27 25" xfId="29548"/>
    <cellStyle name="Note 2 2 27 25 2" xfId="29549"/>
    <cellStyle name="Note 2 2 27 26" xfId="29550"/>
    <cellStyle name="Note 2 2 27 26 2" xfId="29551"/>
    <cellStyle name="Note 2 2 27 27" xfId="29552"/>
    <cellStyle name="Note 2 2 27 27 2" xfId="29553"/>
    <cellStyle name="Note 2 2 27 28" xfId="29554"/>
    <cellStyle name="Note 2 2 27 28 2" xfId="29555"/>
    <cellStyle name="Note 2 2 27 29" xfId="29556"/>
    <cellStyle name="Note 2 2 27 29 2" xfId="29557"/>
    <cellStyle name="Note 2 2 27 3" xfId="29558"/>
    <cellStyle name="Note 2 2 27 3 2" xfId="29559"/>
    <cellStyle name="Note 2 2 27 3 2 2" xfId="29560"/>
    <cellStyle name="Note 2 2 27 3 3" xfId="29561"/>
    <cellStyle name="Note 2 2 27 3 3 2" xfId="29562"/>
    <cellStyle name="Note 2 2 27 3 4" xfId="29563"/>
    <cellStyle name="Note 2 2 27 3 4 2" xfId="29564"/>
    <cellStyle name="Note 2 2 27 3 5" xfId="29565"/>
    <cellStyle name="Note 2 2 27 30" xfId="29566"/>
    <cellStyle name="Note 2 2 27 30 2" xfId="29567"/>
    <cellStyle name="Note 2 2 27 31" xfId="29568"/>
    <cellStyle name="Note 2 2 27 31 2" xfId="29569"/>
    <cellStyle name="Note 2 2 27 32" xfId="29570"/>
    <cellStyle name="Note 2 2 27 32 2" xfId="29571"/>
    <cellStyle name="Note 2 2 27 33" xfId="29572"/>
    <cellStyle name="Note 2 2 27 33 2" xfId="29573"/>
    <cellStyle name="Note 2 2 27 34" xfId="29574"/>
    <cellStyle name="Note 2 2 27 34 2" xfId="29575"/>
    <cellStyle name="Note 2 2 27 35" xfId="29576"/>
    <cellStyle name="Note 2 2 27 35 2" xfId="29577"/>
    <cellStyle name="Note 2 2 27 36" xfId="29578"/>
    <cellStyle name="Note 2 2 27 36 2" xfId="29579"/>
    <cellStyle name="Note 2 2 27 37" xfId="29580"/>
    <cellStyle name="Note 2 2 27 37 2" xfId="29581"/>
    <cellStyle name="Note 2 2 27 38" xfId="29582"/>
    <cellStyle name="Note 2 2 27 38 2" xfId="29583"/>
    <cellStyle name="Note 2 2 27 39" xfId="29584"/>
    <cellStyle name="Note 2 2 27 39 2" xfId="29585"/>
    <cellStyle name="Note 2 2 27 4" xfId="29586"/>
    <cellStyle name="Note 2 2 27 4 2" xfId="29587"/>
    <cellStyle name="Note 2 2 27 4 2 2" xfId="29588"/>
    <cellStyle name="Note 2 2 27 4 3" xfId="29589"/>
    <cellStyle name="Note 2 2 27 4 3 2" xfId="29590"/>
    <cellStyle name="Note 2 2 27 4 4" xfId="29591"/>
    <cellStyle name="Note 2 2 27 4 4 2" xfId="29592"/>
    <cellStyle name="Note 2 2 27 4 5" xfId="29593"/>
    <cellStyle name="Note 2 2 27 40" xfId="29594"/>
    <cellStyle name="Note 2 2 27 40 2" xfId="29595"/>
    <cellStyle name="Note 2 2 27 41" xfId="29596"/>
    <cellStyle name="Note 2 2 27 41 2" xfId="29597"/>
    <cellStyle name="Note 2 2 27 42" xfId="29598"/>
    <cellStyle name="Note 2 2 27 42 2" xfId="29599"/>
    <cellStyle name="Note 2 2 27 43" xfId="29600"/>
    <cellStyle name="Note 2 2 27 43 2" xfId="29601"/>
    <cellStyle name="Note 2 2 27 44" xfId="29602"/>
    <cellStyle name="Note 2 2 27 44 2" xfId="29603"/>
    <cellStyle name="Note 2 2 27 45" xfId="29604"/>
    <cellStyle name="Note 2 2 27 45 2" xfId="29605"/>
    <cellStyle name="Note 2 2 27 46" xfId="29606"/>
    <cellStyle name="Note 2 2 27 46 2" xfId="29607"/>
    <cellStyle name="Note 2 2 27 47" xfId="29608"/>
    <cellStyle name="Note 2 2 27 47 2" xfId="29609"/>
    <cellStyle name="Note 2 2 27 48" xfId="29610"/>
    <cellStyle name="Note 2 2 27 48 2" xfId="29611"/>
    <cellStyle name="Note 2 2 27 49" xfId="29612"/>
    <cellStyle name="Note 2 2 27 49 2" xfId="29613"/>
    <cellStyle name="Note 2 2 27 5" xfId="29614"/>
    <cellStyle name="Note 2 2 27 5 2" xfId="29615"/>
    <cellStyle name="Note 2 2 27 5 2 2" xfId="29616"/>
    <cellStyle name="Note 2 2 27 5 3" xfId="29617"/>
    <cellStyle name="Note 2 2 27 5 3 2" xfId="29618"/>
    <cellStyle name="Note 2 2 27 5 4" xfId="29619"/>
    <cellStyle name="Note 2 2 27 5 4 2" xfId="29620"/>
    <cellStyle name="Note 2 2 27 5 5" xfId="29621"/>
    <cellStyle name="Note 2 2 27 50" xfId="29622"/>
    <cellStyle name="Note 2 2 27 50 2" xfId="29623"/>
    <cellStyle name="Note 2 2 27 51" xfId="29624"/>
    <cellStyle name="Note 2 2 27 51 2" xfId="29625"/>
    <cellStyle name="Note 2 2 27 52" xfId="29626"/>
    <cellStyle name="Note 2 2 27 52 2" xfId="29627"/>
    <cellStyle name="Note 2 2 27 53" xfId="29628"/>
    <cellStyle name="Note 2 2 27 53 2" xfId="29629"/>
    <cellStyle name="Note 2 2 27 54" xfId="29630"/>
    <cellStyle name="Note 2 2 27 54 2" xfId="29631"/>
    <cellStyle name="Note 2 2 27 55" xfId="29632"/>
    <cellStyle name="Note 2 2 27 55 2" xfId="29633"/>
    <cellStyle name="Note 2 2 27 56" xfId="29634"/>
    <cellStyle name="Note 2 2 27 56 2" xfId="29635"/>
    <cellStyle name="Note 2 2 27 57" xfId="29636"/>
    <cellStyle name="Note 2 2 27 57 2" xfId="29637"/>
    <cellStyle name="Note 2 2 27 58" xfId="29638"/>
    <cellStyle name="Note 2 2 27 58 2" xfId="29639"/>
    <cellStyle name="Note 2 2 27 59" xfId="29640"/>
    <cellStyle name="Note 2 2 27 59 2" xfId="29641"/>
    <cellStyle name="Note 2 2 27 6" xfId="29642"/>
    <cellStyle name="Note 2 2 27 6 2" xfId="29643"/>
    <cellStyle name="Note 2 2 27 6 2 2" xfId="29644"/>
    <cellStyle name="Note 2 2 27 6 3" xfId="29645"/>
    <cellStyle name="Note 2 2 27 6 3 2" xfId="29646"/>
    <cellStyle name="Note 2 2 27 6 4" xfId="29647"/>
    <cellStyle name="Note 2 2 27 6 4 2" xfId="29648"/>
    <cellStyle name="Note 2 2 27 6 5" xfId="29649"/>
    <cellStyle name="Note 2 2 27 60" xfId="29650"/>
    <cellStyle name="Note 2 2 27 60 2" xfId="29651"/>
    <cellStyle name="Note 2 2 27 61" xfId="29652"/>
    <cellStyle name="Note 2 2 27 61 2" xfId="29653"/>
    <cellStyle name="Note 2 2 27 62" xfId="29654"/>
    <cellStyle name="Note 2 2 27 7" xfId="29655"/>
    <cellStyle name="Note 2 2 27 7 2" xfId="29656"/>
    <cellStyle name="Note 2 2 27 7 2 2" xfId="29657"/>
    <cellStyle name="Note 2 2 27 7 3" xfId="29658"/>
    <cellStyle name="Note 2 2 27 7 3 2" xfId="29659"/>
    <cellStyle name="Note 2 2 27 7 4" xfId="29660"/>
    <cellStyle name="Note 2 2 27 7 4 2" xfId="29661"/>
    <cellStyle name="Note 2 2 27 7 5" xfId="29662"/>
    <cellStyle name="Note 2 2 27 8" xfId="29663"/>
    <cellStyle name="Note 2 2 27 8 2" xfId="29664"/>
    <cellStyle name="Note 2 2 27 8 2 2" xfId="29665"/>
    <cellStyle name="Note 2 2 27 8 3" xfId="29666"/>
    <cellStyle name="Note 2 2 27 8 3 2" xfId="29667"/>
    <cellStyle name="Note 2 2 27 8 4" xfId="29668"/>
    <cellStyle name="Note 2 2 27 8 4 2" xfId="29669"/>
    <cellStyle name="Note 2 2 27 8 5" xfId="29670"/>
    <cellStyle name="Note 2 2 27 9" xfId="29671"/>
    <cellStyle name="Note 2 2 27 9 2" xfId="29672"/>
    <cellStyle name="Note 2 2 27 9 2 2" xfId="29673"/>
    <cellStyle name="Note 2 2 27 9 3" xfId="29674"/>
    <cellStyle name="Note 2 2 27 9 3 2" xfId="29675"/>
    <cellStyle name="Note 2 2 27 9 4" xfId="29676"/>
    <cellStyle name="Note 2 2 27 9 4 2" xfId="29677"/>
    <cellStyle name="Note 2 2 27 9 5" xfId="29678"/>
    <cellStyle name="Note 2 2 28" xfId="29679"/>
    <cellStyle name="Note 2 2 28 10" xfId="29680"/>
    <cellStyle name="Note 2 2 28 10 2" xfId="29681"/>
    <cellStyle name="Note 2 2 28 10 2 2" xfId="29682"/>
    <cellStyle name="Note 2 2 28 10 3" xfId="29683"/>
    <cellStyle name="Note 2 2 28 10 3 2" xfId="29684"/>
    <cellStyle name="Note 2 2 28 10 4" xfId="29685"/>
    <cellStyle name="Note 2 2 28 10 4 2" xfId="29686"/>
    <cellStyle name="Note 2 2 28 10 5" xfId="29687"/>
    <cellStyle name="Note 2 2 28 11" xfId="29688"/>
    <cellStyle name="Note 2 2 28 11 2" xfId="29689"/>
    <cellStyle name="Note 2 2 28 11 2 2" xfId="29690"/>
    <cellStyle name="Note 2 2 28 11 3" xfId="29691"/>
    <cellStyle name="Note 2 2 28 11 3 2" xfId="29692"/>
    <cellStyle name="Note 2 2 28 11 4" xfId="29693"/>
    <cellStyle name="Note 2 2 28 11 4 2" xfId="29694"/>
    <cellStyle name="Note 2 2 28 11 5" xfId="29695"/>
    <cellStyle name="Note 2 2 28 12" xfId="29696"/>
    <cellStyle name="Note 2 2 28 12 2" xfId="29697"/>
    <cellStyle name="Note 2 2 28 12 2 2" xfId="29698"/>
    <cellStyle name="Note 2 2 28 12 3" xfId="29699"/>
    <cellStyle name="Note 2 2 28 12 3 2" xfId="29700"/>
    <cellStyle name="Note 2 2 28 12 4" xfId="29701"/>
    <cellStyle name="Note 2 2 28 12 4 2" xfId="29702"/>
    <cellStyle name="Note 2 2 28 12 5" xfId="29703"/>
    <cellStyle name="Note 2 2 28 13" xfId="29704"/>
    <cellStyle name="Note 2 2 28 13 2" xfId="29705"/>
    <cellStyle name="Note 2 2 28 13 2 2" xfId="29706"/>
    <cellStyle name="Note 2 2 28 13 3" xfId="29707"/>
    <cellStyle name="Note 2 2 28 13 3 2" xfId="29708"/>
    <cellStyle name="Note 2 2 28 13 4" xfId="29709"/>
    <cellStyle name="Note 2 2 28 13 4 2" xfId="29710"/>
    <cellStyle name="Note 2 2 28 13 5" xfId="29711"/>
    <cellStyle name="Note 2 2 28 14" xfId="29712"/>
    <cellStyle name="Note 2 2 28 14 2" xfId="29713"/>
    <cellStyle name="Note 2 2 28 14 2 2" xfId="29714"/>
    <cellStyle name="Note 2 2 28 14 3" xfId="29715"/>
    <cellStyle name="Note 2 2 28 14 3 2" xfId="29716"/>
    <cellStyle name="Note 2 2 28 14 4" xfId="29717"/>
    <cellStyle name="Note 2 2 28 14 4 2" xfId="29718"/>
    <cellStyle name="Note 2 2 28 14 5" xfId="29719"/>
    <cellStyle name="Note 2 2 28 15" xfId="29720"/>
    <cellStyle name="Note 2 2 28 15 2" xfId="29721"/>
    <cellStyle name="Note 2 2 28 16" xfId="29722"/>
    <cellStyle name="Note 2 2 28 16 2" xfId="29723"/>
    <cellStyle name="Note 2 2 28 17" xfId="29724"/>
    <cellStyle name="Note 2 2 28 17 2" xfId="29725"/>
    <cellStyle name="Note 2 2 28 18" xfId="29726"/>
    <cellStyle name="Note 2 2 28 18 2" xfId="29727"/>
    <cellStyle name="Note 2 2 28 19" xfId="29728"/>
    <cellStyle name="Note 2 2 28 19 2" xfId="29729"/>
    <cellStyle name="Note 2 2 28 2" xfId="29730"/>
    <cellStyle name="Note 2 2 28 2 10" xfId="29731"/>
    <cellStyle name="Note 2 2 28 2 10 2" xfId="29732"/>
    <cellStyle name="Note 2 2 28 2 11" xfId="29733"/>
    <cellStyle name="Note 2 2 28 2 11 2" xfId="29734"/>
    <cellStyle name="Note 2 2 28 2 12" xfId="29735"/>
    <cellStyle name="Note 2 2 28 2 12 2" xfId="29736"/>
    <cellStyle name="Note 2 2 28 2 13" xfId="29737"/>
    <cellStyle name="Note 2 2 28 2 13 2" xfId="29738"/>
    <cellStyle name="Note 2 2 28 2 14" xfId="29739"/>
    <cellStyle name="Note 2 2 28 2 14 2" xfId="29740"/>
    <cellStyle name="Note 2 2 28 2 15" xfId="29741"/>
    <cellStyle name="Note 2 2 28 2 15 2" xfId="29742"/>
    <cellStyle name="Note 2 2 28 2 16" xfId="29743"/>
    <cellStyle name="Note 2 2 28 2 16 2" xfId="29744"/>
    <cellStyle name="Note 2 2 28 2 17" xfId="29745"/>
    <cellStyle name="Note 2 2 28 2 17 2" xfId="29746"/>
    <cellStyle name="Note 2 2 28 2 18" xfId="29747"/>
    <cellStyle name="Note 2 2 28 2 18 2" xfId="29748"/>
    <cellStyle name="Note 2 2 28 2 19" xfId="29749"/>
    <cellStyle name="Note 2 2 28 2 19 2" xfId="29750"/>
    <cellStyle name="Note 2 2 28 2 2" xfId="29751"/>
    <cellStyle name="Note 2 2 28 2 2 2" xfId="29752"/>
    <cellStyle name="Note 2 2 28 2 2 3" xfId="29753"/>
    <cellStyle name="Note 2 2 28 2 20" xfId="29754"/>
    <cellStyle name="Note 2 2 28 2 20 2" xfId="29755"/>
    <cellStyle name="Note 2 2 28 2 21" xfId="29756"/>
    <cellStyle name="Note 2 2 28 2 21 2" xfId="29757"/>
    <cellStyle name="Note 2 2 28 2 22" xfId="29758"/>
    <cellStyle name="Note 2 2 28 2 22 2" xfId="29759"/>
    <cellStyle name="Note 2 2 28 2 23" xfId="29760"/>
    <cellStyle name="Note 2 2 28 2 23 2" xfId="29761"/>
    <cellStyle name="Note 2 2 28 2 24" xfId="29762"/>
    <cellStyle name="Note 2 2 28 2 24 2" xfId="29763"/>
    <cellStyle name="Note 2 2 28 2 25" xfId="29764"/>
    <cellStyle name="Note 2 2 28 2 25 2" xfId="29765"/>
    <cellStyle name="Note 2 2 28 2 26" xfId="29766"/>
    <cellStyle name="Note 2 2 28 2 26 2" xfId="29767"/>
    <cellStyle name="Note 2 2 28 2 27" xfId="29768"/>
    <cellStyle name="Note 2 2 28 2 27 2" xfId="29769"/>
    <cellStyle name="Note 2 2 28 2 28" xfId="29770"/>
    <cellStyle name="Note 2 2 28 2 28 2" xfId="29771"/>
    <cellStyle name="Note 2 2 28 2 29" xfId="29772"/>
    <cellStyle name="Note 2 2 28 2 29 2" xfId="29773"/>
    <cellStyle name="Note 2 2 28 2 3" xfId="29774"/>
    <cellStyle name="Note 2 2 28 2 3 2" xfId="29775"/>
    <cellStyle name="Note 2 2 28 2 3 3" xfId="29776"/>
    <cellStyle name="Note 2 2 28 2 30" xfId="29777"/>
    <cellStyle name="Note 2 2 28 2 30 2" xfId="29778"/>
    <cellStyle name="Note 2 2 28 2 31" xfId="29779"/>
    <cellStyle name="Note 2 2 28 2 4" xfId="29780"/>
    <cellStyle name="Note 2 2 28 2 4 2" xfId="29781"/>
    <cellStyle name="Note 2 2 28 2 5" xfId="29782"/>
    <cellStyle name="Note 2 2 28 2 5 2" xfId="29783"/>
    <cellStyle name="Note 2 2 28 2 6" xfId="29784"/>
    <cellStyle name="Note 2 2 28 2 6 2" xfId="29785"/>
    <cellStyle name="Note 2 2 28 2 7" xfId="29786"/>
    <cellStyle name="Note 2 2 28 2 7 2" xfId="29787"/>
    <cellStyle name="Note 2 2 28 2 8" xfId="29788"/>
    <cellStyle name="Note 2 2 28 2 8 2" xfId="29789"/>
    <cellStyle name="Note 2 2 28 2 9" xfId="29790"/>
    <cellStyle name="Note 2 2 28 2 9 2" xfId="29791"/>
    <cellStyle name="Note 2 2 28 20" xfId="29792"/>
    <cellStyle name="Note 2 2 28 20 2" xfId="29793"/>
    <cellStyle name="Note 2 2 28 21" xfId="29794"/>
    <cellStyle name="Note 2 2 28 21 2" xfId="29795"/>
    <cellStyle name="Note 2 2 28 22" xfId="29796"/>
    <cellStyle name="Note 2 2 28 22 2" xfId="29797"/>
    <cellStyle name="Note 2 2 28 23" xfId="29798"/>
    <cellStyle name="Note 2 2 28 23 2" xfId="29799"/>
    <cellStyle name="Note 2 2 28 24" xfId="29800"/>
    <cellStyle name="Note 2 2 28 24 2" xfId="29801"/>
    <cellStyle name="Note 2 2 28 25" xfId="29802"/>
    <cellStyle name="Note 2 2 28 25 2" xfId="29803"/>
    <cellStyle name="Note 2 2 28 26" xfId="29804"/>
    <cellStyle name="Note 2 2 28 26 2" xfId="29805"/>
    <cellStyle name="Note 2 2 28 27" xfId="29806"/>
    <cellStyle name="Note 2 2 28 27 2" xfId="29807"/>
    <cellStyle name="Note 2 2 28 28" xfId="29808"/>
    <cellStyle name="Note 2 2 28 28 2" xfId="29809"/>
    <cellStyle name="Note 2 2 28 29" xfId="29810"/>
    <cellStyle name="Note 2 2 28 29 2" xfId="29811"/>
    <cellStyle name="Note 2 2 28 3" xfId="29812"/>
    <cellStyle name="Note 2 2 28 3 2" xfId="29813"/>
    <cellStyle name="Note 2 2 28 3 2 2" xfId="29814"/>
    <cellStyle name="Note 2 2 28 3 3" xfId="29815"/>
    <cellStyle name="Note 2 2 28 3 3 2" xfId="29816"/>
    <cellStyle name="Note 2 2 28 3 4" xfId="29817"/>
    <cellStyle name="Note 2 2 28 3 4 2" xfId="29818"/>
    <cellStyle name="Note 2 2 28 3 5" xfId="29819"/>
    <cellStyle name="Note 2 2 28 30" xfId="29820"/>
    <cellStyle name="Note 2 2 28 30 2" xfId="29821"/>
    <cellStyle name="Note 2 2 28 31" xfId="29822"/>
    <cellStyle name="Note 2 2 28 31 2" xfId="29823"/>
    <cellStyle name="Note 2 2 28 32" xfId="29824"/>
    <cellStyle name="Note 2 2 28 32 2" xfId="29825"/>
    <cellStyle name="Note 2 2 28 33" xfId="29826"/>
    <cellStyle name="Note 2 2 28 33 2" xfId="29827"/>
    <cellStyle name="Note 2 2 28 34" xfId="29828"/>
    <cellStyle name="Note 2 2 28 34 2" xfId="29829"/>
    <cellStyle name="Note 2 2 28 35" xfId="29830"/>
    <cellStyle name="Note 2 2 28 35 2" xfId="29831"/>
    <cellStyle name="Note 2 2 28 36" xfId="29832"/>
    <cellStyle name="Note 2 2 28 36 2" xfId="29833"/>
    <cellStyle name="Note 2 2 28 37" xfId="29834"/>
    <cellStyle name="Note 2 2 28 37 2" xfId="29835"/>
    <cellStyle name="Note 2 2 28 38" xfId="29836"/>
    <cellStyle name="Note 2 2 28 38 2" xfId="29837"/>
    <cellStyle name="Note 2 2 28 39" xfId="29838"/>
    <cellStyle name="Note 2 2 28 39 2" xfId="29839"/>
    <cellStyle name="Note 2 2 28 4" xfId="29840"/>
    <cellStyle name="Note 2 2 28 4 2" xfId="29841"/>
    <cellStyle name="Note 2 2 28 4 2 2" xfId="29842"/>
    <cellStyle name="Note 2 2 28 4 3" xfId="29843"/>
    <cellStyle name="Note 2 2 28 4 3 2" xfId="29844"/>
    <cellStyle name="Note 2 2 28 4 4" xfId="29845"/>
    <cellStyle name="Note 2 2 28 4 4 2" xfId="29846"/>
    <cellStyle name="Note 2 2 28 4 5" xfId="29847"/>
    <cellStyle name="Note 2 2 28 40" xfId="29848"/>
    <cellStyle name="Note 2 2 28 40 2" xfId="29849"/>
    <cellStyle name="Note 2 2 28 41" xfId="29850"/>
    <cellStyle name="Note 2 2 28 41 2" xfId="29851"/>
    <cellStyle name="Note 2 2 28 42" xfId="29852"/>
    <cellStyle name="Note 2 2 28 42 2" xfId="29853"/>
    <cellStyle name="Note 2 2 28 43" xfId="29854"/>
    <cellStyle name="Note 2 2 28 43 2" xfId="29855"/>
    <cellStyle name="Note 2 2 28 44" xfId="29856"/>
    <cellStyle name="Note 2 2 28 44 2" xfId="29857"/>
    <cellStyle name="Note 2 2 28 45" xfId="29858"/>
    <cellStyle name="Note 2 2 28 45 2" xfId="29859"/>
    <cellStyle name="Note 2 2 28 46" xfId="29860"/>
    <cellStyle name="Note 2 2 28 46 2" xfId="29861"/>
    <cellStyle name="Note 2 2 28 47" xfId="29862"/>
    <cellStyle name="Note 2 2 28 47 2" xfId="29863"/>
    <cellStyle name="Note 2 2 28 48" xfId="29864"/>
    <cellStyle name="Note 2 2 28 48 2" xfId="29865"/>
    <cellStyle name="Note 2 2 28 49" xfId="29866"/>
    <cellStyle name="Note 2 2 28 49 2" xfId="29867"/>
    <cellStyle name="Note 2 2 28 5" xfId="29868"/>
    <cellStyle name="Note 2 2 28 5 2" xfId="29869"/>
    <cellStyle name="Note 2 2 28 5 2 2" xfId="29870"/>
    <cellStyle name="Note 2 2 28 5 3" xfId="29871"/>
    <cellStyle name="Note 2 2 28 5 3 2" xfId="29872"/>
    <cellStyle name="Note 2 2 28 5 4" xfId="29873"/>
    <cellStyle name="Note 2 2 28 5 4 2" xfId="29874"/>
    <cellStyle name="Note 2 2 28 5 5" xfId="29875"/>
    <cellStyle name="Note 2 2 28 50" xfId="29876"/>
    <cellStyle name="Note 2 2 28 50 2" xfId="29877"/>
    <cellStyle name="Note 2 2 28 51" xfId="29878"/>
    <cellStyle name="Note 2 2 28 51 2" xfId="29879"/>
    <cellStyle name="Note 2 2 28 52" xfId="29880"/>
    <cellStyle name="Note 2 2 28 52 2" xfId="29881"/>
    <cellStyle name="Note 2 2 28 53" xfId="29882"/>
    <cellStyle name="Note 2 2 28 53 2" xfId="29883"/>
    <cellStyle name="Note 2 2 28 54" xfId="29884"/>
    <cellStyle name="Note 2 2 28 54 2" xfId="29885"/>
    <cellStyle name="Note 2 2 28 55" xfId="29886"/>
    <cellStyle name="Note 2 2 28 55 2" xfId="29887"/>
    <cellStyle name="Note 2 2 28 56" xfId="29888"/>
    <cellStyle name="Note 2 2 28 56 2" xfId="29889"/>
    <cellStyle name="Note 2 2 28 57" xfId="29890"/>
    <cellStyle name="Note 2 2 28 57 2" xfId="29891"/>
    <cellStyle name="Note 2 2 28 58" xfId="29892"/>
    <cellStyle name="Note 2 2 28 58 2" xfId="29893"/>
    <cellStyle name="Note 2 2 28 59" xfId="29894"/>
    <cellStyle name="Note 2 2 28 59 2" xfId="29895"/>
    <cellStyle name="Note 2 2 28 6" xfId="29896"/>
    <cellStyle name="Note 2 2 28 6 2" xfId="29897"/>
    <cellStyle name="Note 2 2 28 6 2 2" xfId="29898"/>
    <cellStyle name="Note 2 2 28 6 3" xfId="29899"/>
    <cellStyle name="Note 2 2 28 6 3 2" xfId="29900"/>
    <cellStyle name="Note 2 2 28 6 4" xfId="29901"/>
    <cellStyle name="Note 2 2 28 6 4 2" xfId="29902"/>
    <cellStyle name="Note 2 2 28 6 5" xfId="29903"/>
    <cellStyle name="Note 2 2 28 60" xfId="29904"/>
    <cellStyle name="Note 2 2 28 60 2" xfId="29905"/>
    <cellStyle name="Note 2 2 28 61" xfId="29906"/>
    <cellStyle name="Note 2 2 28 61 2" xfId="29907"/>
    <cellStyle name="Note 2 2 28 62" xfId="29908"/>
    <cellStyle name="Note 2 2 28 7" xfId="29909"/>
    <cellStyle name="Note 2 2 28 7 2" xfId="29910"/>
    <cellStyle name="Note 2 2 28 7 2 2" xfId="29911"/>
    <cellStyle name="Note 2 2 28 7 3" xfId="29912"/>
    <cellStyle name="Note 2 2 28 7 3 2" xfId="29913"/>
    <cellStyle name="Note 2 2 28 7 4" xfId="29914"/>
    <cellStyle name="Note 2 2 28 7 4 2" xfId="29915"/>
    <cellStyle name="Note 2 2 28 7 5" xfId="29916"/>
    <cellStyle name="Note 2 2 28 8" xfId="29917"/>
    <cellStyle name="Note 2 2 28 8 2" xfId="29918"/>
    <cellStyle name="Note 2 2 28 8 2 2" xfId="29919"/>
    <cellStyle name="Note 2 2 28 8 3" xfId="29920"/>
    <cellStyle name="Note 2 2 28 8 3 2" xfId="29921"/>
    <cellStyle name="Note 2 2 28 8 4" xfId="29922"/>
    <cellStyle name="Note 2 2 28 8 4 2" xfId="29923"/>
    <cellStyle name="Note 2 2 28 8 5" xfId="29924"/>
    <cellStyle name="Note 2 2 28 9" xfId="29925"/>
    <cellStyle name="Note 2 2 28 9 2" xfId="29926"/>
    <cellStyle name="Note 2 2 28 9 2 2" xfId="29927"/>
    <cellStyle name="Note 2 2 28 9 3" xfId="29928"/>
    <cellStyle name="Note 2 2 28 9 3 2" xfId="29929"/>
    <cellStyle name="Note 2 2 28 9 4" xfId="29930"/>
    <cellStyle name="Note 2 2 28 9 4 2" xfId="29931"/>
    <cellStyle name="Note 2 2 28 9 5" xfId="29932"/>
    <cellStyle name="Note 2 2 29" xfId="29933"/>
    <cellStyle name="Note 2 2 29 10" xfId="29934"/>
    <cellStyle name="Note 2 2 29 10 2" xfId="29935"/>
    <cellStyle name="Note 2 2 29 10 2 2" xfId="29936"/>
    <cellStyle name="Note 2 2 29 10 3" xfId="29937"/>
    <cellStyle name="Note 2 2 29 10 3 2" xfId="29938"/>
    <cellStyle name="Note 2 2 29 10 4" xfId="29939"/>
    <cellStyle name="Note 2 2 29 10 4 2" xfId="29940"/>
    <cellStyle name="Note 2 2 29 10 5" xfId="29941"/>
    <cellStyle name="Note 2 2 29 11" xfId="29942"/>
    <cellStyle name="Note 2 2 29 11 2" xfId="29943"/>
    <cellStyle name="Note 2 2 29 11 2 2" xfId="29944"/>
    <cellStyle name="Note 2 2 29 11 3" xfId="29945"/>
    <cellStyle name="Note 2 2 29 11 3 2" xfId="29946"/>
    <cellStyle name="Note 2 2 29 11 4" xfId="29947"/>
    <cellStyle name="Note 2 2 29 11 4 2" xfId="29948"/>
    <cellStyle name="Note 2 2 29 11 5" xfId="29949"/>
    <cellStyle name="Note 2 2 29 12" xfId="29950"/>
    <cellStyle name="Note 2 2 29 12 2" xfId="29951"/>
    <cellStyle name="Note 2 2 29 12 2 2" xfId="29952"/>
    <cellStyle name="Note 2 2 29 12 3" xfId="29953"/>
    <cellStyle name="Note 2 2 29 12 3 2" xfId="29954"/>
    <cellStyle name="Note 2 2 29 12 4" xfId="29955"/>
    <cellStyle name="Note 2 2 29 12 4 2" xfId="29956"/>
    <cellStyle name="Note 2 2 29 12 5" xfId="29957"/>
    <cellStyle name="Note 2 2 29 13" xfId="29958"/>
    <cellStyle name="Note 2 2 29 13 2" xfId="29959"/>
    <cellStyle name="Note 2 2 29 13 2 2" xfId="29960"/>
    <cellStyle name="Note 2 2 29 13 3" xfId="29961"/>
    <cellStyle name="Note 2 2 29 13 3 2" xfId="29962"/>
    <cellStyle name="Note 2 2 29 13 4" xfId="29963"/>
    <cellStyle name="Note 2 2 29 13 4 2" xfId="29964"/>
    <cellStyle name="Note 2 2 29 13 5" xfId="29965"/>
    <cellStyle name="Note 2 2 29 14" xfId="29966"/>
    <cellStyle name="Note 2 2 29 14 2" xfId="29967"/>
    <cellStyle name="Note 2 2 29 14 2 2" xfId="29968"/>
    <cellStyle name="Note 2 2 29 14 3" xfId="29969"/>
    <cellStyle name="Note 2 2 29 14 3 2" xfId="29970"/>
    <cellStyle name="Note 2 2 29 14 4" xfId="29971"/>
    <cellStyle name="Note 2 2 29 14 4 2" xfId="29972"/>
    <cellStyle name="Note 2 2 29 14 5" xfId="29973"/>
    <cellStyle name="Note 2 2 29 15" xfId="29974"/>
    <cellStyle name="Note 2 2 29 15 2" xfId="29975"/>
    <cellStyle name="Note 2 2 29 16" xfId="29976"/>
    <cellStyle name="Note 2 2 29 16 2" xfId="29977"/>
    <cellStyle name="Note 2 2 29 17" xfId="29978"/>
    <cellStyle name="Note 2 2 29 17 2" xfId="29979"/>
    <cellStyle name="Note 2 2 29 18" xfId="29980"/>
    <cellStyle name="Note 2 2 29 18 2" xfId="29981"/>
    <cellStyle name="Note 2 2 29 19" xfId="29982"/>
    <cellStyle name="Note 2 2 29 19 2" xfId="29983"/>
    <cellStyle name="Note 2 2 29 2" xfId="29984"/>
    <cellStyle name="Note 2 2 29 2 10" xfId="29985"/>
    <cellStyle name="Note 2 2 29 2 10 2" xfId="29986"/>
    <cellStyle name="Note 2 2 29 2 11" xfId="29987"/>
    <cellStyle name="Note 2 2 29 2 11 2" xfId="29988"/>
    <cellStyle name="Note 2 2 29 2 12" xfId="29989"/>
    <cellStyle name="Note 2 2 29 2 12 2" xfId="29990"/>
    <cellStyle name="Note 2 2 29 2 13" xfId="29991"/>
    <cellStyle name="Note 2 2 29 2 13 2" xfId="29992"/>
    <cellStyle name="Note 2 2 29 2 14" xfId="29993"/>
    <cellStyle name="Note 2 2 29 2 14 2" xfId="29994"/>
    <cellStyle name="Note 2 2 29 2 15" xfId="29995"/>
    <cellStyle name="Note 2 2 29 2 15 2" xfId="29996"/>
    <cellStyle name="Note 2 2 29 2 16" xfId="29997"/>
    <cellStyle name="Note 2 2 29 2 16 2" xfId="29998"/>
    <cellStyle name="Note 2 2 29 2 17" xfId="29999"/>
    <cellStyle name="Note 2 2 29 2 17 2" xfId="30000"/>
    <cellStyle name="Note 2 2 29 2 18" xfId="30001"/>
    <cellStyle name="Note 2 2 29 2 18 2" xfId="30002"/>
    <cellStyle name="Note 2 2 29 2 19" xfId="30003"/>
    <cellStyle name="Note 2 2 29 2 19 2" xfId="30004"/>
    <cellStyle name="Note 2 2 29 2 2" xfId="30005"/>
    <cellStyle name="Note 2 2 29 2 2 2" xfId="30006"/>
    <cellStyle name="Note 2 2 29 2 2 3" xfId="30007"/>
    <cellStyle name="Note 2 2 29 2 20" xfId="30008"/>
    <cellStyle name="Note 2 2 29 2 20 2" xfId="30009"/>
    <cellStyle name="Note 2 2 29 2 21" xfId="30010"/>
    <cellStyle name="Note 2 2 29 2 21 2" xfId="30011"/>
    <cellStyle name="Note 2 2 29 2 22" xfId="30012"/>
    <cellStyle name="Note 2 2 29 2 22 2" xfId="30013"/>
    <cellStyle name="Note 2 2 29 2 23" xfId="30014"/>
    <cellStyle name="Note 2 2 29 2 23 2" xfId="30015"/>
    <cellStyle name="Note 2 2 29 2 24" xfId="30016"/>
    <cellStyle name="Note 2 2 29 2 24 2" xfId="30017"/>
    <cellStyle name="Note 2 2 29 2 25" xfId="30018"/>
    <cellStyle name="Note 2 2 29 2 25 2" xfId="30019"/>
    <cellStyle name="Note 2 2 29 2 26" xfId="30020"/>
    <cellStyle name="Note 2 2 29 2 26 2" xfId="30021"/>
    <cellStyle name="Note 2 2 29 2 27" xfId="30022"/>
    <cellStyle name="Note 2 2 29 2 27 2" xfId="30023"/>
    <cellStyle name="Note 2 2 29 2 28" xfId="30024"/>
    <cellStyle name="Note 2 2 29 2 28 2" xfId="30025"/>
    <cellStyle name="Note 2 2 29 2 29" xfId="30026"/>
    <cellStyle name="Note 2 2 29 2 29 2" xfId="30027"/>
    <cellStyle name="Note 2 2 29 2 3" xfId="30028"/>
    <cellStyle name="Note 2 2 29 2 3 2" xfId="30029"/>
    <cellStyle name="Note 2 2 29 2 3 3" xfId="30030"/>
    <cellStyle name="Note 2 2 29 2 30" xfId="30031"/>
    <cellStyle name="Note 2 2 29 2 30 2" xfId="30032"/>
    <cellStyle name="Note 2 2 29 2 31" xfId="30033"/>
    <cellStyle name="Note 2 2 29 2 4" xfId="30034"/>
    <cellStyle name="Note 2 2 29 2 4 2" xfId="30035"/>
    <cellStyle name="Note 2 2 29 2 5" xfId="30036"/>
    <cellStyle name="Note 2 2 29 2 5 2" xfId="30037"/>
    <cellStyle name="Note 2 2 29 2 6" xfId="30038"/>
    <cellStyle name="Note 2 2 29 2 6 2" xfId="30039"/>
    <cellStyle name="Note 2 2 29 2 7" xfId="30040"/>
    <cellStyle name="Note 2 2 29 2 7 2" xfId="30041"/>
    <cellStyle name="Note 2 2 29 2 8" xfId="30042"/>
    <cellStyle name="Note 2 2 29 2 8 2" xfId="30043"/>
    <cellStyle name="Note 2 2 29 2 9" xfId="30044"/>
    <cellStyle name="Note 2 2 29 2 9 2" xfId="30045"/>
    <cellStyle name="Note 2 2 29 20" xfId="30046"/>
    <cellStyle name="Note 2 2 29 20 2" xfId="30047"/>
    <cellStyle name="Note 2 2 29 21" xfId="30048"/>
    <cellStyle name="Note 2 2 29 21 2" xfId="30049"/>
    <cellStyle name="Note 2 2 29 22" xfId="30050"/>
    <cellStyle name="Note 2 2 29 22 2" xfId="30051"/>
    <cellStyle name="Note 2 2 29 23" xfId="30052"/>
    <cellStyle name="Note 2 2 29 23 2" xfId="30053"/>
    <cellStyle name="Note 2 2 29 24" xfId="30054"/>
    <cellStyle name="Note 2 2 29 24 2" xfId="30055"/>
    <cellStyle name="Note 2 2 29 25" xfId="30056"/>
    <cellStyle name="Note 2 2 29 25 2" xfId="30057"/>
    <cellStyle name="Note 2 2 29 26" xfId="30058"/>
    <cellStyle name="Note 2 2 29 26 2" xfId="30059"/>
    <cellStyle name="Note 2 2 29 27" xfId="30060"/>
    <cellStyle name="Note 2 2 29 27 2" xfId="30061"/>
    <cellStyle name="Note 2 2 29 28" xfId="30062"/>
    <cellStyle name="Note 2 2 29 28 2" xfId="30063"/>
    <cellStyle name="Note 2 2 29 29" xfId="30064"/>
    <cellStyle name="Note 2 2 29 29 2" xfId="30065"/>
    <cellStyle name="Note 2 2 29 3" xfId="30066"/>
    <cellStyle name="Note 2 2 29 3 2" xfId="30067"/>
    <cellStyle name="Note 2 2 29 3 2 2" xfId="30068"/>
    <cellStyle name="Note 2 2 29 3 3" xfId="30069"/>
    <cellStyle name="Note 2 2 29 3 3 2" xfId="30070"/>
    <cellStyle name="Note 2 2 29 3 4" xfId="30071"/>
    <cellStyle name="Note 2 2 29 3 4 2" xfId="30072"/>
    <cellStyle name="Note 2 2 29 3 5" xfId="30073"/>
    <cellStyle name="Note 2 2 29 30" xfId="30074"/>
    <cellStyle name="Note 2 2 29 30 2" xfId="30075"/>
    <cellStyle name="Note 2 2 29 31" xfId="30076"/>
    <cellStyle name="Note 2 2 29 31 2" xfId="30077"/>
    <cellStyle name="Note 2 2 29 32" xfId="30078"/>
    <cellStyle name="Note 2 2 29 32 2" xfId="30079"/>
    <cellStyle name="Note 2 2 29 33" xfId="30080"/>
    <cellStyle name="Note 2 2 29 33 2" xfId="30081"/>
    <cellStyle name="Note 2 2 29 34" xfId="30082"/>
    <cellStyle name="Note 2 2 29 34 2" xfId="30083"/>
    <cellStyle name="Note 2 2 29 35" xfId="30084"/>
    <cellStyle name="Note 2 2 29 35 2" xfId="30085"/>
    <cellStyle name="Note 2 2 29 36" xfId="30086"/>
    <cellStyle name="Note 2 2 29 36 2" xfId="30087"/>
    <cellStyle name="Note 2 2 29 37" xfId="30088"/>
    <cellStyle name="Note 2 2 29 37 2" xfId="30089"/>
    <cellStyle name="Note 2 2 29 38" xfId="30090"/>
    <cellStyle name="Note 2 2 29 38 2" xfId="30091"/>
    <cellStyle name="Note 2 2 29 39" xfId="30092"/>
    <cellStyle name="Note 2 2 29 39 2" xfId="30093"/>
    <cellStyle name="Note 2 2 29 4" xfId="30094"/>
    <cellStyle name="Note 2 2 29 4 2" xfId="30095"/>
    <cellStyle name="Note 2 2 29 4 2 2" xfId="30096"/>
    <cellStyle name="Note 2 2 29 4 3" xfId="30097"/>
    <cellStyle name="Note 2 2 29 4 3 2" xfId="30098"/>
    <cellStyle name="Note 2 2 29 4 4" xfId="30099"/>
    <cellStyle name="Note 2 2 29 4 4 2" xfId="30100"/>
    <cellStyle name="Note 2 2 29 4 5" xfId="30101"/>
    <cellStyle name="Note 2 2 29 40" xfId="30102"/>
    <cellStyle name="Note 2 2 29 40 2" xfId="30103"/>
    <cellStyle name="Note 2 2 29 41" xfId="30104"/>
    <cellStyle name="Note 2 2 29 41 2" xfId="30105"/>
    <cellStyle name="Note 2 2 29 42" xfId="30106"/>
    <cellStyle name="Note 2 2 29 42 2" xfId="30107"/>
    <cellStyle name="Note 2 2 29 43" xfId="30108"/>
    <cellStyle name="Note 2 2 29 43 2" xfId="30109"/>
    <cellStyle name="Note 2 2 29 44" xfId="30110"/>
    <cellStyle name="Note 2 2 29 44 2" xfId="30111"/>
    <cellStyle name="Note 2 2 29 45" xfId="30112"/>
    <cellStyle name="Note 2 2 29 45 2" xfId="30113"/>
    <cellStyle name="Note 2 2 29 46" xfId="30114"/>
    <cellStyle name="Note 2 2 29 46 2" xfId="30115"/>
    <cellStyle name="Note 2 2 29 47" xfId="30116"/>
    <cellStyle name="Note 2 2 29 47 2" xfId="30117"/>
    <cellStyle name="Note 2 2 29 48" xfId="30118"/>
    <cellStyle name="Note 2 2 29 48 2" xfId="30119"/>
    <cellStyle name="Note 2 2 29 49" xfId="30120"/>
    <cellStyle name="Note 2 2 29 49 2" xfId="30121"/>
    <cellStyle name="Note 2 2 29 5" xfId="30122"/>
    <cellStyle name="Note 2 2 29 5 2" xfId="30123"/>
    <cellStyle name="Note 2 2 29 5 2 2" xfId="30124"/>
    <cellStyle name="Note 2 2 29 5 3" xfId="30125"/>
    <cellStyle name="Note 2 2 29 5 3 2" xfId="30126"/>
    <cellStyle name="Note 2 2 29 5 4" xfId="30127"/>
    <cellStyle name="Note 2 2 29 5 4 2" xfId="30128"/>
    <cellStyle name="Note 2 2 29 5 5" xfId="30129"/>
    <cellStyle name="Note 2 2 29 50" xfId="30130"/>
    <cellStyle name="Note 2 2 29 50 2" xfId="30131"/>
    <cellStyle name="Note 2 2 29 51" xfId="30132"/>
    <cellStyle name="Note 2 2 29 51 2" xfId="30133"/>
    <cellStyle name="Note 2 2 29 52" xfId="30134"/>
    <cellStyle name="Note 2 2 29 52 2" xfId="30135"/>
    <cellStyle name="Note 2 2 29 53" xfId="30136"/>
    <cellStyle name="Note 2 2 29 53 2" xfId="30137"/>
    <cellStyle name="Note 2 2 29 54" xfId="30138"/>
    <cellStyle name="Note 2 2 29 54 2" xfId="30139"/>
    <cellStyle name="Note 2 2 29 55" xfId="30140"/>
    <cellStyle name="Note 2 2 29 55 2" xfId="30141"/>
    <cellStyle name="Note 2 2 29 56" xfId="30142"/>
    <cellStyle name="Note 2 2 29 56 2" xfId="30143"/>
    <cellStyle name="Note 2 2 29 57" xfId="30144"/>
    <cellStyle name="Note 2 2 29 57 2" xfId="30145"/>
    <cellStyle name="Note 2 2 29 58" xfId="30146"/>
    <cellStyle name="Note 2 2 29 58 2" xfId="30147"/>
    <cellStyle name="Note 2 2 29 59" xfId="30148"/>
    <cellStyle name="Note 2 2 29 59 2" xfId="30149"/>
    <cellStyle name="Note 2 2 29 6" xfId="30150"/>
    <cellStyle name="Note 2 2 29 6 2" xfId="30151"/>
    <cellStyle name="Note 2 2 29 6 2 2" xfId="30152"/>
    <cellStyle name="Note 2 2 29 6 3" xfId="30153"/>
    <cellStyle name="Note 2 2 29 6 3 2" xfId="30154"/>
    <cellStyle name="Note 2 2 29 6 4" xfId="30155"/>
    <cellStyle name="Note 2 2 29 6 4 2" xfId="30156"/>
    <cellStyle name="Note 2 2 29 6 5" xfId="30157"/>
    <cellStyle name="Note 2 2 29 60" xfId="30158"/>
    <cellStyle name="Note 2 2 29 60 2" xfId="30159"/>
    <cellStyle name="Note 2 2 29 61" xfId="30160"/>
    <cellStyle name="Note 2 2 29 61 2" xfId="30161"/>
    <cellStyle name="Note 2 2 29 62" xfId="30162"/>
    <cellStyle name="Note 2 2 29 7" xfId="30163"/>
    <cellStyle name="Note 2 2 29 7 2" xfId="30164"/>
    <cellStyle name="Note 2 2 29 7 2 2" xfId="30165"/>
    <cellStyle name="Note 2 2 29 7 3" xfId="30166"/>
    <cellStyle name="Note 2 2 29 7 3 2" xfId="30167"/>
    <cellStyle name="Note 2 2 29 7 4" xfId="30168"/>
    <cellStyle name="Note 2 2 29 7 4 2" xfId="30169"/>
    <cellStyle name="Note 2 2 29 7 5" xfId="30170"/>
    <cellStyle name="Note 2 2 29 8" xfId="30171"/>
    <cellStyle name="Note 2 2 29 8 2" xfId="30172"/>
    <cellStyle name="Note 2 2 29 8 2 2" xfId="30173"/>
    <cellStyle name="Note 2 2 29 8 3" xfId="30174"/>
    <cellStyle name="Note 2 2 29 8 3 2" xfId="30175"/>
    <cellStyle name="Note 2 2 29 8 4" xfId="30176"/>
    <cellStyle name="Note 2 2 29 8 4 2" xfId="30177"/>
    <cellStyle name="Note 2 2 29 8 5" xfId="30178"/>
    <cellStyle name="Note 2 2 29 9" xfId="30179"/>
    <cellStyle name="Note 2 2 29 9 2" xfId="30180"/>
    <cellStyle name="Note 2 2 29 9 2 2" xfId="30181"/>
    <cellStyle name="Note 2 2 29 9 3" xfId="30182"/>
    <cellStyle name="Note 2 2 29 9 3 2" xfId="30183"/>
    <cellStyle name="Note 2 2 29 9 4" xfId="30184"/>
    <cellStyle name="Note 2 2 29 9 4 2" xfId="30185"/>
    <cellStyle name="Note 2 2 29 9 5" xfId="30186"/>
    <cellStyle name="Note 2 2 3" xfId="30187"/>
    <cellStyle name="Note 2 2 3 10" xfId="30188"/>
    <cellStyle name="Note 2 2 3 10 2" xfId="30189"/>
    <cellStyle name="Note 2 2 3 10 2 2" xfId="30190"/>
    <cellStyle name="Note 2 2 3 10 3" xfId="30191"/>
    <cellStyle name="Note 2 2 3 10 3 2" xfId="30192"/>
    <cellStyle name="Note 2 2 3 10 4" xfId="30193"/>
    <cellStyle name="Note 2 2 3 10 4 2" xfId="30194"/>
    <cellStyle name="Note 2 2 3 10 5" xfId="30195"/>
    <cellStyle name="Note 2 2 3 11" xfId="30196"/>
    <cellStyle name="Note 2 2 3 11 2" xfId="30197"/>
    <cellStyle name="Note 2 2 3 11 2 2" xfId="30198"/>
    <cellStyle name="Note 2 2 3 11 3" xfId="30199"/>
    <cellStyle name="Note 2 2 3 11 3 2" xfId="30200"/>
    <cellStyle name="Note 2 2 3 11 4" xfId="30201"/>
    <cellStyle name="Note 2 2 3 11 4 2" xfId="30202"/>
    <cellStyle name="Note 2 2 3 11 5" xfId="30203"/>
    <cellStyle name="Note 2 2 3 12" xfId="30204"/>
    <cellStyle name="Note 2 2 3 12 2" xfId="30205"/>
    <cellStyle name="Note 2 2 3 12 2 2" xfId="30206"/>
    <cellStyle name="Note 2 2 3 12 3" xfId="30207"/>
    <cellStyle name="Note 2 2 3 12 3 2" xfId="30208"/>
    <cellStyle name="Note 2 2 3 12 4" xfId="30209"/>
    <cellStyle name="Note 2 2 3 12 4 2" xfId="30210"/>
    <cellStyle name="Note 2 2 3 12 5" xfId="30211"/>
    <cellStyle name="Note 2 2 3 13" xfId="30212"/>
    <cellStyle name="Note 2 2 3 13 2" xfId="30213"/>
    <cellStyle name="Note 2 2 3 13 2 2" xfId="30214"/>
    <cellStyle name="Note 2 2 3 13 3" xfId="30215"/>
    <cellStyle name="Note 2 2 3 13 3 2" xfId="30216"/>
    <cellStyle name="Note 2 2 3 13 4" xfId="30217"/>
    <cellStyle name="Note 2 2 3 13 4 2" xfId="30218"/>
    <cellStyle name="Note 2 2 3 13 5" xfId="30219"/>
    <cellStyle name="Note 2 2 3 14" xfId="30220"/>
    <cellStyle name="Note 2 2 3 14 2" xfId="30221"/>
    <cellStyle name="Note 2 2 3 14 2 2" xfId="30222"/>
    <cellStyle name="Note 2 2 3 14 3" xfId="30223"/>
    <cellStyle name="Note 2 2 3 14 3 2" xfId="30224"/>
    <cellStyle name="Note 2 2 3 14 4" xfId="30225"/>
    <cellStyle name="Note 2 2 3 14 4 2" xfId="30226"/>
    <cellStyle name="Note 2 2 3 14 5" xfId="30227"/>
    <cellStyle name="Note 2 2 3 15" xfId="30228"/>
    <cellStyle name="Note 2 2 3 15 2" xfId="30229"/>
    <cellStyle name="Note 2 2 3 16" xfId="30230"/>
    <cellStyle name="Note 2 2 3 16 2" xfId="30231"/>
    <cellStyle name="Note 2 2 3 17" xfId="30232"/>
    <cellStyle name="Note 2 2 3 17 2" xfId="30233"/>
    <cellStyle name="Note 2 2 3 18" xfId="30234"/>
    <cellStyle name="Note 2 2 3 18 2" xfId="30235"/>
    <cellStyle name="Note 2 2 3 19" xfId="30236"/>
    <cellStyle name="Note 2 2 3 19 2" xfId="30237"/>
    <cellStyle name="Note 2 2 3 2" xfId="30238"/>
    <cellStyle name="Note 2 2 3 2 10" xfId="30239"/>
    <cellStyle name="Note 2 2 3 2 10 2" xfId="30240"/>
    <cellStyle name="Note 2 2 3 2 11" xfId="30241"/>
    <cellStyle name="Note 2 2 3 2 11 2" xfId="30242"/>
    <cellStyle name="Note 2 2 3 2 12" xfId="30243"/>
    <cellStyle name="Note 2 2 3 2 12 2" xfId="30244"/>
    <cellStyle name="Note 2 2 3 2 13" xfId="30245"/>
    <cellStyle name="Note 2 2 3 2 13 2" xfId="30246"/>
    <cellStyle name="Note 2 2 3 2 14" xfId="30247"/>
    <cellStyle name="Note 2 2 3 2 14 2" xfId="30248"/>
    <cellStyle name="Note 2 2 3 2 15" xfId="30249"/>
    <cellStyle name="Note 2 2 3 2 15 2" xfId="30250"/>
    <cellStyle name="Note 2 2 3 2 16" xfId="30251"/>
    <cellStyle name="Note 2 2 3 2 16 2" xfId="30252"/>
    <cellStyle name="Note 2 2 3 2 17" xfId="30253"/>
    <cellStyle name="Note 2 2 3 2 17 2" xfId="30254"/>
    <cellStyle name="Note 2 2 3 2 18" xfId="30255"/>
    <cellStyle name="Note 2 2 3 2 18 2" xfId="30256"/>
    <cellStyle name="Note 2 2 3 2 19" xfId="30257"/>
    <cellStyle name="Note 2 2 3 2 19 2" xfId="30258"/>
    <cellStyle name="Note 2 2 3 2 2" xfId="30259"/>
    <cellStyle name="Note 2 2 3 2 2 2" xfId="30260"/>
    <cellStyle name="Note 2 2 3 2 2 3" xfId="30261"/>
    <cellStyle name="Note 2 2 3 2 20" xfId="30262"/>
    <cellStyle name="Note 2 2 3 2 20 2" xfId="30263"/>
    <cellStyle name="Note 2 2 3 2 21" xfId="30264"/>
    <cellStyle name="Note 2 2 3 2 21 2" xfId="30265"/>
    <cellStyle name="Note 2 2 3 2 22" xfId="30266"/>
    <cellStyle name="Note 2 2 3 2 22 2" xfId="30267"/>
    <cellStyle name="Note 2 2 3 2 23" xfId="30268"/>
    <cellStyle name="Note 2 2 3 2 23 2" xfId="30269"/>
    <cellStyle name="Note 2 2 3 2 24" xfId="30270"/>
    <cellStyle name="Note 2 2 3 2 24 2" xfId="30271"/>
    <cellStyle name="Note 2 2 3 2 25" xfId="30272"/>
    <cellStyle name="Note 2 2 3 2 25 2" xfId="30273"/>
    <cellStyle name="Note 2 2 3 2 26" xfId="30274"/>
    <cellStyle name="Note 2 2 3 2 26 2" xfId="30275"/>
    <cellStyle name="Note 2 2 3 2 27" xfId="30276"/>
    <cellStyle name="Note 2 2 3 2 27 2" xfId="30277"/>
    <cellStyle name="Note 2 2 3 2 28" xfId="30278"/>
    <cellStyle name="Note 2 2 3 2 28 2" xfId="30279"/>
    <cellStyle name="Note 2 2 3 2 29" xfId="30280"/>
    <cellStyle name="Note 2 2 3 2 29 2" xfId="30281"/>
    <cellStyle name="Note 2 2 3 2 3" xfId="30282"/>
    <cellStyle name="Note 2 2 3 2 3 2" xfId="30283"/>
    <cellStyle name="Note 2 2 3 2 3 3" xfId="30284"/>
    <cellStyle name="Note 2 2 3 2 30" xfId="30285"/>
    <cellStyle name="Note 2 2 3 2 30 2" xfId="30286"/>
    <cellStyle name="Note 2 2 3 2 31" xfId="30287"/>
    <cellStyle name="Note 2 2 3 2 4" xfId="30288"/>
    <cellStyle name="Note 2 2 3 2 4 2" xfId="30289"/>
    <cellStyle name="Note 2 2 3 2 5" xfId="30290"/>
    <cellStyle name="Note 2 2 3 2 5 2" xfId="30291"/>
    <cellStyle name="Note 2 2 3 2 6" xfId="30292"/>
    <cellStyle name="Note 2 2 3 2 6 2" xfId="30293"/>
    <cellStyle name="Note 2 2 3 2 7" xfId="30294"/>
    <cellStyle name="Note 2 2 3 2 7 2" xfId="30295"/>
    <cellStyle name="Note 2 2 3 2 8" xfId="30296"/>
    <cellStyle name="Note 2 2 3 2 8 2" xfId="30297"/>
    <cellStyle name="Note 2 2 3 2 9" xfId="30298"/>
    <cellStyle name="Note 2 2 3 2 9 2" xfId="30299"/>
    <cellStyle name="Note 2 2 3 20" xfId="30300"/>
    <cellStyle name="Note 2 2 3 20 2" xfId="30301"/>
    <cellStyle name="Note 2 2 3 21" xfId="30302"/>
    <cellStyle name="Note 2 2 3 21 2" xfId="30303"/>
    <cellStyle name="Note 2 2 3 22" xfId="30304"/>
    <cellStyle name="Note 2 2 3 22 2" xfId="30305"/>
    <cellStyle name="Note 2 2 3 23" xfId="30306"/>
    <cellStyle name="Note 2 2 3 23 2" xfId="30307"/>
    <cellStyle name="Note 2 2 3 24" xfId="30308"/>
    <cellStyle name="Note 2 2 3 24 2" xfId="30309"/>
    <cellStyle name="Note 2 2 3 25" xfId="30310"/>
    <cellStyle name="Note 2 2 3 25 2" xfId="30311"/>
    <cellStyle name="Note 2 2 3 26" xfId="30312"/>
    <cellStyle name="Note 2 2 3 26 2" xfId="30313"/>
    <cellStyle name="Note 2 2 3 27" xfId="30314"/>
    <cellStyle name="Note 2 2 3 27 2" xfId="30315"/>
    <cellStyle name="Note 2 2 3 28" xfId="30316"/>
    <cellStyle name="Note 2 2 3 28 2" xfId="30317"/>
    <cellStyle name="Note 2 2 3 29" xfId="30318"/>
    <cellStyle name="Note 2 2 3 29 2" xfId="30319"/>
    <cellStyle name="Note 2 2 3 3" xfId="30320"/>
    <cellStyle name="Note 2 2 3 3 2" xfId="30321"/>
    <cellStyle name="Note 2 2 3 3 2 2" xfId="30322"/>
    <cellStyle name="Note 2 2 3 3 3" xfId="30323"/>
    <cellStyle name="Note 2 2 3 3 3 2" xfId="30324"/>
    <cellStyle name="Note 2 2 3 3 4" xfId="30325"/>
    <cellStyle name="Note 2 2 3 3 4 2" xfId="30326"/>
    <cellStyle name="Note 2 2 3 3 5" xfId="30327"/>
    <cellStyle name="Note 2 2 3 30" xfId="30328"/>
    <cellStyle name="Note 2 2 3 30 2" xfId="30329"/>
    <cellStyle name="Note 2 2 3 31" xfId="30330"/>
    <cellStyle name="Note 2 2 3 31 2" xfId="30331"/>
    <cellStyle name="Note 2 2 3 32" xfId="30332"/>
    <cellStyle name="Note 2 2 3 32 2" xfId="30333"/>
    <cellStyle name="Note 2 2 3 33" xfId="30334"/>
    <cellStyle name="Note 2 2 3 33 2" xfId="30335"/>
    <cellStyle name="Note 2 2 3 34" xfId="30336"/>
    <cellStyle name="Note 2 2 3 34 2" xfId="30337"/>
    <cellStyle name="Note 2 2 3 35" xfId="30338"/>
    <cellStyle name="Note 2 2 3 35 2" xfId="30339"/>
    <cellStyle name="Note 2 2 3 36" xfId="30340"/>
    <cellStyle name="Note 2 2 3 36 2" xfId="30341"/>
    <cellStyle name="Note 2 2 3 37" xfId="30342"/>
    <cellStyle name="Note 2 2 3 37 2" xfId="30343"/>
    <cellStyle name="Note 2 2 3 38" xfId="30344"/>
    <cellStyle name="Note 2 2 3 38 2" xfId="30345"/>
    <cellStyle name="Note 2 2 3 39" xfId="30346"/>
    <cellStyle name="Note 2 2 3 39 2" xfId="30347"/>
    <cellStyle name="Note 2 2 3 4" xfId="30348"/>
    <cellStyle name="Note 2 2 3 4 2" xfId="30349"/>
    <cellStyle name="Note 2 2 3 4 2 2" xfId="30350"/>
    <cellStyle name="Note 2 2 3 4 3" xfId="30351"/>
    <cellStyle name="Note 2 2 3 4 3 2" xfId="30352"/>
    <cellStyle name="Note 2 2 3 4 4" xfId="30353"/>
    <cellStyle name="Note 2 2 3 4 4 2" xfId="30354"/>
    <cellStyle name="Note 2 2 3 4 5" xfId="30355"/>
    <cellStyle name="Note 2 2 3 40" xfId="30356"/>
    <cellStyle name="Note 2 2 3 40 2" xfId="30357"/>
    <cellStyle name="Note 2 2 3 41" xfId="30358"/>
    <cellStyle name="Note 2 2 3 41 2" xfId="30359"/>
    <cellStyle name="Note 2 2 3 42" xfId="30360"/>
    <cellStyle name="Note 2 2 3 42 2" xfId="30361"/>
    <cellStyle name="Note 2 2 3 43" xfId="30362"/>
    <cellStyle name="Note 2 2 3 43 2" xfId="30363"/>
    <cellStyle name="Note 2 2 3 44" xfId="30364"/>
    <cellStyle name="Note 2 2 3 44 2" xfId="30365"/>
    <cellStyle name="Note 2 2 3 45" xfId="30366"/>
    <cellStyle name="Note 2 2 3 45 2" xfId="30367"/>
    <cellStyle name="Note 2 2 3 46" xfId="30368"/>
    <cellStyle name="Note 2 2 3 46 2" xfId="30369"/>
    <cellStyle name="Note 2 2 3 47" xfId="30370"/>
    <cellStyle name="Note 2 2 3 47 2" xfId="30371"/>
    <cellStyle name="Note 2 2 3 48" xfId="30372"/>
    <cellStyle name="Note 2 2 3 48 2" xfId="30373"/>
    <cellStyle name="Note 2 2 3 49" xfId="30374"/>
    <cellStyle name="Note 2 2 3 49 2" xfId="30375"/>
    <cellStyle name="Note 2 2 3 5" xfId="30376"/>
    <cellStyle name="Note 2 2 3 5 2" xfId="30377"/>
    <cellStyle name="Note 2 2 3 5 2 2" xfId="30378"/>
    <cellStyle name="Note 2 2 3 5 3" xfId="30379"/>
    <cellStyle name="Note 2 2 3 5 3 2" xfId="30380"/>
    <cellStyle name="Note 2 2 3 5 4" xfId="30381"/>
    <cellStyle name="Note 2 2 3 5 4 2" xfId="30382"/>
    <cellStyle name="Note 2 2 3 5 5" xfId="30383"/>
    <cellStyle name="Note 2 2 3 50" xfId="30384"/>
    <cellStyle name="Note 2 2 3 50 2" xfId="30385"/>
    <cellStyle name="Note 2 2 3 51" xfId="30386"/>
    <cellStyle name="Note 2 2 3 51 2" xfId="30387"/>
    <cellStyle name="Note 2 2 3 52" xfId="30388"/>
    <cellStyle name="Note 2 2 3 52 2" xfId="30389"/>
    <cellStyle name="Note 2 2 3 53" xfId="30390"/>
    <cellStyle name="Note 2 2 3 53 2" xfId="30391"/>
    <cellStyle name="Note 2 2 3 54" xfId="30392"/>
    <cellStyle name="Note 2 2 3 54 2" xfId="30393"/>
    <cellStyle name="Note 2 2 3 55" xfId="30394"/>
    <cellStyle name="Note 2 2 3 55 2" xfId="30395"/>
    <cellStyle name="Note 2 2 3 56" xfId="30396"/>
    <cellStyle name="Note 2 2 3 56 2" xfId="30397"/>
    <cellStyle name="Note 2 2 3 57" xfId="30398"/>
    <cellStyle name="Note 2 2 3 57 2" xfId="30399"/>
    <cellStyle name="Note 2 2 3 58" xfId="30400"/>
    <cellStyle name="Note 2 2 3 58 2" xfId="30401"/>
    <cellStyle name="Note 2 2 3 59" xfId="30402"/>
    <cellStyle name="Note 2 2 3 59 2" xfId="30403"/>
    <cellStyle name="Note 2 2 3 6" xfId="30404"/>
    <cellStyle name="Note 2 2 3 6 2" xfId="30405"/>
    <cellStyle name="Note 2 2 3 6 2 2" xfId="30406"/>
    <cellStyle name="Note 2 2 3 6 3" xfId="30407"/>
    <cellStyle name="Note 2 2 3 6 3 2" xfId="30408"/>
    <cellStyle name="Note 2 2 3 6 4" xfId="30409"/>
    <cellStyle name="Note 2 2 3 6 4 2" xfId="30410"/>
    <cellStyle name="Note 2 2 3 6 5" xfId="30411"/>
    <cellStyle name="Note 2 2 3 60" xfId="30412"/>
    <cellStyle name="Note 2 2 3 60 2" xfId="30413"/>
    <cellStyle name="Note 2 2 3 61" xfId="30414"/>
    <cellStyle name="Note 2 2 3 61 2" xfId="30415"/>
    <cellStyle name="Note 2 2 3 62" xfId="30416"/>
    <cellStyle name="Note 2 2 3 7" xfId="30417"/>
    <cellStyle name="Note 2 2 3 7 2" xfId="30418"/>
    <cellStyle name="Note 2 2 3 7 2 2" xfId="30419"/>
    <cellStyle name="Note 2 2 3 7 3" xfId="30420"/>
    <cellStyle name="Note 2 2 3 7 3 2" xfId="30421"/>
    <cellStyle name="Note 2 2 3 7 4" xfId="30422"/>
    <cellStyle name="Note 2 2 3 7 4 2" xfId="30423"/>
    <cellStyle name="Note 2 2 3 7 5" xfId="30424"/>
    <cellStyle name="Note 2 2 3 8" xfId="30425"/>
    <cellStyle name="Note 2 2 3 8 2" xfId="30426"/>
    <cellStyle name="Note 2 2 3 8 2 2" xfId="30427"/>
    <cellStyle name="Note 2 2 3 8 3" xfId="30428"/>
    <cellStyle name="Note 2 2 3 8 3 2" xfId="30429"/>
    <cellStyle name="Note 2 2 3 8 4" xfId="30430"/>
    <cellStyle name="Note 2 2 3 8 4 2" xfId="30431"/>
    <cellStyle name="Note 2 2 3 8 5" xfId="30432"/>
    <cellStyle name="Note 2 2 3 9" xfId="30433"/>
    <cellStyle name="Note 2 2 3 9 2" xfId="30434"/>
    <cellStyle name="Note 2 2 3 9 2 2" xfId="30435"/>
    <cellStyle name="Note 2 2 3 9 3" xfId="30436"/>
    <cellStyle name="Note 2 2 3 9 3 2" xfId="30437"/>
    <cellStyle name="Note 2 2 3 9 4" xfId="30438"/>
    <cellStyle name="Note 2 2 3 9 4 2" xfId="30439"/>
    <cellStyle name="Note 2 2 3 9 5" xfId="30440"/>
    <cellStyle name="Note 2 2 30" xfId="30441"/>
    <cellStyle name="Note 2 2 30 10" xfId="30442"/>
    <cellStyle name="Note 2 2 30 10 2" xfId="30443"/>
    <cellStyle name="Note 2 2 30 10 2 2" xfId="30444"/>
    <cellStyle name="Note 2 2 30 10 3" xfId="30445"/>
    <cellStyle name="Note 2 2 30 10 3 2" xfId="30446"/>
    <cellStyle name="Note 2 2 30 10 4" xfId="30447"/>
    <cellStyle name="Note 2 2 30 10 4 2" xfId="30448"/>
    <cellStyle name="Note 2 2 30 10 5" xfId="30449"/>
    <cellStyle name="Note 2 2 30 11" xfId="30450"/>
    <cellStyle name="Note 2 2 30 11 2" xfId="30451"/>
    <cellStyle name="Note 2 2 30 11 2 2" xfId="30452"/>
    <cellStyle name="Note 2 2 30 11 3" xfId="30453"/>
    <cellStyle name="Note 2 2 30 11 3 2" xfId="30454"/>
    <cellStyle name="Note 2 2 30 11 4" xfId="30455"/>
    <cellStyle name="Note 2 2 30 11 4 2" xfId="30456"/>
    <cellStyle name="Note 2 2 30 11 5" xfId="30457"/>
    <cellStyle name="Note 2 2 30 12" xfId="30458"/>
    <cellStyle name="Note 2 2 30 12 2" xfId="30459"/>
    <cellStyle name="Note 2 2 30 12 2 2" xfId="30460"/>
    <cellStyle name="Note 2 2 30 12 3" xfId="30461"/>
    <cellStyle name="Note 2 2 30 12 3 2" xfId="30462"/>
    <cellStyle name="Note 2 2 30 12 4" xfId="30463"/>
    <cellStyle name="Note 2 2 30 12 4 2" xfId="30464"/>
    <cellStyle name="Note 2 2 30 12 5" xfId="30465"/>
    <cellStyle name="Note 2 2 30 13" xfId="30466"/>
    <cellStyle name="Note 2 2 30 13 2" xfId="30467"/>
    <cellStyle name="Note 2 2 30 13 2 2" xfId="30468"/>
    <cellStyle name="Note 2 2 30 13 3" xfId="30469"/>
    <cellStyle name="Note 2 2 30 13 3 2" xfId="30470"/>
    <cellStyle name="Note 2 2 30 13 4" xfId="30471"/>
    <cellStyle name="Note 2 2 30 13 4 2" xfId="30472"/>
    <cellStyle name="Note 2 2 30 13 5" xfId="30473"/>
    <cellStyle name="Note 2 2 30 14" xfId="30474"/>
    <cellStyle name="Note 2 2 30 14 2" xfId="30475"/>
    <cellStyle name="Note 2 2 30 14 2 2" xfId="30476"/>
    <cellStyle name="Note 2 2 30 14 3" xfId="30477"/>
    <cellStyle name="Note 2 2 30 14 3 2" xfId="30478"/>
    <cellStyle name="Note 2 2 30 14 4" xfId="30479"/>
    <cellStyle name="Note 2 2 30 14 4 2" xfId="30480"/>
    <cellStyle name="Note 2 2 30 14 5" xfId="30481"/>
    <cellStyle name="Note 2 2 30 15" xfId="30482"/>
    <cellStyle name="Note 2 2 30 15 2" xfId="30483"/>
    <cellStyle name="Note 2 2 30 16" xfId="30484"/>
    <cellStyle name="Note 2 2 30 16 2" xfId="30485"/>
    <cellStyle name="Note 2 2 30 17" xfId="30486"/>
    <cellStyle name="Note 2 2 30 17 2" xfId="30487"/>
    <cellStyle name="Note 2 2 30 18" xfId="30488"/>
    <cellStyle name="Note 2 2 30 18 2" xfId="30489"/>
    <cellStyle name="Note 2 2 30 19" xfId="30490"/>
    <cellStyle name="Note 2 2 30 19 2" xfId="30491"/>
    <cellStyle name="Note 2 2 30 2" xfId="30492"/>
    <cellStyle name="Note 2 2 30 2 10" xfId="30493"/>
    <cellStyle name="Note 2 2 30 2 10 2" xfId="30494"/>
    <cellStyle name="Note 2 2 30 2 11" xfId="30495"/>
    <cellStyle name="Note 2 2 30 2 11 2" xfId="30496"/>
    <cellStyle name="Note 2 2 30 2 12" xfId="30497"/>
    <cellStyle name="Note 2 2 30 2 12 2" xfId="30498"/>
    <cellStyle name="Note 2 2 30 2 13" xfId="30499"/>
    <cellStyle name="Note 2 2 30 2 13 2" xfId="30500"/>
    <cellStyle name="Note 2 2 30 2 14" xfId="30501"/>
    <cellStyle name="Note 2 2 30 2 14 2" xfId="30502"/>
    <cellStyle name="Note 2 2 30 2 15" xfId="30503"/>
    <cellStyle name="Note 2 2 30 2 15 2" xfId="30504"/>
    <cellStyle name="Note 2 2 30 2 16" xfId="30505"/>
    <cellStyle name="Note 2 2 30 2 16 2" xfId="30506"/>
    <cellStyle name="Note 2 2 30 2 17" xfId="30507"/>
    <cellStyle name="Note 2 2 30 2 17 2" xfId="30508"/>
    <cellStyle name="Note 2 2 30 2 18" xfId="30509"/>
    <cellStyle name="Note 2 2 30 2 18 2" xfId="30510"/>
    <cellStyle name="Note 2 2 30 2 19" xfId="30511"/>
    <cellStyle name="Note 2 2 30 2 19 2" xfId="30512"/>
    <cellStyle name="Note 2 2 30 2 2" xfId="30513"/>
    <cellStyle name="Note 2 2 30 2 2 2" xfId="30514"/>
    <cellStyle name="Note 2 2 30 2 2 3" xfId="30515"/>
    <cellStyle name="Note 2 2 30 2 20" xfId="30516"/>
    <cellStyle name="Note 2 2 30 2 20 2" xfId="30517"/>
    <cellStyle name="Note 2 2 30 2 21" xfId="30518"/>
    <cellStyle name="Note 2 2 30 2 21 2" xfId="30519"/>
    <cellStyle name="Note 2 2 30 2 22" xfId="30520"/>
    <cellStyle name="Note 2 2 30 2 22 2" xfId="30521"/>
    <cellStyle name="Note 2 2 30 2 23" xfId="30522"/>
    <cellStyle name="Note 2 2 30 2 23 2" xfId="30523"/>
    <cellStyle name="Note 2 2 30 2 24" xfId="30524"/>
    <cellStyle name="Note 2 2 30 2 24 2" xfId="30525"/>
    <cellStyle name="Note 2 2 30 2 25" xfId="30526"/>
    <cellStyle name="Note 2 2 30 2 25 2" xfId="30527"/>
    <cellStyle name="Note 2 2 30 2 26" xfId="30528"/>
    <cellStyle name="Note 2 2 30 2 26 2" xfId="30529"/>
    <cellStyle name="Note 2 2 30 2 27" xfId="30530"/>
    <cellStyle name="Note 2 2 30 2 27 2" xfId="30531"/>
    <cellStyle name="Note 2 2 30 2 28" xfId="30532"/>
    <cellStyle name="Note 2 2 30 2 28 2" xfId="30533"/>
    <cellStyle name="Note 2 2 30 2 29" xfId="30534"/>
    <cellStyle name="Note 2 2 30 2 29 2" xfId="30535"/>
    <cellStyle name="Note 2 2 30 2 3" xfId="30536"/>
    <cellStyle name="Note 2 2 30 2 3 2" xfId="30537"/>
    <cellStyle name="Note 2 2 30 2 3 3" xfId="30538"/>
    <cellStyle name="Note 2 2 30 2 30" xfId="30539"/>
    <cellStyle name="Note 2 2 30 2 30 2" xfId="30540"/>
    <cellStyle name="Note 2 2 30 2 31" xfId="30541"/>
    <cellStyle name="Note 2 2 30 2 4" xfId="30542"/>
    <cellStyle name="Note 2 2 30 2 4 2" xfId="30543"/>
    <cellStyle name="Note 2 2 30 2 5" xfId="30544"/>
    <cellStyle name="Note 2 2 30 2 5 2" xfId="30545"/>
    <cellStyle name="Note 2 2 30 2 6" xfId="30546"/>
    <cellStyle name="Note 2 2 30 2 6 2" xfId="30547"/>
    <cellStyle name="Note 2 2 30 2 7" xfId="30548"/>
    <cellStyle name="Note 2 2 30 2 7 2" xfId="30549"/>
    <cellStyle name="Note 2 2 30 2 8" xfId="30550"/>
    <cellStyle name="Note 2 2 30 2 8 2" xfId="30551"/>
    <cellStyle name="Note 2 2 30 2 9" xfId="30552"/>
    <cellStyle name="Note 2 2 30 2 9 2" xfId="30553"/>
    <cellStyle name="Note 2 2 30 20" xfId="30554"/>
    <cellStyle name="Note 2 2 30 20 2" xfId="30555"/>
    <cellStyle name="Note 2 2 30 21" xfId="30556"/>
    <cellStyle name="Note 2 2 30 21 2" xfId="30557"/>
    <cellStyle name="Note 2 2 30 22" xfId="30558"/>
    <cellStyle name="Note 2 2 30 22 2" xfId="30559"/>
    <cellStyle name="Note 2 2 30 23" xfId="30560"/>
    <cellStyle name="Note 2 2 30 23 2" xfId="30561"/>
    <cellStyle name="Note 2 2 30 24" xfId="30562"/>
    <cellStyle name="Note 2 2 30 24 2" xfId="30563"/>
    <cellStyle name="Note 2 2 30 25" xfId="30564"/>
    <cellStyle name="Note 2 2 30 25 2" xfId="30565"/>
    <cellStyle name="Note 2 2 30 26" xfId="30566"/>
    <cellStyle name="Note 2 2 30 26 2" xfId="30567"/>
    <cellStyle name="Note 2 2 30 27" xfId="30568"/>
    <cellStyle name="Note 2 2 30 27 2" xfId="30569"/>
    <cellStyle name="Note 2 2 30 28" xfId="30570"/>
    <cellStyle name="Note 2 2 30 28 2" xfId="30571"/>
    <cellStyle name="Note 2 2 30 29" xfId="30572"/>
    <cellStyle name="Note 2 2 30 29 2" xfId="30573"/>
    <cellStyle name="Note 2 2 30 3" xfId="30574"/>
    <cellStyle name="Note 2 2 30 3 2" xfId="30575"/>
    <cellStyle name="Note 2 2 30 3 2 2" xfId="30576"/>
    <cellStyle name="Note 2 2 30 3 3" xfId="30577"/>
    <cellStyle name="Note 2 2 30 3 3 2" xfId="30578"/>
    <cellStyle name="Note 2 2 30 3 4" xfId="30579"/>
    <cellStyle name="Note 2 2 30 3 4 2" xfId="30580"/>
    <cellStyle name="Note 2 2 30 3 5" xfId="30581"/>
    <cellStyle name="Note 2 2 30 30" xfId="30582"/>
    <cellStyle name="Note 2 2 30 30 2" xfId="30583"/>
    <cellStyle name="Note 2 2 30 31" xfId="30584"/>
    <cellStyle name="Note 2 2 30 31 2" xfId="30585"/>
    <cellStyle name="Note 2 2 30 32" xfId="30586"/>
    <cellStyle name="Note 2 2 30 32 2" xfId="30587"/>
    <cellStyle name="Note 2 2 30 33" xfId="30588"/>
    <cellStyle name="Note 2 2 30 33 2" xfId="30589"/>
    <cellStyle name="Note 2 2 30 34" xfId="30590"/>
    <cellStyle name="Note 2 2 30 34 2" xfId="30591"/>
    <cellStyle name="Note 2 2 30 35" xfId="30592"/>
    <cellStyle name="Note 2 2 30 35 2" xfId="30593"/>
    <cellStyle name="Note 2 2 30 36" xfId="30594"/>
    <cellStyle name="Note 2 2 30 36 2" xfId="30595"/>
    <cellStyle name="Note 2 2 30 37" xfId="30596"/>
    <cellStyle name="Note 2 2 30 37 2" xfId="30597"/>
    <cellStyle name="Note 2 2 30 38" xfId="30598"/>
    <cellStyle name="Note 2 2 30 38 2" xfId="30599"/>
    <cellStyle name="Note 2 2 30 39" xfId="30600"/>
    <cellStyle name="Note 2 2 30 39 2" xfId="30601"/>
    <cellStyle name="Note 2 2 30 4" xfId="30602"/>
    <cellStyle name="Note 2 2 30 4 2" xfId="30603"/>
    <cellStyle name="Note 2 2 30 4 2 2" xfId="30604"/>
    <cellStyle name="Note 2 2 30 4 3" xfId="30605"/>
    <cellStyle name="Note 2 2 30 4 3 2" xfId="30606"/>
    <cellStyle name="Note 2 2 30 4 4" xfId="30607"/>
    <cellStyle name="Note 2 2 30 4 4 2" xfId="30608"/>
    <cellStyle name="Note 2 2 30 4 5" xfId="30609"/>
    <cellStyle name="Note 2 2 30 40" xfId="30610"/>
    <cellStyle name="Note 2 2 30 40 2" xfId="30611"/>
    <cellStyle name="Note 2 2 30 41" xfId="30612"/>
    <cellStyle name="Note 2 2 30 41 2" xfId="30613"/>
    <cellStyle name="Note 2 2 30 42" xfId="30614"/>
    <cellStyle name="Note 2 2 30 42 2" xfId="30615"/>
    <cellStyle name="Note 2 2 30 43" xfId="30616"/>
    <cellStyle name="Note 2 2 30 43 2" xfId="30617"/>
    <cellStyle name="Note 2 2 30 44" xfId="30618"/>
    <cellStyle name="Note 2 2 30 44 2" xfId="30619"/>
    <cellStyle name="Note 2 2 30 45" xfId="30620"/>
    <cellStyle name="Note 2 2 30 45 2" xfId="30621"/>
    <cellStyle name="Note 2 2 30 46" xfId="30622"/>
    <cellStyle name="Note 2 2 30 46 2" xfId="30623"/>
    <cellStyle name="Note 2 2 30 47" xfId="30624"/>
    <cellStyle name="Note 2 2 30 47 2" xfId="30625"/>
    <cellStyle name="Note 2 2 30 48" xfId="30626"/>
    <cellStyle name="Note 2 2 30 48 2" xfId="30627"/>
    <cellStyle name="Note 2 2 30 49" xfId="30628"/>
    <cellStyle name="Note 2 2 30 49 2" xfId="30629"/>
    <cellStyle name="Note 2 2 30 5" xfId="30630"/>
    <cellStyle name="Note 2 2 30 5 2" xfId="30631"/>
    <cellStyle name="Note 2 2 30 5 2 2" xfId="30632"/>
    <cellStyle name="Note 2 2 30 5 3" xfId="30633"/>
    <cellStyle name="Note 2 2 30 5 3 2" xfId="30634"/>
    <cellStyle name="Note 2 2 30 5 4" xfId="30635"/>
    <cellStyle name="Note 2 2 30 5 4 2" xfId="30636"/>
    <cellStyle name="Note 2 2 30 5 5" xfId="30637"/>
    <cellStyle name="Note 2 2 30 50" xfId="30638"/>
    <cellStyle name="Note 2 2 30 50 2" xfId="30639"/>
    <cellStyle name="Note 2 2 30 51" xfId="30640"/>
    <cellStyle name="Note 2 2 30 51 2" xfId="30641"/>
    <cellStyle name="Note 2 2 30 52" xfId="30642"/>
    <cellStyle name="Note 2 2 30 52 2" xfId="30643"/>
    <cellStyle name="Note 2 2 30 53" xfId="30644"/>
    <cellStyle name="Note 2 2 30 53 2" xfId="30645"/>
    <cellStyle name="Note 2 2 30 54" xfId="30646"/>
    <cellStyle name="Note 2 2 30 54 2" xfId="30647"/>
    <cellStyle name="Note 2 2 30 55" xfId="30648"/>
    <cellStyle name="Note 2 2 30 55 2" xfId="30649"/>
    <cellStyle name="Note 2 2 30 56" xfId="30650"/>
    <cellStyle name="Note 2 2 30 56 2" xfId="30651"/>
    <cellStyle name="Note 2 2 30 57" xfId="30652"/>
    <cellStyle name="Note 2 2 30 57 2" xfId="30653"/>
    <cellStyle name="Note 2 2 30 58" xfId="30654"/>
    <cellStyle name="Note 2 2 30 58 2" xfId="30655"/>
    <cellStyle name="Note 2 2 30 59" xfId="30656"/>
    <cellStyle name="Note 2 2 30 59 2" xfId="30657"/>
    <cellStyle name="Note 2 2 30 6" xfId="30658"/>
    <cellStyle name="Note 2 2 30 6 2" xfId="30659"/>
    <cellStyle name="Note 2 2 30 6 2 2" xfId="30660"/>
    <cellStyle name="Note 2 2 30 6 3" xfId="30661"/>
    <cellStyle name="Note 2 2 30 6 3 2" xfId="30662"/>
    <cellStyle name="Note 2 2 30 6 4" xfId="30663"/>
    <cellStyle name="Note 2 2 30 6 4 2" xfId="30664"/>
    <cellStyle name="Note 2 2 30 6 5" xfId="30665"/>
    <cellStyle name="Note 2 2 30 60" xfId="30666"/>
    <cellStyle name="Note 2 2 30 60 2" xfId="30667"/>
    <cellStyle name="Note 2 2 30 61" xfId="30668"/>
    <cellStyle name="Note 2 2 30 61 2" xfId="30669"/>
    <cellStyle name="Note 2 2 30 62" xfId="30670"/>
    <cellStyle name="Note 2 2 30 7" xfId="30671"/>
    <cellStyle name="Note 2 2 30 7 2" xfId="30672"/>
    <cellStyle name="Note 2 2 30 7 2 2" xfId="30673"/>
    <cellStyle name="Note 2 2 30 7 3" xfId="30674"/>
    <cellStyle name="Note 2 2 30 7 3 2" xfId="30675"/>
    <cellStyle name="Note 2 2 30 7 4" xfId="30676"/>
    <cellStyle name="Note 2 2 30 7 4 2" xfId="30677"/>
    <cellStyle name="Note 2 2 30 7 5" xfId="30678"/>
    <cellStyle name="Note 2 2 30 8" xfId="30679"/>
    <cellStyle name="Note 2 2 30 8 2" xfId="30680"/>
    <cellStyle name="Note 2 2 30 8 2 2" xfId="30681"/>
    <cellStyle name="Note 2 2 30 8 3" xfId="30682"/>
    <cellStyle name="Note 2 2 30 8 3 2" xfId="30683"/>
    <cellStyle name="Note 2 2 30 8 4" xfId="30684"/>
    <cellStyle name="Note 2 2 30 8 4 2" xfId="30685"/>
    <cellStyle name="Note 2 2 30 8 5" xfId="30686"/>
    <cellStyle name="Note 2 2 30 9" xfId="30687"/>
    <cellStyle name="Note 2 2 30 9 2" xfId="30688"/>
    <cellStyle name="Note 2 2 30 9 2 2" xfId="30689"/>
    <cellStyle name="Note 2 2 30 9 3" xfId="30690"/>
    <cellStyle name="Note 2 2 30 9 3 2" xfId="30691"/>
    <cellStyle name="Note 2 2 30 9 4" xfId="30692"/>
    <cellStyle name="Note 2 2 30 9 4 2" xfId="30693"/>
    <cellStyle name="Note 2 2 30 9 5" xfId="30694"/>
    <cellStyle name="Note 2 2 31" xfId="30695"/>
    <cellStyle name="Note 2 2 31 10" xfId="30696"/>
    <cellStyle name="Note 2 2 31 10 2" xfId="30697"/>
    <cellStyle name="Note 2 2 31 10 2 2" xfId="30698"/>
    <cellStyle name="Note 2 2 31 10 3" xfId="30699"/>
    <cellStyle name="Note 2 2 31 10 3 2" xfId="30700"/>
    <cellStyle name="Note 2 2 31 10 4" xfId="30701"/>
    <cellStyle name="Note 2 2 31 10 4 2" xfId="30702"/>
    <cellStyle name="Note 2 2 31 10 5" xfId="30703"/>
    <cellStyle name="Note 2 2 31 11" xfId="30704"/>
    <cellStyle name="Note 2 2 31 11 2" xfId="30705"/>
    <cellStyle name="Note 2 2 31 11 2 2" xfId="30706"/>
    <cellStyle name="Note 2 2 31 11 3" xfId="30707"/>
    <cellStyle name="Note 2 2 31 11 3 2" xfId="30708"/>
    <cellStyle name="Note 2 2 31 11 4" xfId="30709"/>
    <cellStyle name="Note 2 2 31 11 4 2" xfId="30710"/>
    <cellStyle name="Note 2 2 31 11 5" xfId="30711"/>
    <cellStyle name="Note 2 2 31 12" xfId="30712"/>
    <cellStyle name="Note 2 2 31 12 2" xfId="30713"/>
    <cellStyle name="Note 2 2 31 12 2 2" xfId="30714"/>
    <cellStyle name="Note 2 2 31 12 3" xfId="30715"/>
    <cellStyle name="Note 2 2 31 12 3 2" xfId="30716"/>
    <cellStyle name="Note 2 2 31 12 4" xfId="30717"/>
    <cellStyle name="Note 2 2 31 12 4 2" xfId="30718"/>
    <cellStyle name="Note 2 2 31 12 5" xfId="30719"/>
    <cellStyle name="Note 2 2 31 13" xfId="30720"/>
    <cellStyle name="Note 2 2 31 13 2" xfId="30721"/>
    <cellStyle name="Note 2 2 31 13 2 2" xfId="30722"/>
    <cellStyle name="Note 2 2 31 13 3" xfId="30723"/>
    <cellStyle name="Note 2 2 31 13 3 2" xfId="30724"/>
    <cellStyle name="Note 2 2 31 13 4" xfId="30725"/>
    <cellStyle name="Note 2 2 31 13 4 2" xfId="30726"/>
    <cellStyle name="Note 2 2 31 13 5" xfId="30727"/>
    <cellStyle name="Note 2 2 31 14" xfId="30728"/>
    <cellStyle name="Note 2 2 31 14 2" xfId="30729"/>
    <cellStyle name="Note 2 2 31 14 2 2" xfId="30730"/>
    <cellStyle name="Note 2 2 31 14 3" xfId="30731"/>
    <cellStyle name="Note 2 2 31 14 3 2" xfId="30732"/>
    <cellStyle name="Note 2 2 31 14 4" xfId="30733"/>
    <cellStyle name="Note 2 2 31 14 4 2" xfId="30734"/>
    <cellStyle name="Note 2 2 31 14 5" xfId="30735"/>
    <cellStyle name="Note 2 2 31 15" xfId="30736"/>
    <cellStyle name="Note 2 2 31 15 2" xfId="30737"/>
    <cellStyle name="Note 2 2 31 16" xfId="30738"/>
    <cellStyle name="Note 2 2 31 16 2" xfId="30739"/>
    <cellStyle name="Note 2 2 31 17" xfId="30740"/>
    <cellStyle name="Note 2 2 31 17 2" xfId="30741"/>
    <cellStyle name="Note 2 2 31 18" xfId="30742"/>
    <cellStyle name="Note 2 2 31 18 2" xfId="30743"/>
    <cellStyle name="Note 2 2 31 19" xfId="30744"/>
    <cellStyle name="Note 2 2 31 19 2" xfId="30745"/>
    <cellStyle name="Note 2 2 31 2" xfId="30746"/>
    <cellStyle name="Note 2 2 31 2 10" xfId="30747"/>
    <cellStyle name="Note 2 2 31 2 10 2" xfId="30748"/>
    <cellStyle name="Note 2 2 31 2 11" xfId="30749"/>
    <cellStyle name="Note 2 2 31 2 11 2" xfId="30750"/>
    <cellStyle name="Note 2 2 31 2 12" xfId="30751"/>
    <cellStyle name="Note 2 2 31 2 12 2" xfId="30752"/>
    <cellStyle name="Note 2 2 31 2 13" xfId="30753"/>
    <cellStyle name="Note 2 2 31 2 13 2" xfId="30754"/>
    <cellStyle name="Note 2 2 31 2 14" xfId="30755"/>
    <cellStyle name="Note 2 2 31 2 14 2" xfId="30756"/>
    <cellStyle name="Note 2 2 31 2 15" xfId="30757"/>
    <cellStyle name="Note 2 2 31 2 15 2" xfId="30758"/>
    <cellStyle name="Note 2 2 31 2 16" xfId="30759"/>
    <cellStyle name="Note 2 2 31 2 16 2" xfId="30760"/>
    <cellStyle name="Note 2 2 31 2 17" xfId="30761"/>
    <cellStyle name="Note 2 2 31 2 17 2" xfId="30762"/>
    <cellStyle name="Note 2 2 31 2 18" xfId="30763"/>
    <cellStyle name="Note 2 2 31 2 18 2" xfId="30764"/>
    <cellStyle name="Note 2 2 31 2 19" xfId="30765"/>
    <cellStyle name="Note 2 2 31 2 19 2" xfId="30766"/>
    <cellStyle name="Note 2 2 31 2 2" xfId="30767"/>
    <cellStyle name="Note 2 2 31 2 2 2" xfId="30768"/>
    <cellStyle name="Note 2 2 31 2 2 3" xfId="30769"/>
    <cellStyle name="Note 2 2 31 2 20" xfId="30770"/>
    <cellStyle name="Note 2 2 31 2 20 2" xfId="30771"/>
    <cellStyle name="Note 2 2 31 2 21" xfId="30772"/>
    <cellStyle name="Note 2 2 31 2 21 2" xfId="30773"/>
    <cellStyle name="Note 2 2 31 2 22" xfId="30774"/>
    <cellStyle name="Note 2 2 31 2 22 2" xfId="30775"/>
    <cellStyle name="Note 2 2 31 2 23" xfId="30776"/>
    <cellStyle name="Note 2 2 31 2 23 2" xfId="30777"/>
    <cellStyle name="Note 2 2 31 2 24" xfId="30778"/>
    <cellStyle name="Note 2 2 31 2 24 2" xfId="30779"/>
    <cellStyle name="Note 2 2 31 2 25" xfId="30780"/>
    <cellStyle name="Note 2 2 31 2 25 2" xfId="30781"/>
    <cellStyle name="Note 2 2 31 2 26" xfId="30782"/>
    <cellStyle name="Note 2 2 31 2 26 2" xfId="30783"/>
    <cellStyle name="Note 2 2 31 2 27" xfId="30784"/>
    <cellStyle name="Note 2 2 31 2 27 2" xfId="30785"/>
    <cellStyle name="Note 2 2 31 2 28" xfId="30786"/>
    <cellStyle name="Note 2 2 31 2 28 2" xfId="30787"/>
    <cellStyle name="Note 2 2 31 2 29" xfId="30788"/>
    <cellStyle name="Note 2 2 31 2 29 2" xfId="30789"/>
    <cellStyle name="Note 2 2 31 2 3" xfId="30790"/>
    <cellStyle name="Note 2 2 31 2 3 2" xfId="30791"/>
    <cellStyle name="Note 2 2 31 2 3 3" xfId="30792"/>
    <cellStyle name="Note 2 2 31 2 30" xfId="30793"/>
    <cellStyle name="Note 2 2 31 2 30 2" xfId="30794"/>
    <cellStyle name="Note 2 2 31 2 31" xfId="30795"/>
    <cellStyle name="Note 2 2 31 2 4" xfId="30796"/>
    <cellStyle name="Note 2 2 31 2 4 2" xfId="30797"/>
    <cellStyle name="Note 2 2 31 2 5" xfId="30798"/>
    <cellStyle name="Note 2 2 31 2 5 2" xfId="30799"/>
    <cellStyle name="Note 2 2 31 2 6" xfId="30800"/>
    <cellStyle name="Note 2 2 31 2 6 2" xfId="30801"/>
    <cellStyle name="Note 2 2 31 2 7" xfId="30802"/>
    <cellStyle name="Note 2 2 31 2 7 2" xfId="30803"/>
    <cellStyle name="Note 2 2 31 2 8" xfId="30804"/>
    <cellStyle name="Note 2 2 31 2 8 2" xfId="30805"/>
    <cellStyle name="Note 2 2 31 2 9" xfId="30806"/>
    <cellStyle name="Note 2 2 31 2 9 2" xfId="30807"/>
    <cellStyle name="Note 2 2 31 20" xfId="30808"/>
    <cellStyle name="Note 2 2 31 20 2" xfId="30809"/>
    <cellStyle name="Note 2 2 31 21" xfId="30810"/>
    <cellStyle name="Note 2 2 31 21 2" xfId="30811"/>
    <cellStyle name="Note 2 2 31 22" xfId="30812"/>
    <cellStyle name="Note 2 2 31 22 2" xfId="30813"/>
    <cellStyle name="Note 2 2 31 23" xfId="30814"/>
    <cellStyle name="Note 2 2 31 23 2" xfId="30815"/>
    <cellStyle name="Note 2 2 31 24" xfId="30816"/>
    <cellStyle name="Note 2 2 31 24 2" xfId="30817"/>
    <cellStyle name="Note 2 2 31 25" xfId="30818"/>
    <cellStyle name="Note 2 2 31 25 2" xfId="30819"/>
    <cellStyle name="Note 2 2 31 26" xfId="30820"/>
    <cellStyle name="Note 2 2 31 26 2" xfId="30821"/>
    <cellStyle name="Note 2 2 31 27" xfId="30822"/>
    <cellStyle name="Note 2 2 31 27 2" xfId="30823"/>
    <cellStyle name="Note 2 2 31 28" xfId="30824"/>
    <cellStyle name="Note 2 2 31 28 2" xfId="30825"/>
    <cellStyle name="Note 2 2 31 29" xfId="30826"/>
    <cellStyle name="Note 2 2 31 29 2" xfId="30827"/>
    <cellStyle name="Note 2 2 31 3" xfId="30828"/>
    <cellStyle name="Note 2 2 31 3 2" xfId="30829"/>
    <cellStyle name="Note 2 2 31 3 2 2" xfId="30830"/>
    <cellStyle name="Note 2 2 31 3 3" xfId="30831"/>
    <cellStyle name="Note 2 2 31 3 3 2" xfId="30832"/>
    <cellStyle name="Note 2 2 31 3 4" xfId="30833"/>
    <cellStyle name="Note 2 2 31 3 4 2" xfId="30834"/>
    <cellStyle name="Note 2 2 31 3 5" xfId="30835"/>
    <cellStyle name="Note 2 2 31 30" xfId="30836"/>
    <cellStyle name="Note 2 2 31 30 2" xfId="30837"/>
    <cellStyle name="Note 2 2 31 31" xfId="30838"/>
    <cellStyle name="Note 2 2 31 31 2" xfId="30839"/>
    <cellStyle name="Note 2 2 31 32" xfId="30840"/>
    <cellStyle name="Note 2 2 31 32 2" xfId="30841"/>
    <cellStyle name="Note 2 2 31 33" xfId="30842"/>
    <cellStyle name="Note 2 2 31 33 2" xfId="30843"/>
    <cellStyle name="Note 2 2 31 34" xfId="30844"/>
    <cellStyle name="Note 2 2 31 34 2" xfId="30845"/>
    <cellStyle name="Note 2 2 31 35" xfId="30846"/>
    <cellStyle name="Note 2 2 31 35 2" xfId="30847"/>
    <cellStyle name="Note 2 2 31 36" xfId="30848"/>
    <cellStyle name="Note 2 2 31 36 2" xfId="30849"/>
    <cellStyle name="Note 2 2 31 37" xfId="30850"/>
    <cellStyle name="Note 2 2 31 37 2" xfId="30851"/>
    <cellStyle name="Note 2 2 31 38" xfId="30852"/>
    <cellStyle name="Note 2 2 31 38 2" xfId="30853"/>
    <cellStyle name="Note 2 2 31 39" xfId="30854"/>
    <cellStyle name="Note 2 2 31 39 2" xfId="30855"/>
    <cellStyle name="Note 2 2 31 4" xfId="30856"/>
    <cellStyle name="Note 2 2 31 4 2" xfId="30857"/>
    <cellStyle name="Note 2 2 31 4 2 2" xfId="30858"/>
    <cellStyle name="Note 2 2 31 4 3" xfId="30859"/>
    <cellStyle name="Note 2 2 31 4 3 2" xfId="30860"/>
    <cellStyle name="Note 2 2 31 4 4" xfId="30861"/>
    <cellStyle name="Note 2 2 31 4 4 2" xfId="30862"/>
    <cellStyle name="Note 2 2 31 4 5" xfId="30863"/>
    <cellStyle name="Note 2 2 31 40" xfId="30864"/>
    <cellStyle name="Note 2 2 31 40 2" xfId="30865"/>
    <cellStyle name="Note 2 2 31 41" xfId="30866"/>
    <cellStyle name="Note 2 2 31 41 2" xfId="30867"/>
    <cellStyle name="Note 2 2 31 42" xfId="30868"/>
    <cellStyle name="Note 2 2 31 42 2" xfId="30869"/>
    <cellStyle name="Note 2 2 31 43" xfId="30870"/>
    <cellStyle name="Note 2 2 31 43 2" xfId="30871"/>
    <cellStyle name="Note 2 2 31 44" xfId="30872"/>
    <cellStyle name="Note 2 2 31 44 2" xfId="30873"/>
    <cellStyle name="Note 2 2 31 45" xfId="30874"/>
    <cellStyle name="Note 2 2 31 45 2" xfId="30875"/>
    <cellStyle name="Note 2 2 31 46" xfId="30876"/>
    <cellStyle name="Note 2 2 31 46 2" xfId="30877"/>
    <cellStyle name="Note 2 2 31 47" xfId="30878"/>
    <cellStyle name="Note 2 2 31 47 2" xfId="30879"/>
    <cellStyle name="Note 2 2 31 48" xfId="30880"/>
    <cellStyle name="Note 2 2 31 48 2" xfId="30881"/>
    <cellStyle name="Note 2 2 31 49" xfId="30882"/>
    <cellStyle name="Note 2 2 31 49 2" xfId="30883"/>
    <cellStyle name="Note 2 2 31 5" xfId="30884"/>
    <cellStyle name="Note 2 2 31 5 2" xfId="30885"/>
    <cellStyle name="Note 2 2 31 5 2 2" xfId="30886"/>
    <cellStyle name="Note 2 2 31 5 3" xfId="30887"/>
    <cellStyle name="Note 2 2 31 5 3 2" xfId="30888"/>
    <cellStyle name="Note 2 2 31 5 4" xfId="30889"/>
    <cellStyle name="Note 2 2 31 5 4 2" xfId="30890"/>
    <cellStyle name="Note 2 2 31 5 5" xfId="30891"/>
    <cellStyle name="Note 2 2 31 50" xfId="30892"/>
    <cellStyle name="Note 2 2 31 50 2" xfId="30893"/>
    <cellStyle name="Note 2 2 31 51" xfId="30894"/>
    <cellStyle name="Note 2 2 31 51 2" xfId="30895"/>
    <cellStyle name="Note 2 2 31 52" xfId="30896"/>
    <cellStyle name="Note 2 2 31 52 2" xfId="30897"/>
    <cellStyle name="Note 2 2 31 53" xfId="30898"/>
    <cellStyle name="Note 2 2 31 53 2" xfId="30899"/>
    <cellStyle name="Note 2 2 31 54" xfId="30900"/>
    <cellStyle name="Note 2 2 31 54 2" xfId="30901"/>
    <cellStyle name="Note 2 2 31 55" xfId="30902"/>
    <cellStyle name="Note 2 2 31 55 2" xfId="30903"/>
    <cellStyle name="Note 2 2 31 56" xfId="30904"/>
    <cellStyle name="Note 2 2 31 56 2" xfId="30905"/>
    <cellStyle name="Note 2 2 31 57" xfId="30906"/>
    <cellStyle name="Note 2 2 31 57 2" xfId="30907"/>
    <cellStyle name="Note 2 2 31 58" xfId="30908"/>
    <cellStyle name="Note 2 2 31 58 2" xfId="30909"/>
    <cellStyle name="Note 2 2 31 59" xfId="30910"/>
    <cellStyle name="Note 2 2 31 59 2" xfId="30911"/>
    <cellStyle name="Note 2 2 31 6" xfId="30912"/>
    <cellStyle name="Note 2 2 31 6 2" xfId="30913"/>
    <cellStyle name="Note 2 2 31 6 2 2" xfId="30914"/>
    <cellStyle name="Note 2 2 31 6 3" xfId="30915"/>
    <cellStyle name="Note 2 2 31 6 3 2" xfId="30916"/>
    <cellStyle name="Note 2 2 31 6 4" xfId="30917"/>
    <cellStyle name="Note 2 2 31 6 4 2" xfId="30918"/>
    <cellStyle name="Note 2 2 31 6 5" xfId="30919"/>
    <cellStyle name="Note 2 2 31 60" xfId="30920"/>
    <cellStyle name="Note 2 2 31 60 2" xfId="30921"/>
    <cellStyle name="Note 2 2 31 61" xfId="30922"/>
    <cellStyle name="Note 2 2 31 61 2" xfId="30923"/>
    <cellStyle name="Note 2 2 31 62" xfId="30924"/>
    <cellStyle name="Note 2 2 31 7" xfId="30925"/>
    <cellStyle name="Note 2 2 31 7 2" xfId="30926"/>
    <cellStyle name="Note 2 2 31 7 2 2" xfId="30927"/>
    <cellStyle name="Note 2 2 31 7 3" xfId="30928"/>
    <cellStyle name="Note 2 2 31 7 3 2" xfId="30929"/>
    <cellStyle name="Note 2 2 31 7 4" xfId="30930"/>
    <cellStyle name="Note 2 2 31 7 4 2" xfId="30931"/>
    <cellStyle name="Note 2 2 31 7 5" xfId="30932"/>
    <cellStyle name="Note 2 2 31 8" xfId="30933"/>
    <cellStyle name="Note 2 2 31 8 2" xfId="30934"/>
    <cellStyle name="Note 2 2 31 8 2 2" xfId="30935"/>
    <cellStyle name="Note 2 2 31 8 3" xfId="30936"/>
    <cellStyle name="Note 2 2 31 8 3 2" xfId="30937"/>
    <cellStyle name="Note 2 2 31 8 4" xfId="30938"/>
    <cellStyle name="Note 2 2 31 8 4 2" xfId="30939"/>
    <cellStyle name="Note 2 2 31 8 5" xfId="30940"/>
    <cellStyle name="Note 2 2 31 9" xfId="30941"/>
    <cellStyle name="Note 2 2 31 9 2" xfId="30942"/>
    <cellStyle name="Note 2 2 31 9 2 2" xfId="30943"/>
    <cellStyle name="Note 2 2 31 9 3" xfId="30944"/>
    <cellStyle name="Note 2 2 31 9 3 2" xfId="30945"/>
    <cellStyle name="Note 2 2 31 9 4" xfId="30946"/>
    <cellStyle name="Note 2 2 31 9 4 2" xfId="30947"/>
    <cellStyle name="Note 2 2 31 9 5" xfId="30948"/>
    <cellStyle name="Note 2 2 32" xfId="30949"/>
    <cellStyle name="Note 2 2 32 10" xfId="30950"/>
    <cellStyle name="Note 2 2 32 10 2" xfId="30951"/>
    <cellStyle name="Note 2 2 32 10 2 2" xfId="30952"/>
    <cellStyle name="Note 2 2 32 10 3" xfId="30953"/>
    <cellStyle name="Note 2 2 32 10 3 2" xfId="30954"/>
    <cellStyle name="Note 2 2 32 10 4" xfId="30955"/>
    <cellStyle name="Note 2 2 32 10 4 2" xfId="30956"/>
    <cellStyle name="Note 2 2 32 10 5" xfId="30957"/>
    <cellStyle name="Note 2 2 32 11" xfId="30958"/>
    <cellStyle name="Note 2 2 32 11 2" xfId="30959"/>
    <cellStyle name="Note 2 2 32 11 2 2" xfId="30960"/>
    <cellStyle name="Note 2 2 32 11 3" xfId="30961"/>
    <cellStyle name="Note 2 2 32 11 3 2" xfId="30962"/>
    <cellStyle name="Note 2 2 32 11 4" xfId="30963"/>
    <cellStyle name="Note 2 2 32 11 4 2" xfId="30964"/>
    <cellStyle name="Note 2 2 32 11 5" xfId="30965"/>
    <cellStyle name="Note 2 2 32 12" xfId="30966"/>
    <cellStyle name="Note 2 2 32 12 2" xfId="30967"/>
    <cellStyle name="Note 2 2 32 12 2 2" xfId="30968"/>
    <cellStyle name="Note 2 2 32 12 3" xfId="30969"/>
    <cellStyle name="Note 2 2 32 12 3 2" xfId="30970"/>
    <cellStyle name="Note 2 2 32 12 4" xfId="30971"/>
    <cellStyle name="Note 2 2 32 12 4 2" xfId="30972"/>
    <cellStyle name="Note 2 2 32 12 5" xfId="30973"/>
    <cellStyle name="Note 2 2 32 13" xfId="30974"/>
    <cellStyle name="Note 2 2 32 13 2" xfId="30975"/>
    <cellStyle name="Note 2 2 32 13 2 2" xfId="30976"/>
    <cellStyle name="Note 2 2 32 13 3" xfId="30977"/>
    <cellStyle name="Note 2 2 32 13 3 2" xfId="30978"/>
    <cellStyle name="Note 2 2 32 13 4" xfId="30979"/>
    <cellStyle name="Note 2 2 32 13 4 2" xfId="30980"/>
    <cellStyle name="Note 2 2 32 13 5" xfId="30981"/>
    <cellStyle name="Note 2 2 32 14" xfId="30982"/>
    <cellStyle name="Note 2 2 32 14 2" xfId="30983"/>
    <cellStyle name="Note 2 2 32 14 2 2" xfId="30984"/>
    <cellStyle name="Note 2 2 32 14 3" xfId="30985"/>
    <cellStyle name="Note 2 2 32 14 3 2" xfId="30986"/>
    <cellStyle name="Note 2 2 32 14 4" xfId="30987"/>
    <cellStyle name="Note 2 2 32 14 4 2" xfId="30988"/>
    <cellStyle name="Note 2 2 32 14 5" xfId="30989"/>
    <cellStyle name="Note 2 2 32 15" xfId="30990"/>
    <cellStyle name="Note 2 2 32 15 2" xfId="30991"/>
    <cellStyle name="Note 2 2 32 16" xfId="30992"/>
    <cellStyle name="Note 2 2 32 16 2" xfId="30993"/>
    <cellStyle name="Note 2 2 32 17" xfId="30994"/>
    <cellStyle name="Note 2 2 32 17 2" xfId="30995"/>
    <cellStyle name="Note 2 2 32 18" xfId="30996"/>
    <cellStyle name="Note 2 2 32 18 2" xfId="30997"/>
    <cellStyle name="Note 2 2 32 19" xfId="30998"/>
    <cellStyle name="Note 2 2 32 19 2" xfId="30999"/>
    <cellStyle name="Note 2 2 32 2" xfId="31000"/>
    <cellStyle name="Note 2 2 32 2 10" xfId="31001"/>
    <cellStyle name="Note 2 2 32 2 10 2" xfId="31002"/>
    <cellStyle name="Note 2 2 32 2 11" xfId="31003"/>
    <cellStyle name="Note 2 2 32 2 11 2" xfId="31004"/>
    <cellStyle name="Note 2 2 32 2 12" xfId="31005"/>
    <cellStyle name="Note 2 2 32 2 12 2" xfId="31006"/>
    <cellStyle name="Note 2 2 32 2 13" xfId="31007"/>
    <cellStyle name="Note 2 2 32 2 13 2" xfId="31008"/>
    <cellStyle name="Note 2 2 32 2 14" xfId="31009"/>
    <cellStyle name="Note 2 2 32 2 14 2" xfId="31010"/>
    <cellStyle name="Note 2 2 32 2 15" xfId="31011"/>
    <cellStyle name="Note 2 2 32 2 15 2" xfId="31012"/>
    <cellStyle name="Note 2 2 32 2 16" xfId="31013"/>
    <cellStyle name="Note 2 2 32 2 16 2" xfId="31014"/>
    <cellStyle name="Note 2 2 32 2 17" xfId="31015"/>
    <cellStyle name="Note 2 2 32 2 17 2" xfId="31016"/>
    <cellStyle name="Note 2 2 32 2 18" xfId="31017"/>
    <cellStyle name="Note 2 2 32 2 18 2" xfId="31018"/>
    <cellStyle name="Note 2 2 32 2 19" xfId="31019"/>
    <cellStyle name="Note 2 2 32 2 19 2" xfId="31020"/>
    <cellStyle name="Note 2 2 32 2 2" xfId="31021"/>
    <cellStyle name="Note 2 2 32 2 2 2" xfId="31022"/>
    <cellStyle name="Note 2 2 32 2 2 3" xfId="31023"/>
    <cellStyle name="Note 2 2 32 2 20" xfId="31024"/>
    <cellStyle name="Note 2 2 32 2 20 2" xfId="31025"/>
    <cellStyle name="Note 2 2 32 2 21" xfId="31026"/>
    <cellStyle name="Note 2 2 32 2 21 2" xfId="31027"/>
    <cellStyle name="Note 2 2 32 2 22" xfId="31028"/>
    <cellStyle name="Note 2 2 32 2 22 2" xfId="31029"/>
    <cellStyle name="Note 2 2 32 2 23" xfId="31030"/>
    <cellStyle name="Note 2 2 32 2 23 2" xfId="31031"/>
    <cellStyle name="Note 2 2 32 2 24" xfId="31032"/>
    <cellStyle name="Note 2 2 32 2 24 2" xfId="31033"/>
    <cellStyle name="Note 2 2 32 2 25" xfId="31034"/>
    <cellStyle name="Note 2 2 32 2 25 2" xfId="31035"/>
    <cellStyle name="Note 2 2 32 2 26" xfId="31036"/>
    <cellStyle name="Note 2 2 32 2 26 2" xfId="31037"/>
    <cellStyle name="Note 2 2 32 2 27" xfId="31038"/>
    <cellStyle name="Note 2 2 32 2 27 2" xfId="31039"/>
    <cellStyle name="Note 2 2 32 2 28" xfId="31040"/>
    <cellStyle name="Note 2 2 32 2 28 2" xfId="31041"/>
    <cellStyle name="Note 2 2 32 2 29" xfId="31042"/>
    <cellStyle name="Note 2 2 32 2 29 2" xfId="31043"/>
    <cellStyle name="Note 2 2 32 2 3" xfId="31044"/>
    <cellStyle name="Note 2 2 32 2 3 2" xfId="31045"/>
    <cellStyle name="Note 2 2 32 2 3 3" xfId="31046"/>
    <cellStyle name="Note 2 2 32 2 30" xfId="31047"/>
    <cellStyle name="Note 2 2 32 2 30 2" xfId="31048"/>
    <cellStyle name="Note 2 2 32 2 31" xfId="31049"/>
    <cellStyle name="Note 2 2 32 2 4" xfId="31050"/>
    <cellStyle name="Note 2 2 32 2 4 2" xfId="31051"/>
    <cellStyle name="Note 2 2 32 2 5" xfId="31052"/>
    <cellStyle name="Note 2 2 32 2 5 2" xfId="31053"/>
    <cellStyle name="Note 2 2 32 2 6" xfId="31054"/>
    <cellStyle name="Note 2 2 32 2 6 2" xfId="31055"/>
    <cellStyle name="Note 2 2 32 2 7" xfId="31056"/>
    <cellStyle name="Note 2 2 32 2 7 2" xfId="31057"/>
    <cellStyle name="Note 2 2 32 2 8" xfId="31058"/>
    <cellStyle name="Note 2 2 32 2 8 2" xfId="31059"/>
    <cellStyle name="Note 2 2 32 2 9" xfId="31060"/>
    <cellStyle name="Note 2 2 32 2 9 2" xfId="31061"/>
    <cellStyle name="Note 2 2 32 20" xfId="31062"/>
    <cellStyle name="Note 2 2 32 20 2" xfId="31063"/>
    <cellStyle name="Note 2 2 32 21" xfId="31064"/>
    <cellStyle name="Note 2 2 32 21 2" xfId="31065"/>
    <cellStyle name="Note 2 2 32 22" xfId="31066"/>
    <cellStyle name="Note 2 2 32 22 2" xfId="31067"/>
    <cellStyle name="Note 2 2 32 23" xfId="31068"/>
    <cellStyle name="Note 2 2 32 23 2" xfId="31069"/>
    <cellStyle name="Note 2 2 32 24" xfId="31070"/>
    <cellStyle name="Note 2 2 32 24 2" xfId="31071"/>
    <cellStyle name="Note 2 2 32 25" xfId="31072"/>
    <cellStyle name="Note 2 2 32 25 2" xfId="31073"/>
    <cellStyle name="Note 2 2 32 26" xfId="31074"/>
    <cellStyle name="Note 2 2 32 26 2" xfId="31075"/>
    <cellStyle name="Note 2 2 32 27" xfId="31076"/>
    <cellStyle name="Note 2 2 32 27 2" xfId="31077"/>
    <cellStyle name="Note 2 2 32 28" xfId="31078"/>
    <cellStyle name="Note 2 2 32 28 2" xfId="31079"/>
    <cellStyle name="Note 2 2 32 29" xfId="31080"/>
    <cellStyle name="Note 2 2 32 29 2" xfId="31081"/>
    <cellStyle name="Note 2 2 32 3" xfId="31082"/>
    <cellStyle name="Note 2 2 32 3 2" xfId="31083"/>
    <cellStyle name="Note 2 2 32 3 2 2" xfId="31084"/>
    <cellStyle name="Note 2 2 32 3 3" xfId="31085"/>
    <cellStyle name="Note 2 2 32 3 3 2" xfId="31086"/>
    <cellStyle name="Note 2 2 32 3 4" xfId="31087"/>
    <cellStyle name="Note 2 2 32 3 4 2" xfId="31088"/>
    <cellStyle name="Note 2 2 32 3 5" xfId="31089"/>
    <cellStyle name="Note 2 2 32 30" xfId="31090"/>
    <cellStyle name="Note 2 2 32 30 2" xfId="31091"/>
    <cellStyle name="Note 2 2 32 31" xfId="31092"/>
    <cellStyle name="Note 2 2 32 31 2" xfId="31093"/>
    <cellStyle name="Note 2 2 32 32" xfId="31094"/>
    <cellStyle name="Note 2 2 32 32 2" xfId="31095"/>
    <cellStyle name="Note 2 2 32 33" xfId="31096"/>
    <cellStyle name="Note 2 2 32 33 2" xfId="31097"/>
    <cellStyle name="Note 2 2 32 34" xfId="31098"/>
    <cellStyle name="Note 2 2 32 34 2" xfId="31099"/>
    <cellStyle name="Note 2 2 32 35" xfId="31100"/>
    <cellStyle name="Note 2 2 32 35 2" xfId="31101"/>
    <cellStyle name="Note 2 2 32 36" xfId="31102"/>
    <cellStyle name="Note 2 2 32 36 2" xfId="31103"/>
    <cellStyle name="Note 2 2 32 37" xfId="31104"/>
    <cellStyle name="Note 2 2 32 37 2" xfId="31105"/>
    <cellStyle name="Note 2 2 32 38" xfId="31106"/>
    <cellStyle name="Note 2 2 32 38 2" xfId="31107"/>
    <cellStyle name="Note 2 2 32 39" xfId="31108"/>
    <cellStyle name="Note 2 2 32 39 2" xfId="31109"/>
    <cellStyle name="Note 2 2 32 4" xfId="31110"/>
    <cellStyle name="Note 2 2 32 4 2" xfId="31111"/>
    <cellStyle name="Note 2 2 32 4 2 2" xfId="31112"/>
    <cellStyle name="Note 2 2 32 4 3" xfId="31113"/>
    <cellStyle name="Note 2 2 32 4 3 2" xfId="31114"/>
    <cellStyle name="Note 2 2 32 4 4" xfId="31115"/>
    <cellStyle name="Note 2 2 32 4 4 2" xfId="31116"/>
    <cellStyle name="Note 2 2 32 4 5" xfId="31117"/>
    <cellStyle name="Note 2 2 32 40" xfId="31118"/>
    <cellStyle name="Note 2 2 32 40 2" xfId="31119"/>
    <cellStyle name="Note 2 2 32 41" xfId="31120"/>
    <cellStyle name="Note 2 2 32 41 2" xfId="31121"/>
    <cellStyle name="Note 2 2 32 42" xfId="31122"/>
    <cellStyle name="Note 2 2 32 42 2" xfId="31123"/>
    <cellStyle name="Note 2 2 32 43" xfId="31124"/>
    <cellStyle name="Note 2 2 32 43 2" xfId="31125"/>
    <cellStyle name="Note 2 2 32 44" xfId="31126"/>
    <cellStyle name="Note 2 2 32 44 2" xfId="31127"/>
    <cellStyle name="Note 2 2 32 45" xfId="31128"/>
    <cellStyle name="Note 2 2 32 45 2" xfId="31129"/>
    <cellStyle name="Note 2 2 32 46" xfId="31130"/>
    <cellStyle name="Note 2 2 32 46 2" xfId="31131"/>
    <cellStyle name="Note 2 2 32 47" xfId="31132"/>
    <cellStyle name="Note 2 2 32 47 2" xfId="31133"/>
    <cellStyle name="Note 2 2 32 48" xfId="31134"/>
    <cellStyle name="Note 2 2 32 48 2" xfId="31135"/>
    <cellStyle name="Note 2 2 32 49" xfId="31136"/>
    <cellStyle name="Note 2 2 32 49 2" xfId="31137"/>
    <cellStyle name="Note 2 2 32 5" xfId="31138"/>
    <cellStyle name="Note 2 2 32 5 2" xfId="31139"/>
    <cellStyle name="Note 2 2 32 5 2 2" xfId="31140"/>
    <cellStyle name="Note 2 2 32 5 3" xfId="31141"/>
    <cellStyle name="Note 2 2 32 5 3 2" xfId="31142"/>
    <cellStyle name="Note 2 2 32 5 4" xfId="31143"/>
    <cellStyle name="Note 2 2 32 5 4 2" xfId="31144"/>
    <cellStyle name="Note 2 2 32 5 5" xfId="31145"/>
    <cellStyle name="Note 2 2 32 50" xfId="31146"/>
    <cellStyle name="Note 2 2 32 50 2" xfId="31147"/>
    <cellStyle name="Note 2 2 32 51" xfId="31148"/>
    <cellStyle name="Note 2 2 32 51 2" xfId="31149"/>
    <cellStyle name="Note 2 2 32 52" xfId="31150"/>
    <cellStyle name="Note 2 2 32 52 2" xfId="31151"/>
    <cellStyle name="Note 2 2 32 53" xfId="31152"/>
    <cellStyle name="Note 2 2 32 53 2" xfId="31153"/>
    <cellStyle name="Note 2 2 32 54" xfId="31154"/>
    <cellStyle name="Note 2 2 32 54 2" xfId="31155"/>
    <cellStyle name="Note 2 2 32 55" xfId="31156"/>
    <cellStyle name="Note 2 2 32 55 2" xfId="31157"/>
    <cellStyle name="Note 2 2 32 56" xfId="31158"/>
    <cellStyle name="Note 2 2 32 56 2" xfId="31159"/>
    <cellStyle name="Note 2 2 32 57" xfId="31160"/>
    <cellStyle name="Note 2 2 32 57 2" xfId="31161"/>
    <cellStyle name="Note 2 2 32 58" xfId="31162"/>
    <cellStyle name="Note 2 2 32 58 2" xfId="31163"/>
    <cellStyle name="Note 2 2 32 59" xfId="31164"/>
    <cellStyle name="Note 2 2 32 59 2" xfId="31165"/>
    <cellStyle name="Note 2 2 32 6" xfId="31166"/>
    <cellStyle name="Note 2 2 32 6 2" xfId="31167"/>
    <cellStyle name="Note 2 2 32 6 2 2" xfId="31168"/>
    <cellStyle name="Note 2 2 32 6 3" xfId="31169"/>
    <cellStyle name="Note 2 2 32 6 3 2" xfId="31170"/>
    <cellStyle name="Note 2 2 32 6 4" xfId="31171"/>
    <cellStyle name="Note 2 2 32 6 4 2" xfId="31172"/>
    <cellStyle name="Note 2 2 32 6 5" xfId="31173"/>
    <cellStyle name="Note 2 2 32 60" xfId="31174"/>
    <cellStyle name="Note 2 2 32 60 2" xfId="31175"/>
    <cellStyle name="Note 2 2 32 61" xfId="31176"/>
    <cellStyle name="Note 2 2 32 61 2" xfId="31177"/>
    <cellStyle name="Note 2 2 32 62" xfId="31178"/>
    <cellStyle name="Note 2 2 32 7" xfId="31179"/>
    <cellStyle name="Note 2 2 32 7 2" xfId="31180"/>
    <cellStyle name="Note 2 2 32 7 2 2" xfId="31181"/>
    <cellStyle name="Note 2 2 32 7 3" xfId="31182"/>
    <cellStyle name="Note 2 2 32 7 3 2" xfId="31183"/>
    <cellStyle name="Note 2 2 32 7 4" xfId="31184"/>
    <cellStyle name="Note 2 2 32 7 4 2" xfId="31185"/>
    <cellStyle name="Note 2 2 32 7 5" xfId="31186"/>
    <cellStyle name="Note 2 2 32 8" xfId="31187"/>
    <cellStyle name="Note 2 2 32 8 2" xfId="31188"/>
    <cellStyle name="Note 2 2 32 8 2 2" xfId="31189"/>
    <cellStyle name="Note 2 2 32 8 3" xfId="31190"/>
    <cellStyle name="Note 2 2 32 8 3 2" xfId="31191"/>
    <cellStyle name="Note 2 2 32 8 4" xfId="31192"/>
    <cellStyle name="Note 2 2 32 8 4 2" xfId="31193"/>
    <cellStyle name="Note 2 2 32 8 5" xfId="31194"/>
    <cellStyle name="Note 2 2 32 9" xfId="31195"/>
    <cellStyle name="Note 2 2 32 9 2" xfId="31196"/>
    <cellStyle name="Note 2 2 32 9 2 2" xfId="31197"/>
    <cellStyle name="Note 2 2 32 9 3" xfId="31198"/>
    <cellStyle name="Note 2 2 32 9 3 2" xfId="31199"/>
    <cellStyle name="Note 2 2 32 9 4" xfId="31200"/>
    <cellStyle name="Note 2 2 32 9 4 2" xfId="31201"/>
    <cellStyle name="Note 2 2 32 9 5" xfId="31202"/>
    <cellStyle name="Note 2 2 33" xfId="31203"/>
    <cellStyle name="Note 2 2 33 10" xfId="31204"/>
    <cellStyle name="Note 2 2 33 10 2" xfId="31205"/>
    <cellStyle name="Note 2 2 33 10 2 2" xfId="31206"/>
    <cellStyle name="Note 2 2 33 10 3" xfId="31207"/>
    <cellStyle name="Note 2 2 33 10 3 2" xfId="31208"/>
    <cellStyle name="Note 2 2 33 10 4" xfId="31209"/>
    <cellStyle name="Note 2 2 33 10 4 2" xfId="31210"/>
    <cellStyle name="Note 2 2 33 10 5" xfId="31211"/>
    <cellStyle name="Note 2 2 33 11" xfId="31212"/>
    <cellStyle name="Note 2 2 33 11 2" xfId="31213"/>
    <cellStyle name="Note 2 2 33 11 2 2" xfId="31214"/>
    <cellStyle name="Note 2 2 33 11 3" xfId="31215"/>
    <cellStyle name="Note 2 2 33 11 3 2" xfId="31216"/>
    <cellStyle name="Note 2 2 33 11 4" xfId="31217"/>
    <cellStyle name="Note 2 2 33 11 4 2" xfId="31218"/>
    <cellStyle name="Note 2 2 33 11 5" xfId="31219"/>
    <cellStyle name="Note 2 2 33 12" xfId="31220"/>
    <cellStyle name="Note 2 2 33 12 2" xfId="31221"/>
    <cellStyle name="Note 2 2 33 12 2 2" xfId="31222"/>
    <cellStyle name="Note 2 2 33 12 3" xfId="31223"/>
    <cellStyle name="Note 2 2 33 12 3 2" xfId="31224"/>
    <cellStyle name="Note 2 2 33 12 4" xfId="31225"/>
    <cellStyle name="Note 2 2 33 12 4 2" xfId="31226"/>
    <cellStyle name="Note 2 2 33 12 5" xfId="31227"/>
    <cellStyle name="Note 2 2 33 13" xfId="31228"/>
    <cellStyle name="Note 2 2 33 13 2" xfId="31229"/>
    <cellStyle name="Note 2 2 33 13 2 2" xfId="31230"/>
    <cellStyle name="Note 2 2 33 13 3" xfId="31231"/>
    <cellStyle name="Note 2 2 33 13 3 2" xfId="31232"/>
    <cellStyle name="Note 2 2 33 13 4" xfId="31233"/>
    <cellStyle name="Note 2 2 33 13 4 2" xfId="31234"/>
    <cellStyle name="Note 2 2 33 13 5" xfId="31235"/>
    <cellStyle name="Note 2 2 33 14" xfId="31236"/>
    <cellStyle name="Note 2 2 33 14 2" xfId="31237"/>
    <cellStyle name="Note 2 2 33 14 2 2" xfId="31238"/>
    <cellStyle name="Note 2 2 33 14 3" xfId="31239"/>
    <cellStyle name="Note 2 2 33 14 3 2" xfId="31240"/>
    <cellStyle name="Note 2 2 33 14 4" xfId="31241"/>
    <cellStyle name="Note 2 2 33 14 4 2" xfId="31242"/>
    <cellStyle name="Note 2 2 33 14 5" xfId="31243"/>
    <cellStyle name="Note 2 2 33 15" xfId="31244"/>
    <cellStyle name="Note 2 2 33 15 2" xfId="31245"/>
    <cellStyle name="Note 2 2 33 16" xfId="31246"/>
    <cellStyle name="Note 2 2 33 16 2" xfId="31247"/>
    <cellStyle name="Note 2 2 33 17" xfId="31248"/>
    <cellStyle name="Note 2 2 33 17 2" xfId="31249"/>
    <cellStyle name="Note 2 2 33 18" xfId="31250"/>
    <cellStyle name="Note 2 2 33 18 2" xfId="31251"/>
    <cellStyle name="Note 2 2 33 19" xfId="31252"/>
    <cellStyle name="Note 2 2 33 19 2" xfId="31253"/>
    <cellStyle name="Note 2 2 33 2" xfId="31254"/>
    <cellStyle name="Note 2 2 33 2 10" xfId="31255"/>
    <cellStyle name="Note 2 2 33 2 10 2" xfId="31256"/>
    <cellStyle name="Note 2 2 33 2 11" xfId="31257"/>
    <cellStyle name="Note 2 2 33 2 11 2" xfId="31258"/>
    <cellStyle name="Note 2 2 33 2 12" xfId="31259"/>
    <cellStyle name="Note 2 2 33 2 12 2" xfId="31260"/>
    <cellStyle name="Note 2 2 33 2 13" xfId="31261"/>
    <cellStyle name="Note 2 2 33 2 13 2" xfId="31262"/>
    <cellStyle name="Note 2 2 33 2 14" xfId="31263"/>
    <cellStyle name="Note 2 2 33 2 14 2" xfId="31264"/>
    <cellStyle name="Note 2 2 33 2 15" xfId="31265"/>
    <cellStyle name="Note 2 2 33 2 15 2" xfId="31266"/>
    <cellStyle name="Note 2 2 33 2 16" xfId="31267"/>
    <cellStyle name="Note 2 2 33 2 16 2" xfId="31268"/>
    <cellStyle name="Note 2 2 33 2 17" xfId="31269"/>
    <cellStyle name="Note 2 2 33 2 17 2" xfId="31270"/>
    <cellStyle name="Note 2 2 33 2 18" xfId="31271"/>
    <cellStyle name="Note 2 2 33 2 18 2" xfId="31272"/>
    <cellStyle name="Note 2 2 33 2 19" xfId="31273"/>
    <cellStyle name="Note 2 2 33 2 19 2" xfId="31274"/>
    <cellStyle name="Note 2 2 33 2 2" xfId="31275"/>
    <cellStyle name="Note 2 2 33 2 2 2" xfId="31276"/>
    <cellStyle name="Note 2 2 33 2 2 3" xfId="31277"/>
    <cellStyle name="Note 2 2 33 2 20" xfId="31278"/>
    <cellStyle name="Note 2 2 33 2 20 2" xfId="31279"/>
    <cellStyle name="Note 2 2 33 2 21" xfId="31280"/>
    <cellStyle name="Note 2 2 33 2 21 2" xfId="31281"/>
    <cellStyle name="Note 2 2 33 2 22" xfId="31282"/>
    <cellStyle name="Note 2 2 33 2 22 2" xfId="31283"/>
    <cellStyle name="Note 2 2 33 2 23" xfId="31284"/>
    <cellStyle name="Note 2 2 33 2 23 2" xfId="31285"/>
    <cellStyle name="Note 2 2 33 2 24" xfId="31286"/>
    <cellStyle name="Note 2 2 33 2 24 2" xfId="31287"/>
    <cellStyle name="Note 2 2 33 2 25" xfId="31288"/>
    <cellStyle name="Note 2 2 33 2 25 2" xfId="31289"/>
    <cellStyle name="Note 2 2 33 2 26" xfId="31290"/>
    <cellStyle name="Note 2 2 33 2 26 2" xfId="31291"/>
    <cellStyle name="Note 2 2 33 2 27" xfId="31292"/>
    <cellStyle name="Note 2 2 33 2 27 2" xfId="31293"/>
    <cellStyle name="Note 2 2 33 2 28" xfId="31294"/>
    <cellStyle name="Note 2 2 33 2 28 2" xfId="31295"/>
    <cellStyle name="Note 2 2 33 2 29" xfId="31296"/>
    <cellStyle name="Note 2 2 33 2 29 2" xfId="31297"/>
    <cellStyle name="Note 2 2 33 2 3" xfId="31298"/>
    <cellStyle name="Note 2 2 33 2 3 2" xfId="31299"/>
    <cellStyle name="Note 2 2 33 2 3 3" xfId="31300"/>
    <cellStyle name="Note 2 2 33 2 30" xfId="31301"/>
    <cellStyle name="Note 2 2 33 2 30 2" xfId="31302"/>
    <cellStyle name="Note 2 2 33 2 31" xfId="31303"/>
    <cellStyle name="Note 2 2 33 2 4" xfId="31304"/>
    <cellStyle name="Note 2 2 33 2 4 2" xfId="31305"/>
    <cellStyle name="Note 2 2 33 2 5" xfId="31306"/>
    <cellStyle name="Note 2 2 33 2 5 2" xfId="31307"/>
    <cellStyle name="Note 2 2 33 2 6" xfId="31308"/>
    <cellStyle name="Note 2 2 33 2 6 2" xfId="31309"/>
    <cellStyle name="Note 2 2 33 2 7" xfId="31310"/>
    <cellStyle name="Note 2 2 33 2 7 2" xfId="31311"/>
    <cellStyle name="Note 2 2 33 2 8" xfId="31312"/>
    <cellStyle name="Note 2 2 33 2 8 2" xfId="31313"/>
    <cellStyle name="Note 2 2 33 2 9" xfId="31314"/>
    <cellStyle name="Note 2 2 33 2 9 2" xfId="31315"/>
    <cellStyle name="Note 2 2 33 20" xfId="31316"/>
    <cellStyle name="Note 2 2 33 20 2" xfId="31317"/>
    <cellStyle name="Note 2 2 33 21" xfId="31318"/>
    <cellStyle name="Note 2 2 33 21 2" xfId="31319"/>
    <cellStyle name="Note 2 2 33 22" xfId="31320"/>
    <cellStyle name="Note 2 2 33 22 2" xfId="31321"/>
    <cellStyle name="Note 2 2 33 23" xfId="31322"/>
    <cellStyle name="Note 2 2 33 23 2" xfId="31323"/>
    <cellStyle name="Note 2 2 33 24" xfId="31324"/>
    <cellStyle name="Note 2 2 33 24 2" xfId="31325"/>
    <cellStyle name="Note 2 2 33 25" xfId="31326"/>
    <cellStyle name="Note 2 2 33 25 2" xfId="31327"/>
    <cellStyle name="Note 2 2 33 26" xfId="31328"/>
    <cellStyle name="Note 2 2 33 26 2" xfId="31329"/>
    <cellStyle name="Note 2 2 33 27" xfId="31330"/>
    <cellStyle name="Note 2 2 33 27 2" xfId="31331"/>
    <cellStyle name="Note 2 2 33 28" xfId="31332"/>
    <cellStyle name="Note 2 2 33 28 2" xfId="31333"/>
    <cellStyle name="Note 2 2 33 29" xfId="31334"/>
    <cellStyle name="Note 2 2 33 29 2" xfId="31335"/>
    <cellStyle name="Note 2 2 33 3" xfId="31336"/>
    <cellStyle name="Note 2 2 33 3 2" xfId="31337"/>
    <cellStyle name="Note 2 2 33 3 2 2" xfId="31338"/>
    <cellStyle name="Note 2 2 33 3 3" xfId="31339"/>
    <cellStyle name="Note 2 2 33 3 3 2" xfId="31340"/>
    <cellStyle name="Note 2 2 33 3 4" xfId="31341"/>
    <cellStyle name="Note 2 2 33 3 4 2" xfId="31342"/>
    <cellStyle name="Note 2 2 33 3 5" xfId="31343"/>
    <cellStyle name="Note 2 2 33 30" xfId="31344"/>
    <cellStyle name="Note 2 2 33 30 2" xfId="31345"/>
    <cellStyle name="Note 2 2 33 31" xfId="31346"/>
    <cellStyle name="Note 2 2 33 31 2" xfId="31347"/>
    <cellStyle name="Note 2 2 33 32" xfId="31348"/>
    <cellStyle name="Note 2 2 33 32 2" xfId="31349"/>
    <cellStyle name="Note 2 2 33 33" xfId="31350"/>
    <cellStyle name="Note 2 2 33 33 2" xfId="31351"/>
    <cellStyle name="Note 2 2 33 34" xfId="31352"/>
    <cellStyle name="Note 2 2 33 34 2" xfId="31353"/>
    <cellStyle name="Note 2 2 33 35" xfId="31354"/>
    <cellStyle name="Note 2 2 33 35 2" xfId="31355"/>
    <cellStyle name="Note 2 2 33 36" xfId="31356"/>
    <cellStyle name="Note 2 2 33 36 2" xfId="31357"/>
    <cellStyle name="Note 2 2 33 37" xfId="31358"/>
    <cellStyle name="Note 2 2 33 37 2" xfId="31359"/>
    <cellStyle name="Note 2 2 33 38" xfId="31360"/>
    <cellStyle name="Note 2 2 33 38 2" xfId="31361"/>
    <cellStyle name="Note 2 2 33 39" xfId="31362"/>
    <cellStyle name="Note 2 2 33 39 2" xfId="31363"/>
    <cellStyle name="Note 2 2 33 4" xfId="31364"/>
    <cellStyle name="Note 2 2 33 4 2" xfId="31365"/>
    <cellStyle name="Note 2 2 33 4 2 2" xfId="31366"/>
    <cellStyle name="Note 2 2 33 4 3" xfId="31367"/>
    <cellStyle name="Note 2 2 33 4 3 2" xfId="31368"/>
    <cellStyle name="Note 2 2 33 4 4" xfId="31369"/>
    <cellStyle name="Note 2 2 33 4 4 2" xfId="31370"/>
    <cellStyle name="Note 2 2 33 4 5" xfId="31371"/>
    <cellStyle name="Note 2 2 33 40" xfId="31372"/>
    <cellStyle name="Note 2 2 33 40 2" xfId="31373"/>
    <cellStyle name="Note 2 2 33 41" xfId="31374"/>
    <cellStyle name="Note 2 2 33 41 2" xfId="31375"/>
    <cellStyle name="Note 2 2 33 42" xfId="31376"/>
    <cellStyle name="Note 2 2 33 42 2" xfId="31377"/>
    <cellStyle name="Note 2 2 33 43" xfId="31378"/>
    <cellStyle name="Note 2 2 33 43 2" xfId="31379"/>
    <cellStyle name="Note 2 2 33 44" xfId="31380"/>
    <cellStyle name="Note 2 2 33 44 2" xfId="31381"/>
    <cellStyle name="Note 2 2 33 45" xfId="31382"/>
    <cellStyle name="Note 2 2 33 45 2" xfId="31383"/>
    <cellStyle name="Note 2 2 33 46" xfId="31384"/>
    <cellStyle name="Note 2 2 33 46 2" xfId="31385"/>
    <cellStyle name="Note 2 2 33 47" xfId="31386"/>
    <cellStyle name="Note 2 2 33 47 2" xfId="31387"/>
    <cellStyle name="Note 2 2 33 48" xfId="31388"/>
    <cellStyle name="Note 2 2 33 48 2" xfId="31389"/>
    <cellStyle name="Note 2 2 33 49" xfId="31390"/>
    <cellStyle name="Note 2 2 33 49 2" xfId="31391"/>
    <cellStyle name="Note 2 2 33 5" xfId="31392"/>
    <cellStyle name="Note 2 2 33 5 2" xfId="31393"/>
    <cellStyle name="Note 2 2 33 5 2 2" xfId="31394"/>
    <cellStyle name="Note 2 2 33 5 3" xfId="31395"/>
    <cellStyle name="Note 2 2 33 5 3 2" xfId="31396"/>
    <cellStyle name="Note 2 2 33 5 4" xfId="31397"/>
    <cellStyle name="Note 2 2 33 5 4 2" xfId="31398"/>
    <cellStyle name="Note 2 2 33 5 5" xfId="31399"/>
    <cellStyle name="Note 2 2 33 50" xfId="31400"/>
    <cellStyle name="Note 2 2 33 50 2" xfId="31401"/>
    <cellStyle name="Note 2 2 33 51" xfId="31402"/>
    <cellStyle name="Note 2 2 33 51 2" xfId="31403"/>
    <cellStyle name="Note 2 2 33 52" xfId="31404"/>
    <cellStyle name="Note 2 2 33 52 2" xfId="31405"/>
    <cellStyle name="Note 2 2 33 53" xfId="31406"/>
    <cellStyle name="Note 2 2 33 53 2" xfId="31407"/>
    <cellStyle name="Note 2 2 33 54" xfId="31408"/>
    <cellStyle name="Note 2 2 33 54 2" xfId="31409"/>
    <cellStyle name="Note 2 2 33 55" xfId="31410"/>
    <cellStyle name="Note 2 2 33 55 2" xfId="31411"/>
    <cellStyle name="Note 2 2 33 56" xfId="31412"/>
    <cellStyle name="Note 2 2 33 56 2" xfId="31413"/>
    <cellStyle name="Note 2 2 33 57" xfId="31414"/>
    <cellStyle name="Note 2 2 33 57 2" xfId="31415"/>
    <cellStyle name="Note 2 2 33 58" xfId="31416"/>
    <cellStyle name="Note 2 2 33 58 2" xfId="31417"/>
    <cellStyle name="Note 2 2 33 59" xfId="31418"/>
    <cellStyle name="Note 2 2 33 59 2" xfId="31419"/>
    <cellStyle name="Note 2 2 33 6" xfId="31420"/>
    <cellStyle name="Note 2 2 33 6 2" xfId="31421"/>
    <cellStyle name="Note 2 2 33 6 2 2" xfId="31422"/>
    <cellStyle name="Note 2 2 33 6 3" xfId="31423"/>
    <cellStyle name="Note 2 2 33 6 3 2" xfId="31424"/>
    <cellStyle name="Note 2 2 33 6 4" xfId="31425"/>
    <cellStyle name="Note 2 2 33 6 4 2" xfId="31426"/>
    <cellStyle name="Note 2 2 33 6 5" xfId="31427"/>
    <cellStyle name="Note 2 2 33 60" xfId="31428"/>
    <cellStyle name="Note 2 2 33 60 2" xfId="31429"/>
    <cellStyle name="Note 2 2 33 61" xfId="31430"/>
    <cellStyle name="Note 2 2 33 61 2" xfId="31431"/>
    <cellStyle name="Note 2 2 33 62" xfId="31432"/>
    <cellStyle name="Note 2 2 33 7" xfId="31433"/>
    <cellStyle name="Note 2 2 33 7 2" xfId="31434"/>
    <cellStyle name="Note 2 2 33 7 2 2" xfId="31435"/>
    <cellStyle name="Note 2 2 33 7 3" xfId="31436"/>
    <cellStyle name="Note 2 2 33 7 3 2" xfId="31437"/>
    <cellStyle name="Note 2 2 33 7 4" xfId="31438"/>
    <cellStyle name="Note 2 2 33 7 4 2" xfId="31439"/>
    <cellStyle name="Note 2 2 33 7 5" xfId="31440"/>
    <cellStyle name="Note 2 2 33 8" xfId="31441"/>
    <cellStyle name="Note 2 2 33 8 2" xfId="31442"/>
    <cellStyle name="Note 2 2 33 8 2 2" xfId="31443"/>
    <cellStyle name="Note 2 2 33 8 3" xfId="31444"/>
    <cellStyle name="Note 2 2 33 8 3 2" xfId="31445"/>
    <cellStyle name="Note 2 2 33 8 4" xfId="31446"/>
    <cellStyle name="Note 2 2 33 8 4 2" xfId="31447"/>
    <cellStyle name="Note 2 2 33 8 5" xfId="31448"/>
    <cellStyle name="Note 2 2 33 9" xfId="31449"/>
    <cellStyle name="Note 2 2 33 9 2" xfId="31450"/>
    <cellStyle name="Note 2 2 33 9 2 2" xfId="31451"/>
    <cellStyle name="Note 2 2 33 9 3" xfId="31452"/>
    <cellStyle name="Note 2 2 33 9 3 2" xfId="31453"/>
    <cellStyle name="Note 2 2 33 9 4" xfId="31454"/>
    <cellStyle name="Note 2 2 33 9 4 2" xfId="31455"/>
    <cellStyle name="Note 2 2 33 9 5" xfId="31456"/>
    <cellStyle name="Note 2 2 34" xfId="31457"/>
    <cellStyle name="Note 2 2 34 10" xfId="31458"/>
    <cellStyle name="Note 2 2 34 10 2" xfId="31459"/>
    <cellStyle name="Note 2 2 34 10 2 2" xfId="31460"/>
    <cellStyle name="Note 2 2 34 10 3" xfId="31461"/>
    <cellStyle name="Note 2 2 34 10 3 2" xfId="31462"/>
    <cellStyle name="Note 2 2 34 10 4" xfId="31463"/>
    <cellStyle name="Note 2 2 34 10 4 2" xfId="31464"/>
    <cellStyle name="Note 2 2 34 10 5" xfId="31465"/>
    <cellStyle name="Note 2 2 34 11" xfId="31466"/>
    <cellStyle name="Note 2 2 34 11 2" xfId="31467"/>
    <cellStyle name="Note 2 2 34 11 2 2" xfId="31468"/>
    <cellStyle name="Note 2 2 34 11 3" xfId="31469"/>
    <cellStyle name="Note 2 2 34 11 3 2" xfId="31470"/>
    <cellStyle name="Note 2 2 34 11 4" xfId="31471"/>
    <cellStyle name="Note 2 2 34 11 4 2" xfId="31472"/>
    <cellStyle name="Note 2 2 34 11 5" xfId="31473"/>
    <cellStyle name="Note 2 2 34 12" xfId="31474"/>
    <cellStyle name="Note 2 2 34 12 2" xfId="31475"/>
    <cellStyle name="Note 2 2 34 12 2 2" xfId="31476"/>
    <cellStyle name="Note 2 2 34 12 3" xfId="31477"/>
    <cellStyle name="Note 2 2 34 12 3 2" xfId="31478"/>
    <cellStyle name="Note 2 2 34 12 4" xfId="31479"/>
    <cellStyle name="Note 2 2 34 12 4 2" xfId="31480"/>
    <cellStyle name="Note 2 2 34 12 5" xfId="31481"/>
    <cellStyle name="Note 2 2 34 13" xfId="31482"/>
    <cellStyle name="Note 2 2 34 13 2" xfId="31483"/>
    <cellStyle name="Note 2 2 34 13 2 2" xfId="31484"/>
    <cellStyle name="Note 2 2 34 13 3" xfId="31485"/>
    <cellStyle name="Note 2 2 34 13 3 2" xfId="31486"/>
    <cellStyle name="Note 2 2 34 13 4" xfId="31487"/>
    <cellStyle name="Note 2 2 34 13 4 2" xfId="31488"/>
    <cellStyle name="Note 2 2 34 13 5" xfId="31489"/>
    <cellStyle name="Note 2 2 34 14" xfId="31490"/>
    <cellStyle name="Note 2 2 34 14 2" xfId="31491"/>
    <cellStyle name="Note 2 2 34 14 2 2" xfId="31492"/>
    <cellStyle name="Note 2 2 34 14 3" xfId="31493"/>
    <cellStyle name="Note 2 2 34 14 3 2" xfId="31494"/>
    <cellStyle name="Note 2 2 34 14 4" xfId="31495"/>
    <cellStyle name="Note 2 2 34 14 4 2" xfId="31496"/>
    <cellStyle name="Note 2 2 34 14 5" xfId="31497"/>
    <cellStyle name="Note 2 2 34 15" xfId="31498"/>
    <cellStyle name="Note 2 2 34 15 2" xfId="31499"/>
    <cellStyle name="Note 2 2 34 16" xfId="31500"/>
    <cellStyle name="Note 2 2 34 16 2" xfId="31501"/>
    <cellStyle name="Note 2 2 34 17" xfId="31502"/>
    <cellStyle name="Note 2 2 34 17 2" xfId="31503"/>
    <cellStyle name="Note 2 2 34 18" xfId="31504"/>
    <cellStyle name="Note 2 2 34 18 2" xfId="31505"/>
    <cellStyle name="Note 2 2 34 19" xfId="31506"/>
    <cellStyle name="Note 2 2 34 19 2" xfId="31507"/>
    <cellStyle name="Note 2 2 34 2" xfId="31508"/>
    <cellStyle name="Note 2 2 34 2 10" xfId="31509"/>
    <cellStyle name="Note 2 2 34 2 10 2" xfId="31510"/>
    <cellStyle name="Note 2 2 34 2 11" xfId="31511"/>
    <cellStyle name="Note 2 2 34 2 11 2" xfId="31512"/>
    <cellStyle name="Note 2 2 34 2 12" xfId="31513"/>
    <cellStyle name="Note 2 2 34 2 12 2" xfId="31514"/>
    <cellStyle name="Note 2 2 34 2 13" xfId="31515"/>
    <cellStyle name="Note 2 2 34 2 13 2" xfId="31516"/>
    <cellStyle name="Note 2 2 34 2 14" xfId="31517"/>
    <cellStyle name="Note 2 2 34 2 14 2" xfId="31518"/>
    <cellStyle name="Note 2 2 34 2 15" xfId="31519"/>
    <cellStyle name="Note 2 2 34 2 15 2" xfId="31520"/>
    <cellStyle name="Note 2 2 34 2 16" xfId="31521"/>
    <cellStyle name="Note 2 2 34 2 16 2" xfId="31522"/>
    <cellStyle name="Note 2 2 34 2 17" xfId="31523"/>
    <cellStyle name="Note 2 2 34 2 17 2" xfId="31524"/>
    <cellStyle name="Note 2 2 34 2 18" xfId="31525"/>
    <cellStyle name="Note 2 2 34 2 18 2" xfId="31526"/>
    <cellStyle name="Note 2 2 34 2 19" xfId="31527"/>
    <cellStyle name="Note 2 2 34 2 19 2" xfId="31528"/>
    <cellStyle name="Note 2 2 34 2 2" xfId="31529"/>
    <cellStyle name="Note 2 2 34 2 2 2" xfId="31530"/>
    <cellStyle name="Note 2 2 34 2 2 3" xfId="31531"/>
    <cellStyle name="Note 2 2 34 2 20" xfId="31532"/>
    <cellStyle name="Note 2 2 34 2 20 2" xfId="31533"/>
    <cellStyle name="Note 2 2 34 2 21" xfId="31534"/>
    <cellStyle name="Note 2 2 34 2 21 2" xfId="31535"/>
    <cellStyle name="Note 2 2 34 2 22" xfId="31536"/>
    <cellStyle name="Note 2 2 34 2 22 2" xfId="31537"/>
    <cellStyle name="Note 2 2 34 2 23" xfId="31538"/>
    <cellStyle name="Note 2 2 34 2 23 2" xfId="31539"/>
    <cellStyle name="Note 2 2 34 2 24" xfId="31540"/>
    <cellStyle name="Note 2 2 34 2 24 2" xfId="31541"/>
    <cellStyle name="Note 2 2 34 2 25" xfId="31542"/>
    <cellStyle name="Note 2 2 34 2 25 2" xfId="31543"/>
    <cellStyle name="Note 2 2 34 2 26" xfId="31544"/>
    <cellStyle name="Note 2 2 34 2 26 2" xfId="31545"/>
    <cellStyle name="Note 2 2 34 2 27" xfId="31546"/>
    <cellStyle name="Note 2 2 34 2 27 2" xfId="31547"/>
    <cellStyle name="Note 2 2 34 2 28" xfId="31548"/>
    <cellStyle name="Note 2 2 34 2 28 2" xfId="31549"/>
    <cellStyle name="Note 2 2 34 2 29" xfId="31550"/>
    <cellStyle name="Note 2 2 34 2 29 2" xfId="31551"/>
    <cellStyle name="Note 2 2 34 2 3" xfId="31552"/>
    <cellStyle name="Note 2 2 34 2 3 2" xfId="31553"/>
    <cellStyle name="Note 2 2 34 2 3 3" xfId="31554"/>
    <cellStyle name="Note 2 2 34 2 30" xfId="31555"/>
    <cellStyle name="Note 2 2 34 2 30 2" xfId="31556"/>
    <cellStyle name="Note 2 2 34 2 31" xfId="31557"/>
    <cellStyle name="Note 2 2 34 2 4" xfId="31558"/>
    <cellStyle name="Note 2 2 34 2 4 2" xfId="31559"/>
    <cellStyle name="Note 2 2 34 2 5" xfId="31560"/>
    <cellStyle name="Note 2 2 34 2 5 2" xfId="31561"/>
    <cellStyle name="Note 2 2 34 2 6" xfId="31562"/>
    <cellStyle name="Note 2 2 34 2 6 2" xfId="31563"/>
    <cellStyle name="Note 2 2 34 2 7" xfId="31564"/>
    <cellStyle name="Note 2 2 34 2 7 2" xfId="31565"/>
    <cellStyle name="Note 2 2 34 2 8" xfId="31566"/>
    <cellStyle name="Note 2 2 34 2 8 2" xfId="31567"/>
    <cellStyle name="Note 2 2 34 2 9" xfId="31568"/>
    <cellStyle name="Note 2 2 34 2 9 2" xfId="31569"/>
    <cellStyle name="Note 2 2 34 20" xfId="31570"/>
    <cellStyle name="Note 2 2 34 20 2" xfId="31571"/>
    <cellStyle name="Note 2 2 34 21" xfId="31572"/>
    <cellStyle name="Note 2 2 34 21 2" xfId="31573"/>
    <cellStyle name="Note 2 2 34 22" xfId="31574"/>
    <cellStyle name="Note 2 2 34 22 2" xfId="31575"/>
    <cellStyle name="Note 2 2 34 23" xfId="31576"/>
    <cellStyle name="Note 2 2 34 23 2" xfId="31577"/>
    <cellStyle name="Note 2 2 34 24" xfId="31578"/>
    <cellStyle name="Note 2 2 34 24 2" xfId="31579"/>
    <cellStyle name="Note 2 2 34 25" xfId="31580"/>
    <cellStyle name="Note 2 2 34 25 2" xfId="31581"/>
    <cellStyle name="Note 2 2 34 26" xfId="31582"/>
    <cellStyle name="Note 2 2 34 26 2" xfId="31583"/>
    <cellStyle name="Note 2 2 34 27" xfId="31584"/>
    <cellStyle name="Note 2 2 34 27 2" xfId="31585"/>
    <cellStyle name="Note 2 2 34 28" xfId="31586"/>
    <cellStyle name="Note 2 2 34 28 2" xfId="31587"/>
    <cellStyle name="Note 2 2 34 29" xfId="31588"/>
    <cellStyle name="Note 2 2 34 29 2" xfId="31589"/>
    <cellStyle name="Note 2 2 34 3" xfId="31590"/>
    <cellStyle name="Note 2 2 34 3 2" xfId="31591"/>
    <cellStyle name="Note 2 2 34 3 2 2" xfId="31592"/>
    <cellStyle name="Note 2 2 34 3 3" xfId="31593"/>
    <cellStyle name="Note 2 2 34 3 3 2" xfId="31594"/>
    <cellStyle name="Note 2 2 34 3 4" xfId="31595"/>
    <cellStyle name="Note 2 2 34 3 4 2" xfId="31596"/>
    <cellStyle name="Note 2 2 34 3 5" xfId="31597"/>
    <cellStyle name="Note 2 2 34 30" xfId="31598"/>
    <cellStyle name="Note 2 2 34 30 2" xfId="31599"/>
    <cellStyle name="Note 2 2 34 31" xfId="31600"/>
    <cellStyle name="Note 2 2 34 31 2" xfId="31601"/>
    <cellStyle name="Note 2 2 34 32" xfId="31602"/>
    <cellStyle name="Note 2 2 34 32 2" xfId="31603"/>
    <cellStyle name="Note 2 2 34 33" xfId="31604"/>
    <cellStyle name="Note 2 2 34 33 2" xfId="31605"/>
    <cellStyle name="Note 2 2 34 34" xfId="31606"/>
    <cellStyle name="Note 2 2 34 34 2" xfId="31607"/>
    <cellStyle name="Note 2 2 34 35" xfId="31608"/>
    <cellStyle name="Note 2 2 34 35 2" xfId="31609"/>
    <cellStyle name="Note 2 2 34 36" xfId="31610"/>
    <cellStyle name="Note 2 2 34 36 2" xfId="31611"/>
    <cellStyle name="Note 2 2 34 37" xfId="31612"/>
    <cellStyle name="Note 2 2 34 37 2" xfId="31613"/>
    <cellStyle name="Note 2 2 34 38" xfId="31614"/>
    <cellStyle name="Note 2 2 34 38 2" xfId="31615"/>
    <cellStyle name="Note 2 2 34 39" xfId="31616"/>
    <cellStyle name="Note 2 2 34 39 2" xfId="31617"/>
    <cellStyle name="Note 2 2 34 4" xfId="31618"/>
    <cellStyle name="Note 2 2 34 4 2" xfId="31619"/>
    <cellStyle name="Note 2 2 34 4 2 2" xfId="31620"/>
    <cellStyle name="Note 2 2 34 4 3" xfId="31621"/>
    <cellStyle name="Note 2 2 34 4 3 2" xfId="31622"/>
    <cellStyle name="Note 2 2 34 4 4" xfId="31623"/>
    <cellStyle name="Note 2 2 34 4 4 2" xfId="31624"/>
    <cellStyle name="Note 2 2 34 4 5" xfId="31625"/>
    <cellStyle name="Note 2 2 34 40" xfId="31626"/>
    <cellStyle name="Note 2 2 34 40 2" xfId="31627"/>
    <cellStyle name="Note 2 2 34 41" xfId="31628"/>
    <cellStyle name="Note 2 2 34 41 2" xfId="31629"/>
    <cellStyle name="Note 2 2 34 42" xfId="31630"/>
    <cellStyle name="Note 2 2 34 42 2" xfId="31631"/>
    <cellStyle name="Note 2 2 34 43" xfId="31632"/>
    <cellStyle name="Note 2 2 34 43 2" xfId="31633"/>
    <cellStyle name="Note 2 2 34 44" xfId="31634"/>
    <cellStyle name="Note 2 2 34 44 2" xfId="31635"/>
    <cellStyle name="Note 2 2 34 45" xfId="31636"/>
    <cellStyle name="Note 2 2 34 45 2" xfId="31637"/>
    <cellStyle name="Note 2 2 34 46" xfId="31638"/>
    <cellStyle name="Note 2 2 34 46 2" xfId="31639"/>
    <cellStyle name="Note 2 2 34 47" xfId="31640"/>
    <cellStyle name="Note 2 2 34 47 2" xfId="31641"/>
    <cellStyle name="Note 2 2 34 48" xfId="31642"/>
    <cellStyle name="Note 2 2 34 48 2" xfId="31643"/>
    <cellStyle name="Note 2 2 34 49" xfId="31644"/>
    <cellStyle name="Note 2 2 34 49 2" xfId="31645"/>
    <cellStyle name="Note 2 2 34 5" xfId="31646"/>
    <cellStyle name="Note 2 2 34 5 2" xfId="31647"/>
    <cellStyle name="Note 2 2 34 5 2 2" xfId="31648"/>
    <cellStyle name="Note 2 2 34 5 3" xfId="31649"/>
    <cellStyle name="Note 2 2 34 5 3 2" xfId="31650"/>
    <cellStyle name="Note 2 2 34 5 4" xfId="31651"/>
    <cellStyle name="Note 2 2 34 5 4 2" xfId="31652"/>
    <cellStyle name="Note 2 2 34 5 5" xfId="31653"/>
    <cellStyle name="Note 2 2 34 50" xfId="31654"/>
    <cellStyle name="Note 2 2 34 50 2" xfId="31655"/>
    <cellStyle name="Note 2 2 34 51" xfId="31656"/>
    <cellStyle name="Note 2 2 34 51 2" xfId="31657"/>
    <cellStyle name="Note 2 2 34 52" xfId="31658"/>
    <cellStyle name="Note 2 2 34 52 2" xfId="31659"/>
    <cellStyle name="Note 2 2 34 53" xfId="31660"/>
    <cellStyle name="Note 2 2 34 53 2" xfId="31661"/>
    <cellStyle name="Note 2 2 34 54" xfId="31662"/>
    <cellStyle name="Note 2 2 34 54 2" xfId="31663"/>
    <cellStyle name="Note 2 2 34 55" xfId="31664"/>
    <cellStyle name="Note 2 2 34 55 2" xfId="31665"/>
    <cellStyle name="Note 2 2 34 56" xfId="31666"/>
    <cellStyle name="Note 2 2 34 56 2" xfId="31667"/>
    <cellStyle name="Note 2 2 34 57" xfId="31668"/>
    <cellStyle name="Note 2 2 34 57 2" xfId="31669"/>
    <cellStyle name="Note 2 2 34 58" xfId="31670"/>
    <cellStyle name="Note 2 2 34 58 2" xfId="31671"/>
    <cellStyle name="Note 2 2 34 59" xfId="31672"/>
    <cellStyle name="Note 2 2 34 59 2" xfId="31673"/>
    <cellStyle name="Note 2 2 34 6" xfId="31674"/>
    <cellStyle name="Note 2 2 34 6 2" xfId="31675"/>
    <cellStyle name="Note 2 2 34 6 2 2" xfId="31676"/>
    <cellStyle name="Note 2 2 34 6 3" xfId="31677"/>
    <cellStyle name="Note 2 2 34 6 3 2" xfId="31678"/>
    <cellStyle name="Note 2 2 34 6 4" xfId="31679"/>
    <cellStyle name="Note 2 2 34 6 4 2" xfId="31680"/>
    <cellStyle name="Note 2 2 34 6 5" xfId="31681"/>
    <cellStyle name="Note 2 2 34 60" xfId="31682"/>
    <cellStyle name="Note 2 2 34 60 2" xfId="31683"/>
    <cellStyle name="Note 2 2 34 61" xfId="31684"/>
    <cellStyle name="Note 2 2 34 61 2" xfId="31685"/>
    <cellStyle name="Note 2 2 34 62" xfId="31686"/>
    <cellStyle name="Note 2 2 34 7" xfId="31687"/>
    <cellStyle name="Note 2 2 34 7 2" xfId="31688"/>
    <cellStyle name="Note 2 2 34 7 2 2" xfId="31689"/>
    <cellStyle name="Note 2 2 34 7 3" xfId="31690"/>
    <cellStyle name="Note 2 2 34 7 3 2" xfId="31691"/>
    <cellStyle name="Note 2 2 34 7 4" xfId="31692"/>
    <cellStyle name="Note 2 2 34 7 4 2" xfId="31693"/>
    <cellStyle name="Note 2 2 34 7 5" xfId="31694"/>
    <cellStyle name="Note 2 2 34 8" xfId="31695"/>
    <cellStyle name="Note 2 2 34 8 2" xfId="31696"/>
    <cellStyle name="Note 2 2 34 8 2 2" xfId="31697"/>
    <cellStyle name="Note 2 2 34 8 3" xfId="31698"/>
    <cellStyle name="Note 2 2 34 8 3 2" xfId="31699"/>
    <cellStyle name="Note 2 2 34 8 4" xfId="31700"/>
    <cellStyle name="Note 2 2 34 8 4 2" xfId="31701"/>
    <cellStyle name="Note 2 2 34 8 5" xfId="31702"/>
    <cellStyle name="Note 2 2 34 9" xfId="31703"/>
    <cellStyle name="Note 2 2 34 9 2" xfId="31704"/>
    <cellStyle name="Note 2 2 34 9 2 2" xfId="31705"/>
    <cellStyle name="Note 2 2 34 9 3" xfId="31706"/>
    <cellStyle name="Note 2 2 34 9 3 2" xfId="31707"/>
    <cellStyle name="Note 2 2 34 9 4" xfId="31708"/>
    <cellStyle name="Note 2 2 34 9 4 2" xfId="31709"/>
    <cellStyle name="Note 2 2 34 9 5" xfId="31710"/>
    <cellStyle name="Note 2 2 35" xfId="31711"/>
    <cellStyle name="Note 2 2 35 10" xfId="31712"/>
    <cellStyle name="Note 2 2 35 10 2" xfId="31713"/>
    <cellStyle name="Note 2 2 35 10 2 2" xfId="31714"/>
    <cellStyle name="Note 2 2 35 10 3" xfId="31715"/>
    <cellStyle name="Note 2 2 35 10 3 2" xfId="31716"/>
    <cellStyle name="Note 2 2 35 10 4" xfId="31717"/>
    <cellStyle name="Note 2 2 35 10 4 2" xfId="31718"/>
    <cellStyle name="Note 2 2 35 10 5" xfId="31719"/>
    <cellStyle name="Note 2 2 35 11" xfId="31720"/>
    <cellStyle name="Note 2 2 35 11 2" xfId="31721"/>
    <cellStyle name="Note 2 2 35 11 2 2" xfId="31722"/>
    <cellStyle name="Note 2 2 35 11 3" xfId="31723"/>
    <cellStyle name="Note 2 2 35 11 3 2" xfId="31724"/>
    <cellStyle name="Note 2 2 35 11 4" xfId="31725"/>
    <cellStyle name="Note 2 2 35 11 4 2" xfId="31726"/>
    <cellStyle name="Note 2 2 35 11 5" xfId="31727"/>
    <cellStyle name="Note 2 2 35 12" xfId="31728"/>
    <cellStyle name="Note 2 2 35 12 2" xfId="31729"/>
    <cellStyle name="Note 2 2 35 12 2 2" xfId="31730"/>
    <cellStyle name="Note 2 2 35 12 3" xfId="31731"/>
    <cellStyle name="Note 2 2 35 12 3 2" xfId="31732"/>
    <cellStyle name="Note 2 2 35 12 4" xfId="31733"/>
    <cellStyle name="Note 2 2 35 12 4 2" xfId="31734"/>
    <cellStyle name="Note 2 2 35 12 5" xfId="31735"/>
    <cellStyle name="Note 2 2 35 13" xfId="31736"/>
    <cellStyle name="Note 2 2 35 13 2" xfId="31737"/>
    <cellStyle name="Note 2 2 35 13 2 2" xfId="31738"/>
    <cellStyle name="Note 2 2 35 13 3" xfId="31739"/>
    <cellStyle name="Note 2 2 35 13 3 2" xfId="31740"/>
    <cellStyle name="Note 2 2 35 13 4" xfId="31741"/>
    <cellStyle name="Note 2 2 35 13 4 2" xfId="31742"/>
    <cellStyle name="Note 2 2 35 13 5" xfId="31743"/>
    <cellStyle name="Note 2 2 35 14" xfId="31744"/>
    <cellStyle name="Note 2 2 35 14 2" xfId="31745"/>
    <cellStyle name="Note 2 2 35 14 2 2" xfId="31746"/>
    <cellStyle name="Note 2 2 35 14 3" xfId="31747"/>
    <cellStyle name="Note 2 2 35 14 3 2" xfId="31748"/>
    <cellStyle name="Note 2 2 35 14 4" xfId="31749"/>
    <cellStyle name="Note 2 2 35 14 4 2" xfId="31750"/>
    <cellStyle name="Note 2 2 35 14 5" xfId="31751"/>
    <cellStyle name="Note 2 2 35 15" xfId="31752"/>
    <cellStyle name="Note 2 2 35 15 2" xfId="31753"/>
    <cellStyle name="Note 2 2 35 16" xfId="31754"/>
    <cellStyle name="Note 2 2 35 16 2" xfId="31755"/>
    <cellStyle name="Note 2 2 35 17" xfId="31756"/>
    <cellStyle name="Note 2 2 35 17 2" xfId="31757"/>
    <cellStyle name="Note 2 2 35 18" xfId="31758"/>
    <cellStyle name="Note 2 2 35 18 2" xfId="31759"/>
    <cellStyle name="Note 2 2 35 19" xfId="31760"/>
    <cellStyle name="Note 2 2 35 19 2" xfId="31761"/>
    <cellStyle name="Note 2 2 35 2" xfId="31762"/>
    <cellStyle name="Note 2 2 35 2 10" xfId="31763"/>
    <cellStyle name="Note 2 2 35 2 10 2" xfId="31764"/>
    <cellStyle name="Note 2 2 35 2 11" xfId="31765"/>
    <cellStyle name="Note 2 2 35 2 11 2" xfId="31766"/>
    <cellStyle name="Note 2 2 35 2 12" xfId="31767"/>
    <cellStyle name="Note 2 2 35 2 12 2" xfId="31768"/>
    <cellStyle name="Note 2 2 35 2 13" xfId="31769"/>
    <cellStyle name="Note 2 2 35 2 13 2" xfId="31770"/>
    <cellStyle name="Note 2 2 35 2 14" xfId="31771"/>
    <cellStyle name="Note 2 2 35 2 14 2" xfId="31772"/>
    <cellStyle name="Note 2 2 35 2 15" xfId="31773"/>
    <cellStyle name="Note 2 2 35 2 15 2" xfId="31774"/>
    <cellStyle name="Note 2 2 35 2 16" xfId="31775"/>
    <cellStyle name="Note 2 2 35 2 16 2" xfId="31776"/>
    <cellStyle name="Note 2 2 35 2 17" xfId="31777"/>
    <cellStyle name="Note 2 2 35 2 17 2" xfId="31778"/>
    <cellStyle name="Note 2 2 35 2 18" xfId="31779"/>
    <cellStyle name="Note 2 2 35 2 18 2" xfId="31780"/>
    <cellStyle name="Note 2 2 35 2 19" xfId="31781"/>
    <cellStyle name="Note 2 2 35 2 19 2" xfId="31782"/>
    <cellStyle name="Note 2 2 35 2 2" xfId="31783"/>
    <cellStyle name="Note 2 2 35 2 2 2" xfId="31784"/>
    <cellStyle name="Note 2 2 35 2 2 3" xfId="31785"/>
    <cellStyle name="Note 2 2 35 2 20" xfId="31786"/>
    <cellStyle name="Note 2 2 35 2 20 2" xfId="31787"/>
    <cellStyle name="Note 2 2 35 2 21" xfId="31788"/>
    <cellStyle name="Note 2 2 35 2 21 2" xfId="31789"/>
    <cellStyle name="Note 2 2 35 2 22" xfId="31790"/>
    <cellStyle name="Note 2 2 35 2 22 2" xfId="31791"/>
    <cellStyle name="Note 2 2 35 2 23" xfId="31792"/>
    <cellStyle name="Note 2 2 35 2 23 2" xfId="31793"/>
    <cellStyle name="Note 2 2 35 2 24" xfId="31794"/>
    <cellStyle name="Note 2 2 35 2 24 2" xfId="31795"/>
    <cellStyle name="Note 2 2 35 2 25" xfId="31796"/>
    <cellStyle name="Note 2 2 35 2 25 2" xfId="31797"/>
    <cellStyle name="Note 2 2 35 2 26" xfId="31798"/>
    <cellStyle name="Note 2 2 35 2 26 2" xfId="31799"/>
    <cellStyle name="Note 2 2 35 2 27" xfId="31800"/>
    <cellStyle name="Note 2 2 35 2 27 2" xfId="31801"/>
    <cellStyle name="Note 2 2 35 2 28" xfId="31802"/>
    <cellStyle name="Note 2 2 35 2 28 2" xfId="31803"/>
    <cellStyle name="Note 2 2 35 2 29" xfId="31804"/>
    <cellStyle name="Note 2 2 35 2 29 2" xfId="31805"/>
    <cellStyle name="Note 2 2 35 2 3" xfId="31806"/>
    <cellStyle name="Note 2 2 35 2 3 2" xfId="31807"/>
    <cellStyle name="Note 2 2 35 2 3 3" xfId="31808"/>
    <cellStyle name="Note 2 2 35 2 30" xfId="31809"/>
    <cellStyle name="Note 2 2 35 2 30 2" xfId="31810"/>
    <cellStyle name="Note 2 2 35 2 31" xfId="31811"/>
    <cellStyle name="Note 2 2 35 2 4" xfId="31812"/>
    <cellStyle name="Note 2 2 35 2 4 2" xfId="31813"/>
    <cellStyle name="Note 2 2 35 2 5" xfId="31814"/>
    <cellStyle name="Note 2 2 35 2 5 2" xfId="31815"/>
    <cellStyle name="Note 2 2 35 2 6" xfId="31816"/>
    <cellStyle name="Note 2 2 35 2 6 2" xfId="31817"/>
    <cellStyle name="Note 2 2 35 2 7" xfId="31818"/>
    <cellStyle name="Note 2 2 35 2 7 2" xfId="31819"/>
    <cellStyle name="Note 2 2 35 2 8" xfId="31820"/>
    <cellStyle name="Note 2 2 35 2 8 2" xfId="31821"/>
    <cellStyle name="Note 2 2 35 2 9" xfId="31822"/>
    <cellStyle name="Note 2 2 35 2 9 2" xfId="31823"/>
    <cellStyle name="Note 2 2 35 20" xfId="31824"/>
    <cellStyle name="Note 2 2 35 20 2" xfId="31825"/>
    <cellStyle name="Note 2 2 35 21" xfId="31826"/>
    <cellStyle name="Note 2 2 35 21 2" xfId="31827"/>
    <cellStyle name="Note 2 2 35 22" xfId="31828"/>
    <cellStyle name="Note 2 2 35 22 2" xfId="31829"/>
    <cellStyle name="Note 2 2 35 23" xfId="31830"/>
    <cellStyle name="Note 2 2 35 23 2" xfId="31831"/>
    <cellStyle name="Note 2 2 35 24" xfId="31832"/>
    <cellStyle name="Note 2 2 35 24 2" xfId="31833"/>
    <cellStyle name="Note 2 2 35 25" xfId="31834"/>
    <cellStyle name="Note 2 2 35 25 2" xfId="31835"/>
    <cellStyle name="Note 2 2 35 26" xfId="31836"/>
    <cellStyle name="Note 2 2 35 26 2" xfId="31837"/>
    <cellStyle name="Note 2 2 35 27" xfId="31838"/>
    <cellStyle name="Note 2 2 35 27 2" xfId="31839"/>
    <cellStyle name="Note 2 2 35 28" xfId="31840"/>
    <cellStyle name="Note 2 2 35 28 2" xfId="31841"/>
    <cellStyle name="Note 2 2 35 29" xfId="31842"/>
    <cellStyle name="Note 2 2 35 29 2" xfId="31843"/>
    <cellStyle name="Note 2 2 35 3" xfId="31844"/>
    <cellStyle name="Note 2 2 35 3 2" xfId="31845"/>
    <cellStyle name="Note 2 2 35 3 2 2" xfId="31846"/>
    <cellStyle name="Note 2 2 35 3 3" xfId="31847"/>
    <cellStyle name="Note 2 2 35 3 3 2" xfId="31848"/>
    <cellStyle name="Note 2 2 35 3 4" xfId="31849"/>
    <cellStyle name="Note 2 2 35 3 4 2" xfId="31850"/>
    <cellStyle name="Note 2 2 35 3 5" xfId="31851"/>
    <cellStyle name="Note 2 2 35 30" xfId="31852"/>
    <cellStyle name="Note 2 2 35 30 2" xfId="31853"/>
    <cellStyle name="Note 2 2 35 31" xfId="31854"/>
    <cellStyle name="Note 2 2 35 31 2" xfId="31855"/>
    <cellStyle name="Note 2 2 35 32" xfId="31856"/>
    <cellStyle name="Note 2 2 35 32 2" xfId="31857"/>
    <cellStyle name="Note 2 2 35 33" xfId="31858"/>
    <cellStyle name="Note 2 2 35 33 2" xfId="31859"/>
    <cellStyle name="Note 2 2 35 34" xfId="31860"/>
    <cellStyle name="Note 2 2 35 34 2" xfId="31861"/>
    <cellStyle name="Note 2 2 35 35" xfId="31862"/>
    <cellStyle name="Note 2 2 35 35 2" xfId="31863"/>
    <cellStyle name="Note 2 2 35 36" xfId="31864"/>
    <cellStyle name="Note 2 2 35 36 2" xfId="31865"/>
    <cellStyle name="Note 2 2 35 37" xfId="31866"/>
    <cellStyle name="Note 2 2 35 37 2" xfId="31867"/>
    <cellStyle name="Note 2 2 35 38" xfId="31868"/>
    <cellStyle name="Note 2 2 35 38 2" xfId="31869"/>
    <cellStyle name="Note 2 2 35 39" xfId="31870"/>
    <cellStyle name="Note 2 2 35 39 2" xfId="31871"/>
    <cellStyle name="Note 2 2 35 4" xfId="31872"/>
    <cellStyle name="Note 2 2 35 4 2" xfId="31873"/>
    <cellStyle name="Note 2 2 35 4 2 2" xfId="31874"/>
    <cellStyle name="Note 2 2 35 4 3" xfId="31875"/>
    <cellStyle name="Note 2 2 35 4 3 2" xfId="31876"/>
    <cellStyle name="Note 2 2 35 4 4" xfId="31877"/>
    <cellStyle name="Note 2 2 35 4 4 2" xfId="31878"/>
    <cellStyle name="Note 2 2 35 4 5" xfId="31879"/>
    <cellStyle name="Note 2 2 35 40" xfId="31880"/>
    <cellStyle name="Note 2 2 35 40 2" xfId="31881"/>
    <cellStyle name="Note 2 2 35 41" xfId="31882"/>
    <cellStyle name="Note 2 2 35 41 2" xfId="31883"/>
    <cellStyle name="Note 2 2 35 42" xfId="31884"/>
    <cellStyle name="Note 2 2 35 42 2" xfId="31885"/>
    <cellStyle name="Note 2 2 35 43" xfId="31886"/>
    <cellStyle name="Note 2 2 35 43 2" xfId="31887"/>
    <cellStyle name="Note 2 2 35 44" xfId="31888"/>
    <cellStyle name="Note 2 2 35 44 2" xfId="31889"/>
    <cellStyle name="Note 2 2 35 45" xfId="31890"/>
    <cellStyle name="Note 2 2 35 45 2" xfId="31891"/>
    <cellStyle name="Note 2 2 35 46" xfId="31892"/>
    <cellStyle name="Note 2 2 35 46 2" xfId="31893"/>
    <cellStyle name="Note 2 2 35 47" xfId="31894"/>
    <cellStyle name="Note 2 2 35 47 2" xfId="31895"/>
    <cellStyle name="Note 2 2 35 48" xfId="31896"/>
    <cellStyle name="Note 2 2 35 48 2" xfId="31897"/>
    <cellStyle name="Note 2 2 35 49" xfId="31898"/>
    <cellStyle name="Note 2 2 35 49 2" xfId="31899"/>
    <cellStyle name="Note 2 2 35 5" xfId="31900"/>
    <cellStyle name="Note 2 2 35 5 2" xfId="31901"/>
    <cellStyle name="Note 2 2 35 5 2 2" xfId="31902"/>
    <cellStyle name="Note 2 2 35 5 3" xfId="31903"/>
    <cellStyle name="Note 2 2 35 5 3 2" xfId="31904"/>
    <cellStyle name="Note 2 2 35 5 4" xfId="31905"/>
    <cellStyle name="Note 2 2 35 5 4 2" xfId="31906"/>
    <cellStyle name="Note 2 2 35 5 5" xfId="31907"/>
    <cellStyle name="Note 2 2 35 50" xfId="31908"/>
    <cellStyle name="Note 2 2 35 50 2" xfId="31909"/>
    <cellStyle name="Note 2 2 35 51" xfId="31910"/>
    <cellStyle name="Note 2 2 35 51 2" xfId="31911"/>
    <cellStyle name="Note 2 2 35 52" xfId="31912"/>
    <cellStyle name="Note 2 2 35 52 2" xfId="31913"/>
    <cellStyle name="Note 2 2 35 53" xfId="31914"/>
    <cellStyle name="Note 2 2 35 53 2" xfId="31915"/>
    <cellStyle name="Note 2 2 35 54" xfId="31916"/>
    <cellStyle name="Note 2 2 35 54 2" xfId="31917"/>
    <cellStyle name="Note 2 2 35 55" xfId="31918"/>
    <cellStyle name="Note 2 2 35 55 2" xfId="31919"/>
    <cellStyle name="Note 2 2 35 56" xfId="31920"/>
    <cellStyle name="Note 2 2 35 56 2" xfId="31921"/>
    <cellStyle name="Note 2 2 35 57" xfId="31922"/>
    <cellStyle name="Note 2 2 35 57 2" xfId="31923"/>
    <cellStyle name="Note 2 2 35 58" xfId="31924"/>
    <cellStyle name="Note 2 2 35 58 2" xfId="31925"/>
    <cellStyle name="Note 2 2 35 59" xfId="31926"/>
    <cellStyle name="Note 2 2 35 59 2" xfId="31927"/>
    <cellStyle name="Note 2 2 35 6" xfId="31928"/>
    <cellStyle name="Note 2 2 35 6 2" xfId="31929"/>
    <cellStyle name="Note 2 2 35 6 2 2" xfId="31930"/>
    <cellStyle name="Note 2 2 35 6 3" xfId="31931"/>
    <cellStyle name="Note 2 2 35 6 3 2" xfId="31932"/>
    <cellStyle name="Note 2 2 35 6 4" xfId="31933"/>
    <cellStyle name="Note 2 2 35 6 4 2" xfId="31934"/>
    <cellStyle name="Note 2 2 35 6 5" xfId="31935"/>
    <cellStyle name="Note 2 2 35 60" xfId="31936"/>
    <cellStyle name="Note 2 2 35 60 2" xfId="31937"/>
    <cellStyle name="Note 2 2 35 61" xfId="31938"/>
    <cellStyle name="Note 2 2 35 61 2" xfId="31939"/>
    <cellStyle name="Note 2 2 35 62" xfId="31940"/>
    <cellStyle name="Note 2 2 35 7" xfId="31941"/>
    <cellStyle name="Note 2 2 35 7 2" xfId="31942"/>
    <cellStyle name="Note 2 2 35 7 2 2" xfId="31943"/>
    <cellStyle name="Note 2 2 35 7 3" xfId="31944"/>
    <cellStyle name="Note 2 2 35 7 3 2" xfId="31945"/>
    <cellStyle name="Note 2 2 35 7 4" xfId="31946"/>
    <cellStyle name="Note 2 2 35 7 4 2" xfId="31947"/>
    <cellStyle name="Note 2 2 35 7 5" xfId="31948"/>
    <cellStyle name="Note 2 2 35 8" xfId="31949"/>
    <cellStyle name="Note 2 2 35 8 2" xfId="31950"/>
    <cellStyle name="Note 2 2 35 8 2 2" xfId="31951"/>
    <cellStyle name="Note 2 2 35 8 3" xfId="31952"/>
    <cellStyle name="Note 2 2 35 8 3 2" xfId="31953"/>
    <cellStyle name="Note 2 2 35 8 4" xfId="31954"/>
    <cellStyle name="Note 2 2 35 8 4 2" xfId="31955"/>
    <cellStyle name="Note 2 2 35 8 5" xfId="31956"/>
    <cellStyle name="Note 2 2 35 9" xfId="31957"/>
    <cellStyle name="Note 2 2 35 9 2" xfId="31958"/>
    <cellStyle name="Note 2 2 35 9 2 2" xfId="31959"/>
    <cellStyle name="Note 2 2 35 9 3" xfId="31960"/>
    <cellStyle name="Note 2 2 35 9 3 2" xfId="31961"/>
    <cellStyle name="Note 2 2 35 9 4" xfId="31962"/>
    <cellStyle name="Note 2 2 35 9 4 2" xfId="31963"/>
    <cellStyle name="Note 2 2 35 9 5" xfId="31964"/>
    <cellStyle name="Note 2 2 36" xfId="31965"/>
    <cellStyle name="Note 2 2 36 10" xfId="31966"/>
    <cellStyle name="Note 2 2 36 10 2" xfId="31967"/>
    <cellStyle name="Note 2 2 36 10 2 2" xfId="31968"/>
    <cellStyle name="Note 2 2 36 10 3" xfId="31969"/>
    <cellStyle name="Note 2 2 36 10 3 2" xfId="31970"/>
    <cellStyle name="Note 2 2 36 10 4" xfId="31971"/>
    <cellStyle name="Note 2 2 36 10 4 2" xfId="31972"/>
    <cellStyle name="Note 2 2 36 10 5" xfId="31973"/>
    <cellStyle name="Note 2 2 36 11" xfId="31974"/>
    <cellStyle name="Note 2 2 36 11 2" xfId="31975"/>
    <cellStyle name="Note 2 2 36 11 2 2" xfId="31976"/>
    <cellStyle name="Note 2 2 36 11 3" xfId="31977"/>
    <cellStyle name="Note 2 2 36 11 3 2" xfId="31978"/>
    <cellStyle name="Note 2 2 36 11 4" xfId="31979"/>
    <cellStyle name="Note 2 2 36 11 4 2" xfId="31980"/>
    <cellStyle name="Note 2 2 36 11 5" xfId="31981"/>
    <cellStyle name="Note 2 2 36 12" xfId="31982"/>
    <cellStyle name="Note 2 2 36 12 2" xfId="31983"/>
    <cellStyle name="Note 2 2 36 12 2 2" xfId="31984"/>
    <cellStyle name="Note 2 2 36 12 3" xfId="31985"/>
    <cellStyle name="Note 2 2 36 12 3 2" xfId="31986"/>
    <cellStyle name="Note 2 2 36 12 4" xfId="31987"/>
    <cellStyle name="Note 2 2 36 12 4 2" xfId="31988"/>
    <cellStyle name="Note 2 2 36 12 5" xfId="31989"/>
    <cellStyle name="Note 2 2 36 13" xfId="31990"/>
    <cellStyle name="Note 2 2 36 13 2" xfId="31991"/>
    <cellStyle name="Note 2 2 36 13 2 2" xfId="31992"/>
    <cellStyle name="Note 2 2 36 13 3" xfId="31993"/>
    <cellStyle name="Note 2 2 36 13 3 2" xfId="31994"/>
    <cellStyle name="Note 2 2 36 13 4" xfId="31995"/>
    <cellStyle name="Note 2 2 36 13 4 2" xfId="31996"/>
    <cellStyle name="Note 2 2 36 13 5" xfId="31997"/>
    <cellStyle name="Note 2 2 36 14" xfId="31998"/>
    <cellStyle name="Note 2 2 36 14 2" xfId="31999"/>
    <cellStyle name="Note 2 2 36 14 2 2" xfId="32000"/>
    <cellStyle name="Note 2 2 36 14 3" xfId="32001"/>
    <cellStyle name="Note 2 2 36 14 3 2" xfId="32002"/>
    <cellStyle name="Note 2 2 36 14 4" xfId="32003"/>
    <cellStyle name="Note 2 2 36 14 4 2" xfId="32004"/>
    <cellStyle name="Note 2 2 36 14 5" xfId="32005"/>
    <cellStyle name="Note 2 2 36 15" xfId="32006"/>
    <cellStyle name="Note 2 2 36 15 2" xfId="32007"/>
    <cellStyle name="Note 2 2 36 16" xfId="32008"/>
    <cellStyle name="Note 2 2 36 16 2" xfId="32009"/>
    <cellStyle name="Note 2 2 36 17" xfId="32010"/>
    <cellStyle name="Note 2 2 36 17 2" xfId="32011"/>
    <cellStyle name="Note 2 2 36 18" xfId="32012"/>
    <cellStyle name="Note 2 2 36 18 2" xfId="32013"/>
    <cellStyle name="Note 2 2 36 19" xfId="32014"/>
    <cellStyle name="Note 2 2 36 19 2" xfId="32015"/>
    <cellStyle name="Note 2 2 36 2" xfId="32016"/>
    <cellStyle name="Note 2 2 36 2 10" xfId="32017"/>
    <cellStyle name="Note 2 2 36 2 10 2" xfId="32018"/>
    <cellStyle name="Note 2 2 36 2 11" xfId="32019"/>
    <cellStyle name="Note 2 2 36 2 11 2" xfId="32020"/>
    <cellStyle name="Note 2 2 36 2 12" xfId="32021"/>
    <cellStyle name="Note 2 2 36 2 12 2" xfId="32022"/>
    <cellStyle name="Note 2 2 36 2 13" xfId="32023"/>
    <cellStyle name="Note 2 2 36 2 13 2" xfId="32024"/>
    <cellStyle name="Note 2 2 36 2 14" xfId="32025"/>
    <cellStyle name="Note 2 2 36 2 14 2" xfId="32026"/>
    <cellStyle name="Note 2 2 36 2 15" xfId="32027"/>
    <cellStyle name="Note 2 2 36 2 15 2" xfId="32028"/>
    <cellStyle name="Note 2 2 36 2 16" xfId="32029"/>
    <cellStyle name="Note 2 2 36 2 16 2" xfId="32030"/>
    <cellStyle name="Note 2 2 36 2 17" xfId="32031"/>
    <cellStyle name="Note 2 2 36 2 17 2" xfId="32032"/>
    <cellStyle name="Note 2 2 36 2 18" xfId="32033"/>
    <cellStyle name="Note 2 2 36 2 18 2" xfId="32034"/>
    <cellStyle name="Note 2 2 36 2 19" xfId="32035"/>
    <cellStyle name="Note 2 2 36 2 19 2" xfId="32036"/>
    <cellStyle name="Note 2 2 36 2 2" xfId="32037"/>
    <cellStyle name="Note 2 2 36 2 2 2" xfId="32038"/>
    <cellStyle name="Note 2 2 36 2 2 3" xfId="32039"/>
    <cellStyle name="Note 2 2 36 2 20" xfId="32040"/>
    <cellStyle name="Note 2 2 36 2 20 2" xfId="32041"/>
    <cellStyle name="Note 2 2 36 2 21" xfId="32042"/>
    <cellStyle name="Note 2 2 36 2 21 2" xfId="32043"/>
    <cellStyle name="Note 2 2 36 2 22" xfId="32044"/>
    <cellStyle name="Note 2 2 36 2 22 2" xfId="32045"/>
    <cellStyle name="Note 2 2 36 2 23" xfId="32046"/>
    <cellStyle name="Note 2 2 36 2 23 2" xfId="32047"/>
    <cellStyle name="Note 2 2 36 2 24" xfId="32048"/>
    <cellStyle name="Note 2 2 36 2 24 2" xfId="32049"/>
    <cellStyle name="Note 2 2 36 2 25" xfId="32050"/>
    <cellStyle name="Note 2 2 36 2 25 2" xfId="32051"/>
    <cellStyle name="Note 2 2 36 2 26" xfId="32052"/>
    <cellStyle name="Note 2 2 36 2 26 2" xfId="32053"/>
    <cellStyle name="Note 2 2 36 2 27" xfId="32054"/>
    <cellStyle name="Note 2 2 36 2 27 2" xfId="32055"/>
    <cellStyle name="Note 2 2 36 2 28" xfId="32056"/>
    <cellStyle name="Note 2 2 36 2 28 2" xfId="32057"/>
    <cellStyle name="Note 2 2 36 2 29" xfId="32058"/>
    <cellStyle name="Note 2 2 36 2 29 2" xfId="32059"/>
    <cellStyle name="Note 2 2 36 2 3" xfId="32060"/>
    <cellStyle name="Note 2 2 36 2 3 2" xfId="32061"/>
    <cellStyle name="Note 2 2 36 2 3 3" xfId="32062"/>
    <cellStyle name="Note 2 2 36 2 30" xfId="32063"/>
    <cellStyle name="Note 2 2 36 2 30 2" xfId="32064"/>
    <cellStyle name="Note 2 2 36 2 31" xfId="32065"/>
    <cellStyle name="Note 2 2 36 2 4" xfId="32066"/>
    <cellStyle name="Note 2 2 36 2 4 2" xfId="32067"/>
    <cellStyle name="Note 2 2 36 2 5" xfId="32068"/>
    <cellStyle name="Note 2 2 36 2 5 2" xfId="32069"/>
    <cellStyle name="Note 2 2 36 2 6" xfId="32070"/>
    <cellStyle name="Note 2 2 36 2 6 2" xfId="32071"/>
    <cellStyle name="Note 2 2 36 2 7" xfId="32072"/>
    <cellStyle name="Note 2 2 36 2 7 2" xfId="32073"/>
    <cellStyle name="Note 2 2 36 2 8" xfId="32074"/>
    <cellStyle name="Note 2 2 36 2 8 2" xfId="32075"/>
    <cellStyle name="Note 2 2 36 2 9" xfId="32076"/>
    <cellStyle name="Note 2 2 36 2 9 2" xfId="32077"/>
    <cellStyle name="Note 2 2 36 20" xfId="32078"/>
    <cellStyle name="Note 2 2 36 20 2" xfId="32079"/>
    <cellStyle name="Note 2 2 36 21" xfId="32080"/>
    <cellStyle name="Note 2 2 36 21 2" xfId="32081"/>
    <cellStyle name="Note 2 2 36 22" xfId="32082"/>
    <cellStyle name="Note 2 2 36 22 2" xfId="32083"/>
    <cellStyle name="Note 2 2 36 23" xfId="32084"/>
    <cellStyle name="Note 2 2 36 23 2" xfId="32085"/>
    <cellStyle name="Note 2 2 36 24" xfId="32086"/>
    <cellStyle name="Note 2 2 36 24 2" xfId="32087"/>
    <cellStyle name="Note 2 2 36 25" xfId="32088"/>
    <cellStyle name="Note 2 2 36 25 2" xfId="32089"/>
    <cellStyle name="Note 2 2 36 26" xfId="32090"/>
    <cellStyle name="Note 2 2 36 26 2" xfId="32091"/>
    <cellStyle name="Note 2 2 36 27" xfId="32092"/>
    <cellStyle name="Note 2 2 36 27 2" xfId="32093"/>
    <cellStyle name="Note 2 2 36 28" xfId="32094"/>
    <cellStyle name="Note 2 2 36 28 2" xfId="32095"/>
    <cellStyle name="Note 2 2 36 29" xfId="32096"/>
    <cellStyle name="Note 2 2 36 29 2" xfId="32097"/>
    <cellStyle name="Note 2 2 36 3" xfId="32098"/>
    <cellStyle name="Note 2 2 36 3 2" xfId="32099"/>
    <cellStyle name="Note 2 2 36 3 2 2" xfId="32100"/>
    <cellStyle name="Note 2 2 36 3 3" xfId="32101"/>
    <cellStyle name="Note 2 2 36 3 3 2" xfId="32102"/>
    <cellStyle name="Note 2 2 36 3 4" xfId="32103"/>
    <cellStyle name="Note 2 2 36 3 4 2" xfId="32104"/>
    <cellStyle name="Note 2 2 36 3 5" xfId="32105"/>
    <cellStyle name="Note 2 2 36 30" xfId="32106"/>
    <cellStyle name="Note 2 2 36 30 2" xfId="32107"/>
    <cellStyle name="Note 2 2 36 31" xfId="32108"/>
    <cellStyle name="Note 2 2 36 31 2" xfId="32109"/>
    <cellStyle name="Note 2 2 36 32" xfId="32110"/>
    <cellStyle name="Note 2 2 36 32 2" xfId="32111"/>
    <cellStyle name="Note 2 2 36 33" xfId="32112"/>
    <cellStyle name="Note 2 2 36 33 2" xfId="32113"/>
    <cellStyle name="Note 2 2 36 34" xfId="32114"/>
    <cellStyle name="Note 2 2 36 34 2" xfId="32115"/>
    <cellStyle name="Note 2 2 36 35" xfId="32116"/>
    <cellStyle name="Note 2 2 36 35 2" xfId="32117"/>
    <cellStyle name="Note 2 2 36 36" xfId="32118"/>
    <cellStyle name="Note 2 2 36 36 2" xfId="32119"/>
    <cellStyle name="Note 2 2 36 37" xfId="32120"/>
    <cellStyle name="Note 2 2 36 37 2" xfId="32121"/>
    <cellStyle name="Note 2 2 36 38" xfId="32122"/>
    <cellStyle name="Note 2 2 36 38 2" xfId="32123"/>
    <cellStyle name="Note 2 2 36 39" xfId="32124"/>
    <cellStyle name="Note 2 2 36 39 2" xfId="32125"/>
    <cellStyle name="Note 2 2 36 4" xfId="32126"/>
    <cellStyle name="Note 2 2 36 4 2" xfId="32127"/>
    <cellStyle name="Note 2 2 36 4 2 2" xfId="32128"/>
    <cellStyle name="Note 2 2 36 4 3" xfId="32129"/>
    <cellStyle name="Note 2 2 36 4 3 2" xfId="32130"/>
    <cellStyle name="Note 2 2 36 4 4" xfId="32131"/>
    <cellStyle name="Note 2 2 36 4 4 2" xfId="32132"/>
    <cellStyle name="Note 2 2 36 4 5" xfId="32133"/>
    <cellStyle name="Note 2 2 36 40" xfId="32134"/>
    <cellStyle name="Note 2 2 36 40 2" xfId="32135"/>
    <cellStyle name="Note 2 2 36 41" xfId="32136"/>
    <cellStyle name="Note 2 2 36 41 2" xfId="32137"/>
    <cellStyle name="Note 2 2 36 42" xfId="32138"/>
    <cellStyle name="Note 2 2 36 42 2" xfId="32139"/>
    <cellStyle name="Note 2 2 36 43" xfId="32140"/>
    <cellStyle name="Note 2 2 36 43 2" xfId="32141"/>
    <cellStyle name="Note 2 2 36 44" xfId="32142"/>
    <cellStyle name="Note 2 2 36 44 2" xfId="32143"/>
    <cellStyle name="Note 2 2 36 45" xfId="32144"/>
    <cellStyle name="Note 2 2 36 45 2" xfId="32145"/>
    <cellStyle name="Note 2 2 36 46" xfId="32146"/>
    <cellStyle name="Note 2 2 36 46 2" xfId="32147"/>
    <cellStyle name="Note 2 2 36 47" xfId="32148"/>
    <cellStyle name="Note 2 2 36 47 2" xfId="32149"/>
    <cellStyle name="Note 2 2 36 48" xfId="32150"/>
    <cellStyle name="Note 2 2 36 48 2" xfId="32151"/>
    <cellStyle name="Note 2 2 36 49" xfId="32152"/>
    <cellStyle name="Note 2 2 36 49 2" xfId="32153"/>
    <cellStyle name="Note 2 2 36 5" xfId="32154"/>
    <cellStyle name="Note 2 2 36 5 2" xfId="32155"/>
    <cellStyle name="Note 2 2 36 5 2 2" xfId="32156"/>
    <cellStyle name="Note 2 2 36 5 3" xfId="32157"/>
    <cellStyle name="Note 2 2 36 5 3 2" xfId="32158"/>
    <cellStyle name="Note 2 2 36 5 4" xfId="32159"/>
    <cellStyle name="Note 2 2 36 5 4 2" xfId="32160"/>
    <cellStyle name="Note 2 2 36 5 5" xfId="32161"/>
    <cellStyle name="Note 2 2 36 50" xfId="32162"/>
    <cellStyle name="Note 2 2 36 50 2" xfId="32163"/>
    <cellStyle name="Note 2 2 36 51" xfId="32164"/>
    <cellStyle name="Note 2 2 36 51 2" xfId="32165"/>
    <cellStyle name="Note 2 2 36 52" xfId="32166"/>
    <cellStyle name="Note 2 2 36 52 2" xfId="32167"/>
    <cellStyle name="Note 2 2 36 53" xfId="32168"/>
    <cellStyle name="Note 2 2 36 53 2" xfId="32169"/>
    <cellStyle name="Note 2 2 36 54" xfId="32170"/>
    <cellStyle name="Note 2 2 36 54 2" xfId="32171"/>
    <cellStyle name="Note 2 2 36 55" xfId="32172"/>
    <cellStyle name="Note 2 2 36 55 2" xfId="32173"/>
    <cellStyle name="Note 2 2 36 56" xfId="32174"/>
    <cellStyle name="Note 2 2 36 56 2" xfId="32175"/>
    <cellStyle name="Note 2 2 36 57" xfId="32176"/>
    <cellStyle name="Note 2 2 36 57 2" xfId="32177"/>
    <cellStyle name="Note 2 2 36 58" xfId="32178"/>
    <cellStyle name="Note 2 2 36 58 2" xfId="32179"/>
    <cellStyle name="Note 2 2 36 59" xfId="32180"/>
    <cellStyle name="Note 2 2 36 59 2" xfId="32181"/>
    <cellStyle name="Note 2 2 36 6" xfId="32182"/>
    <cellStyle name="Note 2 2 36 6 2" xfId="32183"/>
    <cellStyle name="Note 2 2 36 6 2 2" xfId="32184"/>
    <cellStyle name="Note 2 2 36 6 3" xfId="32185"/>
    <cellStyle name="Note 2 2 36 6 3 2" xfId="32186"/>
    <cellStyle name="Note 2 2 36 6 4" xfId="32187"/>
    <cellStyle name="Note 2 2 36 6 4 2" xfId="32188"/>
    <cellStyle name="Note 2 2 36 6 5" xfId="32189"/>
    <cellStyle name="Note 2 2 36 60" xfId="32190"/>
    <cellStyle name="Note 2 2 36 60 2" xfId="32191"/>
    <cellStyle name="Note 2 2 36 61" xfId="32192"/>
    <cellStyle name="Note 2 2 36 61 2" xfId="32193"/>
    <cellStyle name="Note 2 2 36 62" xfId="32194"/>
    <cellStyle name="Note 2 2 36 7" xfId="32195"/>
    <cellStyle name="Note 2 2 36 7 2" xfId="32196"/>
    <cellStyle name="Note 2 2 36 7 2 2" xfId="32197"/>
    <cellStyle name="Note 2 2 36 7 3" xfId="32198"/>
    <cellStyle name="Note 2 2 36 7 3 2" xfId="32199"/>
    <cellStyle name="Note 2 2 36 7 4" xfId="32200"/>
    <cellStyle name="Note 2 2 36 7 4 2" xfId="32201"/>
    <cellStyle name="Note 2 2 36 7 5" xfId="32202"/>
    <cellStyle name="Note 2 2 36 8" xfId="32203"/>
    <cellStyle name="Note 2 2 36 8 2" xfId="32204"/>
    <cellStyle name="Note 2 2 36 8 2 2" xfId="32205"/>
    <cellStyle name="Note 2 2 36 8 3" xfId="32206"/>
    <cellStyle name="Note 2 2 36 8 3 2" xfId="32207"/>
    <cellStyle name="Note 2 2 36 8 4" xfId="32208"/>
    <cellStyle name="Note 2 2 36 8 4 2" xfId="32209"/>
    <cellStyle name="Note 2 2 36 8 5" xfId="32210"/>
    <cellStyle name="Note 2 2 36 9" xfId="32211"/>
    <cellStyle name="Note 2 2 36 9 2" xfId="32212"/>
    <cellStyle name="Note 2 2 36 9 2 2" xfId="32213"/>
    <cellStyle name="Note 2 2 36 9 3" xfId="32214"/>
    <cellStyle name="Note 2 2 36 9 3 2" xfId="32215"/>
    <cellStyle name="Note 2 2 36 9 4" xfId="32216"/>
    <cellStyle name="Note 2 2 36 9 4 2" xfId="32217"/>
    <cellStyle name="Note 2 2 36 9 5" xfId="32218"/>
    <cellStyle name="Note 2 2 37" xfId="32219"/>
    <cellStyle name="Note 2 2 37 10" xfId="32220"/>
    <cellStyle name="Note 2 2 37 10 2" xfId="32221"/>
    <cellStyle name="Note 2 2 37 10 2 2" xfId="32222"/>
    <cellStyle name="Note 2 2 37 10 3" xfId="32223"/>
    <cellStyle name="Note 2 2 37 10 3 2" xfId="32224"/>
    <cellStyle name="Note 2 2 37 10 4" xfId="32225"/>
    <cellStyle name="Note 2 2 37 10 4 2" xfId="32226"/>
    <cellStyle name="Note 2 2 37 10 5" xfId="32227"/>
    <cellStyle name="Note 2 2 37 11" xfId="32228"/>
    <cellStyle name="Note 2 2 37 11 2" xfId="32229"/>
    <cellStyle name="Note 2 2 37 11 2 2" xfId="32230"/>
    <cellStyle name="Note 2 2 37 11 3" xfId="32231"/>
    <cellStyle name="Note 2 2 37 11 3 2" xfId="32232"/>
    <cellStyle name="Note 2 2 37 11 4" xfId="32233"/>
    <cellStyle name="Note 2 2 37 11 4 2" xfId="32234"/>
    <cellStyle name="Note 2 2 37 11 5" xfId="32235"/>
    <cellStyle name="Note 2 2 37 12" xfId="32236"/>
    <cellStyle name="Note 2 2 37 12 2" xfId="32237"/>
    <cellStyle name="Note 2 2 37 12 2 2" xfId="32238"/>
    <cellStyle name="Note 2 2 37 12 3" xfId="32239"/>
    <cellStyle name="Note 2 2 37 12 3 2" xfId="32240"/>
    <cellStyle name="Note 2 2 37 12 4" xfId="32241"/>
    <cellStyle name="Note 2 2 37 12 4 2" xfId="32242"/>
    <cellStyle name="Note 2 2 37 12 5" xfId="32243"/>
    <cellStyle name="Note 2 2 37 13" xfId="32244"/>
    <cellStyle name="Note 2 2 37 13 2" xfId="32245"/>
    <cellStyle name="Note 2 2 37 13 2 2" xfId="32246"/>
    <cellStyle name="Note 2 2 37 13 3" xfId="32247"/>
    <cellStyle name="Note 2 2 37 13 3 2" xfId="32248"/>
    <cellStyle name="Note 2 2 37 13 4" xfId="32249"/>
    <cellStyle name="Note 2 2 37 13 4 2" xfId="32250"/>
    <cellStyle name="Note 2 2 37 13 5" xfId="32251"/>
    <cellStyle name="Note 2 2 37 14" xfId="32252"/>
    <cellStyle name="Note 2 2 37 14 2" xfId="32253"/>
    <cellStyle name="Note 2 2 37 14 2 2" xfId="32254"/>
    <cellStyle name="Note 2 2 37 14 3" xfId="32255"/>
    <cellStyle name="Note 2 2 37 14 3 2" xfId="32256"/>
    <cellStyle name="Note 2 2 37 14 4" xfId="32257"/>
    <cellStyle name="Note 2 2 37 14 4 2" xfId="32258"/>
    <cellStyle name="Note 2 2 37 14 5" xfId="32259"/>
    <cellStyle name="Note 2 2 37 15" xfId="32260"/>
    <cellStyle name="Note 2 2 37 15 2" xfId="32261"/>
    <cellStyle name="Note 2 2 37 16" xfId="32262"/>
    <cellStyle name="Note 2 2 37 16 2" xfId="32263"/>
    <cellStyle name="Note 2 2 37 17" xfId="32264"/>
    <cellStyle name="Note 2 2 37 17 2" xfId="32265"/>
    <cellStyle name="Note 2 2 37 18" xfId="32266"/>
    <cellStyle name="Note 2 2 37 18 2" xfId="32267"/>
    <cellStyle name="Note 2 2 37 19" xfId="32268"/>
    <cellStyle name="Note 2 2 37 19 2" xfId="32269"/>
    <cellStyle name="Note 2 2 37 2" xfId="32270"/>
    <cellStyle name="Note 2 2 37 2 10" xfId="32271"/>
    <cellStyle name="Note 2 2 37 2 10 2" xfId="32272"/>
    <cellStyle name="Note 2 2 37 2 11" xfId="32273"/>
    <cellStyle name="Note 2 2 37 2 11 2" xfId="32274"/>
    <cellStyle name="Note 2 2 37 2 12" xfId="32275"/>
    <cellStyle name="Note 2 2 37 2 12 2" xfId="32276"/>
    <cellStyle name="Note 2 2 37 2 13" xfId="32277"/>
    <cellStyle name="Note 2 2 37 2 13 2" xfId="32278"/>
    <cellStyle name="Note 2 2 37 2 14" xfId="32279"/>
    <cellStyle name="Note 2 2 37 2 14 2" xfId="32280"/>
    <cellStyle name="Note 2 2 37 2 15" xfId="32281"/>
    <cellStyle name="Note 2 2 37 2 15 2" xfId="32282"/>
    <cellStyle name="Note 2 2 37 2 16" xfId="32283"/>
    <cellStyle name="Note 2 2 37 2 16 2" xfId="32284"/>
    <cellStyle name="Note 2 2 37 2 17" xfId="32285"/>
    <cellStyle name="Note 2 2 37 2 17 2" xfId="32286"/>
    <cellStyle name="Note 2 2 37 2 18" xfId="32287"/>
    <cellStyle name="Note 2 2 37 2 18 2" xfId="32288"/>
    <cellStyle name="Note 2 2 37 2 19" xfId="32289"/>
    <cellStyle name="Note 2 2 37 2 19 2" xfId="32290"/>
    <cellStyle name="Note 2 2 37 2 2" xfId="32291"/>
    <cellStyle name="Note 2 2 37 2 2 2" xfId="32292"/>
    <cellStyle name="Note 2 2 37 2 2 3" xfId="32293"/>
    <cellStyle name="Note 2 2 37 2 20" xfId="32294"/>
    <cellStyle name="Note 2 2 37 2 20 2" xfId="32295"/>
    <cellStyle name="Note 2 2 37 2 21" xfId="32296"/>
    <cellStyle name="Note 2 2 37 2 21 2" xfId="32297"/>
    <cellStyle name="Note 2 2 37 2 22" xfId="32298"/>
    <cellStyle name="Note 2 2 37 2 22 2" xfId="32299"/>
    <cellStyle name="Note 2 2 37 2 23" xfId="32300"/>
    <cellStyle name="Note 2 2 37 2 23 2" xfId="32301"/>
    <cellStyle name="Note 2 2 37 2 24" xfId="32302"/>
    <cellStyle name="Note 2 2 37 2 24 2" xfId="32303"/>
    <cellStyle name="Note 2 2 37 2 25" xfId="32304"/>
    <cellStyle name="Note 2 2 37 2 25 2" xfId="32305"/>
    <cellStyle name="Note 2 2 37 2 26" xfId="32306"/>
    <cellStyle name="Note 2 2 37 2 26 2" xfId="32307"/>
    <cellStyle name="Note 2 2 37 2 27" xfId="32308"/>
    <cellStyle name="Note 2 2 37 2 27 2" xfId="32309"/>
    <cellStyle name="Note 2 2 37 2 28" xfId="32310"/>
    <cellStyle name="Note 2 2 37 2 28 2" xfId="32311"/>
    <cellStyle name="Note 2 2 37 2 29" xfId="32312"/>
    <cellStyle name="Note 2 2 37 2 29 2" xfId="32313"/>
    <cellStyle name="Note 2 2 37 2 3" xfId="32314"/>
    <cellStyle name="Note 2 2 37 2 3 2" xfId="32315"/>
    <cellStyle name="Note 2 2 37 2 3 3" xfId="32316"/>
    <cellStyle name="Note 2 2 37 2 30" xfId="32317"/>
    <cellStyle name="Note 2 2 37 2 30 2" xfId="32318"/>
    <cellStyle name="Note 2 2 37 2 31" xfId="32319"/>
    <cellStyle name="Note 2 2 37 2 4" xfId="32320"/>
    <cellStyle name="Note 2 2 37 2 4 2" xfId="32321"/>
    <cellStyle name="Note 2 2 37 2 5" xfId="32322"/>
    <cellStyle name="Note 2 2 37 2 5 2" xfId="32323"/>
    <cellStyle name="Note 2 2 37 2 6" xfId="32324"/>
    <cellStyle name="Note 2 2 37 2 6 2" xfId="32325"/>
    <cellStyle name="Note 2 2 37 2 7" xfId="32326"/>
    <cellStyle name="Note 2 2 37 2 7 2" xfId="32327"/>
    <cellStyle name="Note 2 2 37 2 8" xfId="32328"/>
    <cellStyle name="Note 2 2 37 2 8 2" xfId="32329"/>
    <cellStyle name="Note 2 2 37 2 9" xfId="32330"/>
    <cellStyle name="Note 2 2 37 2 9 2" xfId="32331"/>
    <cellStyle name="Note 2 2 37 20" xfId="32332"/>
    <cellStyle name="Note 2 2 37 20 2" xfId="32333"/>
    <cellStyle name="Note 2 2 37 21" xfId="32334"/>
    <cellStyle name="Note 2 2 37 21 2" xfId="32335"/>
    <cellStyle name="Note 2 2 37 22" xfId="32336"/>
    <cellStyle name="Note 2 2 37 22 2" xfId="32337"/>
    <cellStyle name="Note 2 2 37 23" xfId="32338"/>
    <cellStyle name="Note 2 2 37 23 2" xfId="32339"/>
    <cellStyle name="Note 2 2 37 24" xfId="32340"/>
    <cellStyle name="Note 2 2 37 24 2" xfId="32341"/>
    <cellStyle name="Note 2 2 37 25" xfId="32342"/>
    <cellStyle name="Note 2 2 37 25 2" xfId="32343"/>
    <cellStyle name="Note 2 2 37 26" xfId="32344"/>
    <cellStyle name="Note 2 2 37 26 2" xfId="32345"/>
    <cellStyle name="Note 2 2 37 27" xfId="32346"/>
    <cellStyle name="Note 2 2 37 27 2" xfId="32347"/>
    <cellStyle name="Note 2 2 37 28" xfId="32348"/>
    <cellStyle name="Note 2 2 37 28 2" xfId="32349"/>
    <cellStyle name="Note 2 2 37 29" xfId="32350"/>
    <cellStyle name="Note 2 2 37 29 2" xfId="32351"/>
    <cellStyle name="Note 2 2 37 3" xfId="32352"/>
    <cellStyle name="Note 2 2 37 3 2" xfId="32353"/>
    <cellStyle name="Note 2 2 37 3 2 2" xfId="32354"/>
    <cellStyle name="Note 2 2 37 3 3" xfId="32355"/>
    <cellStyle name="Note 2 2 37 3 3 2" xfId="32356"/>
    <cellStyle name="Note 2 2 37 3 4" xfId="32357"/>
    <cellStyle name="Note 2 2 37 3 4 2" xfId="32358"/>
    <cellStyle name="Note 2 2 37 3 5" xfId="32359"/>
    <cellStyle name="Note 2 2 37 30" xfId="32360"/>
    <cellStyle name="Note 2 2 37 30 2" xfId="32361"/>
    <cellStyle name="Note 2 2 37 31" xfId="32362"/>
    <cellStyle name="Note 2 2 37 31 2" xfId="32363"/>
    <cellStyle name="Note 2 2 37 32" xfId="32364"/>
    <cellStyle name="Note 2 2 37 32 2" xfId="32365"/>
    <cellStyle name="Note 2 2 37 33" xfId="32366"/>
    <cellStyle name="Note 2 2 37 33 2" xfId="32367"/>
    <cellStyle name="Note 2 2 37 34" xfId="32368"/>
    <cellStyle name="Note 2 2 37 34 2" xfId="32369"/>
    <cellStyle name="Note 2 2 37 35" xfId="32370"/>
    <cellStyle name="Note 2 2 37 35 2" xfId="32371"/>
    <cellStyle name="Note 2 2 37 36" xfId="32372"/>
    <cellStyle name="Note 2 2 37 36 2" xfId="32373"/>
    <cellStyle name="Note 2 2 37 37" xfId="32374"/>
    <cellStyle name="Note 2 2 37 37 2" xfId="32375"/>
    <cellStyle name="Note 2 2 37 38" xfId="32376"/>
    <cellStyle name="Note 2 2 37 38 2" xfId="32377"/>
    <cellStyle name="Note 2 2 37 39" xfId="32378"/>
    <cellStyle name="Note 2 2 37 39 2" xfId="32379"/>
    <cellStyle name="Note 2 2 37 4" xfId="32380"/>
    <cellStyle name="Note 2 2 37 4 2" xfId="32381"/>
    <cellStyle name="Note 2 2 37 4 2 2" xfId="32382"/>
    <cellStyle name="Note 2 2 37 4 3" xfId="32383"/>
    <cellStyle name="Note 2 2 37 4 3 2" xfId="32384"/>
    <cellStyle name="Note 2 2 37 4 4" xfId="32385"/>
    <cellStyle name="Note 2 2 37 4 4 2" xfId="32386"/>
    <cellStyle name="Note 2 2 37 4 5" xfId="32387"/>
    <cellStyle name="Note 2 2 37 40" xfId="32388"/>
    <cellStyle name="Note 2 2 37 40 2" xfId="32389"/>
    <cellStyle name="Note 2 2 37 41" xfId="32390"/>
    <cellStyle name="Note 2 2 37 41 2" xfId="32391"/>
    <cellStyle name="Note 2 2 37 42" xfId="32392"/>
    <cellStyle name="Note 2 2 37 42 2" xfId="32393"/>
    <cellStyle name="Note 2 2 37 43" xfId="32394"/>
    <cellStyle name="Note 2 2 37 43 2" xfId="32395"/>
    <cellStyle name="Note 2 2 37 44" xfId="32396"/>
    <cellStyle name="Note 2 2 37 44 2" xfId="32397"/>
    <cellStyle name="Note 2 2 37 45" xfId="32398"/>
    <cellStyle name="Note 2 2 37 45 2" xfId="32399"/>
    <cellStyle name="Note 2 2 37 46" xfId="32400"/>
    <cellStyle name="Note 2 2 37 46 2" xfId="32401"/>
    <cellStyle name="Note 2 2 37 47" xfId="32402"/>
    <cellStyle name="Note 2 2 37 47 2" xfId="32403"/>
    <cellStyle name="Note 2 2 37 48" xfId="32404"/>
    <cellStyle name="Note 2 2 37 48 2" xfId="32405"/>
    <cellStyle name="Note 2 2 37 49" xfId="32406"/>
    <cellStyle name="Note 2 2 37 49 2" xfId="32407"/>
    <cellStyle name="Note 2 2 37 5" xfId="32408"/>
    <cellStyle name="Note 2 2 37 5 2" xfId="32409"/>
    <cellStyle name="Note 2 2 37 5 2 2" xfId="32410"/>
    <cellStyle name="Note 2 2 37 5 3" xfId="32411"/>
    <cellStyle name="Note 2 2 37 5 3 2" xfId="32412"/>
    <cellStyle name="Note 2 2 37 5 4" xfId="32413"/>
    <cellStyle name="Note 2 2 37 5 4 2" xfId="32414"/>
    <cellStyle name="Note 2 2 37 5 5" xfId="32415"/>
    <cellStyle name="Note 2 2 37 50" xfId="32416"/>
    <cellStyle name="Note 2 2 37 50 2" xfId="32417"/>
    <cellStyle name="Note 2 2 37 51" xfId="32418"/>
    <cellStyle name="Note 2 2 37 51 2" xfId="32419"/>
    <cellStyle name="Note 2 2 37 52" xfId="32420"/>
    <cellStyle name="Note 2 2 37 52 2" xfId="32421"/>
    <cellStyle name="Note 2 2 37 53" xfId="32422"/>
    <cellStyle name="Note 2 2 37 53 2" xfId="32423"/>
    <cellStyle name="Note 2 2 37 54" xfId="32424"/>
    <cellStyle name="Note 2 2 37 54 2" xfId="32425"/>
    <cellStyle name="Note 2 2 37 55" xfId="32426"/>
    <cellStyle name="Note 2 2 37 55 2" xfId="32427"/>
    <cellStyle name="Note 2 2 37 56" xfId="32428"/>
    <cellStyle name="Note 2 2 37 56 2" xfId="32429"/>
    <cellStyle name="Note 2 2 37 57" xfId="32430"/>
    <cellStyle name="Note 2 2 37 57 2" xfId="32431"/>
    <cellStyle name="Note 2 2 37 58" xfId="32432"/>
    <cellStyle name="Note 2 2 37 58 2" xfId="32433"/>
    <cellStyle name="Note 2 2 37 59" xfId="32434"/>
    <cellStyle name="Note 2 2 37 59 2" xfId="32435"/>
    <cellStyle name="Note 2 2 37 6" xfId="32436"/>
    <cellStyle name="Note 2 2 37 6 2" xfId="32437"/>
    <cellStyle name="Note 2 2 37 6 2 2" xfId="32438"/>
    <cellStyle name="Note 2 2 37 6 3" xfId="32439"/>
    <cellStyle name="Note 2 2 37 6 3 2" xfId="32440"/>
    <cellStyle name="Note 2 2 37 6 4" xfId="32441"/>
    <cellStyle name="Note 2 2 37 6 4 2" xfId="32442"/>
    <cellStyle name="Note 2 2 37 6 5" xfId="32443"/>
    <cellStyle name="Note 2 2 37 60" xfId="32444"/>
    <cellStyle name="Note 2 2 37 60 2" xfId="32445"/>
    <cellStyle name="Note 2 2 37 61" xfId="32446"/>
    <cellStyle name="Note 2 2 37 61 2" xfId="32447"/>
    <cellStyle name="Note 2 2 37 62" xfId="32448"/>
    <cellStyle name="Note 2 2 37 7" xfId="32449"/>
    <cellStyle name="Note 2 2 37 7 2" xfId="32450"/>
    <cellStyle name="Note 2 2 37 7 2 2" xfId="32451"/>
    <cellStyle name="Note 2 2 37 7 3" xfId="32452"/>
    <cellStyle name="Note 2 2 37 7 3 2" xfId="32453"/>
    <cellStyle name="Note 2 2 37 7 4" xfId="32454"/>
    <cellStyle name="Note 2 2 37 7 4 2" xfId="32455"/>
    <cellStyle name="Note 2 2 37 7 5" xfId="32456"/>
    <cellStyle name="Note 2 2 37 8" xfId="32457"/>
    <cellStyle name="Note 2 2 37 8 2" xfId="32458"/>
    <cellStyle name="Note 2 2 37 8 2 2" xfId="32459"/>
    <cellStyle name="Note 2 2 37 8 3" xfId="32460"/>
    <cellStyle name="Note 2 2 37 8 3 2" xfId="32461"/>
    <cellStyle name="Note 2 2 37 8 4" xfId="32462"/>
    <cellStyle name="Note 2 2 37 8 4 2" xfId="32463"/>
    <cellStyle name="Note 2 2 37 8 5" xfId="32464"/>
    <cellStyle name="Note 2 2 37 9" xfId="32465"/>
    <cellStyle name="Note 2 2 37 9 2" xfId="32466"/>
    <cellStyle name="Note 2 2 37 9 2 2" xfId="32467"/>
    <cellStyle name="Note 2 2 37 9 3" xfId="32468"/>
    <cellStyle name="Note 2 2 37 9 3 2" xfId="32469"/>
    <cellStyle name="Note 2 2 37 9 4" xfId="32470"/>
    <cellStyle name="Note 2 2 37 9 4 2" xfId="32471"/>
    <cellStyle name="Note 2 2 37 9 5" xfId="32472"/>
    <cellStyle name="Note 2 2 38" xfId="32473"/>
    <cellStyle name="Note 2 2 38 10" xfId="32474"/>
    <cellStyle name="Note 2 2 38 10 2" xfId="32475"/>
    <cellStyle name="Note 2 2 38 10 2 2" xfId="32476"/>
    <cellStyle name="Note 2 2 38 10 3" xfId="32477"/>
    <cellStyle name="Note 2 2 38 10 3 2" xfId="32478"/>
    <cellStyle name="Note 2 2 38 10 4" xfId="32479"/>
    <cellStyle name="Note 2 2 38 10 4 2" xfId="32480"/>
    <cellStyle name="Note 2 2 38 10 5" xfId="32481"/>
    <cellStyle name="Note 2 2 38 11" xfId="32482"/>
    <cellStyle name="Note 2 2 38 11 2" xfId="32483"/>
    <cellStyle name="Note 2 2 38 11 2 2" xfId="32484"/>
    <cellStyle name="Note 2 2 38 11 3" xfId="32485"/>
    <cellStyle name="Note 2 2 38 11 3 2" xfId="32486"/>
    <cellStyle name="Note 2 2 38 11 4" xfId="32487"/>
    <cellStyle name="Note 2 2 38 11 4 2" xfId="32488"/>
    <cellStyle name="Note 2 2 38 11 5" xfId="32489"/>
    <cellStyle name="Note 2 2 38 12" xfId="32490"/>
    <cellStyle name="Note 2 2 38 12 2" xfId="32491"/>
    <cellStyle name="Note 2 2 38 12 2 2" xfId="32492"/>
    <cellStyle name="Note 2 2 38 12 3" xfId="32493"/>
    <cellStyle name="Note 2 2 38 12 3 2" xfId="32494"/>
    <cellStyle name="Note 2 2 38 12 4" xfId="32495"/>
    <cellStyle name="Note 2 2 38 12 4 2" xfId="32496"/>
    <cellStyle name="Note 2 2 38 12 5" xfId="32497"/>
    <cellStyle name="Note 2 2 38 13" xfId="32498"/>
    <cellStyle name="Note 2 2 38 13 2" xfId="32499"/>
    <cellStyle name="Note 2 2 38 13 2 2" xfId="32500"/>
    <cellStyle name="Note 2 2 38 13 3" xfId="32501"/>
    <cellStyle name="Note 2 2 38 13 3 2" xfId="32502"/>
    <cellStyle name="Note 2 2 38 13 4" xfId="32503"/>
    <cellStyle name="Note 2 2 38 13 4 2" xfId="32504"/>
    <cellStyle name="Note 2 2 38 13 5" xfId="32505"/>
    <cellStyle name="Note 2 2 38 14" xfId="32506"/>
    <cellStyle name="Note 2 2 38 14 2" xfId="32507"/>
    <cellStyle name="Note 2 2 38 14 2 2" xfId="32508"/>
    <cellStyle name="Note 2 2 38 14 3" xfId="32509"/>
    <cellStyle name="Note 2 2 38 14 3 2" xfId="32510"/>
    <cellStyle name="Note 2 2 38 14 4" xfId="32511"/>
    <cellStyle name="Note 2 2 38 14 4 2" xfId="32512"/>
    <cellStyle name="Note 2 2 38 14 5" xfId="32513"/>
    <cellStyle name="Note 2 2 38 15" xfId="32514"/>
    <cellStyle name="Note 2 2 38 15 2" xfId="32515"/>
    <cellStyle name="Note 2 2 38 16" xfId="32516"/>
    <cellStyle name="Note 2 2 38 16 2" xfId="32517"/>
    <cellStyle name="Note 2 2 38 17" xfId="32518"/>
    <cellStyle name="Note 2 2 38 17 2" xfId="32519"/>
    <cellStyle name="Note 2 2 38 18" xfId="32520"/>
    <cellStyle name="Note 2 2 38 18 2" xfId="32521"/>
    <cellStyle name="Note 2 2 38 19" xfId="32522"/>
    <cellStyle name="Note 2 2 38 19 2" xfId="32523"/>
    <cellStyle name="Note 2 2 38 2" xfId="32524"/>
    <cellStyle name="Note 2 2 38 2 10" xfId="32525"/>
    <cellStyle name="Note 2 2 38 2 10 2" xfId="32526"/>
    <cellStyle name="Note 2 2 38 2 11" xfId="32527"/>
    <cellStyle name="Note 2 2 38 2 11 2" xfId="32528"/>
    <cellStyle name="Note 2 2 38 2 12" xfId="32529"/>
    <cellStyle name="Note 2 2 38 2 12 2" xfId="32530"/>
    <cellStyle name="Note 2 2 38 2 13" xfId="32531"/>
    <cellStyle name="Note 2 2 38 2 13 2" xfId="32532"/>
    <cellStyle name="Note 2 2 38 2 14" xfId="32533"/>
    <cellStyle name="Note 2 2 38 2 14 2" xfId="32534"/>
    <cellStyle name="Note 2 2 38 2 15" xfId="32535"/>
    <cellStyle name="Note 2 2 38 2 15 2" xfId="32536"/>
    <cellStyle name="Note 2 2 38 2 16" xfId="32537"/>
    <cellStyle name="Note 2 2 38 2 16 2" xfId="32538"/>
    <cellStyle name="Note 2 2 38 2 17" xfId="32539"/>
    <cellStyle name="Note 2 2 38 2 17 2" xfId="32540"/>
    <cellStyle name="Note 2 2 38 2 18" xfId="32541"/>
    <cellStyle name="Note 2 2 38 2 18 2" xfId="32542"/>
    <cellStyle name="Note 2 2 38 2 19" xfId="32543"/>
    <cellStyle name="Note 2 2 38 2 19 2" xfId="32544"/>
    <cellStyle name="Note 2 2 38 2 2" xfId="32545"/>
    <cellStyle name="Note 2 2 38 2 2 2" xfId="32546"/>
    <cellStyle name="Note 2 2 38 2 2 3" xfId="32547"/>
    <cellStyle name="Note 2 2 38 2 20" xfId="32548"/>
    <cellStyle name="Note 2 2 38 2 20 2" xfId="32549"/>
    <cellStyle name="Note 2 2 38 2 21" xfId="32550"/>
    <cellStyle name="Note 2 2 38 2 21 2" xfId="32551"/>
    <cellStyle name="Note 2 2 38 2 22" xfId="32552"/>
    <cellStyle name="Note 2 2 38 2 22 2" xfId="32553"/>
    <cellStyle name="Note 2 2 38 2 23" xfId="32554"/>
    <cellStyle name="Note 2 2 38 2 23 2" xfId="32555"/>
    <cellStyle name="Note 2 2 38 2 24" xfId="32556"/>
    <cellStyle name="Note 2 2 38 2 24 2" xfId="32557"/>
    <cellStyle name="Note 2 2 38 2 25" xfId="32558"/>
    <cellStyle name="Note 2 2 38 2 25 2" xfId="32559"/>
    <cellStyle name="Note 2 2 38 2 26" xfId="32560"/>
    <cellStyle name="Note 2 2 38 2 26 2" xfId="32561"/>
    <cellStyle name="Note 2 2 38 2 27" xfId="32562"/>
    <cellStyle name="Note 2 2 38 2 27 2" xfId="32563"/>
    <cellStyle name="Note 2 2 38 2 28" xfId="32564"/>
    <cellStyle name="Note 2 2 38 2 28 2" xfId="32565"/>
    <cellStyle name="Note 2 2 38 2 29" xfId="32566"/>
    <cellStyle name="Note 2 2 38 2 29 2" xfId="32567"/>
    <cellStyle name="Note 2 2 38 2 3" xfId="32568"/>
    <cellStyle name="Note 2 2 38 2 3 2" xfId="32569"/>
    <cellStyle name="Note 2 2 38 2 3 3" xfId="32570"/>
    <cellStyle name="Note 2 2 38 2 30" xfId="32571"/>
    <cellStyle name="Note 2 2 38 2 30 2" xfId="32572"/>
    <cellStyle name="Note 2 2 38 2 31" xfId="32573"/>
    <cellStyle name="Note 2 2 38 2 4" xfId="32574"/>
    <cellStyle name="Note 2 2 38 2 4 2" xfId="32575"/>
    <cellStyle name="Note 2 2 38 2 5" xfId="32576"/>
    <cellStyle name="Note 2 2 38 2 5 2" xfId="32577"/>
    <cellStyle name="Note 2 2 38 2 6" xfId="32578"/>
    <cellStyle name="Note 2 2 38 2 6 2" xfId="32579"/>
    <cellStyle name="Note 2 2 38 2 7" xfId="32580"/>
    <cellStyle name="Note 2 2 38 2 7 2" xfId="32581"/>
    <cellStyle name="Note 2 2 38 2 8" xfId="32582"/>
    <cellStyle name="Note 2 2 38 2 8 2" xfId="32583"/>
    <cellStyle name="Note 2 2 38 2 9" xfId="32584"/>
    <cellStyle name="Note 2 2 38 2 9 2" xfId="32585"/>
    <cellStyle name="Note 2 2 38 20" xfId="32586"/>
    <cellStyle name="Note 2 2 38 20 2" xfId="32587"/>
    <cellStyle name="Note 2 2 38 21" xfId="32588"/>
    <cellStyle name="Note 2 2 38 21 2" xfId="32589"/>
    <cellStyle name="Note 2 2 38 22" xfId="32590"/>
    <cellStyle name="Note 2 2 38 22 2" xfId="32591"/>
    <cellStyle name="Note 2 2 38 23" xfId="32592"/>
    <cellStyle name="Note 2 2 38 23 2" xfId="32593"/>
    <cellStyle name="Note 2 2 38 24" xfId="32594"/>
    <cellStyle name="Note 2 2 38 24 2" xfId="32595"/>
    <cellStyle name="Note 2 2 38 25" xfId="32596"/>
    <cellStyle name="Note 2 2 38 25 2" xfId="32597"/>
    <cellStyle name="Note 2 2 38 26" xfId="32598"/>
    <cellStyle name="Note 2 2 38 26 2" xfId="32599"/>
    <cellStyle name="Note 2 2 38 27" xfId="32600"/>
    <cellStyle name="Note 2 2 38 27 2" xfId="32601"/>
    <cellStyle name="Note 2 2 38 28" xfId="32602"/>
    <cellStyle name="Note 2 2 38 28 2" xfId="32603"/>
    <cellStyle name="Note 2 2 38 29" xfId="32604"/>
    <cellStyle name="Note 2 2 38 29 2" xfId="32605"/>
    <cellStyle name="Note 2 2 38 3" xfId="32606"/>
    <cellStyle name="Note 2 2 38 3 2" xfId="32607"/>
    <cellStyle name="Note 2 2 38 3 2 2" xfId="32608"/>
    <cellStyle name="Note 2 2 38 3 3" xfId="32609"/>
    <cellStyle name="Note 2 2 38 3 3 2" xfId="32610"/>
    <cellStyle name="Note 2 2 38 3 4" xfId="32611"/>
    <cellStyle name="Note 2 2 38 3 4 2" xfId="32612"/>
    <cellStyle name="Note 2 2 38 3 5" xfId="32613"/>
    <cellStyle name="Note 2 2 38 30" xfId="32614"/>
    <cellStyle name="Note 2 2 38 30 2" xfId="32615"/>
    <cellStyle name="Note 2 2 38 31" xfId="32616"/>
    <cellStyle name="Note 2 2 38 31 2" xfId="32617"/>
    <cellStyle name="Note 2 2 38 32" xfId="32618"/>
    <cellStyle name="Note 2 2 38 32 2" xfId="32619"/>
    <cellStyle name="Note 2 2 38 33" xfId="32620"/>
    <cellStyle name="Note 2 2 38 33 2" xfId="32621"/>
    <cellStyle name="Note 2 2 38 34" xfId="32622"/>
    <cellStyle name="Note 2 2 38 34 2" xfId="32623"/>
    <cellStyle name="Note 2 2 38 35" xfId="32624"/>
    <cellStyle name="Note 2 2 38 35 2" xfId="32625"/>
    <cellStyle name="Note 2 2 38 36" xfId="32626"/>
    <cellStyle name="Note 2 2 38 36 2" xfId="32627"/>
    <cellStyle name="Note 2 2 38 37" xfId="32628"/>
    <cellStyle name="Note 2 2 38 37 2" xfId="32629"/>
    <cellStyle name="Note 2 2 38 38" xfId="32630"/>
    <cellStyle name="Note 2 2 38 38 2" xfId="32631"/>
    <cellStyle name="Note 2 2 38 39" xfId="32632"/>
    <cellStyle name="Note 2 2 38 39 2" xfId="32633"/>
    <cellStyle name="Note 2 2 38 4" xfId="32634"/>
    <cellStyle name="Note 2 2 38 4 2" xfId="32635"/>
    <cellStyle name="Note 2 2 38 4 2 2" xfId="32636"/>
    <cellStyle name="Note 2 2 38 4 3" xfId="32637"/>
    <cellStyle name="Note 2 2 38 4 3 2" xfId="32638"/>
    <cellStyle name="Note 2 2 38 4 4" xfId="32639"/>
    <cellStyle name="Note 2 2 38 4 4 2" xfId="32640"/>
    <cellStyle name="Note 2 2 38 4 5" xfId="32641"/>
    <cellStyle name="Note 2 2 38 40" xfId="32642"/>
    <cellStyle name="Note 2 2 38 40 2" xfId="32643"/>
    <cellStyle name="Note 2 2 38 41" xfId="32644"/>
    <cellStyle name="Note 2 2 38 41 2" xfId="32645"/>
    <cellStyle name="Note 2 2 38 42" xfId="32646"/>
    <cellStyle name="Note 2 2 38 42 2" xfId="32647"/>
    <cellStyle name="Note 2 2 38 43" xfId="32648"/>
    <cellStyle name="Note 2 2 38 43 2" xfId="32649"/>
    <cellStyle name="Note 2 2 38 44" xfId="32650"/>
    <cellStyle name="Note 2 2 38 44 2" xfId="32651"/>
    <cellStyle name="Note 2 2 38 45" xfId="32652"/>
    <cellStyle name="Note 2 2 38 45 2" xfId="32653"/>
    <cellStyle name="Note 2 2 38 46" xfId="32654"/>
    <cellStyle name="Note 2 2 38 46 2" xfId="32655"/>
    <cellStyle name="Note 2 2 38 47" xfId="32656"/>
    <cellStyle name="Note 2 2 38 47 2" xfId="32657"/>
    <cellStyle name="Note 2 2 38 48" xfId="32658"/>
    <cellStyle name="Note 2 2 38 48 2" xfId="32659"/>
    <cellStyle name="Note 2 2 38 49" xfId="32660"/>
    <cellStyle name="Note 2 2 38 49 2" xfId="32661"/>
    <cellStyle name="Note 2 2 38 5" xfId="32662"/>
    <cellStyle name="Note 2 2 38 5 2" xfId="32663"/>
    <cellStyle name="Note 2 2 38 5 2 2" xfId="32664"/>
    <cellStyle name="Note 2 2 38 5 3" xfId="32665"/>
    <cellStyle name="Note 2 2 38 5 3 2" xfId="32666"/>
    <cellStyle name="Note 2 2 38 5 4" xfId="32667"/>
    <cellStyle name="Note 2 2 38 5 4 2" xfId="32668"/>
    <cellStyle name="Note 2 2 38 5 5" xfId="32669"/>
    <cellStyle name="Note 2 2 38 50" xfId="32670"/>
    <cellStyle name="Note 2 2 38 50 2" xfId="32671"/>
    <cellStyle name="Note 2 2 38 51" xfId="32672"/>
    <cellStyle name="Note 2 2 38 51 2" xfId="32673"/>
    <cellStyle name="Note 2 2 38 52" xfId="32674"/>
    <cellStyle name="Note 2 2 38 52 2" xfId="32675"/>
    <cellStyle name="Note 2 2 38 53" xfId="32676"/>
    <cellStyle name="Note 2 2 38 53 2" xfId="32677"/>
    <cellStyle name="Note 2 2 38 54" xfId="32678"/>
    <cellStyle name="Note 2 2 38 54 2" xfId="32679"/>
    <cellStyle name="Note 2 2 38 55" xfId="32680"/>
    <cellStyle name="Note 2 2 38 55 2" xfId="32681"/>
    <cellStyle name="Note 2 2 38 56" xfId="32682"/>
    <cellStyle name="Note 2 2 38 56 2" xfId="32683"/>
    <cellStyle name="Note 2 2 38 57" xfId="32684"/>
    <cellStyle name="Note 2 2 38 57 2" xfId="32685"/>
    <cellStyle name="Note 2 2 38 58" xfId="32686"/>
    <cellStyle name="Note 2 2 38 58 2" xfId="32687"/>
    <cellStyle name="Note 2 2 38 59" xfId="32688"/>
    <cellStyle name="Note 2 2 38 59 2" xfId="32689"/>
    <cellStyle name="Note 2 2 38 6" xfId="32690"/>
    <cellStyle name="Note 2 2 38 6 2" xfId="32691"/>
    <cellStyle name="Note 2 2 38 6 2 2" xfId="32692"/>
    <cellStyle name="Note 2 2 38 6 3" xfId="32693"/>
    <cellStyle name="Note 2 2 38 6 3 2" xfId="32694"/>
    <cellStyle name="Note 2 2 38 6 4" xfId="32695"/>
    <cellStyle name="Note 2 2 38 6 4 2" xfId="32696"/>
    <cellStyle name="Note 2 2 38 6 5" xfId="32697"/>
    <cellStyle name="Note 2 2 38 60" xfId="32698"/>
    <cellStyle name="Note 2 2 38 60 2" xfId="32699"/>
    <cellStyle name="Note 2 2 38 61" xfId="32700"/>
    <cellStyle name="Note 2 2 38 61 2" xfId="32701"/>
    <cellStyle name="Note 2 2 38 62" xfId="32702"/>
    <cellStyle name="Note 2 2 38 7" xfId="32703"/>
    <cellStyle name="Note 2 2 38 7 2" xfId="32704"/>
    <cellStyle name="Note 2 2 38 7 2 2" xfId="32705"/>
    <cellStyle name="Note 2 2 38 7 3" xfId="32706"/>
    <cellStyle name="Note 2 2 38 7 3 2" xfId="32707"/>
    <cellStyle name="Note 2 2 38 7 4" xfId="32708"/>
    <cellStyle name="Note 2 2 38 7 4 2" xfId="32709"/>
    <cellStyle name="Note 2 2 38 7 5" xfId="32710"/>
    <cellStyle name="Note 2 2 38 8" xfId="32711"/>
    <cellStyle name="Note 2 2 38 8 2" xfId="32712"/>
    <cellStyle name="Note 2 2 38 8 2 2" xfId="32713"/>
    <cellStyle name="Note 2 2 38 8 3" xfId="32714"/>
    <cellStyle name="Note 2 2 38 8 3 2" xfId="32715"/>
    <cellStyle name="Note 2 2 38 8 4" xfId="32716"/>
    <cellStyle name="Note 2 2 38 8 4 2" xfId="32717"/>
    <cellStyle name="Note 2 2 38 8 5" xfId="32718"/>
    <cellStyle name="Note 2 2 38 9" xfId="32719"/>
    <cellStyle name="Note 2 2 38 9 2" xfId="32720"/>
    <cellStyle name="Note 2 2 38 9 2 2" xfId="32721"/>
    <cellStyle name="Note 2 2 38 9 3" xfId="32722"/>
    <cellStyle name="Note 2 2 38 9 3 2" xfId="32723"/>
    <cellStyle name="Note 2 2 38 9 4" xfId="32724"/>
    <cellStyle name="Note 2 2 38 9 4 2" xfId="32725"/>
    <cellStyle name="Note 2 2 38 9 5" xfId="32726"/>
    <cellStyle name="Note 2 2 39" xfId="32727"/>
    <cellStyle name="Note 2 2 39 10" xfId="32728"/>
    <cellStyle name="Note 2 2 39 10 2" xfId="32729"/>
    <cellStyle name="Note 2 2 39 10 2 2" xfId="32730"/>
    <cellStyle name="Note 2 2 39 10 3" xfId="32731"/>
    <cellStyle name="Note 2 2 39 10 3 2" xfId="32732"/>
    <cellStyle name="Note 2 2 39 10 4" xfId="32733"/>
    <cellStyle name="Note 2 2 39 10 4 2" xfId="32734"/>
    <cellStyle name="Note 2 2 39 10 5" xfId="32735"/>
    <cellStyle name="Note 2 2 39 11" xfId="32736"/>
    <cellStyle name="Note 2 2 39 11 2" xfId="32737"/>
    <cellStyle name="Note 2 2 39 11 2 2" xfId="32738"/>
    <cellStyle name="Note 2 2 39 11 3" xfId="32739"/>
    <cellStyle name="Note 2 2 39 11 3 2" xfId="32740"/>
    <cellStyle name="Note 2 2 39 11 4" xfId="32741"/>
    <cellStyle name="Note 2 2 39 11 4 2" xfId="32742"/>
    <cellStyle name="Note 2 2 39 11 5" xfId="32743"/>
    <cellStyle name="Note 2 2 39 12" xfId="32744"/>
    <cellStyle name="Note 2 2 39 12 2" xfId="32745"/>
    <cellStyle name="Note 2 2 39 12 2 2" xfId="32746"/>
    <cellStyle name="Note 2 2 39 12 3" xfId="32747"/>
    <cellStyle name="Note 2 2 39 12 3 2" xfId="32748"/>
    <cellStyle name="Note 2 2 39 12 4" xfId="32749"/>
    <cellStyle name="Note 2 2 39 12 4 2" xfId="32750"/>
    <cellStyle name="Note 2 2 39 12 5" xfId="32751"/>
    <cellStyle name="Note 2 2 39 13" xfId="32752"/>
    <cellStyle name="Note 2 2 39 13 2" xfId="32753"/>
    <cellStyle name="Note 2 2 39 13 2 2" xfId="32754"/>
    <cellStyle name="Note 2 2 39 13 3" xfId="32755"/>
    <cellStyle name="Note 2 2 39 13 3 2" xfId="32756"/>
    <cellStyle name="Note 2 2 39 13 4" xfId="32757"/>
    <cellStyle name="Note 2 2 39 13 4 2" xfId="32758"/>
    <cellStyle name="Note 2 2 39 13 5" xfId="32759"/>
    <cellStyle name="Note 2 2 39 14" xfId="32760"/>
    <cellStyle name="Note 2 2 39 14 2" xfId="32761"/>
    <cellStyle name="Note 2 2 39 14 2 2" xfId="32762"/>
    <cellStyle name="Note 2 2 39 14 3" xfId="32763"/>
    <cellStyle name="Note 2 2 39 14 3 2" xfId="32764"/>
    <cellStyle name="Note 2 2 39 14 4" xfId="32765"/>
    <cellStyle name="Note 2 2 39 14 4 2" xfId="32766"/>
    <cellStyle name="Note 2 2 39 14 5" xfId="32767"/>
    <cellStyle name="Note 2 2 39 15" xfId="32768"/>
    <cellStyle name="Note 2 2 39 15 2" xfId="32769"/>
    <cellStyle name="Note 2 2 39 16" xfId="32770"/>
    <cellStyle name="Note 2 2 39 16 2" xfId="32771"/>
    <cellStyle name="Note 2 2 39 17" xfId="32772"/>
    <cellStyle name="Note 2 2 39 17 2" xfId="32773"/>
    <cellStyle name="Note 2 2 39 18" xfId="32774"/>
    <cellStyle name="Note 2 2 39 18 2" xfId="32775"/>
    <cellStyle name="Note 2 2 39 19" xfId="32776"/>
    <cellStyle name="Note 2 2 39 19 2" xfId="32777"/>
    <cellStyle name="Note 2 2 39 2" xfId="32778"/>
    <cellStyle name="Note 2 2 39 2 10" xfId="32779"/>
    <cellStyle name="Note 2 2 39 2 10 2" xfId="32780"/>
    <cellStyle name="Note 2 2 39 2 11" xfId="32781"/>
    <cellStyle name="Note 2 2 39 2 11 2" xfId="32782"/>
    <cellStyle name="Note 2 2 39 2 12" xfId="32783"/>
    <cellStyle name="Note 2 2 39 2 12 2" xfId="32784"/>
    <cellStyle name="Note 2 2 39 2 13" xfId="32785"/>
    <cellStyle name="Note 2 2 39 2 13 2" xfId="32786"/>
    <cellStyle name="Note 2 2 39 2 14" xfId="32787"/>
    <cellStyle name="Note 2 2 39 2 14 2" xfId="32788"/>
    <cellStyle name="Note 2 2 39 2 15" xfId="32789"/>
    <cellStyle name="Note 2 2 39 2 15 2" xfId="32790"/>
    <cellStyle name="Note 2 2 39 2 16" xfId="32791"/>
    <cellStyle name="Note 2 2 39 2 16 2" xfId="32792"/>
    <cellStyle name="Note 2 2 39 2 17" xfId="32793"/>
    <cellStyle name="Note 2 2 39 2 17 2" xfId="32794"/>
    <cellStyle name="Note 2 2 39 2 18" xfId="32795"/>
    <cellStyle name="Note 2 2 39 2 18 2" xfId="32796"/>
    <cellStyle name="Note 2 2 39 2 19" xfId="32797"/>
    <cellStyle name="Note 2 2 39 2 19 2" xfId="32798"/>
    <cellStyle name="Note 2 2 39 2 2" xfId="32799"/>
    <cellStyle name="Note 2 2 39 2 2 2" xfId="32800"/>
    <cellStyle name="Note 2 2 39 2 2 3" xfId="32801"/>
    <cellStyle name="Note 2 2 39 2 20" xfId="32802"/>
    <cellStyle name="Note 2 2 39 2 20 2" xfId="32803"/>
    <cellStyle name="Note 2 2 39 2 21" xfId="32804"/>
    <cellStyle name="Note 2 2 39 2 21 2" xfId="32805"/>
    <cellStyle name="Note 2 2 39 2 22" xfId="32806"/>
    <cellStyle name="Note 2 2 39 2 22 2" xfId="32807"/>
    <cellStyle name="Note 2 2 39 2 23" xfId="32808"/>
    <cellStyle name="Note 2 2 39 2 23 2" xfId="32809"/>
    <cellStyle name="Note 2 2 39 2 24" xfId="32810"/>
    <cellStyle name="Note 2 2 39 2 24 2" xfId="32811"/>
    <cellStyle name="Note 2 2 39 2 25" xfId="32812"/>
    <cellStyle name="Note 2 2 39 2 25 2" xfId="32813"/>
    <cellStyle name="Note 2 2 39 2 26" xfId="32814"/>
    <cellStyle name="Note 2 2 39 2 26 2" xfId="32815"/>
    <cellStyle name="Note 2 2 39 2 27" xfId="32816"/>
    <cellStyle name="Note 2 2 39 2 27 2" xfId="32817"/>
    <cellStyle name="Note 2 2 39 2 28" xfId="32818"/>
    <cellStyle name="Note 2 2 39 2 28 2" xfId="32819"/>
    <cellStyle name="Note 2 2 39 2 29" xfId="32820"/>
    <cellStyle name="Note 2 2 39 2 29 2" xfId="32821"/>
    <cellStyle name="Note 2 2 39 2 3" xfId="32822"/>
    <cellStyle name="Note 2 2 39 2 3 2" xfId="32823"/>
    <cellStyle name="Note 2 2 39 2 3 3" xfId="32824"/>
    <cellStyle name="Note 2 2 39 2 30" xfId="32825"/>
    <cellStyle name="Note 2 2 39 2 30 2" xfId="32826"/>
    <cellStyle name="Note 2 2 39 2 31" xfId="32827"/>
    <cellStyle name="Note 2 2 39 2 4" xfId="32828"/>
    <cellStyle name="Note 2 2 39 2 4 2" xfId="32829"/>
    <cellStyle name="Note 2 2 39 2 5" xfId="32830"/>
    <cellStyle name="Note 2 2 39 2 5 2" xfId="32831"/>
    <cellStyle name="Note 2 2 39 2 6" xfId="32832"/>
    <cellStyle name="Note 2 2 39 2 6 2" xfId="32833"/>
    <cellStyle name="Note 2 2 39 2 7" xfId="32834"/>
    <cellStyle name="Note 2 2 39 2 7 2" xfId="32835"/>
    <cellStyle name="Note 2 2 39 2 8" xfId="32836"/>
    <cellStyle name="Note 2 2 39 2 8 2" xfId="32837"/>
    <cellStyle name="Note 2 2 39 2 9" xfId="32838"/>
    <cellStyle name="Note 2 2 39 2 9 2" xfId="32839"/>
    <cellStyle name="Note 2 2 39 20" xfId="32840"/>
    <cellStyle name="Note 2 2 39 20 2" xfId="32841"/>
    <cellStyle name="Note 2 2 39 21" xfId="32842"/>
    <cellStyle name="Note 2 2 39 21 2" xfId="32843"/>
    <cellStyle name="Note 2 2 39 22" xfId="32844"/>
    <cellStyle name="Note 2 2 39 22 2" xfId="32845"/>
    <cellStyle name="Note 2 2 39 23" xfId="32846"/>
    <cellStyle name="Note 2 2 39 23 2" xfId="32847"/>
    <cellStyle name="Note 2 2 39 24" xfId="32848"/>
    <cellStyle name="Note 2 2 39 24 2" xfId="32849"/>
    <cellStyle name="Note 2 2 39 25" xfId="32850"/>
    <cellStyle name="Note 2 2 39 25 2" xfId="32851"/>
    <cellStyle name="Note 2 2 39 26" xfId="32852"/>
    <cellStyle name="Note 2 2 39 26 2" xfId="32853"/>
    <cellStyle name="Note 2 2 39 27" xfId="32854"/>
    <cellStyle name="Note 2 2 39 27 2" xfId="32855"/>
    <cellStyle name="Note 2 2 39 28" xfId="32856"/>
    <cellStyle name="Note 2 2 39 28 2" xfId="32857"/>
    <cellStyle name="Note 2 2 39 29" xfId="32858"/>
    <cellStyle name="Note 2 2 39 29 2" xfId="32859"/>
    <cellStyle name="Note 2 2 39 3" xfId="32860"/>
    <cellStyle name="Note 2 2 39 3 2" xfId="32861"/>
    <cellStyle name="Note 2 2 39 3 2 2" xfId="32862"/>
    <cellStyle name="Note 2 2 39 3 3" xfId="32863"/>
    <cellStyle name="Note 2 2 39 3 3 2" xfId="32864"/>
    <cellStyle name="Note 2 2 39 3 4" xfId="32865"/>
    <cellStyle name="Note 2 2 39 3 4 2" xfId="32866"/>
    <cellStyle name="Note 2 2 39 3 5" xfId="32867"/>
    <cellStyle name="Note 2 2 39 30" xfId="32868"/>
    <cellStyle name="Note 2 2 39 30 2" xfId="32869"/>
    <cellStyle name="Note 2 2 39 31" xfId="32870"/>
    <cellStyle name="Note 2 2 39 31 2" xfId="32871"/>
    <cellStyle name="Note 2 2 39 32" xfId="32872"/>
    <cellStyle name="Note 2 2 39 32 2" xfId="32873"/>
    <cellStyle name="Note 2 2 39 33" xfId="32874"/>
    <cellStyle name="Note 2 2 39 33 2" xfId="32875"/>
    <cellStyle name="Note 2 2 39 34" xfId="32876"/>
    <cellStyle name="Note 2 2 39 34 2" xfId="32877"/>
    <cellStyle name="Note 2 2 39 35" xfId="32878"/>
    <cellStyle name="Note 2 2 39 35 2" xfId="32879"/>
    <cellStyle name="Note 2 2 39 36" xfId="32880"/>
    <cellStyle name="Note 2 2 39 36 2" xfId="32881"/>
    <cellStyle name="Note 2 2 39 37" xfId="32882"/>
    <cellStyle name="Note 2 2 39 37 2" xfId="32883"/>
    <cellStyle name="Note 2 2 39 38" xfId="32884"/>
    <cellStyle name="Note 2 2 39 38 2" xfId="32885"/>
    <cellStyle name="Note 2 2 39 39" xfId="32886"/>
    <cellStyle name="Note 2 2 39 39 2" xfId="32887"/>
    <cellStyle name="Note 2 2 39 4" xfId="32888"/>
    <cellStyle name="Note 2 2 39 4 2" xfId="32889"/>
    <cellStyle name="Note 2 2 39 4 2 2" xfId="32890"/>
    <cellStyle name="Note 2 2 39 4 3" xfId="32891"/>
    <cellStyle name="Note 2 2 39 4 3 2" xfId="32892"/>
    <cellStyle name="Note 2 2 39 4 4" xfId="32893"/>
    <cellStyle name="Note 2 2 39 4 4 2" xfId="32894"/>
    <cellStyle name="Note 2 2 39 4 5" xfId="32895"/>
    <cellStyle name="Note 2 2 39 40" xfId="32896"/>
    <cellStyle name="Note 2 2 39 40 2" xfId="32897"/>
    <cellStyle name="Note 2 2 39 41" xfId="32898"/>
    <cellStyle name="Note 2 2 39 41 2" xfId="32899"/>
    <cellStyle name="Note 2 2 39 42" xfId="32900"/>
    <cellStyle name="Note 2 2 39 42 2" xfId="32901"/>
    <cellStyle name="Note 2 2 39 43" xfId="32902"/>
    <cellStyle name="Note 2 2 39 43 2" xfId="32903"/>
    <cellStyle name="Note 2 2 39 44" xfId="32904"/>
    <cellStyle name="Note 2 2 39 44 2" xfId="32905"/>
    <cellStyle name="Note 2 2 39 45" xfId="32906"/>
    <cellStyle name="Note 2 2 39 45 2" xfId="32907"/>
    <cellStyle name="Note 2 2 39 46" xfId="32908"/>
    <cellStyle name="Note 2 2 39 46 2" xfId="32909"/>
    <cellStyle name="Note 2 2 39 47" xfId="32910"/>
    <cellStyle name="Note 2 2 39 47 2" xfId="32911"/>
    <cellStyle name="Note 2 2 39 48" xfId="32912"/>
    <cellStyle name="Note 2 2 39 48 2" xfId="32913"/>
    <cellStyle name="Note 2 2 39 49" xfId="32914"/>
    <cellStyle name="Note 2 2 39 49 2" xfId="32915"/>
    <cellStyle name="Note 2 2 39 5" xfId="32916"/>
    <cellStyle name="Note 2 2 39 5 2" xfId="32917"/>
    <cellStyle name="Note 2 2 39 5 2 2" xfId="32918"/>
    <cellStyle name="Note 2 2 39 5 3" xfId="32919"/>
    <cellStyle name="Note 2 2 39 5 3 2" xfId="32920"/>
    <cellStyle name="Note 2 2 39 5 4" xfId="32921"/>
    <cellStyle name="Note 2 2 39 5 4 2" xfId="32922"/>
    <cellStyle name="Note 2 2 39 5 5" xfId="32923"/>
    <cellStyle name="Note 2 2 39 50" xfId="32924"/>
    <cellStyle name="Note 2 2 39 50 2" xfId="32925"/>
    <cellStyle name="Note 2 2 39 51" xfId="32926"/>
    <cellStyle name="Note 2 2 39 51 2" xfId="32927"/>
    <cellStyle name="Note 2 2 39 52" xfId="32928"/>
    <cellStyle name="Note 2 2 39 52 2" xfId="32929"/>
    <cellStyle name="Note 2 2 39 53" xfId="32930"/>
    <cellStyle name="Note 2 2 39 53 2" xfId="32931"/>
    <cellStyle name="Note 2 2 39 54" xfId="32932"/>
    <cellStyle name="Note 2 2 39 54 2" xfId="32933"/>
    <cellStyle name="Note 2 2 39 55" xfId="32934"/>
    <cellStyle name="Note 2 2 39 55 2" xfId="32935"/>
    <cellStyle name="Note 2 2 39 56" xfId="32936"/>
    <cellStyle name="Note 2 2 39 56 2" xfId="32937"/>
    <cellStyle name="Note 2 2 39 57" xfId="32938"/>
    <cellStyle name="Note 2 2 39 57 2" xfId="32939"/>
    <cellStyle name="Note 2 2 39 58" xfId="32940"/>
    <cellStyle name="Note 2 2 39 58 2" xfId="32941"/>
    <cellStyle name="Note 2 2 39 59" xfId="32942"/>
    <cellStyle name="Note 2 2 39 59 2" xfId="32943"/>
    <cellStyle name="Note 2 2 39 6" xfId="32944"/>
    <cellStyle name="Note 2 2 39 6 2" xfId="32945"/>
    <cellStyle name="Note 2 2 39 6 2 2" xfId="32946"/>
    <cellStyle name="Note 2 2 39 6 3" xfId="32947"/>
    <cellStyle name="Note 2 2 39 6 3 2" xfId="32948"/>
    <cellStyle name="Note 2 2 39 6 4" xfId="32949"/>
    <cellStyle name="Note 2 2 39 6 4 2" xfId="32950"/>
    <cellStyle name="Note 2 2 39 6 5" xfId="32951"/>
    <cellStyle name="Note 2 2 39 60" xfId="32952"/>
    <cellStyle name="Note 2 2 39 60 2" xfId="32953"/>
    <cellStyle name="Note 2 2 39 61" xfId="32954"/>
    <cellStyle name="Note 2 2 39 61 2" xfId="32955"/>
    <cellStyle name="Note 2 2 39 62" xfId="32956"/>
    <cellStyle name="Note 2 2 39 7" xfId="32957"/>
    <cellStyle name="Note 2 2 39 7 2" xfId="32958"/>
    <cellStyle name="Note 2 2 39 7 2 2" xfId="32959"/>
    <cellStyle name="Note 2 2 39 7 3" xfId="32960"/>
    <cellStyle name="Note 2 2 39 7 3 2" xfId="32961"/>
    <cellStyle name="Note 2 2 39 7 4" xfId="32962"/>
    <cellStyle name="Note 2 2 39 7 4 2" xfId="32963"/>
    <cellStyle name="Note 2 2 39 7 5" xfId="32964"/>
    <cellStyle name="Note 2 2 39 8" xfId="32965"/>
    <cellStyle name="Note 2 2 39 8 2" xfId="32966"/>
    <cellStyle name="Note 2 2 39 8 2 2" xfId="32967"/>
    <cellStyle name="Note 2 2 39 8 3" xfId="32968"/>
    <cellStyle name="Note 2 2 39 8 3 2" xfId="32969"/>
    <cellStyle name="Note 2 2 39 8 4" xfId="32970"/>
    <cellStyle name="Note 2 2 39 8 4 2" xfId="32971"/>
    <cellStyle name="Note 2 2 39 8 5" xfId="32972"/>
    <cellStyle name="Note 2 2 39 9" xfId="32973"/>
    <cellStyle name="Note 2 2 39 9 2" xfId="32974"/>
    <cellStyle name="Note 2 2 39 9 2 2" xfId="32975"/>
    <cellStyle name="Note 2 2 39 9 3" xfId="32976"/>
    <cellStyle name="Note 2 2 39 9 3 2" xfId="32977"/>
    <cellStyle name="Note 2 2 39 9 4" xfId="32978"/>
    <cellStyle name="Note 2 2 39 9 4 2" xfId="32979"/>
    <cellStyle name="Note 2 2 39 9 5" xfId="32980"/>
    <cellStyle name="Note 2 2 4" xfId="32981"/>
    <cellStyle name="Note 2 2 4 10" xfId="32982"/>
    <cellStyle name="Note 2 2 4 10 2" xfId="32983"/>
    <cellStyle name="Note 2 2 4 10 2 2" xfId="32984"/>
    <cellStyle name="Note 2 2 4 10 3" xfId="32985"/>
    <cellStyle name="Note 2 2 4 10 3 2" xfId="32986"/>
    <cellStyle name="Note 2 2 4 10 4" xfId="32987"/>
    <cellStyle name="Note 2 2 4 10 4 2" xfId="32988"/>
    <cellStyle name="Note 2 2 4 10 5" xfId="32989"/>
    <cellStyle name="Note 2 2 4 11" xfId="32990"/>
    <cellStyle name="Note 2 2 4 11 2" xfId="32991"/>
    <cellStyle name="Note 2 2 4 11 2 2" xfId="32992"/>
    <cellStyle name="Note 2 2 4 11 3" xfId="32993"/>
    <cellStyle name="Note 2 2 4 11 3 2" xfId="32994"/>
    <cellStyle name="Note 2 2 4 11 4" xfId="32995"/>
    <cellStyle name="Note 2 2 4 11 4 2" xfId="32996"/>
    <cellStyle name="Note 2 2 4 11 5" xfId="32997"/>
    <cellStyle name="Note 2 2 4 12" xfId="32998"/>
    <cellStyle name="Note 2 2 4 12 2" xfId="32999"/>
    <cellStyle name="Note 2 2 4 12 2 2" xfId="33000"/>
    <cellStyle name="Note 2 2 4 12 3" xfId="33001"/>
    <cellStyle name="Note 2 2 4 12 3 2" xfId="33002"/>
    <cellStyle name="Note 2 2 4 12 4" xfId="33003"/>
    <cellStyle name="Note 2 2 4 12 4 2" xfId="33004"/>
    <cellStyle name="Note 2 2 4 12 5" xfId="33005"/>
    <cellStyle name="Note 2 2 4 13" xfId="33006"/>
    <cellStyle name="Note 2 2 4 13 2" xfId="33007"/>
    <cellStyle name="Note 2 2 4 13 2 2" xfId="33008"/>
    <cellStyle name="Note 2 2 4 13 3" xfId="33009"/>
    <cellStyle name="Note 2 2 4 13 3 2" xfId="33010"/>
    <cellStyle name="Note 2 2 4 13 4" xfId="33011"/>
    <cellStyle name="Note 2 2 4 13 4 2" xfId="33012"/>
    <cellStyle name="Note 2 2 4 13 5" xfId="33013"/>
    <cellStyle name="Note 2 2 4 14" xfId="33014"/>
    <cellStyle name="Note 2 2 4 14 2" xfId="33015"/>
    <cellStyle name="Note 2 2 4 14 2 2" xfId="33016"/>
    <cellStyle name="Note 2 2 4 14 3" xfId="33017"/>
    <cellStyle name="Note 2 2 4 14 3 2" xfId="33018"/>
    <cellStyle name="Note 2 2 4 14 4" xfId="33019"/>
    <cellStyle name="Note 2 2 4 14 4 2" xfId="33020"/>
    <cellStyle name="Note 2 2 4 14 5" xfId="33021"/>
    <cellStyle name="Note 2 2 4 15" xfId="33022"/>
    <cellStyle name="Note 2 2 4 15 2" xfId="33023"/>
    <cellStyle name="Note 2 2 4 16" xfId="33024"/>
    <cellStyle name="Note 2 2 4 16 2" xfId="33025"/>
    <cellStyle name="Note 2 2 4 17" xfId="33026"/>
    <cellStyle name="Note 2 2 4 17 2" xfId="33027"/>
    <cellStyle name="Note 2 2 4 18" xfId="33028"/>
    <cellStyle name="Note 2 2 4 18 2" xfId="33029"/>
    <cellStyle name="Note 2 2 4 19" xfId="33030"/>
    <cellStyle name="Note 2 2 4 19 2" xfId="33031"/>
    <cellStyle name="Note 2 2 4 2" xfId="33032"/>
    <cellStyle name="Note 2 2 4 2 10" xfId="33033"/>
    <cellStyle name="Note 2 2 4 2 10 2" xfId="33034"/>
    <cellStyle name="Note 2 2 4 2 11" xfId="33035"/>
    <cellStyle name="Note 2 2 4 2 11 2" xfId="33036"/>
    <cellStyle name="Note 2 2 4 2 12" xfId="33037"/>
    <cellStyle name="Note 2 2 4 2 12 2" xfId="33038"/>
    <cellStyle name="Note 2 2 4 2 13" xfId="33039"/>
    <cellStyle name="Note 2 2 4 2 13 2" xfId="33040"/>
    <cellStyle name="Note 2 2 4 2 14" xfId="33041"/>
    <cellStyle name="Note 2 2 4 2 14 2" xfId="33042"/>
    <cellStyle name="Note 2 2 4 2 15" xfId="33043"/>
    <cellStyle name="Note 2 2 4 2 15 2" xfId="33044"/>
    <cellStyle name="Note 2 2 4 2 16" xfId="33045"/>
    <cellStyle name="Note 2 2 4 2 16 2" xfId="33046"/>
    <cellStyle name="Note 2 2 4 2 17" xfId="33047"/>
    <cellStyle name="Note 2 2 4 2 17 2" xfId="33048"/>
    <cellStyle name="Note 2 2 4 2 18" xfId="33049"/>
    <cellStyle name="Note 2 2 4 2 18 2" xfId="33050"/>
    <cellStyle name="Note 2 2 4 2 19" xfId="33051"/>
    <cellStyle name="Note 2 2 4 2 19 2" xfId="33052"/>
    <cellStyle name="Note 2 2 4 2 2" xfId="33053"/>
    <cellStyle name="Note 2 2 4 2 2 2" xfId="33054"/>
    <cellStyle name="Note 2 2 4 2 2 3" xfId="33055"/>
    <cellStyle name="Note 2 2 4 2 20" xfId="33056"/>
    <cellStyle name="Note 2 2 4 2 20 2" xfId="33057"/>
    <cellStyle name="Note 2 2 4 2 21" xfId="33058"/>
    <cellStyle name="Note 2 2 4 2 21 2" xfId="33059"/>
    <cellStyle name="Note 2 2 4 2 22" xfId="33060"/>
    <cellStyle name="Note 2 2 4 2 22 2" xfId="33061"/>
    <cellStyle name="Note 2 2 4 2 23" xfId="33062"/>
    <cellStyle name="Note 2 2 4 2 23 2" xfId="33063"/>
    <cellStyle name="Note 2 2 4 2 24" xfId="33064"/>
    <cellStyle name="Note 2 2 4 2 24 2" xfId="33065"/>
    <cellStyle name="Note 2 2 4 2 25" xfId="33066"/>
    <cellStyle name="Note 2 2 4 2 25 2" xfId="33067"/>
    <cellStyle name="Note 2 2 4 2 26" xfId="33068"/>
    <cellStyle name="Note 2 2 4 2 26 2" xfId="33069"/>
    <cellStyle name="Note 2 2 4 2 27" xfId="33070"/>
    <cellStyle name="Note 2 2 4 2 27 2" xfId="33071"/>
    <cellStyle name="Note 2 2 4 2 28" xfId="33072"/>
    <cellStyle name="Note 2 2 4 2 28 2" xfId="33073"/>
    <cellStyle name="Note 2 2 4 2 29" xfId="33074"/>
    <cellStyle name="Note 2 2 4 2 29 2" xfId="33075"/>
    <cellStyle name="Note 2 2 4 2 3" xfId="33076"/>
    <cellStyle name="Note 2 2 4 2 3 2" xfId="33077"/>
    <cellStyle name="Note 2 2 4 2 3 3" xfId="33078"/>
    <cellStyle name="Note 2 2 4 2 30" xfId="33079"/>
    <cellStyle name="Note 2 2 4 2 30 2" xfId="33080"/>
    <cellStyle name="Note 2 2 4 2 31" xfId="33081"/>
    <cellStyle name="Note 2 2 4 2 4" xfId="33082"/>
    <cellStyle name="Note 2 2 4 2 4 2" xfId="33083"/>
    <cellStyle name="Note 2 2 4 2 5" xfId="33084"/>
    <cellStyle name="Note 2 2 4 2 5 2" xfId="33085"/>
    <cellStyle name="Note 2 2 4 2 6" xfId="33086"/>
    <cellStyle name="Note 2 2 4 2 6 2" xfId="33087"/>
    <cellStyle name="Note 2 2 4 2 7" xfId="33088"/>
    <cellStyle name="Note 2 2 4 2 7 2" xfId="33089"/>
    <cellStyle name="Note 2 2 4 2 8" xfId="33090"/>
    <cellStyle name="Note 2 2 4 2 8 2" xfId="33091"/>
    <cellStyle name="Note 2 2 4 2 9" xfId="33092"/>
    <cellStyle name="Note 2 2 4 2 9 2" xfId="33093"/>
    <cellStyle name="Note 2 2 4 20" xfId="33094"/>
    <cellStyle name="Note 2 2 4 20 2" xfId="33095"/>
    <cellStyle name="Note 2 2 4 21" xfId="33096"/>
    <cellStyle name="Note 2 2 4 21 2" xfId="33097"/>
    <cellStyle name="Note 2 2 4 22" xfId="33098"/>
    <cellStyle name="Note 2 2 4 22 2" xfId="33099"/>
    <cellStyle name="Note 2 2 4 23" xfId="33100"/>
    <cellStyle name="Note 2 2 4 23 2" xfId="33101"/>
    <cellStyle name="Note 2 2 4 24" xfId="33102"/>
    <cellStyle name="Note 2 2 4 24 2" xfId="33103"/>
    <cellStyle name="Note 2 2 4 25" xfId="33104"/>
    <cellStyle name="Note 2 2 4 25 2" xfId="33105"/>
    <cellStyle name="Note 2 2 4 26" xfId="33106"/>
    <cellStyle name="Note 2 2 4 26 2" xfId="33107"/>
    <cellStyle name="Note 2 2 4 27" xfId="33108"/>
    <cellStyle name="Note 2 2 4 27 2" xfId="33109"/>
    <cellStyle name="Note 2 2 4 28" xfId="33110"/>
    <cellStyle name="Note 2 2 4 28 2" xfId="33111"/>
    <cellStyle name="Note 2 2 4 29" xfId="33112"/>
    <cellStyle name="Note 2 2 4 29 2" xfId="33113"/>
    <cellStyle name="Note 2 2 4 3" xfId="33114"/>
    <cellStyle name="Note 2 2 4 3 2" xfId="33115"/>
    <cellStyle name="Note 2 2 4 3 2 2" xfId="33116"/>
    <cellStyle name="Note 2 2 4 3 3" xfId="33117"/>
    <cellStyle name="Note 2 2 4 3 3 2" xfId="33118"/>
    <cellStyle name="Note 2 2 4 3 4" xfId="33119"/>
    <cellStyle name="Note 2 2 4 3 4 2" xfId="33120"/>
    <cellStyle name="Note 2 2 4 3 5" xfId="33121"/>
    <cellStyle name="Note 2 2 4 30" xfId="33122"/>
    <cellStyle name="Note 2 2 4 30 2" xfId="33123"/>
    <cellStyle name="Note 2 2 4 31" xfId="33124"/>
    <cellStyle name="Note 2 2 4 31 2" xfId="33125"/>
    <cellStyle name="Note 2 2 4 32" xfId="33126"/>
    <cellStyle name="Note 2 2 4 32 2" xfId="33127"/>
    <cellStyle name="Note 2 2 4 33" xfId="33128"/>
    <cellStyle name="Note 2 2 4 33 2" xfId="33129"/>
    <cellStyle name="Note 2 2 4 34" xfId="33130"/>
    <cellStyle name="Note 2 2 4 34 2" xfId="33131"/>
    <cellStyle name="Note 2 2 4 35" xfId="33132"/>
    <cellStyle name="Note 2 2 4 35 2" xfId="33133"/>
    <cellStyle name="Note 2 2 4 36" xfId="33134"/>
    <cellStyle name="Note 2 2 4 36 2" xfId="33135"/>
    <cellStyle name="Note 2 2 4 37" xfId="33136"/>
    <cellStyle name="Note 2 2 4 37 2" xfId="33137"/>
    <cellStyle name="Note 2 2 4 38" xfId="33138"/>
    <cellStyle name="Note 2 2 4 38 2" xfId="33139"/>
    <cellStyle name="Note 2 2 4 39" xfId="33140"/>
    <cellStyle name="Note 2 2 4 39 2" xfId="33141"/>
    <cellStyle name="Note 2 2 4 4" xfId="33142"/>
    <cellStyle name="Note 2 2 4 4 2" xfId="33143"/>
    <cellStyle name="Note 2 2 4 4 2 2" xfId="33144"/>
    <cellStyle name="Note 2 2 4 4 3" xfId="33145"/>
    <cellStyle name="Note 2 2 4 4 3 2" xfId="33146"/>
    <cellStyle name="Note 2 2 4 4 4" xfId="33147"/>
    <cellStyle name="Note 2 2 4 4 4 2" xfId="33148"/>
    <cellStyle name="Note 2 2 4 4 5" xfId="33149"/>
    <cellStyle name="Note 2 2 4 40" xfId="33150"/>
    <cellStyle name="Note 2 2 4 40 2" xfId="33151"/>
    <cellStyle name="Note 2 2 4 41" xfId="33152"/>
    <cellStyle name="Note 2 2 4 41 2" xfId="33153"/>
    <cellStyle name="Note 2 2 4 42" xfId="33154"/>
    <cellStyle name="Note 2 2 4 42 2" xfId="33155"/>
    <cellStyle name="Note 2 2 4 43" xfId="33156"/>
    <cellStyle name="Note 2 2 4 43 2" xfId="33157"/>
    <cellStyle name="Note 2 2 4 44" xfId="33158"/>
    <cellStyle name="Note 2 2 4 44 2" xfId="33159"/>
    <cellStyle name="Note 2 2 4 45" xfId="33160"/>
    <cellStyle name="Note 2 2 4 45 2" xfId="33161"/>
    <cellStyle name="Note 2 2 4 46" xfId="33162"/>
    <cellStyle name="Note 2 2 4 46 2" xfId="33163"/>
    <cellStyle name="Note 2 2 4 47" xfId="33164"/>
    <cellStyle name="Note 2 2 4 47 2" xfId="33165"/>
    <cellStyle name="Note 2 2 4 48" xfId="33166"/>
    <cellStyle name="Note 2 2 4 48 2" xfId="33167"/>
    <cellStyle name="Note 2 2 4 49" xfId="33168"/>
    <cellStyle name="Note 2 2 4 49 2" xfId="33169"/>
    <cellStyle name="Note 2 2 4 5" xfId="33170"/>
    <cellStyle name="Note 2 2 4 5 2" xfId="33171"/>
    <cellStyle name="Note 2 2 4 5 2 2" xfId="33172"/>
    <cellStyle name="Note 2 2 4 5 3" xfId="33173"/>
    <cellStyle name="Note 2 2 4 5 3 2" xfId="33174"/>
    <cellStyle name="Note 2 2 4 5 4" xfId="33175"/>
    <cellStyle name="Note 2 2 4 5 4 2" xfId="33176"/>
    <cellStyle name="Note 2 2 4 5 5" xfId="33177"/>
    <cellStyle name="Note 2 2 4 50" xfId="33178"/>
    <cellStyle name="Note 2 2 4 50 2" xfId="33179"/>
    <cellStyle name="Note 2 2 4 51" xfId="33180"/>
    <cellStyle name="Note 2 2 4 51 2" xfId="33181"/>
    <cellStyle name="Note 2 2 4 52" xfId="33182"/>
    <cellStyle name="Note 2 2 4 52 2" xfId="33183"/>
    <cellStyle name="Note 2 2 4 53" xfId="33184"/>
    <cellStyle name="Note 2 2 4 53 2" xfId="33185"/>
    <cellStyle name="Note 2 2 4 54" xfId="33186"/>
    <cellStyle name="Note 2 2 4 54 2" xfId="33187"/>
    <cellStyle name="Note 2 2 4 55" xfId="33188"/>
    <cellStyle name="Note 2 2 4 55 2" xfId="33189"/>
    <cellStyle name="Note 2 2 4 56" xfId="33190"/>
    <cellStyle name="Note 2 2 4 56 2" xfId="33191"/>
    <cellStyle name="Note 2 2 4 57" xfId="33192"/>
    <cellStyle name="Note 2 2 4 57 2" xfId="33193"/>
    <cellStyle name="Note 2 2 4 58" xfId="33194"/>
    <cellStyle name="Note 2 2 4 58 2" xfId="33195"/>
    <cellStyle name="Note 2 2 4 59" xfId="33196"/>
    <cellStyle name="Note 2 2 4 59 2" xfId="33197"/>
    <cellStyle name="Note 2 2 4 6" xfId="33198"/>
    <cellStyle name="Note 2 2 4 6 2" xfId="33199"/>
    <cellStyle name="Note 2 2 4 6 2 2" xfId="33200"/>
    <cellStyle name="Note 2 2 4 6 3" xfId="33201"/>
    <cellStyle name="Note 2 2 4 6 3 2" xfId="33202"/>
    <cellStyle name="Note 2 2 4 6 4" xfId="33203"/>
    <cellStyle name="Note 2 2 4 6 4 2" xfId="33204"/>
    <cellStyle name="Note 2 2 4 6 5" xfId="33205"/>
    <cellStyle name="Note 2 2 4 60" xfId="33206"/>
    <cellStyle name="Note 2 2 4 60 2" xfId="33207"/>
    <cellStyle name="Note 2 2 4 61" xfId="33208"/>
    <cellStyle name="Note 2 2 4 61 2" xfId="33209"/>
    <cellStyle name="Note 2 2 4 62" xfId="33210"/>
    <cellStyle name="Note 2 2 4 7" xfId="33211"/>
    <cellStyle name="Note 2 2 4 7 2" xfId="33212"/>
    <cellStyle name="Note 2 2 4 7 2 2" xfId="33213"/>
    <cellStyle name="Note 2 2 4 7 3" xfId="33214"/>
    <cellStyle name="Note 2 2 4 7 3 2" xfId="33215"/>
    <cellStyle name="Note 2 2 4 7 4" xfId="33216"/>
    <cellStyle name="Note 2 2 4 7 4 2" xfId="33217"/>
    <cellStyle name="Note 2 2 4 7 5" xfId="33218"/>
    <cellStyle name="Note 2 2 4 8" xfId="33219"/>
    <cellStyle name="Note 2 2 4 8 2" xfId="33220"/>
    <cellStyle name="Note 2 2 4 8 2 2" xfId="33221"/>
    <cellStyle name="Note 2 2 4 8 3" xfId="33222"/>
    <cellStyle name="Note 2 2 4 8 3 2" xfId="33223"/>
    <cellStyle name="Note 2 2 4 8 4" xfId="33224"/>
    <cellStyle name="Note 2 2 4 8 4 2" xfId="33225"/>
    <cellStyle name="Note 2 2 4 8 5" xfId="33226"/>
    <cellStyle name="Note 2 2 4 9" xfId="33227"/>
    <cellStyle name="Note 2 2 4 9 2" xfId="33228"/>
    <cellStyle name="Note 2 2 4 9 2 2" xfId="33229"/>
    <cellStyle name="Note 2 2 4 9 3" xfId="33230"/>
    <cellStyle name="Note 2 2 4 9 3 2" xfId="33231"/>
    <cellStyle name="Note 2 2 4 9 4" xfId="33232"/>
    <cellStyle name="Note 2 2 4 9 4 2" xfId="33233"/>
    <cellStyle name="Note 2 2 4 9 5" xfId="33234"/>
    <cellStyle name="Note 2 2 40" xfId="33235"/>
    <cellStyle name="Note 2 2 40 10" xfId="33236"/>
    <cellStyle name="Note 2 2 40 10 2" xfId="33237"/>
    <cellStyle name="Note 2 2 40 10 2 2" xfId="33238"/>
    <cellStyle name="Note 2 2 40 10 3" xfId="33239"/>
    <cellStyle name="Note 2 2 40 10 3 2" xfId="33240"/>
    <cellStyle name="Note 2 2 40 10 4" xfId="33241"/>
    <cellStyle name="Note 2 2 40 10 4 2" xfId="33242"/>
    <cellStyle name="Note 2 2 40 10 5" xfId="33243"/>
    <cellStyle name="Note 2 2 40 11" xfId="33244"/>
    <cellStyle name="Note 2 2 40 11 2" xfId="33245"/>
    <cellStyle name="Note 2 2 40 11 2 2" xfId="33246"/>
    <cellStyle name="Note 2 2 40 11 3" xfId="33247"/>
    <cellStyle name="Note 2 2 40 11 3 2" xfId="33248"/>
    <cellStyle name="Note 2 2 40 11 4" xfId="33249"/>
    <cellStyle name="Note 2 2 40 11 4 2" xfId="33250"/>
    <cellStyle name="Note 2 2 40 11 5" xfId="33251"/>
    <cellStyle name="Note 2 2 40 12" xfId="33252"/>
    <cellStyle name="Note 2 2 40 12 2" xfId="33253"/>
    <cellStyle name="Note 2 2 40 12 2 2" xfId="33254"/>
    <cellStyle name="Note 2 2 40 12 3" xfId="33255"/>
    <cellStyle name="Note 2 2 40 12 3 2" xfId="33256"/>
    <cellStyle name="Note 2 2 40 12 4" xfId="33257"/>
    <cellStyle name="Note 2 2 40 12 4 2" xfId="33258"/>
    <cellStyle name="Note 2 2 40 12 5" xfId="33259"/>
    <cellStyle name="Note 2 2 40 13" xfId="33260"/>
    <cellStyle name="Note 2 2 40 13 2" xfId="33261"/>
    <cellStyle name="Note 2 2 40 13 2 2" xfId="33262"/>
    <cellStyle name="Note 2 2 40 13 3" xfId="33263"/>
    <cellStyle name="Note 2 2 40 13 3 2" xfId="33264"/>
    <cellStyle name="Note 2 2 40 13 4" xfId="33265"/>
    <cellStyle name="Note 2 2 40 13 4 2" xfId="33266"/>
    <cellStyle name="Note 2 2 40 13 5" xfId="33267"/>
    <cellStyle name="Note 2 2 40 14" xfId="33268"/>
    <cellStyle name="Note 2 2 40 14 2" xfId="33269"/>
    <cellStyle name="Note 2 2 40 14 2 2" xfId="33270"/>
    <cellStyle name="Note 2 2 40 14 3" xfId="33271"/>
    <cellStyle name="Note 2 2 40 14 3 2" xfId="33272"/>
    <cellStyle name="Note 2 2 40 14 4" xfId="33273"/>
    <cellStyle name="Note 2 2 40 14 4 2" xfId="33274"/>
    <cellStyle name="Note 2 2 40 14 5" xfId="33275"/>
    <cellStyle name="Note 2 2 40 15" xfId="33276"/>
    <cellStyle name="Note 2 2 40 15 2" xfId="33277"/>
    <cellStyle name="Note 2 2 40 16" xfId="33278"/>
    <cellStyle name="Note 2 2 40 16 2" xfId="33279"/>
    <cellStyle name="Note 2 2 40 17" xfId="33280"/>
    <cellStyle name="Note 2 2 40 17 2" xfId="33281"/>
    <cellStyle name="Note 2 2 40 18" xfId="33282"/>
    <cellStyle name="Note 2 2 40 18 2" xfId="33283"/>
    <cellStyle name="Note 2 2 40 19" xfId="33284"/>
    <cellStyle name="Note 2 2 40 19 2" xfId="33285"/>
    <cellStyle name="Note 2 2 40 2" xfId="33286"/>
    <cellStyle name="Note 2 2 40 2 10" xfId="33287"/>
    <cellStyle name="Note 2 2 40 2 10 2" xfId="33288"/>
    <cellStyle name="Note 2 2 40 2 11" xfId="33289"/>
    <cellStyle name="Note 2 2 40 2 11 2" xfId="33290"/>
    <cellStyle name="Note 2 2 40 2 12" xfId="33291"/>
    <cellStyle name="Note 2 2 40 2 12 2" xfId="33292"/>
    <cellStyle name="Note 2 2 40 2 13" xfId="33293"/>
    <cellStyle name="Note 2 2 40 2 13 2" xfId="33294"/>
    <cellStyle name="Note 2 2 40 2 14" xfId="33295"/>
    <cellStyle name="Note 2 2 40 2 14 2" xfId="33296"/>
    <cellStyle name="Note 2 2 40 2 15" xfId="33297"/>
    <cellStyle name="Note 2 2 40 2 15 2" xfId="33298"/>
    <cellStyle name="Note 2 2 40 2 16" xfId="33299"/>
    <cellStyle name="Note 2 2 40 2 16 2" xfId="33300"/>
    <cellStyle name="Note 2 2 40 2 17" xfId="33301"/>
    <cellStyle name="Note 2 2 40 2 17 2" xfId="33302"/>
    <cellStyle name="Note 2 2 40 2 18" xfId="33303"/>
    <cellStyle name="Note 2 2 40 2 18 2" xfId="33304"/>
    <cellStyle name="Note 2 2 40 2 19" xfId="33305"/>
    <cellStyle name="Note 2 2 40 2 19 2" xfId="33306"/>
    <cellStyle name="Note 2 2 40 2 2" xfId="33307"/>
    <cellStyle name="Note 2 2 40 2 2 2" xfId="33308"/>
    <cellStyle name="Note 2 2 40 2 2 3" xfId="33309"/>
    <cellStyle name="Note 2 2 40 2 20" xfId="33310"/>
    <cellStyle name="Note 2 2 40 2 20 2" xfId="33311"/>
    <cellStyle name="Note 2 2 40 2 21" xfId="33312"/>
    <cellStyle name="Note 2 2 40 2 21 2" xfId="33313"/>
    <cellStyle name="Note 2 2 40 2 22" xfId="33314"/>
    <cellStyle name="Note 2 2 40 2 22 2" xfId="33315"/>
    <cellStyle name="Note 2 2 40 2 23" xfId="33316"/>
    <cellStyle name="Note 2 2 40 2 23 2" xfId="33317"/>
    <cellStyle name="Note 2 2 40 2 24" xfId="33318"/>
    <cellStyle name="Note 2 2 40 2 24 2" xfId="33319"/>
    <cellStyle name="Note 2 2 40 2 25" xfId="33320"/>
    <cellStyle name="Note 2 2 40 2 25 2" xfId="33321"/>
    <cellStyle name="Note 2 2 40 2 26" xfId="33322"/>
    <cellStyle name="Note 2 2 40 2 26 2" xfId="33323"/>
    <cellStyle name="Note 2 2 40 2 27" xfId="33324"/>
    <cellStyle name="Note 2 2 40 2 27 2" xfId="33325"/>
    <cellStyle name="Note 2 2 40 2 28" xfId="33326"/>
    <cellStyle name="Note 2 2 40 2 28 2" xfId="33327"/>
    <cellStyle name="Note 2 2 40 2 29" xfId="33328"/>
    <cellStyle name="Note 2 2 40 2 29 2" xfId="33329"/>
    <cellStyle name="Note 2 2 40 2 3" xfId="33330"/>
    <cellStyle name="Note 2 2 40 2 3 2" xfId="33331"/>
    <cellStyle name="Note 2 2 40 2 3 3" xfId="33332"/>
    <cellStyle name="Note 2 2 40 2 30" xfId="33333"/>
    <cellStyle name="Note 2 2 40 2 30 2" xfId="33334"/>
    <cellStyle name="Note 2 2 40 2 31" xfId="33335"/>
    <cellStyle name="Note 2 2 40 2 4" xfId="33336"/>
    <cellStyle name="Note 2 2 40 2 4 2" xfId="33337"/>
    <cellStyle name="Note 2 2 40 2 5" xfId="33338"/>
    <cellStyle name="Note 2 2 40 2 5 2" xfId="33339"/>
    <cellStyle name="Note 2 2 40 2 6" xfId="33340"/>
    <cellStyle name="Note 2 2 40 2 6 2" xfId="33341"/>
    <cellStyle name="Note 2 2 40 2 7" xfId="33342"/>
    <cellStyle name="Note 2 2 40 2 7 2" xfId="33343"/>
    <cellStyle name="Note 2 2 40 2 8" xfId="33344"/>
    <cellStyle name="Note 2 2 40 2 8 2" xfId="33345"/>
    <cellStyle name="Note 2 2 40 2 9" xfId="33346"/>
    <cellStyle name="Note 2 2 40 2 9 2" xfId="33347"/>
    <cellStyle name="Note 2 2 40 20" xfId="33348"/>
    <cellStyle name="Note 2 2 40 20 2" xfId="33349"/>
    <cellStyle name="Note 2 2 40 21" xfId="33350"/>
    <cellStyle name="Note 2 2 40 21 2" xfId="33351"/>
    <cellStyle name="Note 2 2 40 22" xfId="33352"/>
    <cellStyle name="Note 2 2 40 22 2" xfId="33353"/>
    <cellStyle name="Note 2 2 40 23" xfId="33354"/>
    <cellStyle name="Note 2 2 40 23 2" xfId="33355"/>
    <cellStyle name="Note 2 2 40 24" xfId="33356"/>
    <cellStyle name="Note 2 2 40 24 2" xfId="33357"/>
    <cellStyle name="Note 2 2 40 25" xfId="33358"/>
    <cellStyle name="Note 2 2 40 25 2" xfId="33359"/>
    <cellStyle name="Note 2 2 40 26" xfId="33360"/>
    <cellStyle name="Note 2 2 40 26 2" xfId="33361"/>
    <cellStyle name="Note 2 2 40 27" xfId="33362"/>
    <cellStyle name="Note 2 2 40 27 2" xfId="33363"/>
    <cellStyle name="Note 2 2 40 28" xfId="33364"/>
    <cellStyle name="Note 2 2 40 28 2" xfId="33365"/>
    <cellStyle name="Note 2 2 40 29" xfId="33366"/>
    <cellStyle name="Note 2 2 40 29 2" xfId="33367"/>
    <cellStyle name="Note 2 2 40 3" xfId="33368"/>
    <cellStyle name="Note 2 2 40 3 2" xfId="33369"/>
    <cellStyle name="Note 2 2 40 3 2 2" xfId="33370"/>
    <cellStyle name="Note 2 2 40 3 3" xfId="33371"/>
    <cellStyle name="Note 2 2 40 3 3 2" xfId="33372"/>
    <cellStyle name="Note 2 2 40 3 4" xfId="33373"/>
    <cellStyle name="Note 2 2 40 3 4 2" xfId="33374"/>
    <cellStyle name="Note 2 2 40 3 5" xfId="33375"/>
    <cellStyle name="Note 2 2 40 30" xfId="33376"/>
    <cellStyle name="Note 2 2 40 30 2" xfId="33377"/>
    <cellStyle name="Note 2 2 40 31" xfId="33378"/>
    <cellStyle name="Note 2 2 40 31 2" xfId="33379"/>
    <cellStyle name="Note 2 2 40 32" xfId="33380"/>
    <cellStyle name="Note 2 2 40 32 2" xfId="33381"/>
    <cellStyle name="Note 2 2 40 33" xfId="33382"/>
    <cellStyle name="Note 2 2 40 33 2" xfId="33383"/>
    <cellStyle name="Note 2 2 40 34" xfId="33384"/>
    <cellStyle name="Note 2 2 40 34 2" xfId="33385"/>
    <cellStyle name="Note 2 2 40 35" xfId="33386"/>
    <cellStyle name="Note 2 2 40 35 2" xfId="33387"/>
    <cellStyle name="Note 2 2 40 36" xfId="33388"/>
    <cellStyle name="Note 2 2 40 36 2" xfId="33389"/>
    <cellStyle name="Note 2 2 40 37" xfId="33390"/>
    <cellStyle name="Note 2 2 40 37 2" xfId="33391"/>
    <cellStyle name="Note 2 2 40 38" xfId="33392"/>
    <cellStyle name="Note 2 2 40 38 2" xfId="33393"/>
    <cellStyle name="Note 2 2 40 39" xfId="33394"/>
    <cellStyle name="Note 2 2 40 39 2" xfId="33395"/>
    <cellStyle name="Note 2 2 40 4" xfId="33396"/>
    <cellStyle name="Note 2 2 40 4 2" xfId="33397"/>
    <cellStyle name="Note 2 2 40 4 2 2" xfId="33398"/>
    <cellStyle name="Note 2 2 40 4 3" xfId="33399"/>
    <cellStyle name="Note 2 2 40 4 3 2" xfId="33400"/>
    <cellStyle name="Note 2 2 40 4 4" xfId="33401"/>
    <cellStyle name="Note 2 2 40 4 4 2" xfId="33402"/>
    <cellStyle name="Note 2 2 40 4 5" xfId="33403"/>
    <cellStyle name="Note 2 2 40 40" xfId="33404"/>
    <cellStyle name="Note 2 2 40 40 2" xfId="33405"/>
    <cellStyle name="Note 2 2 40 41" xfId="33406"/>
    <cellStyle name="Note 2 2 40 41 2" xfId="33407"/>
    <cellStyle name="Note 2 2 40 42" xfId="33408"/>
    <cellStyle name="Note 2 2 40 42 2" xfId="33409"/>
    <cellStyle name="Note 2 2 40 43" xfId="33410"/>
    <cellStyle name="Note 2 2 40 43 2" xfId="33411"/>
    <cellStyle name="Note 2 2 40 44" xfId="33412"/>
    <cellStyle name="Note 2 2 40 44 2" xfId="33413"/>
    <cellStyle name="Note 2 2 40 45" xfId="33414"/>
    <cellStyle name="Note 2 2 40 45 2" xfId="33415"/>
    <cellStyle name="Note 2 2 40 46" xfId="33416"/>
    <cellStyle name="Note 2 2 40 46 2" xfId="33417"/>
    <cellStyle name="Note 2 2 40 47" xfId="33418"/>
    <cellStyle name="Note 2 2 40 47 2" xfId="33419"/>
    <cellStyle name="Note 2 2 40 48" xfId="33420"/>
    <cellStyle name="Note 2 2 40 48 2" xfId="33421"/>
    <cellStyle name="Note 2 2 40 49" xfId="33422"/>
    <cellStyle name="Note 2 2 40 49 2" xfId="33423"/>
    <cellStyle name="Note 2 2 40 5" xfId="33424"/>
    <cellStyle name="Note 2 2 40 5 2" xfId="33425"/>
    <cellStyle name="Note 2 2 40 5 2 2" xfId="33426"/>
    <cellStyle name="Note 2 2 40 5 3" xfId="33427"/>
    <cellStyle name="Note 2 2 40 5 3 2" xfId="33428"/>
    <cellStyle name="Note 2 2 40 5 4" xfId="33429"/>
    <cellStyle name="Note 2 2 40 5 4 2" xfId="33430"/>
    <cellStyle name="Note 2 2 40 5 5" xfId="33431"/>
    <cellStyle name="Note 2 2 40 50" xfId="33432"/>
    <cellStyle name="Note 2 2 40 50 2" xfId="33433"/>
    <cellStyle name="Note 2 2 40 51" xfId="33434"/>
    <cellStyle name="Note 2 2 40 51 2" xfId="33435"/>
    <cellStyle name="Note 2 2 40 52" xfId="33436"/>
    <cellStyle name="Note 2 2 40 52 2" xfId="33437"/>
    <cellStyle name="Note 2 2 40 53" xfId="33438"/>
    <cellStyle name="Note 2 2 40 53 2" xfId="33439"/>
    <cellStyle name="Note 2 2 40 54" xfId="33440"/>
    <cellStyle name="Note 2 2 40 54 2" xfId="33441"/>
    <cellStyle name="Note 2 2 40 55" xfId="33442"/>
    <cellStyle name="Note 2 2 40 55 2" xfId="33443"/>
    <cellStyle name="Note 2 2 40 56" xfId="33444"/>
    <cellStyle name="Note 2 2 40 56 2" xfId="33445"/>
    <cellStyle name="Note 2 2 40 57" xfId="33446"/>
    <cellStyle name="Note 2 2 40 57 2" xfId="33447"/>
    <cellStyle name="Note 2 2 40 58" xfId="33448"/>
    <cellStyle name="Note 2 2 40 58 2" xfId="33449"/>
    <cellStyle name="Note 2 2 40 59" xfId="33450"/>
    <cellStyle name="Note 2 2 40 59 2" xfId="33451"/>
    <cellStyle name="Note 2 2 40 6" xfId="33452"/>
    <cellStyle name="Note 2 2 40 6 2" xfId="33453"/>
    <cellStyle name="Note 2 2 40 6 2 2" xfId="33454"/>
    <cellStyle name="Note 2 2 40 6 3" xfId="33455"/>
    <cellStyle name="Note 2 2 40 6 3 2" xfId="33456"/>
    <cellStyle name="Note 2 2 40 6 4" xfId="33457"/>
    <cellStyle name="Note 2 2 40 6 4 2" xfId="33458"/>
    <cellStyle name="Note 2 2 40 6 5" xfId="33459"/>
    <cellStyle name="Note 2 2 40 60" xfId="33460"/>
    <cellStyle name="Note 2 2 40 60 2" xfId="33461"/>
    <cellStyle name="Note 2 2 40 61" xfId="33462"/>
    <cellStyle name="Note 2 2 40 61 2" xfId="33463"/>
    <cellStyle name="Note 2 2 40 62" xfId="33464"/>
    <cellStyle name="Note 2 2 40 7" xfId="33465"/>
    <cellStyle name="Note 2 2 40 7 2" xfId="33466"/>
    <cellStyle name="Note 2 2 40 7 2 2" xfId="33467"/>
    <cellStyle name="Note 2 2 40 7 3" xfId="33468"/>
    <cellStyle name="Note 2 2 40 7 3 2" xfId="33469"/>
    <cellStyle name="Note 2 2 40 7 4" xfId="33470"/>
    <cellStyle name="Note 2 2 40 7 4 2" xfId="33471"/>
    <cellStyle name="Note 2 2 40 7 5" xfId="33472"/>
    <cellStyle name="Note 2 2 40 8" xfId="33473"/>
    <cellStyle name="Note 2 2 40 8 2" xfId="33474"/>
    <cellStyle name="Note 2 2 40 8 2 2" xfId="33475"/>
    <cellStyle name="Note 2 2 40 8 3" xfId="33476"/>
    <cellStyle name="Note 2 2 40 8 3 2" xfId="33477"/>
    <cellStyle name="Note 2 2 40 8 4" xfId="33478"/>
    <cellStyle name="Note 2 2 40 8 4 2" xfId="33479"/>
    <cellStyle name="Note 2 2 40 8 5" xfId="33480"/>
    <cellStyle name="Note 2 2 40 9" xfId="33481"/>
    <cellStyle name="Note 2 2 40 9 2" xfId="33482"/>
    <cellStyle name="Note 2 2 40 9 2 2" xfId="33483"/>
    <cellStyle name="Note 2 2 40 9 3" xfId="33484"/>
    <cellStyle name="Note 2 2 40 9 3 2" xfId="33485"/>
    <cellStyle name="Note 2 2 40 9 4" xfId="33486"/>
    <cellStyle name="Note 2 2 40 9 4 2" xfId="33487"/>
    <cellStyle name="Note 2 2 40 9 5" xfId="33488"/>
    <cellStyle name="Note 2 2 41" xfId="33489"/>
    <cellStyle name="Note 2 2 41 10" xfId="33490"/>
    <cellStyle name="Note 2 2 41 10 2" xfId="33491"/>
    <cellStyle name="Note 2 2 41 10 2 2" xfId="33492"/>
    <cellStyle name="Note 2 2 41 10 3" xfId="33493"/>
    <cellStyle name="Note 2 2 41 10 3 2" xfId="33494"/>
    <cellStyle name="Note 2 2 41 10 4" xfId="33495"/>
    <cellStyle name="Note 2 2 41 10 4 2" xfId="33496"/>
    <cellStyle name="Note 2 2 41 10 5" xfId="33497"/>
    <cellStyle name="Note 2 2 41 11" xfId="33498"/>
    <cellStyle name="Note 2 2 41 11 2" xfId="33499"/>
    <cellStyle name="Note 2 2 41 11 2 2" xfId="33500"/>
    <cellStyle name="Note 2 2 41 11 3" xfId="33501"/>
    <cellStyle name="Note 2 2 41 11 3 2" xfId="33502"/>
    <cellStyle name="Note 2 2 41 11 4" xfId="33503"/>
    <cellStyle name="Note 2 2 41 11 4 2" xfId="33504"/>
    <cellStyle name="Note 2 2 41 11 5" xfId="33505"/>
    <cellStyle name="Note 2 2 41 12" xfId="33506"/>
    <cellStyle name="Note 2 2 41 12 2" xfId="33507"/>
    <cellStyle name="Note 2 2 41 12 2 2" xfId="33508"/>
    <cellStyle name="Note 2 2 41 12 3" xfId="33509"/>
    <cellStyle name="Note 2 2 41 12 3 2" xfId="33510"/>
    <cellStyle name="Note 2 2 41 12 4" xfId="33511"/>
    <cellStyle name="Note 2 2 41 12 4 2" xfId="33512"/>
    <cellStyle name="Note 2 2 41 12 5" xfId="33513"/>
    <cellStyle name="Note 2 2 41 13" xfId="33514"/>
    <cellStyle name="Note 2 2 41 13 2" xfId="33515"/>
    <cellStyle name="Note 2 2 41 13 2 2" xfId="33516"/>
    <cellStyle name="Note 2 2 41 13 3" xfId="33517"/>
    <cellStyle name="Note 2 2 41 13 3 2" xfId="33518"/>
    <cellStyle name="Note 2 2 41 13 4" xfId="33519"/>
    <cellStyle name="Note 2 2 41 13 4 2" xfId="33520"/>
    <cellStyle name="Note 2 2 41 13 5" xfId="33521"/>
    <cellStyle name="Note 2 2 41 14" xfId="33522"/>
    <cellStyle name="Note 2 2 41 14 2" xfId="33523"/>
    <cellStyle name="Note 2 2 41 14 2 2" xfId="33524"/>
    <cellStyle name="Note 2 2 41 14 3" xfId="33525"/>
    <cellStyle name="Note 2 2 41 14 3 2" xfId="33526"/>
    <cellStyle name="Note 2 2 41 14 4" xfId="33527"/>
    <cellStyle name="Note 2 2 41 14 4 2" xfId="33528"/>
    <cellStyle name="Note 2 2 41 14 5" xfId="33529"/>
    <cellStyle name="Note 2 2 41 15" xfId="33530"/>
    <cellStyle name="Note 2 2 41 15 2" xfId="33531"/>
    <cellStyle name="Note 2 2 41 16" xfId="33532"/>
    <cellStyle name="Note 2 2 41 16 2" xfId="33533"/>
    <cellStyle name="Note 2 2 41 17" xfId="33534"/>
    <cellStyle name="Note 2 2 41 17 2" xfId="33535"/>
    <cellStyle name="Note 2 2 41 18" xfId="33536"/>
    <cellStyle name="Note 2 2 41 18 2" xfId="33537"/>
    <cellStyle name="Note 2 2 41 19" xfId="33538"/>
    <cellStyle name="Note 2 2 41 19 2" xfId="33539"/>
    <cellStyle name="Note 2 2 41 2" xfId="33540"/>
    <cellStyle name="Note 2 2 41 2 10" xfId="33541"/>
    <cellStyle name="Note 2 2 41 2 10 2" xfId="33542"/>
    <cellStyle name="Note 2 2 41 2 11" xfId="33543"/>
    <cellStyle name="Note 2 2 41 2 11 2" xfId="33544"/>
    <cellStyle name="Note 2 2 41 2 12" xfId="33545"/>
    <cellStyle name="Note 2 2 41 2 12 2" xfId="33546"/>
    <cellStyle name="Note 2 2 41 2 13" xfId="33547"/>
    <cellStyle name="Note 2 2 41 2 13 2" xfId="33548"/>
    <cellStyle name="Note 2 2 41 2 14" xfId="33549"/>
    <cellStyle name="Note 2 2 41 2 14 2" xfId="33550"/>
    <cellStyle name="Note 2 2 41 2 15" xfId="33551"/>
    <cellStyle name="Note 2 2 41 2 15 2" xfId="33552"/>
    <cellStyle name="Note 2 2 41 2 16" xfId="33553"/>
    <cellStyle name="Note 2 2 41 2 16 2" xfId="33554"/>
    <cellStyle name="Note 2 2 41 2 17" xfId="33555"/>
    <cellStyle name="Note 2 2 41 2 17 2" xfId="33556"/>
    <cellStyle name="Note 2 2 41 2 18" xfId="33557"/>
    <cellStyle name="Note 2 2 41 2 18 2" xfId="33558"/>
    <cellStyle name="Note 2 2 41 2 19" xfId="33559"/>
    <cellStyle name="Note 2 2 41 2 19 2" xfId="33560"/>
    <cellStyle name="Note 2 2 41 2 2" xfId="33561"/>
    <cellStyle name="Note 2 2 41 2 2 2" xfId="33562"/>
    <cellStyle name="Note 2 2 41 2 2 3" xfId="33563"/>
    <cellStyle name="Note 2 2 41 2 20" xfId="33564"/>
    <cellStyle name="Note 2 2 41 2 20 2" xfId="33565"/>
    <cellStyle name="Note 2 2 41 2 21" xfId="33566"/>
    <cellStyle name="Note 2 2 41 2 21 2" xfId="33567"/>
    <cellStyle name="Note 2 2 41 2 22" xfId="33568"/>
    <cellStyle name="Note 2 2 41 2 22 2" xfId="33569"/>
    <cellStyle name="Note 2 2 41 2 23" xfId="33570"/>
    <cellStyle name="Note 2 2 41 2 23 2" xfId="33571"/>
    <cellStyle name="Note 2 2 41 2 24" xfId="33572"/>
    <cellStyle name="Note 2 2 41 2 24 2" xfId="33573"/>
    <cellStyle name="Note 2 2 41 2 25" xfId="33574"/>
    <cellStyle name="Note 2 2 41 2 25 2" xfId="33575"/>
    <cellStyle name="Note 2 2 41 2 26" xfId="33576"/>
    <cellStyle name="Note 2 2 41 2 26 2" xfId="33577"/>
    <cellStyle name="Note 2 2 41 2 27" xfId="33578"/>
    <cellStyle name="Note 2 2 41 2 27 2" xfId="33579"/>
    <cellStyle name="Note 2 2 41 2 28" xfId="33580"/>
    <cellStyle name="Note 2 2 41 2 28 2" xfId="33581"/>
    <cellStyle name="Note 2 2 41 2 29" xfId="33582"/>
    <cellStyle name="Note 2 2 41 2 29 2" xfId="33583"/>
    <cellStyle name="Note 2 2 41 2 3" xfId="33584"/>
    <cellStyle name="Note 2 2 41 2 3 2" xfId="33585"/>
    <cellStyle name="Note 2 2 41 2 3 3" xfId="33586"/>
    <cellStyle name="Note 2 2 41 2 30" xfId="33587"/>
    <cellStyle name="Note 2 2 41 2 30 2" xfId="33588"/>
    <cellStyle name="Note 2 2 41 2 31" xfId="33589"/>
    <cellStyle name="Note 2 2 41 2 4" xfId="33590"/>
    <cellStyle name="Note 2 2 41 2 4 2" xfId="33591"/>
    <cellStyle name="Note 2 2 41 2 5" xfId="33592"/>
    <cellStyle name="Note 2 2 41 2 5 2" xfId="33593"/>
    <cellStyle name="Note 2 2 41 2 6" xfId="33594"/>
    <cellStyle name="Note 2 2 41 2 6 2" xfId="33595"/>
    <cellStyle name="Note 2 2 41 2 7" xfId="33596"/>
    <cellStyle name="Note 2 2 41 2 7 2" xfId="33597"/>
    <cellStyle name="Note 2 2 41 2 8" xfId="33598"/>
    <cellStyle name="Note 2 2 41 2 8 2" xfId="33599"/>
    <cellStyle name="Note 2 2 41 2 9" xfId="33600"/>
    <cellStyle name="Note 2 2 41 2 9 2" xfId="33601"/>
    <cellStyle name="Note 2 2 41 20" xfId="33602"/>
    <cellStyle name="Note 2 2 41 20 2" xfId="33603"/>
    <cellStyle name="Note 2 2 41 21" xfId="33604"/>
    <cellStyle name="Note 2 2 41 21 2" xfId="33605"/>
    <cellStyle name="Note 2 2 41 22" xfId="33606"/>
    <cellStyle name="Note 2 2 41 22 2" xfId="33607"/>
    <cellStyle name="Note 2 2 41 23" xfId="33608"/>
    <cellStyle name="Note 2 2 41 23 2" xfId="33609"/>
    <cellStyle name="Note 2 2 41 24" xfId="33610"/>
    <cellStyle name="Note 2 2 41 24 2" xfId="33611"/>
    <cellStyle name="Note 2 2 41 25" xfId="33612"/>
    <cellStyle name="Note 2 2 41 25 2" xfId="33613"/>
    <cellStyle name="Note 2 2 41 26" xfId="33614"/>
    <cellStyle name="Note 2 2 41 26 2" xfId="33615"/>
    <cellStyle name="Note 2 2 41 27" xfId="33616"/>
    <cellStyle name="Note 2 2 41 27 2" xfId="33617"/>
    <cellStyle name="Note 2 2 41 28" xfId="33618"/>
    <cellStyle name="Note 2 2 41 28 2" xfId="33619"/>
    <cellStyle name="Note 2 2 41 29" xfId="33620"/>
    <cellStyle name="Note 2 2 41 29 2" xfId="33621"/>
    <cellStyle name="Note 2 2 41 3" xfId="33622"/>
    <cellStyle name="Note 2 2 41 3 2" xfId="33623"/>
    <cellStyle name="Note 2 2 41 3 2 2" xfId="33624"/>
    <cellStyle name="Note 2 2 41 3 3" xfId="33625"/>
    <cellStyle name="Note 2 2 41 3 3 2" xfId="33626"/>
    <cellStyle name="Note 2 2 41 3 4" xfId="33627"/>
    <cellStyle name="Note 2 2 41 3 4 2" xfId="33628"/>
    <cellStyle name="Note 2 2 41 3 5" xfId="33629"/>
    <cellStyle name="Note 2 2 41 30" xfId="33630"/>
    <cellStyle name="Note 2 2 41 30 2" xfId="33631"/>
    <cellStyle name="Note 2 2 41 31" xfId="33632"/>
    <cellStyle name="Note 2 2 41 31 2" xfId="33633"/>
    <cellStyle name="Note 2 2 41 32" xfId="33634"/>
    <cellStyle name="Note 2 2 41 32 2" xfId="33635"/>
    <cellStyle name="Note 2 2 41 33" xfId="33636"/>
    <cellStyle name="Note 2 2 41 33 2" xfId="33637"/>
    <cellStyle name="Note 2 2 41 34" xfId="33638"/>
    <cellStyle name="Note 2 2 41 34 2" xfId="33639"/>
    <cellStyle name="Note 2 2 41 35" xfId="33640"/>
    <cellStyle name="Note 2 2 41 35 2" xfId="33641"/>
    <cellStyle name="Note 2 2 41 36" xfId="33642"/>
    <cellStyle name="Note 2 2 41 36 2" xfId="33643"/>
    <cellStyle name="Note 2 2 41 37" xfId="33644"/>
    <cellStyle name="Note 2 2 41 37 2" xfId="33645"/>
    <cellStyle name="Note 2 2 41 38" xfId="33646"/>
    <cellStyle name="Note 2 2 41 38 2" xfId="33647"/>
    <cellStyle name="Note 2 2 41 39" xfId="33648"/>
    <cellStyle name="Note 2 2 41 39 2" xfId="33649"/>
    <cellStyle name="Note 2 2 41 4" xfId="33650"/>
    <cellStyle name="Note 2 2 41 4 2" xfId="33651"/>
    <cellStyle name="Note 2 2 41 4 2 2" xfId="33652"/>
    <cellStyle name="Note 2 2 41 4 3" xfId="33653"/>
    <cellStyle name="Note 2 2 41 4 3 2" xfId="33654"/>
    <cellStyle name="Note 2 2 41 4 4" xfId="33655"/>
    <cellStyle name="Note 2 2 41 4 4 2" xfId="33656"/>
    <cellStyle name="Note 2 2 41 4 5" xfId="33657"/>
    <cellStyle name="Note 2 2 41 40" xfId="33658"/>
    <cellStyle name="Note 2 2 41 40 2" xfId="33659"/>
    <cellStyle name="Note 2 2 41 41" xfId="33660"/>
    <cellStyle name="Note 2 2 41 41 2" xfId="33661"/>
    <cellStyle name="Note 2 2 41 42" xfId="33662"/>
    <cellStyle name="Note 2 2 41 42 2" xfId="33663"/>
    <cellStyle name="Note 2 2 41 43" xfId="33664"/>
    <cellStyle name="Note 2 2 41 43 2" xfId="33665"/>
    <cellStyle name="Note 2 2 41 44" xfId="33666"/>
    <cellStyle name="Note 2 2 41 44 2" xfId="33667"/>
    <cellStyle name="Note 2 2 41 45" xfId="33668"/>
    <cellStyle name="Note 2 2 41 45 2" xfId="33669"/>
    <cellStyle name="Note 2 2 41 46" xfId="33670"/>
    <cellStyle name="Note 2 2 41 46 2" xfId="33671"/>
    <cellStyle name="Note 2 2 41 47" xfId="33672"/>
    <cellStyle name="Note 2 2 41 47 2" xfId="33673"/>
    <cellStyle name="Note 2 2 41 48" xfId="33674"/>
    <cellStyle name="Note 2 2 41 48 2" xfId="33675"/>
    <cellStyle name="Note 2 2 41 49" xfId="33676"/>
    <cellStyle name="Note 2 2 41 49 2" xfId="33677"/>
    <cellStyle name="Note 2 2 41 5" xfId="33678"/>
    <cellStyle name="Note 2 2 41 5 2" xfId="33679"/>
    <cellStyle name="Note 2 2 41 5 2 2" xfId="33680"/>
    <cellStyle name="Note 2 2 41 5 3" xfId="33681"/>
    <cellStyle name="Note 2 2 41 5 3 2" xfId="33682"/>
    <cellStyle name="Note 2 2 41 5 4" xfId="33683"/>
    <cellStyle name="Note 2 2 41 5 4 2" xfId="33684"/>
    <cellStyle name="Note 2 2 41 5 5" xfId="33685"/>
    <cellStyle name="Note 2 2 41 50" xfId="33686"/>
    <cellStyle name="Note 2 2 41 50 2" xfId="33687"/>
    <cellStyle name="Note 2 2 41 51" xfId="33688"/>
    <cellStyle name="Note 2 2 41 51 2" xfId="33689"/>
    <cellStyle name="Note 2 2 41 52" xfId="33690"/>
    <cellStyle name="Note 2 2 41 52 2" xfId="33691"/>
    <cellStyle name="Note 2 2 41 53" xfId="33692"/>
    <cellStyle name="Note 2 2 41 53 2" xfId="33693"/>
    <cellStyle name="Note 2 2 41 54" xfId="33694"/>
    <cellStyle name="Note 2 2 41 54 2" xfId="33695"/>
    <cellStyle name="Note 2 2 41 55" xfId="33696"/>
    <cellStyle name="Note 2 2 41 55 2" xfId="33697"/>
    <cellStyle name="Note 2 2 41 56" xfId="33698"/>
    <cellStyle name="Note 2 2 41 56 2" xfId="33699"/>
    <cellStyle name="Note 2 2 41 57" xfId="33700"/>
    <cellStyle name="Note 2 2 41 57 2" xfId="33701"/>
    <cellStyle name="Note 2 2 41 58" xfId="33702"/>
    <cellStyle name="Note 2 2 41 58 2" xfId="33703"/>
    <cellStyle name="Note 2 2 41 59" xfId="33704"/>
    <cellStyle name="Note 2 2 41 59 2" xfId="33705"/>
    <cellStyle name="Note 2 2 41 6" xfId="33706"/>
    <cellStyle name="Note 2 2 41 6 2" xfId="33707"/>
    <cellStyle name="Note 2 2 41 6 2 2" xfId="33708"/>
    <cellStyle name="Note 2 2 41 6 3" xfId="33709"/>
    <cellStyle name="Note 2 2 41 6 3 2" xfId="33710"/>
    <cellStyle name="Note 2 2 41 6 4" xfId="33711"/>
    <cellStyle name="Note 2 2 41 6 4 2" xfId="33712"/>
    <cellStyle name="Note 2 2 41 6 5" xfId="33713"/>
    <cellStyle name="Note 2 2 41 60" xfId="33714"/>
    <cellStyle name="Note 2 2 41 60 2" xfId="33715"/>
    <cellStyle name="Note 2 2 41 61" xfId="33716"/>
    <cellStyle name="Note 2 2 41 61 2" xfId="33717"/>
    <cellStyle name="Note 2 2 41 62" xfId="33718"/>
    <cellStyle name="Note 2 2 41 7" xfId="33719"/>
    <cellStyle name="Note 2 2 41 7 2" xfId="33720"/>
    <cellStyle name="Note 2 2 41 7 2 2" xfId="33721"/>
    <cellStyle name="Note 2 2 41 7 3" xfId="33722"/>
    <cellStyle name="Note 2 2 41 7 3 2" xfId="33723"/>
    <cellStyle name="Note 2 2 41 7 4" xfId="33724"/>
    <cellStyle name="Note 2 2 41 7 4 2" xfId="33725"/>
    <cellStyle name="Note 2 2 41 7 5" xfId="33726"/>
    <cellStyle name="Note 2 2 41 8" xfId="33727"/>
    <cellStyle name="Note 2 2 41 8 2" xfId="33728"/>
    <cellStyle name="Note 2 2 41 8 2 2" xfId="33729"/>
    <cellStyle name="Note 2 2 41 8 3" xfId="33730"/>
    <cellStyle name="Note 2 2 41 8 3 2" xfId="33731"/>
    <cellStyle name="Note 2 2 41 8 4" xfId="33732"/>
    <cellStyle name="Note 2 2 41 8 4 2" xfId="33733"/>
    <cellStyle name="Note 2 2 41 8 5" xfId="33734"/>
    <cellStyle name="Note 2 2 41 9" xfId="33735"/>
    <cellStyle name="Note 2 2 41 9 2" xfId="33736"/>
    <cellStyle name="Note 2 2 41 9 2 2" xfId="33737"/>
    <cellStyle name="Note 2 2 41 9 3" xfId="33738"/>
    <cellStyle name="Note 2 2 41 9 3 2" xfId="33739"/>
    <cellStyle name="Note 2 2 41 9 4" xfId="33740"/>
    <cellStyle name="Note 2 2 41 9 4 2" xfId="33741"/>
    <cellStyle name="Note 2 2 41 9 5" xfId="33742"/>
    <cellStyle name="Note 2 2 42" xfId="33743"/>
    <cellStyle name="Note 2 2 42 10" xfId="33744"/>
    <cellStyle name="Note 2 2 42 10 2" xfId="33745"/>
    <cellStyle name="Note 2 2 42 11" xfId="33746"/>
    <cellStyle name="Note 2 2 42 11 2" xfId="33747"/>
    <cellStyle name="Note 2 2 42 12" xfId="33748"/>
    <cellStyle name="Note 2 2 42 12 2" xfId="33749"/>
    <cellStyle name="Note 2 2 42 13" xfId="33750"/>
    <cellStyle name="Note 2 2 42 13 2" xfId="33751"/>
    <cellStyle name="Note 2 2 42 14" xfId="33752"/>
    <cellStyle name="Note 2 2 42 14 2" xfId="33753"/>
    <cellStyle name="Note 2 2 42 15" xfId="33754"/>
    <cellStyle name="Note 2 2 42 15 2" xfId="33755"/>
    <cellStyle name="Note 2 2 42 16" xfId="33756"/>
    <cellStyle name="Note 2 2 42 16 2" xfId="33757"/>
    <cellStyle name="Note 2 2 42 17" xfId="33758"/>
    <cellStyle name="Note 2 2 42 17 2" xfId="33759"/>
    <cellStyle name="Note 2 2 42 18" xfId="33760"/>
    <cellStyle name="Note 2 2 42 18 2" xfId="33761"/>
    <cellStyle name="Note 2 2 42 19" xfId="33762"/>
    <cellStyle name="Note 2 2 42 19 2" xfId="33763"/>
    <cellStyle name="Note 2 2 42 2" xfId="33764"/>
    <cellStyle name="Note 2 2 42 2 2" xfId="33765"/>
    <cellStyle name="Note 2 2 42 2 3" xfId="33766"/>
    <cellStyle name="Note 2 2 42 20" xfId="33767"/>
    <cellStyle name="Note 2 2 42 20 2" xfId="33768"/>
    <cellStyle name="Note 2 2 42 21" xfId="33769"/>
    <cellStyle name="Note 2 2 42 21 2" xfId="33770"/>
    <cellStyle name="Note 2 2 42 22" xfId="33771"/>
    <cellStyle name="Note 2 2 42 22 2" xfId="33772"/>
    <cellStyle name="Note 2 2 42 23" xfId="33773"/>
    <cellStyle name="Note 2 2 42 23 2" xfId="33774"/>
    <cellStyle name="Note 2 2 42 24" xfId="33775"/>
    <cellStyle name="Note 2 2 42 24 2" xfId="33776"/>
    <cellStyle name="Note 2 2 42 25" xfId="33777"/>
    <cellStyle name="Note 2 2 42 25 2" xfId="33778"/>
    <cellStyle name="Note 2 2 42 26" xfId="33779"/>
    <cellStyle name="Note 2 2 42 26 2" xfId="33780"/>
    <cellStyle name="Note 2 2 42 27" xfId="33781"/>
    <cellStyle name="Note 2 2 42 27 2" xfId="33782"/>
    <cellStyle name="Note 2 2 42 28" xfId="33783"/>
    <cellStyle name="Note 2 2 42 28 2" xfId="33784"/>
    <cellStyle name="Note 2 2 42 29" xfId="33785"/>
    <cellStyle name="Note 2 2 42 29 2" xfId="33786"/>
    <cellStyle name="Note 2 2 42 3" xfId="33787"/>
    <cellStyle name="Note 2 2 42 3 2" xfId="33788"/>
    <cellStyle name="Note 2 2 42 3 3" xfId="33789"/>
    <cellStyle name="Note 2 2 42 30" xfId="33790"/>
    <cellStyle name="Note 2 2 42 30 2" xfId="33791"/>
    <cellStyle name="Note 2 2 42 31" xfId="33792"/>
    <cellStyle name="Note 2 2 42 4" xfId="33793"/>
    <cellStyle name="Note 2 2 42 4 2" xfId="33794"/>
    <cellStyle name="Note 2 2 42 5" xfId="33795"/>
    <cellStyle name="Note 2 2 42 5 2" xfId="33796"/>
    <cellStyle name="Note 2 2 42 6" xfId="33797"/>
    <cellStyle name="Note 2 2 42 6 2" xfId="33798"/>
    <cellStyle name="Note 2 2 42 7" xfId="33799"/>
    <cellStyle name="Note 2 2 42 7 2" xfId="33800"/>
    <cellStyle name="Note 2 2 42 8" xfId="33801"/>
    <cellStyle name="Note 2 2 42 8 2" xfId="33802"/>
    <cellStyle name="Note 2 2 42 9" xfId="33803"/>
    <cellStyle name="Note 2 2 42 9 2" xfId="33804"/>
    <cellStyle name="Note 2 2 43" xfId="33805"/>
    <cellStyle name="Note 2 2 43 2" xfId="33806"/>
    <cellStyle name="Note 2 2 43 2 2" xfId="33807"/>
    <cellStyle name="Note 2 2 43 3" xfId="33808"/>
    <cellStyle name="Note 2 2 43 3 2" xfId="33809"/>
    <cellStyle name="Note 2 2 43 4" xfId="33810"/>
    <cellStyle name="Note 2 2 43 4 2" xfId="33811"/>
    <cellStyle name="Note 2 2 43 5" xfId="33812"/>
    <cellStyle name="Note 2 2 44" xfId="33813"/>
    <cellStyle name="Note 2 2 44 2" xfId="33814"/>
    <cellStyle name="Note 2 2 44 2 2" xfId="33815"/>
    <cellStyle name="Note 2 2 44 3" xfId="33816"/>
    <cellStyle name="Note 2 2 44 3 2" xfId="33817"/>
    <cellStyle name="Note 2 2 44 4" xfId="33818"/>
    <cellStyle name="Note 2 2 44 4 2" xfId="33819"/>
    <cellStyle name="Note 2 2 44 5" xfId="33820"/>
    <cellStyle name="Note 2 2 45" xfId="33821"/>
    <cellStyle name="Note 2 2 45 2" xfId="33822"/>
    <cellStyle name="Note 2 2 45 2 2" xfId="33823"/>
    <cellStyle name="Note 2 2 45 3" xfId="33824"/>
    <cellStyle name="Note 2 2 45 3 2" xfId="33825"/>
    <cellStyle name="Note 2 2 45 4" xfId="33826"/>
    <cellStyle name="Note 2 2 45 4 2" xfId="33827"/>
    <cellStyle name="Note 2 2 45 5" xfId="33828"/>
    <cellStyle name="Note 2 2 46" xfId="33829"/>
    <cellStyle name="Note 2 2 46 2" xfId="33830"/>
    <cellStyle name="Note 2 2 46 2 2" xfId="33831"/>
    <cellStyle name="Note 2 2 46 3" xfId="33832"/>
    <cellStyle name="Note 2 2 46 3 2" xfId="33833"/>
    <cellStyle name="Note 2 2 46 4" xfId="33834"/>
    <cellStyle name="Note 2 2 46 4 2" xfId="33835"/>
    <cellStyle name="Note 2 2 46 5" xfId="33836"/>
    <cellStyle name="Note 2 2 47" xfId="33837"/>
    <cellStyle name="Note 2 2 47 2" xfId="33838"/>
    <cellStyle name="Note 2 2 47 2 2" xfId="33839"/>
    <cellStyle name="Note 2 2 47 3" xfId="33840"/>
    <cellStyle name="Note 2 2 47 3 2" xfId="33841"/>
    <cellStyle name="Note 2 2 47 4" xfId="33842"/>
    <cellStyle name="Note 2 2 47 4 2" xfId="33843"/>
    <cellStyle name="Note 2 2 47 5" xfId="33844"/>
    <cellStyle name="Note 2 2 48" xfId="33845"/>
    <cellStyle name="Note 2 2 48 2" xfId="33846"/>
    <cellStyle name="Note 2 2 48 2 2" xfId="33847"/>
    <cellStyle name="Note 2 2 48 3" xfId="33848"/>
    <cellStyle name="Note 2 2 48 3 2" xfId="33849"/>
    <cellStyle name="Note 2 2 48 4" xfId="33850"/>
    <cellStyle name="Note 2 2 48 4 2" xfId="33851"/>
    <cellStyle name="Note 2 2 48 5" xfId="33852"/>
    <cellStyle name="Note 2 2 49" xfId="33853"/>
    <cellStyle name="Note 2 2 49 2" xfId="33854"/>
    <cellStyle name="Note 2 2 49 2 2" xfId="33855"/>
    <cellStyle name="Note 2 2 49 3" xfId="33856"/>
    <cellStyle name="Note 2 2 49 3 2" xfId="33857"/>
    <cellStyle name="Note 2 2 49 4" xfId="33858"/>
    <cellStyle name="Note 2 2 49 4 2" xfId="33859"/>
    <cellStyle name="Note 2 2 49 5" xfId="33860"/>
    <cellStyle name="Note 2 2 5" xfId="33861"/>
    <cellStyle name="Note 2 2 5 10" xfId="33862"/>
    <cellStyle name="Note 2 2 5 10 2" xfId="33863"/>
    <cellStyle name="Note 2 2 5 10 2 2" xfId="33864"/>
    <cellStyle name="Note 2 2 5 10 3" xfId="33865"/>
    <cellStyle name="Note 2 2 5 10 3 2" xfId="33866"/>
    <cellStyle name="Note 2 2 5 10 4" xfId="33867"/>
    <cellStyle name="Note 2 2 5 10 4 2" xfId="33868"/>
    <cellStyle name="Note 2 2 5 10 5" xfId="33869"/>
    <cellStyle name="Note 2 2 5 11" xfId="33870"/>
    <cellStyle name="Note 2 2 5 11 2" xfId="33871"/>
    <cellStyle name="Note 2 2 5 11 2 2" xfId="33872"/>
    <cellStyle name="Note 2 2 5 11 3" xfId="33873"/>
    <cellStyle name="Note 2 2 5 11 3 2" xfId="33874"/>
    <cellStyle name="Note 2 2 5 11 4" xfId="33875"/>
    <cellStyle name="Note 2 2 5 11 4 2" xfId="33876"/>
    <cellStyle name="Note 2 2 5 11 5" xfId="33877"/>
    <cellStyle name="Note 2 2 5 12" xfId="33878"/>
    <cellStyle name="Note 2 2 5 12 2" xfId="33879"/>
    <cellStyle name="Note 2 2 5 12 2 2" xfId="33880"/>
    <cellStyle name="Note 2 2 5 12 3" xfId="33881"/>
    <cellStyle name="Note 2 2 5 12 3 2" xfId="33882"/>
    <cellStyle name="Note 2 2 5 12 4" xfId="33883"/>
    <cellStyle name="Note 2 2 5 12 4 2" xfId="33884"/>
    <cellStyle name="Note 2 2 5 12 5" xfId="33885"/>
    <cellStyle name="Note 2 2 5 13" xfId="33886"/>
    <cellStyle name="Note 2 2 5 13 2" xfId="33887"/>
    <cellStyle name="Note 2 2 5 13 2 2" xfId="33888"/>
    <cellStyle name="Note 2 2 5 13 3" xfId="33889"/>
    <cellStyle name="Note 2 2 5 13 3 2" xfId="33890"/>
    <cellStyle name="Note 2 2 5 13 4" xfId="33891"/>
    <cellStyle name="Note 2 2 5 13 4 2" xfId="33892"/>
    <cellStyle name="Note 2 2 5 13 5" xfId="33893"/>
    <cellStyle name="Note 2 2 5 14" xfId="33894"/>
    <cellStyle name="Note 2 2 5 14 2" xfId="33895"/>
    <cellStyle name="Note 2 2 5 14 2 2" xfId="33896"/>
    <cellStyle name="Note 2 2 5 14 3" xfId="33897"/>
    <cellStyle name="Note 2 2 5 14 3 2" xfId="33898"/>
    <cellStyle name="Note 2 2 5 14 4" xfId="33899"/>
    <cellStyle name="Note 2 2 5 14 4 2" xfId="33900"/>
    <cellStyle name="Note 2 2 5 14 5" xfId="33901"/>
    <cellStyle name="Note 2 2 5 15" xfId="33902"/>
    <cellStyle name="Note 2 2 5 15 2" xfId="33903"/>
    <cellStyle name="Note 2 2 5 16" xfId="33904"/>
    <cellStyle name="Note 2 2 5 16 2" xfId="33905"/>
    <cellStyle name="Note 2 2 5 17" xfId="33906"/>
    <cellStyle name="Note 2 2 5 17 2" xfId="33907"/>
    <cellStyle name="Note 2 2 5 18" xfId="33908"/>
    <cellStyle name="Note 2 2 5 18 2" xfId="33909"/>
    <cellStyle name="Note 2 2 5 19" xfId="33910"/>
    <cellStyle name="Note 2 2 5 19 2" xfId="33911"/>
    <cellStyle name="Note 2 2 5 2" xfId="33912"/>
    <cellStyle name="Note 2 2 5 2 10" xfId="33913"/>
    <cellStyle name="Note 2 2 5 2 10 2" xfId="33914"/>
    <cellStyle name="Note 2 2 5 2 11" xfId="33915"/>
    <cellStyle name="Note 2 2 5 2 11 2" xfId="33916"/>
    <cellStyle name="Note 2 2 5 2 12" xfId="33917"/>
    <cellStyle name="Note 2 2 5 2 12 2" xfId="33918"/>
    <cellStyle name="Note 2 2 5 2 13" xfId="33919"/>
    <cellStyle name="Note 2 2 5 2 13 2" xfId="33920"/>
    <cellStyle name="Note 2 2 5 2 14" xfId="33921"/>
    <cellStyle name="Note 2 2 5 2 14 2" xfId="33922"/>
    <cellStyle name="Note 2 2 5 2 15" xfId="33923"/>
    <cellStyle name="Note 2 2 5 2 15 2" xfId="33924"/>
    <cellStyle name="Note 2 2 5 2 16" xfId="33925"/>
    <cellStyle name="Note 2 2 5 2 16 2" xfId="33926"/>
    <cellStyle name="Note 2 2 5 2 17" xfId="33927"/>
    <cellStyle name="Note 2 2 5 2 17 2" xfId="33928"/>
    <cellStyle name="Note 2 2 5 2 18" xfId="33929"/>
    <cellStyle name="Note 2 2 5 2 18 2" xfId="33930"/>
    <cellStyle name="Note 2 2 5 2 19" xfId="33931"/>
    <cellStyle name="Note 2 2 5 2 19 2" xfId="33932"/>
    <cellStyle name="Note 2 2 5 2 2" xfId="33933"/>
    <cellStyle name="Note 2 2 5 2 2 2" xfId="33934"/>
    <cellStyle name="Note 2 2 5 2 2 3" xfId="33935"/>
    <cellStyle name="Note 2 2 5 2 20" xfId="33936"/>
    <cellStyle name="Note 2 2 5 2 20 2" xfId="33937"/>
    <cellStyle name="Note 2 2 5 2 21" xfId="33938"/>
    <cellStyle name="Note 2 2 5 2 21 2" xfId="33939"/>
    <cellStyle name="Note 2 2 5 2 22" xfId="33940"/>
    <cellStyle name="Note 2 2 5 2 22 2" xfId="33941"/>
    <cellStyle name="Note 2 2 5 2 23" xfId="33942"/>
    <cellStyle name="Note 2 2 5 2 23 2" xfId="33943"/>
    <cellStyle name="Note 2 2 5 2 24" xfId="33944"/>
    <cellStyle name="Note 2 2 5 2 24 2" xfId="33945"/>
    <cellStyle name="Note 2 2 5 2 25" xfId="33946"/>
    <cellStyle name="Note 2 2 5 2 25 2" xfId="33947"/>
    <cellStyle name="Note 2 2 5 2 26" xfId="33948"/>
    <cellStyle name="Note 2 2 5 2 26 2" xfId="33949"/>
    <cellStyle name="Note 2 2 5 2 27" xfId="33950"/>
    <cellStyle name="Note 2 2 5 2 27 2" xfId="33951"/>
    <cellStyle name="Note 2 2 5 2 28" xfId="33952"/>
    <cellStyle name="Note 2 2 5 2 28 2" xfId="33953"/>
    <cellStyle name="Note 2 2 5 2 29" xfId="33954"/>
    <cellStyle name="Note 2 2 5 2 29 2" xfId="33955"/>
    <cellStyle name="Note 2 2 5 2 3" xfId="33956"/>
    <cellStyle name="Note 2 2 5 2 3 2" xfId="33957"/>
    <cellStyle name="Note 2 2 5 2 3 3" xfId="33958"/>
    <cellStyle name="Note 2 2 5 2 30" xfId="33959"/>
    <cellStyle name="Note 2 2 5 2 30 2" xfId="33960"/>
    <cellStyle name="Note 2 2 5 2 31" xfId="33961"/>
    <cellStyle name="Note 2 2 5 2 4" xfId="33962"/>
    <cellStyle name="Note 2 2 5 2 4 2" xfId="33963"/>
    <cellStyle name="Note 2 2 5 2 5" xfId="33964"/>
    <cellStyle name="Note 2 2 5 2 5 2" xfId="33965"/>
    <cellStyle name="Note 2 2 5 2 6" xfId="33966"/>
    <cellStyle name="Note 2 2 5 2 6 2" xfId="33967"/>
    <cellStyle name="Note 2 2 5 2 7" xfId="33968"/>
    <cellStyle name="Note 2 2 5 2 7 2" xfId="33969"/>
    <cellStyle name="Note 2 2 5 2 8" xfId="33970"/>
    <cellStyle name="Note 2 2 5 2 8 2" xfId="33971"/>
    <cellStyle name="Note 2 2 5 2 9" xfId="33972"/>
    <cellStyle name="Note 2 2 5 2 9 2" xfId="33973"/>
    <cellStyle name="Note 2 2 5 20" xfId="33974"/>
    <cellStyle name="Note 2 2 5 20 2" xfId="33975"/>
    <cellStyle name="Note 2 2 5 21" xfId="33976"/>
    <cellStyle name="Note 2 2 5 21 2" xfId="33977"/>
    <cellStyle name="Note 2 2 5 22" xfId="33978"/>
    <cellStyle name="Note 2 2 5 22 2" xfId="33979"/>
    <cellStyle name="Note 2 2 5 23" xfId="33980"/>
    <cellStyle name="Note 2 2 5 23 2" xfId="33981"/>
    <cellStyle name="Note 2 2 5 24" xfId="33982"/>
    <cellStyle name="Note 2 2 5 24 2" xfId="33983"/>
    <cellStyle name="Note 2 2 5 25" xfId="33984"/>
    <cellStyle name="Note 2 2 5 25 2" xfId="33985"/>
    <cellStyle name="Note 2 2 5 26" xfId="33986"/>
    <cellStyle name="Note 2 2 5 26 2" xfId="33987"/>
    <cellStyle name="Note 2 2 5 27" xfId="33988"/>
    <cellStyle name="Note 2 2 5 27 2" xfId="33989"/>
    <cellStyle name="Note 2 2 5 28" xfId="33990"/>
    <cellStyle name="Note 2 2 5 28 2" xfId="33991"/>
    <cellStyle name="Note 2 2 5 29" xfId="33992"/>
    <cellStyle name="Note 2 2 5 29 2" xfId="33993"/>
    <cellStyle name="Note 2 2 5 3" xfId="33994"/>
    <cellStyle name="Note 2 2 5 3 2" xfId="33995"/>
    <cellStyle name="Note 2 2 5 3 2 2" xfId="33996"/>
    <cellStyle name="Note 2 2 5 3 3" xfId="33997"/>
    <cellStyle name="Note 2 2 5 3 3 2" xfId="33998"/>
    <cellStyle name="Note 2 2 5 3 4" xfId="33999"/>
    <cellStyle name="Note 2 2 5 3 4 2" xfId="34000"/>
    <cellStyle name="Note 2 2 5 3 5" xfId="34001"/>
    <cellStyle name="Note 2 2 5 30" xfId="34002"/>
    <cellStyle name="Note 2 2 5 30 2" xfId="34003"/>
    <cellStyle name="Note 2 2 5 31" xfId="34004"/>
    <cellStyle name="Note 2 2 5 31 2" xfId="34005"/>
    <cellStyle name="Note 2 2 5 32" xfId="34006"/>
    <cellStyle name="Note 2 2 5 32 2" xfId="34007"/>
    <cellStyle name="Note 2 2 5 33" xfId="34008"/>
    <cellStyle name="Note 2 2 5 33 2" xfId="34009"/>
    <cellStyle name="Note 2 2 5 34" xfId="34010"/>
    <cellStyle name="Note 2 2 5 34 2" xfId="34011"/>
    <cellStyle name="Note 2 2 5 35" xfId="34012"/>
    <cellStyle name="Note 2 2 5 35 2" xfId="34013"/>
    <cellStyle name="Note 2 2 5 36" xfId="34014"/>
    <cellStyle name="Note 2 2 5 36 2" xfId="34015"/>
    <cellStyle name="Note 2 2 5 37" xfId="34016"/>
    <cellStyle name="Note 2 2 5 37 2" xfId="34017"/>
    <cellStyle name="Note 2 2 5 38" xfId="34018"/>
    <cellStyle name="Note 2 2 5 38 2" xfId="34019"/>
    <cellStyle name="Note 2 2 5 39" xfId="34020"/>
    <cellStyle name="Note 2 2 5 39 2" xfId="34021"/>
    <cellStyle name="Note 2 2 5 4" xfId="34022"/>
    <cellStyle name="Note 2 2 5 4 2" xfId="34023"/>
    <cellStyle name="Note 2 2 5 4 2 2" xfId="34024"/>
    <cellStyle name="Note 2 2 5 4 3" xfId="34025"/>
    <cellStyle name="Note 2 2 5 4 3 2" xfId="34026"/>
    <cellStyle name="Note 2 2 5 4 4" xfId="34027"/>
    <cellStyle name="Note 2 2 5 4 4 2" xfId="34028"/>
    <cellStyle name="Note 2 2 5 4 5" xfId="34029"/>
    <cellStyle name="Note 2 2 5 40" xfId="34030"/>
    <cellStyle name="Note 2 2 5 40 2" xfId="34031"/>
    <cellStyle name="Note 2 2 5 41" xfId="34032"/>
    <cellStyle name="Note 2 2 5 41 2" xfId="34033"/>
    <cellStyle name="Note 2 2 5 42" xfId="34034"/>
    <cellStyle name="Note 2 2 5 42 2" xfId="34035"/>
    <cellStyle name="Note 2 2 5 43" xfId="34036"/>
    <cellStyle name="Note 2 2 5 43 2" xfId="34037"/>
    <cellStyle name="Note 2 2 5 44" xfId="34038"/>
    <cellStyle name="Note 2 2 5 44 2" xfId="34039"/>
    <cellStyle name="Note 2 2 5 45" xfId="34040"/>
    <cellStyle name="Note 2 2 5 45 2" xfId="34041"/>
    <cellStyle name="Note 2 2 5 46" xfId="34042"/>
    <cellStyle name="Note 2 2 5 46 2" xfId="34043"/>
    <cellStyle name="Note 2 2 5 47" xfId="34044"/>
    <cellStyle name="Note 2 2 5 47 2" xfId="34045"/>
    <cellStyle name="Note 2 2 5 48" xfId="34046"/>
    <cellStyle name="Note 2 2 5 48 2" xfId="34047"/>
    <cellStyle name="Note 2 2 5 49" xfId="34048"/>
    <cellStyle name="Note 2 2 5 49 2" xfId="34049"/>
    <cellStyle name="Note 2 2 5 5" xfId="34050"/>
    <cellStyle name="Note 2 2 5 5 2" xfId="34051"/>
    <cellStyle name="Note 2 2 5 5 2 2" xfId="34052"/>
    <cellStyle name="Note 2 2 5 5 3" xfId="34053"/>
    <cellStyle name="Note 2 2 5 5 3 2" xfId="34054"/>
    <cellStyle name="Note 2 2 5 5 4" xfId="34055"/>
    <cellStyle name="Note 2 2 5 5 4 2" xfId="34056"/>
    <cellStyle name="Note 2 2 5 5 5" xfId="34057"/>
    <cellStyle name="Note 2 2 5 50" xfId="34058"/>
    <cellStyle name="Note 2 2 5 50 2" xfId="34059"/>
    <cellStyle name="Note 2 2 5 51" xfId="34060"/>
    <cellStyle name="Note 2 2 5 51 2" xfId="34061"/>
    <cellStyle name="Note 2 2 5 52" xfId="34062"/>
    <cellStyle name="Note 2 2 5 52 2" xfId="34063"/>
    <cellStyle name="Note 2 2 5 53" xfId="34064"/>
    <cellStyle name="Note 2 2 5 53 2" xfId="34065"/>
    <cellStyle name="Note 2 2 5 54" xfId="34066"/>
    <cellStyle name="Note 2 2 5 54 2" xfId="34067"/>
    <cellStyle name="Note 2 2 5 55" xfId="34068"/>
    <cellStyle name="Note 2 2 5 55 2" xfId="34069"/>
    <cellStyle name="Note 2 2 5 56" xfId="34070"/>
    <cellStyle name="Note 2 2 5 56 2" xfId="34071"/>
    <cellStyle name="Note 2 2 5 57" xfId="34072"/>
    <cellStyle name="Note 2 2 5 57 2" xfId="34073"/>
    <cellStyle name="Note 2 2 5 58" xfId="34074"/>
    <cellStyle name="Note 2 2 5 58 2" xfId="34075"/>
    <cellStyle name="Note 2 2 5 59" xfId="34076"/>
    <cellStyle name="Note 2 2 5 59 2" xfId="34077"/>
    <cellStyle name="Note 2 2 5 6" xfId="34078"/>
    <cellStyle name="Note 2 2 5 6 2" xfId="34079"/>
    <cellStyle name="Note 2 2 5 6 2 2" xfId="34080"/>
    <cellStyle name="Note 2 2 5 6 3" xfId="34081"/>
    <cellStyle name="Note 2 2 5 6 3 2" xfId="34082"/>
    <cellStyle name="Note 2 2 5 6 4" xfId="34083"/>
    <cellStyle name="Note 2 2 5 6 4 2" xfId="34084"/>
    <cellStyle name="Note 2 2 5 6 5" xfId="34085"/>
    <cellStyle name="Note 2 2 5 60" xfId="34086"/>
    <cellStyle name="Note 2 2 5 60 2" xfId="34087"/>
    <cellStyle name="Note 2 2 5 61" xfId="34088"/>
    <cellStyle name="Note 2 2 5 61 2" xfId="34089"/>
    <cellStyle name="Note 2 2 5 62" xfId="34090"/>
    <cellStyle name="Note 2 2 5 7" xfId="34091"/>
    <cellStyle name="Note 2 2 5 7 2" xfId="34092"/>
    <cellStyle name="Note 2 2 5 7 2 2" xfId="34093"/>
    <cellStyle name="Note 2 2 5 7 3" xfId="34094"/>
    <cellStyle name="Note 2 2 5 7 3 2" xfId="34095"/>
    <cellStyle name="Note 2 2 5 7 4" xfId="34096"/>
    <cellStyle name="Note 2 2 5 7 4 2" xfId="34097"/>
    <cellStyle name="Note 2 2 5 7 5" xfId="34098"/>
    <cellStyle name="Note 2 2 5 8" xfId="34099"/>
    <cellStyle name="Note 2 2 5 8 2" xfId="34100"/>
    <cellStyle name="Note 2 2 5 8 2 2" xfId="34101"/>
    <cellStyle name="Note 2 2 5 8 3" xfId="34102"/>
    <cellStyle name="Note 2 2 5 8 3 2" xfId="34103"/>
    <cellStyle name="Note 2 2 5 8 4" xfId="34104"/>
    <cellStyle name="Note 2 2 5 8 4 2" xfId="34105"/>
    <cellStyle name="Note 2 2 5 8 5" xfId="34106"/>
    <cellStyle name="Note 2 2 5 9" xfId="34107"/>
    <cellStyle name="Note 2 2 5 9 2" xfId="34108"/>
    <cellStyle name="Note 2 2 5 9 2 2" xfId="34109"/>
    <cellStyle name="Note 2 2 5 9 3" xfId="34110"/>
    <cellStyle name="Note 2 2 5 9 3 2" xfId="34111"/>
    <cellStyle name="Note 2 2 5 9 4" xfId="34112"/>
    <cellStyle name="Note 2 2 5 9 4 2" xfId="34113"/>
    <cellStyle name="Note 2 2 5 9 5" xfId="34114"/>
    <cellStyle name="Note 2 2 50" xfId="34115"/>
    <cellStyle name="Note 2 2 50 2" xfId="34116"/>
    <cellStyle name="Note 2 2 50 2 2" xfId="34117"/>
    <cellStyle name="Note 2 2 50 3" xfId="34118"/>
    <cellStyle name="Note 2 2 50 3 2" xfId="34119"/>
    <cellStyle name="Note 2 2 50 4" xfId="34120"/>
    <cellStyle name="Note 2 2 50 4 2" xfId="34121"/>
    <cellStyle name="Note 2 2 50 5" xfId="34122"/>
    <cellStyle name="Note 2 2 51" xfId="34123"/>
    <cellStyle name="Note 2 2 51 2" xfId="34124"/>
    <cellStyle name="Note 2 2 51 2 2" xfId="34125"/>
    <cellStyle name="Note 2 2 51 3" xfId="34126"/>
    <cellStyle name="Note 2 2 51 3 2" xfId="34127"/>
    <cellStyle name="Note 2 2 51 4" xfId="34128"/>
    <cellStyle name="Note 2 2 51 4 2" xfId="34129"/>
    <cellStyle name="Note 2 2 51 5" xfId="34130"/>
    <cellStyle name="Note 2 2 52" xfId="34131"/>
    <cellStyle name="Note 2 2 52 2" xfId="34132"/>
    <cellStyle name="Note 2 2 52 2 2" xfId="34133"/>
    <cellStyle name="Note 2 2 52 3" xfId="34134"/>
    <cellStyle name="Note 2 2 52 3 2" xfId="34135"/>
    <cellStyle name="Note 2 2 52 4" xfId="34136"/>
    <cellStyle name="Note 2 2 52 4 2" xfId="34137"/>
    <cellStyle name="Note 2 2 52 5" xfId="34138"/>
    <cellStyle name="Note 2 2 53" xfId="34139"/>
    <cellStyle name="Note 2 2 53 2" xfId="34140"/>
    <cellStyle name="Note 2 2 53 2 2" xfId="34141"/>
    <cellStyle name="Note 2 2 53 3" xfId="34142"/>
    <cellStyle name="Note 2 2 53 3 2" xfId="34143"/>
    <cellStyle name="Note 2 2 53 4" xfId="34144"/>
    <cellStyle name="Note 2 2 53 4 2" xfId="34145"/>
    <cellStyle name="Note 2 2 53 5" xfId="34146"/>
    <cellStyle name="Note 2 2 54" xfId="34147"/>
    <cellStyle name="Note 2 2 54 2" xfId="34148"/>
    <cellStyle name="Note 2 2 54 2 2" xfId="34149"/>
    <cellStyle name="Note 2 2 54 3" xfId="34150"/>
    <cellStyle name="Note 2 2 54 3 2" xfId="34151"/>
    <cellStyle name="Note 2 2 54 4" xfId="34152"/>
    <cellStyle name="Note 2 2 54 4 2" xfId="34153"/>
    <cellStyle name="Note 2 2 54 5" xfId="34154"/>
    <cellStyle name="Note 2 2 55" xfId="34155"/>
    <cellStyle name="Note 2 2 55 2" xfId="34156"/>
    <cellStyle name="Note 2 2 55 2 2" xfId="34157"/>
    <cellStyle name="Note 2 2 55 3" xfId="34158"/>
    <cellStyle name="Note 2 2 55 3 2" xfId="34159"/>
    <cellStyle name="Note 2 2 55 4" xfId="34160"/>
    <cellStyle name="Note 2 2 55 4 2" xfId="34161"/>
    <cellStyle name="Note 2 2 55 5" xfId="34162"/>
    <cellStyle name="Note 2 2 56" xfId="34163"/>
    <cellStyle name="Note 2 2 56 2" xfId="34164"/>
    <cellStyle name="Note 2 2 56 2 2" xfId="34165"/>
    <cellStyle name="Note 2 2 56 3" xfId="34166"/>
    <cellStyle name="Note 2 2 56 3 2" xfId="34167"/>
    <cellStyle name="Note 2 2 56 4" xfId="34168"/>
    <cellStyle name="Note 2 2 56 4 2" xfId="34169"/>
    <cellStyle name="Note 2 2 56 5" xfId="34170"/>
    <cellStyle name="Note 2 2 57" xfId="34171"/>
    <cellStyle name="Note 2 2 57 2" xfId="34172"/>
    <cellStyle name="Note 2 2 57 2 2" xfId="34173"/>
    <cellStyle name="Note 2 2 57 3" xfId="34174"/>
    <cellStyle name="Note 2 2 57 3 2" xfId="34175"/>
    <cellStyle name="Note 2 2 57 4" xfId="34176"/>
    <cellStyle name="Note 2 2 57 4 2" xfId="34177"/>
    <cellStyle name="Note 2 2 57 5" xfId="34178"/>
    <cellStyle name="Note 2 2 58" xfId="34179"/>
    <cellStyle name="Note 2 2 58 2" xfId="34180"/>
    <cellStyle name="Note 2 2 59" xfId="34181"/>
    <cellStyle name="Note 2 2 59 2" xfId="34182"/>
    <cellStyle name="Note 2 2 6" xfId="34183"/>
    <cellStyle name="Note 2 2 6 10" xfId="34184"/>
    <cellStyle name="Note 2 2 6 10 2" xfId="34185"/>
    <cellStyle name="Note 2 2 6 10 2 2" xfId="34186"/>
    <cellStyle name="Note 2 2 6 10 3" xfId="34187"/>
    <cellStyle name="Note 2 2 6 10 3 2" xfId="34188"/>
    <cellStyle name="Note 2 2 6 10 4" xfId="34189"/>
    <cellStyle name="Note 2 2 6 10 4 2" xfId="34190"/>
    <cellStyle name="Note 2 2 6 10 5" xfId="34191"/>
    <cellStyle name="Note 2 2 6 11" xfId="34192"/>
    <cellStyle name="Note 2 2 6 11 2" xfId="34193"/>
    <cellStyle name="Note 2 2 6 11 2 2" xfId="34194"/>
    <cellStyle name="Note 2 2 6 11 3" xfId="34195"/>
    <cellStyle name="Note 2 2 6 11 3 2" xfId="34196"/>
    <cellStyle name="Note 2 2 6 11 4" xfId="34197"/>
    <cellStyle name="Note 2 2 6 11 4 2" xfId="34198"/>
    <cellStyle name="Note 2 2 6 11 5" xfId="34199"/>
    <cellStyle name="Note 2 2 6 12" xfId="34200"/>
    <cellStyle name="Note 2 2 6 12 2" xfId="34201"/>
    <cellStyle name="Note 2 2 6 12 2 2" xfId="34202"/>
    <cellStyle name="Note 2 2 6 12 3" xfId="34203"/>
    <cellStyle name="Note 2 2 6 12 3 2" xfId="34204"/>
    <cellStyle name="Note 2 2 6 12 4" xfId="34205"/>
    <cellStyle name="Note 2 2 6 12 4 2" xfId="34206"/>
    <cellStyle name="Note 2 2 6 12 5" xfId="34207"/>
    <cellStyle name="Note 2 2 6 13" xfId="34208"/>
    <cellStyle name="Note 2 2 6 13 2" xfId="34209"/>
    <cellStyle name="Note 2 2 6 13 2 2" xfId="34210"/>
    <cellStyle name="Note 2 2 6 13 3" xfId="34211"/>
    <cellStyle name="Note 2 2 6 13 3 2" xfId="34212"/>
    <cellStyle name="Note 2 2 6 13 4" xfId="34213"/>
    <cellStyle name="Note 2 2 6 13 4 2" xfId="34214"/>
    <cellStyle name="Note 2 2 6 13 5" xfId="34215"/>
    <cellStyle name="Note 2 2 6 14" xfId="34216"/>
    <cellStyle name="Note 2 2 6 14 2" xfId="34217"/>
    <cellStyle name="Note 2 2 6 14 2 2" xfId="34218"/>
    <cellStyle name="Note 2 2 6 14 3" xfId="34219"/>
    <cellStyle name="Note 2 2 6 14 3 2" xfId="34220"/>
    <cellStyle name="Note 2 2 6 14 4" xfId="34221"/>
    <cellStyle name="Note 2 2 6 14 4 2" xfId="34222"/>
    <cellStyle name="Note 2 2 6 14 5" xfId="34223"/>
    <cellStyle name="Note 2 2 6 15" xfId="34224"/>
    <cellStyle name="Note 2 2 6 15 2" xfId="34225"/>
    <cellStyle name="Note 2 2 6 16" xfId="34226"/>
    <cellStyle name="Note 2 2 6 16 2" xfId="34227"/>
    <cellStyle name="Note 2 2 6 17" xfId="34228"/>
    <cellStyle name="Note 2 2 6 17 2" xfId="34229"/>
    <cellStyle name="Note 2 2 6 18" xfId="34230"/>
    <cellStyle name="Note 2 2 6 18 2" xfId="34231"/>
    <cellStyle name="Note 2 2 6 19" xfId="34232"/>
    <cellStyle name="Note 2 2 6 19 2" xfId="34233"/>
    <cellStyle name="Note 2 2 6 2" xfId="34234"/>
    <cellStyle name="Note 2 2 6 2 10" xfId="34235"/>
    <cellStyle name="Note 2 2 6 2 10 2" xfId="34236"/>
    <cellStyle name="Note 2 2 6 2 11" xfId="34237"/>
    <cellStyle name="Note 2 2 6 2 11 2" xfId="34238"/>
    <cellStyle name="Note 2 2 6 2 12" xfId="34239"/>
    <cellStyle name="Note 2 2 6 2 12 2" xfId="34240"/>
    <cellStyle name="Note 2 2 6 2 13" xfId="34241"/>
    <cellStyle name="Note 2 2 6 2 13 2" xfId="34242"/>
    <cellStyle name="Note 2 2 6 2 14" xfId="34243"/>
    <cellStyle name="Note 2 2 6 2 14 2" xfId="34244"/>
    <cellStyle name="Note 2 2 6 2 15" xfId="34245"/>
    <cellStyle name="Note 2 2 6 2 15 2" xfId="34246"/>
    <cellStyle name="Note 2 2 6 2 16" xfId="34247"/>
    <cellStyle name="Note 2 2 6 2 16 2" xfId="34248"/>
    <cellStyle name="Note 2 2 6 2 17" xfId="34249"/>
    <cellStyle name="Note 2 2 6 2 17 2" xfId="34250"/>
    <cellStyle name="Note 2 2 6 2 18" xfId="34251"/>
    <cellStyle name="Note 2 2 6 2 18 2" xfId="34252"/>
    <cellStyle name="Note 2 2 6 2 19" xfId="34253"/>
    <cellStyle name="Note 2 2 6 2 19 2" xfId="34254"/>
    <cellStyle name="Note 2 2 6 2 2" xfId="34255"/>
    <cellStyle name="Note 2 2 6 2 2 2" xfId="34256"/>
    <cellStyle name="Note 2 2 6 2 2 3" xfId="34257"/>
    <cellStyle name="Note 2 2 6 2 20" xfId="34258"/>
    <cellStyle name="Note 2 2 6 2 20 2" xfId="34259"/>
    <cellStyle name="Note 2 2 6 2 21" xfId="34260"/>
    <cellStyle name="Note 2 2 6 2 21 2" xfId="34261"/>
    <cellStyle name="Note 2 2 6 2 22" xfId="34262"/>
    <cellStyle name="Note 2 2 6 2 22 2" xfId="34263"/>
    <cellStyle name="Note 2 2 6 2 23" xfId="34264"/>
    <cellStyle name="Note 2 2 6 2 23 2" xfId="34265"/>
    <cellStyle name="Note 2 2 6 2 24" xfId="34266"/>
    <cellStyle name="Note 2 2 6 2 24 2" xfId="34267"/>
    <cellStyle name="Note 2 2 6 2 25" xfId="34268"/>
    <cellStyle name="Note 2 2 6 2 25 2" xfId="34269"/>
    <cellStyle name="Note 2 2 6 2 26" xfId="34270"/>
    <cellStyle name="Note 2 2 6 2 26 2" xfId="34271"/>
    <cellStyle name="Note 2 2 6 2 27" xfId="34272"/>
    <cellStyle name="Note 2 2 6 2 27 2" xfId="34273"/>
    <cellStyle name="Note 2 2 6 2 28" xfId="34274"/>
    <cellStyle name="Note 2 2 6 2 28 2" xfId="34275"/>
    <cellStyle name="Note 2 2 6 2 29" xfId="34276"/>
    <cellStyle name="Note 2 2 6 2 29 2" xfId="34277"/>
    <cellStyle name="Note 2 2 6 2 3" xfId="34278"/>
    <cellStyle name="Note 2 2 6 2 3 2" xfId="34279"/>
    <cellStyle name="Note 2 2 6 2 3 3" xfId="34280"/>
    <cellStyle name="Note 2 2 6 2 30" xfId="34281"/>
    <cellStyle name="Note 2 2 6 2 30 2" xfId="34282"/>
    <cellStyle name="Note 2 2 6 2 31" xfId="34283"/>
    <cellStyle name="Note 2 2 6 2 4" xfId="34284"/>
    <cellStyle name="Note 2 2 6 2 4 2" xfId="34285"/>
    <cellStyle name="Note 2 2 6 2 5" xfId="34286"/>
    <cellStyle name="Note 2 2 6 2 5 2" xfId="34287"/>
    <cellStyle name="Note 2 2 6 2 6" xfId="34288"/>
    <cellStyle name="Note 2 2 6 2 6 2" xfId="34289"/>
    <cellStyle name="Note 2 2 6 2 7" xfId="34290"/>
    <cellStyle name="Note 2 2 6 2 7 2" xfId="34291"/>
    <cellStyle name="Note 2 2 6 2 8" xfId="34292"/>
    <cellStyle name="Note 2 2 6 2 8 2" xfId="34293"/>
    <cellStyle name="Note 2 2 6 2 9" xfId="34294"/>
    <cellStyle name="Note 2 2 6 2 9 2" xfId="34295"/>
    <cellStyle name="Note 2 2 6 20" xfId="34296"/>
    <cellStyle name="Note 2 2 6 20 2" xfId="34297"/>
    <cellStyle name="Note 2 2 6 21" xfId="34298"/>
    <cellStyle name="Note 2 2 6 21 2" xfId="34299"/>
    <cellStyle name="Note 2 2 6 22" xfId="34300"/>
    <cellStyle name="Note 2 2 6 22 2" xfId="34301"/>
    <cellStyle name="Note 2 2 6 23" xfId="34302"/>
    <cellStyle name="Note 2 2 6 23 2" xfId="34303"/>
    <cellStyle name="Note 2 2 6 24" xfId="34304"/>
    <cellStyle name="Note 2 2 6 24 2" xfId="34305"/>
    <cellStyle name="Note 2 2 6 25" xfId="34306"/>
    <cellStyle name="Note 2 2 6 25 2" xfId="34307"/>
    <cellStyle name="Note 2 2 6 26" xfId="34308"/>
    <cellStyle name="Note 2 2 6 26 2" xfId="34309"/>
    <cellStyle name="Note 2 2 6 27" xfId="34310"/>
    <cellStyle name="Note 2 2 6 27 2" xfId="34311"/>
    <cellStyle name="Note 2 2 6 28" xfId="34312"/>
    <cellStyle name="Note 2 2 6 28 2" xfId="34313"/>
    <cellStyle name="Note 2 2 6 29" xfId="34314"/>
    <cellStyle name="Note 2 2 6 29 2" xfId="34315"/>
    <cellStyle name="Note 2 2 6 3" xfId="34316"/>
    <cellStyle name="Note 2 2 6 3 2" xfId="34317"/>
    <cellStyle name="Note 2 2 6 3 2 2" xfId="34318"/>
    <cellStyle name="Note 2 2 6 3 3" xfId="34319"/>
    <cellStyle name="Note 2 2 6 3 3 2" xfId="34320"/>
    <cellStyle name="Note 2 2 6 3 4" xfId="34321"/>
    <cellStyle name="Note 2 2 6 3 4 2" xfId="34322"/>
    <cellStyle name="Note 2 2 6 3 5" xfId="34323"/>
    <cellStyle name="Note 2 2 6 30" xfId="34324"/>
    <cellStyle name="Note 2 2 6 30 2" xfId="34325"/>
    <cellStyle name="Note 2 2 6 31" xfId="34326"/>
    <cellStyle name="Note 2 2 6 31 2" xfId="34327"/>
    <cellStyle name="Note 2 2 6 32" xfId="34328"/>
    <cellStyle name="Note 2 2 6 32 2" xfId="34329"/>
    <cellStyle name="Note 2 2 6 33" xfId="34330"/>
    <cellStyle name="Note 2 2 6 33 2" xfId="34331"/>
    <cellStyle name="Note 2 2 6 34" xfId="34332"/>
    <cellStyle name="Note 2 2 6 34 2" xfId="34333"/>
    <cellStyle name="Note 2 2 6 35" xfId="34334"/>
    <cellStyle name="Note 2 2 6 35 2" xfId="34335"/>
    <cellStyle name="Note 2 2 6 36" xfId="34336"/>
    <cellStyle name="Note 2 2 6 36 2" xfId="34337"/>
    <cellStyle name="Note 2 2 6 37" xfId="34338"/>
    <cellStyle name="Note 2 2 6 37 2" xfId="34339"/>
    <cellStyle name="Note 2 2 6 38" xfId="34340"/>
    <cellStyle name="Note 2 2 6 38 2" xfId="34341"/>
    <cellStyle name="Note 2 2 6 39" xfId="34342"/>
    <cellStyle name="Note 2 2 6 39 2" xfId="34343"/>
    <cellStyle name="Note 2 2 6 4" xfId="34344"/>
    <cellStyle name="Note 2 2 6 4 2" xfId="34345"/>
    <cellStyle name="Note 2 2 6 4 2 2" xfId="34346"/>
    <cellStyle name="Note 2 2 6 4 3" xfId="34347"/>
    <cellStyle name="Note 2 2 6 4 3 2" xfId="34348"/>
    <cellStyle name="Note 2 2 6 4 4" xfId="34349"/>
    <cellStyle name="Note 2 2 6 4 4 2" xfId="34350"/>
    <cellStyle name="Note 2 2 6 4 5" xfId="34351"/>
    <cellStyle name="Note 2 2 6 40" xfId="34352"/>
    <cellStyle name="Note 2 2 6 40 2" xfId="34353"/>
    <cellStyle name="Note 2 2 6 41" xfId="34354"/>
    <cellStyle name="Note 2 2 6 41 2" xfId="34355"/>
    <cellStyle name="Note 2 2 6 42" xfId="34356"/>
    <cellStyle name="Note 2 2 6 42 2" xfId="34357"/>
    <cellStyle name="Note 2 2 6 43" xfId="34358"/>
    <cellStyle name="Note 2 2 6 43 2" xfId="34359"/>
    <cellStyle name="Note 2 2 6 44" xfId="34360"/>
    <cellStyle name="Note 2 2 6 44 2" xfId="34361"/>
    <cellStyle name="Note 2 2 6 45" xfId="34362"/>
    <cellStyle name="Note 2 2 6 45 2" xfId="34363"/>
    <cellStyle name="Note 2 2 6 46" xfId="34364"/>
    <cellStyle name="Note 2 2 6 46 2" xfId="34365"/>
    <cellStyle name="Note 2 2 6 47" xfId="34366"/>
    <cellStyle name="Note 2 2 6 47 2" xfId="34367"/>
    <cellStyle name="Note 2 2 6 48" xfId="34368"/>
    <cellStyle name="Note 2 2 6 48 2" xfId="34369"/>
    <cellStyle name="Note 2 2 6 49" xfId="34370"/>
    <cellStyle name="Note 2 2 6 49 2" xfId="34371"/>
    <cellStyle name="Note 2 2 6 5" xfId="34372"/>
    <cellStyle name="Note 2 2 6 5 2" xfId="34373"/>
    <cellStyle name="Note 2 2 6 5 2 2" xfId="34374"/>
    <cellStyle name="Note 2 2 6 5 3" xfId="34375"/>
    <cellStyle name="Note 2 2 6 5 3 2" xfId="34376"/>
    <cellStyle name="Note 2 2 6 5 4" xfId="34377"/>
    <cellStyle name="Note 2 2 6 5 4 2" xfId="34378"/>
    <cellStyle name="Note 2 2 6 5 5" xfId="34379"/>
    <cellStyle name="Note 2 2 6 50" xfId="34380"/>
    <cellStyle name="Note 2 2 6 50 2" xfId="34381"/>
    <cellStyle name="Note 2 2 6 51" xfId="34382"/>
    <cellStyle name="Note 2 2 6 51 2" xfId="34383"/>
    <cellStyle name="Note 2 2 6 52" xfId="34384"/>
    <cellStyle name="Note 2 2 6 52 2" xfId="34385"/>
    <cellStyle name="Note 2 2 6 53" xfId="34386"/>
    <cellStyle name="Note 2 2 6 53 2" xfId="34387"/>
    <cellStyle name="Note 2 2 6 54" xfId="34388"/>
    <cellStyle name="Note 2 2 6 54 2" xfId="34389"/>
    <cellStyle name="Note 2 2 6 55" xfId="34390"/>
    <cellStyle name="Note 2 2 6 55 2" xfId="34391"/>
    <cellStyle name="Note 2 2 6 56" xfId="34392"/>
    <cellStyle name="Note 2 2 6 56 2" xfId="34393"/>
    <cellStyle name="Note 2 2 6 57" xfId="34394"/>
    <cellStyle name="Note 2 2 6 57 2" xfId="34395"/>
    <cellStyle name="Note 2 2 6 58" xfId="34396"/>
    <cellStyle name="Note 2 2 6 58 2" xfId="34397"/>
    <cellStyle name="Note 2 2 6 59" xfId="34398"/>
    <cellStyle name="Note 2 2 6 59 2" xfId="34399"/>
    <cellStyle name="Note 2 2 6 6" xfId="34400"/>
    <cellStyle name="Note 2 2 6 6 2" xfId="34401"/>
    <cellStyle name="Note 2 2 6 6 2 2" xfId="34402"/>
    <cellStyle name="Note 2 2 6 6 3" xfId="34403"/>
    <cellStyle name="Note 2 2 6 6 3 2" xfId="34404"/>
    <cellStyle name="Note 2 2 6 6 4" xfId="34405"/>
    <cellStyle name="Note 2 2 6 6 4 2" xfId="34406"/>
    <cellStyle name="Note 2 2 6 6 5" xfId="34407"/>
    <cellStyle name="Note 2 2 6 60" xfId="34408"/>
    <cellStyle name="Note 2 2 6 60 2" xfId="34409"/>
    <cellStyle name="Note 2 2 6 61" xfId="34410"/>
    <cellStyle name="Note 2 2 6 61 2" xfId="34411"/>
    <cellStyle name="Note 2 2 6 62" xfId="34412"/>
    <cellStyle name="Note 2 2 6 7" xfId="34413"/>
    <cellStyle name="Note 2 2 6 7 2" xfId="34414"/>
    <cellStyle name="Note 2 2 6 7 2 2" xfId="34415"/>
    <cellStyle name="Note 2 2 6 7 3" xfId="34416"/>
    <cellStyle name="Note 2 2 6 7 3 2" xfId="34417"/>
    <cellStyle name="Note 2 2 6 7 4" xfId="34418"/>
    <cellStyle name="Note 2 2 6 7 4 2" xfId="34419"/>
    <cellStyle name="Note 2 2 6 7 5" xfId="34420"/>
    <cellStyle name="Note 2 2 6 8" xfId="34421"/>
    <cellStyle name="Note 2 2 6 8 2" xfId="34422"/>
    <cellStyle name="Note 2 2 6 8 2 2" xfId="34423"/>
    <cellStyle name="Note 2 2 6 8 3" xfId="34424"/>
    <cellStyle name="Note 2 2 6 8 3 2" xfId="34425"/>
    <cellStyle name="Note 2 2 6 8 4" xfId="34426"/>
    <cellStyle name="Note 2 2 6 8 4 2" xfId="34427"/>
    <cellStyle name="Note 2 2 6 8 5" xfId="34428"/>
    <cellStyle name="Note 2 2 6 9" xfId="34429"/>
    <cellStyle name="Note 2 2 6 9 2" xfId="34430"/>
    <cellStyle name="Note 2 2 6 9 2 2" xfId="34431"/>
    <cellStyle name="Note 2 2 6 9 3" xfId="34432"/>
    <cellStyle name="Note 2 2 6 9 3 2" xfId="34433"/>
    <cellStyle name="Note 2 2 6 9 4" xfId="34434"/>
    <cellStyle name="Note 2 2 6 9 4 2" xfId="34435"/>
    <cellStyle name="Note 2 2 6 9 5" xfId="34436"/>
    <cellStyle name="Note 2 2 60" xfId="34437"/>
    <cellStyle name="Note 2 2 60 2" xfId="34438"/>
    <cellStyle name="Note 2 2 61" xfId="34439"/>
    <cellStyle name="Note 2 2 61 2" xfId="34440"/>
    <cellStyle name="Note 2 2 62" xfId="34441"/>
    <cellStyle name="Note 2 2 62 2" xfId="34442"/>
    <cellStyle name="Note 2 2 63" xfId="34443"/>
    <cellStyle name="Note 2 2 63 2" xfId="34444"/>
    <cellStyle name="Note 2 2 64" xfId="34445"/>
    <cellStyle name="Note 2 2 64 2" xfId="34446"/>
    <cellStyle name="Note 2 2 65" xfId="34447"/>
    <cellStyle name="Note 2 2 65 2" xfId="34448"/>
    <cellStyle name="Note 2 2 66" xfId="34449"/>
    <cellStyle name="Note 2 2 66 2" xfId="34450"/>
    <cellStyle name="Note 2 2 67" xfId="34451"/>
    <cellStyle name="Note 2 2 67 2" xfId="34452"/>
    <cellStyle name="Note 2 2 68" xfId="34453"/>
    <cellStyle name="Note 2 2 68 2" xfId="34454"/>
    <cellStyle name="Note 2 2 69" xfId="34455"/>
    <cellStyle name="Note 2 2 69 2" xfId="34456"/>
    <cellStyle name="Note 2 2 7" xfId="34457"/>
    <cellStyle name="Note 2 2 7 10" xfId="34458"/>
    <cellStyle name="Note 2 2 7 10 2" xfId="34459"/>
    <cellStyle name="Note 2 2 7 10 2 2" xfId="34460"/>
    <cellStyle name="Note 2 2 7 10 3" xfId="34461"/>
    <cellStyle name="Note 2 2 7 10 3 2" xfId="34462"/>
    <cellStyle name="Note 2 2 7 10 4" xfId="34463"/>
    <cellStyle name="Note 2 2 7 10 4 2" xfId="34464"/>
    <cellStyle name="Note 2 2 7 10 5" xfId="34465"/>
    <cellStyle name="Note 2 2 7 11" xfId="34466"/>
    <cellStyle name="Note 2 2 7 11 2" xfId="34467"/>
    <cellStyle name="Note 2 2 7 11 2 2" xfId="34468"/>
    <cellStyle name="Note 2 2 7 11 3" xfId="34469"/>
    <cellStyle name="Note 2 2 7 11 3 2" xfId="34470"/>
    <cellStyle name="Note 2 2 7 11 4" xfId="34471"/>
    <cellStyle name="Note 2 2 7 11 4 2" xfId="34472"/>
    <cellStyle name="Note 2 2 7 11 5" xfId="34473"/>
    <cellStyle name="Note 2 2 7 12" xfId="34474"/>
    <cellStyle name="Note 2 2 7 12 2" xfId="34475"/>
    <cellStyle name="Note 2 2 7 12 2 2" xfId="34476"/>
    <cellStyle name="Note 2 2 7 12 3" xfId="34477"/>
    <cellStyle name="Note 2 2 7 12 3 2" xfId="34478"/>
    <cellStyle name="Note 2 2 7 12 4" xfId="34479"/>
    <cellStyle name="Note 2 2 7 12 4 2" xfId="34480"/>
    <cellStyle name="Note 2 2 7 12 5" xfId="34481"/>
    <cellStyle name="Note 2 2 7 13" xfId="34482"/>
    <cellStyle name="Note 2 2 7 13 2" xfId="34483"/>
    <cellStyle name="Note 2 2 7 13 2 2" xfId="34484"/>
    <cellStyle name="Note 2 2 7 13 3" xfId="34485"/>
    <cellStyle name="Note 2 2 7 13 3 2" xfId="34486"/>
    <cellStyle name="Note 2 2 7 13 4" xfId="34487"/>
    <cellStyle name="Note 2 2 7 13 4 2" xfId="34488"/>
    <cellStyle name="Note 2 2 7 13 5" xfId="34489"/>
    <cellStyle name="Note 2 2 7 14" xfId="34490"/>
    <cellStyle name="Note 2 2 7 14 2" xfId="34491"/>
    <cellStyle name="Note 2 2 7 14 2 2" xfId="34492"/>
    <cellStyle name="Note 2 2 7 14 3" xfId="34493"/>
    <cellStyle name="Note 2 2 7 14 3 2" xfId="34494"/>
    <cellStyle name="Note 2 2 7 14 4" xfId="34495"/>
    <cellStyle name="Note 2 2 7 14 4 2" xfId="34496"/>
    <cellStyle name="Note 2 2 7 14 5" xfId="34497"/>
    <cellStyle name="Note 2 2 7 15" xfId="34498"/>
    <cellStyle name="Note 2 2 7 15 2" xfId="34499"/>
    <cellStyle name="Note 2 2 7 16" xfId="34500"/>
    <cellStyle name="Note 2 2 7 16 2" xfId="34501"/>
    <cellStyle name="Note 2 2 7 17" xfId="34502"/>
    <cellStyle name="Note 2 2 7 17 2" xfId="34503"/>
    <cellStyle name="Note 2 2 7 18" xfId="34504"/>
    <cellStyle name="Note 2 2 7 18 2" xfId="34505"/>
    <cellStyle name="Note 2 2 7 19" xfId="34506"/>
    <cellStyle name="Note 2 2 7 19 2" xfId="34507"/>
    <cellStyle name="Note 2 2 7 2" xfId="34508"/>
    <cellStyle name="Note 2 2 7 2 10" xfId="34509"/>
    <cellStyle name="Note 2 2 7 2 10 2" xfId="34510"/>
    <cellStyle name="Note 2 2 7 2 11" xfId="34511"/>
    <cellStyle name="Note 2 2 7 2 11 2" xfId="34512"/>
    <cellStyle name="Note 2 2 7 2 12" xfId="34513"/>
    <cellStyle name="Note 2 2 7 2 12 2" xfId="34514"/>
    <cellStyle name="Note 2 2 7 2 13" xfId="34515"/>
    <cellStyle name="Note 2 2 7 2 13 2" xfId="34516"/>
    <cellStyle name="Note 2 2 7 2 14" xfId="34517"/>
    <cellStyle name="Note 2 2 7 2 14 2" xfId="34518"/>
    <cellStyle name="Note 2 2 7 2 15" xfId="34519"/>
    <cellStyle name="Note 2 2 7 2 15 2" xfId="34520"/>
    <cellStyle name="Note 2 2 7 2 16" xfId="34521"/>
    <cellStyle name="Note 2 2 7 2 16 2" xfId="34522"/>
    <cellStyle name="Note 2 2 7 2 17" xfId="34523"/>
    <cellStyle name="Note 2 2 7 2 17 2" xfId="34524"/>
    <cellStyle name="Note 2 2 7 2 18" xfId="34525"/>
    <cellStyle name="Note 2 2 7 2 18 2" xfId="34526"/>
    <cellStyle name="Note 2 2 7 2 19" xfId="34527"/>
    <cellStyle name="Note 2 2 7 2 19 2" xfId="34528"/>
    <cellStyle name="Note 2 2 7 2 2" xfId="34529"/>
    <cellStyle name="Note 2 2 7 2 2 2" xfId="34530"/>
    <cellStyle name="Note 2 2 7 2 2 3" xfId="34531"/>
    <cellStyle name="Note 2 2 7 2 20" xfId="34532"/>
    <cellStyle name="Note 2 2 7 2 20 2" xfId="34533"/>
    <cellStyle name="Note 2 2 7 2 21" xfId="34534"/>
    <cellStyle name="Note 2 2 7 2 21 2" xfId="34535"/>
    <cellStyle name="Note 2 2 7 2 22" xfId="34536"/>
    <cellStyle name="Note 2 2 7 2 22 2" xfId="34537"/>
    <cellStyle name="Note 2 2 7 2 23" xfId="34538"/>
    <cellStyle name="Note 2 2 7 2 23 2" xfId="34539"/>
    <cellStyle name="Note 2 2 7 2 24" xfId="34540"/>
    <cellStyle name="Note 2 2 7 2 24 2" xfId="34541"/>
    <cellStyle name="Note 2 2 7 2 25" xfId="34542"/>
    <cellStyle name="Note 2 2 7 2 25 2" xfId="34543"/>
    <cellStyle name="Note 2 2 7 2 26" xfId="34544"/>
    <cellStyle name="Note 2 2 7 2 26 2" xfId="34545"/>
    <cellStyle name="Note 2 2 7 2 27" xfId="34546"/>
    <cellStyle name="Note 2 2 7 2 27 2" xfId="34547"/>
    <cellStyle name="Note 2 2 7 2 28" xfId="34548"/>
    <cellStyle name="Note 2 2 7 2 28 2" xfId="34549"/>
    <cellStyle name="Note 2 2 7 2 29" xfId="34550"/>
    <cellStyle name="Note 2 2 7 2 29 2" xfId="34551"/>
    <cellStyle name="Note 2 2 7 2 3" xfId="34552"/>
    <cellStyle name="Note 2 2 7 2 3 2" xfId="34553"/>
    <cellStyle name="Note 2 2 7 2 3 3" xfId="34554"/>
    <cellStyle name="Note 2 2 7 2 30" xfId="34555"/>
    <cellStyle name="Note 2 2 7 2 30 2" xfId="34556"/>
    <cellStyle name="Note 2 2 7 2 31" xfId="34557"/>
    <cellStyle name="Note 2 2 7 2 4" xfId="34558"/>
    <cellStyle name="Note 2 2 7 2 4 2" xfId="34559"/>
    <cellStyle name="Note 2 2 7 2 5" xfId="34560"/>
    <cellStyle name="Note 2 2 7 2 5 2" xfId="34561"/>
    <cellStyle name="Note 2 2 7 2 6" xfId="34562"/>
    <cellStyle name="Note 2 2 7 2 6 2" xfId="34563"/>
    <cellStyle name="Note 2 2 7 2 7" xfId="34564"/>
    <cellStyle name="Note 2 2 7 2 7 2" xfId="34565"/>
    <cellStyle name="Note 2 2 7 2 8" xfId="34566"/>
    <cellStyle name="Note 2 2 7 2 8 2" xfId="34567"/>
    <cellStyle name="Note 2 2 7 2 9" xfId="34568"/>
    <cellStyle name="Note 2 2 7 2 9 2" xfId="34569"/>
    <cellStyle name="Note 2 2 7 20" xfId="34570"/>
    <cellStyle name="Note 2 2 7 20 2" xfId="34571"/>
    <cellStyle name="Note 2 2 7 21" xfId="34572"/>
    <cellStyle name="Note 2 2 7 21 2" xfId="34573"/>
    <cellStyle name="Note 2 2 7 22" xfId="34574"/>
    <cellStyle name="Note 2 2 7 22 2" xfId="34575"/>
    <cellStyle name="Note 2 2 7 23" xfId="34576"/>
    <cellStyle name="Note 2 2 7 23 2" xfId="34577"/>
    <cellStyle name="Note 2 2 7 24" xfId="34578"/>
    <cellStyle name="Note 2 2 7 24 2" xfId="34579"/>
    <cellStyle name="Note 2 2 7 25" xfId="34580"/>
    <cellStyle name="Note 2 2 7 25 2" xfId="34581"/>
    <cellStyle name="Note 2 2 7 26" xfId="34582"/>
    <cellStyle name="Note 2 2 7 26 2" xfId="34583"/>
    <cellStyle name="Note 2 2 7 27" xfId="34584"/>
    <cellStyle name="Note 2 2 7 27 2" xfId="34585"/>
    <cellStyle name="Note 2 2 7 28" xfId="34586"/>
    <cellStyle name="Note 2 2 7 28 2" xfId="34587"/>
    <cellStyle name="Note 2 2 7 29" xfId="34588"/>
    <cellStyle name="Note 2 2 7 29 2" xfId="34589"/>
    <cellStyle name="Note 2 2 7 3" xfId="34590"/>
    <cellStyle name="Note 2 2 7 3 2" xfId="34591"/>
    <cellStyle name="Note 2 2 7 3 2 2" xfId="34592"/>
    <cellStyle name="Note 2 2 7 3 3" xfId="34593"/>
    <cellStyle name="Note 2 2 7 3 3 2" xfId="34594"/>
    <cellStyle name="Note 2 2 7 3 4" xfId="34595"/>
    <cellStyle name="Note 2 2 7 3 4 2" xfId="34596"/>
    <cellStyle name="Note 2 2 7 3 5" xfId="34597"/>
    <cellStyle name="Note 2 2 7 30" xfId="34598"/>
    <cellStyle name="Note 2 2 7 30 2" xfId="34599"/>
    <cellStyle name="Note 2 2 7 31" xfId="34600"/>
    <cellStyle name="Note 2 2 7 31 2" xfId="34601"/>
    <cellStyle name="Note 2 2 7 32" xfId="34602"/>
    <cellStyle name="Note 2 2 7 32 2" xfId="34603"/>
    <cellStyle name="Note 2 2 7 33" xfId="34604"/>
    <cellStyle name="Note 2 2 7 33 2" xfId="34605"/>
    <cellStyle name="Note 2 2 7 34" xfId="34606"/>
    <cellStyle name="Note 2 2 7 34 2" xfId="34607"/>
    <cellStyle name="Note 2 2 7 35" xfId="34608"/>
    <cellStyle name="Note 2 2 7 35 2" xfId="34609"/>
    <cellStyle name="Note 2 2 7 36" xfId="34610"/>
    <cellStyle name="Note 2 2 7 36 2" xfId="34611"/>
    <cellStyle name="Note 2 2 7 37" xfId="34612"/>
    <cellStyle name="Note 2 2 7 37 2" xfId="34613"/>
    <cellStyle name="Note 2 2 7 38" xfId="34614"/>
    <cellStyle name="Note 2 2 7 38 2" xfId="34615"/>
    <cellStyle name="Note 2 2 7 39" xfId="34616"/>
    <cellStyle name="Note 2 2 7 39 2" xfId="34617"/>
    <cellStyle name="Note 2 2 7 4" xfId="34618"/>
    <cellStyle name="Note 2 2 7 4 2" xfId="34619"/>
    <cellStyle name="Note 2 2 7 4 2 2" xfId="34620"/>
    <cellStyle name="Note 2 2 7 4 3" xfId="34621"/>
    <cellStyle name="Note 2 2 7 4 3 2" xfId="34622"/>
    <cellStyle name="Note 2 2 7 4 4" xfId="34623"/>
    <cellStyle name="Note 2 2 7 4 4 2" xfId="34624"/>
    <cellStyle name="Note 2 2 7 4 5" xfId="34625"/>
    <cellStyle name="Note 2 2 7 40" xfId="34626"/>
    <cellStyle name="Note 2 2 7 40 2" xfId="34627"/>
    <cellStyle name="Note 2 2 7 41" xfId="34628"/>
    <cellStyle name="Note 2 2 7 41 2" xfId="34629"/>
    <cellStyle name="Note 2 2 7 42" xfId="34630"/>
    <cellStyle name="Note 2 2 7 42 2" xfId="34631"/>
    <cellStyle name="Note 2 2 7 43" xfId="34632"/>
    <cellStyle name="Note 2 2 7 43 2" xfId="34633"/>
    <cellStyle name="Note 2 2 7 44" xfId="34634"/>
    <cellStyle name="Note 2 2 7 44 2" xfId="34635"/>
    <cellStyle name="Note 2 2 7 45" xfId="34636"/>
    <cellStyle name="Note 2 2 7 45 2" xfId="34637"/>
    <cellStyle name="Note 2 2 7 46" xfId="34638"/>
    <cellStyle name="Note 2 2 7 46 2" xfId="34639"/>
    <cellStyle name="Note 2 2 7 47" xfId="34640"/>
    <cellStyle name="Note 2 2 7 47 2" xfId="34641"/>
    <cellStyle name="Note 2 2 7 48" xfId="34642"/>
    <cellStyle name="Note 2 2 7 48 2" xfId="34643"/>
    <cellStyle name="Note 2 2 7 49" xfId="34644"/>
    <cellStyle name="Note 2 2 7 49 2" xfId="34645"/>
    <cellStyle name="Note 2 2 7 5" xfId="34646"/>
    <cellStyle name="Note 2 2 7 5 2" xfId="34647"/>
    <cellStyle name="Note 2 2 7 5 2 2" xfId="34648"/>
    <cellStyle name="Note 2 2 7 5 3" xfId="34649"/>
    <cellStyle name="Note 2 2 7 5 3 2" xfId="34650"/>
    <cellStyle name="Note 2 2 7 5 4" xfId="34651"/>
    <cellStyle name="Note 2 2 7 5 4 2" xfId="34652"/>
    <cellStyle name="Note 2 2 7 5 5" xfId="34653"/>
    <cellStyle name="Note 2 2 7 50" xfId="34654"/>
    <cellStyle name="Note 2 2 7 50 2" xfId="34655"/>
    <cellStyle name="Note 2 2 7 51" xfId="34656"/>
    <cellStyle name="Note 2 2 7 51 2" xfId="34657"/>
    <cellStyle name="Note 2 2 7 52" xfId="34658"/>
    <cellStyle name="Note 2 2 7 52 2" xfId="34659"/>
    <cellStyle name="Note 2 2 7 53" xfId="34660"/>
    <cellStyle name="Note 2 2 7 53 2" xfId="34661"/>
    <cellStyle name="Note 2 2 7 54" xfId="34662"/>
    <cellStyle name="Note 2 2 7 54 2" xfId="34663"/>
    <cellStyle name="Note 2 2 7 55" xfId="34664"/>
    <cellStyle name="Note 2 2 7 55 2" xfId="34665"/>
    <cellStyle name="Note 2 2 7 56" xfId="34666"/>
    <cellStyle name="Note 2 2 7 56 2" xfId="34667"/>
    <cellStyle name="Note 2 2 7 57" xfId="34668"/>
    <cellStyle name="Note 2 2 7 57 2" xfId="34669"/>
    <cellStyle name="Note 2 2 7 58" xfId="34670"/>
    <cellStyle name="Note 2 2 7 58 2" xfId="34671"/>
    <cellStyle name="Note 2 2 7 59" xfId="34672"/>
    <cellStyle name="Note 2 2 7 59 2" xfId="34673"/>
    <cellStyle name="Note 2 2 7 6" xfId="34674"/>
    <cellStyle name="Note 2 2 7 6 2" xfId="34675"/>
    <cellStyle name="Note 2 2 7 6 2 2" xfId="34676"/>
    <cellStyle name="Note 2 2 7 6 3" xfId="34677"/>
    <cellStyle name="Note 2 2 7 6 3 2" xfId="34678"/>
    <cellStyle name="Note 2 2 7 6 4" xfId="34679"/>
    <cellStyle name="Note 2 2 7 6 4 2" xfId="34680"/>
    <cellStyle name="Note 2 2 7 6 5" xfId="34681"/>
    <cellStyle name="Note 2 2 7 60" xfId="34682"/>
    <cellStyle name="Note 2 2 7 60 2" xfId="34683"/>
    <cellStyle name="Note 2 2 7 61" xfId="34684"/>
    <cellStyle name="Note 2 2 7 61 2" xfId="34685"/>
    <cellStyle name="Note 2 2 7 62" xfId="34686"/>
    <cellStyle name="Note 2 2 7 7" xfId="34687"/>
    <cellStyle name="Note 2 2 7 7 2" xfId="34688"/>
    <cellStyle name="Note 2 2 7 7 2 2" xfId="34689"/>
    <cellStyle name="Note 2 2 7 7 3" xfId="34690"/>
    <cellStyle name="Note 2 2 7 7 3 2" xfId="34691"/>
    <cellStyle name="Note 2 2 7 7 4" xfId="34692"/>
    <cellStyle name="Note 2 2 7 7 4 2" xfId="34693"/>
    <cellStyle name="Note 2 2 7 7 5" xfId="34694"/>
    <cellStyle name="Note 2 2 7 8" xfId="34695"/>
    <cellStyle name="Note 2 2 7 8 2" xfId="34696"/>
    <cellStyle name="Note 2 2 7 8 2 2" xfId="34697"/>
    <cellStyle name="Note 2 2 7 8 3" xfId="34698"/>
    <cellStyle name="Note 2 2 7 8 3 2" xfId="34699"/>
    <cellStyle name="Note 2 2 7 8 4" xfId="34700"/>
    <cellStyle name="Note 2 2 7 8 4 2" xfId="34701"/>
    <cellStyle name="Note 2 2 7 8 5" xfId="34702"/>
    <cellStyle name="Note 2 2 7 9" xfId="34703"/>
    <cellStyle name="Note 2 2 7 9 2" xfId="34704"/>
    <cellStyle name="Note 2 2 7 9 2 2" xfId="34705"/>
    <cellStyle name="Note 2 2 7 9 3" xfId="34706"/>
    <cellStyle name="Note 2 2 7 9 3 2" xfId="34707"/>
    <cellStyle name="Note 2 2 7 9 4" xfId="34708"/>
    <cellStyle name="Note 2 2 7 9 4 2" xfId="34709"/>
    <cellStyle name="Note 2 2 7 9 5" xfId="34710"/>
    <cellStyle name="Note 2 2 70" xfId="34711"/>
    <cellStyle name="Note 2 2 70 2" xfId="34712"/>
    <cellStyle name="Note 2 2 71" xfId="34713"/>
    <cellStyle name="Note 2 2 71 2" xfId="34714"/>
    <cellStyle name="Note 2 2 72" xfId="34715"/>
    <cellStyle name="Note 2 2 72 2" xfId="34716"/>
    <cellStyle name="Note 2 2 73" xfId="34717"/>
    <cellStyle name="Note 2 2 73 2" xfId="34718"/>
    <cellStyle name="Note 2 2 74" xfId="34719"/>
    <cellStyle name="Note 2 2 74 2" xfId="34720"/>
    <cellStyle name="Note 2 2 75" xfId="34721"/>
    <cellStyle name="Note 2 2 75 2" xfId="34722"/>
    <cellStyle name="Note 2 2 76" xfId="34723"/>
    <cellStyle name="Note 2 2 76 2" xfId="34724"/>
    <cellStyle name="Note 2 2 77" xfId="34725"/>
    <cellStyle name="Note 2 2 77 2" xfId="34726"/>
    <cellStyle name="Note 2 2 78" xfId="34727"/>
    <cellStyle name="Note 2 2 78 2" xfId="34728"/>
    <cellStyle name="Note 2 2 79" xfId="34729"/>
    <cellStyle name="Note 2 2 79 2" xfId="34730"/>
    <cellStyle name="Note 2 2 8" xfId="34731"/>
    <cellStyle name="Note 2 2 8 10" xfId="34732"/>
    <cellStyle name="Note 2 2 8 10 2" xfId="34733"/>
    <cellStyle name="Note 2 2 8 10 2 2" xfId="34734"/>
    <cellStyle name="Note 2 2 8 10 3" xfId="34735"/>
    <cellStyle name="Note 2 2 8 10 3 2" xfId="34736"/>
    <cellStyle name="Note 2 2 8 10 4" xfId="34737"/>
    <cellStyle name="Note 2 2 8 10 4 2" xfId="34738"/>
    <cellStyle name="Note 2 2 8 10 5" xfId="34739"/>
    <cellStyle name="Note 2 2 8 11" xfId="34740"/>
    <cellStyle name="Note 2 2 8 11 2" xfId="34741"/>
    <cellStyle name="Note 2 2 8 11 2 2" xfId="34742"/>
    <cellStyle name="Note 2 2 8 11 3" xfId="34743"/>
    <cellStyle name="Note 2 2 8 11 3 2" xfId="34744"/>
    <cellStyle name="Note 2 2 8 11 4" xfId="34745"/>
    <cellStyle name="Note 2 2 8 11 4 2" xfId="34746"/>
    <cellStyle name="Note 2 2 8 11 5" xfId="34747"/>
    <cellStyle name="Note 2 2 8 12" xfId="34748"/>
    <cellStyle name="Note 2 2 8 12 2" xfId="34749"/>
    <cellStyle name="Note 2 2 8 12 2 2" xfId="34750"/>
    <cellStyle name="Note 2 2 8 12 3" xfId="34751"/>
    <cellStyle name="Note 2 2 8 12 3 2" xfId="34752"/>
    <cellStyle name="Note 2 2 8 12 4" xfId="34753"/>
    <cellStyle name="Note 2 2 8 12 4 2" xfId="34754"/>
    <cellStyle name="Note 2 2 8 12 5" xfId="34755"/>
    <cellStyle name="Note 2 2 8 13" xfId="34756"/>
    <cellStyle name="Note 2 2 8 13 2" xfId="34757"/>
    <cellStyle name="Note 2 2 8 13 2 2" xfId="34758"/>
    <cellStyle name="Note 2 2 8 13 3" xfId="34759"/>
    <cellStyle name="Note 2 2 8 13 3 2" xfId="34760"/>
    <cellStyle name="Note 2 2 8 13 4" xfId="34761"/>
    <cellStyle name="Note 2 2 8 13 4 2" xfId="34762"/>
    <cellStyle name="Note 2 2 8 13 5" xfId="34763"/>
    <cellStyle name="Note 2 2 8 14" xfId="34764"/>
    <cellStyle name="Note 2 2 8 14 2" xfId="34765"/>
    <cellStyle name="Note 2 2 8 14 2 2" xfId="34766"/>
    <cellStyle name="Note 2 2 8 14 3" xfId="34767"/>
    <cellStyle name="Note 2 2 8 14 3 2" xfId="34768"/>
    <cellStyle name="Note 2 2 8 14 4" xfId="34769"/>
    <cellStyle name="Note 2 2 8 14 4 2" xfId="34770"/>
    <cellStyle name="Note 2 2 8 14 5" xfId="34771"/>
    <cellStyle name="Note 2 2 8 15" xfId="34772"/>
    <cellStyle name="Note 2 2 8 15 2" xfId="34773"/>
    <cellStyle name="Note 2 2 8 16" xfId="34774"/>
    <cellStyle name="Note 2 2 8 16 2" xfId="34775"/>
    <cellStyle name="Note 2 2 8 17" xfId="34776"/>
    <cellStyle name="Note 2 2 8 17 2" xfId="34777"/>
    <cellStyle name="Note 2 2 8 18" xfId="34778"/>
    <cellStyle name="Note 2 2 8 18 2" xfId="34779"/>
    <cellStyle name="Note 2 2 8 19" xfId="34780"/>
    <cellStyle name="Note 2 2 8 19 2" xfId="34781"/>
    <cellStyle name="Note 2 2 8 2" xfId="34782"/>
    <cellStyle name="Note 2 2 8 2 10" xfId="34783"/>
    <cellStyle name="Note 2 2 8 2 10 2" xfId="34784"/>
    <cellStyle name="Note 2 2 8 2 11" xfId="34785"/>
    <cellStyle name="Note 2 2 8 2 11 2" xfId="34786"/>
    <cellStyle name="Note 2 2 8 2 12" xfId="34787"/>
    <cellStyle name="Note 2 2 8 2 12 2" xfId="34788"/>
    <cellStyle name="Note 2 2 8 2 13" xfId="34789"/>
    <cellStyle name="Note 2 2 8 2 13 2" xfId="34790"/>
    <cellStyle name="Note 2 2 8 2 14" xfId="34791"/>
    <cellStyle name="Note 2 2 8 2 14 2" xfId="34792"/>
    <cellStyle name="Note 2 2 8 2 15" xfId="34793"/>
    <cellStyle name="Note 2 2 8 2 15 2" xfId="34794"/>
    <cellStyle name="Note 2 2 8 2 16" xfId="34795"/>
    <cellStyle name="Note 2 2 8 2 16 2" xfId="34796"/>
    <cellStyle name="Note 2 2 8 2 17" xfId="34797"/>
    <cellStyle name="Note 2 2 8 2 17 2" xfId="34798"/>
    <cellStyle name="Note 2 2 8 2 18" xfId="34799"/>
    <cellStyle name="Note 2 2 8 2 18 2" xfId="34800"/>
    <cellStyle name="Note 2 2 8 2 19" xfId="34801"/>
    <cellStyle name="Note 2 2 8 2 19 2" xfId="34802"/>
    <cellStyle name="Note 2 2 8 2 2" xfId="34803"/>
    <cellStyle name="Note 2 2 8 2 2 2" xfId="34804"/>
    <cellStyle name="Note 2 2 8 2 2 3" xfId="34805"/>
    <cellStyle name="Note 2 2 8 2 20" xfId="34806"/>
    <cellStyle name="Note 2 2 8 2 20 2" xfId="34807"/>
    <cellStyle name="Note 2 2 8 2 21" xfId="34808"/>
    <cellStyle name="Note 2 2 8 2 21 2" xfId="34809"/>
    <cellStyle name="Note 2 2 8 2 22" xfId="34810"/>
    <cellStyle name="Note 2 2 8 2 22 2" xfId="34811"/>
    <cellStyle name="Note 2 2 8 2 23" xfId="34812"/>
    <cellStyle name="Note 2 2 8 2 23 2" xfId="34813"/>
    <cellStyle name="Note 2 2 8 2 24" xfId="34814"/>
    <cellStyle name="Note 2 2 8 2 24 2" xfId="34815"/>
    <cellStyle name="Note 2 2 8 2 25" xfId="34816"/>
    <cellStyle name="Note 2 2 8 2 25 2" xfId="34817"/>
    <cellStyle name="Note 2 2 8 2 26" xfId="34818"/>
    <cellStyle name="Note 2 2 8 2 26 2" xfId="34819"/>
    <cellStyle name="Note 2 2 8 2 27" xfId="34820"/>
    <cellStyle name="Note 2 2 8 2 27 2" xfId="34821"/>
    <cellStyle name="Note 2 2 8 2 28" xfId="34822"/>
    <cellStyle name="Note 2 2 8 2 28 2" xfId="34823"/>
    <cellStyle name="Note 2 2 8 2 29" xfId="34824"/>
    <cellStyle name="Note 2 2 8 2 29 2" xfId="34825"/>
    <cellStyle name="Note 2 2 8 2 3" xfId="34826"/>
    <cellStyle name="Note 2 2 8 2 3 2" xfId="34827"/>
    <cellStyle name="Note 2 2 8 2 3 3" xfId="34828"/>
    <cellStyle name="Note 2 2 8 2 30" xfId="34829"/>
    <cellStyle name="Note 2 2 8 2 30 2" xfId="34830"/>
    <cellStyle name="Note 2 2 8 2 31" xfId="34831"/>
    <cellStyle name="Note 2 2 8 2 4" xfId="34832"/>
    <cellStyle name="Note 2 2 8 2 4 2" xfId="34833"/>
    <cellStyle name="Note 2 2 8 2 5" xfId="34834"/>
    <cellStyle name="Note 2 2 8 2 5 2" xfId="34835"/>
    <cellStyle name="Note 2 2 8 2 6" xfId="34836"/>
    <cellStyle name="Note 2 2 8 2 6 2" xfId="34837"/>
    <cellStyle name="Note 2 2 8 2 7" xfId="34838"/>
    <cellStyle name="Note 2 2 8 2 7 2" xfId="34839"/>
    <cellStyle name="Note 2 2 8 2 8" xfId="34840"/>
    <cellStyle name="Note 2 2 8 2 8 2" xfId="34841"/>
    <cellStyle name="Note 2 2 8 2 9" xfId="34842"/>
    <cellStyle name="Note 2 2 8 2 9 2" xfId="34843"/>
    <cellStyle name="Note 2 2 8 20" xfId="34844"/>
    <cellStyle name="Note 2 2 8 20 2" xfId="34845"/>
    <cellStyle name="Note 2 2 8 21" xfId="34846"/>
    <cellStyle name="Note 2 2 8 21 2" xfId="34847"/>
    <cellStyle name="Note 2 2 8 22" xfId="34848"/>
    <cellStyle name="Note 2 2 8 22 2" xfId="34849"/>
    <cellStyle name="Note 2 2 8 23" xfId="34850"/>
    <cellStyle name="Note 2 2 8 23 2" xfId="34851"/>
    <cellStyle name="Note 2 2 8 24" xfId="34852"/>
    <cellStyle name="Note 2 2 8 24 2" xfId="34853"/>
    <cellStyle name="Note 2 2 8 25" xfId="34854"/>
    <cellStyle name="Note 2 2 8 25 2" xfId="34855"/>
    <cellStyle name="Note 2 2 8 26" xfId="34856"/>
    <cellStyle name="Note 2 2 8 26 2" xfId="34857"/>
    <cellStyle name="Note 2 2 8 27" xfId="34858"/>
    <cellStyle name="Note 2 2 8 27 2" xfId="34859"/>
    <cellStyle name="Note 2 2 8 28" xfId="34860"/>
    <cellStyle name="Note 2 2 8 28 2" xfId="34861"/>
    <cellStyle name="Note 2 2 8 29" xfId="34862"/>
    <cellStyle name="Note 2 2 8 29 2" xfId="34863"/>
    <cellStyle name="Note 2 2 8 3" xfId="34864"/>
    <cellStyle name="Note 2 2 8 3 2" xfId="34865"/>
    <cellStyle name="Note 2 2 8 3 2 2" xfId="34866"/>
    <cellStyle name="Note 2 2 8 3 3" xfId="34867"/>
    <cellStyle name="Note 2 2 8 3 3 2" xfId="34868"/>
    <cellStyle name="Note 2 2 8 3 4" xfId="34869"/>
    <cellStyle name="Note 2 2 8 3 4 2" xfId="34870"/>
    <cellStyle name="Note 2 2 8 3 5" xfId="34871"/>
    <cellStyle name="Note 2 2 8 30" xfId="34872"/>
    <cellStyle name="Note 2 2 8 30 2" xfId="34873"/>
    <cellStyle name="Note 2 2 8 31" xfId="34874"/>
    <cellStyle name="Note 2 2 8 31 2" xfId="34875"/>
    <cellStyle name="Note 2 2 8 32" xfId="34876"/>
    <cellStyle name="Note 2 2 8 32 2" xfId="34877"/>
    <cellStyle name="Note 2 2 8 33" xfId="34878"/>
    <cellStyle name="Note 2 2 8 33 2" xfId="34879"/>
    <cellStyle name="Note 2 2 8 34" xfId="34880"/>
    <cellStyle name="Note 2 2 8 34 2" xfId="34881"/>
    <cellStyle name="Note 2 2 8 35" xfId="34882"/>
    <cellStyle name="Note 2 2 8 35 2" xfId="34883"/>
    <cellStyle name="Note 2 2 8 36" xfId="34884"/>
    <cellStyle name="Note 2 2 8 36 2" xfId="34885"/>
    <cellStyle name="Note 2 2 8 37" xfId="34886"/>
    <cellStyle name="Note 2 2 8 37 2" xfId="34887"/>
    <cellStyle name="Note 2 2 8 38" xfId="34888"/>
    <cellStyle name="Note 2 2 8 38 2" xfId="34889"/>
    <cellStyle name="Note 2 2 8 39" xfId="34890"/>
    <cellStyle name="Note 2 2 8 39 2" xfId="34891"/>
    <cellStyle name="Note 2 2 8 4" xfId="34892"/>
    <cellStyle name="Note 2 2 8 4 2" xfId="34893"/>
    <cellStyle name="Note 2 2 8 4 2 2" xfId="34894"/>
    <cellStyle name="Note 2 2 8 4 3" xfId="34895"/>
    <cellStyle name="Note 2 2 8 4 3 2" xfId="34896"/>
    <cellStyle name="Note 2 2 8 4 4" xfId="34897"/>
    <cellStyle name="Note 2 2 8 4 4 2" xfId="34898"/>
    <cellStyle name="Note 2 2 8 4 5" xfId="34899"/>
    <cellStyle name="Note 2 2 8 40" xfId="34900"/>
    <cellStyle name="Note 2 2 8 40 2" xfId="34901"/>
    <cellStyle name="Note 2 2 8 41" xfId="34902"/>
    <cellStyle name="Note 2 2 8 41 2" xfId="34903"/>
    <cellStyle name="Note 2 2 8 42" xfId="34904"/>
    <cellStyle name="Note 2 2 8 42 2" xfId="34905"/>
    <cellStyle name="Note 2 2 8 43" xfId="34906"/>
    <cellStyle name="Note 2 2 8 43 2" xfId="34907"/>
    <cellStyle name="Note 2 2 8 44" xfId="34908"/>
    <cellStyle name="Note 2 2 8 44 2" xfId="34909"/>
    <cellStyle name="Note 2 2 8 45" xfId="34910"/>
    <cellStyle name="Note 2 2 8 45 2" xfId="34911"/>
    <cellStyle name="Note 2 2 8 46" xfId="34912"/>
    <cellStyle name="Note 2 2 8 46 2" xfId="34913"/>
    <cellStyle name="Note 2 2 8 47" xfId="34914"/>
    <cellStyle name="Note 2 2 8 47 2" xfId="34915"/>
    <cellStyle name="Note 2 2 8 48" xfId="34916"/>
    <cellStyle name="Note 2 2 8 48 2" xfId="34917"/>
    <cellStyle name="Note 2 2 8 49" xfId="34918"/>
    <cellStyle name="Note 2 2 8 49 2" xfId="34919"/>
    <cellStyle name="Note 2 2 8 5" xfId="34920"/>
    <cellStyle name="Note 2 2 8 5 2" xfId="34921"/>
    <cellStyle name="Note 2 2 8 5 2 2" xfId="34922"/>
    <cellStyle name="Note 2 2 8 5 3" xfId="34923"/>
    <cellStyle name="Note 2 2 8 5 3 2" xfId="34924"/>
    <cellStyle name="Note 2 2 8 5 4" xfId="34925"/>
    <cellStyle name="Note 2 2 8 5 4 2" xfId="34926"/>
    <cellStyle name="Note 2 2 8 5 5" xfId="34927"/>
    <cellStyle name="Note 2 2 8 50" xfId="34928"/>
    <cellStyle name="Note 2 2 8 50 2" xfId="34929"/>
    <cellStyle name="Note 2 2 8 51" xfId="34930"/>
    <cellStyle name="Note 2 2 8 51 2" xfId="34931"/>
    <cellStyle name="Note 2 2 8 52" xfId="34932"/>
    <cellStyle name="Note 2 2 8 52 2" xfId="34933"/>
    <cellStyle name="Note 2 2 8 53" xfId="34934"/>
    <cellStyle name="Note 2 2 8 53 2" xfId="34935"/>
    <cellStyle name="Note 2 2 8 54" xfId="34936"/>
    <cellStyle name="Note 2 2 8 54 2" xfId="34937"/>
    <cellStyle name="Note 2 2 8 55" xfId="34938"/>
    <cellStyle name="Note 2 2 8 55 2" xfId="34939"/>
    <cellStyle name="Note 2 2 8 56" xfId="34940"/>
    <cellStyle name="Note 2 2 8 56 2" xfId="34941"/>
    <cellStyle name="Note 2 2 8 57" xfId="34942"/>
    <cellStyle name="Note 2 2 8 57 2" xfId="34943"/>
    <cellStyle name="Note 2 2 8 58" xfId="34944"/>
    <cellStyle name="Note 2 2 8 58 2" xfId="34945"/>
    <cellStyle name="Note 2 2 8 59" xfId="34946"/>
    <cellStyle name="Note 2 2 8 59 2" xfId="34947"/>
    <cellStyle name="Note 2 2 8 6" xfId="34948"/>
    <cellStyle name="Note 2 2 8 6 2" xfId="34949"/>
    <cellStyle name="Note 2 2 8 6 2 2" xfId="34950"/>
    <cellStyle name="Note 2 2 8 6 3" xfId="34951"/>
    <cellStyle name="Note 2 2 8 6 3 2" xfId="34952"/>
    <cellStyle name="Note 2 2 8 6 4" xfId="34953"/>
    <cellStyle name="Note 2 2 8 6 4 2" xfId="34954"/>
    <cellStyle name="Note 2 2 8 6 5" xfId="34955"/>
    <cellStyle name="Note 2 2 8 60" xfId="34956"/>
    <cellStyle name="Note 2 2 8 60 2" xfId="34957"/>
    <cellStyle name="Note 2 2 8 61" xfId="34958"/>
    <cellStyle name="Note 2 2 8 61 2" xfId="34959"/>
    <cellStyle name="Note 2 2 8 62" xfId="34960"/>
    <cellStyle name="Note 2 2 8 7" xfId="34961"/>
    <cellStyle name="Note 2 2 8 7 2" xfId="34962"/>
    <cellStyle name="Note 2 2 8 7 2 2" xfId="34963"/>
    <cellStyle name="Note 2 2 8 7 3" xfId="34964"/>
    <cellStyle name="Note 2 2 8 7 3 2" xfId="34965"/>
    <cellStyle name="Note 2 2 8 7 4" xfId="34966"/>
    <cellStyle name="Note 2 2 8 7 4 2" xfId="34967"/>
    <cellStyle name="Note 2 2 8 7 5" xfId="34968"/>
    <cellStyle name="Note 2 2 8 8" xfId="34969"/>
    <cellStyle name="Note 2 2 8 8 2" xfId="34970"/>
    <cellStyle name="Note 2 2 8 8 2 2" xfId="34971"/>
    <cellStyle name="Note 2 2 8 8 3" xfId="34972"/>
    <cellStyle name="Note 2 2 8 8 3 2" xfId="34973"/>
    <cellStyle name="Note 2 2 8 8 4" xfId="34974"/>
    <cellStyle name="Note 2 2 8 8 4 2" xfId="34975"/>
    <cellStyle name="Note 2 2 8 8 5" xfId="34976"/>
    <cellStyle name="Note 2 2 8 9" xfId="34977"/>
    <cellStyle name="Note 2 2 8 9 2" xfId="34978"/>
    <cellStyle name="Note 2 2 8 9 2 2" xfId="34979"/>
    <cellStyle name="Note 2 2 8 9 3" xfId="34980"/>
    <cellStyle name="Note 2 2 8 9 3 2" xfId="34981"/>
    <cellStyle name="Note 2 2 8 9 4" xfId="34982"/>
    <cellStyle name="Note 2 2 8 9 4 2" xfId="34983"/>
    <cellStyle name="Note 2 2 8 9 5" xfId="34984"/>
    <cellStyle name="Note 2 2 80" xfId="34985"/>
    <cellStyle name="Note 2 2 80 2" xfId="34986"/>
    <cellStyle name="Note 2 2 81" xfId="34987"/>
    <cellStyle name="Note 2 2 81 2" xfId="34988"/>
    <cellStyle name="Note 2 2 82" xfId="34989"/>
    <cellStyle name="Note 2 2 82 2" xfId="34990"/>
    <cellStyle name="Note 2 2 83" xfId="34991"/>
    <cellStyle name="Note 2 2 83 2" xfId="34992"/>
    <cellStyle name="Note 2 2 84" xfId="34993"/>
    <cellStyle name="Note 2 2 84 2" xfId="34994"/>
    <cellStyle name="Note 2 2 85" xfId="34995"/>
    <cellStyle name="Note 2 2 85 2" xfId="34996"/>
    <cellStyle name="Note 2 2 86" xfId="34997"/>
    <cellStyle name="Note 2 2 86 2" xfId="34998"/>
    <cellStyle name="Note 2 2 87" xfId="34999"/>
    <cellStyle name="Note 2 2 87 2" xfId="35000"/>
    <cellStyle name="Note 2 2 88" xfId="35001"/>
    <cellStyle name="Note 2 2 88 2" xfId="35002"/>
    <cellStyle name="Note 2 2 89" xfId="35003"/>
    <cellStyle name="Note 2 2 89 2" xfId="35004"/>
    <cellStyle name="Note 2 2 9" xfId="35005"/>
    <cellStyle name="Note 2 2 9 10" xfId="35006"/>
    <cellStyle name="Note 2 2 9 10 2" xfId="35007"/>
    <cellStyle name="Note 2 2 9 10 2 2" xfId="35008"/>
    <cellStyle name="Note 2 2 9 10 3" xfId="35009"/>
    <cellStyle name="Note 2 2 9 10 3 2" xfId="35010"/>
    <cellStyle name="Note 2 2 9 10 4" xfId="35011"/>
    <cellStyle name="Note 2 2 9 10 4 2" xfId="35012"/>
    <cellStyle name="Note 2 2 9 10 5" xfId="35013"/>
    <cellStyle name="Note 2 2 9 11" xfId="35014"/>
    <cellStyle name="Note 2 2 9 11 2" xfId="35015"/>
    <cellStyle name="Note 2 2 9 11 2 2" xfId="35016"/>
    <cellStyle name="Note 2 2 9 11 3" xfId="35017"/>
    <cellStyle name="Note 2 2 9 11 3 2" xfId="35018"/>
    <cellStyle name="Note 2 2 9 11 4" xfId="35019"/>
    <cellStyle name="Note 2 2 9 11 4 2" xfId="35020"/>
    <cellStyle name="Note 2 2 9 11 5" xfId="35021"/>
    <cellStyle name="Note 2 2 9 12" xfId="35022"/>
    <cellStyle name="Note 2 2 9 12 2" xfId="35023"/>
    <cellStyle name="Note 2 2 9 12 2 2" xfId="35024"/>
    <cellStyle name="Note 2 2 9 12 3" xfId="35025"/>
    <cellStyle name="Note 2 2 9 12 3 2" xfId="35026"/>
    <cellStyle name="Note 2 2 9 12 4" xfId="35027"/>
    <cellStyle name="Note 2 2 9 12 4 2" xfId="35028"/>
    <cellStyle name="Note 2 2 9 12 5" xfId="35029"/>
    <cellStyle name="Note 2 2 9 13" xfId="35030"/>
    <cellStyle name="Note 2 2 9 13 2" xfId="35031"/>
    <cellStyle name="Note 2 2 9 13 2 2" xfId="35032"/>
    <cellStyle name="Note 2 2 9 13 3" xfId="35033"/>
    <cellStyle name="Note 2 2 9 13 3 2" xfId="35034"/>
    <cellStyle name="Note 2 2 9 13 4" xfId="35035"/>
    <cellStyle name="Note 2 2 9 13 4 2" xfId="35036"/>
    <cellStyle name="Note 2 2 9 13 5" xfId="35037"/>
    <cellStyle name="Note 2 2 9 14" xfId="35038"/>
    <cellStyle name="Note 2 2 9 14 2" xfId="35039"/>
    <cellStyle name="Note 2 2 9 14 2 2" xfId="35040"/>
    <cellStyle name="Note 2 2 9 14 3" xfId="35041"/>
    <cellStyle name="Note 2 2 9 14 3 2" xfId="35042"/>
    <cellStyle name="Note 2 2 9 14 4" xfId="35043"/>
    <cellStyle name="Note 2 2 9 14 4 2" xfId="35044"/>
    <cellStyle name="Note 2 2 9 14 5" xfId="35045"/>
    <cellStyle name="Note 2 2 9 15" xfId="35046"/>
    <cellStyle name="Note 2 2 9 15 2" xfId="35047"/>
    <cellStyle name="Note 2 2 9 16" xfId="35048"/>
    <cellStyle name="Note 2 2 9 16 2" xfId="35049"/>
    <cellStyle name="Note 2 2 9 17" xfId="35050"/>
    <cellStyle name="Note 2 2 9 17 2" xfId="35051"/>
    <cellStyle name="Note 2 2 9 18" xfId="35052"/>
    <cellStyle name="Note 2 2 9 18 2" xfId="35053"/>
    <cellStyle name="Note 2 2 9 19" xfId="35054"/>
    <cellStyle name="Note 2 2 9 19 2" xfId="35055"/>
    <cellStyle name="Note 2 2 9 2" xfId="35056"/>
    <cellStyle name="Note 2 2 9 2 10" xfId="35057"/>
    <cellStyle name="Note 2 2 9 2 10 2" xfId="35058"/>
    <cellStyle name="Note 2 2 9 2 11" xfId="35059"/>
    <cellStyle name="Note 2 2 9 2 11 2" xfId="35060"/>
    <cellStyle name="Note 2 2 9 2 12" xfId="35061"/>
    <cellStyle name="Note 2 2 9 2 12 2" xfId="35062"/>
    <cellStyle name="Note 2 2 9 2 13" xfId="35063"/>
    <cellStyle name="Note 2 2 9 2 13 2" xfId="35064"/>
    <cellStyle name="Note 2 2 9 2 14" xfId="35065"/>
    <cellStyle name="Note 2 2 9 2 14 2" xfId="35066"/>
    <cellStyle name="Note 2 2 9 2 15" xfId="35067"/>
    <cellStyle name="Note 2 2 9 2 15 2" xfId="35068"/>
    <cellStyle name="Note 2 2 9 2 16" xfId="35069"/>
    <cellStyle name="Note 2 2 9 2 16 2" xfId="35070"/>
    <cellStyle name="Note 2 2 9 2 17" xfId="35071"/>
    <cellStyle name="Note 2 2 9 2 17 2" xfId="35072"/>
    <cellStyle name="Note 2 2 9 2 18" xfId="35073"/>
    <cellStyle name="Note 2 2 9 2 18 2" xfId="35074"/>
    <cellStyle name="Note 2 2 9 2 19" xfId="35075"/>
    <cellStyle name="Note 2 2 9 2 19 2" xfId="35076"/>
    <cellStyle name="Note 2 2 9 2 2" xfId="35077"/>
    <cellStyle name="Note 2 2 9 2 2 2" xfId="35078"/>
    <cellStyle name="Note 2 2 9 2 2 3" xfId="35079"/>
    <cellStyle name="Note 2 2 9 2 20" xfId="35080"/>
    <cellStyle name="Note 2 2 9 2 20 2" xfId="35081"/>
    <cellStyle name="Note 2 2 9 2 21" xfId="35082"/>
    <cellStyle name="Note 2 2 9 2 21 2" xfId="35083"/>
    <cellStyle name="Note 2 2 9 2 22" xfId="35084"/>
    <cellStyle name="Note 2 2 9 2 22 2" xfId="35085"/>
    <cellStyle name="Note 2 2 9 2 23" xfId="35086"/>
    <cellStyle name="Note 2 2 9 2 23 2" xfId="35087"/>
    <cellStyle name="Note 2 2 9 2 24" xfId="35088"/>
    <cellStyle name="Note 2 2 9 2 24 2" xfId="35089"/>
    <cellStyle name="Note 2 2 9 2 25" xfId="35090"/>
    <cellStyle name="Note 2 2 9 2 25 2" xfId="35091"/>
    <cellStyle name="Note 2 2 9 2 26" xfId="35092"/>
    <cellStyle name="Note 2 2 9 2 26 2" xfId="35093"/>
    <cellStyle name="Note 2 2 9 2 27" xfId="35094"/>
    <cellStyle name="Note 2 2 9 2 27 2" xfId="35095"/>
    <cellStyle name="Note 2 2 9 2 28" xfId="35096"/>
    <cellStyle name="Note 2 2 9 2 28 2" xfId="35097"/>
    <cellStyle name="Note 2 2 9 2 29" xfId="35098"/>
    <cellStyle name="Note 2 2 9 2 29 2" xfId="35099"/>
    <cellStyle name="Note 2 2 9 2 3" xfId="35100"/>
    <cellStyle name="Note 2 2 9 2 3 2" xfId="35101"/>
    <cellStyle name="Note 2 2 9 2 3 3" xfId="35102"/>
    <cellStyle name="Note 2 2 9 2 30" xfId="35103"/>
    <cellStyle name="Note 2 2 9 2 30 2" xfId="35104"/>
    <cellStyle name="Note 2 2 9 2 31" xfId="35105"/>
    <cellStyle name="Note 2 2 9 2 4" xfId="35106"/>
    <cellStyle name="Note 2 2 9 2 4 2" xfId="35107"/>
    <cellStyle name="Note 2 2 9 2 5" xfId="35108"/>
    <cellStyle name="Note 2 2 9 2 5 2" xfId="35109"/>
    <cellStyle name="Note 2 2 9 2 6" xfId="35110"/>
    <cellStyle name="Note 2 2 9 2 6 2" xfId="35111"/>
    <cellStyle name="Note 2 2 9 2 7" xfId="35112"/>
    <cellStyle name="Note 2 2 9 2 7 2" xfId="35113"/>
    <cellStyle name="Note 2 2 9 2 8" xfId="35114"/>
    <cellStyle name="Note 2 2 9 2 8 2" xfId="35115"/>
    <cellStyle name="Note 2 2 9 2 9" xfId="35116"/>
    <cellStyle name="Note 2 2 9 2 9 2" xfId="35117"/>
    <cellStyle name="Note 2 2 9 20" xfId="35118"/>
    <cellStyle name="Note 2 2 9 20 2" xfId="35119"/>
    <cellStyle name="Note 2 2 9 21" xfId="35120"/>
    <cellStyle name="Note 2 2 9 21 2" xfId="35121"/>
    <cellStyle name="Note 2 2 9 22" xfId="35122"/>
    <cellStyle name="Note 2 2 9 22 2" xfId="35123"/>
    <cellStyle name="Note 2 2 9 23" xfId="35124"/>
    <cellStyle name="Note 2 2 9 23 2" xfId="35125"/>
    <cellStyle name="Note 2 2 9 24" xfId="35126"/>
    <cellStyle name="Note 2 2 9 24 2" xfId="35127"/>
    <cellStyle name="Note 2 2 9 25" xfId="35128"/>
    <cellStyle name="Note 2 2 9 25 2" xfId="35129"/>
    <cellStyle name="Note 2 2 9 26" xfId="35130"/>
    <cellStyle name="Note 2 2 9 26 2" xfId="35131"/>
    <cellStyle name="Note 2 2 9 27" xfId="35132"/>
    <cellStyle name="Note 2 2 9 27 2" xfId="35133"/>
    <cellStyle name="Note 2 2 9 28" xfId="35134"/>
    <cellStyle name="Note 2 2 9 28 2" xfId="35135"/>
    <cellStyle name="Note 2 2 9 29" xfId="35136"/>
    <cellStyle name="Note 2 2 9 29 2" xfId="35137"/>
    <cellStyle name="Note 2 2 9 3" xfId="35138"/>
    <cellStyle name="Note 2 2 9 3 2" xfId="35139"/>
    <cellStyle name="Note 2 2 9 3 2 2" xfId="35140"/>
    <cellStyle name="Note 2 2 9 3 3" xfId="35141"/>
    <cellStyle name="Note 2 2 9 3 3 2" xfId="35142"/>
    <cellStyle name="Note 2 2 9 3 4" xfId="35143"/>
    <cellStyle name="Note 2 2 9 3 4 2" xfId="35144"/>
    <cellStyle name="Note 2 2 9 3 5" xfId="35145"/>
    <cellStyle name="Note 2 2 9 30" xfId="35146"/>
    <cellStyle name="Note 2 2 9 30 2" xfId="35147"/>
    <cellStyle name="Note 2 2 9 31" xfId="35148"/>
    <cellStyle name="Note 2 2 9 31 2" xfId="35149"/>
    <cellStyle name="Note 2 2 9 32" xfId="35150"/>
    <cellStyle name="Note 2 2 9 32 2" xfId="35151"/>
    <cellStyle name="Note 2 2 9 33" xfId="35152"/>
    <cellStyle name="Note 2 2 9 33 2" xfId="35153"/>
    <cellStyle name="Note 2 2 9 34" xfId="35154"/>
    <cellStyle name="Note 2 2 9 34 2" xfId="35155"/>
    <cellStyle name="Note 2 2 9 35" xfId="35156"/>
    <cellStyle name="Note 2 2 9 35 2" xfId="35157"/>
    <cellStyle name="Note 2 2 9 36" xfId="35158"/>
    <cellStyle name="Note 2 2 9 36 2" xfId="35159"/>
    <cellStyle name="Note 2 2 9 37" xfId="35160"/>
    <cellStyle name="Note 2 2 9 37 2" xfId="35161"/>
    <cellStyle name="Note 2 2 9 38" xfId="35162"/>
    <cellStyle name="Note 2 2 9 38 2" xfId="35163"/>
    <cellStyle name="Note 2 2 9 39" xfId="35164"/>
    <cellStyle name="Note 2 2 9 39 2" xfId="35165"/>
    <cellStyle name="Note 2 2 9 4" xfId="35166"/>
    <cellStyle name="Note 2 2 9 4 2" xfId="35167"/>
    <cellStyle name="Note 2 2 9 4 2 2" xfId="35168"/>
    <cellStyle name="Note 2 2 9 4 3" xfId="35169"/>
    <cellStyle name="Note 2 2 9 4 3 2" xfId="35170"/>
    <cellStyle name="Note 2 2 9 4 4" xfId="35171"/>
    <cellStyle name="Note 2 2 9 4 4 2" xfId="35172"/>
    <cellStyle name="Note 2 2 9 4 5" xfId="35173"/>
    <cellStyle name="Note 2 2 9 40" xfId="35174"/>
    <cellStyle name="Note 2 2 9 40 2" xfId="35175"/>
    <cellStyle name="Note 2 2 9 41" xfId="35176"/>
    <cellStyle name="Note 2 2 9 41 2" xfId="35177"/>
    <cellStyle name="Note 2 2 9 42" xfId="35178"/>
    <cellStyle name="Note 2 2 9 42 2" xfId="35179"/>
    <cellStyle name="Note 2 2 9 43" xfId="35180"/>
    <cellStyle name="Note 2 2 9 43 2" xfId="35181"/>
    <cellStyle name="Note 2 2 9 44" xfId="35182"/>
    <cellStyle name="Note 2 2 9 44 2" xfId="35183"/>
    <cellStyle name="Note 2 2 9 45" xfId="35184"/>
    <cellStyle name="Note 2 2 9 45 2" xfId="35185"/>
    <cellStyle name="Note 2 2 9 46" xfId="35186"/>
    <cellStyle name="Note 2 2 9 46 2" xfId="35187"/>
    <cellStyle name="Note 2 2 9 47" xfId="35188"/>
    <cellStyle name="Note 2 2 9 47 2" xfId="35189"/>
    <cellStyle name="Note 2 2 9 48" xfId="35190"/>
    <cellStyle name="Note 2 2 9 48 2" xfId="35191"/>
    <cellStyle name="Note 2 2 9 49" xfId="35192"/>
    <cellStyle name="Note 2 2 9 49 2" xfId="35193"/>
    <cellStyle name="Note 2 2 9 5" xfId="35194"/>
    <cellStyle name="Note 2 2 9 5 2" xfId="35195"/>
    <cellStyle name="Note 2 2 9 5 2 2" xfId="35196"/>
    <cellStyle name="Note 2 2 9 5 3" xfId="35197"/>
    <cellStyle name="Note 2 2 9 5 3 2" xfId="35198"/>
    <cellStyle name="Note 2 2 9 5 4" xfId="35199"/>
    <cellStyle name="Note 2 2 9 5 4 2" xfId="35200"/>
    <cellStyle name="Note 2 2 9 5 5" xfId="35201"/>
    <cellStyle name="Note 2 2 9 50" xfId="35202"/>
    <cellStyle name="Note 2 2 9 50 2" xfId="35203"/>
    <cellStyle name="Note 2 2 9 51" xfId="35204"/>
    <cellStyle name="Note 2 2 9 51 2" xfId="35205"/>
    <cellStyle name="Note 2 2 9 52" xfId="35206"/>
    <cellStyle name="Note 2 2 9 52 2" xfId="35207"/>
    <cellStyle name="Note 2 2 9 53" xfId="35208"/>
    <cellStyle name="Note 2 2 9 53 2" xfId="35209"/>
    <cellStyle name="Note 2 2 9 54" xfId="35210"/>
    <cellStyle name="Note 2 2 9 54 2" xfId="35211"/>
    <cellStyle name="Note 2 2 9 55" xfId="35212"/>
    <cellStyle name="Note 2 2 9 55 2" xfId="35213"/>
    <cellStyle name="Note 2 2 9 56" xfId="35214"/>
    <cellStyle name="Note 2 2 9 56 2" xfId="35215"/>
    <cellStyle name="Note 2 2 9 57" xfId="35216"/>
    <cellStyle name="Note 2 2 9 57 2" xfId="35217"/>
    <cellStyle name="Note 2 2 9 58" xfId="35218"/>
    <cellStyle name="Note 2 2 9 58 2" xfId="35219"/>
    <cellStyle name="Note 2 2 9 59" xfId="35220"/>
    <cellStyle name="Note 2 2 9 59 2" xfId="35221"/>
    <cellStyle name="Note 2 2 9 6" xfId="35222"/>
    <cellStyle name="Note 2 2 9 6 2" xfId="35223"/>
    <cellStyle name="Note 2 2 9 6 2 2" xfId="35224"/>
    <cellStyle name="Note 2 2 9 6 3" xfId="35225"/>
    <cellStyle name="Note 2 2 9 6 3 2" xfId="35226"/>
    <cellStyle name="Note 2 2 9 6 4" xfId="35227"/>
    <cellStyle name="Note 2 2 9 6 4 2" xfId="35228"/>
    <cellStyle name="Note 2 2 9 6 5" xfId="35229"/>
    <cellStyle name="Note 2 2 9 60" xfId="35230"/>
    <cellStyle name="Note 2 2 9 60 2" xfId="35231"/>
    <cellStyle name="Note 2 2 9 61" xfId="35232"/>
    <cellStyle name="Note 2 2 9 61 2" xfId="35233"/>
    <cellStyle name="Note 2 2 9 62" xfId="35234"/>
    <cellStyle name="Note 2 2 9 7" xfId="35235"/>
    <cellStyle name="Note 2 2 9 7 2" xfId="35236"/>
    <cellStyle name="Note 2 2 9 7 2 2" xfId="35237"/>
    <cellStyle name="Note 2 2 9 7 3" xfId="35238"/>
    <cellStyle name="Note 2 2 9 7 3 2" xfId="35239"/>
    <cellStyle name="Note 2 2 9 7 4" xfId="35240"/>
    <cellStyle name="Note 2 2 9 7 4 2" xfId="35241"/>
    <cellStyle name="Note 2 2 9 7 5" xfId="35242"/>
    <cellStyle name="Note 2 2 9 8" xfId="35243"/>
    <cellStyle name="Note 2 2 9 8 2" xfId="35244"/>
    <cellStyle name="Note 2 2 9 8 2 2" xfId="35245"/>
    <cellStyle name="Note 2 2 9 8 3" xfId="35246"/>
    <cellStyle name="Note 2 2 9 8 3 2" xfId="35247"/>
    <cellStyle name="Note 2 2 9 8 4" xfId="35248"/>
    <cellStyle name="Note 2 2 9 8 4 2" xfId="35249"/>
    <cellStyle name="Note 2 2 9 8 5" xfId="35250"/>
    <cellStyle name="Note 2 2 9 9" xfId="35251"/>
    <cellStyle name="Note 2 2 9 9 2" xfId="35252"/>
    <cellStyle name="Note 2 2 9 9 2 2" xfId="35253"/>
    <cellStyle name="Note 2 2 9 9 3" xfId="35254"/>
    <cellStyle name="Note 2 2 9 9 3 2" xfId="35255"/>
    <cellStyle name="Note 2 2 9 9 4" xfId="35256"/>
    <cellStyle name="Note 2 2 9 9 4 2" xfId="35257"/>
    <cellStyle name="Note 2 2 9 9 5" xfId="35258"/>
    <cellStyle name="Note 2 2 90" xfId="35259"/>
    <cellStyle name="Note 2 2 90 2" xfId="35260"/>
    <cellStyle name="Note 2 2 91" xfId="35261"/>
    <cellStyle name="Note 2 2 91 2" xfId="35262"/>
    <cellStyle name="Note 2 2 92" xfId="35263"/>
    <cellStyle name="Note 2 2 92 2" xfId="35264"/>
    <cellStyle name="Note 2 2 93" xfId="35265"/>
    <cellStyle name="Note 2 2 93 2" xfId="35266"/>
    <cellStyle name="Note 2 2 94" xfId="35267"/>
    <cellStyle name="Note 2 2 94 2" xfId="35268"/>
    <cellStyle name="Note 2 2 95" xfId="35269"/>
    <cellStyle name="Note 2 2 95 2" xfId="35270"/>
    <cellStyle name="Note 2 2 96" xfId="35271"/>
    <cellStyle name="Note 2 2 96 2" xfId="35272"/>
    <cellStyle name="Note 2 2 97" xfId="35273"/>
    <cellStyle name="Note 2 2 97 2" xfId="35274"/>
    <cellStyle name="Note 2 2 98" xfId="35275"/>
    <cellStyle name="Note 2 2 98 2" xfId="35276"/>
    <cellStyle name="Note 2 2 99" xfId="35277"/>
    <cellStyle name="Note 2 2 99 2" xfId="35278"/>
    <cellStyle name="Note 2 20" xfId="35279"/>
    <cellStyle name="Note 2 20 10" xfId="35280"/>
    <cellStyle name="Note 2 20 10 2" xfId="35281"/>
    <cellStyle name="Note 2 20 10 2 2" xfId="35282"/>
    <cellStyle name="Note 2 20 10 3" xfId="35283"/>
    <cellStyle name="Note 2 20 10 3 2" xfId="35284"/>
    <cellStyle name="Note 2 20 10 4" xfId="35285"/>
    <cellStyle name="Note 2 20 10 4 2" xfId="35286"/>
    <cellStyle name="Note 2 20 10 5" xfId="35287"/>
    <cellStyle name="Note 2 20 11" xfId="35288"/>
    <cellStyle name="Note 2 20 11 2" xfId="35289"/>
    <cellStyle name="Note 2 20 11 2 2" xfId="35290"/>
    <cellStyle name="Note 2 20 11 3" xfId="35291"/>
    <cellStyle name="Note 2 20 11 3 2" xfId="35292"/>
    <cellStyle name="Note 2 20 11 4" xfId="35293"/>
    <cellStyle name="Note 2 20 11 4 2" xfId="35294"/>
    <cellStyle name="Note 2 20 11 5" xfId="35295"/>
    <cellStyle name="Note 2 20 12" xfId="35296"/>
    <cellStyle name="Note 2 20 12 2" xfId="35297"/>
    <cellStyle name="Note 2 20 12 2 2" xfId="35298"/>
    <cellStyle name="Note 2 20 12 3" xfId="35299"/>
    <cellStyle name="Note 2 20 12 3 2" xfId="35300"/>
    <cellStyle name="Note 2 20 12 4" xfId="35301"/>
    <cellStyle name="Note 2 20 12 4 2" xfId="35302"/>
    <cellStyle name="Note 2 20 12 5" xfId="35303"/>
    <cellStyle name="Note 2 20 13" xfId="35304"/>
    <cellStyle name="Note 2 20 13 2" xfId="35305"/>
    <cellStyle name="Note 2 20 13 2 2" xfId="35306"/>
    <cellStyle name="Note 2 20 13 3" xfId="35307"/>
    <cellStyle name="Note 2 20 13 3 2" xfId="35308"/>
    <cellStyle name="Note 2 20 13 4" xfId="35309"/>
    <cellStyle name="Note 2 20 13 4 2" xfId="35310"/>
    <cellStyle name="Note 2 20 13 5" xfId="35311"/>
    <cellStyle name="Note 2 20 14" xfId="35312"/>
    <cellStyle name="Note 2 20 14 2" xfId="35313"/>
    <cellStyle name="Note 2 20 14 2 2" xfId="35314"/>
    <cellStyle name="Note 2 20 14 3" xfId="35315"/>
    <cellStyle name="Note 2 20 14 3 2" xfId="35316"/>
    <cellStyle name="Note 2 20 14 4" xfId="35317"/>
    <cellStyle name="Note 2 20 14 4 2" xfId="35318"/>
    <cellStyle name="Note 2 20 14 5" xfId="35319"/>
    <cellStyle name="Note 2 20 15" xfId="35320"/>
    <cellStyle name="Note 2 20 15 2" xfId="35321"/>
    <cellStyle name="Note 2 20 15 2 2" xfId="35322"/>
    <cellStyle name="Note 2 20 15 3" xfId="35323"/>
    <cellStyle name="Note 2 20 15 3 2" xfId="35324"/>
    <cellStyle name="Note 2 20 15 4" xfId="35325"/>
    <cellStyle name="Note 2 20 15 4 2" xfId="35326"/>
    <cellStyle name="Note 2 20 15 5" xfId="35327"/>
    <cellStyle name="Note 2 20 16" xfId="35328"/>
    <cellStyle name="Note 2 20 16 2" xfId="35329"/>
    <cellStyle name="Note 2 20 16 2 2" xfId="35330"/>
    <cellStyle name="Note 2 20 16 3" xfId="35331"/>
    <cellStyle name="Note 2 20 16 3 2" xfId="35332"/>
    <cellStyle name="Note 2 20 16 4" xfId="35333"/>
    <cellStyle name="Note 2 20 16 4 2" xfId="35334"/>
    <cellStyle name="Note 2 20 16 5" xfId="35335"/>
    <cellStyle name="Note 2 20 17" xfId="35336"/>
    <cellStyle name="Note 2 20 17 2" xfId="35337"/>
    <cellStyle name="Note 2 20 17 2 2" xfId="35338"/>
    <cellStyle name="Note 2 20 17 3" xfId="35339"/>
    <cellStyle name="Note 2 20 17 3 2" xfId="35340"/>
    <cellStyle name="Note 2 20 17 4" xfId="35341"/>
    <cellStyle name="Note 2 20 17 4 2" xfId="35342"/>
    <cellStyle name="Note 2 20 17 5" xfId="35343"/>
    <cellStyle name="Note 2 20 18" xfId="35344"/>
    <cellStyle name="Note 2 20 18 2" xfId="35345"/>
    <cellStyle name="Note 2 20 18 2 2" xfId="35346"/>
    <cellStyle name="Note 2 20 18 3" xfId="35347"/>
    <cellStyle name="Note 2 20 18 3 2" xfId="35348"/>
    <cellStyle name="Note 2 20 18 4" xfId="35349"/>
    <cellStyle name="Note 2 20 18 4 2" xfId="35350"/>
    <cellStyle name="Note 2 20 18 5" xfId="35351"/>
    <cellStyle name="Note 2 20 19" xfId="35352"/>
    <cellStyle name="Note 2 20 19 10" xfId="35353"/>
    <cellStyle name="Note 2 20 19 11" xfId="35354"/>
    <cellStyle name="Note 2 20 19 2" xfId="35355"/>
    <cellStyle name="Note 2 20 19 2 2" xfId="35356"/>
    <cellStyle name="Note 2 20 19 2 3" xfId="35357"/>
    <cellStyle name="Note 2 20 19 2 4" xfId="35358"/>
    <cellStyle name="Note 2 20 19 2 5" xfId="35359"/>
    <cellStyle name="Note 2 20 19 2 6" xfId="35360"/>
    <cellStyle name="Note 2 20 19 3" xfId="35361"/>
    <cellStyle name="Note 2 20 19 3 2" xfId="35362"/>
    <cellStyle name="Note 2 20 19 4" xfId="35363"/>
    <cellStyle name="Note 2 20 19 4 2" xfId="35364"/>
    <cellStyle name="Note 2 20 19 5" xfId="35365"/>
    <cellStyle name="Note 2 20 19 5 2" xfId="35366"/>
    <cellStyle name="Note 2 20 19 6" xfId="35367"/>
    <cellStyle name="Note 2 20 19 6 2" xfId="35368"/>
    <cellStyle name="Note 2 20 19 7" xfId="35369"/>
    <cellStyle name="Note 2 20 19 7 2" xfId="35370"/>
    <cellStyle name="Note 2 20 19 8" xfId="35371"/>
    <cellStyle name="Note 2 20 19 9" xfId="35372"/>
    <cellStyle name="Note 2 20 2" xfId="35373"/>
    <cellStyle name="Note 2 20 2 10" xfId="35374"/>
    <cellStyle name="Note 2 20 2 10 2" xfId="35375"/>
    <cellStyle name="Note 2 20 2 11" xfId="35376"/>
    <cellStyle name="Note 2 20 2 11 2" xfId="35377"/>
    <cellStyle name="Note 2 20 2 12" xfId="35378"/>
    <cellStyle name="Note 2 20 2 12 2" xfId="35379"/>
    <cellStyle name="Note 2 20 2 13" xfId="35380"/>
    <cellStyle name="Note 2 20 2 13 2" xfId="35381"/>
    <cellStyle name="Note 2 20 2 14" xfId="35382"/>
    <cellStyle name="Note 2 20 2 14 2" xfId="35383"/>
    <cellStyle name="Note 2 20 2 15" xfId="35384"/>
    <cellStyle name="Note 2 20 2 15 2" xfId="35385"/>
    <cellStyle name="Note 2 20 2 16" xfId="35386"/>
    <cellStyle name="Note 2 20 2 16 2" xfId="35387"/>
    <cellStyle name="Note 2 20 2 17" xfId="35388"/>
    <cellStyle name="Note 2 20 2 17 2" xfId="35389"/>
    <cellStyle name="Note 2 20 2 18" xfId="35390"/>
    <cellStyle name="Note 2 20 2 18 2" xfId="35391"/>
    <cellStyle name="Note 2 20 2 19" xfId="35392"/>
    <cellStyle name="Note 2 20 2 19 2" xfId="35393"/>
    <cellStyle name="Note 2 20 2 2" xfId="35394"/>
    <cellStyle name="Note 2 20 2 2 2" xfId="35395"/>
    <cellStyle name="Note 2 20 2 2 3" xfId="35396"/>
    <cellStyle name="Note 2 20 2 20" xfId="35397"/>
    <cellStyle name="Note 2 20 2 20 2" xfId="35398"/>
    <cellStyle name="Note 2 20 2 21" xfId="35399"/>
    <cellStyle name="Note 2 20 2 21 2" xfId="35400"/>
    <cellStyle name="Note 2 20 2 22" xfId="35401"/>
    <cellStyle name="Note 2 20 2 22 2" xfId="35402"/>
    <cellStyle name="Note 2 20 2 23" xfId="35403"/>
    <cellStyle name="Note 2 20 2 23 2" xfId="35404"/>
    <cellStyle name="Note 2 20 2 24" xfId="35405"/>
    <cellStyle name="Note 2 20 2 24 2" xfId="35406"/>
    <cellStyle name="Note 2 20 2 25" xfId="35407"/>
    <cellStyle name="Note 2 20 2 25 2" xfId="35408"/>
    <cellStyle name="Note 2 20 2 26" xfId="35409"/>
    <cellStyle name="Note 2 20 2 26 2" xfId="35410"/>
    <cellStyle name="Note 2 20 2 27" xfId="35411"/>
    <cellStyle name="Note 2 20 2 27 2" xfId="35412"/>
    <cellStyle name="Note 2 20 2 28" xfId="35413"/>
    <cellStyle name="Note 2 20 2 28 2" xfId="35414"/>
    <cellStyle name="Note 2 20 2 29" xfId="35415"/>
    <cellStyle name="Note 2 20 2 29 2" xfId="35416"/>
    <cellStyle name="Note 2 20 2 3" xfId="35417"/>
    <cellStyle name="Note 2 20 2 3 2" xfId="35418"/>
    <cellStyle name="Note 2 20 2 3 3" xfId="35419"/>
    <cellStyle name="Note 2 20 2 30" xfId="35420"/>
    <cellStyle name="Note 2 20 2 30 2" xfId="35421"/>
    <cellStyle name="Note 2 20 2 31" xfId="35422"/>
    <cellStyle name="Note 2 20 2 4" xfId="35423"/>
    <cellStyle name="Note 2 20 2 4 2" xfId="35424"/>
    <cellStyle name="Note 2 20 2 5" xfId="35425"/>
    <cellStyle name="Note 2 20 2 5 2" xfId="35426"/>
    <cellStyle name="Note 2 20 2 6" xfId="35427"/>
    <cellStyle name="Note 2 20 2 6 2" xfId="35428"/>
    <cellStyle name="Note 2 20 2 7" xfId="35429"/>
    <cellStyle name="Note 2 20 2 7 2" xfId="35430"/>
    <cellStyle name="Note 2 20 2 8" xfId="35431"/>
    <cellStyle name="Note 2 20 2 8 2" xfId="35432"/>
    <cellStyle name="Note 2 20 2 9" xfId="35433"/>
    <cellStyle name="Note 2 20 2 9 2" xfId="35434"/>
    <cellStyle name="Note 2 20 20" xfId="35435"/>
    <cellStyle name="Note 2 20 20 2" xfId="35436"/>
    <cellStyle name="Note 2 20 21" xfId="35437"/>
    <cellStyle name="Note 2 20 21 2" xfId="35438"/>
    <cellStyle name="Note 2 20 22" xfId="35439"/>
    <cellStyle name="Note 2 20 22 2" xfId="35440"/>
    <cellStyle name="Note 2 20 23" xfId="35441"/>
    <cellStyle name="Note 2 20 23 2" xfId="35442"/>
    <cellStyle name="Note 2 20 24" xfId="35443"/>
    <cellStyle name="Note 2 20 24 2" xfId="35444"/>
    <cellStyle name="Note 2 20 25" xfId="35445"/>
    <cellStyle name="Note 2 20 25 2" xfId="35446"/>
    <cellStyle name="Note 2 20 26" xfId="35447"/>
    <cellStyle name="Note 2 20 26 2" xfId="35448"/>
    <cellStyle name="Note 2 20 27" xfId="35449"/>
    <cellStyle name="Note 2 20 27 2" xfId="35450"/>
    <cellStyle name="Note 2 20 28" xfId="35451"/>
    <cellStyle name="Note 2 20 28 2" xfId="35452"/>
    <cellStyle name="Note 2 20 29" xfId="35453"/>
    <cellStyle name="Note 2 20 29 2" xfId="35454"/>
    <cellStyle name="Note 2 20 3" xfId="35455"/>
    <cellStyle name="Note 2 20 3 2" xfId="35456"/>
    <cellStyle name="Note 2 20 3 2 2" xfId="35457"/>
    <cellStyle name="Note 2 20 3 3" xfId="35458"/>
    <cellStyle name="Note 2 20 3 3 2" xfId="35459"/>
    <cellStyle name="Note 2 20 3 4" xfId="35460"/>
    <cellStyle name="Note 2 20 3 4 2" xfId="35461"/>
    <cellStyle name="Note 2 20 3 5" xfId="35462"/>
    <cellStyle name="Note 2 20 30" xfId="35463"/>
    <cellStyle name="Note 2 20 30 2" xfId="35464"/>
    <cellStyle name="Note 2 20 31" xfId="35465"/>
    <cellStyle name="Note 2 20 31 2" xfId="35466"/>
    <cellStyle name="Note 2 20 32" xfId="35467"/>
    <cellStyle name="Note 2 20 32 2" xfId="35468"/>
    <cellStyle name="Note 2 20 33" xfId="35469"/>
    <cellStyle name="Note 2 20 33 2" xfId="35470"/>
    <cellStyle name="Note 2 20 34" xfId="35471"/>
    <cellStyle name="Note 2 20 34 2" xfId="35472"/>
    <cellStyle name="Note 2 20 35" xfId="35473"/>
    <cellStyle name="Note 2 20 35 2" xfId="35474"/>
    <cellStyle name="Note 2 20 36" xfId="35475"/>
    <cellStyle name="Note 2 20 36 2" xfId="35476"/>
    <cellStyle name="Note 2 20 37" xfId="35477"/>
    <cellStyle name="Note 2 20 37 2" xfId="35478"/>
    <cellStyle name="Note 2 20 38" xfId="35479"/>
    <cellStyle name="Note 2 20 38 2" xfId="35480"/>
    <cellStyle name="Note 2 20 39" xfId="35481"/>
    <cellStyle name="Note 2 20 39 2" xfId="35482"/>
    <cellStyle name="Note 2 20 4" xfId="35483"/>
    <cellStyle name="Note 2 20 4 10" xfId="35484"/>
    <cellStyle name="Note 2 20 4 11" xfId="35485"/>
    <cellStyle name="Note 2 20 4 12" xfId="35486"/>
    <cellStyle name="Note 2 20 4 13" xfId="35487"/>
    <cellStyle name="Note 2 20 4 2" xfId="35488"/>
    <cellStyle name="Note 2 20 4 2 2" xfId="35489"/>
    <cellStyle name="Note 2 20 4 2 3" xfId="35490"/>
    <cellStyle name="Note 2 20 4 3" xfId="35491"/>
    <cellStyle name="Note 2 20 4 3 2" xfId="35492"/>
    <cellStyle name="Note 2 20 4 4" xfId="35493"/>
    <cellStyle name="Note 2 20 4 4 2" xfId="35494"/>
    <cellStyle name="Note 2 20 4 5" xfId="35495"/>
    <cellStyle name="Note 2 20 4 5 2" xfId="35496"/>
    <cellStyle name="Note 2 20 4 5 3" xfId="35497"/>
    <cellStyle name="Note 2 20 4 5 4" xfId="35498"/>
    <cellStyle name="Note 2 20 4 5 5" xfId="35499"/>
    <cellStyle name="Note 2 20 4 5 6" xfId="35500"/>
    <cellStyle name="Note 2 20 4 6" xfId="35501"/>
    <cellStyle name="Note 2 20 4 6 2" xfId="35502"/>
    <cellStyle name="Note 2 20 4 7" xfId="35503"/>
    <cellStyle name="Note 2 20 4 7 2" xfId="35504"/>
    <cellStyle name="Note 2 20 4 8" xfId="35505"/>
    <cellStyle name="Note 2 20 4 8 2" xfId="35506"/>
    <cellStyle name="Note 2 20 4 9" xfId="35507"/>
    <cellStyle name="Note 2 20 4 9 2" xfId="35508"/>
    <cellStyle name="Note 2 20 40" xfId="35509"/>
    <cellStyle name="Note 2 20 40 2" xfId="35510"/>
    <cellStyle name="Note 2 20 41" xfId="35511"/>
    <cellStyle name="Note 2 20 41 2" xfId="35512"/>
    <cellStyle name="Note 2 20 42" xfId="35513"/>
    <cellStyle name="Note 2 20 42 2" xfId="35514"/>
    <cellStyle name="Note 2 20 43" xfId="35515"/>
    <cellStyle name="Note 2 20 43 2" xfId="35516"/>
    <cellStyle name="Note 2 20 44" xfId="35517"/>
    <cellStyle name="Note 2 20 44 2" xfId="35518"/>
    <cellStyle name="Note 2 20 45" xfId="35519"/>
    <cellStyle name="Note 2 20 45 2" xfId="35520"/>
    <cellStyle name="Note 2 20 46" xfId="35521"/>
    <cellStyle name="Note 2 20 46 2" xfId="35522"/>
    <cellStyle name="Note 2 20 47" xfId="35523"/>
    <cellStyle name="Note 2 20 47 2" xfId="35524"/>
    <cellStyle name="Note 2 20 48" xfId="35525"/>
    <cellStyle name="Note 2 20 48 2" xfId="35526"/>
    <cellStyle name="Note 2 20 49" xfId="35527"/>
    <cellStyle name="Note 2 20 49 2" xfId="35528"/>
    <cellStyle name="Note 2 20 5" xfId="35529"/>
    <cellStyle name="Note 2 20 5 2" xfId="35530"/>
    <cellStyle name="Note 2 20 5 2 2" xfId="35531"/>
    <cellStyle name="Note 2 20 5 3" xfId="35532"/>
    <cellStyle name="Note 2 20 5 3 2" xfId="35533"/>
    <cellStyle name="Note 2 20 5 4" xfId="35534"/>
    <cellStyle name="Note 2 20 5 4 2" xfId="35535"/>
    <cellStyle name="Note 2 20 5 5" xfId="35536"/>
    <cellStyle name="Note 2 20 50" xfId="35537"/>
    <cellStyle name="Note 2 20 50 2" xfId="35538"/>
    <cellStyle name="Note 2 20 51" xfId="35539"/>
    <cellStyle name="Note 2 20 51 2" xfId="35540"/>
    <cellStyle name="Note 2 20 52" xfId="35541"/>
    <cellStyle name="Note 2 20 52 2" xfId="35542"/>
    <cellStyle name="Note 2 20 53" xfId="35543"/>
    <cellStyle name="Note 2 20 53 2" xfId="35544"/>
    <cellStyle name="Note 2 20 54" xfId="35545"/>
    <cellStyle name="Note 2 20 54 2" xfId="35546"/>
    <cellStyle name="Note 2 20 55" xfId="35547"/>
    <cellStyle name="Note 2 20 55 2" xfId="35548"/>
    <cellStyle name="Note 2 20 56" xfId="35549"/>
    <cellStyle name="Note 2 20 56 2" xfId="35550"/>
    <cellStyle name="Note 2 20 57" xfId="35551"/>
    <cellStyle name="Note 2 20 57 2" xfId="35552"/>
    <cellStyle name="Note 2 20 58" xfId="35553"/>
    <cellStyle name="Note 2 20 58 2" xfId="35554"/>
    <cellStyle name="Note 2 20 59" xfId="35555"/>
    <cellStyle name="Note 2 20 59 2" xfId="35556"/>
    <cellStyle name="Note 2 20 6" xfId="35557"/>
    <cellStyle name="Note 2 20 6 2" xfId="35558"/>
    <cellStyle name="Note 2 20 6 2 2" xfId="35559"/>
    <cellStyle name="Note 2 20 6 3" xfId="35560"/>
    <cellStyle name="Note 2 20 6 3 2" xfId="35561"/>
    <cellStyle name="Note 2 20 6 4" xfId="35562"/>
    <cellStyle name="Note 2 20 6 4 2" xfId="35563"/>
    <cellStyle name="Note 2 20 6 5" xfId="35564"/>
    <cellStyle name="Note 2 20 60" xfId="35565"/>
    <cellStyle name="Note 2 20 60 2" xfId="35566"/>
    <cellStyle name="Note 2 20 61" xfId="35567"/>
    <cellStyle name="Note 2 20 61 2" xfId="35568"/>
    <cellStyle name="Note 2 20 61 3" xfId="35569"/>
    <cellStyle name="Note 2 20 61 4" xfId="35570"/>
    <cellStyle name="Note 2 20 61 5" xfId="35571"/>
    <cellStyle name="Note 2 20 61 6" xfId="35572"/>
    <cellStyle name="Note 2 20 62" xfId="35573"/>
    <cellStyle name="Note 2 20 62 2" xfId="35574"/>
    <cellStyle name="Note 2 20 63" xfId="35575"/>
    <cellStyle name="Note 2 20 63 2" xfId="35576"/>
    <cellStyle name="Note 2 20 64" xfId="35577"/>
    <cellStyle name="Note 2 20 64 2" xfId="35578"/>
    <cellStyle name="Note 2 20 65" xfId="35579"/>
    <cellStyle name="Note 2 20 65 2" xfId="35580"/>
    <cellStyle name="Note 2 20 66" xfId="35581"/>
    <cellStyle name="Note 2 20 67" xfId="35582"/>
    <cellStyle name="Note 2 20 68" xfId="35583"/>
    <cellStyle name="Note 2 20 69" xfId="35584"/>
    <cellStyle name="Note 2 20 7" xfId="35585"/>
    <cellStyle name="Note 2 20 7 2" xfId="35586"/>
    <cellStyle name="Note 2 20 7 2 2" xfId="35587"/>
    <cellStyle name="Note 2 20 7 3" xfId="35588"/>
    <cellStyle name="Note 2 20 7 3 2" xfId="35589"/>
    <cellStyle name="Note 2 20 7 4" xfId="35590"/>
    <cellStyle name="Note 2 20 7 4 2" xfId="35591"/>
    <cellStyle name="Note 2 20 7 5" xfId="35592"/>
    <cellStyle name="Note 2 20 8" xfId="35593"/>
    <cellStyle name="Note 2 20 8 2" xfId="35594"/>
    <cellStyle name="Note 2 20 8 2 2" xfId="35595"/>
    <cellStyle name="Note 2 20 8 3" xfId="35596"/>
    <cellStyle name="Note 2 20 8 3 2" xfId="35597"/>
    <cellStyle name="Note 2 20 8 4" xfId="35598"/>
    <cellStyle name="Note 2 20 8 4 2" xfId="35599"/>
    <cellStyle name="Note 2 20 8 5" xfId="35600"/>
    <cellStyle name="Note 2 20 9" xfId="35601"/>
    <cellStyle name="Note 2 20 9 2" xfId="35602"/>
    <cellStyle name="Note 2 20 9 2 2" xfId="35603"/>
    <cellStyle name="Note 2 20 9 3" xfId="35604"/>
    <cellStyle name="Note 2 20 9 3 2" xfId="35605"/>
    <cellStyle name="Note 2 20 9 4" xfId="35606"/>
    <cellStyle name="Note 2 20 9 4 2" xfId="35607"/>
    <cellStyle name="Note 2 20 9 5" xfId="35608"/>
    <cellStyle name="Note 2 21" xfId="35609"/>
    <cellStyle name="Note 2 21 10" xfId="35610"/>
    <cellStyle name="Note 2 21 10 2" xfId="35611"/>
    <cellStyle name="Note 2 21 10 2 2" xfId="35612"/>
    <cellStyle name="Note 2 21 10 3" xfId="35613"/>
    <cellStyle name="Note 2 21 10 3 2" xfId="35614"/>
    <cellStyle name="Note 2 21 10 4" xfId="35615"/>
    <cellStyle name="Note 2 21 10 4 2" xfId="35616"/>
    <cellStyle name="Note 2 21 10 5" xfId="35617"/>
    <cellStyle name="Note 2 21 11" xfId="35618"/>
    <cellStyle name="Note 2 21 11 2" xfId="35619"/>
    <cellStyle name="Note 2 21 11 2 2" xfId="35620"/>
    <cellStyle name="Note 2 21 11 3" xfId="35621"/>
    <cellStyle name="Note 2 21 11 3 2" xfId="35622"/>
    <cellStyle name="Note 2 21 11 4" xfId="35623"/>
    <cellStyle name="Note 2 21 11 4 2" xfId="35624"/>
    <cellStyle name="Note 2 21 11 5" xfId="35625"/>
    <cellStyle name="Note 2 21 12" xfId="35626"/>
    <cellStyle name="Note 2 21 12 2" xfId="35627"/>
    <cellStyle name="Note 2 21 12 2 2" xfId="35628"/>
    <cellStyle name="Note 2 21 12 3" xfId="35629"/>
    <cellStyle name="Note 2 21 12 3 2" xfId="35630"/>
    <cellStyle name="Note 2 21 12 4" xfId="35631"/>
    <cellStyle name="Note 2 21 12 4 2" xfId="35632"/>
    <cellStyle name="Note 2 21 12 5" xfId="35633"/>
    <cellStyle name="Note 2 21 13" xfId="35634"/>
    <cellStyle name="Note 2 21 13 2" xfId="35635"/>
    <cellStyle name="Note 2 21 13 2 2" xfId="35636"/>
    <cellStyle name="Note 2 21 13 3" xfId="35637"/>
    <cellStyle name="Note 2 21 13 3 2" xfId="35638"/>
    <cellStyle name="Note 2 21 13 4" xfId="35639"/>
    <cellStyle name="Note 2 21 13 4 2" xfId="35640"/>
    <cellStyle name="Note 2 21 13 5" xfId="35641"/>
    <cellStyle name="Note 2 21 14" xfId="35642"/>
    <cellStyle name="Note 2 21 14 2" xfId="35643"/>
    <cellStyle name="Note 2 21 14 2 2" xfId="35644"/>
    <cellStyle name="Note 2 21 14 3" xfId="35645"/>
    <cellStyle name="Note 2 21 14 3 2" xfId="35646"/>
    <cellStyle name="Note 2 21 14 4" xfId="35647"/>
    <cellStyle name="Note 2 21 14 4 2" xfId="35648"/>
    <cellStyle name="Note 2 21 14 5" xfId="35649"/>
    <cellStyle name="Note 2 21 15" xfId="35650"/>
    <cellStyle name="Note 2 21 15 2" xfId="35651"/>
    <cellStyle name="Note 2 21 15 2 2" xfId="35652"/>
    <cellStyle name="Note 2 21 15 3" xfId="35653"/>
    <cellStyle name="Note 2 21 15 3 2" xfId="35654"/>
    <cellStyle name="Note 2 21 15 4" xfId="35655"/>
    <cellStyle name="Note 2 21 15 4 2" xfId="35656"/>
    <cellStyle name="Note 2 21 15 5" xfId="35657"/>
    <cellStyle name="Note 2 21 16" xfId="35658"/>
    <cellStyle name="Note 2 21 16 2" xfId="35659"/>
    <cellStyle name="Note 2 21 16 2 2" xfId="35660"/>
    <cellStyle name="Note 2 21 16 3" xfId="35661"/>
    <cellStyle name="Note 2 21 16 3 2" xfId="35662"/>
    <cellStyle name="Note 2 21 16 4" xfId="35663"/>
    <cellStyle name="Note 2 21 16 4 2" xfId="35664"/>
    <cellStyle name="Note 2 21 16 5" xfId="35665"/>
    <cellStyle name="Note 2 21 17" xfId="35666"/>
    <cellStyle name="Note 2 21 17 2" xfId="35667"/>
    <cellStyle name="Note 2 21 17 2 2" xfId="35668"/>
    <cellStyle name="Note 2 21 17 3" xfId="35669"/>
    <cellStyle name="Note 2 21 17 3 2" xfId="35670"/>
    <cellStyle name="Note 2 21 17 4" xfId="35671"/>
    <cellStyle name="Note 2 21 17 4 2" xfId="35672"/>
    <cellStyle name="Note 2 21 17 5" xfId="35673"/>
    <cellStyle name="Note 2 21 18" xfId="35674"/>
    <cellStyle name="Note 2 21 18 2" xfId="35675"/>
    <cellStyle name="Note 2 21 18 2 2" xfId="35676"/>
    <cellStyle name="Note 2 21 18 3" xfId="35677"/>
    <cellStyle name="Note 2 21 18 3 2" xfId="35678"/>
    <cellStyle name="Note 2 21 18 4" xfId="35679"/>
    <cellStyle name="Note 2 21 18 4 2" xfId="35680"/>
    <cellStyle name="Note 2 21 18 5" xfId="35681"/>
    <cellStyle name="Note 2 21 19" xfId="35682"/>
    <cellStyle name="Note 2 21 19 10" xfId="35683"/>
    <cellStyle name="Note 2 21 19 11" xfId="35684"/>
    <cellStyle name="Note 2 21 19 2" xfId="35685"/>
    <cellStyle name="Note 2 21 19 2 2" xfId="35686"/>
    <cellStyle name="Note 2 21 19 2 3" xfId="35687"/>
    <cellStyle name="Note 2 21 19 2 4" xfId="35688"/>
    <cellStyle name="Note 2 21 19 2 5" xfId="35689"/>
    <cellStyle name="Note 2 21 19 2 6" xfId="35690"/>
    <cellStyle name="Note 2 21 19 3" xfId="35691"/>
    <cellStyle name="Note 2 21 19 3 2" xfId="35692"/>
    <cellStyle name="Note 2 21 19 4" xfId="35693"/>
    <cellStyle name="Note 2 21 19 4 2" xfId="35694"/>
    <cellStyle name="Note 2 21 19 5" xfId="35695"/>
    <cellStyle name="Note 2 21 19 5 2" xfId="35696"/>
    <cellStyle name="Note 2 21 19 6" xfId="35697"/>
    <cellStyle name="Note 2 21 19 6 2" xfId="35698"/>
    <cellStyle name="Note 2 21 19 7" xfId="35699"/>
    <cellStyle name="Note 2 21 19 7 2" xfId="35700"/>
    <cellStyle name="Note 2 21 19 8" xfId="35701"/>
    <cellStyle name="Note 2 21 19 9" xfId="35702"/>
    <cellStyle name="Note 2 21 2" xfId="35703"/>
    <cellStyle name="Note 2 21 2 10" xfId="35704"/>
    <cellStyle name="Note 2 21 2 10 2" xfId="35705"/>
    <cellStyle name="Note 2 21 2 11" xfId="35706"/>
    <cellStyle name="Note 2 21 2 11 2" xfId="35707"/>
    <cellStyle name="Note 2 21 2 12" xfId="35708"/>
    <cellStyle name="Note 2 21 2 12 2" xfId="35709"/>
    <cellStyle name="Note 2 21 2 13" xfId="35710"/>
    <cellStyle name="Note 2 21 2 13 2" xfId="35711"/>
    <cellStyle name="Note 2 21 2 14" xfId="35712"/>
    <cellStyle name="Note 2 21 2 14 2" xfId="35713"/>
    <cellStyle name="Note 2 21 2 15" xfId="35714"/>
    <cellStyle name="Note 2 21 2 15 2" xfId="35715"/>
    <cellStyle name="Note 2 21 2 16" xfId="35716"/>
    <cellStyle name="Note 2 21 2 16 2" xfId="35717"/>
    <cellStyle name="Note 2 21 2 17" xfId="35718"/>
    <cellStyle name="Note 2 21 2 17 2" xfId="35719"/>
    <cellStyle name="Note 2 21 2 18" xfId="35720"/>
    <cellStyle name="Note 2 21 2 18 2" xfId="35721"/>
    <cellStyle name="Note 2 21 2 19" xfId="35722"/>
    <cellStyle name="Note 2 21 2 19 2" xfId="35723"/>
    <cellStyle name="Note 2 21 2 2" xfId="35724"/>
    <cellStyle name="Note 2 21 2 2 2" xfId="35725"/>
    <cellStyle name="Note 2 21 2 2 3" xfId="35726"/>
    <cellStyle name="Note 2 21 2 20" xfId="35727"/>
    <cellStyle name="Note 2 21 2 20 2" xfId="35728"/>
    <cellStyle name="Note 2 21 2 21" xfId="35729"/>
    <cellStyle name="Note 2 21 2 21 2" xfId="35730"/>
    <cellStyle name="Note 2 21 2 22" xfId="35731"/>
    <cellStyle name="Note 2 21 2 22 2" xfId="35732"/>
    <cellStyle name="Note 2 21 2 23" xfId="35733"/>
    <cellStyle name="Note 2 21 2 23 2" xfId="35734"/>
    <cellStyle name="Note 2 21 2 24" xfId="35735"/>
    <cellStyle name="Note 2 21 2 24 2" xfId="35736"/>
    <cellStyle name="Note 2 21 2 25" xfId="35737"/>
    <cellStyle name="Note 2 21 2 25 2" xfId="35738"/>
    <cellStyle name="Note 2 21 2 26" xfId="35739"/>
    <cellStyle name="Note 2 21 2 26 2" xfId="35740"/>
    <cellStyle name="Note 2 21 2 27" xfId="35741"/>
    <cellStyle name="Note 2 21 2 27 2" xfId="35742"/>
    <cellStyle name="Note 2 21 2 28" xfId="35743"/>
    <cellStyle name="Note 2 21 2 28 2" xfId="35744"/>
    <cellStyle name="Note 2 21 2 29" xfId="35745"/>
    <cellStyle name="Note 2 21 2 29 2" xfId="35746"/>
    <cellStyle name="Note 2 21 2 3" xfId="35747"/>
    <cellStyle name="Note 2 21 2 3 2" xfId="35748"/>
    <cellStyle name="Note 2 21 2 3 3" xfId="35749"/>
    <cellStyle name="Note 2 21 2 30" xfId="35750"/>
    <cellStyle name="Note 2 21 2 30 2" xfId="35751"/>
    <cellStyle name="Note 2 21 2 31" xfId="35752"/>
    <cellStyle name="Note 2 21 2 4" xfId="35753"/>
    <cellStyle name="Note 2 21 2 4 2" xfId="35754"/>
    <cellStyle name="Note 2 21 2 5" xfId="35755"/>
    <cellStyle name="Note 2 21 2 5 2" xfId="35756"/>
    <cellStyle name="Note 2 21 2 6" xfId="35757"/>
    <cellStyle name="Note 2 21 2 6 2" xfId="35758"/>
    <cellStyle name="Note 2 21 2 7" xfId="35759"/>
    <cellStyle name="Note 2 21 2 7 2" xfId="35760"/>
    <cellStyle name="Note 2 21 2 8" xfId="35761"/>
    <cellStyle name="Note 2 21 2 8 2" xfId="35762"/>
    <cellStyle name="Note 2 21 2 9" xfId="35763"/>
    <cellStyle name="Note 2 21 2 9 2" xfId="35764"/>
    <cellStyle name="Note 2 21 20" xfId="35765"/>
    <cellStyle name="Note 2 21 20 2" xfId="35766"/>
    <cellStyle name="Note 2 21 21" xfId="35767"/>
    <cellStyle name="Note 2 21 21 2" xfId="35768"/>
    <cellStyle name="Note 2 21 22" xfId="35769"/>
    <cellStyle name="Note 2 21 22 2" xfId="35770"/>
    <cellStyle name="Note 2 21 23" xfId="35771"/>
    <cellStyle name="Note 2 21 23 2" xfId="35772"/>
    <cellStyle name="Note 2 21 24" xfId="35773"/>
    <cellStyle name="Note 2 21 24 2" xfId="35774"/>
    <cellStyle name="Note 2 21 25" xfId="35775"/>
    <cellStyle name="Note 2 21 25 2" xfId="35776"/>
    <cellStyle name="Note 2 21 26" xfId="35777"/>
    <cellStyle name="Note 2 21 26 2" xfId="35778"/>
    <cellStyle name="Note 2 21 27" xfId="35779"/>
    <cellStyle name="Note 2 21 27 2" xfId="35780"/>
    <cellStyle name="Note 2 21 28" xfId="35781"/>
    <cellStyle name="Note 2 21 28 2" xfId="35782"/>
    <cellStyle name="Note 2 21 29" xfId="35783"/>
    <cellStyle name="Note 2 21 29 2" xfId="35784"/>
    <cellStyle name="Note 2 21 3" xfId="35785"/>
    <cellStyle name="Note 2 21 3 2" xfId="35786"/>
    <cellStyle name="Note 2 21 3 2 2" xfId="35787"/>
    <cellStyle name="Note 2 21 3 3" xfId="35788"/>
    <cellStyle name="Note 2 21 3 3 2" xfId="35789"/>
    <cellStyle name="Note 2 21 3 4" xfId="35790"/>
    <cellStyle name="Note 2 21 3 4 2" xfId="35791"/>
    <cellStyle name="Note 2 21 3 5" xfId="35792"/>
    <cellStyle name="Note 2 21 30" xfId="35793"/>
    <cellStyle name="Note 2 21 30 2" xfId="35794"/>
    <cellStyle name="Note 2 21 31" xfId="35795"/>
    <cellStyle name="Note 2 21 31 2" xfId="35796"/>
    <cellStyle name="Note 2 21 32" xfId="35797"/>
    <cellStyle name="Note 2 21 32 2" xfId="35798"/>
    <cellStyle name="Note 2 21 33" xfId="35799"/>
    <cellStyle name="Note 2 21 33 2" xfId="35800"/>
    <cellStyle name="Note 2 21 34" xfId="35801"/>
    <cellStyle name="Note 2 21 34 2" xfId="35802"/>
    <cellStyle name="Note 2 21 35" xfId="35803"/>
    <cellStyle name="Note 2 21 35 2" xfId="35804"/>
    <cellStyle name="Note 2 21 36" xfId="35805"/>
    <cellStyle name="Note 2 21 36 2" xfId="35806"/>
    <cellStyle name="Note 2 21 37" xfId="35807"/>
    <cellStyle name="Note 2 21 37 2" xfId="35808"/>
    <cellStyle name="Note 2 21 38" xfId="35809"/>
    <cellStyle name="Note 2 21 38 2" xfId="35810"/>
    <cellStyle name="Note 2 21 39" xfId="35811"/>
    <cellStyle name="Note 2 21 39 2" xfId="35812"/>
    <cellStyle name="Note 2 21 4" xfId="35813"/>
    <cellStyle name="Note 2 21 4 10" xfId="35814"/>
    <cellStyle name="Note 2 21 4 11" xfId="35815"/>
    <cellStyle name="Note 2 21 4 12" xfId="35816"/>
    <cellStyle name="Note 2 21 4 13" xfId="35817"/>
    <cellStyle name="Note 2 21 4 2" xfId="35818"/>
    <cellStyle name="Note 2 21 4 2 2" xfId="35819"/>
    <cellStyle name="Note 2 21 4 2 3" xfId="35820"/>
    <cellStyle name="Note 2 21 4 3" xfId="35821"/>
    <cellStyle name="Note 2 21 4 3 2" xfId="35822"/>
    <cellStyle name="Note 2 21 4 4" xfId="35823"/>
    <cellStyle name="Note 2 21 4 4 2" xfId="35824"/>
    <cellStyle name="Note 2 21 4 5" xfId="35825"/>
    <cellStyle name="Note 2 21 4 5 2" xfId="35826"/>
    <cellStyle name="Note 2 21 4 5 3" xfId="35827"/>
    <cellStyle name="Note 2 21 4 5 4" xfId="35828"/>
    <cellStyle name="Note 2 21 4 5 5" xfId="35829"/>
    <cellStyle name="Note 2 21 4 5 6" xfId="35830"/>
    <cellStyle name="Note 2 21 4 6" xfId="35831"/>
    <cellStyle name="Note 2 21 4 6 2" xfId="35832"/>
    <cellStyle name="Note 2 21 4 7" xfId="35833"/>
    <cellStyle name="Note 2 21 4 7 2" xfId="35834"/>
    <cellStyle name="Note 2 21 4 8" xfId="35835"/>
    <cellStyle name="Note 2 21 4 8 2" xfId="35836"/>
    <cellStyle name="Note 2 21 4 9" xfId="35837"/>
    <cellStyle name="Note 2 21 4 9 2" xfId="35838"/>
    <cellStyle name="Note 2 21 40" xfId="35839"/>
    <cellStyle name="Note 2 21 40 2" xfId="35840"/>
    <cellStyle name="Note 2 21 41" xfId="35841"/>
    <cellStyle name="Note 2 21 41 2" xfId="35842"/>
    <cellStyle name="Note 2 21 42" xfId="35843"/>
    <cellStyle name="Note 2 21 42 2" xfId="35844"/>
    <cellStyle name="Note 2 21 43" xfId="35845"/>
    <cellStyle name="Note 2 21 43 2" xfId="35846"/>
    <cellStyle name="Note 2 21 44" xfId="35847"/>
    <cellStyle name="Note 2 21 44 2" xfId="35848"/>
    <cellStyle name="Note 2 21 45" xfId="35849"/>
    <cellStyle name="Note 2 21 45 2" xfId="35850"/>
    <cellStyle name="Note 2 21 46" xfId="35851"/>
    <cellStyle name="Note 2 21 46 2" xfId="35852"/>
    <cellStyle name="Note 2 21 47" xfId="35853"/>
    <cellStyle name="Note 2 21 47 2" xfId="35854"/>
    <cellStyle name="Note 2 21 48" xfId="35855"/>
    <cellStyle name="Note 2 21 48 2" xfId="35856"/>
    <cellStyle name="Note 2 21 49" xfId="35857"/>
    <cellStyle name="Note 2 21 49 2" xfId="35858"/>
    <cellStyle name="Note 2 21 5" xfId="35859"/>
    <cellStyle name="Note 2 21 5 2" xfId="35860"/>
    <cellStyle name="Note 2 21 5 2 2" xfId="35861"/>
    <cellStyle name="Note 2 21 5 3" xfId="35862"/>
    <cellStyle name="Note 2 21 5 3 2" xfId="35863"/>
    <cellStyle name="Note 2 21 5 4" xfId="35864"/>
    <cellStyle name="Note 2 21 5 4 2" xfId="35865"/>
    <cellStyle name="Note 2 21 5 5" xfId="35866"/>
    <cellStyle name="Note 2 21 50" xfId="35867"/>
    <cellStyle name="Note 2 21 50 2" xfId="35868"/>
    <cellStyle name="Note 2 21 51" xfId="35869"/>
    <cellStyle name="Note 2 21 51 2" xfId="35870"/>
    <cellStyle name="Note 2 21 52" xfId="35871"/>
    <cellStyle name="Note 2 21 52 2" xfId="35872"/>
    <cellStyle name="Note 2 21 53" xfId="35873"/>
    <cellStyle name="Note 2 21 53 2" xfId="35874"/>
    <cellStyle name="Note 2 21 54" xfId="35875"/>
    <cellStyle name="Note 2 21 54 2" xfId="35876"/>
    <cellStyle name="Note 2 21 55" xfId="35877"/>
    <cellStyle name="Note 2 21 55 2" xfId="35878"/>
    <cellStyle name="Note 2 21 56" xfId="35879"/>
    <cellStyle name="Note 2 21 56 2" xfId="35880"/>
    <cellStyle name="Note 2 21 57" xfId="35881"/>
    <cellStyle name="Note 2 21 57 2" xfId="35882"/>
    <cellStyle name="Note 2 21 58" xfId="35883"/>
    <cellStyle name="Note 2 21 58 2" xfId="35884"/>
    <cellStyle name="Note 2 21 59" xfId="35885"/>
    <cellStyle name="Note 2 21 59 2" xfId="35886"/>
    <cellStyle name="Note 2 21 6" xfId="35887"/>
    <cellStyle name="Note 2 21 6 2" xfId="35888"/>
    <cellStyle name="Note 2 21 6 2 2" xfId="35889"/>
    <cellStyle name="Note 2 21 6 3" xfId="35890"/>
    <cellStyle name="Note 2 21 6 3 2" xfId="35891"/>
    <cellStyle name="Note 2 21 6 4" xfId="35892"/>
    <cellStyle name="Note 2 21 6 4 2" xfId="35893"/>
    <cellStyle name="Note 2 21 6 5" xfId="35894"/>
    <cellStyle name="Note 2 21 60" xfId="35895"/>
    <cellStyle name="Note 2 21 60 2" xfId="35896"/>
    <cellStyle name="Note 2 21 61" xfId="35897"/>
    <cellStyle name="Note 2 21 61 2" xfId="35898"/>
    <cellStyle name="Note 2 21 61 3" xfId="35899"/>
    <cellStyle name="Note 2 21 61 4" xfId="35900"/>
    <cellStyle name="Note 2 21 61 5" xfId="35901"/>
    <cellStyle name="Note 2 21 61 6" xfId="35902"/>
    <cellStyle name="Note 2 21 62" xfId="35903"/>
    <cellStyle name="Note 2 21 62 2" xfId="35904"/>
    <cellStyle name="Note 2 21 63" xfId="35905"/>
    <cellStyle name="Note 2 21 63 2" xfId="35906"/>
    <cellStyle name="Note 2 21 64" xfId="35907"/>
    <cellStyle name="Note 2 21 64 2" xfId="35908"/>
    <cellStyle name="Note 2 21 65" xfId="35909"/>
    <cellStyle name="Note 2 21 65 2" xfId="35910"/>
    <cellStyle name="Note 2 21 66" xfId="35911"/>
    <cellStyle name="Note 2 21 67" xfId="35912"/>
    <cellStyle name="Note 2 21 68" xfId="35913"/>
    <cellStyle name="Note 2 21 69" xfId="35914"/>
    <cellStyle name="Note 2 21 7" xfId="35915"/>
    <cellStyle name="Note 2 21 7 2" xfId="35916"/>
    <cellStyle name="Note 2 21 7 2 2" xfId="35917"/>
    <cellStyle name="Note 2 21 7 3" xfId="35918"/>
    <cellStyle name="Note 2 21 7 3 2" xfId="35919"/>
    <cellStyle name="Note 2 21 7 4" xfId="35920"/>
    <cellStyle name="Note 2 21 7 4 2" xfId="35921"/>
    <cellStyle name="Note 2 21 7 5" xfId="35922"/>
    <cellStyle name="Note 2 21 8" xfId="35923"/>
    <cellStyle name="Note 2 21 8 2" xfId="35924"/>
    <cellStyle name="Note 2 21 8 2 2" xfId="35925"/>
    <cellStyle name="Note 2 21 8 3" xfId="35926"/>
    <cellStyle name="Note 2 21 8 3 2" xfId="35927"/>
    <cellStyle name="Note 2 21 8 4" xfId="35928"/>
    <cellStyle name="Note 2 21 8 4 2" xfId="35929"/>
    <cellStyle name="Note 2 21 8 5" xfId="35930"/>
    <cellStyle name="Note 2 21 9" xfId="35931"/>
    <cellStyle name="Note 2 21 9 2" xfId="35932"/>
    <cellStyle name="Note 2 21 9 2 2" xfId="35933"/>
    <cellStyle name="Note 2 21 9 3" xfId="35934"/>
    <cellStyle name="Note 2 21 9 3 2" xfId="35935"/>
    <cellStyle name="Note 2 21 9 4" xfId="35936"/>
    <cellStyle name="Note 2 21 9 4 2" xfId="35937"/>
    <cellStyle name="Note 2 21 9 5" xfId="35938"/>
    <cellStyle name="Note 2 22" xfId="35939"/>
    <cellStyle name="Note 2 22 10" xfId="35940"/>
    <cellStyle name="Note 2 22 10 2" xfId="35941"/>
    <cellStyle name="Note 2 22 10 2 2" xfId="35942"/>
    <cellStyle name="Note 2 22 10 3" xfId="35943"/>
    <cellStyle name="Note 2 22 10 3 2" xfId="35944"/>
    <cellStyle name="Note 2 22 10 4" xfId="35945"/>
    <cellStyle name="Note 2 22 10 4 2" xfId="35946"/>
    <cellStyle name="Note 2 22 10 5" xfId="35947"/>
    <cellStyle name="Note 2 22 11" xfId="35948"/>
    <cellStyle name="Note 2 22 11 2" xfId="35949"/>
    <cellStyle name="Note 2 22 11 2 2" xfId="35950"/>
    <cellStyle name="Note 2 22 11 3" xfId="35951"/>
    <cellStyle name="Note 2 22 11 3 2" xfId="35952"/>
    <cellStyle name="Note 2 22 11 4" xfId="35953"/>
    <cellStyle name="Note 2 22 11 4 2" xfId="35954"/>
    <cellStyle name="Note 2 22 11 5" xfId="35955"/>
    <cellStyle name="Note 2 22 12" xfId="35956"/>
    <cellStyle name="Note 2 22 12 2" xfId="35957"/>
    <cellStyle name="Note 2 22 12 2 2" xfId="35958"/>
    <cellStyle name="Note 2 22 12 3" xfId="35959"/>
    <cellStyle name="Note 2 22 12 3 2" xfId="35960"/>
    <cellStyle name="Note 2 22 12 4" xfId="35961"/>
    <cellStyle name="Note 2 22 12 4 2" xfId="35962"/>
    <cellStyle name="Note 2 22 12 5" xfId="35963"/>
    <cellStyle name="Note 2 22 13" xfId="35964"/>
    <cellStyle name="Note 2 22 13 2" xfId="35965"/>
    <cellStyle name="Note 2 22 13 2 2" xfId="35966"/>
    <cellStyle name="Note 2 22 13 3" xfId="35967"/>
    <cellStyle name="Note 2 22 13 3 2" xfId="35968"/>
    <cellStyle name="Note 2 22 13 4" xfId="35969"/>
    <cellStyle name="Note 2 22 13 4 2" xfId="35970"/>
    <cellStyle name="Note 2 22 13 5" xfId="35971"/>
    <cellStyle name="Note 2 22 14" xfId="35972"/>
    <cellStyle name="Note 2 22 14 2" xfId="35973"/>
    <cellStyle name="Note 2 22 14 2 2" xfId="35974"/>
    <cellStyle name="Note 2 22 14 3" xfId="35975"/>
    <cellStyle name="Note 2 22 14 3 2" xfId="35976"/>
    <cellStyle name="Note 2 22 14 4" xfId="35977"/>
    <cellStyle name="Note 2 22 14 4 2" xfId="35978"/>
    <cellStyle name="Note 2 22 14 5" xfId="35979"/>
    <cellStyle name="Note 2 22 15" xfId="35980"/>
    <cellStyle name="Note 2 22 15 2" xfId="35981"/>
    <cellStyle name="Note 2 22 15 2 2" xfId="35982"/>
    <cellStyle name="Note 2 22 15 3" xfId="35983"/>
    <cellStyle name="Note 2 22 15 3 2" xfId="35984"/>
    <cellStyle name="Note 2 22 15 4" xfId="35985"/>
    <cellStyle name="Note 2 22 15 4 2" xfId="35986"/>
    <cellStyle name="Note 2 22 15 5" xfId="35987"/>
    <cellStyle name="Note 2 22 16" xfId="35988"/>
    <cellStyle name="Note 2 22 16 2" xfId="35989"/>
    <cellStyle name="Note 2 22 16 2 2" xfId="35990"/>
    <cellStyle name="Note 2 22 16 3" xfId="35991"/>
    <cellStyle name="Note 2 22 16 3 2" xfId="35992"/>
    <cellStyle name="Note 2 22 16 4" xfId="35993"/>
    <cellStyle name="Note 2 22 16 4 2" xfId="35994"/>
    <cellStyle name="Note 2 22 16 5" xfId="35995"/>
    <cellStyle name="Note 2 22 17" xfId="35996"/>
    <cellStyle name="Note 2 22 17 2" xfId="35997"/>
    <cellStyle name="Note 2 22 17 2 2" xfId="35998"/>
    <cellStyle name="Note 2 22 17 3" xfId="35999"/>
    <cellStyle name="Note 2 22 17 3 2" xfId="36000"/>
    <cellStyle name="Note 2 22 17 4" xfId="36001"/>
    <cellStyle name="Note 2 22 17 4 2" xfId="36002"/>
    <cellStyle name="Note 2 22 17 5" xfId="36003"/>
    <cellStyle name="Note 2 22 18" xfId="36004"/>
    <cellStyle name="Note 2 22 18 2" xfId="36005"/>
    <cellStyle name="Note 2 22 18 2 2" xfId="36006"/>
    <cellStyle name="Note 2 22 18 3" xfId="36007"/>
    <cellStyle name="Note 2 22 18 3 2" xfId="36008"/>
    <cellStyle name="Note 2 22 18 4" xfId="36009"/>
    <cellStyle name="Note 2 22 18 4 2" xfId="36010"/>
    <cellStyle name="Note 2 22 18 5" xfId="36011"/>
    <cellStyle name="Note 2 22 19" xfId="36012"/>
    <cellStyle name="Note 2 22 19 10" xfId="36013"/>
    <cellStyle name="Note 2 22 19 11" xfId="36014"/>
    <cellStyle name="Note 2 22 19 2" xfId="36015"/>
    <cellStyle name="Note 2 22 19 2 2" xfId="36016"/>
    <cellStyle name="Note 2 22 19 2 3" xfId="36017"/>
    <cellStyle name="Note 2 22 19 2 4" xfId="36018"/>
    <cellStyle name="Note 2 22 19 2 5" xfId="36019"/>
    <cellStyle name="Note 2 22 19 2 6" xfId="36020"/>
    <cellStyle name="Note 2 22 19 3" xfId="36021"/>
    <cellStyle name="Note 2 22 19 3 2" xfId="36022"/>
    <cellStyle name="Note 2 22 19 4" xfId="36023"/>
    <cellStyle name="Note 2 22 19 4 2" xfId="36024"/>
    <cellStyle name="Note 2 22 19 5" xfId="36025"/>
    <cellStyle name="Note 2 22 19 5 2" xfId="36026"/>
    <cellStyle name="Note 2 22 19 6" xfId="36027"/>
    <cellStyle name="Note 2 22 19 6 2" xfId="36028"/>
    <cellStyle name="Note 2 22 19 7" xfId="36029"/>
    <cellStyle name="Note 2 22 19 7 2" xfId="36030"/>
    <cellStyle name="Note 2 22 19 8" xfId="36031"/>
    <cellStyle name="Note 2 22 19 9" xfId="36032"/>
    <cellStyle name="Note 2 22 2" xfId="36033"/>
    <cellStyle name="Note 2 22 2 10" xfId="36034"/>
    <cellStyle name="Note 2 22 2 10 2" xfId="36035"/>
    <cellStyle name="Note 2 22 2 11" xfId="36036"/>
    <cellStyle name="Note 2 22 2 11 2" xfId="36037"/>
    <cellStyle name="Note 2 22 2 12" xfId="36038"/>
    <cellStyle name="Note 2 22 2 12 2" xfId="36039"/>
    <cellStyle name="Note 2 22 2 13" xfId="36040"/>
    <cellStyle name="Note 2 22 2 13 2" xfId="36041"/>
    <cellStyle name="Note 2 22 2 14" xfId="36042"/>
    <cellStyle name="Note 2 22 2 14 2" xfId="36043"/>
    <cellStyle name="Note 2 22 2 15" xfId="36044"/>
    <cellStyle name="Note 2 22 2 15 2" xfId="36045"/>
    <cellStyle name="Note 2 22 2 16" xfId="36046"/>
    <cellStyle name="Note 2 22 2 16 2" xfId="36047"/>
    <cellStyle name="Note 2 22 2 17" xfId="36048"/>
    <cellStyle name="Note 2 22 2 17 2" xfId="36049"/>
    <cellStyle name="Note 2 22 2 18" xfId="36050"/>
    <cellStyle name="Note 2 22 2 18 2" xfId="36051"/>
    <cellStyle name="Note 2 22 2 19" xfId="36052"/>
    <cellStyle name="Note 2 22 2 19 2" xfId="36053"/>
    <cellStyle name="Note 2 22 2 2" xfId="36054"/>
    <cellStyle name="Note 2 22 2 2 2" xfId="36055"/>
    <cellStyle name="Note 2 22 2 2 3" xfId="36056"/>
    <cellStyle name="Note 2 22 2 20" xfId="36057"/>
    <cellStyle name="Note 2 22 2 20 2" xfId="36058"/>
    <cellStyle name="Note 2 22 2 21" xfId="36059"/>
    <cellStyle name="Note 2 22 2 21 2" xfId="36060"/>
    <cellStyle name="Note 2 22 2 22" xfId="36061"/>
    <cellStyle name="Note 2 22 2 22 2" xfId="36062"/>
    <cellStyle name="Note 2 22 2 23" xfId="36063"/>
    <cellStyle name="Note 2 22 2 23 2" xfId="36064"/>
    <cellStyle name="Note 2 22 2 24" xfId="36065"/>
    <cellStyle name="Note 2 22 2 24 2" xfId="36066"/>
    <cellStyle name="Note 2 22 2 25" xfId="36067"/>
    <cellStyle name="Note 2 22 2 25 2" xfId="36068"/>
    <cellStyle name="Note 2 22 2 26" xfId="36069"/>
    <cellStyle name="Note 2 22 2 26 2" xfId="36070"/>
    <cellStyle name="Note 2 22 2 27" xfId="36071"/>
    <cellStyle name="Note 2 22 2 27 2" xfId="36072"/>
    <cellStyle name="Note 2 22 2 28" xfId="36073"/>
    <cellStyle name="Note 2 22 2 28 2" xfId="36074"/>
    <cellStyle name="Note 2 22 2 29" xfId="36075"/>
    <cellStyle name="Note 2 22 2 29 2" xfId="36076"/>
    <cellStyle name="Note 2 22 2 3" xfId="36077"/>
    <cellStyle name="Note 2 22 2 3 2" xfId="36078"/>
    <cellStyle name="Note 2 22 2 3 3" xfId="36079"/>
    <cellStyle name="Note 2 22 2 30" xfId="36080"/>
    <cellStyle name="Note 2 22 2 30 2" xfId="36081"/>
    <cellStyle name="Note 2 22 2 31" xfId="36082"/>
    <cellStyle name="Note 2 22 2 4" xfId="36083"/>
    <cellStyle name="Note 2 22 2 4 2" xfId="36084"/>
    <cellStyle name="Note 2 22 2 5" xfId="36085"/>
    <cellStyle name="Note 2 22 2 5 2" xfId="36086"/>
    <cellStyle name="Note 2 22 2 6" xfId="36087"/>
    <cellStyle name="Note 2 22 2 6 2" xfId="36088"/>
    <cellStyle name="Note 2 22 2 7" xfId="36089"/>
    <cellStyle name="Note 2 22 2 7 2" xfId="36090"/>
    <cellStyle name="Note 2 22 2 8" xfId="36091"/>
    <cellStyle name="Note 2 22 2 8 2" xfId="36092"/>
    <cellStyle name="Note 2 22 2 9" xfId="36093"/>
    <cellStyle name="Note 2 22 2 9 2" xfId="36094"/>
    <cellStyle name="Note 2 22 20" xfId="36095"/>
    <cellStyle name="Note 2 22 20 2" xfId="36096"/>
    <cellStyle name="Note 2 22 21" xfId="36097"/>
    <cellStyle name="Note 2 22 21 2" xfId="36098"/>
    <cellStyle name="Note 2 22 22" xfId="36099"/>
    <cellStyle name="Note 2 22 22 2" xfId="36100"/>
    <cellStyle name="Note 2 22 23" xfId="36101"/>
    <cellStyle name="Note 2 22 23 2" xfId="36102"/>
    <cellStyle name="Note 2 22 24" xfId="36103"/>
    <cellStyle name="Note 2 22 24 2" xfId="36104"/>
    <cellStyle name="Note 2 22 25" xfId="36105"/>
    <cellStyle name="Note 2 22 25 2" xfId="36106"/>
    <cellStyle name="Note 2 22 26" xfId="36107"/>
    <cellStyle name="Note 2 22 26 2" xfId="36108"/>
    <cellStyle name="Note 2 22 27" xfId="36109"/>
    <cellStyle name="Note 2 22 27 2" xfId="36110"/>
    <cellStyle name="Note 2 22 28" xfId="36111"/>
    <cellStyle name="Note 2 22 28 2" xfId="36112"/>
    <cellStyle name="Note 2 22 29" xfId="36113"/>
    <cellStyle name="Note 2 22 29 2" xfId="36114"/>
    <cellStyle name="Note 2 22 3" xfId="36115"/>
    <cellStyle name="Note 2 22 3 2" xfId="36116"/>
    <cellStyle name="Note 2 22 3 2 2" xfId="36117"/>
    <cellStyle name="Note 2 22 3 3" xfId="36118"/>
    <cellStyle name="Note 2 22 3 3 2" xfId="36119"/>
    <cellStyle name="Note 2 22 3 4" xfId="36120"/>
    <cellStyle name="Note 2 22 3 4 2" xfId="36121"/>
    <cellStyle name="Note 2 22 3 5" xfId="36122"/>
    <cellStyle name="Note 2 22 30" xfId="36123"/>
    <cellStyle name="Note 2 22 30 2" xfId="36124"/>
    <cellStyle name="Note 2 22 31" xfId="36125"/>
    <cellStyle name="Note 2 22 31 2" xfId="36126"/>
    <cellStyle name="Note 2 22 32" xfId="36127"/>
    <cellStyle name="Note 2 22 32 2" xfId="36128"/>
    <cellStyle name="Note 2 22 33" xfId="36129"/>
    <cellStyle name="Note 2 22 33 2" xfId="36130"/>
    <cellStyle name="Note 2 22 34" xfId="36131"/>
    <cellStyle name="Note 2 22 34 2" xfId="36132"/>
    <cellStyle name="Note 2 22 35" xfId="36133"/>
    <cellStyle name="Note 2 22 35 2" xfId="36134"/>
    <cellStyle name="Note 2 22 36" xfId="36135"/>
    <cellStyle name="Note 2 22 36 2" xfId="36136"/>
    <cellStyle name="Note 2 22 37" xfId="36137"/>
    <cellStyle name="Note 2 22 37 2" xfId="36138"/>
    <cellStyle name="Note 2 22 38" xfId="36139"/>
    <cellStyle name="Note 2 22 38 2" xfId="36140"/>
    <cellStyle name="Note 2 22 39" xfId="36141"/>
    <cellStyle name="Note 2 22 39 2" xfId="36142"/>
    <cellStyle name="Note 2 22 4" xfId="36143"/>
    <cellStyle name="Note 2 22 4 10" xfId="36144"/>
    <cellStyle name="Note 2 22 4 11" xfId="36145"/>
    <cellStyle name="Note 2 22 4 12" xfId="36146"/>
    <cellStyle name="Note 2 22 4 13" xfId="36147"/>
    <cellStyle name="Note 2 22 4 2" xfId="36148"/>
    <cellStyle name="Note 2 22 4 2 2" xfId="36149"/>
    <cellStyle name="Note 2 22 4 2 3" xfId="36150"/>
    <cellStyle name="Note 2 22 4 3" xfId="36151"/>
    <cellStyle name="Note 2 22 4 3 2" xfId="36152"/>
    <cellStyle name="Note 2 22 4 4" xfId="36153"/>
    <cellStyle name="Note 2 22 4 4 2" xfId="36154"/>
    <cellStyle name="Note 2 22 4 5" xfId="36155"/>
    <cellStyle name="Note 2 22 4 5 2" xfId="36156"/>
    <cellStyle name="Note 2 22 4 5 3" xfId="36157"/>
    <cellStyle name="Note 2 22 4 5 4" xfId="36158"/>
    <cellStyle name="Note 2 22 4 5 5" xfId="36159"/>
    <cellStyle name="Note 2 22 4 5 6" xfId="36160"/>
    <cellStyle name="Note 2 22 4 6" xfId="36161"/>
    <cellStyle name="Note 2 22 4 6 2" xfId="36162"/>
    <cellStyle name="Note 2 22 4 7" xfId="36163"/>
    <cellStyle name="Note 2 22 4 7 2" xfId="36164"/>
    <cellStyle name="Note 2 22 4 8" xfId="36165"/>
    <cellStyle name="Note 2 22 4 8 2" xfId="36166"/>
    <cellStyle name="Note 2 22 4 9" xfId="36167"/>
    <cellStyle name="Note 2 22 4 9 2" xfId="36168"/>
    <cellStyle name="Note 2 22 40" xfId="36169"/>
    <cellStyle name="Note 2 22 40 2" xfId="36170"/>
    <cellStyle name="Note 2 22 41" xfId="36171"/>
    <cellStyle name="Note 2 22 41 2" xfId="36172"/>
    <cellStyle name="Note 2 22 42" xfId="36173"/>
    <cellStyle name="Note 2 22 42 2" xfId="36174"/>
    <cellStyle name="Note 2 22 43" xfId="36175"/>
    <cellStyle name="Note 2 22 43 2" xfId="36176"/>
    <cellStyle name="Note 2 22 44" xfId="36177"/>
    <cellStyle name="Note 2 22 44 2" xfId="36178"/>
    <cellStyle name="Note 2 22 45" xfId="36179"/>
    <cellStyle name="Note 2 22 45 2" xfId="36180"/>
    <cellStyle name="Note 2 22 46" xfId="36181"/>
    <cellStyle name="Note 2 22 46 2" xfId="36182"/>
    <cellStyle name="Note 2 22 47" xfId="36183"/>
    <cellStyle name="Note 2 22 47 2" xfId="36184"/>
    <cellStyle name="Note 2 22 48" xfId="36185"/>
    <cellStyle name="Note 2 22 48 2" xfId="36186"/>
    <cellStyle name="Note 2 22 49" xfId="36187"/>
    <cellStyle name="Note 2 22 49 2" xfId="36188"/>
    <cellStyle name="Note 2 22 5" xfId="36189"/>
    <cellStyle name="Note 2 22 5 2" xfId="36190"/>
    <cellStyle name="Note 2 22 5 2 2" xfId="36191"/>
    <cellStyle name="Note 2 22 5 3" xfId="36192"/>
    <cellStyle name="Note 2 22 5 3 2" xfId="36193"/>
    <cellStyle name="Note 2 22 5 4" xfId="36194"/>
    <cellStyle name="Note 2 22 5 4 2" xfId="36195"/>
    <cellStyle name="Note 2 22 5 5" xfId="36196"/>
    <cellStyle name="Note 2 22 50" xfId="36197"/>
    <cellStyle name="Note 2 22 50 2" xfId="36198"/>
    <cellStyle name="Note 2 22 51" xfId="36199"/>
    <cellStyle name="Note 2 22 51 2" xfId="36200"/>
    <cellStyle name="Note 2 22 52" xfId="36201"/>
    <cellStyle name="Note 2 22 52 2" xfId="36202"/>
    <cellStyle name="Note 2 22 53" xfId="36203"/>
    <cellStyle name="Note 2 22 53 2" xfId="36204"/>
    <cellStyle name="Note 2 22 54" xfId="36205"/>
    <cellStyle name="Note 2 22 54 2" xfId="36206"/>
    <cellStyle name="Note 2 22 55" xfId="36207"/>
    <cellStyle name="Note 2 22 55 2" xfId="36208"/>
    <cellStyle name="Note 2 22 56" xfId="36209"/>
    <cellStyle name="Note 2 22 56 2" xfId="36210"/>
    <cellStyle name="Note 2 22 57" xfId="36211"/>
    <cellStyle name="Note 2 22 57 2" xfId="36212"/>
    <cellStyle name="Note 2 22 58" xfId="36213"/>
    <cellStyle name="Note 2 22 58 2" xfId="36214"/>
    <cellStyle name="Note 2 22 59" xfId="36215"/>
    <cellStyle name="Note 2 22 59 2" xfId="36216"/>
    <cellStyle name="Note 2 22 6" xfId="36217"/>
    <cellStyle name="Note 2 22 6 2" xfId="36218"/>
    <cellStyle name="Note 2 22 6 2 2" xfId="36219"/>
    <cellStyle name="Note 2 22 6 3" xfId="36220"/>
    <cellStyle name="Note 2 22 6 3 2" xfId="36221"/>
    <cellStyle name="Note 2 22 6 4" xfId="36222"/>
    <cellStyle name="Note 2 22 6 4 2" xfId="36223"/>
    <cellStyle name="Note 2 22 6 5" xfId="36224"/>
    <cellStyle name="Note 2 22 60" xfId="36225"/>
    <cellStyle name="Note 2 22 60 2" xfId="36226"/>
    <cellStyle name="Note 2 22 61" xfId="36227"/>
    <cellStyle name="Note 2 22 61 2" xfId="36228"/>
    <cellStyle name="Note 2 22 61 3" xfId="36229"/>
    <cellStyle name="Note 2 22 61 4" xfId="36230"/>
    <cellStyle name="Note 2 22 61 5" xfId="36231"/>
    <cellStyle name="Note 2 22 61 6" xfId="36232"/>
    <cellStyle name="Note 2 22 62" xfId="36233"/>
    <cellStyle name="Note 2 22 62 2" xfId="36234"/>
    <cellStyle name="Note 2 22 63" xfId="36235"/>
    <cellStyle name="Note 2 22 63 2" xfId="36236"/>
    <cellStyle name="Note 2 22 64" xfId="36237"/>
    <cellStyle name="Note 2 22 64 2" xfId="36238"/>
    <cellStyle name="Note 2 22 65" xfId="36239"/>
    <cellStyle name="Note 2 22 65 2" xfId="36240"/>
    <cellStyle name="Note 2 22 66" xfId="36241"/>
    <cellStyle name="Note 2 22 67" xfId="36242"/>
    <cellStyle name="Note 2 22 68" xfId="36243"/>
    <cellStyle name="Note 2 22 69" xfId="36244"/>
    <cellStyle name="Note 2 22 7" xfId="36245"/>
    <cellStyle name="Note 2 22 7 2" xfId="36246"/>
    <cellStyle name="Note 2 22 7 2 2" xfId="36247"/>
    <cellStyle name="Note 2 22 7 3" xfId="36248"/>
    <cellStyle name="Note 2 22 7 3 2" xfId="36249"/>
    <cellStyle name="Note 2 22 7 4" xfId="36250"/>
    <cellStyle name="Note 2 22 7 4 2" xfId="36251"/>
    <cellStyle name="Note 2 22 7 5" xfId="36252"/>
    <cellStyle name="Note 2 22 8" xfId="36253"/>
    <cellStyle name="Note 2 22 8 2" xfId="36254"/>
    <cellStyle name="Note 2 22 8 2 2" xfId="36255"/>
    <cellStyle name="Note 2 22 8 3" xfId="36256"/>
    <cellStyle name="Note 2 22 8 3 2" xfId="36257"/>
    <cellStyle name="Note 2 22 8 4" xfId="36258"/>
    <cellStyle name="Note 2 22 8 4 2" xfId="36259"/>
    <cellStyle name="Note 2 22 8 5" xfId="36260"/>
    <cellStyle name="Note 2 22 9" xfId="36261"/>
    <cellStyle name="Note 2 22 9 2" xfId="36262"/>
    <cellStyle name="Note 2 22 9 2 2" xfId="36263"/>
    <cellStyle name="Note 2 22 9 3" xfId="36264"/>
    <cellStyle name="Note 2 22 9 3 2" xfId="36265"/>
    <cellStyle name="Note 2 22 9 4" xfId="36266"/>
    <cellStyle name="Note 2 22 9 4 2" xfId="36267"/>
    <cellStyle name="Note 2 22 9 5" xfId="36268"/>
    <cellStyle name="Note 2 23" xfId="36269"/>
    <cellStyle name="Note 2 23 10" xfId="36270"/>
    <cellStyle name="Note 2 23 10 2" xfId="36271"/>
    <cellStyle name="Note 2 23 10 2 2" xfId="36272"/>
    <cellStyle name="Note 2 23 10 3" xfId="36273"/>
    <cellStyle name="Note 2 23 10 3 2" xfId="36274"/>
    <cellStyle name="Note 2 23 10 4" xfId="36275"/>
    <cellStyle name="Note 2 23 10 4 2" xfId="36276"/>
    <cellStyle name="Note 2 23 10 5" xfId="36277"/>
    <cellStyle name="Note 2 23 11" xfId="36278"/>
    <cellStyle name="Note 2 23 11 2" xfId="36279"/>
    <cellStyle name="Note 2 23 11 2 2" xfId="36280"/>
    <cellStyle name="Note 2 23 11 3" xfId="36281"/>
    <cellStyle name="Note 2 23 11 3 2" xfId="36282"/>
    <cellStyle name="Note 2 23 11 4" xfId="36283"/>
    <cellStyle name="Note 2 23 11 4 2" xfId="36284"/>
    <cellStyle name="Note 2 23 11 5" xfId="36285"/>
    <cellStyle name="Note 2 23 12" xfId="36286"/>
    <cellStyle name="Note 2 23 12 2" xfId="36287"/>
    <cellStyle name="Note 2 23 12 2 2" xfId="36288"/>
    <cellStyle name="Note 2 23 12 3" xfId="36289"/>
    <cellStyle name="Note 2 23 12 3 2" xfId="36290"/>
    <cellStyle name="Note 2 23 12 4" xfId="36291"/>
    <cellStyle name="Note 2 23 12 4 2" xfId="36292"/>
    <cellStyle name="Note 2 23 12 5" xfId="36293"/>
    <cellStyle name="Note 2 23 13" xfId="36294"/>
    <cellStyle name="Note 2 23 13 2" xfId="36295"/>
    <cellStyle name="Note 2 23 13 2 2" xfId="36296"/>
    <cellStyle name="Note 2 23 13 3" xfId="36297"/>
    <cellStyle name="Note 2 23 13 3 2" xfId="36298"/>
    <cellStyle name="Note 2 23 13 4" xfId="36299"/>
    <cellStyle name="Note 2 23 13 4 2" xfId="36300"/>
    <cellStyle name="Note 2 23 13 5" xfId="36301"/>
    <cellStyle name="Note 2 23 14" xfId="36302"/>
    <cellStyle name="Note 2 23 14 2" xfId="36303"/>
    <cellStyle name="Note 2 23 14 2 2" xfId="36304"/>
    <cellStyle name="Note 2 23 14 3" xfId="36305"/>
    <cellStyle name="Note 2 23 14 3 2" xfId="36306"/>
    <cellStyle name="Note 2 23 14 4" xfId="36307"/>
    <cellStyle name="Note 2 23 14 4 2" xfId="36308"/>
    <cellStyle name="Note 2 23 14 5" xfId="36309"/>
    <cellStyle name="Note 2 23 15" xfId="36310"/>
    <cellStyle name="Note 2 23 15 2" xfId="36311"/>
    <cellStyle name="Note 2 23 15 2 2" xfId="36312"/>
    <cellStyle name="Note 2 23 15 3" xfId="36313"/>
    <cellStyle name="Note 2 23 15 3 2" xfId="36314"/>
    <cellStyle name="Note 2 23 15 4" xfId="36315"/>
    <cellStyle name="Note 2 23 15 4 2" xfId="36316"/>
    <cellStyle name="Note 2 23 15 5" xfId="36317"/>
    <cellStyle name="Note 2 23 16" xfId="36318"/>
    <cellStyle name="Note 2 23 16 2" xfId="36319"/>
    <cellStyle name="Note 2 23 16 2 2" xfId="36320"/>
    <cellStyle name="Note 2 23 16 3" xfId="36321"/>
    <cellStyle name="Note 2 23 16 3 2" xfId="36322"/>
    <cellStyle name="Note 2 23 16 4" xfId="36323"/>
    <cellStyle name="Note 2 23 16 4 2" xfId="36324"/>
    <cellStyle name="Note 2 23 16 5" xfId="36325"/>
    <cellStyle name="Note 2 23 17" xfId="36326"/>
    <cellStyle name="Note 2 23 17 2" xfId="36327"/>
    <cellStyle name="Note 2 23 17 2 2" xfId="36328"/>
    <cellStyle name="Note 2 23 17 3" xfId="36329"/>
    <cellStyle name="Note 2 23 17 3 2" xfId="36330"/>
    <cellStyle name="Note 2 23 17 4" xfId="36331"/>
    <cellStyle name="Note 2 23 17 4 2" xfId="36332"/>
    <cellStyle name="Note 2 23 17 5" xfId="36333"/>
    <cellStyle name="Note 2 23 18" xfId="36334"/>
    <cellStyle name="Note 2 23 18 2" xfId="36335"/>
    <cellStyle name="Note 2 23 18 2 2" xfId="36336"/>
    <cellStyle name="Note 2 23 18 3" xfId="36337"/>
    <cellStyle name="Note 2 23 18 3 2" xfId="36338"/>
    <cellStyle name="Note 2 23 18 4" xfId="36339"/>
    <cellStyle name="Note 2 23 18 4 2" xfId="36340"/>
    <cellStyle name="Note 2 23 18 5" xfId="36341"/>
    <cellStyle name="Note 2 23 19" xfId="36342"/>
    <cellStyle name="Note 2 23 19 10" xfId="36343"/>
    <cellStyle name="Note 2 23 19 11" xfId="36344"/>
    <cellStyle name="Note 2 23 19 2" xfId="36345"/>
    <cellStyle name="Note 2 23 19 2 2" xfId="36346"/>
    <cellStyle name="Note 2 23 19 2 3" xfId="36347"/>
    <cellStyle name="Note 2 23 19 2 4" xfId="36348"/>
    <cellStyle name="Note 2 23 19 2 5" xfId="36349"/>
    <cellStyle name="Note 2 23 19 2 6" xfId="36350"/>
    <cellStyle name="Note 2 23 19 3" xfId="36351"/>
    <cellStyle name="Note 2 23 19 3 2" xfId="36352"/>
    <cellStyle name="Note 2 23 19 4" xfId="36353"/>
    <cellStyle name="Note 2 23 19 4 2" xfId="36354"/>
    <cellStyle name="Note 2 23 19 5" xfId="36355"/>
    <cellStyle name="Note 2 23 19 5 2" xfId="36356"/>
    <cellStyle name="Note 2 23 19 6" xfId="36357"/>
    <cellStyle name="Note 2 23 19 6 2" xfId="36358"/>
    <cellStyle name="Note 2 23 19 7" xfId="36359"/>
    <cellStyle name="Note 2 23 19 7 2" xfId="36360"/>
    <cellStyle name="Note 2 23 19 8" xfId="36361"/>
    <cellStyle name="Note 2 23 19 9" xfId="36362"/>
    <cellStyle name="Note 2 23 2" xfId="36363"/>
    <cellStyle name="Note 2 23 2 10" xfId="36364"/>
    <cellStyle name="Note 2 23 2 10 2" xfId="36365"/>
    <cellStyle name="Note 2 23 2 11" xfId="36366"/>
    <cellStyle name="Note 2 23 2 11 2" xfId="36367"/>
    <cellStyle name="Note 2 23 2 12" xfId="36368"/>
    <cellStyle name="Note 2 23 2 12 2" xfId="36369"/>
    <cellStyle name="Note 2 23 2 13" xfId="36370"/>
    <cellStyle name="Note 2 23 2 13 2" xfId="36371"/>
    <cellStyle name="Note 2 23 2 14" xfId="36372"/>
    <cellStyle name="Note 2 23 2 14 2" xfId="36373"/>
    <cellStyle name="Note 2 23 2 15" xfId="36374"/>
    <cellStyle name="Note 2 23 2 15 2" xfId="36375"/>
    <cellStyle name="Note 2 23 2 16" xfId="36376"/>
    <cellStyle name="Note 2 23 2 16 2" xfId="36377"/>
    <cellStyle name="Note 2 23 2 17" xfId="36378"/>
    <cellStyle name="Note 2 23 2 17 2" xfId="36379"/>
    <cellStyle name="Note 2 23 2 18" xfId="36380"/>
    <cellStyle name="Note 2 23 2 18 2" xfId="36381"/>
    <cellStyle name="Note 2 23 2 19" xfId="36382"/>
    <cellStyle name="Note 2 23 2 19 2" xfId="36383"/>
    <cellStyle name="Note 2 23 2 2" xfId="36384"/>
    <cellStyle name="Note 2 23 2 2 2" xfId="36385"/>
    <cellStyle name="Note 2 23 2 2 3" xfId="36386"/>
    <cellStyle name="Note 2 23 2 20" xfId="36387"/>
    <cellStyle name="Note 2 23 2 20 2" xfId="36388"/>
    <cellStyle name="Note 2 23 2 21" xfId="36389"/>
    <cellStyle name="Note 2 23 2 21 2" xfId="36390"/>
    <cellStyle name="Note 2 23 2 22" xfId="36391"/>
    <cellStyle name="Note 2 23 2 22 2" xfId="36392"/>
    <cellStyle name="Note 2 23 2 23" xfId="36393"/>
    <cellStyle name="Note 2 23 2 23 2" xfId="36394"/>
    <cellStyle name="Note 2 23 2 24" xfId="36395"/>
    <cellStyle name="Note 2 23 2 24 2" xfId="36396"/>
    <cellStyle name="Note 2 23 2 25" xfId="36397"/>
    <cellStyle name="Note 2 23 2 25 2" xfId="36398"/>
    <cellStyle name="Note 2 23 2 26" xfId="36399"/>
    <cellStyle name="Note 2 23 2 26 2" xfId="36400"/>
    <cellStyle name="Note 2 23 2 27" xfId="36401"/>
    <cellStyle name="Note 2 23 2 27 2" xfId="36402"/>
    <cellStyle name="Note 2 23 2 28" xfId="36403"/>
    <cellStyle name="Note 2 23 2 28 2" xfId="36404"/>
    <cellStyle name="Note 2 23 2 29" xfId="36405"/>
    <cellStyle name="Note 2 23 2 29 2" xfId="36406"/>
    <cellStyle name="Note 2 23 2 3" xfId="36407"/>
    <cellStyle name="Note 2 23 2 3 2" xfId="36408"/>
    <cellStyle name="Note 2 23 2 3 3" xfId="36409"/>
    <cellStyle name="Note 2 23 2 30" xfId="36410"/>
    <cellStyle name="Note 2 23 2 30 2" xfId="36411"/>
    <cellStyle name="Note 2 23 2 31" xfId="36412"/>
    <cellStyle name="Note 2 23 2 4" xfId="36413"/>
    <cellStyle name="Note 2 23 2 4 2" xfId="36414"/>
    <cellStyle name="Note 2 23 2 5" xfId="36415"/>
    <cellStyle name="Note 2 23 2 5 2" xfId="36416"/>
    <cellStyle name="Note 2 23 2 6" xfId="36417"/>
    <cellStyle name="Note 2 23 2 6 2" xfId="36418"/>
    <cellStyle name="Note 2 23 2 7" xfId="36419"/>
    <cellStyle name="Note 2 23 2 7 2" xfId="36420"/>
    <cellStyle name="Note 2 23 2 8" xfId="36421"/>
    <cellStyle name="Note 2 23 2 8 2" xfId="36422"/>
    <cellStyle name="Note 2 23 2 9" xfId="36423"/>
    <cellStyle name="Note 2 23 2 9 2" xfId="36424"/>
    <cellStyle name="Note 2 23 20" xfId="36425"/>
    <cellStyle name="Note 2 23 20 2" xfId="36426"/>
    <cellStyle name="Note 2 23 21" xfId="36427"/>
    <cellStyle name="Note 2 23 21 2" xfId="36428"/>
    <cellStyle name="Note 2 23 22" xfId="36429"/>
    <cellStyle name="Note 2 23 22 2" xfId="36430"/>
    <cellStyle name="Note 2 23 23" xfId="36431"/>
    <cellStyle name="Note 2 23 23 2" xfId="36432"/>
    <cellStyle name="Note 2 23 24" xfId="36433"/>
    <cellStyle name="Note 2 23 24 2" xfId="36434"/>
    <cellStyle name="Note 2 23 25" xfId="36435"/>
    <cellStyle name="Note 2 23 25 2" xfId="36436"/>
    <cellStyle name="Note 2 23 26" xfId="36437"/>
    <cellStyle name="Note 2 23 26 2" xfId="36438"/>
    <cellStyle name="Note 2 23 27" xfId="36439"/>
    <cellStyle name="Note 2 23 27 2" xfId="36440"/>
    <cellStyle name="Note 2 23 28" xfId="36441"/>
    <cellStyle name="Note 2 23 28 2" xfId="36442"/>
    <cellStyle name="Note 2 23 29" xfId="36443"/>
    <cellStyle name="Note 2 23 29 2" xfId="36444"/>
    <cellStyle name="Note 2 23 3" xfId="36445"/>
    <cellStyle name="Note 2 23 3 2" xfId="36446"/>
    <cellStyle name="Note 2 23 3 2 2" xfId="36447"/>
    <cellStyle name="Note 2 23 3 3" xfId="36448"/>
    <cellStyle name="Note 2 23 3 3 2" xfId="36449"/>
    <cellStyle name="Note 2 23 3 4" xfId="36450"/>
    <cellStyle name="Note 2 23 3 4 2" xfId="36451"/>
    <cellStyle name="Note 2 23 3 5" xfId="36452"/>
    <cellStyle name="Note 2 23 30" xfId="36453"/>
    <cellStyle name="Note 2 23 30 2" xfId="36454"/>
    <cellStyle name="Note 2 23 31" xfId="36455"/>
    <cellStyle name="Note 2 23 31 2" xfId="36456"/>
    <cellStyle name="Note 2 23 32" xfId="36457"/>
    <cellStyle name="Note 2 23 32 2" xfId="36458"/>
    <cellStyle name="Note 2 23 33" xfId="36459"/>
    <cellStyle name="Note 2 23 33 2" xfId="36460"/>
    <cellStyle name="Note 2 23 34" xfId="36461"/>
    <cellStyle name="Note 2 23 34 2" xfId="36462"/>
    <cellStyle name="Note 2 23 35" xfId="36463"/>
    <cellStyle name="Note 2 23 35 2" xfId="36464"/>
    <cellStyle name="Note 2 23 36" xfId="36465"/>
    <cellStyle name="Note 2 23 36 2" xfId="36466"/>
    <cellStyle name="Note 2 23 37" xfId="36467"/>
    <cellStyle name="Note 2 23 37 2" xfId="36468"/>
    <cellStyle name="Note 2 23 38" xfId="36469"/>
    <cellStyle name="Note 2 23 38 2" xfId="36470"/>
    <cellStyle name="Note 2 23 39" xfId="36471"/>
    <cellStyle name="Note 2 23 39 2" xfId="36472"/>
    <cellStyle name="Note 2 23 4" xfId="36473"/>
    <cellStyle name="Note 2 23 4 10" xfId="36474"/>
    <cellStyle name="Note 2 23 4 11" xfId="36475"/>
    <cellStyle name="Note 2 23 4 12" xfId="36476"/>
    <cellStyle name="Note 2 23 4 13" xfId="36477"/>
    <cellStyle name="Note 2 23 4 2" xfId="36478"/>
    <cellStyle name="Note 2 23 4 2 2" xfId="36479"/>
    <cellStyle name="Note 2 23 4 2 3" xfId="36480"/>
    <cellStyle name="Note 2 23 4 3" xfId="36481"/>
    <cellStyle name="Note 2 23 4 3 2" xfId="36482"/>
    <cellStyle name="Note 2 23 4 4" xfId="36483"/>
    <cellStyle name="Note 2 23 4 4 2" xfId="36484"/>
    <cellStyle name="Note 2 23 4 5" xfId="36485"/>
    <cellStyle name="Note 2 23 4 5 2" xfId="36486"/>
    <cellStyle name="Note 2 23 4 5 3" xfId="36487"/>
    <cellStyle name="Note 2 23 4 5 4" xfId="36488"/>
    <cellStyle name="Note 2 23 4 5 5" xfId="36489"/>
    <cellStyle name="Note 2 23 4 5 6" xfId="36490"/>
    <cellStyle name="Note 2 23 4 6" xfId="36491"/>
    <cellStyle name="Note 2 23 4 6 2" xfId="36492"/>
    <cellStyle name="Note 2 23 4 7" xfId="36493"/>
    <cellStyle name="Note 2 23 4 7 2" xfId="36494"/>
    <cellStyle name="Note 2 23 4 8" xfId="36495"/>
    <cellStyle name="Note 2 23 4 8 2" xfId="36496"/>
    <cellStyle name="Note 2 23 4 9" xfId="36497"/>
    <cellStyle name="Note 2 23 4 9 2" xfId="36498"/>
    <cellStyle name="Note 2 23 40" xfId="36499"/>
    <cellStyle name="Note 2 23 40 2" xfId="36500"/>
    <cellStyle name="Note 2 23 41" xfId="36501"/>
    <cellStyle name="Note 2 23 41 2" xfId="36502"/>
    <cellStyle name="Note 2 23 42" xfId="36503"/>
    <cellStyle name="Note 2 23 42 2" xfId="36504"/>
    <cellStyle name="Note 2 23 43" xfId="36505"/>
    <cellStyle name="Note 2 23 43 2" xfId="36506"/>
    <cellStyle name="Note 2 23 44" xfId="36507"/>
    <cellStyle name="Note 2 23 44 2" xfId="36508"/>
    <cellStyle name="Note 2 23 45" xfId="36509"/>
    <cellStyle name="Note 2 23 45 2" xfId="36510"/>
    <cellStyle name="Note 2 23 46" xfId="36511"/>
    <cellStyle name="Note 2 23 46 2" xfId="36512"/>
    <cellStyle name="Note 2 23 47" xfId="36513"/>
    <cellStyle name="Note 2 23 47 2" xfId="36514"/>
    <cellStyle name="Note 2 23 48" xfId="36515"/>
    <cellStyle name="Note 2 23 48 2" xfId="36516"/>
    <cellStyle name="Note 2 23 49" xfId="36517"/>
    <cellStyle name="Note 2 23 49 2" xfId="36518"/>
    <cellStyle name="Note 2 23 5" xfId="36519"/>
    <cellStyle name="Note 2 23 5 2" xfId="36520"/>
    <cellStyle name="Note 2 23 5 2 2" xfId="36521"/>
    <cellStyle name="Note 2 23 5 3" xfId="36522"/>
    <cellStyle name="Note 2 23 5 3 2" xfId="36523"/>
    <cellStyle name="Note 2 23 5 4" xfId="36524"/>
    <cellStyle name="Note 2 23 5 4 2" xfId="36525"/>
    <cellStyle name="Note 2 23 5 5" xfId="36526"/>
    <cellStyle name="Note 2 23 50" xfId="36527"/>
    <cellStyle name="Note 2 23 50 2" xfId="36528"/>
    <cellStyle name="Note 2 23 51" xfId="36529"/>
    <cellStyle name="Note 2 23 51 2" xfId="36530"/>
    <cellStyle name="Note 2 23 52" xfId="36531"/>
    <cellStyle name="Note 2 23 52 2" xfId="36532"/>
    <cellStyle name="Note 2 23 53" xfId="36533"/>
    <cellStyle name="Note 2 23 53 2" xfId="36534"/>
    <cellStyle name="Note 2 23 54" xfId="36535"/>
    <cellStyle name="Note 2 23 54 2" xfId="36536"/>
    <cellStyle name="Note 2 23 55" xfId="36537"/>
    <cellStyle name="Note 2 23 55 2" xfId="36538"/>
    <cellStyle name="Note 2 23 56" xfId="36539"/>
    <cellStyle name="Note 2 23 56 2" xfId="36540"/>
    <cellStyle name="Note 2 23 57" xfId="36541"/>
    <cellStyle name="Note 2 23 57 2" xfId="36542"/>
    <cellStyle name="Note 2 23 58" xfId="36543"/>
    <cellStyle name="Note 2 23 58 2" xfId="36544"/>
    <cellStyle name="Note 2 23 59" xfId="36545"/>
    <cellStyle name="Note 2 23 59 2" xfId="36546"/>
    <cellStyle name="Note 2 23 6" xfId="36547"/>
    <cellStyle name="Note 2 23 6 2" xfId="36548"/>
    <cellStyle name="Note 2 23 6 2 2" xfId="36549"/>
    <cellStyle name="Note 2 23 6 3" xfId="36550"/>
    <cellStyle name="Note 2 23 6 3 2" xfId="36551"/>
    <cellStyle name="Note 2 23 6 4" xfId="36552"/>
    <cellStyle name="Note 2 23 6 4 2" xfId="36553"/>
    <cellStyle name="Note 2 23 6 5" xfId="36554"/>
    <cellStyle name="Note 2 23 60" xfId="36555"/>
    <cellStyle name="Note 2 23 60 2" xfId="36556"/>
    <cellStyle name="Note 2 23 61" xfId="36557"/>
    <cellStyle name="Note 2 23 61 2" xfId="36558"/>
    <cellStyle name="Note 2 23 61 3" xfId="36559"/>
    <cellStyle name="Note 2 23 61 4" xfId="36560"/>
    <cellStyle name="Note 2 23 61 5" xfId="36561"/>
    <cellStyle name="Note 2 23 61 6" xfId="36562"/>
    <cellStyle name="Note 2 23 62" xfId="36563"/>
    <cellStyle name="Note 2 23 62 2" xfId="36564"/>
    <cellStyle name="Note 2 23 63" xfId="36565"/>
    <cellStyle name="Note 2 23 63 2" xfId="36566"/>
    <cellStyle name="Note 2 23 64" xfId="36567"/>
    <cellStyle name="Note 2 23 64 2" xfId="36568"/>
    <cellStyle name="Note 2 23 65" xfId="36569"/>
    <cellStyle name="Note 2 23 65 2" xfId="36570"/>
    <cellStyle name="Note 2 23 66" xfId="36571"/>
    <cellStyle name="Note 2 23 67" xfId="36572"/>
    <cellStyle name="Note 2 23 68" xfId="36573"/>
    <cellStyle name="Note 2 23 69" xfId="36574"/>
    <cellStyle name="Note 2 23 7" xfId="36575"/>
    <cellStyle name="Note 2 23 7 2" xfId="36576"/>
    <cellStyle name="Note 2 23 7 2 2" xfId="36577"/>
    <cellStyle name="Note 2 23 7 3" xfId="36578"/>
    <cellStyle name="Note 2 23 7 3 2" xfId="36579"/>
    <cellStyle name="Note 2 23 7 4" xfId="36580"/>
    <cellStyle name="Note 2 23 7 4 2" xfId="36581"/>
    <cellStyle name="Note 2 23 7 5" xfId="36582"/>
    <cellStyle name="Note 2 23 8" xfId="36583"/>
    <cellStyle name="Note 2 23 8 2" xfId="36584"/>
    <cellStyle name="Note 2 23 8 2 2" xfId="36585"/>
    <cellStyle name="Note 2 23 8 3" xfId="36586"/>
    <cellStyle name="Note 2 23 8 3 2" xfId="36587"/>
    <cellStyle name="Note 2 23 8 4" xfId="36588"/>
    <cellStyle name="Note 2 23 8 4 2" xfId="36589"/>
    <cellStyle name="Note 2 23 8 5" xfId="36590"/>
    <cellStyle name="Note 2 23 9" xfId="36591"/>
    <cellStyle name="Note 2 23 9 2" xfId="36592"/>
    <cellStyle name="Note 2 23 9 2 2" xfId="36593"/>
    <cellStyle name="Note 2 23 9 3" xfId="36594"/>
    <cellStyle name="Note 2 23 9 3 2" xfId="36595"/>
    <cellStyle name="Note 2 23 9 4" xfId="36596"/>
    <cellStyle name="Note 2 23 9 4 2" xfId="36597"/>
    <cellStyle name="Note 2 23 9 5" xfId="36598"/>
    <cellStyle name="Note 2 24" xfId="36599"/>
    <cellStyle name="Note 2 24 10" xfId="36600"/>
    <cellStyle name="Note 2 24 10 2" xfId="36601"/>
    <cellStyle name="Note 2 24 10 2 2" xfId="36602"/>
    <cellStyle name="Note 2 24 10 3" xfId="36603"/>
    <cellStyle name="Note 2 24 10 3 2" xfId="36604"/>
    <cellStyle name="Note 2 24 10 4" xfId="36605"/>
    <cellStyle name="Note 2 24 10 4 2" xfId="36606"/>
    <cellStyle name="Note 2 24 10 5" xfId="36607"/>
    <cellStyle name="Note 2 24 11" xfId="36608"/>
    <cellStyle name="Note 2 24 11 2" xfId="36609"/>
    <cellStyle name="Note 2 24 11 2 2" xfId="36610"/>
    <cellStyle name="Note 2 24 11 3" xfId="36611"/>
    <cellStyle name="Note 2 24 11 3 2" xfId="36612"/>
    <cellStyle name="Note 2 24 11 4" xfId="36613"/>
    <cellStyle name="Note 2 24 11 4 2" xfId="36614"/>
    <cellStyle name="Note 2 24 11 5" xfId="36615"/>
    <cellStyle name="Note 2 24 12" xfId="36616"/>
    <cellStyle name="Note 2 24 12 2" xfId="36617"/>
    <cellStyle name="Note 2 24 12 2 2" xfId="36618"/>
    <cellStyle name="Note 2 24 12 3" xfId="36619"/>
    <cellStyle name="Note 2 24 12 3 2" xfId="36620"/>
    <cellStyle name="Note 2 24 12 4" xfId="36621"/>
    <cellStyle name="Note 2 24 12 4 2" xfId="36622"/>
    <cellStyle name="Note 2 24 12 5" xfId="36623"/>
    <cellStyle name="Note 2 24 13" xfId="36624"/>
    <cellStyle name="Note 2 24 13 2" xfId="36625"/>
    <cellStyle name="Note 2 24 13 2 2" xfId="36626"/>
    <cellStyle name="Note 2 24 13 3" xfId="36627"/>
    <cellStyle name="Note 2 24 13 3 2" xfId="36628"/>
    <cellStyle name="Note 2 24 13 4" xfId="36629"/>
    <cellStyle name="Note 2 24 13 4 2" xfId="36630"/>
    <cellStyle name="Note 2 24 13 5" xfId="36631"/>
    <cellStyle name="Note 2 24 14" xfId="36632"/>
    <cellStyle name="Note 2 24 14 2" xfId="36633"/>
    <cellStyle name="Note 2 24 14 2 2" xfId="36634"/>
    <cellStyle name="Note 2 24 14 3" xfId="36635"/>
    <cellStyle name="Note 2 24 14 3 2" xfId="36636"/>
    <cellStyle name="Note 2 24 14 4" xfId="36637"/>
    <cellStyle name="Note 2 24 14 4 2" xfId="36638"/>
    <cellStyle name="Note 2 24 14 5" xfId="36639"/>
    <cellStyle name="Note 2 24 15" xfId="36640"/>
    <cellStyle name="Note 2 24 15 2" xfId="36641"/>
    <cellStyle name="Note 2 24 15 2 2" xfId="36642"/>
    <cellStyle name="Note 2 24 15 3" xfId="36643"/>
    <cellStyle name="Note 2 24 15 3 2" xfId="36644"/>
    <cellStyle name="Note 2 24 15 4" xfId="36645"/>
    <cellStyle name="Note 2 24 15 4 2" xfId="36646"/>
    <cellStyle name="Note 2 24 15 5" xfId="36647"/>
    <cellStyle name="Note 2 24 16" xfId="36648"/>
    <cellStyle name="Note 2 24 16 2" xfId="36649"/>
    <cellStyle name="Note 2 24 16 2 2" xfId="36650"/>
    <cellStyle name="Note 2 24 16 3" xfId="36651"/>
    <cellStyle name="Note 2 24 16 3 2" xfId="36652"/>
    <cellStyle name="Note 2 24 16 4" xfId="36653"/>
    <cellStyle name="Note 2 24 16 4 2" xfId="36654"/>
    <cellStyle name="Note 2 24 16 5" xfId="36655"/>
    <cellStyle name="Note 2 24 17" xfId="36656"/>
    <cellStyle name="Note 2 24 17 2" xfId="36657"/>
    <cellStyle name="Note 2 24 17 2 2" xfId="36658"/>
    <cellStyle name="Note 2 24 17 3" xfId="36659"/>
    <cellStyle name="Note 2 24 17 3 2" xfId="36660"/>
    <cellStyle name="Note 2 24 17 4" xfId="36661"/>
    <cellStyle name="Note 2 24 17 4 2" xfId="36662"/>
    <cellStyle name="Note 2 24 17 5" xfId="36663"/>
    <cellStyle name="Note 2 24 18" xfId="36664"/>
    <cellStyle name="Note 2 24 18 2" xfId="36665"/>
    <cellStyle name="Note 2 24 18 2 2" xfId="36666"/>
    <cellStyle name="Note 2 24 18 3" xfId="36667"/>
    <cellStyle name="Note 2 24 18 3 2" xfId="36668"/>
    <cellStyle name="Note 2 24 18 4" xfId="36669"/>
    <cellStyle name="Note 2 24 18 4 2" xfId="36670"/>
    <cellStyle name="Note 2 24 18 5" xfId="36671"/>
    <cellStyle name="Note 2 24 19" xfId="36672"/>
    <cellStyle name="Note 2 24 19 10" xfId="36673"/>
    <cellStyle name="Note 2 24 19 11" xfId="36674"/>
    <cellStyle name="Note 2 24 19 2" xfId="36675"/>
    <cellStyle name="Note 2 24 19 2 2" xfId="36676"/>
    <cellStyle name="Note 2 24 19 2 3" xfId="36677"/>
    <cellStyle name="Note 2 24 19 2 4" xfId="36678"/>
    <cellStyle name="Note 2 24 19 2 5" xfId="36679"/>
    <cellStyle name="Note 2 24 19 2 6" xfId="36680"/>
    <cellStyle name="Note 2 24 19 3" xfId="36681"/>
    <cellStyle name="Note 2 24 19 3 2" xfId="36682"/>
    <cellStyle name="Note 2 24 19 4" xfId="36683"/>
    <cellStyle name="Note 2 24 19 4 2" xfId="36684"/>
    <cellStyle name="Note 2 24 19 5" xfId="36685"/>
    <cellStyle name="Note 2 24 19 5 2" xfId="36686"/>
    <cellStyle name="Note 2 24 19 6" xfId="36687"/>
    <cellStyle name="Note 2 24 19 6 2" xfId="36688"/>
    <cellStyle name="Note 2 24 19 7" xfId="36689"/>
    <cellStyle name="Note 2 24 19 7 2" xfId="36690"/>
    <cellStyle name="Note 2 24 19 8" xfId="36691"/>
    <cellStyle name="Note 2 24 19 9" xfId="36692"/>
    <cellStyle name="Note 2 24 2" xfId="36693"/>
    <cellStyle name="Note 2 24 2 10" xfId="36694"/>
    <cellStyle name="Note 2 24 2 10 2" xfId="36695"/>
    <cellStyle name="Note 2 24 2 11" xfId="36696"/>
    <cellStyle name="Note 2 24 2 11 2" xfId="36697"/>
    <cellStyle name="Note 2 24 2 12" xfId="36698"/>
    <cellStyle name="Note 2 24 2 12 2" xfId="36699"/>
    <cellStyle name="Note 2 24 2 13" xfId="36700"/>
    <cellStyle name="Note 2 24 2 13 2" xfId="36701"/>
    <cellStyle name="Note 2 24 2 14" xfId="36702"/>
    <cellStyle name="Note 2 24 2 14 2" xfId="36703"/>
    <cellStyle name="Note 2 24 2 15" xfId="36704"/>
    <cellStyle name="Note 2 24 2 15 2" xfId="36705"/>
    <cellStyle name="Note 2 24 2 16" xfId="36706"/>
    <cellStyle name="Note 2 24 2 16 2" xfId="36707"/>
    <cellStyle name="Note 2 24 2 17" xfId="36708"/>
    <cellStyle name="Note 2 24 2 17 2" xfId="36709"/>
    <cellStyle name="Note 2 24 2 18" xfId="36710"/>
    <cellStyle name="Note 2 24 2 18 2" xfId="36711"/>
    <cellStyle name="Note 2 24 2 19" xfId="36712"/>
    <cellStyle name="Note 2 24 2 19 2" xfId="36713"/>
    <cellStyle name="Note 2 24 2 2" xfId="36714"/>
    <cellStyle name="Note 2 24 2 2 2" xfId="36715"/>
    <cellStyle name="Note 2 24 2 2 3" xfId="36716"/>
    <cellStyle name="Note 2 24 2 20" xfId="36717"/>
    <cellStyle name="Note 2 24 2 20 2" xfId="36718"/>
    <cellStyle name="Note 2 24 2 21" xfId="36719"/>
    <cellStyle name="Note 2 24 2 21 2" xfId="36720"/>
    <cellStyle name="Note 2 24 2 22" xfId="36721"/>
    <cellStyle name="Note 2 24 2 22 2" xfId="36722"/>
    <cellStyle name="Note 2 24 2 23" xfId="36723"/>
    <cellStyle name="Note 2 24 2 23 2" xfId="36724"/>
    <cellStyle name="Note 2 24 2 24" xfId="36725"/>
    <cellStyle name="Note 2 24 2 24 2" xfId="36726"/>
    <cellStyle name="Note 2 24 2 25" xfId="36727"/>
    <cellStyle name="Note 2 24 2 25 2" xfId="36728"/>
    <cellStyle name="Note 2 24 2 26" xfId="36729"/>
    <cellStyle name="Note 2 24 2 26 2" xfId="36730"/>
    <cellStyle name="Note 2 24 2 27" xfId="36731"/>
    <cellStyle name="Note 2 24 2 27 2" xfId="36732"/>
    <cellStyle name="Note 2 24 2 28" xfId="36733"/>
    <cellStyle name="Note 2 24 2 28 2" xfId="36734"/>
    <cellStyle name="Note 2 24 2 29" xfId="36735"/>
    <cellStyle name="Note 2 24 2 29 2" xfId="36736"/>
    <cellStyle name="Note 2 24 2 3" xfId="36737"/>
    <cellStyle name="Note 2 24 2 3 2" xfId="36738"/>
    <cellStyle name="Note 2 24 2 3 3" xfId="36739"/>
    <cellStyle name="Note 2 24 2 30" xfId="36740"/>
    <cellStyle name="Note 2 24 2 30 2" xfId="36741"/>
    <cellStyle name="Note 2 24 2 31" xfId="36742"/>
    <cellStyle name="Note 2 24 2 4" xfId="36743"/>
    <cellStyle name="Note 2 24 2 4 2" xfId="36744"/>
    <cellStyle name="Note 2 24 2 5" xfId="36745"/>
    <cellStyle name="Note 2 24 2 5 2" xfId="36746"/>
    <cellStyle name="Note 2 24 2 6" xfId="36747"/>
    <cellStyle name="Note 2 24 2 6 2" xfId="36748"/>
    <cellStyle name="Note 2 24 2 7" xfId="36749"/>
    <cellStyle name="Note 2 24 2 7 2" xfId="36750"/>
    <cellStyle name="Note 2 24 2 8" xfId="36751"/>
    <cellStyle name="Note 2 24 2 8 2" xfId="36752"/>
    <cellStyle name="Note 2 24 2 9" xfId="36753"/>
    <cellStyle name="Note 2 24 2 9 2" xfId="36754"/>
    <cellStyle name="Note 2 24 20" xfId="36755"/>
    <cellStyle name="Note 2 24 20 2" xfId="36756"/>
    <cellStyle name="Note 2 24 21" xfId="36757"/>
    <cellStyle name="Note 2 24 21 2" xfId="36758"/>
    <cellStyle name="Note 2 24 22" xfId="36759"/>
    <cellStyle name="Note 2 24 22 2" xfId="36760"/>
    <cellStyle name="Note 2 24 23" xfId="36761"/>
    <cellStyle name="Note 2 24 23 2" xfId="36762"/>
    <cellStyle name="Note 2 24 24" xfId="36763"/>
    <cellStyle name="Note 2 24 24 2" xfId="36764"/>
    <cellStyle name="Note 2 24 25" xfId="36765"/>
    <cellStyle name="Note 2 24 25 2" xfId="36766"/>
    <cellStyle name="Note 2 24 26" xfId="36767"/>
    <cellStyle name="Note 2 24 26 2" xfId="36768"/>
    <cellStyle name="Note 2 24 27" xfId="36769"/>
    <cellStyle name="Note 2 24 27 2" xfId="36770"/>
    <cellStyle name="Note 2 24 28" xfId="36771"/>
    <cellStyle name="Note 2 24 28 2" xfId="36772"/>
    <cellStyle name="Note 2 24 29" xfId="36773"/>
    <cellStyle name="Note 2 24 29 2" xfId="36774"/>
    <cellStyle name="Note 2 24 3" xfId="36775"/>
    <cellStyle name="Note 2 24 3 2" xfId="36776"/>
    <cellStyle name="Note 2 24 3 2 2" xfId="36777"/>
    <cellStyle name="Note 2 24 3 3" xfId="36778"/>
    <cellStyle name="Note 2 24 3 3 2" xfId="36779"/>
    <cellStyle name="Note 2 24 3 4" xfId="36780"/>
    <cellStyle name="Note 2 24 3 4 2" xfId="36781"/>
    <cellStyle name="Note 2 24 3 5" xfId="36782"/>
    <cellStyle name="Note 2 24 30" xfId="36783"/>
    <cellStyle name="Note 2 24 30 2" xfId="36784"/>
    <cellStyle name="Note 2 24 31" xfId="36785"/>
    <cellStyle name="Note 2 24 31 2" xfId="36786"/>
    <cellStyle name="Note 2 24 32" xfId="36787"/>
    <cellStyle name="Note 2 24 32 2" xfId="36788"/>
    <cellStyle name="Note 2 24 33" xfId="36789"/>
    <cellStyle name="Note 2 24 33 2" xfId="36790"/>
    <cellStyle name="Note 2 24 34" xfId="36791"/>
    <cellStyle name="Note 2 24 34 2" xfId="36792"/>
    <cellStyle name="Note 2 24 35" xfId="36793"/>
    <cellStyle name="Note 2 24 35 2" xfId="36794"/>
    <cellStyle name="Note 2 24 36" xfId="36795"/>
    <cellStyle name="Note 2 24 36 2" xfId="36796"/>
    <cellStyle name="Note 2 24 37" xfId="36797"/>
    <cellStyle name="Note 2 24 37 2" xfId="36798"/>
    <cellStyle name="Note 2 24 38" xfId="36799"/>
    <cellStyle name="Note 2 24 38 2" xfId="36800"/>
    <cellStyle name="Note 2 24 39" xfId="36801"/>
    <cellStyle name="Note 2 24 39 2" xfId="36802"/>
    <cellStyle name="Note 2 24 4" xfId="36803"/>
    <cellStyle name="Note 2 24 4 10" xfId="36804"/>
    <cellStyle name="Note 2 24 4 11" xfId="36805"/>
    <cellStyle name="Note 2 24 4 12" xfId="36806"/>
    <cellStyle name="Note 2 24 4 13" xfId="36807"/>
    <cellStyle name="Note 2 24 4 2" xfId="36808"/>
    <cellStyle name="Note 2 24 4 2 2" xfId="36809"/>
    <cellStyle name="Note 2 24 4 2 3" xfId="36810"/>
    <cellStyle name="Note 2 24 4 3" xfId="36811"/>
    <cellStyle name="Note 2 24 4 3 2" xfId="36812"/>
    <cellStyle name="Note 2 24 4 4" xfId="36813"/>
    <cellStyle name="Note 2 24 4 4 2" xfId="36814"/>
    <cellStyle name="Note 2 24 4 5" xfId="36815"/>
    <cellStyle name="Note 2 24 4 5 2" xfId="36816"/>
    <cellStyle name="Note 2 24 4 5 3" xfId="36817"/>
    <cellStyle name="Note 2 24 4 5 4" xfId="36818"/>
    <cellStyle name="Note 2 24 4 5 5" xfId="36819"/>
    <cellStyle name="Note 2 24 4 5 6" xfId="36820"/>
    <cellStyle name="Note 2 24 4 6" xfId="36821"/>
    <cellStyle name="Note 2 24 4 6 2" xfId="36822"/>
    <cellStyle name="Note 2 24 4 7" xfId="36823"/>
    <cellStyle name="Note 2 24 4 7 2" xfId="36824"/>
    <cellStyle name="Note 2 24 4 8" xfId="36825"/>
    <cellStyle name="Note 2 24 4 8 2" xfId="36826"/>
    <cellStyle name="Note 2 24 4 9" xfId="36827"/>
    <cellStyle name="Note 2 24 4 9 2" xfId="36828"/>
    <cellStyle name="Note 2 24 40" xfId="36829"/>
    <cellStyle name="Note 2 24 40 2" xfId="36830"/>
    <cellStyle name="Note 2 24 41" xfId="36831"/>
    <cellStyle name="Note 2 24 41 2" xfId="36832"/>
    <cellStyle name="Note 2 24 42" xfId="36833"/>
    <cellStyle name="Note 2 24 42 2" xfId="36834"/>
    <cellStyle name="Note 2 24 43" xfId="36835"/>
    <cellStyle name="Note 2 24 43 2" xfId="36836"/>
    <cellStyle name="Note 2 24 44" xfId="36837"/>
    <cellStyle name="Note 2 24 44 2" xfId="36838"/>
    <cellStyle name="Note 2 24 45" xfId="36839"/>
    <cellStyle name="Note 2 24 45 2" xfId="36840"/>
    <cellStyle name="Note 2 24 46" xfId="36841"/>
    <cellStyle name="Note 2 24 46 2" xfId="36842"/>
    <cellStyle name="Note 2 24 47" xfId="36843"/>
    <cellStyle name="Note 2 24 47 2" xfId="36844"/>
    <cellStyle name="Note 2 24 48" xfId="36845"/>
    <cellStyle name="Note 2 24 48 2" xfId="36846"/>
    <cellStyle name="Note 2 24 49" xfId="36847"/>
    <cellStyle name="Note 2 24 49 2" xfId="36848"/>
    <cellStyle name="Note 2 24 5" xfId="36849"/>
    <cellStyle name="Note 2 24 5 2" xfId="36850"/>
    <cellStyle name="Note 2 24 5 2 2" xfId="36851"/>
    <cellStyle name="Note 2 24 5 3" xfId="36852"/>
    <cellStyle name="Note 2 24 5 3 2" xfId="36853"/>
    <cellStyle name="Note 2 24 5 4" xfId="36854"/>
    <cellStyle name="Note 2 24 5 4 2" xfId="36855"/>
    <cellStyle name="Note 2 24 5 5" xfId="36856"/>
    <cellStyle name="Note 2 24 50" xfId="36857"/>
    <cellStyle name="Note 2 24 50 2" xfId="36858"/>
    <cellStyle name="Note 2 24 51" xfId="36859"/>
    <cellStyle name="Note 2 24 51 2" xfId="36860"/>
    <cellStyle name="Note 2 24 52" xfId="36861"/>
    <cellStyle name="Note 2 24 52 2" xfId="36862"/>
    <cellStyle name="Note 2 24 53" xfId="36863"/>
    <cellStyle name="Note 2 24 53 2" xfId="36864"/>
    <cellStyle name="Note 2 24 54" xfId="36865"/>
    <cellStyle name="Note 2 24 54 2" xfId="36866"/>
    <cellStyle name="Note 2 24 55" xfId="36867"/>
    <cellStyle name="Note 2 24 55 2" xfId="36868"/>
    <cellStyle name="Note 2 24 56" xfId="36869"/>
    <cellStyle name="Note 2 24 56 2" xfId="36870"/>
    <cellStyle name="Note 2 24 57" xfId="36871"/>
    <cellStyle name="Note 2 24 57 2" xfId="36872"/>
    <cellStyle name="Note 2 24 58" xfId="36873"/>
    <cellStyle name="Note 2 24 58 2" xfId="36874"/>
    <cellStyle name="Note 2 24 59" xfId="36875"/>
    <cellStyle name="Note 2 24 59 2" xfId="36876"/>
    <cellStyle name="Note 2 24 6" xfId="36877"/>
    <cellStyle name="Note 2 24 6 2" xfId="36878"/>
    <cellStyle name="Note 2 24 6 2 2" xfId="36879"/>
    <cellStyle name="Note 2 24 6 3" xfId="36880"/>
    <cellStyle name="Note 2 24 6 3 2" xfId="36881"/>
    <cellStyle name="Note 2 24 6 4" xfId="36882"/>
    <cellStyle name="Note 2 24 6 4 2" xfId="36883"/>
    <cellStyle name="Note 2 24 6 5" xfId="36884"/>
    <cellStyle name="Note 2 24 60" xfId="36885"/>
    <cellStyle name="Note 2 24 60 2" xfId="36886"/>
    <cellStyle name="Note 2 24 61" xfId="36887"/>
    <cellStyle name="Note 2 24 61 2" xfId="36888"/>
    <cellStyle name="Note 2 24 61 3" xfId="36889"/>
    <cellStyle name="Note 2 24 61 4" xfId="36890"/>
    <cellStyle name="Note 2 24 61 5" xfId="36891"/>
    <cellStyle name="Note 2 24 61 6" xfId="36892"/>
    <cellStyle name="Note 2 24 62" xfId="36893"/>
    <cellStyle name="Note 2 24 62 2" xfId="36894"/>
    <cellStyle name="Note 2 24 63" xfId="36895"/>
    <cellStyle name="Note 2 24 63 2" xfId="36896"/>
    <cellStyle name="Note 2 24 64" xfId="36897"/>
    <cellStyle name="Note 2 24 64 2" xfId="36898"/>
    <cellStyle name="Note 2 24 65" xfId="36899"/>
    <cellStyle name="Note 2 24 65 2" xfId="36900"/>
    <cellStyle name="Note 2 24 66" xfId="36901"/>
    <cellStyle name="Note 2 24 67" xfId="36902"/>
    <cellStyle name="Note 2 24 68" xfId="36903"/>
    <cellStyle name="Note 2 24 69" xfId="36904"/>
    <cellStyle name="Note 2 24 7" xfId="36905"/>
    <cellStyle name="Note 2 24 7 2" xfId="36906"/>
    <cellStyle name="Note 2 24 7 2 2" xfId="36907"/>
    <cellStyle name="Note 2 24 7 3" xfId="36908"/>
    <cellStyle name="Note 2 24 7 3 2" xfId="36909"/>
    <cellStyle name="Note 2 24 7 4" xfId="36910"/>
    <cellStyle name="Note 2 24 7 4 2" xfId="36911"/>
    <cellStyle name="Note 2 24 7 5" xfId="36912"/>
    <cellStyle name="Note 2 24 8" xfId="36913"/>
    <cellStyle name="Note 2 24 8 2" xfId="36914"/>
    <cellStyle name="Note 2 24 8 2 2" xfId="36915"/>
    <cellStyle name="Note 2 24 8 3" xfId="36916"/>
    <cellStyle name="Note 2 24 8 3 2" xfId="36917"/>
    <cellStyle name="Note 2 24 8 4" xfId="36918"/>
    <cellStyle name="Note 2 24 8 4 2" xfId="36919"/>
    <cellStyle name="Note 2 24 8 5" xfId="36920"/>
    <cellStyle name="Note 2 24 9" xfId="36921"/>
    <cellStyle name="Note 2 24 9 2" xfId="36922"/>
    <cellStyle name="Note 2 24 9 2 2" xfId="36923"/>
    <cellStyle name="Note 2 24 9 3" xfId="36924"/>
    <cellStyle name="Note 2 24 9 3 2" xfId="36925"/>
    <cellStyle name="Note 2 24 9 4" xfId="36926"/>
    <cellStyle name="Note 2 24 9 4 2" xfId="36927"/>
    <cellStyle name="Note 2 24 9 5" xfId="36928"/>
    <cellStyle name="Note 2 25" xfId="36929"/>
    <cellStyle name="Note 2 25 10" xfId="36930"/>
    <cellStyle name="Note 2 25 10 2" xfId="36931"/>
    <cellStyle name="Note 2 25 10 2 2" xfId="36932"/>
    <cellStyle name="Note 2 25 10 3" xfId="36933"/>
    <cellStyle name="Note 2 25 10 3 2" xfId="36934"/>
    <cellStyle name="Note 2 25 10 4" xfId="36935"/>
    <cellStyle name="Note 2 25 10 4 2" xfId="36936"/>
    <cellStyle name="Note 2 25 10 5" xfId="36937"/>
    <cellStyle name="Note 2 25 11" xfId="36938"/>
    <cellStyle name="Note 2 25 11 2" xfId="36939"/>
    <cellStyle name="Note 2 25 11 2 2" xfId="36940"/>
    <cellStyle name="Note 2 25 11 3" xfId="36941"/>
    <cellStyle name="Note 2 25 11 3 2" xfId="36942"/>
    <cellStyle name="Note 2 25 11 4" xfId="36943"/>
    <cellStyle name="Note 2 25 11 4 2" xfId="36944"/>
    <cellStyle name="Note 2 25 11 5" xfId="36945"/>
    <cellStyle name="Note 2 25 12" xfId="36946"/>
    <cellStyle name="Note 2 25 12 2" xfId="36947"/>
    <cellStyle name="Note 2 25 12 2 2" xfId="36948"/>
    <cellStyle name="Note 2 25 12 3" xfId="36949"/>
    <cellStyle name="Note 2 25 12 3 2" xfId="36950"/>
    <cellStyle name="Note 2 25 12 4" xfId="36951"/>
    <cellStyle name="Note 2 25 12 4 2" xfId="36952"/>
    <cellStyle name="Note 2 25 12 5" xfId="36953"/>
    <cellStyle name="Note 2 25 13" xfId="36954"/>
    <cellStyle name="Note 2 25 13 2" xfId="36955"/>
    <cellStyle name="Note 2 25 13 2 2" xfId="36956"/>
    <cellStyle name="Note 2 25 13 3" xfId="36957"/>
    <cellStyle name="Note 2 25 13 3 2" xfId="36958"/>
    <cellStyle name="Note 2 25 13 4" xfId="36959"/>
    <cellStyle name="Note 2 25 13 4 2" xfId="36960"/>
    <cellStyle name="Note 2 25 13 5" xfId="36961"/>
    <cellStyle name="Note 2 25 14" xfId="36962"/>
    <cellStyle name="Note 2 25 14 2" xfId="36963"/>
    <cellStyle name="Note 2 25 14 2 2" xfId="36964"/>
    <cellStyle name="Note 2 25 14 3" xfId="36965"/>
    <cellStyle name="Note 2 25 14 3 2" xfId="36966"/>
    <cellStyle name="Note 2 25 14 4" xfId="36967"/>
    <cellStyle name="Note 2 25 14 4 2" xfId="36968"/>
    <cellStyle name="Note 2 25 14 5" xfId="36969"/>
    <cellStyle name="Note 2 25 15" xfId="36970"/>
    <cellStyle name="Note 2 25 15 2" xfId="36971"/>
    <cellStyle name="Note 2 25 15 2 2" xfId="36972"/>
    <cellStyle name="Note 2 25 15 3" xfId="36973"/>
    <cellStyle name="Note 2 25 15 3 2" xfId="36974"/>
    <cellStyle name="Note 2 25 15 4" xfId="36975"/>
    <cellStyle name="Note 2 25 15 4 2" xfId="36976"/>
    <cellStyle name="Note 2 25 15 5" xfId="36977"/>
    <cellStyle name="Note 2 25 16" xfId="36978"/>
    <cellStyle name="Note 2 25 16 2" xfId="36979"/>
    <cellStyle name="Note 2 25 16 2 2" xfId="36980"/>
    <cellStyle name="Note 2 25 16 3" xfId="36981"/>
    <cellStyle name="Note 2 25 16 3 2" xfId="36982"/>
    <cellStyle name="Note 2 25 16 4" xfId="36983"/>
    <cellStyle name="Note 2 25 16 4 2" xfId="36984"/>
    <cellStyle name="Note 2 25 16 5" xfId="36985"/>
    <cellStyle name="Note 2 25 17" xfId="36986"/>
    <cellStyle name="Note 2 25 17 2" xfId="36987"/>
    <cellStyle name="Note 2 25 17 2 2" xfId="36988"/>
    <cellStyle name="Note 2 25 17 3" xfId="36989"/>
    <cellStyle name="Note 2 25 17 3 2" xfId="36990"/>
    <cellStyle name="Note 2 25 17 4" xfId="36991"/>
    <cellStyle name="Note 2 25 17 4 2" xfId="36992"/>
    <cellStyle name="Note 2 25 17 5" xfId="36993"/>
    <cellStyle name="Note 2 25 18" xfId="36994"/>
    <cellStyle name="Note 2 25 18 2" xfId="36995"/>
    <cellStyle name="Note 2 25 18 2 2" xfId="36996"/>
    <cellStyle name="Note 2 25 18 3" xfId="36997"/>
    <cellStyle name="Note 2 25 18 3 2" xfId="36998"/>
    <cellStyle name="Note 2 25 18 4" xfId="36999"/>
    <cellStyle name="Note 2 25 18 4 2" xfId="37000"/>
    <cellStyle name="Note 2 25 18 5" xfId="37001"/>
    <cellStyle name="Note 2 25 19" xfId="37002"/>
    <cellStyle name="Note 2 25 19 10" xfId="37003"/>
    <cellStyle name="Note 2 25 19 11" xfId="37004"/>
    <cellStyle name="Note 2 25 19 2" xfId="37005"/>
    <cellStyle name="Note 2 25 19 2 2" xfId="37006"/>
    <cellStyle name="Note 2 25 19 2 3" xfId="37007"/>
    <cellStyle name="Note 2 25 19 2 4" xfId="37008"/>
    <cellStyle name="Note 2 25 19 2 5" xfId="37009"/>
    <cellStyle name="Note 2 25 19 2 6" xfId="37010"/>
    <cellStyle name="Note 2 25 19 3" xfId="37011"/>
    <cellStyle name="Note 2 25 19 3 2" xfId="37012"/>
    <cellStyle name="Note 2 25 19 4" xfId="37013"/>
    <cellStyle name="Note 2 25 19 4 2" xfId="37014"/>
    <cellStyle name="Note 2 25 19 5" xfId="37015"/>
    <cellStyle name="Note 2 25 19 5 2" xfId="37016"/>
    <cellStyle name="Note 2 25 19 6" xfId="37017"/>
    <cellStyle name="Note 2 25 19 6 2" xfId="37018"/>
    <cellStyle name="Note 2 25 19 7" xfId="37019"/>
    <cellStyle name="Note 2 25 19 7 2" xfId="37020"/>
    <cellStyle name="Note 2 25 19 8" xfId="37021"/>
    <cellStyle name="Note 2 25 19 9" xfId="37022"/>
    <cellStyle name="Note 2 25 2" xfId="37023"/>
    <cellStyle name="Note 2 25 2 10" xfId="37024"/>
    <cellStyle name="Note 2 25 2 10 2" xfId="37025"/>
    <cellStyle name="Note 2 25 2 11" xfId="37026"/>
    <cellStyle name="Note 2 25 2 11 2" xfId="37027"/>
    <cellStyle name="Note 2 25 2 12" xfId="37028"/>
    <cellStyle name="Note 2 25 2 12 2" xfId="37029"/>
    <cellStyle name="Note 2 25 2 13" xfId="37030"/>
    <cellStyle name="Note 2 25 2 13 2" xfId="37031"/>
    <cellStyle name="Note 2 25 2 14" xfId="37032"/>
    <cellStyle name="Note 2 25 2 14 2" xfId="37033"/>
    <cellStyle name="Note 2 25 2 15" xfId="37034"/>
    <cellStyle name="Note 2 25 2 15 2" xfId="37035"/>
    <cellStyle name="Note 2 25 2 16" xfId="37036"/>
    <cellStyle name="Note 2 25 2 16 2" xfId="37037"/>
    <cellStyle name="Note 2 25 2 17" xfId="37038"/>
    <cellStyle name="Note 2 25 2 17 2" xfId="37039"/>
    <cellStyle name="Note 2 25 2 18" xfId="37040"/>
    <cellStyle name="Note 2 25 2 18 2" xfId="37041"/>
    <cellStyle name="Note 2 25 2 19" xfId="37042"/>
    <cellStyle name="Note 2 25 2 19 2" xfId="37043"/>
    <cellStyle name="Note 2 25 2 2" xfId="37044"/>
    <cellStyle name="Note 2 25 2 2 2" xfId="37045"/>
    <cellStyle name="Note 2 25 2 2 3" xfId="37046"/>
    <cellStyle name="Note 2 25 2 20" xfId="37047"/>
    <cellStyle name="Note 2 25 2 20 2" xfId="37048"/>
    <cellStyle name="Note 2 25 2 21" xfId="37049"/>
    <cellStyle name="Note 2 25 2 21 2" xfId="37050"/>
    <cellStyle name="Note 2 25 2 22" xfId="37051"/>
    <cellStyle name="Note 2 25 2 22 2" xfId="37052"/>
    <cellStyle name="Note 2 25 2 23" xfId="37053"/>
    <cellStyle name="Note 2 25 2 23 2" xfId="37054"/>
    <cellStyle name="Note 2 25 2 24" xfId="37055"/>
    <cellStyle name="Note 2 25 2 24 2" xfId="37056"/>
    <cellStyle name="Note 2 25 2 25" xfId="37057"/>
    <cellStyle name="Note 2 25 2 25 2" xfId="37058"/>
    <cellStyle name="Note 2 25 2 26" xfId="37059"/>
    <cellStyle name="Note 2 25 2 26 2" xfId="37060"/>
    <cellStyle name="Note 2 25 2 27" xfId="37061"/>
    <cellStyle name="Note 2 25 2 27 2" xfId="37062"/>
    <cellStyle name="Note 2 25 2 28" xfId="37063"/>
    <cellStyle name="Note 2 25 2 28 2" xfId="37064"/>
    <cellStyle name="Note 2 25 2 29" xfId="37065"/>
    <cellStyle name="Note 2 25 2 29 2" xfId="37066"/>
    <cellStyle name="Note 2 25 2 3" xfId="37067"/>
    <cellStyle name="Note 2 25 2 3 2" xfId="37068"/>
    <cellStyle name="Note 2 25 2 3 3" xfId="37069"/>
    <cellStyle name="Note 2 25 2 30" xfId="37070"/>
    <cellStyle name="Note 2 25 2 30 2" xfId="37071"/>
    <cellStyle name="Note 2 25 2 31" xfId="37072"/>
    <cellStyle name="Note 2 25 2 4" xfId="37073"/>
    <cellStyle name="Note 2 25 2 4 2" xfId="37074"/>
    <cellStyle name="Note 2 25 2 5" xfId="37075"/>
    <cellStyle name="Note 2 25 2 5 2" xfId="37076"/>
    <cellStyle name="Note 2 25 2 6" xfId="37077"/>
    <cellStyle name="Note 2 25 2 6 2" xfId="37078"/>
    <cellStyle name="Note 2 25 2 7" xfId="37079"/>
    <cellStyle name="Note 2 25 2 7 2" xfId="37080"/>
    <cellStyle name="Note 2 25 2 8" xfId="37081"/>
    <cellStyle name="Note 2 25 2 8 2" xfId="37082"/>
    <cellStyle name="Note 2 25 2 9" xfId="37083"/>
    <cellStyle name="Note 2 25 2 9 2" xfId="37084"/>
    <cellStyle name="Note 2 25 20" xfId="37085"/>
    <cellStyle name="Note 2 25 20 2" xfId="37086"/>
    <cellStyle name="Note 2 25 21" xfId="37087"/>
    <cellStyle name="Note 2 25 21 2" xfId="37088"/>
    <cellStyle name="Note 2 25 22" xfId="37089"/>
    <cellStyle name="Note 2 25 22 2" xfId="37090"/>
    <cellStyle name="Note 2 25 23" xfId="37091"/>
    <cellStyle name="Note 2 25 23 2" xfId="37092"/>
    <cellStyle name="Note 2 25 24" xfId="37093"/>
    <cellStyle name="Note 2 25 24 2" xfId="37094"/>
    <cellStyle name="Note 2 25 25" xfId="37095"/>
    <cellStyle name="Note 2 25 25 2" xfId="37096"/>
    <cellStyle name="Note 2 25 26" xfId="37097"/>
    <cellStyle name="Note 2 25 26 2" xfId="37098"/>
    <cellStyle name="Note 2 25 27" xfId="37099"/>
    <cellStyle name="Note 2 25 27 2" xfId="37100"/>
    <cellStyle name="Note 2 25 28" xfId="37101"/>
    <cellStyle name="Note 2 25 28 2" xfId="37102"/>
    <cellStyle name="Note 2 25 29" xfId="37103"/>
    <cellStyle name="Note 2 25 29 2" xfId="37104"/>
    <cellStyle name="Note 2 25 3" xfId="37105"/>
    <cellStyle name="Note 2 25 3 2" xfId="37106"/>
    <cellStyle name="Note 2 25 3 2 2" xfId="37107"/>
    <cellStyle name="Note 2 25 3 3" xfId="37108"/>
    <cellStyle name="Note 2 25 3 3 2" xfId="37109"/>
    <cellStyle name="Note 2 25 3 4" xfId="37110"/>
    <cellStyle name="Note 2 25 3 4 2" xfId="37111"/>
    <cellStyle name="Note 2 25 3 5" xfId="37112"/>
    <cellStyle name="Note 2 25 30" xfId="37113"/>
    <cellStyle name="Note 2 25 30 2" xfId="37114"/>
    <cellStyle name="Note 2 25 31" xfId="37115"/>
    <cellStyle name="Note 2 25 31 2" xfId="37116"/>
    <cellStyle name="Note 2 25 32" xfId="37117"/>
    <cellStyle name="Note 2 25 32 2" xfId="37118"/>
    <cellStyle name="Note 2 25 33" xfId="37119"/>
    <cellStyle name="Note 2 25 33 2" xfId="37120"/>
    <cellStyle name="Note 2 25 34" xfId="37121"/>
    <cellStyle name="Note 2 25 34 2" xfId="37122"/>
    <cellStyle name="Note 2 25 35" xfId="37123"/>
    <cellStyle name="Note 2 25 35 2" xfId="37124"/>
    <cellStyle name="Note 2 25 36" xfId="37125"/>
    <cellStyle name="Note 2 25 36 2" xfId="37126"/>
    <cellStyle name="Note 2 25 37" xfId="37127"/>
    <cellStyle name="Note 2 25 37 2" xfId="37128"/>
    <cellStyle name="Note 2 25 38" xfId="37129"/>
    <cellStyle name="Note 2 25 38 2" xfId="37130"/>
    <cellStyle name="Note 2 25 39" xfId="37131"/>
    <cellStyle name="Note 2 25 39 2" xfId="37132"/>
    <cellStyle name="Note 2 25 4" xfId="37133"/>
    <cellStyle name="Note 2 25 4 10" xfId="37134"/>
    <cellStyle name="Note 2 25 4 11" xfId="37135"/>
    <cellStyle name="Note 2 25 4 12" xfId="37136"/>
    <cellStyle name="Note 2 25 4 13" xfId="37137"/>
    <cellStyle name="Note 2 25 4 2" xfId="37138"/>
    <cellStyle name="Note 2 25 4 2 2" xfId="37139"/>
    <cellStyle name="Note 2 25 4 2 3" xfId="37140"/>
    <cellStyle name="Note 2 25 4 3" xfId="37141"/>
    <cellStyle name="Note 2 25 4 3 2" xfId="37142"/>
    <cellStyle name="Note 2 25 4 4" xfId="37143"/>
    <cellStyle name="Note 2 25 4 4 2" xfId="37144"/>
    <cellStyle name="Note 2 25 4 5" xfId="37145"/>
    <cellStyle name="Note 2 25 4 5 2" xfId="37146"/>
    <cellStyle name="Note 2 25 4 5 3" xfId="37147"/>
    <cellStyle name="Note 2 25 4 5 4" xfId="37148"/>
    <cellStyle name="Note 2 25 4 5 5" xfId="37149"/>
    <cellStyle name="Note 2 25 4 5 6" xfId="37150"/>
    <cellStyle name="Note 2 25 4 6" xfId="37151"/>
    <cellStyle name="Note 2 25 4 6 2" xfId="37152"/>
    <cellStyle name="Note 2 25 4 7" xfId="37153"/>
    <cellStyle name="Note 2 25 4 7 2" xfId="37154"/>
    <cellStyle name="Note 2 25 4 8" xfId="37155"/>
    <cellStyle name="Note 2 25 4 8 2" xfId="37156"/>
    <cellStyle name="Note 2 25 4 9" xfId="37157"/>
    <cellStyle name="Note 2 25 4 9 2" xfId="37158"/>
    <cellStyle name="Note 2 25 40" xfId="37159"/>
    <cellStyle name="Note 2 25 40 2" xfId="37160"/>
    <cellStyle name="Note 2 25 41" xfId="37161"/>
    <cellStyle name="Note 2 25 41 2" xfId="37162"/>
    <cellStyle name="Note 2 25 42" xfId="37163"/>
    <cellStyle name="Note 2 25 42 2" xfId="37164"/>
    <cellStyle name="Note 2 25 43" xfId="37165"/>
    <cellStyle name="Note 2 25 43 2" xfId="37166"/>
    <cellStyle name="Note 2 25 44" xfId="37167"/>
    <cellStyle name="Note 2 25 44 2" xfId="37168"/>
    <cellStyle name="Note 2 25 45" xfId="37169"/>
    <cellStyle name="Note 2 25 45 2" xfId="37170"/>
    <cellStyle name="Note 2 25 46" xfId="37171"/>
    <cellStyle name="Note 2 25 46 2" xfId="37172"/>
    <cellStyle name="Note 2 25 47" xfId="37173"/>
    <cellStyle name="Note 2 25 47 2" xfId="37174"/>
    <cellStyle name="Note 2 25 48" xfId="37175"/>
    <cellStyle name="Note 2 25 48 2" xfId="37176"/>
    <cellStyle name="Note 2 25 49" xfId="37177"/>
    <cellStyle name="Note 2 25 49 2" xfId="37178"/>
    <cellStyle name="Note 2 25 5" xfId="37179"/>
    <cellStyle name="Note 2 25 5 2" xfId="37180"/>
    <cellStyle name="Note 2 25 5 2 2" xfId="37181"/>
    <cellStyle name="Note 2 25 5 3" xfId="37182"/>
    <cellStyle name="Note 2 25 5 3 2" xfId="37183"/>
    <cellStyle name="Note 2 25 5 4" xfId="37184"/>
    <cellStyle name="Note 2 25 5 4 2" xfId="37185"/>
    <cellStyle name="Note 2 25 5 5" xfId="37186"/>
    <cellStyle name="Note 2 25 50" xfId="37187"/>
    <cellStyle name="Note 2 25 50 2" xfId="37188"/>
    <cellStyle name="Note 2 25 51" xfId="37189"/>
    <cellStyle name="Note 2 25 51 2" xfId="37190"/>
    <cellStyle name="Note 2 25 52" xfId="37191"/>
    <cellStyle name="Note 2 25 52 2" xfId="37192"/>
    <cellStyle name="Note 2 25 53" xfId="37193"/>
    <cellStyle name="Note 2 25 53 2" xfId="37194"/>
    <cellStyle name="Note 2 25 54" xfId="37195"/>
    <cellStyle name="Note 2 25 54 2" xfId="37196"/>
    <cellStyle name="Note 2 25 55" xfId="37197"/>
    <cellStyle name="Note 2 25 55 2" xfId="37198"/>
    <cellStyle name="Note 2 25 56" xfId="37199"/>
    <cellStyle name="Note 2 25 56 2" xfId="37200"/>
    <cellStyle name="Note 2 25 57" xfId="37201"/>
    <cellStyle name="Note 2 25 57 2" xfId="37202"/>
    <cellStyle name="Note 2 25 58" xfId="37203"/>
    <cellStyle name="Note 2 25 58 2" xfId="37204"/>
    <cellStyle name="Note 2 25 59" xfId="37205"/>
    <cellStyle name="Note 2 25 59 2" xfId="37206"/>
    <cellStyle name="Note 2 25 6" xfId="37207"/>
    <cellStyle name="Note 2 25 6 2" xfId="37208"/>
    <cellStyle name="Note 2 25 6 2 2" xfId="37209"/>
    <cellStyle name="Note 2 25 6 3" xfId="37210"/>
    <cellStyle name="Note 2 25 6 3 2" xfId="37211"/>
    <cellStyle name="Note 2 25 6 4" xfId="37212"/>
    <cellStyle name="Note 2 25 6 4 2" xfId="37213"/>
    <cellStyle name="Note 2 25 6 5" xfId="37214"/>
    <cellStyle name="Note 2 25 60" xfId="37215"/>
    <cellStyle name="Note 2 25 60 2" xfId="37216"/>
    <cellStyle name="Note 2 25 61" xfId="37217"/>
    <cellStyle name="Note 2 25 61 2" xfId="37218"/>
    <cellStyle name="Note 2 25 61 3" xfId="37219"/>
    <cellStyle name="Note 2 25 61 4" xfId="37220"/>
    <cellStyle name="Note 2 25 61 5" xfId="37221"/>
    <cellStyle name="Note 2 25 61 6" xfId="37222"/>
    <cellStyle name="Note 2 25 62" xfId="37223"/>
    <cellStyle name="Note 2 25 62 2" xfId="37224"/>
    <cellStyle name="Note 2 25 63" xfId="37225"/>
    <cellStyle name="Note 2 25 63 2" xfId="37226"/>
    <cellStyle name="Note 2 25 64" xfId="37227"/>
    <cellStyle name="Note 2 25 64 2" xfId="37228"/>
    <cellStyle name="Note 2 25 65" xfId="37229"/>
    <cellStyle name="Note 2 25 65 2" xfId="37230"/>
    <cellStyle name="Note 2 25 66" xfId="37231"/>
    <cellStyle name="Note 2 25 67" xfId="37232"/>
    <cellStyle name="Note 2 25 68" xfId="37233"/>
    <cellStyle name="Note 2 25 69" xfId="37234"/>
    <cellStyle name="Note 2 25 7" xfId="37235"/>
    <cellStyle name="Note 2 25 7 2" xfId="37236"/>
    <cellStyle name="Note 2 25 7 2 2" xfId="37237"/>
    <cellStyle name="Note 2 25 7 3" xfId="37238"/>
    <cellStyle name="Note 2 25 7 3 2" xfId="37239"/>
    <cellStyle name="Note 2 25 7 4" xfId="37240"/>
    <cellStyle name="Note 2 25 7 4 2" xfId="37241"/>
    <cellStyle name="Note 2 25 7 5" xfId="37242"/>
    <cellStyle name="Note 2 25 8" xfId="37243"/>
    <cellStyle name="Note 2 25 8 2" xfId="37244"/>
    <cellStyle name="Note 2 25 8 2 2" xfId="37245"/>
    <cellStyle name="Note 2 25 8 3" xfId="37246"/>
    <cellStyle name="Note 2 25 8 3 2" xfId="37247"/>
    <cellStyle name="Note 2 25 8 4" xfId="37248"/>
    <cellStyle name="Note 2 25 8 4 2" xfId="37249"/>
    <cellStyle name="Note 2 25 8 5" xfId="37250"/>
    <cellStyle name="Note 2 25 9" xfId="37251"/>
    <cellStyle name="Note 2 25 9 2" xfId="37252"/>
    <cellStyle name="Note 2 25 9 2 2" xfId="37253"/>
    <cellStyle name="Note 2 25 9 3" xfId="37254"/>
    <cellStyle name="Note 2 25 9 3 2" xfId="37255"/>
    <cellStyle name="Note 2 25 9 4" xfId="37256"/>
    <cellStyle name="Note 2 25 9 4 2" xfId="37257"/>
    <cellStyle name="Note 2 25 9 5" xfId="37258"/>
    <cellStyle name="Note 2 26" xfId="37259"/>
    <cellStyle name="Note 2 26 10" xfId="37260"/>
    <cellStyle name="Note 2 26 10 2" xfId="37261"/>
    <cellStyle name="Note 2 26 10 2 2" xfId="37262"/>
    <cellStyle name="Note 2 26 10 3" xfId="37263"/>
    <cellStyle name="Note 2 26 10 3 2" xfId="37264"/>
    <cellStyle name="Note 2 26 10 4" xfId="37265"/>
    <cellStyle name="Note 2 26 10 4 2" xfId="37266"/>
    <cellStyle name="Note 2 26 10 5" xfId="37267"/>
    <cellStyle name="Note 2 26 11" xfId="37268"/>
    <cellStyle name="Note 2 26 11 2" xfId="37269"/>
    <cellStyle name="Note 2 26 11 2 2" xfId="37270"/>
    <cellStyle name="Note 2 26 11 3" xfId="37271"/>
    <cellStyle name="Note 2 26 11 3 2" xfId="37272"/>
    <cellStyle name="Note 2 26 11 4" xfId="37273"/>
    <cellStyle name="Note 2 26 11 4 2" xfId="37274"/>
    <cellStyle name="Note 2 26 11 5" xfId="37275"/>
    <cellStyle name="Note 2 26 12" xfId="37276"/>
    <cellStyle name="Note 2 26 12 2" xfId="37277"/>
    <cellStyle name="Note 2 26 12 2 2" xfId="37278"/>
    <cellStyle name="Note 2 26 12 3" xfId="37279"/>
    <cellStyle name="Note 2 26 12 3 2" xfId="37280"/>
    <cellStyle name="Note 2 26 12 4" xfId="37281"/>
    <cellStyle name="Note 2 26 12 4 2" xfId="37282"/>
    <cellStyle name="Note 2 26 12 5" xfId="37283"/>
    <cellStyle name="Note 2 26 13" xfId="37284"/>
    <cellStyle name="Note 2 26 13 2" xfId="37285"/>
    <cellStyle name="Note 2 26 13 2 2" xfId="37286"/>
    <cellStyle name="Note 2 26 13 3" xfId="37287"/>
    <cellStyle name="Note 2 26 13 3 2" xfId="37288"/>
    <cellStyle name="Note 2 26 13 4" xfId="37289"/>
    <cellStyle name="Note 2 26 13 4 2" xfId="37290"/>
    <cellStyle name="Note 2 26 13 5" xfId="37291"/>
    <cellStyle name="Note 2 26 14" xfId="37292"/>
    <cellStyle name="Note 2 26 14 2" xfId="37293"/>
    <cellStyle name="Note 2 26 14 2 2" xfId="37294"/>
    <cellStyle name="Note 2 26 14 3" xfId="37295"/>
    <cellStyle name="Note 2 26 14 3 2" xfId="37296"/>
    <cellStyle name="Note 2 26 14 4" xfId="37297"/>
    <cellStyle name="Note 2 26 14 4 2" xfId="37298"/>
    <cellStyle name="Note 2 26 14 5" xfId="37299"/>
    <cellStyle name="Note 2 26 15" xfId="37300"/>
    <cellStyle name="Note 2 26 15 2" xfId="37301"/>
    <cellStyle name="Note 2 26 15 2 2" xfId="37302"/>
    <cellStyle name="Note 2 26 15 3" xfId="37303"/>
    <cellStyle name="Note 2 26 15 3 2" xfId="37304"/>
    <cellStyle name="Note 2 26 15 4" xfId="37305"/>
    <cellStyle name="Note 2 26 15 4 2" xfId="37306"/>
    <cellStyle name="Note 2 26 15 5" xfId="37307"/>
    <cellStyle name="Note 2 26 16" xfId="37308"/>
    <cellStyle name="Note 2 26 16 2" xfId="37309"/>
    <cellStyle name="Note 2 26 16 2 2" xfId="37310"/>
    <cellStyle name="Note 2 26 16 3" xfId="37311"/>
    <cellStyle name="Note 2 26 16 3 2" xfId="37312"/>
    <cellStyle name="Note 2 26 16 4" xfId="37313"/>
    <cellStyle name="Note 2 26 16 4 2" xfId="37314"/>
    <cellStyle name="Note 2 26 16 5" xfId="37315"/>
    <cellStyle name="Note 2 26 17" xfId="37316"/>
    <cellStyle name="Note 2 26 17 2" xfId="37317"/>
    <cellStyle name="Note 2 26 17 2 2" xfId="37318"/>
    <cellStyle name="Note 2 26 17 3" xfId="37319"/>
    <cellStyle name="Note 2 26 17 3 2" xfId="37320"/>
    <cellStyle name="Note 2 26 17 4" xfId="37321"/>
    <cellStyle name="Note 2 26 17 4 2" xfId="37322"/>
    <cellStyle name="Note 2 26 17 5" xfId="37323"/>
    <cellStyle name="Note 2 26 18" xfId="37324"/>
    <cellStyle name="Note 2 26 18 2" xfId="37325"/>
    <cellStyle name="Note 2 26 18 2 2" xfId="37326"/>
    <cellStyle name="Note 2 26 18 3" xfId="37327"/>
    <cellStyle name="Note 2 26 18 3 2" xfId="37328"/>
    <cellStyle name="Note 2 26 18 4" xfId="37329"/>
    <cellStyle name="Note 2 26 18 4 2" xfId="37330"/>
    <cellStyle name="Note 2 26 18 5" xfId="37331"/>
    <cellStyle name="Note 2 26 19" xfId="37332"/>
    <cellStyle name="Note 2 26 19 10" xfId="37333"/>
    <cellStyle name="Note 2 26 19 11" xfId="37334"/>
    <cellStyle name="Note 2 26 19 2" xfId="37335"/>
    <cellStyle name="Note 2 26 19 2 2" xfId="37336"/>
    <cellStyle name="Note 2 26 19 2 3" xfId="37337"/>
    <cellStyle name="Note 2 26 19 2 4" xfId="37338"/>
    <cellStyle name="Note 2 26 19 2 5" xfId="37339"/>
    <cellStyle name="Note 2 26 19 2 6" xfId="37340"/>
    <cellStyle name="Note 2 26 19 3" xfId="37341"/>
    <cellStyle name="Note 2 26 19 3 2" xfId="37342"/>
    <cellStyle name="Note 2 26 19 4" xfId="37343"/>
    <cellStyle name="Note 2 26 19 4 2" xfId="37344"/>
    <cellStyle name="Note 2 26 19 5" xfId="37345"/>
    <cellStyle name="Note 2 26 19 5 2" xfId="37346"/>
    <cellStyle name="Note 2 26 19 6" xfId="37347"/>
    <cellStyle name="Note 2 26 19 6 2" xfId="37348"/>
    <cellStyle name="Note 2 26 19 7" xfId="37349"/>
    <cellStyle name="Note 2 26 19 7 2" xfId="37350"/>
    <cellStyle name="Note 2 26 19 8" xfId="37351"/>
    <cellStyle name="Note 2 26 19 9" xfId="37352"/>
    <cellStyle name="Note 2 26 2" xfId="37353"/>
    <cellStyle name="Note 2 26 2 10" xfId="37354"/>
    <cellStyle name="Note 2 26 2 10 2" xfId="37355"/>
    <cellStyle name="Note 2 26 2 11" xfId="37356"/>
    <cellStyle name="Note 2 26 2 11 2" xfId="37357"/>
    <cellStyle name="Note 2 26 2 12" xfId="37358"/>
    <cellStyle name="Note 2 26 2 12 2" xfId="37359"/>
    <cellStyle name="Note 2 26 2 13" xfId="37360"/>
    <cellStyle name="Note 2 26 2 13 2" xfId="37361"/>
    <cellStyle name="Note 2 26 2 14" xfId="37362"/>
    <cellStyle name="Note 2 26 2 14 2" xfId="37363"/>
    <cellStyle name="Note 2 26 2 15" xfId="37364"/>
    <cellStyle name="Note 2 26 2 15 2" xfId="37365"/>
    <cellStyle name="Note 2 26 2 16" xfId="37366"/>
    <cellStyle name="Note 2 26 2 16 2" xfId="37367"/>
    <cellStyle name="Note 2 26 2 17" xfId="37368"/>
    <cellStyle name="Note 2 26 2 17 2" xfId="37369"/>
    <cellStyle name="Note 2 26 2 18" xfId="37370"/>
    <cellStyle name="Note 2 26 2 18 2" xfId="37371"/>
    <cellStyle name="Note 2 26 2 19" xfId="37372"/>
    <cellStyle name="Note 2 26 2 19 2" xfId="37373"/>
    <cellStyle name="Note 2 26 2 2" xfId="37374"/>
    <cellStyle name="Note 2 26 2 2 2" xfId="37375"/>
    <cellStyle name="Note 2 26 2 2 3" xfId="37376"/>
    <cellStyle name="Note 2 26 2 20" xfId="37377"/>
    <cellStyle name="Note 2 26 2 20 2" xfId="37378"/>
    <cellStyle name="Note 2 26 2 21" xfId="37379"/>
    <cellStyle name="Note 2 26 2 21 2" xfId="37380"/>
    <cellStyle name="Note 2 26 2 22" xfId="37381"/>
    <cellStyle name="Note 2 26 2 22 2" xfId="37382"/>
    <cellStyle name="Note 2 26 2 23" xfId="37383"/>
    <cellStyle name="Note 2 26 2 23 2" xfId="37384"/>
    <cellStyle name="Note 2 26 2 24" xfId="37385"/>
    <cellStyle name="Note 2 26 2 24 2" xfId="37386"/>
    <cellStyle name="Note 2 26 2 25" xfId="37387"/>
    <cellStyle name="Note 2 26 2 25 2" xfId="37388"/>
    <cellStyle name="Note 2 26 2 26" xfId="37389"/>
    <cellStyle name="Note 2 26 2 26 2" xfId="37390"/>
    <cellStyle name="Note 2 26 2 27" xfId="37391"/>
    <cellStyle name="Note 2 26 2 27 2" xfId="37392"/>
    <cellStyle name="Note 2 26 2 28" xfId="37393"/>
    <cellStyle name="Note 2 26 2 28 2" xfId="37394"/>
    <cellStyle name="Note 2 26 2 29" xfId="37395"/>
    <cellStyle name="Note 2 26 2 29 2" xfId="37396"/>
    <cellStyle name="Note 2 26 2 3" xfId="37397"/>
    <cellStyle name="Note 2 26 2 3 2" xfId="37398"/>
    <cellStyle name="Note 2 26 2 3 3" xfId="37399"/>
    <cellStyle name="Note 2 26 2 30" xfId="37400"/>
    <cellStyle name="Note 2 26 2 30 2" xfId="37401"/>
    <cellStyle name="Note 2 26 2 31" xfId="37402"/>
    <cellStyle name="Note 2 26 2 4" xfId="37403"/>
    <cellStyle name="Note 2 26 2 4 2" xfId="37404"/>
    <cellStyle name="Note 2 26 2 5" xfId="37405"/>
    <cellStyle name="Note 2 26 2 5 2" xfId="37406"/>
    <cellStyle name="Note 2 26 2 6" xfId="37407"/>
    <cellStyle name="Note 2 26 2 6 2" xfId="37408"/>
    <cellStyle name="Note 2 26 2 7" xfId="37409"/>
    <cellStyle name="Note 2 26 2 7 2" xfId="37410"/>
    <cellStyle name="Note 2 26 2 8" xfId="37411"/>
    <cellStyle name="Note 2 26 2 8 2" xfId="37412"/>
    <cellStyle name="Note 2 26 2 9" xfId="37413"/>
    <cellStyle name="Note 2 26 2 9 2" xfId="37414"/>
    <cellStyle name="Note 2 26 20" xfId="37415"/>
    <cellStyle name="Note 2 26 20 2" xfId="37416"/>
    <cellStyle name="Note 2 26 21" xfId="37417"/>
    <cellStyle name="Note 2 26 21 2" xfId="37418"/>
    <cellStyle name="Note 2 26 22" xfId="37419"/>
    <cellStyle name="Note 2 26 22 2" xfId="37420"/>
    <cellStyle name="Note 2 26 23" xfId="37421"/>
    <cellStyle name="Note 2 26 23 2" xfId="37422"/>
    <cellStyle name="Note 2 26 24" xfId="37423"/>
    <cellStyle name="Note 2 26 24 2" xfId="37424"/>
    <cellStyle name="Note 2 26 25" xfId="37425"/>
    <cellStyle name="Note 2 26 25 2" xfId="37426"/>
    <cellStyle name="Note 2 26 26" xfId="37427"/>
    <cellStyle name="Note 2 26 26 2" xfId="37428"/>
    <cellStyle name="Note 2 26 27" xfId="37429"/>
    <cellStyle name="Note 2 26 27 2" xfId="37430"/>
    <cellStyle name="Note 2 26 28" xfId="37431"/>
    <cellStyle name="Note 2 26 28 2" xfId="37432"/>
    <cellStyle name="Note 2 26 29" xfId="37433"/>
    <cellStyle name="Note 2 26 29 2" xfId="37434"/>
    <cellStyle name="Note 2 26 3" xfId="37435"/>
    <cellStyle name="Note 2 26 3 2" xfId="37436"/>
    <cellStyle name="Note 2 26 3 2 2" xfId="37437"/>
    <cellStyle name="Note 2 26 3 3" xfId="37438"/>
    <cellStyle name="Note 2 26 3 3 2" xfId="37439"/>
    <cellStyle name="Note 2 26 3 4" xfId="37440"/>
    <cellStyle name="Note 2 26 3 4 2" xfId="37441"/>
    <cellStyle name="Note 2 26 3 5" xfId="37442"/>
    <cellStyle name="Note 2 26 30" xfId="37443"/>
    <cellStyle name="Note 2 26 30 2" xfId="37444"/>
    <cellStyle name="Note 2 26 31" xfId="37445"/>
    <cellStyle name="Note 2 26 31 2" xfId="37446"/>
    <cellStyle name="Note 2 26 32" xfId="37447"/>
    <cellStyle name="Note 2 26 32 2" xfId="37448"/>
    <cellStyle name="Note 2 26 33" xfId="37449"/>
    <cellStyle name="Note 2 26 33 2" xfId="37450"/>
    <cellStyle name="Note 2 26 34" xfId="37451"/>
    <cellStyle name="Note 2 26 34 2" xfId="37452"/>
    <cellStyle name="Note 2 26 35" xfId="37453"/>
    <cellStyle name="Note 2 26 35 2" xfId="37454"/>
    <cellStyle name="Note 2 26 36" xfId="37455"/>
    <cellStyle name="Note 2 26 36 2" xfId="37456"/>
    <cellStyle name="Note 2 26 37" xfId="37457"/>
    <cellStyle name="Note 2 26 37 2" xfId="37458"/>
    <cellStyle name="Note 2 26 38" xfId="37459"/>
    <cellStyle name="Note 2 26 38 2" xfId="37460"/>
    <cellStyle name="Note 2 26 39" xfId="37461"/>
    <cellStyle name="Note 2 26 39 2" xfId="37462"/>
    <cellStyle name="Note 2 26 4" xfId="37463"/>
    <cellStyle name="Note 2 26 4 10" xfId="37464"/>
    <cellStyle name="Note 2 26 4 11" xfId="37465"/>
    <cellStyle name="Note 2 26 4 12" xfId="37466"/>
    <cellStyle name="Note 2 26 4 13" xfId="37467"/>
    <cellStyle name="Note 2 26 4 2" xfId="37468"/>
    <cellStyle name="Note 2 26 4 2 2" xfId="37469"/>
    <cellStyle name="Note 2 26 4 2 3" xfId="37470"/>
    <cellStyle name="Note 2 26 4 3" xfId="37471"/>
    <cellStyle name="Note 2 26 4 3 2" xfId="37472"/>
    <cellStyle name="Note 2 26 4 4" xfId="37473"/>
    <cellStyle name="Note 2 26 4 4 2" xfId="37474"/>
    <cellStyle name="Note 2 26 4 5" xfId="37475"/>
    <cellStyle name="Note 2 26 4 5 2" xfId="37476"/>
    <cellStyle name="Note 2 26 4 5 3" xfId="37477"/>
    <cellStyle name="Note 2 26 4 5 4" xfId="37478"/>
    <cellStyle name="Note 2 26 4 5 5" xfId="37479"/>
    <cellStyle name="Note 2 26 4 5 6" xfId="37480"/>
    <cellStyle name="Note 2 26 4 6" xfId="37481"/>
    <cellStyle name="Note 2 26 4 6 2" xfId="37482"/>
    <cellStyle name="Note 2 26 4 7" xfId="37483"/>
    <cellStyle name="Note 2 26 4 7 2" xfId="37484"/>
    <cellStyle name="Note 2 26 4 8" xfId="37485"/>
    <cellStyle name="Note 2 26 4 8 2" xfId="37486"/>
    <cellStyle name="Note 2 26 4 9" xfId="37487"/>
    <cellStyle name="Note 2 26 4 9 2" xfId="37488"/>
    <cellStyle name="Note 2 26 40" xfId="37489"/>
    <cellStyle name="Note 2 26 40 2" xfId="37490"/>
    <cellStyle name="Note 2 26 41" xfId="37491"/>
    <cellStyle name="Note 2 26 41 2" xfId="37492"/>
    <cellStyle name="Note 2 26 42" xfId="37493"/>
    <cellStyle name="Note 2 26 42 2" xfId="37494"/>
    <cellStyle name="Note 2 26 43" xfId="37495"/>
    <cellStyle name="Note 2 26 43 2" xfId="37496"/>
    <cellStyle name="Note 2 26 44" xfId="37497"/>
    <cellStyle name="Note 2 26 44 2" xfId="37498"/>
    <cellStyle name="Note 2 26 45" xfId="37499"/>
    <cellStyle name="Note 2 26 45 2" xfId="37500"/>
    <cellStyle name="Note 2 26 46" xfId="37501"/>
    <cellStyle name="Note 2 26 46 2" xfId="37502"/>
    <cellStyle name="Note 2 26 47" xfId="37503"/>
    <cellStyle name="Note 2 26 47 2" xfId="37504"/>
    <cellStyle name="Note 2 26 48" xfId="37505"/>
    <cellStyle name="Note 2 26 48 2" xfId="37506"/>
    <cellStyle name="Note 2 26 49" xfId="37507"/>
    <cellStyle name="Note 2 26 49 2" xfId="37508"/>
    <cellStyle name="Note 2 26 5" xfId="37509"/>
    <cellStyle name="Note 2 26 5 2" xfId="37510"/>
    <cellStyle name="Note 2 26 5 2 2" xfId="37511"/>
    <cellStyle name="Note 2 26 5 3" xfId="37512"/>
    <cellStyle name="Note 2 26 5 3 2" xfId="37513"/>
    <cellStyle name="Note 2 26 5 4" xfId="37514"/>
    <cellStyle name="Note 2 26 5 4 2" xfId="37515"/>
    <cellStyle name="Note 2 26 5 5" xfId="37516"/>
    <cellStyle name="Note 2 26 50" xfId="37517"/>
    <cellStyle name="Note 2 26 50 2" xfId="37518"/>
    <cellStyle name="Note 2 26 51" xfId="37519"/>
    <cellStyle name="Note 2 26 51 2" xfId="37520"/>
    <cellStyle name="Note 2 26 52" xfId="37521"/>
    <cellStyle name="Note 2 26 52 2" xfId="37522"/>
    <cellStyle name="Note 2 26 53" xfId="37523"/>
    <cellStyle name="Note 2 26 53 2" xfId="37524"/>
    <cellStyle name="Note 2 26 54" xfId="37525"/>
    <cellStyle name="Note 2 26 54 2" xfId="37526"/>
    <cellStyle name="Note 2 26 55" xfId="37527"/>
    <cellStyle name="Note 2 26 55 2" xfId="37528"/>
    <cellStyle name="Note 2 26 56" xfId="37529"/>
    <cellStyle name="Note 2 26 56 2" xfId="37530"/>
    <cellStyle name="Note 2 26 57" xfId="37531"/>
    <cellStyle name="Note 2 26 57 2" xfId="37532"/>
    <cellStyle name="Note 2 26 58" xfId="37533"/>
    <cellStyle name="Note 2 26 58 2" xfId="37534"/>
    <cellStyle name="Note 2 26 59" xfId="37535"/>
    <cellStyle name="Note 2 26 59 2" xfId="37536"/>
    <cellStyle name="Note 2 26 6" xfId="37537"/>
    <cellStyle name="Note 2 26 6 2" xfId="37538"/>
    <cellStyle name="Note 2 26 6 2 2" xfId="37539"/>
    <cellStyle name="Note 2 26 6 3" xfId="37540"/>
    <cellStyle name="Note 2 26 6 3 2" xfId="37541"/>
    <cellStyle name="Note 2 26 6 4" xfId="37542"/>
    <cellStyle name="Note 2 26 6 4 2" xfId="37543"/>
    <cellStyle name="Note 2 26 6 5" xfId="37544"/>
    <cellStyle name="Note 2 26 60" xfId="37545"/>
    <cellStyle name="Note 2 26 60 2" xfId="37546"/>
    <cellStyle name="Note 2 26 61" xfId="37547"/>
    <cellStyle name="Note 2 26 61 2" xfId="37548"/>
    <cellStyle name="Note 2 26 61 3" xfId="37549"/>
    <cellStyle name="Note 2 26 61 4" xfId="37550"/>
    <cellStyle name="Note 2 26 61 5" xfId="37551"/>
    <cellStyle name="Note 2 26 61 6" xfId="37552"/>
    <cellStyle name="Note 2 26 62" xfId="37553"/>
    <cellStyle name="Note 2 26 62 2" xfId="37554"/>
    <cellStyle name="Note 2 26 63" xfId="37555"/>
    <cellStyle name="Note 2 26 63 2" xfId="37556"/>
    <cellStyle name="Note 2 26 64" xfId="37557"/>
    <cellStyle name="Note 2 26 64 2" xfId="37558"/>
    <cellStyle name="Note 2 26 65" xfId="37559"/>
    <cellStyle name="Note 2 26 65 2" xfId="37560"/>
    <cellStyle name="Note 2 26 66" xfId="37561"/>
    <cellStyle name="Note 2 26 67" xfId="37562"/>
    <cellStyle name="Note 2 26 68" xfId="37563"/>
    <cellStyle name="Note 2 26 69" xfId="37564"/>
    <cellStyle name="Note 2 26 7" xfId="37565"/>
    <cellStyle name="Note 2 26 7 2" xfId="37566"/>
    <cellStyle name="Note 2 26 7 2 2" xfId="37567"/>
    <cellStyle name="Note 2 26 7 3" xfId="37568"/>
    <cellStyle name="Note 2 26 7 3 2" xfId="37569"/>
    <cellStyle name="Note 2 26 7 4" xfId="37570"/>
    <cellStyle name="Note 2 26 7 4 2" xfId="37571"/>
    <cellStyle name="Note 2 26 7 5" xfId="37572"/>
    <cellStyle name="Note 2 26 8" xfId="37573"/>
    <cellStyle name="Note 2 26 8 2" xfId="37574"/>
    <cellStyle name="Note 2 26 8 2 2" xfId="37575"/>
    <cellStyle name="Note 2 26 8 3" xfId="37576"/>
    <cellStyle name="Note 2 26 8 3 2" xfId="37577"/>
    <cellStyle name="Note 2 26 8 4" xfId="37578"/>
    <cellStyle name="Note 2 26 8 4 2" xfId="37579"/>
    <cellStyle name="Note 2 26 8 5" xfId="37580"/>
    <cellStyle name="Note 2 26 9" xfId="37581"/>
    <cellStyle name="Note 2 26 9 2" xfId="37582"/>
    <cellStyle name="Note 2 26 9 2 2" xfId="37583"/>
    <cellStyle name="Note 2 26 9 3" xfId="37584"/>
    <cellStyle name="Note 2 26 9 3 2" xfId="37585"/>
    <cellStyle name="Note 2 26 9 4" xfId="37586"/>
    <cellStyle name="Note 2 26 9 4 2" xfId="37587"/>
    <cellStyle name="Note 2 26 9 5" xfId="37588"/>
    <cellStyle name="Note 2 27" xfId="37589"/>
    <cellStyle name="Note 2 27 10" xfId="37590"/>
    <cellStyle name="Note 2 27 10 2" xfId="37591"/>
    <cellStyle name="Note 2 27 10 2 2" xfId="37592"/>
    <cellStyle name="Note 2 27 10 3" xfId="37593"/>
    <cellStyle name="Note 2 27 10 3 2" xfId="37594"/>
    <cellStyle name="Note 2 27 10 4" xfId="37595"/>
    <cellStyle name="Note 2 27 10 4 2" xfId="37596"/>
    <cellStyle name="Note 2 27 10 5" xfId="37597"/>
    <cellStyle name="Note 2 27 11" xfId="37598"/>
    <cellStyle name="Note 2 27 11 2" xfId="37599"/>
    <cellStyle name="Note 2 27 11 2 2" xfId="37600"/>
    <cellStyle name="Note 2 27 11 3" xfId="37601"/>
    <cellStyle name="Note 2 27 11 3 2" xfId="37602"/>
    <cellStyle name="Note 2 27 11 4" xfId="37603"/>
    <cellStyle name="Note 2 27 11 4 2" xfId="37604"/>
    <cellStyle name="Note 2 27 11 5" xfId="37605"/>
    <cellStyle name="Note 2 27 12" xfId="37606"/>
    <cellStyle name="Note 2 27 12 2" xfId="37607"/>
    <cellStyle name="Note 2 27 12 2 2" xfId="37608"/>
    <cellStyle name="Note 2 27 12 3" xfId="37609"/>
    <cellStyle name="Note 2 27 12 3 2" xfId="37610"/>
    <cellStyle name="Note 2 27 12 4" xfId="37611"/>
    <cellStyle name="Note 2 27 12 4 2" xfId="37612"/>
    <cellStyle name="Note 2 27 12 5" xfId="37613"/>
    <cellStyle name="Note 2 27 13" xfId="37614"/>
    <cellStyle name="Note 2 27 13 2" xfId="37615"/>
    <cellStyle name="Note 2 27 13 2 2" xfId="37616"/>
    <cellStyle name="Note 2 27 13 3" xfId="37617"/>
    <cellStyle name="Note 2 27 13 3 2" xfId="37618"/>
    <cellStyle name="Note 2 27 13 4" xfId="37619"/>
    <cellStyle name="Note 2 27 13 4 2" xfId="37620"/>
    <cellStyle name="Note 2 27 13 5" xfId="37621"/>
    <cellStyle name="Note 2 27 14" xfId="37622"/>
    <cellStyle name="Note 2 27 14 2" xfId="37623"/>
    <cellStyle name="Note 2 27 14 2 2" xfId="37624"/>
    <cellStyle name="Note 2 27 14 3" xfId="37625"/>
    <cellStyle name="Note 2 27 14 3 2" xfId="37626"/>
    <cellStyle name="Note 2 27 14 4" xfId="37627"/>
    <cellStyle name="Note 2 27 14 4 2" xfId="37628"/>
    <cellStyle name="Note 2 27 14 5" xfId="37629"/>
    <cellStyle name="Note 2 27 15" xfId="37630"/>
    <cellStyle name="Note 2 27 15 2" xfId="37631"/>
    <cellStyle name="Note 2 27 16" xfId="37632"/>
    <cellStyle name="Note 2 27 16 2" xfId="37633"/>
    <cellStyle name="Note 2 27 17" xfId="37634"/>
    <cellStyle name="Note 2 27 17 2" xfId="37635"/>
    <cellStyle name="Note 2 27 18" xfId="37636"/>
    <cellStyle name="Note 2 27 18 2" xfId="37637"/>
    <cellStyle name="Note 2 27 19" xfId="37638"/>
    <cellStyle name="Note 2 27 19 2" xfId="37639"/>
    <cellStyle name="Note 2 27 2" xfId="37640"/>
    <cellStyle name="Note 2 27 2 10" xfId="37641"/>
    <cellStyle name="Note 2 27 2 10 2" xfId="37642"/>
    <cellStyle name="Note 2 27 2 11" xfId="37643"/>
    <cellStyle name="Note 2 27 2 11 2" xfId="37644"/>
    <cellStyle name="Note 2 27 2 12" xfId="37645"/>
    <cellStyle name="Note 2 27 2 12 2" xfId="37646"/>
    <cellStyle name="Note 2 27 2 13" xfId="37647"/>
    <cellStyle name="Note 2 27 2 13 2" xfId="37648"/>
    <cellStyle name="Note 2 27 2 14" xfId="37649"/>
    <cellStyle name="Note 2 27 2 14 2" xfId="37650"/>
    <cellStyle name="Note 2 27 2 15" xfId="37651"/>
    <cellStyle name="Note 2 27 2 15 2" xfId="37652"/>
    <cellStyle name="Note 2 27 2 16" xfId="37653"/>
    <cellStyle name="Note 2 27 2 16 2" xfId="37654"/>
    <cellStyle name="Note 2 27 2 17" xfId="37655"/>
    <cellStyle name="Note 2 27 2 17 2" xfId="37656"/>
    <cellStyle name="Note 2 27 2 18" xfId="37657"/>
    <cellStyle name="Note 2 27 2 18 2" xfId="37658"/>
    <cellStyle name="Note 2 27 2 19" xfId="37659"/>
    <cellStyle name="Note 2 27 2 19 2" xfId="37660"/>
    <cellStyle name="Note 2 27 2 2" xfId="37661"/>
    <cellStyle name="Note 2 27 2 2 2" xfId="37662"/>
    <cellStyle name="Note 2 27 2 2 3" xfId="37663"/>
    <cellStyle name="Note 2 27 2 20" xfId="37664"/>
    <cellStyle name="Note 2 27 2 20 2" xfId="37665"/>
    <cellStyle name="Note 2 27 2 21" xfId="37666"/>
    <cellStyle name="Note 2 27 2 21 2" xfId="37667"/>
    <cellStyle name="Note 2 27 2 22" xfId="37668"/>
    <cellStyle name="Note 2 27 2 22 2" xfId="37669"/>
    <cellStyle name="Note 2 27 2 23" xfId="37670"/>
    <cellStyle name="Note 2 27 2 23 2" xfId="37671"/>
    <cellStyle name="Note 2 27 2 24" xfId="37672"/>
    <cellStyle name="Note 2 27 2 24 2" xfId="37673"/>
    <cellStyle name="Note 2 27 2 25" xfId="37674"/>
    <cellStyle name="Note 2 27 2 25 2" xfId="37675"/>
    <cellStyle name="Note 2 27 2 26" xfId="37676"/>
    <cellStyle name="Note 2 27 2 26 2" xfId="37677"/>
    <cellStyle name="Note 2 27 2 27" xfId="37678"/>
    <cellStyle name="Note 2 27 2 27 2" xfId="37679"/>
    <cellStyle name="Note 2 27 2 28" xfId="37680"/>
    <cellStyle name="Note 2 27 2 28 2" xfId="37681"/>
    <cellStyle name="Note 2 27 2 29" xfId="37682"/>
    <cellStyle name="Note 2 27 2 29 2" xfId="37683"/>
    <cellStyle name="Note 2 27 2 3" xfId="37684"/>
    <cellStyle name="Note 2 27 2 3 2" xfId="37685"/>
    <cellStyle name="Note 2 27 2 3 3" xfId="37686"/>
    <cellStyle name="Note 2 27 2 30" xfId="37687"/>
    <cellStyle name="Note 2 27 2 30 2" xfId="37688"/>
    <cellStyle name="Note 2 27 2 31" xfId="37689"/>
    <cellStyle name="Note 2 27 2 4" xfId="37690"/>
    <cellStyle name="Note 2 27 2 4 2" xfId="37691"/>
    <cellStyle name="Note 2 27 2 5" xfId="37692"/>
    <cellStyle name="Note 2 27 2 5 2" xfId="37693"/>
    <cellStyle name="Note 2 27 2 6" xfId="37694"/>
    <cellStyle name="Note 2 27 2 6 2" xfId="37695"/>
    <cellStyle name="Note 2 27 2 7" xfId="37696"/>
    <cellStyle name="Note 2 27 2 7 2" xfId="37697"/>
    <cellStyle name="Note 2 27 2 8" xfId="37698"/>
    <cellStyle name="Note 2 27 2 8 2" xfId="37699"/>
    <cellStyle name="Note 2 27 2 9" xfId="37700"/>
    <cellStyle name="Note 2 27 2 9 2" xfId="37701"/>
    <cellStyle name="Note 2 27 20" xfId="37702"/>
    <cellStyle name="Note 2 27 20 2" xfId="37703"/>
    <cellStyle name="Note 2 27 21" xfId="37704"/>
    <cellStyle name="Note 2 27 21 2" xfId="37705"/>
    <cellStyle name="Note 2 27 22" xfId="37706"/>
    <cellStyle name="Note 2 27 22 2" xfId="37707"/>
    <cellStyle name="Note 2 27 23" xfId="37708"/>
    <cellStyle name="Note 2 27 23 2" xfId="37709"/>
    <cellStyle name="Note 2 27 24" xfId="37710"/>
    <cellStyle name="Note 2 27 24 2" xfId="37711"/>
    <cellStyle name="Note 2 27 25" xfId="37712"/>
    <cellStyle name="Note 2 27 25 2" xfId="37713"/>
    <cellStyle name="Note 2 27 26" xfId="37714"/>
    <cellStyle name="Note 2 27 26 2" xfId="37715"/>
    <cellStyle name="Note 2 27 27" xfId="37716"/>
    <cellStyle name="Note 2 27 27 2" xfId="37717"/>
    <cellStyle name="Note 2 27 28" xfId="37718"/>
    <cellStyle name="Note 2 27 28 2" xfId="37719"/>
    <cellStyle name="Note 2 27 29" xfId="37720"/>
    <cellStyle name="Note 2 27 29 2" xfId="37721"/>
    <cellStyle name="Note 2 27 3" xfId="37722"/>
    <cellStyle name="Note 2 27 3 2" xfId="37723"/>
    <cellStyle name="Note 2 27 3 2 2" xfId="37724"/>
    <cellStyle name="Note 2 27 3 3" xfId="37725"/>
    <cellStyle name="Note 2 27 3 3 2" xfId="37726"/>
    <cellStyle name="Note 2 27 3 4" xfId="37727"/>
    <cellStyle name="Note 2 27 3 4 2" xfId="37728"/>
    <cellStyle name="Note 2 27 3 5" xfId="37729"/>
    <cellStyle name="Note 2 27 30" xfId="37730"/>
    <cellStyle name="Note 2 27 30 2" xfId="37731"/>
    <cellStyle name="Note 2 27 31" xfId="37732"/>
    <cellStyle name="Note 2 27 31 2" xfId="37733"/>
    <cellStyle name="Note 2 27 32" xfId="37734"/>
    <cellStyle name="Note 2 27 32 2" xfId="37735"/>
    <cellStyle name="Note 2 27 33" xfId="37736"/>
    <cellStyle name="Note 2 27 33 2" xfId="37737"/>
    <cellStyle name="Note 2 27 34" xfId="37738"/>
    <cellStyle name="Note 2 27 34 2" xfId="37739"/>
    <cellStyle name="Note 2 27 35" xfId="37740"/>
    <cellStyle name="Note 2 27 35 2" xfId="37741"/>
    <cellStyle name="Note 2 27 36" xfId="37742"/>
    <cellStyle name="Note 2 27 36 2" xfId="37743"/>
    <cellStyle name="Note 2 27 37" xfId="37744"/>
    <cellStyle name="Note 2 27 37 2" xfId="37745"/>
    <cellStyle name="Note 2 27 38" xfId="37746"/>
    <cellStyle name="Note 2 27 38 2" xfId="37747"/>
    <cellStyle name="Note 2 27 39" xfId="37748"/>
    <cellStyle name="Note 2 27 39 2" xfId="37749"/>
    <cellStyle name="Note 2 27 4" xfId="37750"/>
    <cellStyle name="Note 2 27 4 2" xfId="37751"/>
    <cellStyle name="Note 2 27 4 2 2" xfId="37752"/>
    <cellStyle name="Note 2 27 4 3" xfId="37753"/>
    <cellStyle name="Note 2 27 4 3 2" xfId="37754"/>
    <cellStyle name="Note 2 27 4 4" xfId="37755"/>
    <cellStyle name="Note 2 27 4 4 2" xfId="37756"/>
    <cellStyle name="Note 2 27 4 5" xfId="37757"/>
    <cellStyle name="Note 2 27 40" xfId="37758"/>
    <cellStyle name="Note 2 27 40 2" xfId="37759"/>
    <cellStyle name="Note 2 27 41" xfId="37760"/>
    <cellStyle name="Note 2 27 41 2" xfId="37761"/>
    <cellStyle name="Note 2 27 42" xfId="37762"/>
    <cellStyle name="Note 2 27 42 2" xfId="37763"/>
    <cellStyle name="Note 2 27 43" xfId="37764"/>
    <cellStyle name="Note 2 27 43 2" xfId="37765"/>
    <cellStyle name="Note 2 27 44" xfId="37766"/>
    <cellStyle name="Note 2 27 44 2" xfId="37767"/>
    <cellStyle name="Note 2 27 45" xfId="37768"/>
    <cellStyle name="Note 2 27 45 2" xfId="37769"/>
    <cellStyle name="Note 2 27 46" xfId="37770"/>
    <cellStyle name="Note 2 27 46 2" xfId="37771"/>
    <cellStyle name="Note 2 27 47" xfId="37772"/>
    <cellStyle name="Note 2 27 47 2" xfId="37773"/>
    <cellStyle name="Note 2 27 48" xfId="37774"/>
    <cellStyle name="Note 2 27 48 2" xfId="37775"/>
    <cellStyle name="Note 2 27 49" xfId="37776"/>
    <cellStyle name="Note 2 27 49 2" xfId="37777"/>
    <cellStyle name="Note 2 27 5" xfId="37778"/>
    <cellStyle name="Note 2 27 5 2" xfId="37779"/>
    <cellStyle name="Note 2 27 5 2 2" xfId="37780"/>
    <cellStyle name="Note 2 27 5 3" xfId="37781"/>
    <cellStyle name="Note 2 27 5 3 2" xfId="37782"/>
    <cellStyle name="Note 2 27 5 4" xfId="37783"/>
    <cellStyle name="Note 2 27 5 4 2" xfId="37784"/>
    <cellStyle name="Note 2 27 5 5" xfId="37785"/>
    <cellStyle name="Note 2 27 50" xfId="37786"/>
    <cellStyle name="Note 2 27 50 2" xfId="37787"/>
    <cellStyle name="Note 2 27 51" xfId="37788"/>
    <cellStyle name="Note 2 27 51 2" xfId="37789"/>
    <cellStyle name="Note 2 27 52" xfId="37790"/>
    <cellStyle name="Note 2 27 52 2" xfId="37791"/>
    <cellStyle name="Note 2 27 53" xfId="37792"/>
    <cellStyle name="Note 2 27 53 2" xfId="37793"/>
    <cellStyle name="Note 2 27 54" xfId="37794"/>
    <cellStyle name="Note 2 27 54 2" xfId="37795"/>
    <cellStyle name="Note 2 27 55" xfId="37796"/>
    <cellStyle name="Note 2 27 55 2" xfId="37797"/>
    <cellStyle name="Note 2 27 56" xfId="37798"/>
    <cellStyle name="Note 2 27 56 2" xfId="37799"/>
    <cellStyle name="Note 2 27 57" xfId="37800"/>
    <cellStyle name="Note 2 27 57 2" xfId="37801"/>
    <cellStyle name="Note 2 27 58" xfId="37802"/>
    <cellStyle name="Note 2 27 58 2" xfId="37803"/>
    <cellStyle name="Note 2 27 59" xfId="37804"/>
    <cellStyle name="Note 2 27 59 2" xfId="37805"/>
    <cellStyle name="Note 2 27 6" xfId="37806"/>
    <cellStyle name="Note 2 27 6 2" xfId="37807"/>
    <cellStyle name="Note 2 27 6 2 2" xfId="37808"/>
    <cellStyle name="Note 2 27 6 3" xfId="37809"/>
    <cellStyle name="Note 2 27 6 3 2" xfId="37810"/>
    <cellStyle name="Note 2 27 6 4" xfId="37811"/>
    <cellStyle name="Note 2 27 6 4 2" xfId="37812"/>
    <cellStyle name="Note 2 27 6 5" xfId="37813"/>
    <cellStyle name="Note 2 27 60" xfId="37814"/>
    <cellStyle name="Note 2 27 60 2" xfId="37815"/>
    <cellStyle name="Note 2 27 61" xfId="37816"/>
    <cellStyle name="Note 2 27 61 2" xfId="37817"/>
    <cellStyle name="Note 2 27 62" xfId="37818"/>
    <cellStyle name="Note 2 27 7" xfId="37819"/>
    <cellStyle name="Note 2 27 7 2" xfId="37820"/>
    <cellStyle name="Note 2 27 7 2 2" xfId="37821"/>
    <cellStyle name="Note 2 27 7 3" xfId="37822"/>
    <cellStyle name="Note 2 27 7 3 2" xfId="37823"/>
    <cellStyle name="Note 2 27 7 4" xfId="37824"/>
    <cellStyle name="Note 2 27 7 4 2" xfId="37825"/>
    <cellStyle name="Note 2 27 7 5" xfId="37826"/>
    <cellStyle name="Note 2 27 8" xfId="37827"/>
    <cellStyle name="Note 2 27 8 2" xfId="37828"/>
    <cellStyle name="Note 2 27 8 2 2" xfId="37829"/>
    <cellStyle name="Note 2 27 8 3" xfId="37830"/>
    <cellStyle name="Note 2 27 8 3 2" xfId="37831"/>
    <cellStyle name="Note 2 27 8 4" xfId="37832"/>
    <cellStyle name="Note 2 27 8 4 2" xfId="37833"/>
    <cellStyle name="Note 2 27 8 5" xfId="37834"/>
    <cellStyle name="Note 2 27 9" xfId="37835"/>
    <cellStyle name="Note 2 27 9 2" xfId="37836"/>
    <cellStyle name="Note 2 27 9 2 2" xfId="37837"/>
    <cellStyle name="Note 2 27 9 3" xfId="37838"/>
    <cellStyle name="Note 2 27 9 3 2" xfId="37839"/>
    <cellStyle name="Note 2 27 9 4" xfId="37840"/>
    <cellStyle name="Note 2 27 9 4 2" xfId="37841"/>
    <cellStyle name="Note 2 27 9 5" xfId="37842"/>
    <cellStyle name="Note 2 28" xfId="37843"/>
    <cellStyle name="Note 2 28 10" xfId="37844"/>
    <cellStyle name="Note 2 28 10 2" xfId="37845"/>
    <cellStyle name="Note 2 28 10 2 2" xfId="37846"/>
    <cellStyle name="Note 2 28 10 3" xfId="37847"/>
    <cellStyle name="Note 2 28 10 3 2" xfId="37848"/>
    <cellStyle name="Note 2 28 10 4" xfId="37849"/>
    <cellStyle name="Note 2 28 10 4 2" xfId="37850"/>
    <cellStyle name="Note 2 28 10 5" xfId="37851"/>
    <cellStyle name="Note 2 28 11" xfId="37852"/>
    <cellStyle name="Note 2 28 11 2" xfId="37853"/>
    <cellStyle name="Note 2 28 11 2 2" xfId="37854"/>
    <cellStyle name="Note 2 28 11 3" xfId="37855"/>
    <cellStyle name="Note 2 28 11 3 2" xfId="37856"/>
    <cellStyle name="Note 2 28 11 4" xfId="37857"/>
    <cellStyle name="Note 2 28 11 4 2" xfId="37858"/>
    <cellStyle name="Note 2 28 11 5" xfId="37859"/>
    <cellStyle name="Note 2 28 12" xfId="37860"/>
    <cellStyle name="Note 2 28 12 2" xfId="37861"/>
    <cellStyle name="Note 2 28 12 2 2" xfId="37862"/>
    <cellStyle name="Note 2 28 12 3" xfId="37863"/>
    <cellStyle name="Note 2 28 12 3 2" xfId="37864"/>
    <cellStyle name="Note 2 28 12 4" xfId="37865"/>
    <cellStyle name="Note 2 28 12 4 2" xfId="37866"/>
    <cellStyle name="Note 2 28 12 5" xfId="37867"/>
    <cellStyle name="Note 2 28 13" xfId="37868"/>
    <cellStyle name="Note 2 28 13 2" xfId="37869"/>
    <cellStyle name="Note 2 28 13 2 2" xfId="37870"/>
    <cellStyle name="Note 2 28 13 3" xfId="37871"/>
    <cellStyle name="Note 2 28 13 3 2" xfId="37872"/>
    <cellStyle name="Note 2 28 13 4" xfId="37873"/>
    <cellStyle name="Note 2 28 13 4 2" xfId="37874"/>
    <cellStyle name="Note 2 28 13 5" xfId="37875"/>
    <cellStyle name="Note 2 28 14" xfId="37876"/>
    <cellStyle name="Note 2 28 14 2" xfId="37877"/>
    <cellStyle name="Note 2 28 14 2 2" xfId="37878"/>
    <cellStyle name="Note 2 28 14 3" xfId="37879"/>
    <cellStyle name="Note 2 28 14 3 2" xfId="37880"/>
    <cellStyle name="Note 2 28 14 4" xfId="37881"/>
    <cellStyle name="Note 2 28 14 4 2" xfId="37882"/>
    <cellStyle name="Note 2 28 14 5" xfId="37883"/>
    <cellStyle name="Note 2 28 15" xfId="37884"/>
    <cellStyle name="Note 2 28 15 2" xfId="37885"/>
    <cellStyle name="Note 2 28 16" xfId="37886"/>
    <cellStyle name="Note 2 28 16 2" xfId="37887"/>
    <cellStyle name="Note 2 28 17" xfId="37888"/>
    <cellStyle name="Note 2 28 17 2" xfId="37889"/>
    <cellStyle name="Note 2 28 18" xfId="37890"/>
    <cellStyle name="Note 2 28 18 2" xfId="37891"/>
    <cellStyle name="Note 2 28 19" xfId="37892"/>
    <cellStyle name="Note 2 28 19 2" xfId="37893"/>
    <cellStyle name="Note 2 28 2" xfId="37894"/>
    <cellStyle name="Note 2 28 2 10" xfId="37895"/>
    <cellStyle name="Note 2 28 2 10 2" xfId="37896"/>
    <cellStyle name="Note 2 28 2 11" xfId="37897"/>
    <cellStyle name="Note 2 28 2 11 2" xfId="37898"/>
    <cellStyle name="Note 2 28 2 12" xfId="37899"/>
    <cellStyle name="Note 2 28 2 12 2" xfId="37900"/>
    <cellStyle name="Note 2 28 2 13" xfId="37901"/>
    <cellStyle name="Note 2 28 2 13 2" xfId="37902"/>
    <cellStyle name="Note 2 28 2 14" xfId="37903"/>
    <cellStyle name="Note 2 28 2 14 2" xfId="37904"/>
    <cellStyle name="Note 2 28 2 15" xfId="37905"/>
    <cellStyle name="Note 2 28 2 15 2" xfId="37906"/>
    <cellStyle name="Note 2 28 2 16" xfId="37907"/>
    <cellStyle name="Note 2 28 2 16 2" xfId="37908"/>
    <cellStyle name="Note 2 28 2 17" xfId="37909"/>
    <cellStyle name="Note 2 28 2 17 2" xfId="37910"/>
    <cellStyle name="Note 2 28 2 18" xfId="37911"/>
    <cellStyle name="Note 2 28 2 18 2" xfId="37912"/>
    <cellStyle name="Note 2 28 2 19" xfId="37913"/>
    <cellStyle name="Note 2 28 2 19 2" xfId="37914"/>
    <cellStyle name="Note 2 28 2 2" xfId="37915"/>
    <cellStyle name="Note 2 28 2 2 2" xfId="37916"/>
    <cellStyle name="Note 2 28 2 2 3" xfId="37917"/>
    <cellStyle name="Note 2 28 2 20" xfId="37918"/>
    <cellStyle name="Note 2 28 2 20 2" xfId="37919"/>
    <cellStyle name="Note 2 28 2 21" xfId="37920"/>
    <cellStyle name="Note 2 28 2 21 2" xfId="37921"/>
    <cellStyle name="Note 2 28 2 22" xfId="37922"/>
    <cellStyle name="Note 2 28 2 22 2" xfId="37923"/>
    <cellStyle name="Note 2 28 2 23" xfId="37924"/>
    <cellStyle name="Note 2 28 2 23 2" xfId="37925"/>
    <cellStyle name="Note 2 28 2 24" xfId="37926"/>
    <cellStyle name="Note 2 28 2 24 2" xfId="37927"/>
    <cellStyle name="Note 2 28 2 25" xfId="37928"/>
    <cellStyle name="Note 2 28 2 25 2" xfId="37929"/>
    <cellStyle name="Note 2 28 2 26" xfId="37930"/>
    <cellStyle name="Note 2 28 2 26 2" xfId="37931"/>
    <cellStyle name="Note 2 28 2 27" xfId="37932"/>
    <cellStyle name="Note 2 28 2 27 2" xfId="37933"/>
    <cellStyle name="Note 2 28 2 28" xfId="37934"/>
    <cellStyle name="Note 2 28 2 28 2" xfId="37935"/>
    <cellStyle name="Note 2 28 2 29" xfId="37936"/>
    <cellStyle name="Note 2 28 2 29 2" xfId="37937"/>
    <cellStyle name="Note 2 28 2 3" xfId="37938"/>
    <cellStyle name="Note 2 28 2 3 2" xfId="37939"/>
    <cellStyle name="Note 2 28 2 3 3" xfId="37940"/>
    <cellStyle name="Note 2 28 2 30" xfId="37941"/>
    <cellStyle name="Note 2 28 2 30 2" xfId="37942"/>
    <cellStyle name="Note 2 28 2 31" xfId="37943"/>
    <cellStyle name="Note 2 28 2 4" xfId="37944"/>
    <cellStyle name="Note 2 28 2 4 2" xfId="37945"/>
    <cellStyle name="Note 2 28 2 5" xfId="37946"/>
    <cellStyle name="Note 2 28 2 5 2" xfId="37947"/>
    <cellStyle name="Note 2 28 2 6" xfId="37948"/>
    <cellStyle name="Note 2 28 2 6 2" xfId="37949"/>
    <cellStyle name="Note 2 28 2 7" xfId="37950"/>
    <cellStyle name="Note 2 28 2 7 2" xfId="37951"/>
    <cellStyle name="Note 2 28 2 8" xfId="37952"/>
    <cellStyle name="Note 2 28 2 8 2" xfId="37953"/>
    <cellStyle name="Note 2 28 2 9" xfId="37954"/>
    <cellStyle name="Note 2 28 2 9 2" xfId="37955"/>
    <cellStyle name="Note 2 28 20" xfId="37956"/>
    <cellStyle name="Note 2 28 20 2" xfId="37957"/>
    <cellStyle name="Note 2 28 21" xfId="37958"/>
    <cellStyle name="Note 2 28 21 2" xfId="37959"/>
    <cellStyle name="Note 2 28 22" xfId="37960"/>
    <cellStyle name="Note 2 28 22 2" xfId="37961"/>
    <cellStyle name="Note 2 28 23" xfId="37962"/>
    <cellStyle name="Note 2 28 23 2" xfId="37963"/>
    <cellStyle name="Note 2 28 24" xfId="37964"/>
    <cellStyle name="Note 2 28 24 2" xfId="37965"/>
    <cellStyle name="Note 2 28 25" xfId="37966"/>
    <cellStyle name="Note 2 28 25 2" xfId="37967"/>
    <cellStyle name="Note 2 28 26" xfId="37968"/>
    <cellStyle name="Note 2 28 26 2" xfId="37969"/>
    <cellStyle name="Note 2 28 27" xfId="37970"/>
    <cellStyle name="Note 2 28 27 2" xfId="37971"/>
    <cellStyle name="Note 2 28 28" xfId="37972"/>
    <cellStyle name="Note 2 28 28 2" xfId="37973"/>
    <cellStyle name="Note 2 28 29" xfId="37974"/>
    <cellStyle name="Note 2 28 29 2" xfId="37975"/>
    <cellStyle name="Note 2 28 3" xfId="37976"/>
    <cellStyle name="Note 2 28 3 2" xfId="37977"/>
    <cellStyle name="Note 2 28 3 2 2" xfId="37978"/>
    <cellStyle name="Note 2 28 3 3" xfId="37979"/>
    <cellStyle name="Note 2 28 3 3 2" xfId="37980"/>
    <cellStyle name="Note 2 28 3 4" xfId="37981"/>
    <cellStyle name="Note 2 28 3 4 2" xfId="37982"/>
    <cellStyle name="Note 2 28 3 5" xfId="37983"/>
    <cellStyle name="Note 2 28 30" xfId="37984"/>
    <cellStyle name="Note 2 28 30 2" xfId="37985"/>
    <cellStyle name="Note 2 28 31" xfId="37986"/>
    <cellStyle name="Note 2 28 31 2" xfId="37987"/>
    <cellStyle name="Note 2 28 32" xfId="37988"/>
    <cellStyle name="Note 2 28 32 2" xfId="37989"/>
    <cellStyle name="Note 2 28 33" xfId="37990"/>
    <cellStyle name="Note 2 28 33 2" xfId="37991"/>
    <cellStyle name="Note 2 28 34" xfId="37992"/>
    <cellStyle name="Note 2 28 34 2" xfId="37993"/>
    <cellStyle name="Note 2 28 35" xfId="37994"/>
    <cellStyle name="Note 2 28 35 2" xfId="37995"/>
    <cellStyle name="Note 2 28 36" xfId="37996"/>
    <cellStyle name="Note 2 28 36 2" xfId="37997"/>
    <cellStyle name="Note 2 28 37" xfId="37998"/>
    <cellStyle name="Note 2 28 37 2" xfId="37999"/>
    <cellStyle name="Note 2 28 38" xfId="38000"/>
    <cellStyle name="Note 2 28 38 2" xfId="38001"/>
    <cellStyle name="Note 2 28 39" xfId="38002"/>
    <cellStyle name="Note 2 28 39 2" xfId="38003"/>
    <cellStyle name="Note 2 28 4" xfId="38004"/>
    <cellStyle name="Note 2 28 4 2" xfId="38005"/>
    <cellStyle name="Note 2 28 4 2 2" xfId="38006"/>
    <cellStyle name="Note 2 28 4 3" xfId="38007"/>
    <cellStyle name="Note 2 28 4 3 2" xfId="38008"/>
    <cellStyle name="Note 2 28 4 4" xfId="38009"/>
    <cellStyle name="Note 2 28 4 4 2" xfId="38010"/>
    <cellStyle name="Note 2 28 4 5" xfId="38011"/>
    <cellStyle name="Note 2 28 40" xfId="38012"/>
    <cellStyle name="Note 2 28 40 2" xfId="38013"/>
    <cellStyle name="Note 2 28 41" xfId="38014"/>
    <cellStyle name="Note 2 28 41 2" xfId="38015"/>
    <cellStyle name="Note 2 28 42" xfId="38016"/>
    <cellStyle name="Note 2 28 42 2" xfId="38017"/>
    <cellStyle name="Note 2 28 43" xfId="38018"/>
    <cellStyle name="Note 2 28 43 2" xfId="38019"/>
    <cellStyle name="Note 2 28 44" xfId="38020"/>
    <cellStyle name="Note 2 28 44 2" xfId="38021"/>
    <cellStyle name="Note 2 28 45" xfId="38022"/>
    <cellStyle name="Note 2 28 45 2" xfId="38023"/>
    <cellStyle name="Note 2 28 46" xfId="38024"/>
    <cellStyle name="Note 2 28 46 2" xfId="38025"/>
    <cellStyle name="Note 2 28 47" xfId="38026"/>
    <cellStyle name="Note 2 28 47 2" xfId="38027"/>
    <cellStyle name="Note 2 28 48" xfId="38028"/>
    <cellStyle name="Note 2 28 48 2" xfId="38029"/>
    <cellStyle name="Note 2 28 49" xfId="38030"/>
    <cellStyle name="Note 2 28 49 2" xfId="38031"/>
    <cellStyle name="Note 2 28 5" xfId="38032"/>
    <cellStyle name="Note 2 28 5 2" xfId="38033"/>
    <cellStyle name="Note 2 28 5 2 2" xfId="38034"/>
    <cellStyle name="Note 2 28 5 3" xfId="38035"/>
    <cellStyle name="Note 2 28 5 3 2" xfId="38036"/>
    <cellStyle name="Note 2 28 5 4" xfId="38037"/>
    <cellStyle name="Note 2 28 5 4 2" xfId="38038"/>
    <cellStyle name="Note 2 28 5 5" xfId="38039"/>
    <cellStyle name="Note 2 28 50" xfId="38040"/>
    <cellStyle name="Note 2 28 50 2" xfId="38041"/>
    <cellStyle name="Note 2 28 51" xfId="38042"/>
    <cellStyle name="Note 2 28 51 2" xfId="38043"/>
    <cellStyle name="Note 2 28 52" xfId="38044"/>
    <cellStyle name="Note 2 28 52 2" xfId="38045"/>
    <cellStyle name="Note 2 28 53" xfId="38046"/>
    <cellStyle name="Note 2 28 53 2" xfId="38047"/>
    <cellStyle name="Note 2 28 54" xfId="38048"/>
    <cellStyle name="Note 2 28 54 2" xfId="38049"/>
    <cellStyle name="Note 2 28 55" xfId="38050"/>
    <cellStyle name="Note 2 28 55 2" xfId="38051"/>
    <cellStyle name="Note 2 28 56" xfId="38052"/>
    <cellStyle name="Note 2 28 56 2" xfId="38053"/>
    <cellStyle name="Note 2 28 57" xfId="38054"/>
    <cellStyle name="Note 2 28 57 2" xfId="38055"/>
    <cellStyle name="Note 2 28 58" xfId="38056"/>
    <cellStyle name="Note 2 28 58 2" xfId="38057"/>
    <cellStyle name="Note 2 28 59" xfId="38058"/>
    <cellStyle name="Note 2 28 59 2" xfId="38059"/>
    <cellStyle name="Note 2 28 6" xfId="38060"/>
    <cellStyle name="Note 2 28 6 2" xfId="38061"/>
    <cellStyle name="Note 2 28 6 2 2" xfId="38062"/>
    <cellStyle name="Note 2 28 6 3" xfId="38063"/>
    <cellStyle name="Note 2 28 6 3 2" xfId="38064"/>
    <cellStyle name="Note 2 28 6 4" xfId="38065"/>
    <cellStyle name="Note 2 28 6 4 2" xfId="38066"/>
    <cellStyle name="Note 2 28 6 5" xfId="38067"/>
    <cellStyle name="Note 2 28 60" xfId="38068"/>
    <cellStyle name="Note 2 28 60 2" xfId="38069"/>
    <cellStyle name="Note 2 28 61" xfId="38070"/>
    <cellStyle name="Note 2 28 61 2" xfId="38071"/>
    <cellStyle name="Note 2 28 62" xfId="38072"/>
    <cellStyle name="Note 2 28 7" xfId="38073"/>
    <cellStyle name="Note 2 28 7 2" xfId="38074"/>
    <cellStyle name="Note 2 28 7 2 2" xfId="38075"/>
    <cellStyle name="Note 2 28 7 3" xfId="38076"/>
    <cellStyle name="Note 2 28 7 3 2" xfId="38077"/>
    <cellStyle name="Note 2 28 7 4" xfId="38078"/>
    <cellStyle name="Note 2 28 7 4 2" xfId="38079"/>
    <cellStyle name="Note 2 28 7 5" xfId="38080"/>
    <cellStyle name="Note 2 28 8" xfId="38081"/>
    <cellStyle name="Note 2 28 8 2" xfId="38082"/>
    <cellStyle name="Note 2 28 8 2 2" xfId="38083"/>
    <cellStyle name="Note 2 28 8 3" xfId="38084"/>
    <cellStyle name="Note 2 28 8 3 2" xfId="38085"/>
    <cellStyle name="Note 2 28 8 4" xfId="38086"/>
    <cellStyle name="Note 2 28 8 4 2" xfId="38087"/>
    <cellStyle name="Note 2 28 8 5" xfId="38088"/>
    <cellStyle name="Note 2 28 9" xfId="38089"/>
    <cellStyle name="Note 2 28 9 2" xfId="38090"/>
    <cellStyle name="Note 2 28 9 2 2" xfId="38091"/>
    <cellStyle name="Note 2 28 9 3" xfId="38092"/>
    <cellStyle name="Note 2 28 9 3 2" xfId="38093"/>
    <cellStyle name="Note 2 28 9 4" xfId="38094"/>
    <cellStyle name="Note 2 28 9 4 2" xfId="38095"/>
    <cellStyle name="Note 2 28 9 5" xfId="38096"/>
    <cellStyle name="Note 2 29" xfId="38097"/>
    <cellStyle name="Note 2 29 10" xfId="38098"/>
    <cellStyle name="Note 2 29 10 2" xfId="38099"/>
    <cellStyle name="Note 2 29 10 2 2" xfId="38100"/>
    <cellStyle name="Note 2 29 10 3" xfId="38101"/>
    <cellStyle name="Note 2 29 10 3 2" xfId="38102"/>
    <cellStyle name="Note 2 29 10 4" xfId="38103"/>
    <cellStyle name="Note 2 29 10 4 2" xfId="38104"/>
    <cellStyle name="Note 2 29 10 5" xfId="38105"/>
    <cellStyle name="Note 2 29 11" xfId="38106"/>
    <cellStyle name="Note 2 29 11 2" xfId="38107"/>
    <cellStyle name="Note 2 29 11 2 2" xfId="38108"/>
    <cellStyle name="Note 2 29 11 3" xfId="38109"/>
    <cellStyle name="Note 2 29 11 3 2" xfId="38110"/>
    <cellStyle name="Note 2 29 11 4" xfId="38111"/>
    <cellStyle name="Note 2 29 11 4 2" xfId="38112"/>
    <cellStyle name="Note 2 29 11 5" xfId="38113"/>
    <cellStyle name="Note 2 29 12" xfId="38114"/>
    <cellStyle name="Note 2 29 12 2" xfId="38115"/>
    <cellStyle name="Note 2 29 12 2 2" xfId="38116"/>
    <cellStyle name="Note 2 29 12 3" xfId="38117"/>
    <cellStyle name="Note 2 29 12 3 2" xfId="38118"/>
    <cellStyle name="Note 2 29 12 4" xfId="38119"/>
    <cellStyle name="Note 2 29 12 4 2" xfId="38120"/>
    <cellStyle name="Note 2 29 12 5" xfId="38121"/>
    <cellStyle name="Note 2 29 13" xfId="38122"/>
    <cellStyle name="Note 2 29 13 2" xfId="38123"/>
    <cellStyle name="Note 2 29 13 2 2" xfId="38124"/>
    <cellStyle name="Note 2 29 13 3" xfId="38125"/>
    <cellStyle name="Note 2 29 13 3 2" xfId="38126"/>
    <cellStyle name="Note 2 29 13 4" xfId="38127"/>
    <cellStyle name="Note 2 29 13 4 2" xfId="38128"/>
    <cellStyle name="Note 2 29 13 5" xfId="38129"/>
    <cellStyle name="Note 2 29 14" xfId="38130"/>
    <cellStyle name="Note 2 29 14 2" xfId="38131"/>
    <cellStyle name="Note 2 29 14 2 2" xfId="38132"/>
    <cellStyle name="Note 2 29 14 3" xfId="38133"/>
    <cellStyle name="Note 2 29 14 3 2" xfId="38134"/>
    <cellStyle name="Note 2 29 14 4" xfId="38135"/>
    <cellStyle name="Note 2 29 14 4 2" xfId="38136"/>
    <cellStyle name="Note 2 29 14 5" xfId="38137"/>
    <cellStyle name="Note 2 29 15" xfId="38138"/>
    <cellStyle name="Note 2 29 15 2" xfId="38139"/>
    <cellStyle name="Note 2 29 16" xfId="38140"/>
    <cellStyle name="Note 2 29 16 2" xfId="38141"/>
    <cellStyle name="Note 2 29 17" xfId="38142"/>
    <cellStyle name="Note 2 29 17 2" xfId="38143"/>
    <cellStyle name="Note 2 29 18" xfId="38144"/>
    <cellStyle name="Note 2 29 18 2" xfId="38145"/>
    <cellStyle name="Note 2 29 19" xfId="38146"/>
    <cellStyle name="Note 2 29 19 2" xfId="38147"/>
    <cellStyle name="Note 2 29 2" xfId="38148"/>
    <cellStyle name="Note 2 29 2 10" xfId="38149"/>
    <cellStyle name="Note 2 29 2 10 2" xfId="38150"/>
    <cellStyle name="Note 2 29 2 11" xfId="38151"/>
    <cellStyle name="Note 2 29 2 11 2" xfId="38152"/>
    <cellStyle name="Note 2 29 2 12" xfId="38153"/>
    <cellStyle name="Note 2 29 2 12 2" xfId="38154"/>
    <cellStyle name="Note 2 29 2 13" xfId="38155"/>
    <cellStyle name="Note 2 29 2 13 2" xfId="38156"/>
    <cellStyle name="Note 2 29 2 14" xfId="38157"/>
    <cellStyle name="Note 2 29 2 14 2" xfId="38158"/>
    <cellStyle name="Note 2 29 2 15" xfId="38159"/>
    <cellStyle name="Note 2 29 2 15 2" xfId="38160"/>
    <cellStyle name="Note 2 29 2 16" xfId="38161"/>
    <cellStyle name="Note 2 29 2 16 2" xfId="38162"/>
    <cellStyle name="Note 2 29 2 17" xfId="38163"/>
    <cellStyle name="Note 2 29 2 17 2" xfId="38164"/>
    <cellStyle name="Note 2 29 2 18" xfId="38165"/>
    <cellStyle name="Note 2 29 2 18 2" xfId="38166"/>
    <cellStyle name="Note 2 29 2 19" xfId="38167"/>
    <cellStyle name="Note 2 29 2 19 2" xfId="38168"/>
    <cellStyle name="Note 2 29 2 2" xfId="38169"/>
    <cellStyle name="Note 2 29 2 2 2" xfId="38170"/>
    <cellStyle name="Note 2 29 2 2 3" xfId="38171"/>
    <cellStyle name="Note 2 29 2 20" xfId="38172"/>
    <cellStyle name="Note 2 29 2 20 2" xfId="38173"/>
    <cellStyle name="Note 2 29 2 21" xfId="38174"/>
    <cellStyle name="Note 2 29 2 21 2" xfId="38175"/>
    <cellStyle name="Note 2 29 2 22" xfId="38176"/>
    <cellStyle name="Note 2 29 2 22 2" xfId="38177"/>
    <cellStyle name="Note 2 29 2 23" xfId="38178"/>
    <cellStyle name="Note 2 29 2 23 2" xfId="38179"/>
    <cellStyle name="Note 2 29 2 24" xfId="38180"/>
    <cellStyle name="Note 2 29 2 24 2" xfId="38181"/>
    <cellStyle name="Note 2 29 2 25" xfId="38182"/>
    <cellStyle name="Note 2 29 2 25 2" xfId="38183"/>
    <cellStyle name="Note 2 29 2 26" xfId="38184"/>
    <cellStyle name="Note 2 29 2 26 2" xfId="38185"/>
    <cellStyle name="Note 2 29 2 27" xfId="38186"/>
    <cellStyle name="Note 2 29 2 27 2" xfId="38187"/>
    <cellStyle name="Note 2 29 2 28" xfId="38188"/>
    <cellStyle name="Note 2 29 2 28 2" xfId="38189"/>
    <cellStyle name="Note 2 29 2 29" xfId="38190"/>
    <cellStyle name="Note 2 29 2 29 2" xfId="38191"/>
    <cellStyle name="Note 2 29 2 3" xfId="38192"/>
    <cellStyle name="Note 2 29 2 3 2" xfId="38193"/>
    <cellStyle name="Note 2 29 2 3 3" xfId="38194"/>
    <cellStyle name="Note 2 29 2 30" xfId="38195"/>
    <cellStyle name="Note 2 29 2 30 2" xfId="38196"/>
    <cellStyle name="Note 2 29 2 31" xfId="38197"/>
    <cellStyle name="Note 2 29 2 4" xfId="38198"/>
    <cellStyle name="Note 2 29 2 4 2" xfId="38199"/>
    <cellStyle name="Note 2 29 2 5" xfId="38200"/>
    <cellStyle name="Note 2 29 2 5 2" xfId="38201"/>
    <cellStyle name="Note 2 29 2 6" xfId="38202"/>
    <cellStyle name="Note 2 29 2 6 2" xfId="38203"/>
    <cellStyle name="Note 2 29 2 7" xfId="38204"/>
    <cellStyle name="Note 2 29 2 7 2" xfId="38205"/>
    <cellStyle name="Note 2 29 2 8" xfId="38206"/>
    <cellStyle name="Note 2 29 2 8 2" xfId="38207"/>
    <cellStyle name="Note 2 29 2 9" xfId="38208"/>
    <cellStyle name="Note 2 29 2 9 2" xfId="38209"/>
    <cellStyle name="Note 2 29 20" xfId="38210"/>
    <cellStyle name="Note 2 29 20 2" xfId="38211"/>
    <cellStyle name="Note 2 29 21" xfId="38212"/>
    <cellStyle name="Note 2 29 21 2" xfId="38213"/>
    <cellStyle name="Note 2 29 22" xfId="38214"/>
    <cellStyle name="Note 2 29 22 2" xfId="38215"/>
    <cellStyle name="Note 2 29 23" xfId="38216"/>
    <cellStyle name="Note 2 29 23 2" xfId="38217"/>
    <cellStyle name="Note 2 29 24" xfId="38218"/>
    <cellStyle name="Note 2 29 24 2" xfId="38219"/>
    <cellStyle name="Note 2 29 25" xfId="38220"/>
    <cellStyle name="Note 2 29 25 2" xfId="38221"/>
    <cellStyle name="Note 2 29 26" xfId="38222"/>
    <cellStyle name="Note 2 29 26 2" xfId="38223"/>
    <cellStyle name="Note 2 29 27" xfId="38224"/>
    <cellStyle name="Note 2 29 27 2" xfId="38225"/>
    <cellStyle name="Note 2 29 28" xfId="38226"/>
    <cellStyle name="Note 2 29 28 2" xfId="38227"/>
    <cellStyle name="Note 2 29 29" xfId="38228"/>
    <cellStyle name="Note 2 29 29 2" xfId="38229"/>
    <cellStyle name="Note 2 29 3" xfId="38230"/>
    <cellStyle name="Note 2 29 3 2" xfId="38231"/>
    <cellStyle name="Note 2 29 3 2 2" xfId="38232"/>
    <cellStyle name="Note 2 29 3 3" xfId="38233"/>
    <cellStyle name="Note 2 29 3 3 2" xfId="38234"/>
    <cellStyle name="Note 2 29 3 4" xfId="38235"/>
    <cellStyle name="Note 2 29 3 4 2" xfId="38236"/>
    <cellStyle name="Note 2 29 3 5" xfId="38237"/>
    <cellStyle name="Note 2 29 30" xfId="38238"/>
    <cellStyle name="Note 2 29 30 2" xfId="38239"/>
    <cellStyle name="Note 2 29 31" xfId="38240"/>
    <cellStyle name="Note 2 29 31 2" xfId="38241"/>
    <cellStyle name="Note 2 29 32" xfId="38242"/>
    <cellStyle name="Note 2 29 32 2" xfId="38243"/>
    <cellStyle name="Note 2 29 33" xfId="38244"/>
    <cellStyle name="Note 2 29 33 2" xfId="38245"/>
    <cellStyle name="Note 2 29 34" xfId="38246"/>
    <cellStyle name="Note 2 29 34 2" xfId="38247"/>
    <cellStyle name="Note 2 29 35" xfId="38248"/>
    <cellStyle name="Note 2 29 35 2" xfId="38249"/>
    <cellStyle name="Note 2 29 36" xfId="38250"/>
    <cellStyle name="Note 2 29 36 2" xfId="38251"/>
    <cellStyle name="Note 2 29 37" xfId="38252"/>
    <cellStyle name="Note 2 29 37 2" xfId="38253"/>
    <cellStyle name="Note 2 29 38" xfId="38254"/>
    <cellStyle name="Note 2 29 38 2" xfId="38255"/>
    <cellStyle name="Note 2 29 39" xfId="38256"/>
    <cellStyle name="Note 2 29 39 2" xfId="38257"/>
    <cellStyle name="Note 2 29 4" xfId="38258"/>
    <cellStyle name="Note 2 29 4 2" xfId="38259"/>
    <cellStyle name="Note 2 29 4 2 2" xfId="38260"/>
    <cellStyle name="Note 2 29 4 3" xfId="38261"/>
    <cellStyle name="Note 2 29 4 3 2" xfId="38262"/>
    <cellStyle name="Note 2 29 4 4" xfId="38263"/>
    <cellStyle name="Note 2 29 4 4 2" xfId="38264"/>
    <cellStyle name="Note 2 29 4 5" xfId="38265"/>
    <cellStyle name="Note 2 29 40" xfId="38266"/>
    <cellStyle name="Note 2 29 40 2" xfId="38267"/>
    <cellStyle name="Note 2 29 41" xfId="38268"/>
    <cellStyle name="Note 2 29 41 2" xfId="38269"/>
    <cellStyle name="Note 2 29 42" xfId="38270"/>
    <cellStyle name="Note 2 29 42 2" xfId="38271"/>
    <cellStyle name="Note 2 29 43" xfId="38272"/>
    <cellStyle name="Note 2 29 43 2" xfId="38273"/>
    <cellStyle name="Note 2 29 44" xfId="38274"/>
    <cellStyle name="Note 2 29 44 2" xfId="38275"/>
    <cellStyle name="Note 2 29 45" xfId="38276"/>
    <cellStyle name="Note 2 29 45 2" xfId="38277"/>
    <cellStyle name="Note 2 29 46" xfId="38278"/>
    <cellStyle name="Note 2 29 46 2" xfId="38279"/>
    <cellStyle name="Note 2 29 47" xfId="38280"/>
    <cellStyle name="Note 2 29 47 2" xfId="38281"/>
    <cellStyle name="Note 2 29 48" xfId="38282"/>
    <cellStyle name="Note 2 29 48 2" xfId="38283"/>
    <cellStyle name="Note 2 29 49" xfId="38284"/>
    <cellStyle name="Note 2 29 49 2" xfId="38285"/>
    <cellStyle name="Note 2 29 5" xfId="38286"/>
    <cellStyle name="Note 2 29 5 2" xfId="38287"/>
    <cellStyle name="Note 2 29 5 2 2" xfId="38288"/>
    <cellStyle name="Note 2 29 5 3" xfId="38289"/>
    <cellStyle name="Note 2 29 5 3 2" xfId="38290"/>
    <cellStyle name="Note 2 29 5 4" xfId="38291"/>
    <cellStyle name="Note 2 29 5 4 2" xfId="38292"/>
    <cellStyle name="Note 2 29 5 5" xfId="38293"/>
    <cellStyle name="Note 2 29 50" xfId="38294"/>
    <cellStyle name="Note 2 29 50 2" xfId="38295"/>
    <cellStyle name="Note 2 29 51" xfId="38296"/>
    <cellStyle name="Note 2 29 51 2" xfId="38297"/>
    <cellStyle name="Note 2 29 52" xfId="38298"/>
    <cellStyle name="Note 2 29 52 2" xfId="38299"/>
    <cellStyle name="Note 2 29 53" xfId="38300"/>
    <cellStyle name="Note 2 29 53 2" xfId="38301"/>
    <cellStyle name="Note 2 29 54" xfId="38302"/>
    <cellStyle name="Note 2 29 54 2" xfId="38303"/>
    <cellStyle name="Note 2 29 55" xfId="38304"/>
    <cellStyle name="Note 2 29 55 2" xfId="38305"/>
    <cellStyle name="Note 2 29 56" xfId="38306"/>
    <cellStyle name="Note 2 29 56 2" xfId="38307"/>
    <cellStyle name="Note 2 29 57" xfId="38308"/>
    <cellStyle name="Note 2 29 57 2" xfId="38309"/>
    <cellStyle name="Note 2 29 58" xfId="38310"/>
    <cellStyle name="Note 2 29 58 2" xfId="38311"/>
    <cellStyle name="Note 2 29 59" xfId="38312"/>
    <cellStyle name="Note 2 29 59 2" xfId="38313"/>
    <cellStyle name="Note 2 29 6" xfId="38314"/>
    <cellStyle name="Note 2 29 6 2" xfId="38315"/>
    <cellStyle name="Note 2 29 6 2 2" xfId="38316"/>
    <cellStyle name="Note 2 29 6 3" xfId="38317"/>
    <cellStyle name="Note 2 29 6 3 2" xfId="38318"/>
    <cellStyle name="Note 2 29 6 4" xfId="38319"/>
    <cellStyle name="Note 2 29 6 4 2" xfId="38320"/>
    <cellStyle name="Note 2 29 6 5" xfId="38321"/>
    <cellStyle name="Note 2 29 60" xfId="38322"/>
    <cellStyle name="Note 2 29 60 2" xfId="38323"/>
    <cellStyle name="Note 2 29 61" xfId="38324"/>
    <cellStyle name="Note 2 29 61 2" xfId="38325"/>
    <cellStyle name="Note 2 29 62" xfId="38326"/>
    <cellStyle name="Note 2 29 7" xfId="38327"/>
    <cellStyle name="Note 2 29 7 2" xfId="38328"/>
    <cellStyle name="Note 2 29 7 2 2" xfId="38329"/>
    <cellStyle name="Note 2 29 7 3" xfId="38330"/>
    <cellStyle name="Note 2 29 7 3 2" xfId="38331"/>
    <cellStyle name="Note 2 29 7 4" xfId="38332"/>
    <cellStyle name="Note 2 29 7 4 2" xfId="38333"/>
    <cellStyle name="Note 2 29 7 5" xfId="38334"/>
    <cellStyle name="Note 2 29 8" xfId="38335"/>
    <cellStyle name="Note 2 29 8 2" xfId="38336"/>
    <cellStyle name="Note 2 29 8 2 2" xfId="38337"/>
    <cellStyle name="Note 2 29 8 3" xfId="38338"/>
    <cellStyle name="Note 2 29 8 3 2" xfId="38339"/>
    <cellStyle name="Note 2 29 8 4" xfId="38340"/>
    <cellStyle name="Note 2 29 8 4 2" xfId="38341"/>
    <cellStyle name="Note 2 29 8 5" xfId="38342"/>
    <cellStyle name="Note 2 29 9" xfId="38343"/>
    <cellStyle name="Note 2 29 9 2" xfId="38344"/>
    <cellStyle name="Note 2 29 9 2 2" xfId="38345"/>
    <cellStyle name="Note 2 29 9 3" xfId="38346"/>
    <cellStyle name="Note 2 29 9 3 2" xfId="38347"/>
    <cellStyle name="Note 2 29 9 4" xfId="38348"/>
    <cellStyle name="Note 2 29 9 4 2" xfId="38349"/>
    <cellStyle name="Note 2 29 9 5" xfId="38350"/>
    <cellStyle name="Note 2 3" xfId="38351"/>
    <cellStyle name="Note 2 3 10" xfId="38352"/>
    <cellStyle name="Note 2 3 10 2" xfId="38353"/>
    <cellStyle name="Note 2 3 10 2 2" xfId="38354"/>
    <cellStyle name="Note 2 3 10 3" xfId="38355"/>
    <cellStyle name="Note 2 3 10 3 2" xfId="38356"/>
    <cellStyle name="Note 2 3 10 4" xfId="38357"/>
    <cellStyle name="Note 2 3 10 4 2" xfId="38358"/>
    <cellStyle name="Note 2 3 10 5" xfId="38359"/>
    <cellStyle name="Note 2 3 11" xfId="38360"/>
    <cellStyle name="Note 2 3 11 2" xfId="38361"/>
    <cellStyle name="Note 2 3 11 2 2" xfId="38362"/>
    <cellStyle name="Note 2 3 11 3" xfId="38363"/>
    <cellStyle name="Note 2 3 11 3 2" xfId="38364"/>
    <cellStyle name="Note 2 3 11 4" xfId="38365"/>
    <cellStyle name="Note 2 3 11 4 2" xfId="38366"/>
    <cellStyle name="Note 2 3 11 5" xfId="38367"/>
    <cellStyle name="Note 2 3 12" xfId="38368"/>
    <cellStyle name="Note 2 3 12 2" xfId="38369"/>
    <cellStyle name="Note 2 3 12 2 2" xfId="38370"/>
    <cellStyle name="Note 2 3 12 3" xfId="38371"/>
    <cellStyle name="Note 2 3 12 3 2" xfId="38372"/>
    <cellStyle name="Note 2 3 12 4" xfId="38373"/>
    <cellStyle name="Note 2 3 12 4 2" xfId="38374"/>
    <cellStyle name="Note 2 3 12 5" xfId="38375"/>
    <cellStyle name="Note 2 3 13" xfId="38376"/>
    <cellStyle name="Note 2 3 13 2" xfId="38377"/>
    <cellStyle name="Note 2 3 13 2 2" xfId="38378"/>
    <cellStyle name="Note 2 3 13 3" xfId="38379"/>
    <cellStyle name="Note 2 3 13 3 2" xfId="38380"/>
    <cellStyle name="Note 2 3 13 4" xfId="38381"/>
    <cellStyle name="Note 2 3 13 4 2" xfId="38382"/>
    <cellStyle name="Note 2 3 13 5" xfId="38383"/>
    <cellStyle name="Note 2 3 14" xfId="38384"/>
    <cellStyle name="Note 2 3 14 2" xfId="38385"/>
    <cellStyle name="Note 2 3 14 2 2" xfId="38386"/>
    <cellStyle name="Note 2 3 14 3" xfId="38387"/>
    <cellStyle name="Note 2 3 14 3 2" xfId="38388"/>
    <cellStyle name="Note 2 3 14 4" xfId="38389"/>
    <cellStyle name="Note 2 3 14 4 2" xfId="38390"/>
    <cellStyle name="Note 2 3 14 5" xfId="38391"/>
    <cellStyle name="Note 2 3 15" xfId="38392"/>
    <cellStyle name="Note 2 3 15 2" xfId="38393"/>
    <cellStyle name="Note 2 3 16" xfId="38394"/>
    <cellStyle name="Note 2 3 16 2" xfId="38395"/>
    <cellStyle name="Note 2 3 17" xfId="38396"/>
    <cellStyle name="Note 2 3 17 2" xfId="38397"/>
    <cellStyle name="Note 2 3 18" xfId="38398"/>
    <cellStyle name="Note 2 3 18 2" xfId="38399"/>
    <cellStyle name="Note 2 3 19" xfId="38400"/>
    <cellStyle name="Note 2 3 19 2" xfId="38401"/>
    <cellStyle name="Note 2 3 2" xfId="38402"/>
    <cellStyle name="Note 2 3 2 10" xfId="38403"/>
    <cellStyle name="Note 2 3 2 10 2" xfId="38404"/>
    <cellStyle name="Note 2 3 2 11" xfId="38405"/>
    <cellStyle name="Note 2 3 2 11 2" xfId="38406"/>
    <cellStyle name="Note 2 3 2 12" xfId="38407"/>
    <cellStyle name="Note 2 3 2 12 2" xfId="38408"/>
    <cellStyle name="Note 2 3 2 13" xfId="38409"/>
    <cellStyle name="Note 2 3 2 13 2" xfId="38410"/>
    <cellStyle name="Note 2 3 2 14" xfId="38411"/>
    <cellStyle name="Note 2 3 2 14 2" xfId="38412"/>
    <cellStyle name="Note 2 3 2 15" xfId="38413"/>
    <cellStyle name="Note 2 3 2 15 2" xfId="38414"/>
    <cellStyle name="Note 2 3 2 16" xfId="38415"/>
    <cellStyle name="Note 2 3 2 16 2" xfId="38416"/>
    <cellStyle name="Note 2 3 2 17" xfId="38417"/>
    <cellStyle name="Note 2 3 2 17 2" xfId="38418"/>
    <cellStyle name="Note 2 3 2 18" xfId="38419"/>
    <cellStyle name="Note 2 3 2 18 2" xfId="38420"/>
    <cellStyle name="Note 2 3 2 19" xfId="38421"/>
    <cellStyle name="Note 2 3 2 19 2" xfId="38422"/>
    <cellStyle name="Note 2 3 2 2" xfId="38423"/>
    <cellStyle name="Note 2 3 2 2 2" xfId="38424"/>
    <cellStyle name="Note 2 3 2 2 3" xfId="38425"/>
    <cellStyle name="Note 2 3 2 20" xfId="38426"/>
    <cellStyle name="Note 2 3 2 20 2" xfId="38427"/>
    <cellStyle name="Note 2 3 2 21" xfId="38428"/>
    <cellStyle name="Note 2 3 2 21 2" xfId="38429"/>
    <cellStyle name="Note 2 3 2 22" xfId="38430"/>
    <cellStyle name="Note 2 3 2 22 2" xfId="38431"/>
    <cellStyle name="Note 2 3 2 23" xfId="38432"/>
    <cellStyle name="Note 2 3 2 23 2" xfId="38433"/>
    <cellStyle name="Note 2 3 2 24" xfId="38434"/>
    <cellStyle name="Note 2 3 2 24 2" xfId="38435"/>
    <cellStyle name="Note 2 3 2 25" xfId="38436"/>
    <cellStyle name="Note 2 3 2 25 2" xfId="38437"/>
    <cellStyle name="Note 2 3 2 26" xfId="38438"/>
    <cellStyle name="Note 2 3 2 26 2" xfId="38439"/>
    <cellStyle name="Note 2 3 2 27" xfId="38440"/>
    <cellStyle name="Note 2 3 2 27 2" xfId="38441"/>
    <cellStyle name="Note 2 3 2 28" xfId="38442"/>
    <cellStyle name="Note 2 3 2 28 2" xfId="38443"/>
    <cellStyle name="Note 2 3 2 29" xfId="38444"/>
    <cellStyle name="Note 2 3 2 29 2" xfId="38445"/>
    <cellStyle name="Note 2 3 2 3" xfId="38446"/>
    <cellStyle name="Note 2 3 2 3 2" xfId="38447"/>
    <cellStyle name="Note 2 3 2 3 3" xfId="38448"/>
    <cellStyle name="Note 2 3 2 30" xfId="38449"/>
    <cellStyle name="Note 2 3 2 30 2" xfId="38450"/>
    <cellStyle name="Note 2 3 2 31" xfId="38451"/>
    <cellStyle name="Note 2 3 2 4" xfId="38452"/>
    <cellStyle name="Note 2 3 2 4 2" xfId="38453"/>
    <cellStyle name="Note 2 3 2 5" xfId="38454"/>
    <cellStyle name="Note 2 3 2 5 2" xfId="38455"/>
    <cellStyle name="Note 2 3 2 6" xfId="38456"/>
    <cellStyle name="Note 2 3 2 6 2" xfId="38457"/>
    <cellStyle name="Note 2 3 2 7" xfId="38458"/>
    <cellStyle name="Note 2 3 2 7 2" xfId="38459"/>
    <cellStyle name="Note 2 3 2 8" xfId="38460"/>
    <cellStyle name="Note 2 3 2 8 2" xfId="38461"/>
    <cellStyle name="Note 2 3 2 9" xfId="38462"/>
    <cellStyle name="Note 2 3 2 9 2" xfId="38463"/>
    <cellStyle name="Note 2 3 20" xfId="38464"/>
    <cellStyle name="Note 2 3 20 2" xfId="38465"/>
    <cellStyle name="Note 2 3 21" xfId="38466"/>
    <cellStyle name="Note 2 3 21 2" xfId="38467"/>
    <cellStyle name="Note 2 3 22" xfId="38468"/>
    <cellStyle name="Note 2 3 22 2" xfId="38469"/>
    <cellStyle name="Note 2 3 23" xfId="38470"/>
    <cellStyle name="Note 2 3 23 2" xfId="38471"/>
    <cellStyle name="Note 2 3 24" xfId="38472"/>
    <cellStyle name="Note 2 3 24 2" xfId="38473"/>
    <cellStyle name="Note 2 3 25" xfId="38474"/>
    <cellStyle name="Note 2 3 25 2" xfId="38475"/>
    <cellStyle name="Note 2 3 26" xfId="38476"/>
    <cellStyle name="Note 2 3 26 2" xfId="38477"/>
    <cellStyle name="Note 2 3 27" xfId="38478"/>
    <cellStyle name="Note 2 3 27 2" xfId="38479"/>
    <cellStyle name="Note 2 3 28" xfId="38480"/>
    <cellStyle name="Note 2 3 28 2" xfId="38481"/>
    <cellStyle name="Note 2 3 29" xfId="38482"/>
    <cellStyle name="Note 2 3 29 2" xfId="38483"/>
    <cellStyle name="Note 2 3 3" xfId="38484"/>
    <cellStyle name="Note 2 3 3 2" xfId="38485"/>
    <cellStyle name="Note 2 3 3 2 2" xfId="38486"/>
    <cellStyle name="Note 2 3 3 3" xfId="38487"/>
    <cellStyle name="Note 2 3 3 3 2" xfId="38488"/>
    <cellStyle name="Note 2 3 3 4" xfId="38489"/>
    <cellStyle name="Note 2 3 3 4 2" xfId="38490"/>
    <cellStyle name="Note 2 3 3 5" xfId="38491"/>
    <cellStyle name="Note 2 3 30" xfId="38492"/>
    <cellStyle name="Note 2 3 30 2" xfId="38493"/>
    <cellStyle name="Note 2 3 31" xfId="38494"/>
    <cellStyle name="Note 2 3 31 2" xfId="38495"/>
    <cellStyle name="Note 2 3 32" xfId="38496"/>
    <cellStyle name="Note 2 3 32 2" xfId="38497"/>
    <cellStyle name="Note 2 3 33" xfId="38498"/>
    <cellStyle name="Note 2 3 33 2" xfId="38499"/>
    <cellStyle name="Note 2 3 34" xfId="38500"/>
    <cellStyle name="Note 2 3 34 2" xfId="38501"/>
    <cellStyle name="Note 2 3 35" xfId="38502"/>
    <cellStyle name="Note 2 3 35 2" xfId="38503"/>
    <cellStyle name="Note 2 3 36" xfId="38504"/>
    <cellStyle name="Note 2 3 36 2" xfId="38505"/>
    <cellStyle name="Note 2 3 37" xfId="38506"/>
    <cellStyle name="Note 2 3 37 2" xfId="38507"/>
    <cellStyle name="Note 2 3 38" xfId="38508"/>
    <cellStyle name="Note 2 3 38 2" xfId="38509"/>
    <cellStyle name="Note 2 3 39" xfId="38510"/>
    <cellStyle name="Note 2 3 39 2" xfId="38511"/>
    <cellStyle name="Note 2 3 4" xfId="38512"/>
    <cellStyle name="Note 2 3 4 2" xfId="38513"/>
    <cellStyle name="Note 2 3 4 2 2" xfId="38514"/>
    <cellStyle name="Note 2 3 4 3" xfId="38515"/>
    <cellStyle name="Note 2 3 4 3 2" xfId="38516"/>
    <cellStyle name="Note 2 3 4 4" xfId="38517"/>
    <cellStyle name="Note 2 3 4 4 2" xfId="38518"/>
    <cellStyle name="Note 2 3 4 5" xfId="38519"/>
    <cellStyle name="Note 2 3 40" xfId="38520"/>
    <cellStyle name="Note 2 3 40 2" xfId="38521"/>
    <cellStyle name="Note 2 3 41" xfId="38522"/>
    <cellStyle name="Note 2 3 41 2" xfId="38523"/>
    <cellStyle name="Note 2 3 42" xfId="38524"/>
    <cellStyle name="Note 2 3 42 2" xfId="38525"/>
    <cellStyle name="Note 2 3 43" xfId="38526"/>
    <cellStyle name="Note 2 3 43 2" xfId="38527"/>
    <cellStyle name="Note 2 3 44" xfId="38528"/>
    <cellStyle name="Note 2 3 44 2" xfId="38529"/>
    <cellStyle name="Note 2 3 45" xfId="38530"/>
    <cellStyle name="Note 2 3 45 2" xfId="38531"/>
    <cellStyle name="Note 2 3 46" xfId="38532"/>
    <cellStyle name="Note 2 3 46 2" xfId="38533"/>
    <cellStyle name="Note 2 3 47" xfId="38534"/>
    <cellStyle name="Note 2 3 47 2" xfId="38535"/>
    <cellStyle name="Note 2 3 48" xfId="38536"/>
    <cellStyle name="Note 2 3 48 2" xfId="38537"/>
    <cellStyle name="Note 2 3 49" xfId="38538"/>
    <cellStyle name="Note 2 3 49 2" xfId="38539"/>
    <cellStyle name="Note 2 3 5" xfId="38540"/>
    <cellStyle name="Note 2 3 5 2" xfId="38541"/>
    <cellStyle name="Note 2 3 5 2 2" xfId="38542"/>
    <cellStyle name="Note 2 3 5 3" xfId="38543"/>
    <cellStyle name="Note 2 3 5 3 2" xfId="38544"/>
    <cellStyle name="Note 2 3 5 4" xfId="38545"/>
    <cellStyle name="Note 2 3 5 4 2" xfId="38546"/>
    <cellStyle name="Note 2 3 5 5" xfId="38547"/>
    <cellStyle name="Note 2 3 50" xfId="38548"/>
    <cellStyle name="Note 2 3 50 2" xfId="38549"/>
    <cellStyle name="Note 2 3 51" xfId="38550"/>
    <cellStyle name="Note 2 3 51 2" xfId="38551"/>
    <cellStyle name="Note 2 3 52" xfId="38552"/>
    <cellStyle name="Note 2 3 52 2" xfId="38553"/>
    <cellStyle name="Note 2 3 53" xfId="38554"/>
    <cellStyle name="Note 2 3 53 2" xfId="38555"/>
    <cellStyle name="Note 2 3 54" xfId="38556"/>
    <cellStyle name="Note 2 3 54 2" xfId="38557"/>
    <cellStyle name="Note 2 3 55" xfId="38558"/>
    <cellStyle name="Note 2 3 55 2" xfId="38559"/>
    <cellStyle name="Note 2 3 56" xfId="38560"/>
    <cellStyle name="Note 2 3 56 2" xfId="38561"/>
    <cellStyle name="Note 2 3 57" xfId="38562"/>
    <cellStyle name="Note 2 3 57 2" xfId="38563"/>
    <cellStyle name="Note 2 3 58" xfId="38564"/>
    <cellStyle name="Note 2 3 58 2" xfId="38565"/>
    <cellStyle name="Note 2 3 59" xfId="38566"/>
    <cellStyle name="Note 2 3 59 2" xfId="38567"/>
    <cellStyle name="Note 2 3 6" xfId="38568"/>
    <cellStyle name="Note 2 3 6 2" xfId="38569"/>
    <cellStyle name="Note 2 3 6 2 2" xfId="38570"/>
    <cellStyle name="Note 2 3 6 3" xfId="38571"/>
    <cellStyle name="Note 2 3 6 3 2" xfId="38572"/>
    <cellStyle name="Note 2 3 6 4" xfId="38573"/>
    <cellStyle name="Note 2 3 6 4 2" xfId="38574"/>
    <cellStyle name="Note 2 3 6 5" xfId="38575"/>
    <cellStyle name="Note 2 3 60" xfId="38576"/>
    <cellStyle name="Note 2 3 60 2" xfId="38577"/>
    <cellStyle name="Note 2 3 61" xfId="38578"/>
    <cellStyle name="Note 2 3 61 2" xfId="38579"/>
    <cellStyle name="Note 2 3 62" xfId="38580"/>
    <cellStyle name="Note 2 3 7" xfId="38581"/>
    <cellStyle name="Note 2 3 7 2" xfId="38582"/>
    <cellStyle name="Note 2 3 7 2 2" xfId="38583"/>
    <cellStyle name="Note 2 3 7 3" xfId="38584"/>
    <cellStyle name="Note 2 3 7 3 2" xfId="38585"/>
    <cellStyle name="Note 2 3 7 4" xfId="38586"/>
    <cellStyle name="Note 2 3 7 4 2" xfId="38587"/>
    <cellStyle name="Note 2 3 7 5" xfId="38588"/>
    <cellStyle name="Note 2 3 8" xfId="38589"/>
    <cellStyle name="Note 2 3 8 2" xfId="38590"/>
    <cellStyle name="Note 2 3 8 2 2" xfId="38591"/>
    <cellStyle name="Note 2 3 8 3" xfId="38592"/>
    <cellStyle name="Note 2 3 8 3 2" xfId="38593"/>
    <cellStyle name="Note 2 3 8 4" xfId="38594"/>
    <cellStyle name="Note 2 3 8 4 2" xfId="38595"/>
    <cellStyle name="Note 2 3 8 5" xfId="38596"/>
    <cellStyle name="Note 2 3 9" xfId="38597"/>
    <cellStyle name="Note 2 3 9 2" xfId="38598"/>
    <cellStyle name="Note 2 3 9 2 2" xfId="38599"/>
    <cellStyle name="Note 2 3 9 3" xfId="38600"/>
    <cellStyle name="Note 2 3 9 3 2" xfId="38601"/>
    <cellStyle name="Note 2 3 9 4" xfId="38602"/>
    <cellStyle name="Note 2 3 9 4 2" xfId="38603"/>
    <cellStyle name="Note 2 3 9 5" xfId="38604"/>
    <cellStyle name="Note 2 30" xfId="38605"/>
    <cellStyle name="Note 2 30 10" xfId="38606"/>
    <cellStyle name="Note 2 30 10 2" xfId="38607"/>
    <cellStyle name="Note 2 30 10 2 2" xfId="38608"/>
    <cellStyle name="Note 2 30 10 3" xfId="38609"/>
    <cellStyle name="Note 2 30 10 3 2" xfId="38610"/>
    <cellStyle name="Note 2 30 10 4" xfId="38611"/>
    <cellStyle name="Note 2 30 10 4 2" xfId="38612"/>
    <cellStyle name="Note 2 30 10 5" xfId="38613"/>
    <cellStyle name="Note 2 30 11" xfId="38614"/>
    <cellStyle name="Note 2 30 11 2" xfId="38615"/>
    <cellStyle name="Note 2 30 11 2 2" xfId="38616"/>
    <cellStyle name="Note 2 30 11 3" xfId="38617"/>
    <cellStyle name="Note 2 30 11 3 2" xfId="38618"/>
    <cellStyle name="Note 2 30 11 4" xfId="38619"/>
    <cellStyle name="Note 2 30 11 4 2" xfId="38620"/>
    <cellStyle name="Note 2 30 11 5" xfId="38621"/>
    <cellStyle name="Note 2 30 12" xfId="38622"/>
    <cellStyle name="Note 2 30 12 2" xfId="38623"/>
    <cellStyle name="Note 2 30 12 2 2" xfId="38624"/>
    <cellStyle name="Note 2 30 12 3" xfId="38625"/>
    <cellStyle name="Note 2 30 12 3 2" xfId="38626"/>
    <cellStyle name="Note 2 30 12 4" xfId="38627"/>
    <cellStyle name="Note 2 30 12 4 2" xfId="38628"/>
    <cellStyle name="Note 2 30 12 5" xfId="38629"/>
    <cellStyle name="Note 2 30 13" xfId="38630"/>
    <cellStyle name="Note 2 30 13 2" xfId="38631"/>
    <cellStyle name="Note 2 30 13 2 2" xfId="38632"/>
    <cellStyle name="Note 2 30 13 3" xfId="38633"/>
    <cellStyle name="Note 2 30 13 3 2" xfId="38634"/>
    <cellStyle name="Note 2 30 13 4" xfId="38635"/>
    <cellStyle name="Note 2 30 13 4 2" xfId="38636"/>
    <cellStyle name="Note 2 30 13 5" xfId="38637"/>
    <cellStyle name="Note 2 30 14" xfId="38638"/>
    <cellStyle name="Note 2 30 14 2" xfId="38639"/>
    <cellStyle name="Note 2 30 14 2 2" xfId="38640"/>
    <cellStyle name="Note 2 30 14 3" xfId="38641"/>
    <cellStyle name="Note 2 30 14 3 2" xfId="38642"/>
    <cellStyle name="Note 2 30 14 4" xfId="38643"/>
    <cellStyle name="Note 2 30 14 4 2" xfId="38644"/>
    <cellStyle name="Note 2 30 14 5" xfId="38645"/>
    <cellStyle name="Note 2 30 15" xfId="38646"/>
    <cellStyle name="Note 2 30 15 2" xfId="38647"/>
    <cellStyle name="Note 2 30 16" xfId="38648"/>
    <cellStyle name="Note 2 30 16 2" xfId="38649"/>
    <cellStyle name="Note 2 30 17" xfId="38650"/>
    <cellStyle name="Note 2 30 17 2" xfId="38651"/>
    <cellStyle name="Note 2 30 18" xfId="38652"/>
    <cellStyle name="Note 2 30 18 2" xfId="38653"/>
    <cellStyle name="Note 2 30 19" xfId="38654"/>
    <cellStyle name="Note 2 30 19 2" xfId="38655"/>
    <cellStyle name="Note 2 30 2" xfId="38656"/>
    <cellStyle name="Note 2 30 2 10" xfId="38657"/>
    <cellStyle name="Note 2 30 2 10 2" xfId="38658"/>
    <cellStyle name="Note 2 30 2 11" xfId="38659"/>
    <cellStyle name="Note 2 30 2 11 2" xfId="38660"/>
    <cellStyle name="Note 2 30 2 12" xfId="38661"/>
    <cellStyle name="Note 2 30 2 12 2" xfId="38662"/>
    <cellStyle name="Note 2 30 2 13" xfId="38663"/>
    <cellStyle name="Note 2 30 2 13 2" xfId="38664"/>
    <cellStyle name="Note 2 30 2 14" xfId="38665"/>
    <cellStyle name="Note 2 30 2 14 2" xfId="38666"/>
    <cellStyle name="Note 2 30 2 15" xfId="38667"/>
    <cellStyle name="Note 2 30 2 15 2" xfId="38668"/>
    <cellStyle name="Note 2 30 2 16" xfId="38669"/>
    <cellStyle name="Note 2 30 2 16 2" xfId="38670"/>
    <cellStyle name="Note 2 30 2 17" xfId="38671"/>
    <cellStyle name="Note 2 30 2 17 2" xfId="38672"/>
    <cellStyle name="Note 2 30 2 18" xfId="38673"/>
    <cellStyle name="Note 2 30 2 18 2" xfId="38674"/>
    <cellStyle name="Note 2 30 2 19" xfId="38675"/>
    <cellStyle name="Note 2 30 2 19 2" xfId="38676"/>
    <cellStyle name="Note 2 30 2 2" xfId="38677"/>
    <cellStyle name="Note 2 30 2 2 2" xfId="38678"/>
    <cellStyle name="Note 2 30 2 2 3" xfId="38679"/>
    <cellStyle name="Note 2 30 2 20" xfId="38680"/>
    <cellStyle name="Note 2 30 2 20 2" xfId="38681"/>
    <cellStyle name="Note 2 30 2 21" xfId="38682"/>
    <cellStyle name="Note 2 30 2 21 2" xfId="38683"/>
    <cellStyle name="Note 2 30 2 22" xfId="38684"/>
    <cellStyle name="Note 2 30 2 22 2" xfId="38685"/>
    <cellStyle name="Note 2 30 2 23" xfId="38686"/>
    <cellStyle name="Note 2 30 2 23 2" xfId="38687"/>
    <cellStyle name="Note 2 30 2 24" xfId="38688"/>
    <cellStyle name="Note 2 30 2 24 2" xfId="38689"/>
    <cellStyle name="Note 2 30 2 25" xfId="38690"/>
    <cellStyle name="Note 2 30 2 25 2" xfId="38691"/>
    <cellStyle name="Note 2 30 2 26" xfId="38692"/>
    <cellStyle name="Note 2 30 2 26 2" xfId="38693"/>
    <cellStyle name="Note 2 30 2 27" xfId="38694"/>
    <cellStyle name="Note 2 30 2 27 2" xfId="38695"/>
    <cellStyle name="Note 2 30 2 28" xfId="38696"/>
    <cellStyle name="Note 2 30 2 28 2" xfId="38697"/>
    <cellStyle name="Note 2 30 2 29" xfId="38698"/>
    <cellStyle name="Note 2 30 2 29 2" xfId="38699"/>
    <cellStyle name="Note 2 30 2 3" xfId="38700"/>
    <cellStyle name="Note 2 30 2 3 2" xfId="38701"/>
    <cellStyle name="Note 2 30 2 3 3" xfId="38702"/>
    <cellStyle name="Note 2 30 2 30" xfId="38703"/>
    <cellStyle name="Note 2 30 2 30 2" xfId="38704"/>
    <cellStyle name="Note 2 30 2 31" xfId="38705"/>
    <cellStyle name="Note 2 30 2 4" xfId="38706"/>
    <cellStyle name="Note 2 30 2 4 2" xfId="38707"/>
    <cellStyle name="Note 2 30 2 5" xfId="38708"/>
    <cellStyle name="Note 2 30 2 5 2" xfId="38709"/>
    <cellStyle name="Note 2 30 2 6" xfId="38710"/>
    <cellStyle name="Note 2 30 2 6 2" xfId="38711"/>
    <cellStyle name="Note 2 30 2 7" xfId="38712"/>
    <cellStyle name="Note 2 30 2 7 2" xfId="38713"/>
    <cellStyle name="Note 2 30 2 8" xfId="38714"/>
    <cellStyle name="Note 2 30 2 8 2" xfId="38715"/>
    <cellStyle name="Note 2 30 2 9" xfId="38716"/>
    <cellStyle name="Note 2 30 2 9 2" xfId="38717"/>
    <cellStyle name="Note 2 30 20" xfId="38718"/>
    <cellStyle name="Note 2 30 20 2" xfId="38719"/>
    <cellStyle name="Note 2 30 21" xfId="38720"/>
    <cellStyle name="Note 2 30 21 2" xfId="38721"/>
    <cellStyle name="Note 2 30 22" xfId="38722"/>
    <cellStyle name="Note 2 30 22 2" xfId="38723"/>
    <cellStyle name="Note 2 30 23" xfId="38724"/>
    <cellStyle name="Note 2 30 23 2" xfId="38725"/>
    <cellStyle name="Note 2 30 24" xfId="38726"/>
    <cellStyle name="Note 2 30 24 2" xfId="38727"/>
    <cellStyle name="Note 2 30 25" xfId="38728"/>
    <cellStyle name="Note 2 30 25 2" xfId="38729"/>
    <cellStyle name="Note 2 30 26" xfId="38730"/>
    <cellStyle name="Note 2 30 26 2" xfId="38731"/>
    <cellStyle name="Note 2 30 27" xfId="38732"/>
    <cellStyle name="Note 2 30 27 2" xfId="38733"/>
    <cellStyle name="Note 2 30 28" xfId="38734"/>
    <cellStyle name="Note 2 30 28 2" xfId="38735"/>
    <cellStyle name="Note 2 30 29" xfId="38736"/>
    <cellStyle name="Note 2 30 29 2" xfId="38737"/>
    <cellStyle name="Note 2 30 3" xfId="38738"/>
    <cellStyle name="Note 2 30 3 2" xfId="38739"/>
    <cellStyle name="Note 2 30 3 2 2" xfId="38740"/>
    <cellStyle name="Note 2 30 3 3" xfId="38741"/>
    <cellStyle name="Note 2 30 3 3 2" xfId="38742"/>
    <cellStyle name="Note 2 30 3 4" xfId="38743"/>
    <cellStyle name="Note 2 30 3 4 2" xfId="38744"/>
    <cellStyle name="Note 2 30 3 5" xfId="38745"/>
    <cellStyle name="Note 2 30 30" xfId="38746"/>
    <cellStyle name="Note 2 30 30 2" xfId="38747"/>
    <cellStyle name="Note 2 30 31" xfId="38748"/>
    <cellStyle name="Note 2 30 31 2" xfId="38749"/>
    <cellStyle name="Note 2 30 32" xfId="38750"/>
    <cellStyle name="Note 2 30 32 2" xfId="38751"/>
    <cellStyle name="Note 2 30 33" xfId="38752"/>
    <cellStyle name="Note 2 30 33 2" xfId="38753"/>
    <cellStyle name="Note 2 30 34" xfId="38754"/>
    <cellStyle name="Note 2 30 34 2" xfId="38755"/>
    <cellStyle name="Note 2 30 35" xfId="38756"/>
    <cellStyle name="Note 2 30 35 2" xfId="38757"/>
    <cellStyle name="Note 2 30 36" xfId="38758"/>
    <cellStyle name="Note 2 30 36 2" xfId="38759"/>
    <cellStyle name="Note 2 30 37" xfId="38760"/>
    <cellStyle name="Note 2 30 37 2" xfId="38761"/>
    <cellStyle name="Note 2 30 38" xfId="38762"/>
    <cellStyle name="Note 2 30 38 2" xfId="38763"/>
    <cellStyle name="Note 2 30 39" xfId="38764"/>
    <cellStyle name="Note 2 30 39 2" xfId="38765"/>
    <cellStyle name="Note 2 30 4" xfId="38766"/>
    <cellStyle name="Note 2 30 4 2" xfId="38767"/>
    <cellStyle name="Note 2 30 4 2 2" xfId="38768"/>
    <cellStyle name="Note 2 30 4 3" xfId="38769"/>
    <cellStyle name="Note 2 30 4 3 2" xfId="38770"/>
    <cellStyle name="Note 2 30 4 4" xfId="38771"/>
    <cellStyle name="Note 2 30 4 4 2" xfId="38772"/>
    <cellStyle name="Note 2 30 4 5" xfId="38773"/>
    <cellStyle name="Note 2 30 40" xfId="38774"/>
    <cellStyle name="Note 2 30 40 2" xfId="38775"/>
    <cellStyle name="Note 2 30 41" xfId="38776"/>
    <cellStyle name="Note 2 30 41 2" xfId="38777"/>
    <cellStyle name="Note 2 30 42" xfId="38778"/>
    <cellStyle name="Note 2 30 42 2" xfId="38779"/>
    <cellStyle name="Note 2 30 43" xfId="38780"/>
    <cellStyle name="Note 2 30 43 2" xfId="38781"/>
    <cellStyle name="Note 2 30 44" xfId="38782"/>
    <cellStyle name="Note 2 30 44 2" xfId="38783"/>
    <cellStyle name="Note 2 30 45" xfId="38784"/>
    <cellStyle name="Note 2 30 45 2" xfId="38785"/>
    <cellStyle name="Note 2 30 46" xfId="38786"/>
    <cellStyle name="Note 2 30 46 2" xfId="38787"/>
    <cellStyle name="Note 2 30 47" xfId="38788"/>
    <cellStyle name="Note 2 30 47 2" xfId="38789"/>
    <cellStyle name="Note 2 30 48" xfId="38790"/>
    <cellStyle name="Note 2 30 48 2" xfId="38791"/>
    <cellStyle name="Note 2 30 49" xfId="38792"/>
    <cellStyle name="Note 2 30 49 2" xfId="38793"/>
    <cellStyle name="Note 2 30 5" xfId="38794"/>
    <cellStyle name="Note 2 30 5 2" xfId="38795"/>
    <cellStyle name="Note 2 30 5 2 2" xfId="38796"/>
    <cellStyle name="Note 2 30 5 3" xfId="38797"/>
    <cellStyle name="Note 2 30 5 3 2" xfId="38798"/>
    <cellStyle name="Note 2 30 5 4" xfId="38799"/>
    <cellStyle name="Note 2 30 5 4 2" xfId="38800"/>
    <cellStyle name="Note 2 30 5 5" xfId="38801"/>
    <cellStyle name="Note 2 30 50" xfId="38802"/>
    <cellStyle name="Note 2 30 50 2" xfId="38803"/>
    <cellStyle name="Note 2 30 51" xfId="38804"/>
    <cellStyle name="Note 2 30 51 2" xfId="38805"/>
    <cellStyle name="Note 2 30 52" xfId="38806"/>
    <cellStyle name="Note 2 30 52 2" xfId="38807"/>
    <cellStyle name="Note 2 30 53" xfId="38808"/>
    <cellStyle name="Note 2 30 53 2" xfId="38809"/>
    <cellStyle name="Note 2 30 54" xfId="38810"/>
    <cellStyle name="Note 2 30 54 2" xfId="38811"/>
    <cellStyle name="Note 2 30 55" xfId="38812"/>
    <cellStyle name="Note 2 30 55 2" xfId="38813"/>
    <cellStyle name="Note 2 30 56" xfId="38814"/>
    <cellStyle name="Note 2 30 56 2" xfId="38815"/>
    <cellStyle name="Note 2 30 57" xfId="38816"/>
    <cellStyle name="Note 2 30 57 2" xfId="38817"/>
    <cellStyle name="Note 2 30 58" xfId="38818"/>
    <cellStyle name="Note 2 30 58 2" xfId="38819"/>
    <cellStyle name="Note 2 30 59" xfId="38820"/>
    <cellStyle name="Note 2 30 59 2" xfId="38821"/>
    <cellStyle name="Note 2 30 6" xfId="38822"/>
    <cellStyle name="Note 2 30 6 2" xfId="38823"/>
    <cellStyle name="Note 2 30 6 2 2" xfId="38824"/>
    <cellStyle name="Note 2 30 6 3" xfId="38825"/>
    <cellStyle name="Note 2 30 6 3 2" xfId="38826"/>
    <cellStyle name="Note 2 30 6 4" xfId="38827"/>
    <cellStyle name="Note 2 30 6 4 2" xfId="38828"/>
    <cellStyle name="Note 2 30 6 5" xfId="38829"/>
    <cellStyle name="Note 2 30 60" xfId="38830"/>
    <cellStyle name="Note 2 30 60 2" xfId="38831"/>
    <cellStyle name="Note 2 30 61" xfId="38832"/>
    <cellStyle name="Note 2 30 61 2" xfId="38833"/>
    <cellStyle name="Note 2 30 62" xfId="38834"/>
    <cellStyle name="Note 2 30 7" xfId="38835"/>
    <cellStyle name="Note 2 30 7 2" xfId="38836"/>
    <cellStyle name="Note 2 30 7 2 2" xfId="38837"/>
    <cellStyle name="Note 2 30 7 3" xfId="38838"/>
    <cellStyle name="Note 2 30 7 3 2" xfId="38839"/>
    <cellStyle name="Note 2 30 7 4" xfId="38840"/>
    <cellStyle name="Note 2 30 7 4 2" xfId="38841"/>
    <cellStyle name="Note 2 30 7 5" xfId="38842"/>
    <cellStyle name="Note 2 30 8" xfId="38843"/>
    <cellStyle name="Note 2 30 8 2" xfId="38844"/>
    <cellStyle name="Note 2 30 8 2 2" xfId="38845"/>
    <cellStyle name="Note 2 30 8 3" xfId="38846"/>
    <cellStyle name="Note 2 30 8 3 2" xfId="38847"/>
    <cellStyle name="Note 2 30 8 4" xfId="38848"/>
    <cellStyle name="Note 2 30 8 4 2" xfId="38849"/>
    <cellStyle name="Note 2 30 8 5" xfId="38850"/>
    <cellStyle name="Note 2 30 9" xfId="38851"/>
    <cellStyle name="Note 2 30 9 2" xfId="38852"/>
    <cellStyle name="Note 2 30 9 2 2" xfId="38853"/>
    <cellStyle name="Note 2 30 9 3" xfId="38854"/>
    <cellStyle name="Note 2 30 9 3 2" xfId="38855"/>
    <cellStyle name="Note 2 30 9 4" xfId="38856"/>
    <cellStyle name="Note 2 30 9 4 2" xfId="38857"/>
    <cellStyle name="Note 2 30 9 5" xfId="38858"/>
    <cellStyle name="Note 2 31" xfId="38859"/>
    <cellStyle name="Note 2 31 10" xfId="38860"/>
    <cellStyle name="Note 2 31 10 2" xfId="38861"/>
    <cellStyle name="Note 2 31 10 2 2" xfId="38862"/>
    <cellStyle name="Note 2 31 10 3" xfId="38863"/>
    <cellStyle name="Note 2 31 10 3 2" xfId="38864"/>
    <cellStyle name="Note 2 31 10 4" xfId="38865"/>
    <cellStyle name="Note 2 31 10 4 2" xfId="38866"/>
    <cellStyle name="Note 2 31 10 5" xfId="38867"/>
    <cellStyle name="Note 2 31 11" xfId="38868"/>
    <cellStyle name="Note 2 31 11 2" xfId="38869"/>
    <cellStyle name="Note 2 31 11 2 2" xfId="38870"/>
    <cellStyle name="Note 2 31 11 3" xfId="38871"/>
    <cellStyle name="Note 2 31 11 3 2" xfId="38872"/>
    <cellStyle name="Note 2 31 11 4" xfId="38873"/>
    <cellStyle name="Note 2 31 11 4 2" xfId="38874"/>
    <cellStyle name="Note 2 31 11 5" xfId="38875"/>
    <cellStyle name="Note 2 31 12" xfId="38876"/>
    <cellStyle name="Note 2 31 12 2" xfId="38877"/>
    <cellStyle name="Note 2 31 12 2 2" xfId="38878"/>
    <cellStyle name="Note 2 31 12 3" xfId="38879"/>
    <cellStyle name="Note 2 31 12 3 2" xfId="38880"/>
    <cellStyle name="Note 2 31 12 4" xfId="38881"/>
    <cellStyle name="Note 2 31 12 4 2" xfId="38882"/>
    <cellStyle name="Note 2 31 12 5" xfId="38883"/>
    <cellStyle name="Note 2 31 13" xfId="38884"/>
    <cellStyle name="Note 2 31 13 2" xfId="38885"/>
    <cellStyle name="Note 2 31 13 2 2" xfId="38886"/>
    <cellStyle name="Note 2 31 13 3" xfId="38887"/>
    <cellStyle name="Note 2 31 13 3 2" xfId="38888"/>
    <cellStyle name="Note 2 31 13 4" xfId="38889"/>
    <cellStyle name="Note 2 31 13 4 2" xfId="38890"/>
    <cellStyle name="Note 2 31 13 5" xfId="38891"/>
    <cellStyle name="Note 2 31 14" xfId="38892"/>
    <cellStyle name="Note 2 31 14 2" xfId="38893"/>
    <cellStyle name="Note 2 31 14 2 2" xfId="38894"/>
    <cellStyle name="Note 2 31 14 3" xfId="38895"/>
    <cellStyle name="Note 2 31 14 3 2" xfId="38896"/>
    <cellStyle name="Note 2 31 14 4" xfId="38897"/>
    <cellStyle name="Note 2 31 14 4 2" xfId="38898"/>
    <cellStyle name="Note 2 31 14 5" xfId="38899"/>
    <cellStyle name="Note 2 31 15" xfId="38900"/>
    <cellStyle name="Note 2 31 15 2" xfId="38901"/>
    <cellStyle name="Note 2 31 16" xfId="38902"/>
    <cellStyle name="Note 2 31 16 2" xfId="38903"/>
    <cellStyle name="Note 2 31 17" xfId="38904"/>
    <cellStyle name="Note 2 31 17 2" xfId="38905"/>
    <cellStyle name="Note 2 31 18" xfId="38906"/>
    <cellStyle name="Note 2 31 18 2" xfId="38907"/>
    <cellStyle name="Note 2 31 19" xfId="38908"/>
    <cellStyle name="Note 2 31 19 2" xfId="38909"/>
    <cellStyle name="Note 2 31 2" xfId="38910"/>
    <cellStyle name="Note 2 31 2 10" xfId="38911"/>
    <cellStyle name="Note 2 31 2 10 2" xfId="38912"/>
    <cellStyle name="Note 2 31 2 11" xfId="38913"/>
    <cellStyle name="Note 2 31 2 11 2" xfId="38914"/>
    <cellStyle name="Note 2 31 2 12" xfId="38915"/>
    <cellStyle name="Note 2 31 2 12 2" xfId="38916"/>
    <cellStyle name="Note 2 31 2 13" xfId="38917"/>
    <cellStyle name="Note 2 31 2 13 2" xfId="38918"/>
    <cellStyle name="Note 2 31 2 14" xfId="38919"/>
    <cellStyle name="Note 2 31 2 14 2" xfId="38920"/>
    <cellStyle name="Note 2 31 2 15" xfId="38921"/>
    <cellStyle name="Note 2 31 2 15 2" xfId="38922"/>
    <cellStyle name="Note 2 31 2 16" xfId="38923"/>
    <cellStyle name="Note 2 31 2 16 2" xfId="38924"/>
    <cellStyle name="Note 2 31 2 17" xfId="38925"/>
    <cellStyle name="Note 2 31 2 17 2" xfId="38926"/>
    <cellStyle name="Note 2 31 2 18" xfId="38927"/>
    <cellStyle name="Note 2 31 2 18 2" xfId="38928"/>
    <cellStyle name="Note 2 31 2 19" xfId="38929"/>
    <cellStyle name="Note 2 31 2 19 2" xfId="38930"/>
    <cellStyle name="Note 2 31 2 2" xfId="38931"/>
    <cellStyle name="Note 2 31 2 2 2" xfId="38932"/>
    <cellStyle name="Note 2 31 2 2 3" xfId="38933"/>
    <cellStyle name="Note 2 31 2 20" xfId="38934"/>
    <cellStyle name="Note 2 31 2 20 2" xfId="38935"/>
    <cellStyle name="Note 2 31 2 21" xfId="38936"/>
    <cellStyle name="Note 2 31 2 21 2" xfId="38937"/>
    <cellStyle name="Note 2 31 2 22" xfId="38938"/>
    <cellStyle name="Note 2 31 2 22 2" xfId="38939"/>
    <cellStyle name="Note 2 31 2 23" xfId="38940"/>
    <cellStyle name="Note 2 31 2 23 2" xfId="38941"/>
    <cellStyle name="Note 2 31 2 24" xfId="38942"/>
    <cellStyle name="Note 2 31 2 24 2" xfId="38943"/>
    <cellStyle name="Note 2 31 2 25" xfId="38944"/>
    <cellStyle name="Note 2 31 2 25 2" xfId="38945"/>
    <cellStyle name="Note 2 31 2 26" xfId="38946"/>
    <cellStyle name="Note 2 31 2 26 2" xfId="38947"/>
    <cellStyle name="Note 2 31 2 27" xfId="38948"/>
    <cellStyle name="Note 2 31 2 27 2" xfId="38949"/>
    <cellStyle name="Note 2 31 2 28" xfId="38950"/>
    <cellStyle name="Note 2 31 2 28 2" xfId="38951"/>
    <cellStyle name="Note 2 31 2 29" xfId="38952"/>
    <cellStyle name="Note 2 31 2 29 2" xfId="38953"/>
    <cellStyle name="Note 2 31 2 3" xfId="38954"/>
    <cellStyle name="Note 2 31 2 3 2" xfId="38955"/>
    <cellStyle name="Note 2 31 2 3 3" xfId="38956"/>
    <cellStyle name="Note 2 31 2 30" xfId="38957"/>
    <cellStyle name="Note 2 31 2 30 2" xfId="38958"/>
    <cellStyle name="Note 2 31 2 31" xfId="38959"/>
    <cellStyle name="Note 2 31 2 4" xfId="38960"/>
    <cellStyle name="Note 2 31 2 4 2" xfId="38961"/>
    <cellStyle name="Note 2 31 2 5" xfId="38962"/>
    <cellStyle name="Note 2 31 2 5 2" xfId="38963"/>
    <cellStyle name="Note 2 31 2 6" xfId="38964"/>
    <cellStyle name="Note 2 31 2 6 2" xfId="38965"/>
    <cellStyle name="Note 2 31 2 7" xfId="38966"/>
    <cellStyle name="Note 2 31 2 7 2" xfId="38967"/>
    <cellStyle name="Note 2 31 2 8" xfId="38968"/>
    <cellStyle name="Note 2 31 2 8 2" xfId="38969"/>
    <cellStyle name="Note 2 31 2 9" xfId="38970"/>
    <cellStyle name="Note 2 31 2 9 2" xfId="38971"/>
    <cellStyle name="Note 2 31 20" xfId="38972"/>
    <cellStyle name="Note 2 31 20 2" xfId="38973"/>
    <cellStyle name="Note 2 31 21" xfId="38974"/>
    <cellStyle name="Note 2 31 21 2" xfId="38975"/>
    <cellStyle name="Note 2 31 22" xfId="38976"/>
    <cellStyle name="Note 2 31 22 2" xfId="38977"/>
    <cellStyle name="Note 2 31 23" xfId="38978"/>
    <cellStyle name="Note 2 31 23 2" xfId="38979"/>
    <cellStyle name="Note 2 31 24" xfId="38980"/>
    <cellStyle name="Note 2 31 24 2" xfId="38981"/>
    <cellStyle name="Note 2 31 25" xfId="38982"/>
    <cellStyle name="Note 2 31 25 2" xfId="38983"/>
    <cellStyle name="Note 2 31 26" xfId="38984"/>
    <cellStyle name="Note 2 31 26 2" xfId="38985"/>
    <cellStyle name="Note 2 31 27" xfId="38986"/>
    <cellStyle name="Note 2 31 27 2" xfId="38987"/>
    <cellStyle name="Note 2 31 28" xfId="38988"/>
    <cellStyle name="Note 2 31 28 2" xfId="38989"/>
    <cellStyle name="Note 2 31 29" xfId="38990"/>
    <cellStyle name="Note 2 31 29 2" xfId="38991"/>
    <cellStyle name="Note 2 31 3" xfId="38992"/>
    <cellStyle name="Note 2 31 3 2" xfId="38993"/>
    <cellStyle name="Note 2 31 3 2 2" xfId="38994"/>
    <cellStyle name="Note 2 31 3 3" xfId="38995"/>
    <cellStyle name="Note 2 31 3 3 2" xfId="38996"/>
    <cellStyle name="Note 2 31 3 4" xfId="38997"/>
    <cellStyle name="Note 2 31 3 4 2" xfId="38998"/>
    <cellStyle name="Note 2 31 3 5" xfId="38999"/>
    <cellStyle name="Note 2 31 30" xfId="39000"/>
    <cellStyle name="Note 2 31 30 2" xfId="39001"/>
    <cellStyle name="Note 2 31 31" xfId="39002"/>
    <cellStyle name="Note 2 31 31 2" xfId="39003"/>
    <cellStyle name="Note 2 31 32" xfId="39004"/>
    <cellStyle name="Note 2 31 32 2" xfId="39005"/>
    <cellStyle name="Note 2 31 33" xfId="39006"/>
    <cellStyle name="Note 2 31 33 2" xfId="39007"/>
    <cellStyle name="Note 2 31 34" xfId="39008"/>
    <cellStyle name="Note 2 31 34 2" xfId="39009"/>
    <cellStyle name="Note 2 31 35" xfId="39010"/>
    <cellStyle name="Note 2 31 35 2" xfId="39011"/>
    <cellStyle name="Note 2 31 36" xfId="39012"/>
    <cellStyle name="Note 2 31 36 2" xfId="39013"/>
    <cellStyle name="Note 2 31 37" xfId="39014"/>
    <cellStyle name="Note 2 31 37 2" xfId="39015"/>
    <cellStyle name="Note 2 31 38" xfId="39016"/>
    <cellStyle name="Note 2 31 38 2" xfId="39017"/>
    <cellStyle name="Note 2 31 39" xfId="39018"/>
    <cellStyle name="Note 2 31 39 2" xfId="39019"/>
    <cellStyle name="Note 2 31 4" xfId="39020"/>
    <cellStyle name="Note 2 31 4 2" xfId="39021"/>
    <cellStyle name="Note 2 31 4 2 2" xfId="39022"/>
    <cellStyle name="Note 2 31 4 3" xfId="39023"/>
    <cellStyle name="Note 2 31 4 3 2" xfId="39024"/>
    <cellStyle name="Note 2 31 4 4" xfId="39025"/>
    <cellStyle name="Note 2 31 4 4 2" xfId="39026"/>
    <cellStyle name="Note 2 31 4 5" xfId="39027"/>
    <cellStyle name="Note 2 31 40" xfId="39028"/>
    <cellStyle name="Note 2 31 40 2" xfId="39029"/>
    <cellStyle name="Note 2 31 41" xfId="39030"/>
    <cellStyle name="Note 2 31 41 2" xfId="39031"/>
    <cellStyle name="Note 2 31 42" xfId="39032"/>
    <cellStyle name="Note 2 31 42 2" xfId="39033"/>
    <cellStyle name="Note 2 31 43" xfId="39034"/>
    <cellStyle name="Note 2 31 43 2" xfId="39035"/>
    <cellStyle name="Note 2 31 44" xfId="39036"/>
    <cellStyle name="Note 2 31 44 2" xfId="39037"/>
    <cellStyle name="Note 2 31 45" xfId="39038"/>
    <cellStyle name="Note 2 31 45 2" xfId="39039"/>
    <cellStyle name="Note 2 31 46" xfId="39040"/>
    <cellStyle name="Note 2 31 46 2" xfId="39041"/>
    <cellStyle name="Note 2 31 47" xfId="39042"/>
    <cellStyle name="Note 2 31 47 2" xfId="39043"/>
    <cellStyle name="Note 2 31 48" xfId="39044"/>
    <cellStyle name="Note 2 31 48 2" xfId="39045"/>
    <cellStyle name="Note 2 31 49" xfId="39046"/>
    <cellStyle name="Note 2 31 49 2" xfId="39047"/>
    <cellStyle name="Note 2 31 5" xfId="39048"/>
    <cellStyle name="Note 2 31 5 2" xfId="39049"/>
    <cellStyle name="Note 2 31 5 2 2" xfId="39050"/>
    <cellStyle name="Note 2 31 5 3" xfId="39051"/>
    <cellStyle name="Note 2 31 5 3 2" xfId="39052"/>
    <cellStyle name="Note 2 31 5 4" xfId="39053"/>
    <cellStyle name="Note 2 31 5 4 2" xfId="39054"/>
    <cellStyle name="Note 2 31 5 5" xfId="39055"/>
    <cellStyle name="Note 2 31 50" xfId="39056"/>
    <cellStyle name="Note 2 31 50 2" xfId="39057"/>
    <cellStyle name="Note 2 31 51" xfId="39058"/>
    <cellStyle name="Note 2 31 51 2" xfId="39059"/>
    <cellStyle name="Note 2 31 52" xfId="39060"/>
    <cellStyle name="Note 2 31 52 2" xfId="39061"/>
    <cellStyle name="Note 2 31 53" xfId="39062"/>
    <cellStyle name="Note 2 31 53 2" xfId="39063"/>
    <cellStyle name="Note 2 31 54" xfId="39064"/>
    <cellStyle name="Note 2 31 54 2" xfId="39065"/>
    <cellStyle name="Note 2 31 55" xfId="39066"/>
    <cellStyle name="Note 2 31 55 2" xfId="39067"/>
    <cellStyle name="Note 2 31 56" xfId="39068"/>
    <cellStyle name="Note 2 31 56 2" xfId="39069"/>
    <cellStyle name="Note 2 31 57" xfId="39070"/>
    <cellStyle name="Note 2 31 57 2" xfId="39071"/>
    <cellStyle name="Note 2 31 58" xfId="39072"/>
    <cellStyle name="Note 2 31 58 2" xfId="39073"/>
    <cellStyle name="Note 2 31 59" xfId="39074"/>
    <cellStyle name="Note 2 31 59 2" xfId="39075"/>
    <cellStyle name="Note 2 31 6" xfId="39076"/>
    <cellStyle name="Note 2 31 6 2" xfId="39077"/>
    <cellStyle name="Note 2 31 6 2 2" xfId="39078"/>
    <cellStyle name="Note 2 31 6 3" xfId="39079"/>
    <cellStyle name="Note 2 31 6 3 2" xfId="39080"/>
    <cellStyle name="Note 2 31 6 4" xfId="39081"/>
    <cellStyle name="Note 2 31 6 4 2" xfId="39082"/>
    <cellStyle name="Note 2 31 6 5" xfId="39083"/>
    <cellStyle name="Note 2 31 60" xfId="39084"/>
    <cellStyle name="Note 2 31 60 2" xfId="39085"/>
    <cellStyle name="Note 2 31 61" xfId="39086"/>
    <cellStyle name="Note 2 31 61 2" xfId="39087"/>
    <cellStyle name="Note 2 31 62" xfId="39088"/>
    <cellStyle name="Note 2 31 7" xfId="39089"/>
    <cellStyle name="Note 2 31 7 2" xfId="39090"/>
    <cellStyle name="Note 2 31 7 2 2" xfId="39091"/>
    <cellStyle name="Note 2 31 7 3" xfId="39092"/>
    <cellStyle name="Note 2 31 7 3 2" xfId="39093"/>
    <cellStyle name="Note 2 31 7 4" xfId="39094"/>
    <cellStyle name="Note 2 31 7 4 2" xfId="39095"/>
    <cellStyle name="Note 2 31 7 5" xfId="39096"/>
    <cellStyle name="Note 2 31 8" xfId="39097"/>
    <cellStyle name="Note 2 31 8 2" xfId="39098"/>
    <cellStyle name="Note 2 31 8 2 2" xfId="39099"/>
    <cellStyle name="Note 2 31 8 3" xfId="39100"/>
    <cellStyle name="Note 2 31 8 3 2" xfId="39101"/>
    <cellStyle name="Note 2 31 8 4" xfId="39102"/>
    <cellStyle name="Note 2 31 8 4 2" xfId="39103"/>
    <cellStyle name="Note 2 31 8 5" xfId="39104"/>
    <cellStyle name="Note 2 31 9" xfId="39105"/>
    <cellStyle name="Note 2 31 9 2" xfId="39106"/>
    <cellStyle name="Note 2 31 9 2 2" xfId="39107"/>
    <cellStyle name="Note 2 31 9 3" xfId="39108"/>
    <cellStyle name="Note 2 31 9 3 2" xfId="39109"/>
    <cellStyle name="Note 2 31 9 4" xfId="39110"/>
    <cellStyle name="Note 2 31 9 4 2" xfId="39111"/>
    <cellStyle name="Note 2 31 9 5" xfId="39112"/>
    <cellStyle name="Note 2 32" xfId="39113"/>
    <cellStyle name="Note 2 32 10" xfId="39114"/>
    <cellStyle name="Note 2 32 10 2" xfId="39115"/>
    <cellStyle name="Note 2 32 10 2 2" xfId="39116"/>
    <cellStyle name="Note 2 32 10 3" xfId="39117"/>
    <cellStyle name="Note 2 32 10 3 2" xfId="39118"/>
    <cellStyle name="Note 2 32 10 4" xfId="39119"/>
    <cellStyle name="Note 2 32 10 4 2" xfId="39120"/>
    <cellStyle name="Note 2 32 10 5" xfId="39121"/>
    <cellStyle name="Note 2 32 11" xfId="39122"/>
    <cellStyle name="Note 2 32 11 2" xfId="39123"/>
    <cellStyle name="Note 2 32 11 2 2" xfId="39124"/>
    <cellStyle name="Note 2 32 11 3" xfId="39125"/>
    <cellStyle name="Note 2 32 11 3 2" xfId="39126"/>
    <cellStyle name="Note 2 32 11 4" xfId="39127"/>
    <cellStyle name="Note 2 32 11 4 2" xfId="39128"/>
    <cellStyle name="Note 2 32 11 5" xfId="39129"/>
    <cellStyle name="Note 2 32 12" xfId="39130"/>
    <cellStyle name="Note 2 32 12 2" xfId="39131"/>
    <cellStyle name="Note 2 32 12 2 2" xfId="39132"/>
    <cellStyle name="Note 2 32 12 3" xfId="39133"/>
    <cellStyle name="Note 2 32 12 3 2" xfId="39134"/>
    <cellStyle name="Note 2 32 12 4" xfId="39135"/>
    <cellStyle name="Note 2 32 12 4 2" xfId="39136"/>
    <cellStyle name="Note 2 32 12 5" xfId="39137"/>
    <cellStyle name="Note 2 32 13" xfId="39138"/>
    <cellStyle name="Note 2 32 13 2" xfId="39139"/>
    <cellStyle name="Note 2 32 13 2 2" xfId="39140"/>
    <cellStyle name="Note 2 32 13 3" xfId="39141"/>
    <cellStyle name="Note 2 32 13 3 2" xfId="39142"/>
    <cellStyle name="Note 2 32 13 4" xfId="39143"/>
    <cellStyle name="Note 2 32 13 4 2" xfId="39144"/>
    <cellStyle name="Note 2 32 13 5" xfId="39145"/>
    <cellStyle name="Note 2 32 14" xfId="39146"/>
    <cellStyle name="Note 2 32 14 2" xfId="39147"/>
    <cellStyle name="Note 2 32 14 2 2" xfId="39148"/>
    <cellStyle name="Note 2 32 14 3" xfId="39149"/>
    <cellStyle name="Note 2 32 14 3 2" xfId="39150"/>
    <cellStyle name="Note 2 32 14 4" xfId="39151"/>
    <cellStyle name="Note 2 32 14 4 2" xfId="39152"/>
    <cellStyle name="Note 2 32 14 5" xfId="39153"/>
    <cellStyle name="Note 2 32 15" xfId="39154"/>
    <cellStyle name="Note 2 32 15 2" xfId="39155"/>
    <cellStyle name="Note 2 32 16" xfId="39156"/>
    <cellStyle name="Note 2 32 16 2" xfId="39157"/>
    <cellStyle name="Note 2 32 17" xfId="39158"/>
    <cellStyle name="Note 2 32 17 2" xfId="39159"/>
    <cellStyle name="Note 2 32 18" xfId="39160"/>
    <cellStyle name="Note 2 32 18 2" xfId="39161"/>
    <cellStyle name="Note 2 32 19" xfId="39162"/>
    <cellStyle name="Note 2 32 19 2" xfId="39163"/>
    <cellStyle name="Note 2 32 2" xfId="39164"/>
    <cellStyle name="Note 2 32 2 10" xfId="39165"/>
    <cellStyle name="Note 2 32 2 10 2" xfId="39166"/>
    <cellStyle name="Note 2 32 2 11" xfId="39167"/>
    <cellStyle name="Note 2 32 2 11 2" xfId="39168"/>
    <cellStyle name="Note 2 32 2 12" xfId="39169"/>
    <cellStyle name="Note 2 32 2 12 2" xfId="39170"/>
    <cellStyle name="Note 2 32 2 13" xfId="39171"/>
    <cellStyle name="Note 2 32 2 13 2" xfId="39172"/>
    <cellStyle name="Note 2 32 2 14" xfId="39173"/>
    <cellStyle name="Note 2 32 2 14 2" xfId="39174"/>
    <cellStyle name="Note 2 32 2 15" xfId="39175"/>
    <cellStyle name="Note 2 32 2 15 2" xfId="39176"/>
    <cellStyle name="Note 2 32 2 16" xfId="39177"/>
    <cellStyle name="Note 2 32 2 16 2" xfId="39178"/>
    <cellStyle name="Note 2 32 2 17" xfId="39179"/>
    <cellStyle name="Note 2 32 2 17 2" xfId="39180"/>
    <cellStyle name="Note 2 32 2 18" xfId="39181"/>
    <cellStyle name="Note 2 32 2 18 2" xfId="39182"/>
    <cellStyle name="Note 2 32 2 19" xfId="39183"/>
    <cellStyle name="Note 2 32 2 19 2" xfId="39184"/>
    <cellStyle name="Note 2 32 2 2" xfId="39185"/>
    <cellStyle name="Note 2 32 2 2 2" xfId="39186"/>
    <cellStyle name="Note 2 32 2 2 3" xfId="39187"/>
    <cellStyle name="Note 2 32 2 20" xfId="39188"/>
    <cellStyle name="Note 2 32 2 20 2" xfId="39189"/>
    <cellStyle name="Note 2 32 2 21" xfId="39190"/>
    <cellStyle name="Note 2 32 2 21 2" xfId="39191"/>
    <cellStyle name="Note 2 32 2 22" xfId="39192"/>
    <cellStyle name="Note 2 32 2 22 2" xfId="39193"/>
    <cellStyle name="Note 2 32 2 23" xfId="39194"/>
    <cellStyle name="Note 2 32 2 23 2" xfId="39195"/>
    <cellStyle name="Note 2 32 2 24" xfId="39196"/>
    <cellStyle name="Note 2 32 2 24 2" xfId="39197"/>
    <cellStyle name="Note 2 32 2 25" xfId="39198"/>
    <cellStyle name="Note 2 32 2 25 2" xfId="39199"/>
    <cellStyle name="Note 2 32 2 26" xfId="39200"/>
    <cellStyle name="Note 2 32 2 26 2" xfId="39201"/>
    <cellStyle name="Note 2 32 2 27" xfId="39202"/>
    <cellStyle name="Note 2 32 2 27 2" xfId="39203"/>
    <cellStyle name="Note 2 32 2 28" xfId="39204"/>
    <cellStyle name="Note 2 32 2 28 2" xfId="39205"/>
    <cellStyle name="Note 2 32 2 29" xfId="39206"/>
    <cellStyle name="Note 2 32 2 29 2" xfId="39207"/>
    <cellStyle name="Note 2 32 2 3" xfId="39208"/>
    <cellStyle name="Note 2 32 2 3 2" xfId="39209"/>
    <cellStyle name="Note 2 32 2 3 3" xfId="39210"/>
    <cellStyle name="Note 2 32 2 30" xfId="39211"/>
    <cellStyle name="Note 2 32 2 30 2" xfId="39212"/>
    <cellStyle name="Note 2 32 2 31" xfId="39213"/>
    <cellStyle name="Note 2 32 2 4" xfId="39214"/>
    <cellStyle name="Note 2 32 2 4 2" xfId="39215"/>
    <cellStyle name="Note 2 32 2 5" xfId="39216"/>
    <cellStyle name="Note 2 32 2 5 2" xfId="39217"/>
    <cellStyle name="Note 2 32 2 6" xfId="39218"/>
    <cellStyle name="Note 2 32 2 6 2" xfId="39219"/>
    <cellStyle name="Note 2 32 2 7" xfId="39220"/>
    <cellStyle name="Note 2 32 2 7 2" xfId="39221"/>
    <cellStyle name="Note 2 32 2 8" xfId="39222"/>
    <cellStyle name="Note 2 32 2 8 2" xfId="39223"/>
    <cellStyle name="Note 2 32 2 9" xfId="39224"/>
    <cellStyle name="Note 2 32 2 9 2" xfId="39225"/>
    <cellStyle name="Note 2 32 20" xfId="39226"/>
    <cellStyle name="Note 2 32 20 2" xfId="39227"/>
    <cellStyle name="Note 2 32 21" xfId="39228"/>
    <cellStyle name="Note 2 32 21 2" xfId="39229"/>
    <cellStyle name="Note 2 32 22" xfId="39230"/>
    <cellStyle name="Note 2 32 22 2" xfId="39231"/>
    <cellStyle name="Note 2 32 23" xfId="39232"/>
    <cellStyle name="Note 2 32 23 2" xfId="39233"/>
    <cellStyle name="Note 2 32 24" xfId="39234"/>
    <cellStyle name="Note 2 32 24 2" xfId="39235"/>
    <cellStyle name="Note 2 32 25" xfId="39236"/>
    <cellStyle name="Note 2 32 25 2" xfId="39237"/>
    <cellStyle name="Note 2 32 26" xfId="39238"/>
    <cellStyle name="Note 2 32 26 2" xfId="39239"/>
    <cellStyle name="Note 2 32 27" xfId="39240"/>
    <cellStyle name="Note 2 32 27 2" xfId="39241"/>
    <cellStyle name="Note 2 32 28" xfId="39242"/>
    <cellStyle name="Note 2 32 28 2" xfId="39243"/>
    <cellStyle name="Note 2 32 29" xfId="39244"/>
    <cellStyle name="Note 2 32 29 2" xfId="39245"/>
    <cellStyle name="Note 2 32 3" xfId="39246"/>
    <cellStyle name="Note 2 32 3 2" xfId="39247"/>
    <cellStyle name="Note 2 32 3 2 2" xfId="39248"/>
    <cellStyle name="Note 2 32 3 3" xfId="39249"/>
    <cellStyle name="Note 2 32 3 3 2" xfId="39250"/>
    <cellStyle name="Note 2 32 3 4" xfId="39251"/>
    <cellStyle name="Note 2 32 3 4 2" xfId="39252"/>
    <cellStyle name="Note 2 32 3 5" xfId="39253"/>
    <cellStyle name="Note 2 32 30" xfId="39254"/>
    <cellStyle name="Note 2 32 30 2" xfId="39255"/>
    <cellStyle name="Note 2 32 31" xfId="39256"/>
    <cellStyle name="Note 2 32 31 2" xfId="39257"/>
    <cellStyle name="Note 2 32 32" xfId="39258"/>
    <cellStyle name="Note 2 32 32 2" xfId="39259"/>
    <cellStyle name="Note 2 32 33" xfId="39260"/>
    <cellStyle name="Note 2 32 33 2" xfId="39261"/>
    <cellStyle name="Note 2 32 34" xfId="39262"/>
    <cellStyle name="Note 2 32 34 2" xfId="39263"/>
    <cellStyle name="Note 2 32 35" xfId="39264"/>
    <cellStyle name="Note 2 32 35 2" xfId="39265"/>
    <cellStyle name="Note 2 32 36" xfId="39266"/>
    <cellStyle name="Note 2 32 36 2" xfId="39267"/>
    <cellStyle name="Note 2 32 37" xfId="39268"/>
    <cellStyle name="Note 2 32 37 2" xfId="39269"/>
    <cellStyle name="Note 2 32 38" xfId="39270"/>
    <cellStyle name="Note 2 32 38 2" xfId="39271"/>
    <cellStyle name="Note 2 32 39" xfId="39272"/>
    <cellStyle name="Note 2 32 39 2" xfId="39273"/>
    <cellStyle name="Note 2 32 4" xfId="39274"/>
    <cellStyle name="Note 2 32 4 2" xfId="39275"/>
    <cellStyle name="Note 2 32 4 2 2" xfId="39276"/>
    <cellStyle name="Note 2 32 4 3" xfId="39277"/>
    <cellStyle name="Note 2 32 4 3 2" xfId="39278"/>
    <cellStyle name="Note 2 32 4 4" xfId="39279"/>
    <cellStyle name="Note 2 32 4 4 2" xfId="39280"/>
    <cellStyle name="Note 2 32 4 5" xfId="39281"/>
    <cellStyle name="Note 2 32 40" xfId="39282"/>
    <cellStyle name="Note 2 32 40 2" xfId="39283"/>
    <cellStyle name="Note 2 32 41" xfId="39284"/>
    <cellStyle name="Note 2 32 41 2" xfId="39285"/>
    <cellStyle name="Note 2 32 42" xfId="39286"/>
    <cellStyle name="Note 2 32 42 2" xfId="39287"/>
    <cellStyle name="Note 2 32 43" xfId="39288"/>
    <cellStyle name="Note 2 32 43 2" xfId="39289"/>
    <cellStyle name="Note 2 32 44" xfId="39290"/>
    <cellStyle name="Note 2 32 44 2" xfId="39291"/>
    <cellStyle name="Note 2 32 45" xfId="39292"/>
    <cellStyle name="Note 2 32 45 2" xfId="39293"/>
    <cellStyle name="Note 2 32 46" xfId="39294"/>
    <cellStyle name="Note 2 32 46 2" xfId="39295"/>
    <cellStyle name="Note 2 32 47" xfId="39296"/>
    <cellStyle name="Note 2 32 47 2" xfId="39297"/>
    <cellStyle name="Note 2 32 48" xfId="39298"/>
    <cellStyle name="Note 2 32 48 2" xfId="39299"/>
    <cellStyle name="Note 2 32 49" xfId="39300"/>
    <cellStyle name="Note 2 32 49 2" xfId="39301"/>
    <cellStyle name="Note 2 32 5" xfId="39302"/>
    <cellStyle name="Note 2 32 5 2" xfId="39303"/>
    <cellStyle name="Note 2 32 5 2 2" xfId="39304"/>
    <cellStyle name="Note 2 32 5 3" xfId="39305"/>
    <cellStyle name="Note 2 32 5 3 2" xfId="39306"/>
    <cellStyle name="Note 2 32 5 4" xfId="39307"/>
    <cellStyle name="Note 2 32 5 4 2" xfId="39308"/>
    <cellStyle name="Note 2 32 5 5" xfId="39309"/>
    <cellStyle name="Note 2 32 50" xfId="39310"/>
    <cellStyle name="Note 2 32 50 2" xfId="39311"/>
    <cellStyle name="Note 2 32 51" xfId="39312"/>
    <cellStyle name="Note 2 32 51 2" xfId="39313"/>
    <cellStyle name="Note 2 32 52" xfId="39314"/>
    <cellStyle name="Note 2 32 52 2" xfId="39315"/>
    <cellStyle name="Note 2 32 53" xfId="39316"/>
    <cellStyle name="Note 2 32 53 2" xfId="39317"/>
    <cellStyle name="Note 2 32 54" xfId="39318"/>
    <cellStyle name="Note 2 32 54 2" xfId="39319"/>
    <cellStyle name="Note 2 32 55" xfId="39320"/>
    <cellStyle name="Note 2 32 55 2" xfId="39321"/>
    <cellStyle name="Note 2 32 56" xfId="39322"/>
    <cellStyle name="Note 2 32 56 2" xfId="39323"/>
    <cellStyle name="Note 2 32 57" xfId="39324"/>
    <cellStyle name="Note 2 32 57 2" xfId="39325"/>
    <cellStyle name="Note 2 32 58" xfId="39326"/>
    <cellStyle name="Note 2 32 58 2" xfId="39327"/>
    <cellStyle name="Note 2 32 59" xfId="39328"/>
    <cellStyle name="Note 2 32 59 2" xfId="39329"/>
    <cellStyle name="Note 2 32 6" xfId="39330"/>
    <cellStyle name="Note 2 32 6 2" xfId="39331"/>
    <cellStyle name="Note 2 32 6 2 2" xfId="39332"/>
    <cellStyle name="Note 2 32 6 3" xfId="39333"/>
    <cellStyle name="Note 2 32 6 3 2" xfId="39334"/>
    <cellStyle name="Note 2 32 6 4" xfId="39335"/>
    <cellStyle name="Note 2 32 6 4 2" xfId="39336"/>
    <cellStyle name="Note 2 32 6 5" xfId="39337"/>
    <cellStyle name="Note 2 32 60" xfId="39338"/>
    <cellStyle name="Note 2 32 60 2" xfId="39339"/>
    <cellStyle name="Note 2 32 61" xfId="39340"/>
    <cellStyle name="Note 2 32 61 2" xfId="39341"/>
    <cellStyle name="Note 2 32 62" xfId="39342"/>
    <cellStyle name="Note 2 32 7" xfId="39343"/>
    <cellStyle name="Note 2 32 7 2" xfId="39344"/>
    <cellStyle name="Note 2 32 7 2 2" xfId="39345"/>
    <cellStyle name="Note 2 32 7 3" xfId="39346"/>
    <cellStyle name="Note 2 32 7 3 2" xfId="39347"/>
    <cellStyle name="Note 2 32 7 4" xfId="39348"/>
    <cellStyle name="Note 2 32 7 4 2" xfId="39349"/>
    <cellStyle name="Note 2 32 7 5" xfId="39350"/>
    <cellStyle name="Note 2 32 8" xfId="39351"/>
    <cellStyle name="Note 2 32 8 2" xfId="39352"/>
    <cellStyle name="Note 2 32 8 2 2" xfId="39353"/>
    <cellStyle name="Note 2 32 8 3" xfId="39354"/>
    <cellStyle name="Note 2 32 8 3 2" xfId="39355"/>
    <cellStyle name="Note 2 32 8 4" xfId="39356"/>
    <cellStyle name="Note 2 32 8 4 2" xfId="39357"/>
    <cellStyle name="Note 2 32 8 5" xfId="39358"/>
    <cellStyle name="Note 2 32 9" xfId="39359"/>
    <cellStyle name="Note 2 32 9 2" xfId="39360"/>
    <cellStyle name="Note 2 32 9 2 2" xfId="39361"/>
    <cellStyle name="Note 2 32 9 3" xfId="39362"/>
    <cellStyle name="Note 2 32 9 3 2" xfId="39363"/>
    <cellStyle name="Note 2 32 9 4" xfId="39364"/>
    <cellStyle name="Note 2 32 9 4 2" xfId="39365"/>
    <cellStyle name="Note 2 32 9 5" xfId="39366"/>
    <cellStyle name="Note 2 33" xfId="39367"/>
    <cellStyle name="Note 2 33 10" xfId="39368"/>
    <cellStyle name="Note 2 33 10 2" xfId="39369"/>
    <cellStyle name="Note 2 33 10 2 2" xfId="39370"/>
    <cellStyle name="Note 2 33 10 3" xfId="39371"/>
    <cellStyle name="Note 2 33 10 3 2" xfId="39372"/>
    <cellStyle name="Note 2 33 10 4" xfId="39373"/>
    <cellStyle name="Note 2 33 10 4 2" xfId="39374"/>
    <cellStyle name="Note 2 33 10 5" xfId="39375"/>
    <cellStyle name="Note 2 33 11" xfId="39376"/>
    <cellStyle name="Note 2 33 11 2" xfId="39377"/>
    <cellStyle name="Note 2 33 11 2 2" xfId="39378"/>
    <cellStyle name="Note 2 33 11 3" xfId="39379"/>
    <cellStyle name="Note 2 33 11 3 2" xfId="39380"/>
    <cellStyle name="Note 2 33 11 4" xfId="39381"/>
    <cellStyle name="Note 2 33 11 4 2" xfId="39382"/>
    <cellStyle name="Note 2 33 11 5" xfId="39383"/>
    <cellStyle name="Note 2 33 12" xfId="39384"/>
    <cellStyle name="Note 2 33 12 2" xfId="39385"/>
    <cellStyle name="Note 2 33 12 2 2" xfId="39386"/>
    <cellStyle name="Note 2 33 12 3" xfId="39387"/>
    <cellStyle name="Note 2 33 12 3 2" xfId="39388"/>
    <cellStyle name="Note 2 33 12 4" xfId="39389"/>
    <cellStyle name="Note 2 33 12 4 2" xfId="39390"/>
    <cellStyle name="Note 2 33 12 5" xfId="39391"/>
    <cellStyle name="Note 2 33 13" xfId="39392"/>
    <cellStyle name="Note 2 33 13 2" xfId="39393"/>
    <cellStyle name="Note 2 33 13 2 2" xfId="39394"/>
    <cellStyle name="Note 2 33 13 3" xfId="39395"/>
    <cellStyle name="Note 2 33 13 3 2" xfId="39396"/>
    <cellStyle name="Note 2 33 13 4" xfId="39397"/>
    <cellStyle name="Note 2 33 13 4 2" xfId="39398"/>
    <cellStyle name="Note 2 33 13 5" xfId="39399"/>
    <cellStyle name="Note 2 33 14" xfId="39400"/>
    <cellStyle name="Note 2 33 14 2" xfId="39401"/>
    <cellStyle name="Note 2 33 14 2 2" xfId="39402"/>
    <cellStyle name="Note 2 33 14 3" xfId="39403"/>
    <cellStyle name="Note 2 33 14 3 2" xfId="39404"/>
    <cellStyle name="Note 2 33 14 4" xfId="39405"/>
    <cellStyle name="Note 2 33 14 4 2" xfId="39406"/>
    <cellStyle name="Note 2 33 14 5" xfId="39407"/>
    <cellStyle name="Note 2 33 15" xfId="39408"/>
    <cellStyle name="Note 2 33 15 2" xfId="39409"/>
    <cellStyle name="Note 2 33 16" xfId="39410"/>
    <cellStyle name="Note 2 33 16 2" xfId="39411"/>
    <cellStyle name="Note 2 33 17" xfId="39412"/>
    <cellStyle name="Note 2 33 17 2" xfId="39413"/>
    <cellStyle name="Note 2 33 18" xfId="39414"/>
    <cellStyle name="Note 2 33 18 2" xfId="39415"/>
    <cellStyle name="Note 2 33 19" xfId="39416"/>
    <cellStyle name="Note 2 33 19 2" xfId="39417"/>
    <cellStyle name="Note 2 33 2" xfId="39418"/>
    <cellStyle name="Note 2 33 2 10" xfId="39419"/>
    <cellStyle name="Note 2 33 2 10 2" xfId="39420"/>
    <cellStyle name="Note 2 33 2 11" xfId="39421"/>
    <cellStyle name="Note 2 33 2 11 2" xfId="39422"/>
    <cellStyle name="Note 2 33 2 12" xfId="39423"/>
    <cellStyle name="Note 2 33 2 12 2" xfId="39424"/>
    <cellStyle name="Note 2 33 2 13" xfId="39425"/>
    <cellStyle name="Note 2 33 2 13 2" xfId="39426"/>
    <cellStyle name="Note 2 33 2 14" xfId="39427"/>
    <cellStyle name="Note 2 33 2 14 2" xfId="39428"/>
    <cellStyle name="Note 2 33 2 15" xfId="39429"/>
    <cellStyle name="Note 2 33 2 15 2" xfId="39430"/>
    <cellStyle name="Note 2 33 2 16" xfId="39431"/>
    <cellStyle name="Note 2 33 2 16 2" xfId="39432"/>
    <cellStyle name="Note 2 33 2 17" xfId="39433"/>
    <cellStyle name="Note 2 33 2 17 2" xfId="39434"/>
    <cellStyle name="Note 2 33 2 18" xfId="39435"/>
    <cellStyle name="Note 2 33 2 18 2" xfId="39436"/>
    <cellStyle name="Note 2 33 2 19" xfId="39437"/>
    <cellStyle name="Note 2 33 2 19 2" xfId="39438"/>
    <cellStyle name="Note 2 33 2 2" xfId="39439"/>
    <cellStyle name="Note 2 33 2 2 2" xfId="39440"/>
    <cellStyle name="Note 2 33 2 2 3" xfId="39441"/>
    <cellStyle name="Note 2 33 2 20" xfId="39442"/>
    <cellStyle name="Note 2 33 2 20 2" xfId="39443"/>
    <cellStyle name="Note 2 33 2 21" xfId="39444"/>
    <cellStyle name="Note 2 33 2 21 2" xfId="39445"/>
    <cellStyle name="Note 2 33 2 22" xfId="39446"/>
    <cellStyle name="Note 2 33 2 22 2" xfId="39447"/>
    <cellStyle name="Note 2 33 2 23" xfId="39448"/>
    <cellStyle name="Note 2 33 2 23 2" xfId="39449"/>
    <cellStyle name="Note 2 33 2 24" xfId="39450"/>
    <cellStyle name="Note 2 33 2 24 2" xfId="39451"/>
    <cellStyle name="Note 2 33 2 25" xfId="39452"/>
    <cellStyle name="Note 2 33 2 25 2" xfId="39453"/>
    <cellStyle name="Note 2 33 2 26" xfId="39454"/>
    <cellStyle name="Note 2 33 2 26 2" xfId="39455"/>
    <cellStyle name="Note 2 33 2 27" xfId="39456"/>
    <cellStyle name="Note 2 33 2 27 2" xfId="39457"/>
    <cellStyle name="Note 2 33 2 28" xfId="39458"/>
    <cellStyle name="Note 2 33 2 28 2" xfId="39459"/>
    <cellStyle name="Note 2 33 2 29" xfId="39460"/>
    <cellStyle name="Note 2 33 2 29 2" xfId="39461"/>
    <cellStyle name="Note 2 33 2 3" xfId="39462"/>
    <cellStyle name="Note 2 33 2 3 2" xfId="39463"/>
    <cellStyle name="Note 2 33 2 3 3" xfId="39464"/>
    <cellStyle name="Note 2 33 2 30" xfId="39465"/>
    <cellStyle name="Note 2 33 2 30 2" xfId="39466"/>
    <cellStyle name="Note 2 33 2 31" xfId="39467"/>
    <cellStyle name="Note 2 33 2 4" xfId="39468"/>
    <cellStyle name="Note 2 33 2 4 2" xfId="39469"/>
    <cellStyle name="Note 2 33 2 5" xfId="39470"/>
    <cellStyle name="Note 2 33 2 5 2" xfId="39471"/>
    <cellStyle name="Note 2 33 2 6" xfId="39472"/>
    <cellStyle name="Note 2 33 2 6 2" xfId="39473"/>
    <cellStyle name="Note 2 33 2 7" xfId="39474"/>
    <cellStyle name="Note 2 33 2 7 2" xfId="39475"/>
    <cellStyle name="Note 2 33 2 8" xfId="39476"/>
    <cellStyle name="Note 2 33 2 8 2" xfId="39477"/>
    <cellStyle name="Note 2 33 2 9" xfId="39478"/>
    <cellStyle name="Note 2 33 2 9 2" xfId="39479"/>
    <cellStyle name="Note 2 33 20" xfId="39480"/>
    <cellStyle name="Note 2 33 20 2" xfId="39481"/>
    <cellStyle name="Note 2 33 21" xfId="39482"/>
    <cellStyle name="Note 2 33 21 2" xfId="39483"/>
    <cellStyle name="Note 2 33 22" xfId="39484"/>
    <cellStyle name="Note 2 33 22 2" xfId="39485"/>
    <cellStyle name="Note 2 33 23" xfId="39486"/>
    <cellStyle name="Note 2 33 23 2" xfId="39487"/>
    <cellStyle name="Note 2 33 24" xfId="39488"/>
    <cellStyle name="Note 2 33 24 2" xfId="39489"/>
    <cellStyle name="Note 2 33 25" xfId="39490"/>
    <cellStyle name="Note 2 33 25 2" xfId="39491"/>
    <cellStyle name="Note 2 33 26" xfId="39492"/>
    <cellStyle name="Note 2 33 26 2" xfId="39493"/>
    <cellStyle name="Note 2 33 27" xfId="39494"/>
    <cellStyle name="Note 2 33 27 2" xfId="39495"/>
    <cellStyle name="Note 2 33 28" xfId="39496"/>
    <cellStyle name="Note 2 33 28 2" xfId="39497"/>
    <cellStyle name="Note 2 33 29" xfId="39498"/>
    <cellStyle name="Note 2 33 29 2" xfId="39499"/>
    <cellStyle name="Note 2 33 3" xfId="39500"/>
    <cellStyle name="Note 2 33 3 2" xfId="39501"/>
    <cellStyle name="Note 2 33 3 2 2" xfId="39502"/>
    <cellStyle name="Note 2 33 3 3" xfId="39503"/>
    <cellStyle name="Note 2 33 3 3 2" xfId="39504"/>
    <cellStyle name="Note 2 33 3 4" xfId="39505"/>
    <cellStyle name="Note 2 33 3 4 2" xfId="39506"/>
    <cellStyle name="Note 2 33 3 5" xfId="39507"/>
    <cellStyle name="Note 2 33 30" xfId="39508"/>
    <cellStyle name="Note 2 33 30 2" xfId="39509"/>
    <cellStyle name="Note 2 33 31" xfId="39510"/>
    <cellStyle name="Note 2 33 31 2" xfId="39511"/>
    <cellStyle name="Note 2 33 32" xfId="39512"/>
    <cellStyle name="Note 2 33 32 2" xfId="39513"/>
    <cellStyle name="Note 2 33 33" xfId="39514"/>
    <cellStyle name="Note 2 33 33 2" xfId="39515"/>
    <cellStyle name="Note 2 33 34" xfId="39516"/>
    <cellStyle name="Note 2 33 34 2" xfId="39517"/>
    <cellStyle name="Note 2 33 35" xfId="39518"/>
    <cellStyle name="Note 2 33 35 2" xfId="39519"/>
    <cellStyle name="Note 2 33 36" xfId="39520"/>
    <cellStyle name="Note 2 33 36 2" xfId="39521"/>
    <cellStyle name="Note 2 33 37" xfId="39522"/>
    <cellStyle name="Note 2 33 37 2" xfId="39523"/>
    <cellStyle name="Note 2 33 38" xfId="39524"/>
    <cellStyle name="Note 2 33 38 2" xfId="39525"/>
    <cellStyle name="Note 2 33 39" xfId="39526"/>
    <cellStyle name="Note 2 33 39 2" xfId="39527"/>
    <cellStyle name="Note 2 33 4" xfId="39528"/>
    <cellStyle name="Note 2 33 4 2" xfId="39529"/>
    <cellStyle name="Note 2 33 4 2 2" xfId="39530"/>
    <cellStyle name="Note 2 33 4 3" xfId="39531"/>
    <cellStyle name="Note 2 33 4 3 2" xfId="39532"/>
    <cellStyle name="Note 2 33 4 4" xfId="39533"/>
    <cellStyle name="Note 2 33 4 4 2" xfId="39534"/>
    <cellStyle name="Note 2 33 4 5" xfId="39535"/>
    <cellStyle name="Note 2 33 40" xfId="39536"/>
    <cellStyle name="Note 2 33 40 2" xfId="39537"/>
    <cellStyle name="Note 2 33 41" xfId="39538"/>
    <cellStyle name="Note 2 33 41 2" xfId="39539"/>
    <cellStyle name="Note 2 33 42" xfId="39540"/>
    <cellStyle name="Note 2 33 42 2" xfId="39541"/>
    <cellStyle name="Note 2 33 43" xfId="39542"/>
    <cellStyle name="Note 2 33 43 2" xfId="39543"/>
    <cellStyle name="Note 2 33 44" xfId="39544"/>
    <cellStyle name="Note 2 33 44 2" xfId="39545"/>
    <cellStyle name="Note 2 33 45" xfId="39546"/>
    <cellStyle name="Note 2 33 45 2" xfId="39547"/>
    <cellStyle name="Note 2 33 46" xfId="39548"/>
    <cellStyle name="Note 2 33 46 2" xfId="39549"/>
    <cellStyle name="Note 2 33 47" xfId="39550"/>
    <cellStyle name="Note 2 33 47 2" xfId="39551"/>
    <cellStyle name="Note 2 33 48" xfId="39552"/>
    <cellStyle name="Note 2 33 48 2" xfId="39553"/>
    <cellStyle name="Note 2 33 49" xfId="39554"/>
    <cellStyle name="Note 2 33 49 2" xfId="39555"/>
    <cellStyle name="Note 2 33 5" xfId="39556"/>
    <cellStyle name="Note 2 33 5 2" xfId="39557"/>
    <cellStyle name="Note 2 33 5 2 2" xfId="39558"/>
    <cellStyle name="Note 2 33 5 3" xfId="39559"/>
    <cellStyle name="Note 2 33 5 3 2" xfId="39560"/>
    <cellStyle name="Note 2 33 5 4" xfId="39561"/>
    <cellStyle name="Note 2 33 5 4 2" xfId="39562"/>
    <cellStyle name="Note 2 33 5 5" xfId="39563"/>
    <cellStyle name="Note 2 33 50" xfId="39564"/>
    <cellStyle name="Note 2 33 50 2" xfId="39565"/>
    <cellStyle name="Note 2 33 51" xfId="39566"/>
    <cellStyle name="Note 2 33 51 2" xfId="39567"/>
    <cellStyle name="Note 2 33 52" xfId="39568"/>
    <cellStyle name="Note 2 33 52 2" xfId="39569"/>
    <cellStyle name="Note 2 33 53" xfId="39570"/>
    <cellStyle name="Note 2 33 53 2" xfId="39571"/>
    <cellStyle name="Note 2 33 54" xfId="39572"/>
    <cellStyle name="Note 2 33 54 2" xfId="39573"/>
    <cellStyle name="Note 2 33 55" xfId="39574"/>
    <cellStyle name="Note 2 33 55 2" xfId="39575"/>
    <cellStyle name="Note 2 33 56" xfId="39576"/>
    <cellStyle name="Note 2 33 56 2" xfId="39577"/>
    <cellStyle name="Note 2 33 57" xfId="39578"/>
    <cellStyle name="Note 2 33 57 2" xfId="39579"/>
    <cellStyle name="Note 2 33 58" xfId="39580"/>
    <cellStyle name="Note 2 33 58 2" xfId="39581"/>
    <cellStyle name="Note 2 33 59" xfId="39582"/>
    <cellStyle name="Note 2 33 59 2" xfId="39583"/>
    <cellStyle name="Note 2 33 6" xfId="39584"/>
    <cellStyle name="Note 2 33 6 2" xfId="39585"/>
    <cellStyle name="Note 2 33 6 2 2" xfId="39586"/>
    <cellStyle name="Note 2 33 6 3" xfId="39587"/>
    <cellStyle name="Note 2 33 6 3 2" xfId="39588"/>
    <cellStyle name="Note 2 33 6 4" xfId="39589"/>
    <cellStyle name="Note 2 33 6 4 2" xfId="39590"/>
    <cellStyle name="Note 2 33 6 5" xfId="39591"/>
    <cellStyle name="Note 2 33 60" xfId="39592"/>
    <cellStyle name="Note 2 33 60 2" xfId="39593"/>
    <cellStyle name="Note 2 33 61" xfId="39594"/>
    <cellStyle name="Note 2 33 61 2" xfId="39595"/>
    <cellStyle name="Note 2 33 62" xfId="39596"/>
    <cellStyle name="Note 2 33 7" xfId="39597"/>
    <cellStyle name="Note 2 33 7 2" xfId="39598"/>
    <cellStyle name="Note 2 33 7 2 2" xfId="39599"/>
    <cellStyle name="Note 2 33 7 3" xfId="39600"/>
    <cellStyle name="Note 2 33 7 3 2" xfId="39601"/>
    <cellStyle name="Note 2 33 7 4" xfId="39602"/>
    <cellStyle name="Note 2 33 7 4 2" xfId="39603"/>
    <cellStyle name="Note 2 33 7 5" xfId="39604"/>
    <cellStyle name="Note 2 33 8" xfId="39605"/>
    <cellStyle name="Note 2 33 8 2" xfId="39606"/>
    <cellStyle name="Note 2 33 8 2 2" xfId="39607"/>
    <cellStyle name="Note 2 33 8 3" xfId="39608"/>
    <cellStyle name="Note 2 33 8 3 2" xfId="39609"/>
    <cellStyle name="Note 2 33 8 4" xfId="39610"/>
    <cellStyle name="Note 2 33 8 4 2" xfId="39611"/>
    <cellStyle name="Note 2 33 8 5" xfId="39612"/>
    <cellStyle name="Note 2 33 9" xfId="39613"/>
    <cellStyle name="Note 2 33 9 2" xfId="39614"/>
    <cellStyle name="Note 2 33 9 2 2" xfId="39615"/>
    <cellStyle name="Note 2 33 9 3" xfId="39616"/>
    <cellStyle name="Note 2 33 9 3 2" xfId="39617"/>
    <cellStyle name="Note 2 33 9 4" xfId="39618"/>
    <cellStyle name="Note 2 33 9 4 2" xfId="39619"/>
    <cellStyle name="Note 2 33 9 5" xfId="39620"/>
    <cellStyle name="Note 2 34" xfId="39621"/>
    <cellStyle name="Note 2 34 10" xfId="39622"/>
    <cellStyle name="Note 2 34 10 2" xfId="39623"/>
    <cellStyle name="Note 2 34 10 2 2" xfId="39624"/>
    <cellStyle name="Note 2 34 10 3" xfId="39625"/>
    <cellStyle name="Note 2 34 10 3 2" xfId="39626"/>
    <cellStyle name="Note 2 34 10 4" xfId="39627"/>
    <cellStyle name="Note 2 34 10 4 2" xfId="39628"/>
    <cellStyle name="Note 2 34 10 5" xfId="39629"/>
    <cellStyle name="Note 2 34 11" xfId="39630"/>
    <cellStyle name="Note 2 34 11 2" xfId="39631"/>
    <cellStyle name="Note 2 34 11 2 2" xfId="39632"/>
    <cellStyle name="Note 2 34 11 3" xfId="39633"/>
    <cellStyle name="Note 2 34 11 3 2" xfId="39634"/>
    <cellStyle name="Note 2 34 11 4" xfId="39635"/>
    <cellStyle name="Note 2 34 11 4 2" xfId="39636"/>
    <cellStyle name="Note 2 34 11 5" xfId="39637"/>
    <cellStyle name="Note 2 34 12" xfId="39638"/>
    <cellStyle name="Note 2 34 12 2" xfId="39639"/>
    <cellStyle name="Note 2 34 12 2 2" xfId="39640"/>
    <cellStyle name="Note 2 34 12 3" xfId="39641"/>
    <cellStyle name="Note 2 34 12 3 2" xfId="39642"/>
    <cellStyle name="Note 2 34 12 4" xfId="39643"/>
    <cellStyle name="Note 2 34 12 4 2" xfId="39644"/>
    <cellStyle name="Note 2 34 12 5" xfId="39645"/>
    <cellStyle name="Note 2 34 13" xfId="39646"/>
    <cellStyle name="Note 2 34 13 2" xfId="39647"/>
    <cellStyle name="Note 2 34 13 2 2" xfId="39648"/>
    <cellStyle name="Note 2 34 13 3" xfId="39649"/>
    <cellStyle name="Note 2 34 13 3 2" xfId="39650"/>
    <cellStyle name="Note 2 34 13 4" xfId="39651"/>
    <cellStyle name="Note 2 34 13 4 2" xfId="39652"/>
    <cellStyle name="Note 2 34 13 5" xfId="39653"/>
    <cellStyle name="Note 2 34 14" xfId="39654"/>
    <cellStyle name="Note 2 34 14 2" xfId="39655"/>
    <cellStyle name="Note 2 34 14 2 2" xfId="39656"/>
    <cellStyle name="Note 2 34 14 3" xfId="39657"/>
    <cellStyle name="Note 2 34 14 3 2" xfId="39658"/>
    <cellStyle name="Note 2 34 14 4" xfId="39659"/>
    <cellStyle name="Note 2 34 14 4 2" xfId="39660"/>
    <cellStyle name="Note 2 34 14 5" xfId="39661"/>
    <cellStyle name="Note 2 34 15" xfId="39662"/>
    <cellStyle name="Note 2 34 15 2" xfId="39663"/>
    <cellStyle name="Note 2 34 16" xfId="39664"/>
    <cellStyle name="Note 2 34 16 2" xfId="39665"/>
    <cellStyle name="Note 2 34 17" xfId="39666"/>
    <cellStyle name="Note 2 34 17 2" xfId="39667"/>
    <cellStyle name="Note 2 34 18" xfId="39668"/>
    <cellStyle name="Note 2 34 18 2" xfId="39669"/>
    <cellStyle name="Note 2 34 19" xfId="39670"/>
    <cellStyle name="Note 2 34 19 2" xfId="39671"/>
    <cellStyle name="Note 2 34 2" xfId="39672"/>
    <cellStyle name="Note 2 34 2 10" xfId="39673"/>
    <cellStyle name="Note 2 34 2 10 2" xfId="39674"/>
    <cellStyle name="Note 2 34 2 11" xfId="39675"/>
    <cellStyle name="Note 2 34 2 11 2" xfId="39676"/>
    <cellStyle name="Note 2 34 2 12" xfId="39677"/>
    <cellStyle name="Note 2 34 2 12 2" xfId="39678"/>
    <cellStyle name="Note 2 34 2 13" xfId="39679"/>
    <cellStyle name="Note 2 34 2 13 2" xfId="39680"/>
    <cellStyle name="Note 2 34 2 14" xfId="39681"/>
    <cellStyle name="Note 2 34 2 14 2" xfId="39682"/>
    <cellStyle name="Note 2 34 2 15" xfId="39683"/>
    <cellStyle name="Note 2 34 2 15 2" xfId="39684"/>
    <cellStyle name="Note 2 34 2 16" xfId="39685"/>
    <cellStyle name="Note 2 34 2 16 2" xfId="39686"/>
    <cellStyle name="Note 2 34 2 17" xfId="39687"/>
    <cellStyle name="Note 2 34 2 17 2" xfId="39688"/>
    <cellStyle name="Note 2 34 2 18" xfId="39689"/>
    <cellStyle name="Note 2 34 2 18 2" xfId="39690"/>
    <cellStyle name="Note 2 34 2 19" xfId="39691"/>
    <cellStyle name="Note 2 34 2 19 2" xfId="39692"/>
    <cellStyle name="Note 2 34 2 2" xfId="39693"/>
    <cellStyle name="Note 2 34 2 2 2" xfId="39694"/>
    <cellStyle name="Note 2 34 2 2 3" xfId="39695"/>
    <cellStyle name="Note 2 34 2 20" xfId="39696"/>
    <cellStyle name="Note 2 34 2 20 2" xfId="39697"/>
    <cellStyle name="Note 2 34 2 21" xfId="39698"/>
    <cellStyle name="Note 2 34 2 21 2" xfId="39699"/>
    <cellStyle name="Note 2 34 2 22" xfId="39700"/>
    <cellStyle name="Note 2 34 2 22 2" xfId="39701"/>
    <cellStyle name="Note 2 34 2 23" xfId="39702"/>
    <cellStyle name="Note 2 34 2 23 2" xfId="39703"/>
    <cellStyle name="Note 2 34 2 24" xfId="39704"/>
    <cellStyle name="Note 2 34 2 24 2" xfId="39705"/>
    <cellStyle name="Note 2 34 2 25" xfId="39706"/>
    <cellStyle name="Note 2 34 2 25 2" xfId="39707"/>
    <cellStyle name="Note 2 34 2 26" xfId="39708"/>
    <cellStyle name="Note 2 34 2 26 2" xfId="39709"/>
    <cellStyle name="Note 2 34 2 27" xfId="39710"/>
    <cellStyle name="Note 2 34 2 27 2" xfId="39711"/>
    <cellStyle name="Note 2 34 2 28" xfId="39712"/>
    <cellStyle name="Note 2 34 2 28 2" xfId="39713"/>
    <cellStyle name="Note 2 34 2 29" xfId="39714"/>
    <cellStyle name="Note 2 34 2 29 2" xfId="39715"/>
    <cellStyle name="Note 2 34 2 3" xfId="39716"/>
    <cellStyle name="Note 2 34 2 3 2" xfId="39717"/>
    <cellStyle name="Note 2 34 2 3 3" xfId="39718"/>
    <cellStyle name="Note 2 34 2 30" xfId="39719"/>
    <cellStyle name="Note 2 34 2 30 2" xfId="39720"/>
    <cellStyle name="Note 2 34 2 31" xfId="39721"/>
    <cellStyle name="Note 2 34 2 4" xfId="39722"/>
    <cellStyle name="Note 2 34 2 4 2" xfId="39723"/>
    <cellStyle name="Note 2 34 2 5" xfId="39724"/>
    <cellStyle name="Note 2 34 2 5 2" xfId="39725"/>
    <cellStyle name="Note 2 34 2 6" xfId="39726"/>
    <cellStyle name="Note 2 34 2 6 2" xfId="39727"/>
    <cellStyle name="Note 2 34 2 7" xfId="39728"/>
    <cellStyle name="Note 2 34 2 7 2" xfId="39729"/>
    <cellStyle name="Note 2 34 2 8" xfId="39730"/>
    <cellStyle name="Note 2 34 2 8 2" xfId="39731"/>
    <cellStyle name="Note 2 34 2 9" xfId="39732"/>
    <cellStyle name="Note 2 34 2 9 2" xfId="39733"/>
    <cellStyle name="Note 2 34 20" xfId="39734"/>
    <cellStyle name="Note 2 34 20 2" xfId="39735"/>
    <cellStyle name="Note 2 34 21" xfId="39736"/>
    <cellStyle name="Note 2 34 21 2" xfId="39737"/>
    <cellStyle name="Note 2 34 22" xfId="39738"/>
    <cellStyle name="Note 2 34 22 2" xfId="39739"/>
    <cellStyle name="Note 2 34 23" xfId="39740"/>
    <cellStyle name="Note 2 34 23 2" xfId="39741"/>
    <cellStyle name="Note 2 34 24" xfId="39742"/>
    <cellStyle name="Note 2 34 24 2" xfId="39743"/>
    <cellStyle name="Note 2 34 25" xfId="39744"/>
    <cellStyle name="Note 2 34 25 2" xfId="39745"/>
    <cellStyle name="Note 2 34 26" xfId="39746"/>
    <cellStyle name="Note 2 34 26 2" xfId="39747"/>
    <cellStyle name="Note 2 34 27" xfId="39748"/>
    <cellStyle name="Note 2 34 27 2" xfId="39749"/>
    <cellStyle name="Note 2 34 28" xfId="39750"/>
    <cellStyle name="Note 2 34 28 2" xfId="39751"/>
    <cellStyle name="Note 2 34 29" xfId="39752"/>
    <cellStyle name="Note 2 34 29 2" xfId="39753"/>
    <cellStyle name="Note 2 34 3" xfId="39754"/>
    <cellStyle name="Note 2 34 3 2" xfId="39755"/>
    <cellStyle name="Note 2 34 3 2 2" xfId="39756"/>
    <cellStyle name="Note 2 34 3 3" xfId="39757"/>
    <cellStyle name="Note 2 34 3 3 2" xfId="39758"/>
    <cellStyle name="Note 2 34 3 4" xfId="39759"/>
    <cellStyle name="Note 2 34 3 4 2" xfId="39760"/>
    <cellStyle name="Note 2 34 3 5" xfId="39761"/>
    <cellStyle name="Note 2 34 30" xfId="39762"/>
    <cellStyle name="Note 2 34 30 2" xfId="39763"/>
    <cellStyle name="Note 2 34 31" xfId="39764"/>
    <cellStyle name="Note 2 34 31 2" xfId="39765"/>
    <cellStyle name="Note 2 34 32" xfId="39766"/>
    <cellStyle name="Note 2 34 32 2" xfId="39767"/>
    <cellStyle name="Note 2 34 33" xfId="39768"/>
    <cellStyle name="Note 2 34 33 2" xfId="39769"/>
    <cellStyle name="Note 2 34 34" xfId="39770"/>
    <cellStyle name="Note 2 34 34 2" xfId="39771"/>
    <cellStyle name="Note 2 34 35" xfId="39772"/>
    <cellStyle name="Note 2 34 35 2" xfId="39773"/>
    <cellStyle name="Note 2 34 36" xfId="39774"/>
    <cellStyle name="Note 2 34 36 2" xfId="39775"/>
    <cellStyle name="Note 2 34 37" xfId="39776"/>
    <cellStyle name="Note 2 34 37 2" xfId="39777"/>
    <cellStyle name="Note 2 34 38" xfId="39778"/>
    <cellStyle name="Note 2 34 38 2" xfId="39779"/>
    <cellStyle name="Note 2 34 39" xfId="39780"/>
    <cellStyle name="Note 2 34 39 2" xfId="39781"/>
    <cellStyle name="Note 2 34 4" xfId="39782"/>
    <cellStyle name="Note 2 34 4 2" xfId="39783"/>
    <cellStyle name="Note 2 34 4 2 2" xfId="39784"/>
    <cellStyle name="Note 2 34 4 3" xfId="39785"/>
    <cellStyle name="Note 2 34 4 3 2" xfId="39786"/>
    <cellStyle name="Note 2 34 4 4" xfId="39787"/>
    <cellStyle name="Note 2 34 4 4 2" xfId="39788"/>
    <cellStyle name="Note 2 34 4 5" xfId="39789"/>
    <cellStyle name="Note 2 34 40" xfId="39790"/>
    <cellStyle name="Note 2 34 40 2" xfId="39791"/>
    <cellStyle name="Note 2 34 41" xfId="39792"/>
    <cellStyle name="Note 2 34 41 2" xfId="39793"/>
    <cellStyle name="Note 2 34 42" xfId="39794"/>
    <cellStyle name="Note 2 34 42 2" xfId="39795"/>
    <cellStyle name="Note 2 34 43" xfId="39796"/>
    <cellStyle name="Note 2 34 43 2" xfId="39797"/>
    <cellStyle name="Note 2 34 44" xfId="39798"/>
    <cellStyle name="Note 2 34 44 2" xfId="39799"/>
    <cellStyle name="Note 2 34 45" xfId="39800"/>
    <cellStyle name="Note 2 34 45 2" xfId="39801"/>
    <cellStyle name="Note 2 34 46" xfId="39802"/>
    <cellStyle name="Note 2 34 46 2" xfId="39803"/>
    <cellStyle name="Note 2 34 47" xfId="39804"/>
    <cellStyle name="Note 2 34 47 2" xfId="39805"/>
    <cellStyle name="Note 2 34 48" xfId="39806"/>
    <cellStyle name="Note 2 34 48 2" xfId="39807"/>
    <cellStyle name="Note 2 34 49" xfId="39808"/>
    <cellStyle name="Note 2 34 49 2" xfId="39809"/>
    <cellStyle name="Note 2 34 5" xfId="39810"/>
    <cellStyle name="Note 2 34 5 2" xfId="39811"/>
    <cellStyle name="Note 2 34 5 2 2" xfId="39812"/>
    <cellStyle name="Note 2 34 5 3" xfId="39813"/>
    <cellStyle name="Note 2 34 5 3 2" xfId="39814"/>
    <cellStyle name="Note 2 34 5 4" xfId="39815"/>
    <cellStyle name="Note 2 34 5 4 2" xfId="39816"/>
    <cellStyle name="Note 2 34 5 5" xfId="39817"/>
    <cellStyle name="Note 2 34 50" xfId="39818"/>
    <cellStyle name="Note 2 34 50 2" xfId="39819"/>
    <cellStyle name="Note 2 34 51" xfId="39820"/>
    <cellStyle name="Note 2 34 51 2" xfId="39821"/>
    <cellStyle name="Note 2 34 52" xfId="39822"/>
    <cellStyle name="Note 2 34 52 2" xfId="39823"/>
    <cellStyle name="Note 2 34 53" xfId="39824"/>
    <cellStyle name="Note 2 34 53 2" xfId="39825"/>
    <cellStyle name="Note 2 34 54" xfId="39826"/>
    <cellStyle name="Note 2 34 54 2" xfId="39827"/>
    <cellStyle name="Note 2 34 55" xfId="39828"/>
    <cellStyle name="Note 2 34 55 2" xfId="39829"/>
    <cellStyle name="Note 2 34 56" xfId="39830"/>
    <cellStyle name="Note 2 34 56 2" xfId="39831"/>
    <cellStyle name="Note 2 34 57" xfId="39832"/>
    <cellStyle name="Note 2 34 57 2" xfId="39833"/>
    <cellStyle name="Note 2 34 58" xfId="39834"/>
    <cellStyle name="Note 2 34 58 2" xfId="39835"/>
    <cellStyle name="Note 2 34 59" xfId="39836"/>
    <cellStyle name="Note 2 34 59 2" xfId="39837"/>
    <cellStyle name="Note 2 34 6" xfId="39838"/>
    <cellStyle name="Note 2 34 6 2" xfId="39839"/>
    <cellStyle name="Note 2 34 6 2 2" xfId="39840"/>
    <cellStyle name="Note 2 34 6 3" xfId="39841"/>
    <cellStyle name="Note 2 34 6 3 2" xfId="39842"/>
    <cellStyle name="Note 2 34 6 4" xfId="39843"/>
    <cellStyle name="Note 2 34 6 4 2" xfId="39844"/>
    <cellStyle name="Note 2 34 6 5" xfId="39845"/>
    <cellStyle name="Note 2 34 60" xfId="39846"/>
    <cellStyle name="Note 2 34 60 2" xfId="39847"/>
    <cellStyle name="Note 2 34 61" xfId="39848"/>
    <cellStyle name="Note 2 34 61 2" xfId="39849"/>
    <cellStyle name="Note 2 34 62" xfId="39850"/>
    <cellStyle name="Note 2 34 7" xfId="39851"/>
    <cellStyle name="Note 2 34 7 2" xfId="39852"/>
    <cellStyle name="Note 2 34 7 2 2" xfId="39853"/>
    <cellStyle name="Note 2 34 7 3" xfId="39854"/>
    <cellStyle name="Note 2 34 7 3 2" xfId="39855"/>
    <cellStyle name="Note 2 34 7 4" xfId="39856"/>
    <cellStyle name="Note 2 34 7 4 2" xfId="39857"/>
    <cellStyle name="Note 2 34 7 5" xfId="39858"/>
    <cellStyle name="Note 2 34 8" xfId="39859"/>
    <cellStyle name="Note 2 34 8 2" xfId="39860"/>
    <cellStyle name="Note 2 34 8 2 2" xfId="39861"/>
    <cellStyle name="Note 2 34 8 3" xfId="39862"/>
    <cellStyle name="Note 2 34 8 3 2" xfId="39863"/>
    <cellStyle name="Note 2 34 8 4" xfId="39864"/>
    <cellStyle name="Note 2 34 8 4 2" xfId="39865"/>
    <cellStyle name="Note 2 34 8 5" xfId="39866"/>
    <cellStyle name="Note 2 34 9" xfId="39867"/>
    <cellStyle name="Note 2 34 9 2" xfId="39868"/>
    <cellStyle name="Note 2 34 9 2 2" xfId="39869"/>
    <cellStyle name="Note 2 34 9 3" xfId="39870"/>
    <cellStyle name="Note 2 34 9 3 2" xfId="39871"/>
    <cellStyle name="Note 2 34 9 4" xfId="39872"/>
    <cellStyle name="Note 2 34 9 4 2" xfId="39873"/>
    <cellStyle name="Note 2 34 9 5" xfId="39874"/>
    <cellStyle name="Note 2 35" xfId="39875"/>
    <cellStyle name="Note 2 35 10" xfId="39876"/>
    <cellStyle name="Note 2 35 10 2" xfId="39877"/>
    <cellStyle name="Note 2 35 10 2 2" xfId="39878"/>
    <cellStyle name="Note 2 35 10 3" xfId="39879"/>
    <cellStyle name="Note 2 35 10 3 2" xfId="39880"/>
    <cellStyle name="Note 2 35 10 4" xfId="39881"/>
    <cellStyle name="Note 2 35 10 4 2" xfId="39882"/>
    <cellStyle name="Note 2 35 10 5" xfId="39883"/>
    <cellStyle name="Note 2 35 11" xfId="39884"/>
    <cellStyle name="Note 2 35 11 2" xfId="39885"/>
    <cellStyle name="Note 2 35 11 2 2" xfId="39886"/>
    <cellStyle name="Note 2 35 11 3" xfId="39887"/>
    <cellStyle name="Note 2 35 11 3 2" xfId="39888"/>
    <cellStyle name="Note 2 35 11 4" xfId="39889"/>
    <cellStyle name="Note 2 35 11 4 2" xfId="39890"/>
    <cellStyle name="Note 2 35 11 5" xfId="39891"/>
    <cellStyle name="Note 2 35 12" xfId="39892"/>
    <cellStyle name="Note 2 35 12 2" xfId="39893"/>
    <cellStyle name="Note 2 35 12 2 2" xfId="39894"/>
    <cellStyle name="Note 2 35 12 3" xfId="39895"/>
    <cellStyle name="Note 2 35 12 3 2" xfId="39896"/>
    <cellStyle name="Note 2 35 12 4" xfId="39897"/>
    <cellStyle name="Note 2 35 12 4 2" xfId="39898"/>
    <cellStyle name="Note 2 35 12 5" xfId="39899"/>
    <cellStyle name="Note 2 35 13" xfId="39900"/>
    <cellStyle name="Note 2 35 13 2" xfId="39901"/>
    <cellStyle name="Note 2 35 13 2 2" xfId="39902"/>
    <cellStyle name="Note 2 35 13 3" xfId="39903"/>
    <cellStyle name="Note 2 35 13 3 2" xfId="39904"/>
    <cellStyle name="Note 2 35 13 4" xfId="39905"/>
    <cellStyle name="Note 2 35 13 4 2" xfId="39906"/>
    <cellStyle name="Note 2 35 13 5" xfId="39907"/>
    <cellStyle name="Note 2 35 14" xfId="39908"/>
    <cellStyle name="Note 2 35 14 2" xfId="39909"/>
    <cellStyle name="Note 2 35 14 2 2" xfId="39910"/>
    <cellStyle name="Note 2 35 14 3" xfId="39911"/>
    <cellStyle name="Note 2 35 14 3 2" xfId="39912"/>
    <cellStyle name="Note 2 35 14 4" xfId="39913"/>
    <cellStyle name="Note 2 35 14 4 2" xfId="39914"/>
    <cellStyle name="Note 2 35 14 5" xfId="39915"/>
    <cellStyle name="Note 2 35 15" xfId="39916"/>
    <cellStyle name="Note 2 35 15 2" xfId="39917"/>
    <cellStyle name="Note 2 35 16" xfId="39918"/>
    <cellStyle name="Note 2 35 16 2" xfId="39919"/>
    <cellStyle name="Note 2 35 17" xfId="39920"/>
    <cellStyle name="Note 2 35 17 2" xfId="39921"/>
    <cellStyle name="Note 2 35 18" xfId="39922"/>
    <cellStyle name="Note 2 35 18 2" xfId="39923"/>
    <cellStyle name="Note 2 35 19" xfId="39924"/>
    <cellStyle name="Note 2 35 19 2" xfId="39925"/>
    <cellStyle name="Note 2 35 2" xfId="39926"/>
    <cellStyle name="Note 2 35 2 10" xfId="39927"/>
    <cellStyle name="Note 2 35 2 10 2" xfId="39928"/>
    <cellStyle name="Note 2 35 2 11" xfId="39929"/>
    <cellStyle name="Note 2 35 2 11 2" xfId="39930"/>
    <cellStyle name="Note 2 35 2 12" xfId="39931"/>
    <cellStyle name="Note 2 35 2 12 2" xfId="39932"/>
    <cellStyle name="Note 2 35 2 13" xfId="39933"/>
    <cellStyle name="Note 2 35 2 13 2" xfId="39934"/>
    <cellStyle name="Note 2 35 2 14" xfId="39935"/>
    <cellStyle name="Note 2 35 2 14 2" xfId="39936"/>
    <cellStyle name="Note 2 35 2 15" xfId="39937"/>
    <cellStyle name="Note 2 35 2 15 2" xfId="39938"/>
    <cellStyle name="Note 2 35 2 16" xfId="39939"/>
    <cellStyle name="Note 2 35 2 16 2" xfId="39940"/>
    <cellStyle name="Note 2 35 2 17" xfId="39941"/>
    <cellStyle name="Note 2 35 2 17 2" xfId="39942"/>
    <cellStyle name="Note 2 35 2 18" xfId="39943"/>
    <cellStyle name="Note 2 35 2 18 2" xfId="39944"/>
    <cellStyle name="Note 2 35 2 19" xfId="39945"/>
    <cellStyle name="Note 2 35 2 19 2" xfId="39946"/>
    <cellStyle name="Note 2 35 2 2" xfId="39947"/>
    <cellStyle name="Note 2 35 2 2 2" xfId="39948"/>
    <cellStyle name="Note 2 35 2 2 3" xfId="39949"/>
    <cellStyle name="Note 2 35 2 20" xfId="39950"/>
    <cellStyle name="Note 2 35 2 20 2" xfId="39951"/>
    <cellStyle name="Note 2 35 2 21" xfId="39952"/>
    <cellStyle name="Note 2 35 2 21 2" xfId="39953"/>
    <cellStyle name="Note 2 35 2 22" xfId="39954"/>
    <cellStyle name="Note 2 35 2 22 2" xfId="39955"/>
    <cellStyle name="Note 2 35 2 23" xfId="39956"/>
    <cellStyle name="Note 2 35 2 23 2" xfId="39957"/>
    <cellStyle name="Note 2 35 2 24" xfId="39958"/>
    <cellStyle name="Note 2 35 2 24 2" xfId="39959"/>
    <cellStyle name="Note 2 35 2 25" xfId="39960"/>
    <cellStyle name="Note 2 35 2 25 2" xfId="39961"/>
    <cellStyle name="Note 2 35 2 26" xfId="39962"/>
    <cellStyle name="Note 2 35 2 26 2" xfId="39963"/>
    <cellStyle name="Note 2 35 2 27" xfId="39964"/>
    <cellStyle name="Note 2 35 2 27 2" xfId="39965"/>
    <cellStyle name="Note 2 35 2 28" xfId="39966"/>
    <cellStyle name="Note 2 35 2 28 2" xfId="39967"/>
    <cellStyle name="Note 2 35 2 29" xfId="39968"/>
    <cellStyle name="Note 2 35 2 29 2" xfId="39969"/>
    <cellStyle name="Note 2 35 2 3" xfId="39970"/>
    <cellStyle name="Note 2 35 2 3 2" xfId="39971"/>
    <cellStyle name="Note 2 35 2 3 3" xfId="39972"/>
    <cellStyle name="Note 2 35 2 30" xfId="39973"/>
    <cellStyle name="Note 2 35 2 30 2" xfId="39974"/>
    <cellStyle name="Note 2 35 2 31" xfId="39975"/>
    <cellStyle name="Note 2 35 2 4" xfId="39976"/>
    <cellStyle name="Note 2 35 2 4 2" xfId="39977"/>
    <cellStyle name="Note 2 35 2 5" xfId="39978"/>
    <cellStyle name="Note 2 35 2 5 2" xfId="39979"/>
    <cellStyle name="Note 2 35 2 6" xfId="39980"/>
    <cellStyle name="Note 2 35 2 6 2" xfId="39981"/>
    <cellStyle name="Note 2 35 2 7" xfId="39982"/>
    <cellStyle name="Note 2 35 2 7 2" xfId="39983"/>
    <cellStyle name="Note 2 35 2 8" xfId="39984"/>
    <cellStyle name="Note 2 35 2 8 2" xfId="39985"/>
    <cellStyle name="Note 2 35 2 9" xfId="39986"/>
    <cellStyle name="Note 2 35 2 9 2" xfId="39987"/>
    <cellStyle name="Note 2 35 20" xfId="39988"/>
    <cellStyle name="Note 2 35 20 2" xfId="39989"/>
    <cellStyle name="Note 2 35 21" xfId="39990"/>
    <cellStyle name="Note 2 35 21 2" xfId="39991"/>
    <cellStyle name="Note 2 35 22" xfId="39992"/>
    <cellStyle name="Note 2 35 22 2" xfId="39993"/>
    <cellStyle name="Note 2 35 23" xfId="39994"/>
    <cellStyle name="Note 2 35 23 2" xfId="39995"/>
    <cellStyle name="Note 2 35 24" xfId="39996"/>
    <cellStyle name="Note 2 35 24 2" xfId="39997"/>
    <cellStyle name="Note 2 35 25" xfId="39998"/>
    <cellStyle name="Note 2 35 25 2" xfId="39999"/>
    <cellStyle name="Note 2 35 26" xfId="40000"/>
    <cellStyle name="Note 2 35 26 2" xfId="40001"/>
    <cellStyle name="Note 2 35 27" xfId="40002"/>
    <cellStyle name="Note 2 35 27 2" xfId="40003"/>
    <cellStyle name="Note 2 35 28" xfId="40004"/>
    <cellStyle name="Note 2 35 28 2" xfId="40005"/>
    <cellStyle name="Note 2 35 29" xfId="40006"/>
    <cellStyle name="Note 2 35 29 2" xfId="40007"/>
    <cellStyle name="Note 2 35 3" xfId="40008"/>
    <cellStyle name="Note 2 35 3 2" xfId="40009"/>
    <cellStyle name="Note 2 35 3 2 2" xfId="40010"/>
    <cellStyle name="Note 2 35 3 3" xfId="40011"/>
    <cellStyle name="Note 2 35 3 3 2" xfId="40012"/>
    <cellStyle name="Note 2 35 3 4" xfId="40013"/>
    <cellStyle name="Note 2 35 3 4 2" xfId="40014"/>
    <cellStyle name="Note 2 35 3 5" xfId="40015"/>
    <cellStyle name="Note 2 35 30" xfId="40016"/>
    <cellStyle name="Note 2 35 30 2" xfId="40017"/>
    <cellStyle name="Note 2 35 31" xfId="40018"/>
    <cellStyle name="Note 2 35 31 2" xfId="40019"/>
    <cellStyle name="Note 2 35 32" xfId="40020"/>
    <cellStyle name="Note 2 35 32 2" xfId="40021"/>
    <cellStyle name="Note 2 35 33" xfId="40022"/>
    <cellStyle name="Note 2 35 33 2" xfId="40023"/>
    <cellStyle name="Note 2 35 34" xfId="40024"/>
    <cellStyle name="Note 2 35 34 2" xfId="40025"/>
    <cellStyle name="Note 2 35 35" xfId="40026"/>
    <cellStyle name="Note 2 35 35 2" xfId="40027"/>
    <cellStyle name="Note 2 35 36" xfId="40028"/>
    <cellStyle name="Note 2 35 36 2" xfId="40029"/>
    <cellStyle name="Note 2 35 37" xfId="40030"/>
    <cellStyle name="Note 2 35 37 2" xfId="40031"/>
    <cellStyle name="Note 2 35 38" xfId="40032"/>
    <cellStyle name="Note 2 35 38 2" xfId="40033"/>
    <cellStyle name="Note 2 35 39" xfId="40034"/>
    <cellStyle name="Note 2 35 39 2" xfId="40035"/>
    <cellStyle name="Note 2 35 4" xfId="40036"/>
    <cellStyle name="Note 2 35 4 2" xfId="40037"/>
    <cellStyle name="Note 2 35 4 2 2" xfId="40038"/>
    <cellStyle name="Note 2 35 4 3" xfId="40039"/>
    <cellStyle name="Note 2 35 4 3 2" xfId="40040"/>
    <cellStyle name="Note 2 35 4 4" xfId="40041"/>
    <cellStyle name="Note 2 35 4 4 2" xfId="40042"/>
    <cellStyle name="Note 2 35 4 5" xfId="40043"/>
    <cellStyle name="Note 2 35 40" xfId="40044"/>
    <cellStyle name="Note 2 35 40 2" xfId="40045"/>
    <cellStyle name="Note 2 35 41" xfId="40046"/>
    <cellStyle name="Note 2 35 41 2" xfId="40047"/>
    <cellStyle name="Note 2 35 42" xfId="40048"/>
    <cellStyle name="Note 2 35 42 2" xfId="40049"/>
    <cellStyle name="Note 2 35 43" xfId="40050"/>
    <cellStyle name="Note 2 35 43 2" xfId="40051"/>
    <cellStyle name="Note 2 35 44" xfId="40052"/>
    <cellStyle name="Note 2 35 44 2" xfId="40053"/>
    <cellStyle name="Note 2 35 45" xfId="40054"/>
    <cellStyle name="Note 2 35 45 2" xfId="40055"/>
    <cellStyle name="Note 2 35 46" xfId="40056"/>
    <cellStyle name="Note 2 35 46 2" xfId="40057"/>
    <cellStyle name="Note 2 35 47" xfId="40058"/>
    <cellStyle name="Note 2 35 47 2" xfId="40059"/>
    <cellStyle name="Note 2 35 48" xfId="40060"/>
    <cellStyle name="Note 2 35 48 2" xfId="40061"/>
    <cellStyle name="Note 2 35 49" xfId="40062"/>
    <cellStyle name="Note 2 35 49 2" xfId="40063"/>
    <cellStyle name="Note 2 35 5" xfId="40064"/>
    <cellStyle name="Note 2 35 5 2" xfId="40065"/>
    <cellStyle name="Note 2 35 5 2 2" xfId="40066"/>
    <cellStyle name="Note 2 35 5 3" xfId="40067"/>
    <cellStyle name="Note 2 35 5 3 2" xfId="40068"/>
    <cellStyle name="Note 2 35 5 4" xfId="40069"/>
    <cellStyle name="Note 2 35 5 4 2" xfId="40070"/>
    <cellStyle name="Note 2 35 5 5" xfId="40071"/>
    <cellStyle name="Note 2 35 50" xfId="40072"/>
    <cellStyle name="Note 2 35 50 2" xfId="40073"/>
    <cellStyle name="Note 2 35 51" xfId="40074"/>
    <cellStyle name="Note 2 35 51 2" xfId="40075"/>
    <cellStyle name="Note 2 35 52" xfId="40076"/>
    <cellStyle name="Note 2 35 52 2" xfId="40077"/>
    <cellStyle name="Note 2 35 53" xfId="40078"/>
    <cellStyle name="Note 2 35 53 2" xfId="40079"/>
    <cellStyle name="Note 2 35 54" xfId="40080"/>
    <cellStyle name="Note 2 35 54 2" xfId="40081"/>
    <cellStyle name="Note 2 35 55" xfId="40082"/>
    <cellStyle name="Note 2 35 55 2" xfId="40083"/>
    <cellStyle name="Note 2 35 56" xfId="40084"/>
    <cellStyle name="Note 2 35 56 2" xfId="40085"/>
    <cellStyle name="Note 2 35 57" xfId="40086"/>
    <cellStyle name="Note 2 35 57 2" xfId="40087"/>
    <cellStyle name="Note 2 35 58" xfId="40088"/>
    <cellStyle name="Note 2 35 58 2" xfId="40089"/>
    <cellStyle name="Note 2 35 59" xfId="40090"/>
    <cellStyle name="Note 2 35 59 2" xfId="40091"/>
    <cellStyle name="Note 2 35 6" xfId="40092"/>
    <cellStyle name="Note 2 35 6 2" xfId="40093"/>
    <cellStyle name="Note 2 35 6 2 2" xfId="40094"/>
    <cellStyle name="Note 2 35 6 3" xfId="40095"/>
    <cellStyle name="Note 2 35 6 3 2" xfId="40096"/>
    <cellStyle name="Note 2 35 6 4" xfId="40097"/>
    <cellStyle name="Note 2 35 6 4 2" xfId="40098"/>
    <cellStyle name="Note 2 35 6 5" xfId="40099"/>
    <cellStyle name="Note 2 35 60" xfId="40100"/>
    <cellStyle name="Note 2 35 60 2" xfId="40101"/>
    <cellStyle name="Note 2 35 61" xfId="40102"/>
    <cellStyle name="Note 2 35 61 2" xfId="40103"/>
    <cellStyle name="Note 2 35 62" xfId="40104"/>
    <cellStyle name="Note 2 35 7" xfId="40105"/>
    <cellStyle name="Note 2 35 7 2" xfId="40106"/>
    <cellStyle name="Note 2 35 7 2 2" xfId="40107"/>
    <cellStyle name="Note 2 35 7 3" xfId="40108"/>
    <cellStyle name="Note 2 35 7 3 2" xfId="40109"/>
    <cellStyle name="Note 2 35 7 4" xfId="40110"/>
    <cellStyle name="Note 2 35 7 4 2" xfId="40111"/>
    <cellStyle name="Note 2 35 7 5" xfId="40112"/>
    <cellStyle name="Note 2 35 8" xfId="40113"/>
    <cellStyle name="Note 2 35 8 2" xfId="40114"/>
    <cellStyle name="Note 2 35 8 2 2" xfId="40115"/>
    <cellStyle name="Note 2 35 8 3" xfId="40116"/>
    <cellStyle name="Note 2 35 8 3 2" xfId="40117"/>
    <cellStyle name="Note 2 35 8 4" xfId="40118"/>
    <cellStyle name="Note 2 35 8 4 2" xfId="40119"/>
    <cellStyle name="Note 2 35 8 5" xfId="40120"/>
    <cellStyle name="Note 2 35 9" xfId="40121"/>
    <cellStyle name="Note 2 35 9 2" xfId="40122"/>
    <cellStyle name="Note 2 35 9 2 2" xfId="40123"/>
    <cellStyle name="Note 2 35 9 3" xfId="40124"/>
    <cellStyle name="Note 2 35 9 3 2" xfId="40125"/>
    <cellStyle name="Note 2 35 9 4" xfId="40126"/>
    <cellStyle name="Note 2 35 9 4 2" xfId="40127"/>
    <cellStyle name="Note 2 35 9 5" xfId="40128"/>
    <cellStyle name="Note 2 36" xfId="40129"/>
    <cellStyle name="Note 2 36 10" xfId="40130"/>
    <cellStyle name="Note 2 36 10 2" xfId="40131"/>
    <cellStyle name="Note 2 36 10 2 2" xfId="40132"/>
    <cellStyle name="Note 2 36 10 3" xfId="40133"/>
    <cellStyle name="Note 2 36 10 3 2" xfId="40134"/>
    <cellStyle name="Note 2 36 10 4" xfId="40135"/>
    <cellStyle name="Note 2 36 10 4 2" xfId="40136"/>
    <cellStyle name="Note 2 36 10 5" xfId="40137"/>
    <cellStyle name="Note 2 36 11" xfId="40138"/>
    <cellStyle name="Note 2 36 11 2" xfId="40139"/>
    <cellStyle name="Note 2 36 11 2 2" xfId="40140"/>
    <cellStyle name="Note 2 36 11 3" xfId="40141"/>
    <cellStyle name="Note 2 36 11 3 2" xfId="40142"/>
    <cellStyle name="Note 2 36 11 4" xfId="40143"/>
    <cellStyle name="Note 2 36 11 4 2" xfId="40144"/>
    <cellStyle name="Note 2 36 11 5" xfId="40145"/>
    <cellStyle name="Note 2 36 12" xfId="40146"/>
    <cellStyle name="Note 2 36 12 2" xfId="40147"/>
    <cellStyle name="Note 2 36 12 2 2" xfId="40148"/>
    <cellStyle name="Note 2 36 12 3" xfId="40149"/>
    <cellStyle name="Note 2 36 12 3 2" xfId="40150"/>
    <cellStyle name="Note 2 36 12 4" xfId="40151"/>
    <cellStyle name="Note 2 36 12 4 2" xfId="40152"/>
    <cellStyle name="Note 2 36 12 5" xfId="40153"/>
    <cellStyle name="Note 2 36 13" xfId="40154"/>
    <cellStyle name="Note 2 36 13 2" xfId="40155"/>
    <cellStyle name="Note 2 36 13 2 2" xfId="40156"/>
    <cellStyle name="Note 2 36 13 3" xfId="40157"/>
    <cellStyle name="Note 2 36 13 3 2" xfId="40158"/>
    <cellStyle name="Note 2 36 13 4" xfId="40159"/>
    <cellStyle name="Note 2 36 13 4 2" xfId="40160"/>
    <cellStyle name="Note 2 36 13 5" xfId="40161"/>
    <cellStyle name="Note 2 36 14" xfId="40162"/>
    <cellStyle name="Note 2 36 14 2" xfId="40163"/>
    <cellStyle name="Note 2 36 14 2 2" xfId="40164"/>
    <cellStyle name="Note 2 36 14 3" xfId="40165"/>
    <cellStyle name="Note 2 36 14 3 2" xfId="40166"/>
    <cellStyle name="Note 2 36 14 4" xfId="40167"/>
    <cellStyle name="Note 2 36 14 4 2" xfId="40168"/>
    <cellStyle name="Note 2 36 14 5" xfId="40169"/>
    <cellStyle name="Note 2 36 15" xfId="40170"/>
    <cellStyle name="Note 2 36 15 2" xfId="40171"/>
    <cellStyle name="Note 2 36 16" xfId="40172"/>
    <cellStyle name="Note 2 36 16 2" xfId="40173"/>
    <cellStyle name="Note 2 36 17" xfId="40174"/>
    <cellStyle name="Note 2 36 17 2" xfId="40175"/>
    <cellStyle name="Note 2 36 18" xfId="40176"/>
    <cellStyle name="Note 2 36 18 2" xfId="40177"/>
    <cellStyle name="Note 2 36 19" xfId="40178"/>
    <cellStyle name="Note 2 36 19 2" xfId="40179"/>
    <cellStyle name="Note 2 36 2" xfId="40180"/>
    <cellStyle name="Note 2 36 2 10" xfId="40181"/>
    <cellStyle name="Note 2 36 2 10 2" xfId="40182"/>
    <cellStyle name="Note 2 36 2 11" xfId="40183"/>
    <cellStyle name="Note 2 36 2 11 2" xfId="40184"/>
    <cellStyle name="Note 2 36 2 12" xfId="40185"/>
    <cellStyle name="Note 2 36 2 12 2" xfId="40186"/>
    <cellStyle name="Note 2 36 2 13" xfId="40187"/>
    <cellStyle name="Note 2 36 2 13 2" xfId="40188"/>
    <cellStyle name="Note 2 36 2 14" xfId="40189"/>
    <cellStyle name="Note 2 36 2 14 2" xfId="40190"/>
    <cellStyle name="Note 2 36 2 15" xfId="40191"/>
    <cellStyle name="Note 2 36 2 15 2" xfId="40192"/>
    <cellStyle name="Note 2 36 2 16" xfId="40193"/>
    <cellStyle name="Note 2 36 2 16 2" xfId="40194"/>
    <cellStyle name="Note 2 36 2 17" xfId="40195"/>
    <cellStyle name="Note 2 36 2 17 2" xfId="40196"/>
    <cellStyle name="Note 2 36 2 18" xfId="40197"/>
    <cellStyle name="Note 2 36 2 18 2" xfId="40198"/>
    <cellStyle name="Note 2 36 2 19" xfId="40199"/>
    <cellStyle name="Note 2 36 2 19 2" xfId="40200"/>
    <cellStyle name="Note 2 36 2 2" xfId="40201"/>
    <cellStyle name="Note 2 36 2 2 2" xfId="40202"/>
    <cellStyle name="Note 2 36 2 2 3" xfId="40203"/>
    <cellStyle name="Note 2 36 2 20" xfId="40204"/>
    <cellStyle name="Note 2 36 2 20 2" xfId="40205"/>
    <cellStyle name="Note 2 36 2 21" xfId="40206"/>
    <cellStyle name="Note 2 36 2 21 2" xfId="40207"/>
    <cellStyle name="Note 2 36 2 22" xfId="40208"/>
    <cellStyle name="Note 2 36 2 22 2" xfId="40209"/>
    <cellStyle name="Note 2 36 2 23" xfId="40210"/>
    <cellStyle name="Note 2 36 2 23 2" xfId="40211"/>
    <cellStyle name="Note 2 36 2 24" xfId="40212"/>
    <cellStyle name="Note 2 36 2 24 2" xfId="40213"/>
    <cellStyle name="Note 2 36 2 25" xfId="40214"/>
    <cellStyle name="Note 2 36 2 25 2" xfId="40215"/>
    <cellStyle name="Note 2 36 2 26" xfId="40216"/>
    <cellStyle name="Note 2 36 2 26 2" xfId="40217"/>
    <cellStyle name="Note 2 36 2 27" xfId="40218"/>
    <cellStyle name="Note 2 36 2 27 2" xfId="40219"/>
    <cellStyle name="Note 2 36 2 28" xfId="40220"/>
    <cellStyle name="Note 2 36 2 28 2" xfId="40221"/>
    <cellStyle name="Note 2 36 2 29" xfId="40222"/>
    <cellStyle name="Note 2 36 2 29 2" xfId="40223"/>
    <cellStyle name="Note 2 36 2 3" xfId="40224"/>
    <cellStyle name="Note 2 36 2 3 2" xfId="40225"/>
    <cellStyle name="Note 2 36 2 3 3" xfId="40226"/>
    <cellStyle name="Note 2 36 2 30" xfId="40227"/>
    <cellStyle name="Note 2 36 2 30 2" xfId="40228"/>
    <cellStyle name="Note 2 36 2 31" xfId="40229"/>
    <cellStyle name="Note 2 36 2 4" xfId="40230"/>
    <cellStyle name="Note 2 36 2 4 2" xfId="40231"/>
    <cellStyle name="Note 2 36 2 5" xfId="40232"/>
    <cellStyle name="Note 2 36 2 5 2" xfId="40233"/>
    <cellStyle name="Note 2 36 2 6" xfId="40234"/>
    <cellStyle name="Note 2 36 2 6 2" xfId="40235"/>
    <cellStyle name="Note 2 36 2 7" xfId="40236"/>
    <cellStyle name="Note 2 36 2 7 2" xfId="40237"/>
    <cellStyle name="Note 2 36 2 8" xfId="40238"/>
    <cellStyle name="Note 2 36 2 8 2" xfId="40239"/>
    <cellStyle name="Note 2 36 2 9" xfId="40240"/>
    <cellStyle name="Note 2 36 2 9 2" xfId="40241"/>
    <cellStyle name="Note 2 36 20" xfId="40242"/>
    <cellStyle name="Note 2 36 20 2" xfId="40243"/>
    <cellStyle name="Note 2 36 21" xfId="40244"/>
    <cellStyle name="Note 2 36 21 2" xfId="40245"/>
    <cellStyle name="Note 2 36 22" xfId="40246"/>
    <cellStyle name="Note 2 36 22 2" xfId="40247"/>
    <cellStyle name="Note 2 36 23" xfId="40248"/>
    <cellStyle name="Note 2 36 23 2" xfId="40249"/>
    <cellStyle name="Note 2 36 24" xfId="40250"/>
    <cellStyle name="Note 2 36 24 2" xfId="40251"/>
    <cellStyle name="Note 2 36 25" xfId="40252"/>
    <cellStyle name="Note 2 36 25 2" xfId="40253"/>
    <cellStyle name="Note 2 36 26" xfId="40254"/>
    <cellStyle name="Note 2 36 26 2" xfId="40255"/>
    <cellStyle name="Note 2 36 27" xfId="40256"/>
    <cellStyle name="Note 2 36 27 2" xfId="40257"/>
    <cellStyle name="Note 2 36 28" xfId="40258"/>
    <cellStyle name="Note 2 36 28 2" xfId="40259"/>
    <cellStyle name="Note 2 36 29" xfId="40260"/>
    <cellStyle name="Note 2 36 29 2" xfId="40261"/>
    <cellStyle name="Note 2 36 3" xfId="40262"/>
    <cellStyle name="Note 2 36 3 2" xfId="40263"/>
    <cellStyle name="Note 2 36 3 2 2" xfId="40264"/>
    <cellStyle name="Note 2 36 3 3" xfId="40265"/>
    <cellStyle name="Note 2 36 3 3 2" xfId="40266"/>
    <cellStyle name="Note 2 36 3 4" xfId="40267"/>
    <cellStyle name="Note 2 36 3 4 2" xfId="40268"/>
    <cellStyle name="Note 2 36 3 5" xfId="40269"/>
    <cellStyle name="Note 2 36 30" xfId="40270"/>
    <cellStyle name="Note 2 36 30 2" xfId="40271"/>
    <cellStyle name="Note 2 36 31" xfId="40272"/>
    <cellStyle name="Note 2 36 31 2" xfId="40273"/>
    <cellStyle name="Note 2 36 32" xfId="40274"/>
    <cellStyle name="Note 2 36 32 2" xfId="40275"/>
    <cellStyle name="Note 2 36 33" xfId="40276"/>
    <cellStyle name="Note 2 36 33 2" xfId="40277"/>
    <cellStyle name="Note 2 36 34" xfId="40278"/>
    <cellStyle name="Note 2 36 34 2" xfId="40279"/>
    <cellStyle name="Note 2 36 35" xfId="40280"/>
    <cellStyle name="Note 2 36 35 2" xfId="40281"/>
    <cellStyle name="Note 2 36 36" xfId="40282"/>
    <cellStyle name="Note 2 36 36 2" xfId="40283"/>
    <cellStyle name="Note 2 36 37" xfId="40284"/>
    <cellStyle name="Note 2 36 37 2" xfId="40285"/>
    <cellStyle name="Note 2 36 38" xfId="40286"/>
    <cellStyle name="Note 2 36 38 2" xfId="40287"/>
    <cellStyle name="Note 2 36 39" xfId="40288"/>
    <cellStyle name="Note 2 36 39 2" xfId="40289"/>
    <cellStyle name="Note 2 36 4" xfId="40290"/>
    <cellStyle name="Note 2 36 4 2" xfId="40291"/>
    <cellStyle name="Note 2 36 4 2 2" xfId="40292"/>
    <cellStyle name="Note 2 36 4 3" xfId="40293"/>
    <cellStyle name="Note 2 36 4 3 2" xfId="40294"/>
    <cellStyle name="Note 2 36 4 4" xfId="40295"/>
    <cellStyle name="Note 2 36 4 4 2" xfId="40296"/>
    <cellStyle name="Note 2 36 4 5" xfId="40297"/>
    <cellStyle name="Note 2 36 40" xfId="40298"/>
    <cellStyle name="Note 2 36 40 2" xfId="40299"/>
    <cellStyle name="Note 2 36 41" xfId="40300"/>
    <cellStyle name="Note 2 36 41 2" xfId="40301"/>
    <cellStyle name="Note 2 36 42" xfId="40302"/>
    <cellStyle name="Note 2 36 42 2" xfId="40303"/>
    <cellStyle name="Note 2 36 43" xfId="40304"/>
    <cellStyle name="Note 2 36 43 2" xfId="40305"/>
    <cellStyle name="Note 2 36 44" xfId="40306"/>
    <cellStyle name="Note 2 36 44 2" xfId="40307"/>
    <cellStyle name="Note 2 36 45" xfId="40308"/>
    <cellStyle name="Note 2 36 45 2" xfId="40309"/>
    <cellStyle name="Note 2 36 46" xfId="40310"/>
    <cellStyle name="Note 2 36 46 2" xfId="40311"/>
    <cellStyle name="Note 2 36 47" xfId="40312"/>
    <cellStyle name="Note 2 36 47 2" xfId="40313"/>
    <cellStyle name="Note 2 36 48" xfId="40314"/>
    <cellStyle name="Note 2 36 48 2" xfId="40315"/>
    <cellStyle name="Note 2 36 49" xfId="40316"/>
    <cellStyle name="Note 2 36 49 2" xfId="40317"/>
    <cellStyle name="Note 2 36 5" xfId="40318"/>
    <cellStyle name="Note 2 36 5 2" xfId="40319"/>
    <cellStyle name="Note 2 36 5 2 2" xfId="40320"/>
    <cellStyle name="Note 2 36 5 3" xfId="40321"/>
    <cellStyle name="Note 2 36 5 3 2" xfId="40322"/>
    <cellStyle name="Note 2 36 5 4" xfId="40323"/>
    <cellStyle name="Note 2 36 5 4 2" xfId="40324"/>
    <cellStyle name="Note 2 36 5 5" xfId="40325"/>
    <cellStyle name="Note 2 36 50" xfId="40326"/>
    <cellStyle name="Note 2 36 50 2" xfId="40327"/>
    <cellStyle name="Note 2 36 51" xfId="40328"/>
    <cellStyle name="Note 2 36 51 2" xfId="40329"/>
    <cellStyle name="Note 2 36 52" xfId="40330"/>
    <cellStyle name="Note 2 36 52 2" xfId="40331"/>
    <cellStyle name="Note 2 36 53" xfId="40332"/>
    <cellStyle name="Note 2 36 53 2" xfId="40333"/>
    <cellStyle name="Note 2 36 54" xfId="40334"/>
    <cellStyle name="Note 2 36 54 2" xfId="40335"/>
    <cellStyle name="Note 2 36 55" xfId="40336"/>
    <cellStyle name="Note 2 36 55 2" xfId="40337"/>
    <cellStyle name="Note 2 36 56" xfId="40338"/>
    <cellStyle name="Note 2 36 56 2" xfId="40339"/>
    <cellStyle name="Note 2 36 57" xfId="40340"/>
    <cellStyle name="Note 2 36 57 2" xfId="40341"/>
    <cellStyle name="Note 2 36 58" xfId="40342"/>
    <cellStyle name="Note 2 36 58 2" xfId="40343"/>
    <cellStyle name="Note 2 36 59" xfId="40344"/>
    <cellStyle name="Note 2 36 59 2" xfId="40345"/>
    <cellStyle name="Note 2 36 6" xfId="40346"/>
    <cellStyle name="Note 2 36 6 2" xfId="40347"/>
    <cellStyle name="Note 2 36 6 2 2" xfId="40348"/>
    <cellStyle name="Note 2 36 6 3" xfId="40349"/>
    <cellStyle name="Note 2 36 6 3 2" xfId="40350"/>
    <cellStyle name="Note 2 36 6 4" xfId="40351"/>
    <cellStyle name="Note 2 36 6 4 2" xfId="40352"/>
    <cellStyle name="Note 2 36 6 5" xfId="40353"/>
    <cellStyle name="Note 2 36 60" xfId="40354"/>
    <cellStyle name="Note 2 36 60 2" xfId="40355"/>
    <cellStyle name="Note 2 36 61" xfId="40356"/>
    <cellStyle name="Note 2 36 61 2" xfId="40357"/>
    <cellStyle name="Note 2 36 62" xfId="40358"/>
    <cellStyle name="Note 2 36 7" xfId="40359"/>
    <cellStyle name="Note 2 36 7 2" xfId="40360"/>
    <cellStyle name="Note 2 36 7 2 2" xfId="40361"/>
    <cellStyle name="Note 2 36 7 3" xfId="40362"/>
    <cellStyle name="Note 2 36 7 3 2" xfId="40363"/>
    <cellStyle name="Note 2 36 7 4" xfId="40364"/>
    <cellStyle name="Note 2 36 7 4 2" xfId="40365"/>
    <cellStyle name="Note 2 36 7 5" xfId="40366"/>
    <cellStyle name="Note 2 36 8" xfId="40367"/>
    <cellStyle name="Note 2 36 8 2" xfId="40368"/>
    <cellStyle name="Note 2 36 8 2 2" xfId="40369"/>
    <cellStyle name="Note 2 36 8 3" xfId="40370"/>
    <cellStyle name="Note 2 36 8 3 2" xfId="40371"/>
    <cellStyle name="Note 2 36 8 4" xfId="40372"/>
    <cellStyle name="Note 2 36 8 4 2" xfId="40373"/>
    <cellStyle name="Note 2 36 8 5" xfId="40374"/>
    <cellStyle name="Note 2 36 9" xfId="40375"/>
    <cellStyle name="Note 2 36 9 2" xfId="40376"/>
    <cellStyle name="Note 2 36 9 2 2" xfId="40377"/>
    <cellStyle name="Note 2 36 9 3" xfId="40378"/>
    <cellStyle name="Note 2 36 9 3 2" xfId="40379"/>
    <cellStyle name="Note 2 36 9 4" xfId="40380"/>
    <cellStyle name="Note 2 36 9 4 2" xfId="40381"/>
    <cellStyle name="Note 2 36 9 5" xfId="40382"/>
    <cellStyle name="Note 2 37" xfId="40383"/>
    <cellStyle name="Note 2 37 10" xfId="40384"/>
    <cellStyle name="Note 2 37 10 2" xfId="40385"/>
    <cellStyle name="Note 2 37 10 2 2" xfId="40386"/>
    <cellStyle name="Note 2 37 10 3" xfId="40387"/>
    <cellStyle name="Note 2 37 10 3 2" xfId="40388"/>
    <cellStyle name="Note 2 37 10 4" xfId="40389"/>
    <cellStyle name="Note 2 37 10 4 2" xfId="40390"/>
    <cellStyle name="Note 2 37 10 5" xfId="40391"/>
    <cellStyle name="Note 2 37 11" xfId="40392"/>
    <cellStyle name="Note 2 37 11 2" xfId="40393"/>
    <cellStyle name="Note 2 37 11 2 2" xfId="40394"/>
    <cellStyle name="Note 2 37 11 3" xfId="40395"/>
    <cellStyle name="Note 2 37 11 3 2" xfId="40396"/>
    <cellStyle name="Note 2 37 11 4" xfId="40397"/>
    <cellStyle name="Note 2 37 11 4 2" xfId="40398"/>
    <cellStyle name="Note 2 37 11 5" xfId="40399"/>
    <cellStyle name="Note 2 37 12" xfId="40400"/>
    <cellStyle name="Note 2 37 12 2" xfId="40401"/>
    <cellStyle name="Note 2 37 12 2 2" xfId="40402"/>
    <cellStyle name="Note 2 37 12 3" xfId="40403"/>
    <cellStyle name="Note 2 37 12 3 2" xfId="40404"/>
    <cellStyle name="Note 2 37 12 4" xfId="40405"/>
    <cellStyle name="Note 2 37 12 4 2" xfId="40406"/>
    <cellStyle name="Note 2 37 12 5" xfId="40407"/>
    <cellStyle name="Note 2 37 13" xfId="40408"/>
    <cellStyle name="Note 2 37 13 2" xfId="40409"/>
    <cellStyle name="Note 2 37 13 2 2" xfId="40410"/>
    <cellStyle name="Note 2 37 13 3" xfId="40411"/>
    <cellStyle name="Note 2 37 13 3 2" xfId="40412"/>
    <cellStyle name="Note 2 37 13 4" xfId="40413"/>
    <cellStyle name="Note 2 37 13 4 2" xfId="40414"/>
    <cellStyle name="Note 2 37 13 5" xfId="40415"/>
    <cellStyle name="Note 2 37 14" xfId="40416"/>
    <cellStyle name="Note 2 37 14 2" xfId="40417"/>
    <cellStyle name="Note 2 37 14 2 2" xfId="40418"/>
    <cellStyle name="Note 2 37 14 3" xfId="40419"/>
    <cellStyle name="Note 2 37 14 3 2" xfId="40420"/>
    <cellStyle name="Note 2 37 14 4" xfId="40421"/>
    <cellStyle name="Note 2 37 14 4 2" xfId="40422"/>
    <cellStyle name="Note 2 37 14 5" xfId="40423"/>
    <cellStyle name="Note 2 37 15" xfId="40424"/>
    <cellStyle name="Note 2 37 15 2" xfId="40425"/>
    <cellStyle name="Note 2 37 16" xfId="40426"/>
    <cellStyle name="Note 2 37 16 2" xfId="40427"/>
    <cellStyle name="Note 2 37 17" xfId="40428"/>
    <cellStyle name="Note 2 37 17 2" xfId="40429"/>
    <cellStyle name="Note 2 37 18" xfId="40430"/>
    <cellStyle name="Note 2 37 18 2" xfId="40431"/>
    <cellStyle name="Note 2 37 19" xfId="40432"/>
    <cellStyle name="Note 2 37 19 2" xfId="40433"/>
    <cellStyle name="Note 2 37 2" xfId="40434"/>
    <cellStyle name="Note 2 37 2 10" xfId="40435"/>
    <cellStyle name="Note 2 37 2 10 2" xfId="40436"/>
    <cellStyle name="Note 2 37 2 11" xfId="40437"/>
    <cellStyle name="Note 2 37 2 11 2" xfId="40438"/>
    <cellStyle name="Note 2 37 2 12" xfId="40439"/>
    <cellStyle name="Note 2 37 2 12 2" xfId="40440"/>
    <cellStyle name="Note 2 37 2 13" xfId="40441"/>
    <cellStyle name="Note 2 37 2 13 2" xfId="40442"/>
    <cellStyle name="Note 2 37 2 14" xfId="40443"/>
    <cellStyle name="Note 2 37 2 14 2" xfId="40444"/>
    <cellStyle name="Note 2 37 2 15" xfId="40445"/>
    <cellStyle name="Note 2 37 2 15 2" xfId="40446"/>
    <cellStyle name="Note 2 37 2 16" xfId="40447"/>
    <cellStyle name="Note 2 37 2 16 2" xfId="40448"/>
    <cellStyle name="Note 2 37 2 17" xfId="40449"/>
    <cellStyle name="Note 2 37 2 17 2" xfId="40450"/>
    <cellStyle name="Note 2 37 2 18" xfId="40451"/>
    <cellStyle name="Note 2 37 2 18 2" xfId="40452"/>
    <cellStyle name="Note 2 37 2 19" xfId="40453"/>
    <cellStyle name="Note 2 37 2 19 2" xfId="40454"/>
    <cellStyle name="Note 2 37 2 2" xfId="40455"/>
    <cellStyle name="Note 2 37 2 2 2" xfId="40456"/>
    <cellStyle name="Note 2 37 2 2 3" xfId="40457"/>
    <cellStyle name="Note 2 37 2 20" xfId="40458"/>
    <cellStyle name="Note 2 37 2 20 2" xfId="40459"/>
    <cellStyle name="Note 2 37 2 21" xfId="40460"/>
    <cellStyle name="Note 2 37 2 21 2" xfId="40461"/>
    <cellStyle name="Note 2 37 2 22" xfId="40462"/>
    <cellStyle name="Note 2 37 2 22 2" xfId="40463"/>
    <cellStyle name="Note 2 37 2 23" xfId="40464"/>
    <cellStyle name="Note 2 37 2 23 2" xfId="40465"/>
    <cellStyle name="Note 2 37 2 24" xfId="40466"/>
    <cellStyle name="Note 2 37 2 24 2" xfId="40467"/>
    <cellStyle name="Note 2 37 2 25" xfId="40468"/>
    <cellStyle name="Note 2 37 2 25 2" xfId="40469"/>
    <cellStyle name="Note 2 37 2 26" xfId="40470"/>
    <cellStyle name="Note 2 37 2 26 2" xfId="40471"/>
    <cellStyle name="Note 2 37 2 27" xfId="40472"/>
    <cellStyle name="Note 2 37 2 27 2" xfId="40473"/>
    <cellStyle name="Note 2 37 2 28" xfId="40474"/>
    <cellStyle name="Note 2 37 2 28 2" xfId="40475"/>
    <cellStyle name="Note 2 37 2 29" xfId="40476"/>
    <cellStyle name="Note 2 37 2 29 2" xfId="40477"/>
    <cellStyle name="Note 2 37 2 3" xfId="40478"/>
    <cellStyle name="Note 2 37 2 3 2" xfId="40479"/>
    <cellStyle name="Note 2 37 2 3 3" xfId="40480"/>
    <cellStyle name="Note 2 37 2 30" xfId="40481"/>
    <cellStyle name="Note 2 37 2 30 2" xfId="40482"/>
    <cellStyle name="Note 2 37 2 31" xfId="40483"/>
    <cellStyle name="Note 2 37 2 4" xfId="40484"/>
    <cellStyle name="Note 2 37 2 4 2" xfId="40485"/>
    <cellStyle name="Note 2 37 2 5" xfId="40486"/>
    <cellStyle name="Note 2 37 2 5 2" xfId="40487"/>
    <cellStyle name="Note 2 37 2 6" xfId="40488"/>
    <cellStyle name="Note 2 37 2 6 2" xfId="40489"/>
    <cellStyle name="Note 2 37 2 7" xfId="40490"/>
    <cellStyle name="Note 2 37 2 7 2" xfId="40491"/>
    <cellStyle name="Note 2 37 2 8" xfId="40492"/>
    <cellStyle name="Note 2 37 2 8 2" xfId="40493"/>
    <cellStyle name="Note 2 37 2 9" xfId="40494"/>
    <cellStyle name="Note 2 37 2 9 2" xfId="40495"/>
    <cellStyle name="Note 2 37 20" xfId="40496"/>
    <cellStyle name="Note 2 37 20 2" xfId="40497"/>
    <cellStyle name="Note 2 37 21" xfId="40498"/>
    <cellStyle name="Note 2 37 21 2" xfId="40499"/>
    <cellStyle name="Note 2 37 22" xfId="40500"/>
    <cellStyle name="Note 2 37 22 2" xfId="40501"/>
    <cellStyle name="Note 2 37 23" xfId="40502"/>
    <cellStyle name="Note 2 37 23 2" xfId="40503"/>
    <cellStyle name="Note 2 37 24" xfId="40504"/>
    <cellStyle name="Note 2 37 24 2" xfId="40505"/>
    <cellStyle name="Note 2 37 25" xfId="40506"/>
    <cellStyle name="Note 2 37 25 2" xfId="40507"/>
    <cellStyle name="Note 2 37 26" xfId="40508"/>
    <cellStyle name="Note 2 37 26 2" xfId="40509"/>
    <cellStyle name="Note 2 37 27" xfId="40510"/>
    <cellStyle name="Note 2 37 27 2" xfId="40511"/>
    <cellStyle name="Note 2 37 28" xfId="40512"/>
    <cellStyle name="Note 2 37 28 2" xfId="40513"/>
    <cellStyle name="Note 2 37 29" xfId="40514"/>
    <cellStyle name="Note 2 37 29 2" xfId="40515"/>
    <cellStyle name="Note 2 37 3" xfId="40516"/>
    <cellStyle name="Note 2 37 3 2" xfId="40517"/>
    <cellStyle name="Note 2 37 3 2 2" xfId="40518"/>
    <cellStyle name="Note 2 37 3 3" xfId="40519"/>
    <cellStyle name="Note 2 37 3 3 2" xfId="40520"/>
    <cellStyle name="Note 2 37 3 4" xfId="40521"/>
    <cellStyle name="Note 2 37 3 4 2" xfId="40522"/>
    <cellStyle name="Note 2 37 3 5" xfId="40523"/>
    <cellStyle name="Note 2 37 30" xfId="40524"/>
    <cellStyle name="Note 2 37 30 2" xfId="40525"/>
    <cellStyle name="Note 2 37 31" xfId="40526"/>
    <cellStyle name="Note 2 37 31 2" xfId="40527"/>
    <cellStyle name="Note 2 37 32" xfId="40528"/>
    <cellStyle name="Note 2 37 32 2" xfId="40529"/>
    <cellStyle name="Note 2 37 33" xfId="40530"/>
    <cellStyle name="Note 2 37 33 2" xfId="40531"/>
    <cellStyle name="Note 2 37 34" xfId="40532"/>
    <cellStyle name="Note 2 37 34 2" xfId="40533"/>
    <cellStyle name="Note 2 37 35" xfId="40534"/>
    <cellStyle name="Note 2 37 35 2" xfId="40535"/>
    <cellStyle name="Note 2 37 36" xfId="40536"/>
    <cellStyle name="Note 2 37 36 2" xfId="40537"/>
    <cellStyle name="Note 2 37 37" xfId="40538"/>
    <cellStyle name="Note 2 37 37 2" xfId="40539"/>
    <cellStyle name="Note 2 37 38" xfId="40540"/>
    <cellStyle name="Note 2 37 38 2" xfId="40541"/>
    <cellStyle name="Note 2 37 39" xfId="40542"/>
    <cellStyle name="Note 2 37 39 2" xfId="40543"/>
    <cellStyle name="Note 2 37 4" xfId="40544"/>
    <cellStyle name="Note 2 37 4 2" xfId="40545"/>
    <cellStyle name="Note 2 37 4 2 2" xfId="40546"/>
    <cellStyle name="Note 2 37 4 3" xfId="40547"/>
    <cellStyle name="Note 2 37 4 3 2" xfId="40548"/>
    <cellStyle name="Note 2 37 4 4" xfId="40549"/>
    <cellStyle name="Note 2 37 4 4 2" xfId="40550"/>
    <cellStyle name="Note 2 37 4 5" xfId="40551"/>
    <cellStyle name="Note 2 37 40" xfId="40552"/>
    <cellStyle name="Note 2 37 40 2" xfId="40553"/>
    <cellStyle name="Note 2 37 41" xfId="40554"/>
    <cellStyle name="Note 2 37 41 2" xfId="40555"/>
    <cellStyle name="Note 2 37 42" xfId="40556"/>
    <cellStyle name="Note 2 37 42 2" xfId="40557"/>
    <cellStyle name="Note 2 37 43" xfId="40558"/>
    <cellStyle name="Note 2 37 43 2" xfId="40559"/>
    <cellStyle name="Note 2 37 44" xfId="40560"/>
    <cellStyle name="Note 2 37 44 2" xfId="40561"/>
    <cellStyle name="Note 2 37 45" xfId="40562"/>
    <cellStyle name="Note 2 37 45 2" xfId="40563"/>
    <cellStyle name="Note 2 37 46" xfId="40564"/>
    <cellStyle name="Note 2 37 46 2" xfId="40565"/>
    <cellStyle name="Note 2 37 47" xfId="40566"/>
    <cellStyle name="Note 2 37 47 2" xfId="40567"/>
    <cellStyle name="Note 2 37 48" xfId="40568"/>
    <cellStyle name="Note 2 37 48 2" xfId="40569"/>
    <cellStyle name="Note 2 37 49" xfId="40570"/>
    <cellStyle name="Note 2 37 49 2" xfId="40571"/>
    <cellStyle name="Note 2 37 5" xfId="40572"/>
    <cellStyle name="Note 2 37 5 2" xfId="40573"/>
    <cellStyle name="Note 2 37 5 2 2" xfId="40574"/>
    <cellStyle name="Note 2 37 5 3" xfId="40575"/>
    <cellStyle name="Note 2 37 5 3 2" xfId="40576"/>
    <cellStyle name="Note 2 37 5 4" xfId="40577"/>
    <cellStyle name="Note 2 37 5 4 2" xfId="40578"/>
    <cellStyle name="Note 2 37 5 5" xfId="40579"/>
    <cellStyle name="Note 2 37 50" xfId="40580"/>
    <cellStyle name="Note 2 37 50 2" xfId="40581"/>
    <cellStyle name="Note 2 37 51" xfId="40582"/>
    <cellStyle name="Note 2 37 51 2" xfId="40583"/>
    <cellStyle name="Note 2 37 52" xfId="40584"/>
    <cellStyle name="Note 2 37 52 2" xfId="40585"/>
    <cellStyle name="Note 2 37 53" xfId="40586"/>
    <cellStyle name="Note 2 37 53 2" xfId="40587"/>
    <cellStyle name="Note 2 37 54" xfId="40588"/>
    <cellStyle name="Note 2 37 54 2" xfId="40589"/>
    <cellStyle name="Note 2 37 55" xfId="40590"/>
    <cellStyle name="Note 2 37 55 2" xfId="40591"/>
    <cellStyle name="Note 2 37 56" xfId="40592"/>
    <cellStyle name="Note 2 37 56 2" xfId="40593"/>
    <cellStyle name="Note 2 37 57" xfId="40594"/>
    <cellStyle name="Note 2 37 57 2" xfId="40595"/>
    <cellStyle name="Note 2 37 58" xfId="40596"/>
    <cellStyle name="Note 2 37 58 2" xfId="40597"/>
    <cellStyle name="Note 2 37 59" xfId="40598"/>
    <cellStyle name="Note 2 37 59 2" xfId="40599"/>
    <cellStyle name="Note 2 37 6" xfId="40600"/>
    <cellStyle name="Note 2 37 6 2" xfId="40601"/>
    <cellStyle name="Note 2 37 6 2 2" xfId="40602"/>
    <cellStyle name="Note 2 37 6 3" xfId="40603"/>
    <cellStyle name="Note 2 37 6 3 2" xfId="40604"/>
    <cellStyle name="Note 2 37 6 4" xfId="40605"/>
    <cellStyle name="Note 2 37 6 4 2" xfId="40606"/>
    <cellStyle name="Note 2 37 6 5" xfId="40607"/>
    <cellStyle name="Note 2 37 60" xfId="40608"/>
    <cellStyle name="Note 2 37 60 2" xfId="40609"/>
    <cellStyle name="Note 2 37 61" xfId="40610"/>
    <cellStyle name="Note 2 37 61 2" xfId="40611"/>
    <cellStyle name="Note 2 37 62" xfId="40612"/>
    <cellStyle name="Note 2 37 7" xfId="40613"/>
    <cellStyle name="Note 2 37 7 2" xfId="40614"/>
    <cellStyle name="Note 2 37 7 2 2" xfId="40615"/>
    <cellStyle name="Note 2 37 7 3" xfId="40616"/>
    <cellStyle name="Note 2 37 7 3 2" xfId="40617"/>
    <cellStyle name="Note 2 37 7 4" xfId="40618"/>
    <cellStyle name="Note 2 37 7 4 2" xfId="40619"/>
    <cellStyle name="Note 2 37 7 5" xfId="40620"/>
    <cellStyle name="Note 2 37 8" xfId="40621"/>
    <cellStyle name="Note 2 37 8 2" xfId="40622"/>
    <cellStyle name="Note 2 37 8 2 2" xfId="40623"/>
    <cellStyle name="Note 2 37 8 3" xfId="40624"/>
    <cellStyle name="Note 2 37 8 3 2" xfId="40625"/>
    <cellStyle name="Note 2 37 8 4" xfId="40626"/>
    <cellStyle name="Note 2 37 8 4 2" xfId="40627"/>
    <cellStyle name="Note 2 37 8 5" xfId="40628"/>
    <cellStyle name="Note 2 37 9" xfId="40629"/>
    <cellStyle name="Note 2 37 9 2" xfId="40630"/>
    <cellStyle name="Note 2 37 9 2 2" xfId="40631"/>
    <cellStyle name="Note 2 37 9 3" xfId="40632"/>
    <cellStyle name="Note 2 37 9 3 2" xfId="40633"/>
    <cellStyle name="Note 2 37 9 4" xfId="40634"/>
    <cellStyle name="Note 2 37 9 4 2" xfId="40635"/>
    <cellStyle name="Note 2 37 9 5" xfId="40636"/>
    <cellStyle name="Note 2 38" xfId="40637"/>
    <cellStyle name="Note 2 38 10" xfId="40638"/>
    <cellStyle name="Note 2 38 10 2" xfId="40639"/>
    <cellStyle name="Note 2 38 10 2 2" xfId="40640"/>
    <cellStyle name="Note 2 38 10 3" xfId="40641"/>
    <cellStyle name="Note 2 38 10 3 2" xfId="40642"/>
    <cellStyle name="Note 2 38 10 4" xfId="40643"/>
    <cellStyle name="Note 2 38 10 4 2" xfId="40644"/>
    <cellStyle name="Note 2 38 10 5" xfId="40645"/>
    <cellStyle name="Note 2 38 11" xfId="40646"/>
    <cellStyle name="Note 2 38 11 2" xfId="40647"/>
    <cellStyle name="Note 2 38 11 2 2" xfId="40648"/>
    <cellStyle name="Note 2 38 11 3" xfId="40649"/>
    <cellStyle name="Note 2 38 11 3 2" xfId="40650"/>
    <cellStyle name="Note 2 38 11 4" xfId="40651"/>
    <cellStyle name="Note 2 38 11 4 2" xfId="40652"/>
    <cellStyle name="Note 2 38 11 5" xfId="40653"/>
    <cellStyle name="Note 2 38 12" xfId="40654"/>
    <cellStyle name="Note 2 38 12 2" xfId="40655"/>
    <cellStyle name="Note 2 38 12 2 2" xfId="40656"/>
    <cellStyle name="Note 2 38 12 3" xfId="40657"/>
    <cellStyle name="Note 2 38 12 3 2" xfId="40658"/>
    <cellStyle name="Note 2 38 12 4" xfId="40659"/>
    <cellStyle name="Note 2 38 12 4 2" xfId="40660"/>
    <cellStyle name="Note 2 38 12 5" xfId="40661"/>
    <cellStyle name="Note 2 38 13" xfId="40662"/>
    <cellStyle name="Note 2 38 13 2" xfId="40663"/>
    <cellStyle name="Note 2 38 13 2 2" xfId="40664"/>
    <cellStyle name="Note 2 38 13 3" xfId="40665"/>
    <cellStyle name="Note 2 38 13 3 2" xfId="40666"/>
    <cellStyle name="Note 2 38 13 4" xfId="40667"/>
    <cellStyle name="Note 2 38 13 4 2" xfId="40668"/>
    <cellStyle name="Note 2 38 13 5" xfId="40669"/>
    <cellStyle name="Note 2 38 14" xfId="40670"/>
    <cellStyle name="Note 2 38 14 2" xfId="40671"/>
    <cellStyle name="Note 2 38 14 2 2" xfId="40672"/>
    <cellStyle name="Note 2 38 14 3" xfId="40673"/>
    <cellStyle name="Note 2 38 14 3 2" xfId="40674"/>
    <cellStyle name="Note 2 38 14 4" xfId="40675"/>
    <cellStyle name="Note 2 38 14 4 2" xfId="40676"/>
    <cellStyle name="Note 2 38 14 5" xfId="40677"/>
    <cellStyle name="Note 2 38 15" xfId="40678"/>
    <cellStyle name="Note 2 38 15 2" xfId="40679"/>
    <cellStyle name="Note 2 38 16" xfId="40680"/>
    <cellStyle name="Note 2 38 16 2" xfId="40681"/>
    <cellStyle name="Note 2 38 17" xfId="40682"/>
    <cellStyle name="Note 2 38 17 2" xfId="40683"/>
    <cellStyle name="Note 2 38 18" xfId="40684"/>
    <cellStyle name="Note 2 38 18 2" xfId="40685"/>
    <cellStyle name="Note 2 38 19" xfId="40686"/>
    <cellStyle name="Note 2 38 19 2" xfId="40687"/>
    <cellStyle name="Note 2 38 2" xfId="40688"/>
    <cellStyle name="Note 2 38 2 10" xfId="40689"/>
    <cellStyle name="Note 2 38 2 10 2" xfId="40690"/>
    <cellStyle name="Note 2 38 2 11" xfId="40691"/>
    <cellStyle name="Note 2 38 2 11 2" xfId="40692"/>
    <cellStyle name="Note 2 38 2 12" xfId="40693"/>
    <cellStyle name="Note 2 38 2 12 2" xfId="40694"/>
    <cellStyle name="Note 2 38 2 13" xfId="40695"/>
    <cellStyle name="Note 2 38 2 13 2" xfId="40696"/>
    <cellStyle name="Note 2 38 2 14" xfId="40697"/>
    <cellStyle name="Note 2 38 2 14 2" xfId="40698"/>
    <cellStyle name="Note 2 38 2 15" xfId="40699"/>
    <cellStyle name="Note 2 38 2 15 2" xfId="40700"/>
    <cellStyle name="Note 2 38 2 16" xfId="40701"/>
    <cellStyle name="Note 2 38 2 16 2" xfId="40702"/>
    <cellStyle name="Note 2 38 2 17" xfId="40703"/>
    <cellStyle name="Note 2 38 2 17 2" xfId="40704"/>
    <cellStyle name="Note 2 38 2 18" xfId="40705"/>
    <cellStyle name="Note 2 38 2 18 2" xfId="40706"/>
    <cellStyle name="Note 2 38 2 19" xfId="40707"/>
    <cellStyle name="Note 2 38 2 19 2" xfId="40708"/>
    <cellStyle name="Note 2 38 2 2" xfId="40709"/>
    <cellStyle name="Note 2 38 2 2 2" xfId="40710"/>
    <cellStyle name="Note 2 38 2 2 3" xfId="40711"/>
    <cellStyle name="Note 2 38 2 20" xfId="40712"/>
    <cellStyle name="Note 2 38 2 20 2" xfId="40713"/>
    <cellStyle name="Note 2 38 2 21" xfId="40714"/>
    <cellStyle name="Note 2 38 2 21 2" xfId="40715"/>
    <cellStyle name="Note 2 38 2 22" xfId="40716"/>
    <cellStyle name="Note 2 38 2 22 2" xfId="40717"/>
    <cellStyle name="Note 2 38 2 23" xfId="40718"/>
    <cellStyle name="Note 2 38 2 23 2" xfId="40719"/>
    <cellStyle name="Note 2 38 2 24" xfId="40720"/>
    <cellStyle name="Note 2 38 2 24 2" xfId="40721"/>
    <cellStyle name="Note 2 38 2 25" xfId="40722"/>
    <cellStyle name="Note 2 38 2 25 2" xfId="40723"/>
    <cellStyle name="Note 2 38 2 26" xfId="40724"/>
    <cellStyle name="Note 2 38 2 26 2" xfId="40725"/>
    <cellStyle name="Note 2 38 2 27" xfId="40726"/>
    <cellStyle name="Note 2 38 2 27 2" xfId="40727"/>
    <cellStyle name="Note 2 38 2 28" xfId="40728"/>
    <cellStyle name="Note 2 38 2 28 2" xfId="40729"/>
    <cellStyle name="Note 2 38 2 29" xfId="40730"/>
    <cellStyle name="Note 2 38 2 29 2" xfId="40731"/>
    <cellStyle name="Note 2 38 2 3" xfId="40732"/>
    <cellStyle name="Note 2 38 2 3 2" xfId="40733"/>
    <cellStyle name="Note 2 38 2 3 3" xfId="40734"/>
    <cellStyle name="Note 2 38 2 30" xfId="40735"/>
    <cellStyle name="Note 2 38 2 30 2" xfId="40736"/>
    <cellStyle name="Note 2 38 2 31" xfId="40737"/>
    <cellStyle name="Note 2 38 2 4" xfId="40738"/>
    <cellStyle name="Note 2 38 2 4 2" xfId="40739"/>
    <cellStyle name="Note 2 38 2 5" xfId="40740"/>
    <cellStyle name="Note 2 38 2 5 2" xfId="40741"/>
    <cellStyle name="Note 2 38 2 6" xfId="40742"/>
    <cellStyle name="Note 2 38 2 6 2" xfId="40743"/>
    <cellStyle name="Note 2 38 2 7" xfId="40744"/>
    <cellStyle name="Note 2 38 2 7 2" xfId="40745"/>
    <cellStyle name="Note 2 38 2 8" xfId="40746"/>
    <cellStyle name="Note 2 38 2 8 2" xfId="40747"/>
    <cellStyle name="Note 2 38 2 9" xfId="40748"/>
    <cellStyle name="Note 2 38 2 9 2" xfId="40749"/>
    <cellStyle name="Note 2 38 20" xfId="40750"/>
    <cellStyle name="Note 2 38 20 2" xfId="40751"/>
    <cellStyle name="Note 2 38 21" xfId="40752"/>
    <cellStyle name="Note 2 38 21 2" xfId="40753"/>
    <cellStyle name="Note 2 38 22" xfId="40754"/>
    <cellStyle name="Note 2 38 22 2" xfId="40755"/>
    <cellStyle name="Note 2 38 23" xfId="40756"/>
    <cellStyle name="Note 2 38 23 2" xfId="40757"/>
    <cellStyle name="Note 2 38 24" xfId="40758"/>
    <cellStyle name="Note 2 38 24 2" xfId="40759"/>
    <cellStyle name="Note 2 38 25" xfId="40760"/>
    <cellStyle name="Note 2 38 25 2" xfId="40761"/>
    <cellStyle name="Note 2 38 26" xfId="40762"/>
    <cellStyle name="Note 2 38 26 2" xfId="40763"/>
    <cellStyle name="Note 2 38 27" xfId="40764"/>
    <cellStyle name="Note 2 38 27 2" xfId="40765"/>
    <cellStyle name="Note 2 38 28" xfId="40766"/>
    <cellStyle name="Note 2 38 28 2" xfId="40767"/>
    <cellStyle name="Note 2 38 29" xfId="40768"/>
    <cellStyle name="Note 2 38 29 2" xfId="40769"/>
    <cellStyle name="Note 2 38 3" xfId="40770"/>
    <cellStyle name="Note 2 38 3 2" xfId="40771"/>
    <cellStyle name="Note 2 38 3 2 2" xfId="40772"/>
    <cellStyle name="Note 2 38 3 3" xfId="40773"/>
    <cellStyle name="Note 2 38 3 3 2" xfId="40774"/>
    <cellStyle name="Note 2 38 3 4" xfId="40775"/>
    <cellStyle name="Note 2 38 3 4 2" xfId="40776"/>
    <cellStyle name="Note 2 38 3 5" xfId="40777"/>
    <cellStyle name="Note 2 38 30" xfId="40778"/>
    <cellStyle name="Note 2 38 30 2" xfId="40779"/>
    <cellStyle name="Note 2 38 31" xfId="40780"/>
    <cellStyle name="Note 2 38 31 2" xfId="40781"/>
    <cellStyle name="Note 2 38 32" xfId="40782"/>
    <cellStyle name="Note 2 38 32 2" xfId="40783"/>
    <cellStyle name="Note 2 38 33" xfId="40784"/>
    <cellStyle name="Note 2 38 33 2" xfId="40785"/>
    <cellStyle name="Note 2 38 34" xfId="40786"/>
    <cellStyle name="Note 2 38 34 2" xfId="40787"/>
    <cellStyle name="Note 2 38 35" xfId="40788"/>
    <cellStyle name="Note 2 38 35 2" xfId="40789"/>
    <cellStyle name="Note 2 38 36" xfId="40790"/>
    <cellStyle name="Note 2 38 36 2" xfId="40791"/>
    <cellStyle name="Note 2 38 37" xfId="40792"/>
    <cellStyle name="Note 2 38 37 2" xfId="40793"/>
    <cellStyle name="Note 2 38 38" xfId="40794"/>
    <cellStyle name="Note 2 38 38 2" xfId="40795"/>
    <cellStyle name="Note 2 38 39" xfId="40796"/>
    <cellStyle name="Note 2 38 39 2" xfId="40797"/>
    <cellStyle name="Note 2 38 4" xfId="40798"/>
    <cellStyle name="Note 2 38 4 2" xfId="40799"/>
    <cellStyle name="Note 2 38 4 2 2" xfId="40800"/>
    <cellStyle name="Note 2 38 4 3" xfId="40801"/>
    <cellStyle name="Note 2 38 4 3 2" xfId="40802"/>
    <cellStyle name="Note 2 38 4 4" xfId="40803"/>
    <cellStyle name="Note 2 38 4 4 2" xfId="40804"/>
    <cellStyle name="Note 2 38 4 5" xfId="40805"/>
    <cellStyle name="Note 2 38 40" xfId="40806"/>
    <cellStyle name="Note 2 38 40 2" xfId="40807"/>
    <cellStyle name="Note 2 38 41" xfId="40808"/>
    <cellStyle name="Note 2 38 41 2" xfId="40809"/>
    <cellStyle name="Note 2 38 42" xfId="40810"/>
    <cellStyle name="Note 2 38 42 2" xfId="40811"/>
    <cellStyle name="Note 2 38 43" xfId="40812"/>
    <cellStyle name="Note 2 38 43 2" xfId="40813"/>
    <cellStyle name="Note 2 38 44" xfId="40814"/>
    <cellStyle name="Note 2 38 44 2" xfId="40815"/>
    <cellStyle name="Note 2 38 45" xfId="40816"/>
    <cellStyle name="Note 2 38 45 2" xfId="40817"/>
    <cellStyle name="Note 2 38 46" xfId="40818"/>
    <cellStyle name="Note 2 38 46 2" xfId="40819"/>
    <cellStyle name="Note 2 38 47" xfId="40820"/>
    <cellStyle name="Note 2 38 47 2" xfId="40821"/>
    <cellStyle name="Note 2 38 48" xfId="40822"/>
    <cellStyle name="Note 2 38 48 2" xfId="40823"/>
    <cellStyle name="Note 2 38 49" xfId="40824"/>
    <cellStyle name="Note 2 38 49 2" xfId="40825"/>
    <cellStyle name="Note 2 38 5" xfId="40826"/>
    <cellStyle name="Note 2 38 5 2" xfId="40827"/>
    <cellStyle name="Note 2 38 5 2 2" xfId="40828"/>
    <cellStyle name="Note 2 38 5 3" xfId="40829"/>
    <cellStyle name="Note 2 38 5 3 2" xfId="40830"/>
    <cellStyle name="Note 2 38 5 4" xfId="40831"/>
    <cellStyle name="Note 2 38 5 4 2" xfId="40832"/>
    <cellStyle name="Note 2 38 5 5" xfId="40833"/>
    <cellStyle name="Note 2 38 50" xfId="40834"/>
    <cellStyle name="Note 2 38 50 2" xfId="40835"/>
    <cellStyle name="Note 2 38 51" xfId="40836"/>
    <cellStyle name="Note 2 38 51 2" xfId="40837"/>
    <cellStyle name="Note 2 38 52" xfId="40838"/>
    <cellStyle name="Note 2 38 52 2" xfId="40839"/>
    <cellStyle name="Note 2 38 53" xfId="40840"/>
    <cellStyle name="Note 2 38 53 2" xfId="40841"/>
    <cellStyle name="Note 2 38 54" xfId="40842"/>
    <cellStyle name="Note 2 38 54 2" xfId="40843"/>
    <cellStyle name="Note 2 38 55" xfId="40844"/>
    <cellStyle name="Note 2 38 55 2" xfId="40845"/>
    <cellStyle name="Note 2 38 56" xfId="40846"/>
    <cellStyle name="Note 2 38 56 2" xfId="40847"/>
    <cellStyle name="Note 2 38 57" xfId="40848"/>
    <cellStyle name="Note 2 38 57 2" xfId="40849"/>
    <cellStyle name="Note 2 38 58" xfId="40850"/>
    <cellStyle name="Note 2 38 58 2" xfId="40851"/>
    <cellStyle name="Note 2 38 59" xfId="40852"/>
    <cellStyle name="Note 2 38 59 2" xfId="40853"/>
    <cellStyle name="Note 2 38 6" xfId="40854"/>
    <cellStyle name="Note 2 38 6 2" xfId="40855"/>
    <cellStyle name="Note 2 38 6 2 2" xfId="40856"/>
    <cellStyle name="Note 2 38 6 3" xfId="40857"/>
    <cellStyle name="Note 2 38 6 3 2" xfId="40858"/>
    <cellStyle name="Note 2 38 6 4" xfId="40859"/>
    <cellStyle name="Note 2 38 6 4 2" xfId="40860"/>
    <cellStyle name="Note 2 38 6 5" xfId="40861"/>
    <cellStyle name="Note 2 38 60" xfId="40862"/>
    <cellStyle name="Note 2 38 60 2" xfId="40863"/>
    <cellStyle name="Note 2 38 61" xfId="40864"/>
    <cellStyle name="Note 2 38 61 2" xfId="40865"/>
    <cellStyle name="Note 2 38 62" xfId="40866"/>
    <cellStyle name="Note 2 38 7" xfId="40867"/>
    <cellStyle name="Note 2 38 7 2" xfId="40868"/>
    <cellStyle name="Note 2 38 7 2 2" xfId="40869"/>
    <cellStyle name="Note 2 38 7 3" xfId="40870"/>
    <cellStyle name="Note 2 38 7 3 2" xfId="40871"/>
    <cellStyle name="Note 2 38 7 4" xfId="40872"/>
    <cellStyle name="Note 2 38 7 4 2" xfId="40873"/>
    <cellStyle name="Note 2 38 7 5" xfId="40874"/>
    <cellStyle name="Note 2 38 8" xfId="40875"/>
    <cellStyle name="Note 2 38 8 2" xfId="40876"/>
    <cellStyle name="Note 2 38 8 2 2" xfId="40877"/>
    <cellStyle name="Note 2 38 8 3" xfId="40878"/>
    <cellStyle name="Note 2 38 8 3 2" xfId="40879"/>
    <cellStyle name="Note 2 38 8 4" xfId="40880"/>
    <cellStyle name="Note 2 38 8 4 2" xfId="40881"/>
    <cellStyle name="Note 2 38 8 5" xfId="40882"/>
    <cellStyle name="Note 2 38 9" xfId="40883"/>
    <cellStyle name="Note 2 38 9 2" xfId="40884"/>
    <cellStyle name="Note 2 38 9 2 2" xfId="40885"/>
    <cellStyle name="Note 2 38 9 3" xfId="40886"/>
    <cellStyle name="Note 2 38 9 3 2" xfId="40887"/>
    <cellStyle name="Note 2 38 9 4" xfId="40888"/>
    <cellStyle name="Note 2 38 9 4 2" xfId="40889"/>
    <cellStyle name="Note 2 38 9 5" xfId="40890"/>
    <cellStyle name="Note 2 39" xfId="40891"/>
    <cellStyle name="Note 2 39 10" xfId="40892"/>
    <cellStyle name="Note 2 39 10 2" xfId="40893"/>
    <cellStyle name="Note 2 39 10 2 2" xfId="40894"/>
    <cellStyle name="Note 2 39 10 3" xfId="40895"/>
    <cellStyle name="Note 2 39 10 3 2" xfId="40896"/>
    <cellStyle name="Note 2 39 10 4" xfId="40897"/>
    <cellStyle name="Note 2 39 10 4 2" xfId="40898"/>
    <cellStyle name="Note 2 39 10 5" xfId="40899"/>
    <cellStyle name="Note 2 39 11" xfId="40900"/>
    <cellStyle name="Note 2 39 11 2" xfId="40901"/>
    <cellStyle name="Note 2 39 11 2 2" xfId="40902"/>
    <cellStyle name="Note 2 39 11 3" xfId="40903"/>
    <cellStyle name="Note 2 39 11 3 2" xfId="40904"/>
    <cellStyle name="Note 2 39 11 4" xfId="40905"/>
    <cellStyle name="Note 2 39 11 4 2" xfId="40906"/>
    <cellStyle name="Note 2 39 11 5" xfId="40907"/>
    <cellStyle name="Note 2 39 12" xfId="40908"/>
    <cellStyle name="Note 2 39 12 2" xfId="40909"/>
    <cellStyle name="Note 2 39 12 2 2" xfId="40910"/>
    <cellStyle name="Note 2 39 12 3" xfId="40911"/>
    <cellStyle name="Note 2 39 12 3 2" xfId="40912"/>
    <cellStyle name="Note 2 39 12 4" xfId="40913"/>
    <cellStyle name="Note 2 39 12 4 2" xfId="40914"/>
    <cellStyle name="Note 2 39 12 5" xfId="40915"/>
    <cellStyle name="Note 2 39 13" xfId="40916"/>
    <cellStyle name="Note 2 39 13 2" xfId="40917"/>
    <cellStyle name="Note 2 39 13 2 2" xfId="40918"/>
    <cellStyle name="Note 2 39 13 3" xfId="40919"/>
    <cellStyle name="Note 2 39 13 3 2" xfId="40920"/>
    <cellStyle name="Note 2 39 13 4" xfId="40921"/>
    <cellStyle name="Note 2 39 13 4 2" xfId="40922"/>
    <cellStyle name="Note 2 39 13 5" xfId="40923"/>
    <cellStyle name="Note 2 39 14" xfId="40924"/>
    <cellStyle name="Note 2 39 14 2" xfId="40925"/>
    <cellStyle name="Note 2 39 14 2 2" xfId="40926"/>
    <cellStyle name="Note 2 39 14 3" xfId="40927"/>
    <cellStyle name="Note 2 39 14 3 2" xfId="40928"/>
    <cellStyle name="Note 2 39 14 4" xfId="40929"/>
    <cellStyle name="Note 2 39 14 4 2" xfId="40930"/>
    <cellStyle name="Note 2 39 14 5" xfId="40931"/>
    <cellStyle name="Note 2 39 15" xfId="40932"/>
    <cellStyle name="Note 2 39 15 2" xfId="40933"/>
    <cellStyle name="Note 2 39 16" xfId="40934"/>
    <cellStyle name="Note 2 39 16 2" xfId="40935"/>
    <cellStyle name="Note 2 39 17" xfId="40936"/>
    <cellStyle name="Note 2 39 17 2" xfId="40937"/>
    <cellStyle name="Note 2 39 18" xfId="40938"/>
    <cellStyle name="Note 2 39 18 2" xfId="40939"/>
    <cellStyle name="Note 2 39 19" xfId="40940"/>
    <cellStyle name="Note 2 39 19 2" xfId="40941"/>
    <cellStyle name="Note 2 39 2" xfId="40942"/>
    <cellStyle name="Note 2 39 2 10" xfId="40943"/>
    <cellStyle name="Note 2 39 2 10 2" xfId="40944"/>
    <cellStyle name="Note 2 39 2 11" xfId="40945"/>
    <cellStyle name="Note 2 39 2 11 2" xfId="40946"/>
    <cellStyle name="Note 2 39 2 12" xfId="40947"/>
    <cellStyle name="Note 2 39 2 12 2" xfId="40948"/>
    <cellStyle name="Note 2 39 2 13" xfId="40949"/>
    <cellStyle name="Note 2 39 2 13 2" xfId="40950"/>
    <cellStyle name="Note 2 39 2 14" xfId="40951"/>
    <cellStyle name="Note 2 39 2 14 2" xfId="40952"/>
    <cellStyle name="Note 2 39 2 15" xfId="40953"/>
    <cellStyle name="Note 2 39 2 15 2" xfId="40954"/>
    <cellStyle name="Note 2 39 2 16" xfId="40955"/>
    <cellStyle name="Note 2 39 2 16 2" xfId="40956"/>
    <cellStyle name="Note 2 39 2 17" xfId="40957"/>
    <cellStyle name="Note 2 39 2 17 2" xfId="40958"/>
    <cellStyle name="Note 2 39 2 18" xfId="40959"/>
    <cellStyle name="Note 2 39 2 18 2" xfId="40960"/>
    <cellStyle name="Note 2 39 2 19" xfId="40961"/>
    <cellStyle name="Note 2 39 2 19 2" xfId="40962"/>
    <cellStyle name="Note 2 39 2 2" xfId="40963"/>
    <cellStyle name="Note 2 39 2 2 2" xfId="40964"/>
    <cellStyle name="Note 2 39 2 2 3" xfId="40965"/>
    <cellStyle name="Note 2 39 2 20" xfId="40966"/>
    <cellStyle name="Note 2 39 2 20 2" xfId="40967"/>
    <cellStyle name="Note 2 39 2 21" xfId="40968"/>
    <cellStyle name="Note 2 39 2 21 2" xfId="40969"/>
    <cellStyle name="Note 2 39 2 22" xfId="40970"/>
    <cellStyle name="Note 2 39 2 22 2" xfId="40971"/>
    <cellStyle name="Note 2 39 2 23" xfId="40972"/>
    <cellStyle name="Note 2 39 2 23 2" xfId="40973"/>
    <cellStyle name="Note 2 39 2 24" xfId="40974"/>
    <cellStyle name="Note 2 39 2 24 2" xfId="40975"/>
    <cellStyle name="Note 2 39 2 25" xfId="40976"/>
    <cellStyle name="Note 2 39 2 25 2" xfId="40977"/>
    <cellStyle name="Note 2 39 2 26" xfId="40978"/>
    <cellStyle name="Note 2 39 2 26 2" xfId="40979"/>
    <cellStyle name="Note 2 39 2 27" xfId="40980"/>
    <cellStyle name="Note 2 39 2 27 2" xfId="40981"/>
    <cellStyle name="Note 2 39 2 28" xfId="40982"/>
    <cellStyle name="Note 2 39 2 28 2" xfId="40983"/>
    <cellStyle name="Note 2 39 2 29" xfId="40984"/>
    <cellStyle name="Note 2 39 2 29 2" xfId="40985"/>
    <cellStyle name="Note 2 39 2 3" xfId="40986"/>
    <cellStyle name="Note 2 39 2 3 2" xfId="40987"/>
    <cellStyle name="Note 2 39 2 3 3" xfId="40988"/>
    <cellStyle name="Note 2 39 2 30" xfId="40989"/>
    <cellStyle name="Note 2 39 2 30 2" xfId="40990"/>
    <cellStyle name="Note 2 39 2 31" xfId="40991"/>
    <cellStyle name="Note 2 39 2 4" xfId="40992"/>
    <cellStyle name="Note 2 39 2 4 2" xfId="40993"/>
    <cellStyle name="Note 2 39 2 5" xfId="40994"/>
    <cellStyle name="Note 2 39 2 5 2" xfId="40995"/>
    <cellStyle name="Note 2 39 2 6" xfId="40996"/>
    <cellStyle name="Note 2 39 2 6 2" xfId="40997"/>
    <cellStyle name="Note 2 39 2 7" xfId="40998"/>
    <cellStyle name="Note 2 39 2 7 2" xfId="40999"/>
    <cellStyle name="Note 2 39 2 8" xfId="41000"/>
    <cellStyle name="Note 2 39 2 8 2" xfId="41001"/>
    <cellStyle name="Note 2 39 2 9" xfId="41002"/>
    <cellStyle name="Note 2 39 2 9 2" xfId="41003"/>
    <cellStyle name="Note 2 39 20" xfId="41004"/>
    <cellStyle name="Note 2 39 20 2" xfId="41005"/>
    <cellStyle name="Note 2 39 21" xfId="41006"/>
    <cellStyle name="Note 2 39 21 2" xfId="41007"/>
    <cellStyle name="Note 2 39 22" xfId="41008"/>
    <cellStyle name="Note 2 39 22 2" xfId="41009"/>
    <cellStyle name="Note 2 39 23" xfId="41010"/>
    <cellStyle name="Note 2 39 23 2" xfId="41011"/>
    <cellStyle name="Note 2 39 24" xfId="41012"/>
    <cellStyle name="Note 2 39 24 2" xfId="41013"/>
    <cellStyle name="Note 2 39 25" xfId="41014"/>
    <cellStyle name="Note 2 39 25 2" xfId="41015"/>
    <cellStyle name="Note 2 39 26" xfId="41016"/>
    <cellStyle name="Note 2 39 26 2" xfId="41017"/>
    <cellStyle name="Note 2 39 27" xfId="41018"/>
    <cellStyle name="Note 2 39 27 2" xfId="41019"/>
    <cellStyle name="Note 2 39 28" xfId="41020"/>
    <cellStyle name="Note 2 39 28 2" xfId="41021"/>
    <cellStyle name="Note 2 39 29" xfId="41022"/>
    <cellStyle name="Note 2 39 29 2" xfId="41023"/>
    <cellStyle name="Note 2 39 3" xfId="41024"/>
    <cellStyle name="Note 2 39 3 2" xfId="41025"/>
    <cellStyle name="Note 2 39 3 2 2" xfId="41026"/>
    <cellStyle name="Note 2 39 3 3" xfId="41027"/>
    <cellStyle name="Note 2 39 3 3 2" xfId="41028"/>
    <cellStyle name="Note 2 39 3 4" xfId="41029"/>
    <cellStyle name="Note 2 39 3 4 2" xfId="41030"/>
    <cellStyle name="Note 2 39 3 5" xfId="41031"/>
    <cellStyle name="Note 2 39 30" xfId="41032"/>
    <cellStyle name="Note 2 39 30 2" xfId="41033"/>
    <cellStyle name="Note 2 39 31" xfId="41034"/>
    <cellStyle name="Note 2 39 31 2" xfId="41035"/>
    <cellStyle name="Note 2 39 32" xfId="41036"/>
    <cellStyle name="Note 2 39 32 2" xfId="41037"/>
    <cellStyle name="Note 2 39 33" xfId="41038"/>
    <cellStyle name="Note 2 39 33 2" xfId="41039"/>
    <cellStyle name="Note 2 39 34" xfId="41040"/>
    <cellStyle name="Note 2 39 34 2" xfId="41041"/>
    <cellStyle name="Note 2 39 35" xfId="41042"/>
    <cellStyle name="Note 2 39 35 2" xfId="41043"/>
    <cellStyle name="Note 2 39 36" xfId="41044"/>
    <cellStyle name="Note 2 39 36 2" xfId="41045"/>
    <cellStyle name="Note 2 39 37" xfId="41046"/>
    <cellStyle name="Note 2 39 37 2" xfId="41047"/>
    <cellStyle name="Note 2 39 38" xfId="41048"/>
    <cellStyle name="Note 2 39 38 2" xfId="41049"/>
    <cellStyle name="Note 2 39 39" xfId="41050"/>
    <cellStyle name="Note 2 39 39 2" xfId="41051"/>
    <cellStyle name="Note 2 39 4" xfId="41052"/>
    <cellStyle name="Note 2 39 4 2" xfId="41053"/>
    <cellStyle name="Note 2 39 4 2 2" xfId="41054"/>
    <cellStyle name="Note 2 39 4 3" xfId="41055"/>
    <cellStyle name="Note 2 39 4 3 2" xfId="41056"/>
    <cellStyle name="Note 2 39 4 4" xfId="41057"/>
    <cellStyle name="Note 2 39 4 4 2" xfId="41058"/>
    <cellStyle name="Note 2 39 4 5" xfId="41059"/>
    <cellStyle name="Note 2 39 40" xfId="41060"/>
    <cellStyle name="Note 2 39 40 2" xfId="41061"/>
    <cellStyle name="Note 2 39 41" xfId="41062"/>
    <cellStyle name="Note 2 39 41 2" xfId="41063"/>
    <cellStyle name="Note 2 39 42" xfId="41064"/>
    <cellStyle name="Note 2 39 42 2" xfId="41065"/>
    <cellStyle name="Note 2 39 43" xfId="41066"/>
    <cellStyle name="Note 2 39 43 2" xfId="41067"/>
    <cellStyle name="Note 2 39 44" xfId="41068"/>
    <cellStyle name="Note 2 39 44 2" xfId="41069"/>
    <cellStyle name="Note 2 39 45" xfId="41070"/>
    <cellStyle name="Note 2 39 45 2" xfId="41071"/>
    <cellStyle name="Note 2 39 46" xfId="41072"/>
    <cellStyle name="Note 2 39 46 2" xfId="41073"/>
    <cellStyle name="Note 2 39 47" xfId="41074"/>
    <cellStyle name="Note 2 39 47 2" xfId="41075"/>
    <cellStyle name="Note 2 39 48" xfId="41076"/>
    <cellStyle name="Note 2 39 48 2" xfId="41077"/>
    <cellStyle name="Note 2 39 49" xfId="41078"/>
    <cellStyle name="Note 2 39 49 2" xfId="41079"/>
    <cellStyle name="Note 2 39 5" xfId="41080"/>
    <cellStyle name="Note 2 39 5 2" xfId="41081"/>
    <cellStyle name="Note 2 39 5 2 2" xfId="41082"/>
    <cellStyle name="Note 2 39 5 3" xfId="41083"/>
    <cellStyle name="Note 2 39 5 3 2" xfId="41084"/>
    <cellStyle name="Note 2 39 5 4" xfId="41085"/>
    <cellStyle name="Note 2 39 5 4 2" xfId="41086"/>
    <cellStyle name="Note 2 39 5 5" xfId="41087"/>
    <cellStyle name="Note 2 39 50" xfId="41088"/>
    <cellStyle name="Note 2 39 50 2" xfId="41089"/>
    <cellStyle name="Note 2 39 51" xfId="41090"/>
    <cellStyle name="Note 2 39 51 2" xfId="41091"/>
    <cellStyle name="Note 2 39 52" xfId="41092"/>
    <cellStyle name="Note 2 39 52 2" xfId="41093"/>
    <cellStyle name="Note 2 39 53" xfId="41094"/>
    <cellStyle name="Note 2 39 53 2" xfId="41095"/>
    <cellStyle name="Note 2 39 54" xfId="41096"/>
    <cellStyle name="Note 2 39 54 2" xfId="41097"/>
    <cellStyle name="Note 2 39 55" xfId="41098"/>
    <cellStyle name="Note 2 39 55 2" xfId="41099"/>
    <cellStyle name="Note 2 39 56" xfId="41100"/>
    <cellStyle name="Note 2 39 56 2" xfId="41101"/>
    <cellStyle name="Note 2 39 57" xfId="41102"/>
    <cellStyle name="Note 2 39 57 2" xfId="41103"/>
    <cellStyle name="Note 2 39 58" xfId="41104"/>
    <cellStyle name="Note 2 39 58 2" xfId="41105"/>
    <cellStyle name="Note 2 39 59" xfId="41106"/>
    <cellStyle name="Note 2 39 59 2" xfId="41107"/>
    <cellStyle name="Note 2 39 6" xfId="41108"/>
    <cellStyle name="Note 2 39 6 2" xfId="41109"/>
    <cellStyle name="Note 2 39 6 2 2" xfId="41110"/>
    <cellStyle name="Note 2 39 6 3" xfId="41111"/>
    <cellStyle name="Note 2 39 6 3 2" xfId="41112"/>
    <cellStyle name="Note 2 39 6 4" xfId="41113"/>
    <cellStyle name="Note 2 39 6 4 2" xfId="41114"/>
    <cellStyle name="Note 2 39 6 5" xfId="41115"/>
    <cellStyle name="Note 2 39 60" xfId="41116"/>
    <cellStyle name="Note 2 39 60 2" xfId="41117"/>
    <cellStyle name="Note 2 39 61" xfId="41118"/>
    <cellStyle name="Note 2 39 61 2" xfId="41119"/>
    <cellStyle name="Note 2 39 62" xfId="41120"/>
    <cellStyle name="Note 2 39 7" xfId="41121"/>
    <cellStyle name="Note 2 39 7 2" xfId="41122"/>
    <cellStyle name="Note 2 39 7 2 2" xfId="41123"/>
    <cellStyle name="Note 2 39 7 3" xfId="41124"/>
    <cellStyle name="Note 2 39 7 3 2" xfId="41125"/>
    <cellStyle name="Note 2 39 7 4" xfId="41126"/>
    <cellStyle name="Note 2 39 7 4 2" xfId="41127"/>
    <cellStyle name="Note 2 39 7 5" xfId="41128"/>
    <cellStyle name="Note 2 39 8" xfId="41129"/>
    <cellStyle name="Note 2 39 8 2" xfId="41130"/>
    <cellStyle name="Note 2 39 8 2 2" xfId="41131"/>
    <cellStyle name="Note 2 39 8 3" xfId="41132"/>
    <cellStyle name="Note 2 39 8 3 2" xfId="41133"/>
    <cellStyle name="Note 2 39 8 4" xfId="41134"/>
    <cellStyle name="Note 2 39 8 4 2" xfId="41135"/>
    <cellStyle name="Note 2 39 8 5" xfId="41136"/>
    <cellStyle name="Note 2 39 9" xfId="41137"/>
    <cellStyle name="Note 2 39 9 2" xfId="41138"/>
    <cellStyle name="Note 2 39 9 2 2" xfId="41139"/>
    <cellStyle name="Note 2 39 9 3" xfId="41140"/>
    <cellStyle name="Note 2 39 9 3 2" xfId="41141"/>
    <cellStyle name="Note 2 39 9 4" xfId="41142"/>
    <cellStyle name="Note 2 39 9 4 2" xfId="41143"/>
    <cellStyle name="Note 2 39 9 5" xfId="41144"/>
    <cellStyle name="Note 2 4" xfId="41145"/>
    <cellStyle name="Note 2 4 10" xfId="41146"/>
    <cellStyle name="Note 2 4 10 2" xfId="41147"/>
    <cellStyle name="Note 2 4 10 2 2" xfId="41148"/>
    <cellStyle name="Note 2 4 10 3" xfId="41149"/>
    <cellStyle name="Note 2 4 10 3 2" xfId="41150"/>
    <cellStyle name="Note 2 4 10 4" xfId="41151"/>
    <cellStyle name="Note 2 4 10 4 2" xfId="41152"/>
    <cellStyle name="Note 2 4 10 5" xfId="41153"/>
    <cellStyle name="Note 2 4 11" xfId="41154"/>
    <cellStyle name="Note 2 4 11 2" xfId="41155"/>
    <cellStyle name="Note 2 4 11 2 2" xfId="41156"/>
    <cellStyle name="Note 2 4 11 3" xfId="41157"/>
    <cellStyle name="Note 2 4 11 3 2" xfId="41158"/>
    <cellStyle name="Note 2 4 11 4" xfId="41159"/>
    <cellStyle name="Note 2 4 11 4 2" xfId="41160"/>
    <cellStyle name="Note 2 4 11 5" xfId="41161"/>
    <cellStyle name="Note 2 4 12" xfId="41162"/>
    <cellStyle name="Note 2 4 12 2" xfId="41163"/>
    <cellStyle name="Note 2 4 12 2 2" xfId="41164"/>
    <cellStyle name="Note 2 4 12 3" xfId="41165"/>
    <cellStyle name="Note 2 4 12 3 2" xfId="41166"/>
    <cellStyle name="Note 2 4 12 4" xfId="41167"/>
    <cellStyle name="Note 2 4 12 4 2" xfId="41168"/>
    <cellStyle name="Note 2 4 12 5" xfId="41169"/>
    <cellStyle name="Note 2 4 13" xfId="41170"/>
    <cellStyle name="Note 2 4 13 2" xfId="41171"/>
    <cellStyle name="Note 2 4 13 2 2" xfId="41172"/>
    <cellStyle name="Note 2 4 13 3" xfId="41173"/>
    <cellStyle name="Note 2 4 13 3 2" xfId="41174"/>
    <cellStyle name="Note 2 4 13 4" xfId="41175"/>
    <cellStyle name="Note 2 4 13 4 2" xfId="41176"/>
    <cellStyle name="Note 2 4 13 5" xfId="41177"/>
    <cellStyle name="Note 2 4 14" xfId="41178"/>
    <cellStyle name="Note 2 4 14 2" xfId="41179"/>
    <cellStyle name="Note 2 4 14 2 2" xfId="41180"/>
    <cellStyle name="Note 2 4 14 3" xfId="41181"/>
    <cellStyle name="Note 2 4 14 3 2" xfId="41182"/>
    <cellStyle name="Note 2 4 14 4" xfId="41183"/>
    <cellStyle name="Note 2 4 14 4 2" xfId="41184"/>
    <cellStyle name="Note 2 4 14 5" xfId="41185"/>
    <cellStyle name="Note 2 4 15" xfId="41186"/>
    <cellStyle name="Note 2 4 15 2" xfId="41187"/>
    <cellStyle name="Note 2 4 16" xfId="41188"/>
    <cellStyle name="Note 2 4 16 2" xfId="41189"/>
    <cellStyle name="Note 2 4 17" xfId="41190"/>
    <cellStyle name="Note 2 4 17 2" xfId="41191"/>
    <cellStyle name="Note 2 4 18" xfId="41192"/>
    <cellStyle name="Note 2 4 18 2" xfId="41193"/>
    <cellStyle name="Note 2 4 19" xfId="41194"/>
    <cellStyle name="Note 2 4 19 2" xfId="41195"/>
    <cellStyle name="Note 2 4 2" xfId="41196"/>
    <cellStyle name="Note 2 4 2 10" xfId="41197"/>
    <cellStyle name="Note 2 4 2 10 2" xfId="41198"/>
    <cellStyle name="Note 2 4 2 11" xfId="41199"/>
    <cellStyle name="Note 2 4 2 11 2" xfId="41200"/>
    <cellStyle name="Note 2 4 2 12" xfId="41201"/>
    <cellStyle name="Note 2 4 2 12 2" xfId="41202"/>
    <cellStyle name="Note 2 4 2 13" xfId="41203"/>
    <cellStyle name="Note 2 4 2 13 2" xfId="41204"/>
    <cellStyle name="Note 2 4 2 14" xfId="41205"/>
    <cellStyle name="Note 2 4 2 14 2" xfId="41206"/>
    <cellStyle name="Note 2 4 2 15" xfId="41207"/>
    <cellStyle name="Note 2 4 2 15 2" xfId="41208"/>
    <cellStyle name="Note 2 4 2 16" xfId="41209"/>
    <cellStyle name="Note 2 4 2 16 2" xfId="41210"/>
    <cellStyle name="Note 2 4 2 17" xfId="41211"/>
    <cellStyle name="Note 2 4 2 17 2" xfId="41212"/>
    <cellStyle name="Note 2 4 2 18" xfId="41213"/>
    <cellStyle name="Note 2 4 2 18 2" xfId="41214"/>
    <cellStyle name="Note 2 4 2 19" xfId="41215"/>
    <cellStyle name="Note 2 4 2 19 2" xfId="41216"/>
    <cellStyle name="Note 2 4 2 2" xfId="41217"/>
    <cellStyle name="Note 2 4 2 2 2" xfId="41218"/>
    <cellStyle name="Note 2 4 2 2 3" xfId="41219"/>
    <cellStyle name="Note 2 4 2 20" xfId="41220"/>
    <cellStyle name="Note 2 4 2 20 2" xfId="41221"/>
    <cellStyle name="Note 2 4 2 21" xfId="41222"/>
    <cellStyle name="Note 2 4 2 21 2" xfId="41223"/>
    <cellStyle name="Note 2 4 2 22" xfId="41224"/>
    <cellStyle name="Note 2 4 2 22 2" xfId="41225"/>
    <cellStyle name="Note 2 4 2 23" xfId="41226"/>
    <cellStyle name="Note 2 4 2 23 2" xfId="41227"/>
    <cellStyle name="Note 2 4 2 24" xfId="41228"/>
    <cellStyle name="Note 2 4 2 24 2" xfId="41229"/>
    <cellStyle name="Note 2 4 2 25" xfId="41230"/>
    <cellStyle name="Note 2 4 2 25 2" xfId="41231"/>
    <cellStyle name="Note 2 4 2 26" xfId="41232"/>
    <cellStyle name="Note 2 4 2 26 2" xfId="41233"/>
    <cellStyle name="Note 2 4 2 27" xfId="41234"/>
    <cellStyle name="Note 2 4 2 27 2" xfId="41235"/>
    <cellStyle name="Note 2 4 2 28" xfId="41236"/>
    <cellStyle name="Note 2 4 2 28 2" xfId="41237"/>
    <cellStyle name="Note 2 4 2 29" xfId="41238"/>
    <cellStyle name="Note 2 4 2 29 2" xfId="41239"/>
    <cellStyle name="Note 2 4 2 3" xfId="41240"/>
    <cellStyle name="Note 2 4 2 3 2" xfId="41241"/>
    <cellStyle name="Note 2 4 2 3 3" xfId="41242"/>
    <cellStyle name="Note 2 4 2 30" xfId="41243"/>
    <cellStyle name="Note 2 4 2 30 2" xfId="41244"/>
    <cellStyle name="Note 2 4 2 31" xfId="41245"/>
    <cellStyle name="Note 2 4 2 4" xfId="41246"/>
    <cellStyle name="Note 2 4 2 4 2" xfId="41247"/>
    <cellStyle name="Note 2 4 2 5" xfId="41248"/>
    <cellStyle name="Note 2 4 2 5 2" xfId="41249"/>
    <cellStyle name="Note 2 4 2 6" xfId="41250"/>
    <cellStyle name="Note 2 4 2 6 2" xfId="41251"/>
    <cellStyle name="Note 2 4 2 7" xfId="41252"/>
    <cellStyle name="Note 2 4 2 7 2" xfId="41253"/>
    <cellStyle name="Note 2 4 2 8" xfId="41254"/>
    <cellStyle name="Note 2 4 2 8 2" xfId="41255"/>
    <cellStyle name="Note 2 4 2 9" xfId="41256"/>
    <cellStyle name="Note 2 4 2 9 2" xfId="41257"/>
    <cellStyle name="Note 2 4 20" xfId="41258"/>
    <cellStyle name="Note 2 4 20 2" xfId="41259"/>
    <cellStyle name="Note 2 4 21" xfId="41260"/>
    <cellStyle name="Note 2 4 21 2" xfId="41261"/>
    <cellStyle name="Note 2 4 22" xfId="41262"/>
    <cellStyle name="Note 2 4 22 2" xfId="41263"/>
    <cellStyle name="Note 2 4 23" xfId="41264"/>
    <cellStyle name="Note 2 4 23 2" xfId="41265"/>
    <cellStyle name="Note 2 4 24" xfId="41266"/>
    <cellStyle name="Note 2 4 24 2" xfId="41267"/>
    <cellStyle name="Note 2 4 25" xfId="41268"/>
    <cellStyle name="Note 2 4 25 2" xfId="41269"/>
    <cellStyle name="Note 2 4 26" xfId="41270"/>
    <cellStyle name="Note 2 4 26 2" xfId="41271"/>
    <cellStyle name="Note 2 4 27" xfId="41272"/>
    <cellStyle name="Note 2 4 27 2" xfId="41273"/>
    <cellStyle name="Note 2 4 28" xfId="41274"/>
    <cellStyle name="Note 2 4 28 2" xfId="41275"/>
    <cellStyle name="Note 2 4 29" xfId="41276"/>
    <cellStyle name="Note 2 4 29 2" xfId="41277"/>
    <cellStyle name="Note 2 4 3" xfId="41278"/>
    <cellStyle name="Note 2 4 3 2" xfId="41279"/>
    <cellStyle name="Note 2 4 3 2 2" xfId="41280"/>
    <cellStyle name="Note 2 4 3 3" xfId="41281"/>
    <cellStyle name="Note 2 4 3 3 2" xfId="41282"/>
    <cellStyle name="Note 2 4 3 4" xfId="41283"/>
    <cellStyle name="Note 2 4 3 4 2" xfId="41284"/>
    <cellStyle name="Note 2 4 3 5" xfId="41285"/>
    <cellStyle name="Note 2 4 30" xfId="41286"/>
    <cellStyle name="Note 2 4 30 2" xfId="41287"/>
    <cellStyle name="Note 2 4 31" xfId="41288"/>
    <cellStyle name="Note 2 4 31 2" xfId="41289"/>
    <cellStyle name="Note 2 4 32" xfId="41290"/>
    <cellStyle name="Note 2 4 32 2" xfId="41291"/>
    <cellStyle name="Note 2 4 33" xfId="41292"/>
    <cellStyle name="Note 2 4 33 2" xfId="41293"/>
    <cellStyle name="Note 2 4 34" xfId="41294"/>
    <cellStyle name="Note 2 4 34 2" xfId="41295"/>
    <cellStyle name="Note 2 4 35" xfId="41296"/>
    <cellStyle name="Note 2 4 35 2" xfId="41297"/>
    <cellStyle name="Note 2 4 36" xfId="41298"/>
    <cellStyle name="Note 2 4 36 2" xfId="41299"/>
    <cellStyle name="Note 2 4 37" xfId="41300"/>
    <cellStyle name="Note 2 4 37 2" xfId="41301"/>
    <cellStyle name="Note 2 4 38" xfId="41302"/>
    <cellStyle name="Note 2 4 38 2" xfId="41303"/>
    <cellStyle name="Note 2 4 39" xfId="41304"/>
    <cellStyle name="Note 2 4 39 2" xfId="41305"/>
    <cellStyle name="Note 2 4 4" xfId="41306"/>
    <cellStyle name="Note 2 4 4 2" xfId="41307"/>
    <cellStyle name="Note 2 4 4 2 2" xfId="41308"/>
    <cellStyle name="Note 2 4 4 3" xfId="41309"/>
    <cellStyle name="Note 2 4 4 3 2" xfId="41310"/>
    <cellStyle name="Note 2 4 4 4" xfId="41311"/>
    <cellStyle name="Note 2 4 4 4 2" xfId="41312"/>
    <cellStyle name="Note 2 4 4 5" xfId="41313"/>
    <cellStyle name="Note 2 4 40" xfId="41314"/>
    <cellStyle name="Note 2 4 40 2" xfId="41315"/>
    <cellStyle name="Note 2 4 41" xfId="41316"/>
    <cellStyle name="Note 2 4 41 2" xfId="41317"/>
    <cellStyle name="Note 2 4 42" xfId="41318"/>
    <cellStyle name="Note 2 4 42 2" xfId="41319"/>
    <cellStyle name="Note 2 4 43" xfId="41320"/>
    <cellStyle name="Note 2 4 43 2" xfId="41321"/>
    <cellStyle name="Note 2 4 44" xfId="41322"/>
    <cellStyle name="Note 2 4 44 2" xfId="41323"/>
    <cellStyle name="Note 2 4 45" xfId="41324"/>
    <cellStyle name="Note 2 4 45 2" xfId="41325"/>
    <cellStyle name="Note 2 4 46" xfId="41326"/>
    <cellStyle name="Note 2 4 46 2" xfId="41327"/>
    <cellStyle name="Note 2 4 47" xfId="41328"/>
    <cellStyle name="Note 2 4 47 2" xfId="41329"/>
    <cellStyle name="Note 2 4 48" xfId="41330"/>
    <cellStyle name="Note 2 4 48 2" xfId="41331"/>
    <cellStyle name="Note 2 4 49" xfId="41332"/>
    <cellStyle name="Note 2 4 49 2" xfId="41333"/>
    <cellStyle name="Note 2 4 5" xfId="41334"/>
    <cellStyle name="Note 2 4 5 2" xfId="41335"/>
    <cellStyle name="Note 2 4 5 2 2" xfId="41336"/>
    <cellStyle name="Note 2 4 5 3" xfId="41337"/>
    <cellStyle name="Note 2 4 5 3 2" xfId="41338"/>
    <cellStyle name="Note 2 4 5 4" xfId="41339"/>
    <cellStyle name="Note 2 4 5 4 2" xfId="41340"/>
    <cellStyle name="Note 2 4 5 5" xfId="41341"/>
    <cellStyle name="Note 2 4 50" xfId="41342"/>
    <cellStyle name="Note 2 4 50 2" xfId="41343"/>
    <cellStyle name="Note 2 4 51" xfId="41344"/>
    <cellStyle name="Note 2 4 51 2" xfId="41345"/>
    <cellStyle name="Note 2 4 52" xfId="41346"/>
    <cellStyle name="Note 2 4 52 2" xfId="41347"/>
    <cellStyle name="Note 2 4 53" xfId="41348"/>
    <cellStyle name="Note 2 4 53 2" xfId="41349"/>
    <cellStyle name="Note 2 4 54" xfId="41350"/>
    <cellStyle name="Note 2 4 54 2" xfId="41351"/>
    <cellStyle name="Note 2 4 55" xfId="41352"/>
    <cellStyle name="Note 2 4 55 2" xfId="41353"/>
    <cellStyle name="Note 2 4 56" xfId="41354"/>
    <cellStyle name="Note 2 4 56 2" xfId="41355"/>
    <cellStyle name="Note 2 4 57" xfId="41356"/>
    <cellStyle name="Note 2 4 57 2" xfId="41357"/>
    <cellStyle name="Note 2 4 58" xfId="41358"/>
    <cellStyle name="Note 2 4 58 2" xfId="41359"/>
    <cellStyle name="Note 2 4 59" xfId="41360"/>
    <cellStyle name="Note 2 4 59 2" xfId="41361"/>
    <cellStyle name="Note 2 4 6" xfId="41362"/>
    <cellStyle name="Note 2 4 6 2" xfId="41363"/>
    <cellStyle name="Note 2 4 6 2 2" xfId="41364"/>
    <cellStyle name="Note 2 4 6 3" xfId="41365"/>
    <cellStyle name="Note 2 4 6 3 2" xfId="41366"/>
    <cellStyle name="Note 2 4 6 4" xfId="41367"/>
    <cellStyle name="Note 2 4 6 4 2" xfId="41368"/>
    <cellStyle name="Note 2 4 6 5" xfId="41369"/>
    <cellStyle name="Note 2 4 60" xfId="41370"/>
    <cellStyle name="Note 2 4 60 2" xfId="41371"/>
    <cellStyle name="Note 2 4 61" xfId="41372"/>
    <cellStyle name="Note 2 4 61 2" xfId="41373"/>
    <cellStyle name="Note 2 4 62" xfId="41374"/>
    <cellStyle name="Note 2 4 7" xfId="41375"/>
    <cellStyle name="Note 2 4 7 2" xfId="41376"/>
    <cellStyle name="Note 2 4 7 2 2" xfId="41377"/>
    <cellStyle name="Note 2 4 7 3" xfId="41378"/>
    <cellStyle name="Note 2 4 7 3 2" xfId="41379"/>
    <cellStyle name="Note 2 4 7 4" xfId="41380"/>
    <cellStyle name="Note 2 4 7 4 2" xfId="41381"/>
    <cellStyle name="Note 2 4 7 5" xfId="41382"/>
    <cellStyle name="Note 2 4 8" xfId="41383"/>
    <cellStyle name="Note 2 4 8 2" xfId="41384"/>
    <cellStyle name="Note 2 4 8 2 2" xfId="41385"/>
    <cellStyle name="Note 2 4 8 3" xfId="41386"/>
    <cellStyle name="Note 2 4 8 3 2" xfId="41387"/>
    <cellStyle name="Note 2 4 8 4" xfId="41388"/>
    <cellStyle name="Note 2 4 8 4 2" xfId="41389"/>
    <cellStyle name="Note 2 4 8 5" xfId="41390"/>
    <cellStyle name="Note 2 4 9" xfId="41391"/>
    <cellStyle name="Note 2 4 9 2" xfId="41392"/>
    <cellStyle name="Note 2 4 9 2 2" xfId="41393"/>
    <cellStyle name="Note 2 4 9 3" xfId="41394"/>
    <cellStyle name="Note 2 4 9 3 2" xfId="41395"/>
    <cellStyle name="Note 2 4 9 4" xfId="41396"/>
    <cellStyle name="Note 2 4 9 4 2" xfId="41397"/>
    <cellStyle name="Note 2 4 9 5" xfId="41398"/>
    <cellStyle name="Note 2 40" xfId="41399"/>
    <cellStyle name="Note 2 40 10" xfId="41400"/>
    <cellStyle name="Note 2 40 10 2" xfId="41401"/>
    <cellStyle name="Note 2 40 10 2 2" xfId="41402"/>
    <cellStyle name="Note 2 40 10 3" xfId="41403"/>
    <cellStyle name="Note 2 40 10 3 2" xfId="41404"/>
    <cellStyle name="Note 2 40 10 4" xfId="41405"/>
    <cellStyle name="Note 2 40 10 4 2" xfId="41406"/>
    <cellStyle name="Note 2 40 10 5" xfId="41407"/>
    <cellStyle name="Note 2 40 11" xfId="41408"/>
    <cellStyle name="Note 2 40 11 2" xfId="41409"/>
    <cellStyle name="Note 2 40 11 2 2" xfId="41410"/>
    <cellStyle name="Note 2 40 11 3" xfId="41411"/>
    <cellStyle name="Note 2 40 11 3 2" xfId="41412"/>
    <cellStyle name="Note 2 40 11 4" xfId="41413"/>
    <cellStyle name="Note 2 40 11 4 2" xfId="41414"/>
    <cellStyle name="Note 2 40 11 5" xfId="41415"/>
    <cellStyle name="Note 2 40 12" xfId="41416"/>
    <cellStyle name="Note 2 40 12 2" xfId="41417"/>
    <cellStyle name="Note 2 40 12 2 2" xfId="41418"/>
    <cellStyle name="Note 2 40 12 3" xfId="41419"/>
    <cellStyle name="Note 2 40 12 3 2" xfId="41420"/>
    <cellStyle name="Note 2 40 12 4" xfId="41421"/>
    <cellStyle name="Note 2 40 12 4 2" xfId="41422"/>
    <cellStyle name="Note 2 40 12 5" xfId="41423"/>
    <cellStyle name="Note 2 40 13" xfId="41424"/>
    <cellStyle name="Note 2 40 13 2" xfId="41425"/>
    <cellStyle name="Note 2 40 13 2 2" xfId="41426"/>
    <cellStyle name="Note 2 40 13 3" xfId="41427"/>
    <cellStyle name="Note 2 40 13 3 2" xfId="41428"/>
    <cellStyle name="Note 2 40 13 4" xfId="41429"/>
    <cellStyle name="Note 2 40 13 4 2" xfId="41430"/>
    <cellStyle name="Note 2 40 13 5" xfId="41431"/>
    <cellStyle name="Note 2 40 14" xfId="41432"/>
    <cellStyle name="Note 2 40 14 2" xfId="41433"/>
    <cellStyle name="Note 2 40 14 2 2" xfId="41434"/>
    <cellStyle name="Note 2 40 14 3" xfId="41435"/>
    <cellStyle name="Note 2 40 14 3 2" xfId="41436"/>
    <cellStyle name="Note 2 40 14 4" xfId="41437"/>
    <cellStyle name="Note 2 40 14 4 2" xfId="41438"/>
    <cellStyle name="Note 2 40 14 5" xfId="41439"/>
    <cellStyle name="Note 2 40 15" xfId="41440"/>
    <cellStyle name="Note 2 40 15 2" xfId="41441"/>
    <cellStyle name="Note 2 40 16" xfId="41442"/>
    <cellStyle name="Note 2 40 16 2" xfId="41443"/>
    <cellStyle name="Note 2 40 17" xfId="41444"/>
    <cellStyle name="Note 2 40 17 2" xfId="41445"/>
    <cellStyle name="Note 2 40 18" xfId="41446"/>
    <cellStyle name="Note 2 40 18 2" xfId="41447"/>
    <cellStyle name="Note 2 40 19" xfId="41448"/>
    <cellStyle name="Note 2 40 19 2" xfId="41449"/>
    <cellStyle name="Note 2 40 2" xfId="41450"/>
    <cellStyle name="Note 2 40 2 10" xfId="41451"/>
    <cellStyle name="Note 2 40 2 10 2" xfId="41452"/>
    <cellStyle name="Note 2 40 2 11" xfId="41453"/>
    <cellStyle name="Note 2 40 2 11 2" xfId="41454"/>
    <cellStyle name="Note 2 40 2 12" xfId="41455"/>
    <cellStyle name="Note 2 40 2 12 2" xfId="41456"/>
    <cellStyle name="Note 2 40 2 13" xfId="41457"/>
    <cellStyle name="Note 2 40 2 13 2" xfId="41458"/>
    <cellStyle name="Note 2 40 2 14" xfId="41459"/>
    <cellStyle name="Note 2 40 2 14 2" xfId="41460"/>
    <cellStyle name="Note 2 40 2 15" xfId="41461"/>
    <cellStyle name="Note 2 40 2 15 2" xfId="41462"/>
    <cellStyle name="Note 2 40 2 16" xfId="41463"/>
    <cellStyle name="Note 2 40 2 16 2" xfId="41464"/>
    <cellStyle name="Note 2 40 2 17" xfId="41465"/>
    <cellStyle name="Note 2 40 2 17 2" xfId="41466"/>
    <cellStyle name="Note 2 40 2 18" xfId="41467"/>
    <cellStyle name="Note 2 40 2 18 2" xfId="41468"/>
    <cellStyle name="Note 2 40 2 19" xfId="41469"/>
    <cellStyle name="Note 2 40 2 19 2" xfId="41470"/>
    <cellStyle name="Note 2 40 2 2" xfId="41471"/>
    <cellStyle name="Note 2 40 2 2 2" xfId="41472"/>
    <cellStyle name="Note 2 40 2 2 3" xfId="41473"/>
    <cellStyle name="Note 2 40 2 20" xfId="41474"/>
    <cellStyle name="Note 2 40 2 20 2" xfId="41475"/>
    <cellStyle name="Note 2 40 2 21" xfId="41476"/>
    <cellStyle name="Note 2 40 2 21 2" xfId="41477"/>
    <cellStyle name="Note 2 40 2 22" xfId="41478"/>
    <cellStyle name="Note 2 40 2 22 2" xfId="41479"/>
    <cellStyle name="Note 2 40 2 23" xfId="41480"/>
    <cellStyle name="Note 2 40 2 23 2" xfId="41481"/>
    <cellStyle name="Note 2 40 2 24" xfId="41482"/>
    <cellStyle name="Note 2 40 2 24 2" xfId="41483"/>
    <cellStyle name="Note 2 40 2 25" xfId="41484"/>
    <cellStyle name="Note 2 40 2 25 2" xfId="41485"/>
    <cellStyle name="Note 2 40 2 26" xfId="41486"/>
    <cellStyle name="Note 2 40 2 26 2" xfId="41487"/>
    <cellStyle name="Note 2 40 2 27" xfId="41488"/>
    <cellStyle name="Note 2 40 2 27 2" xfId="41489"/>
    <cellStyle name="Note 2 40 2 28" xfId="41490"/>
    <cellStyle name="Note 2 40 2 28 2" xfId="41491"/>
    <cellStyle name="Note 2 40 2 29" xfId="41492"/>
    <cellStyle name="Note 2 40 2 29 2" xfId="41493"/>
    <cellStyle name="Note 2 40 2 3" xfId="41494"/>
    <cellStyle name="Note 2 40 2 3 2" xfId="41495"/>
    <cellStyle name="Note 2 40 2 3 3" xfId="41496"/>
    <cellStyle name="Note 2 40 2 30" xfId="41497"/>
    <cellStyle name="Note 2 40 2 30 2" xfId="41498"/>
    <cellStyle name="Note 2 40 2 31" xfId="41499"/>
    <cellStyle name="Note 2 40 2 4" xfId="41500"/>
    <cellStyle name="Note 2 40 2 4 2" xfId="41501"/>
    <cellStyle name="Note 2 40 2 5" xfId="41502"/>
    <cellStyle name="Note 2 40 2 5 2" xfId="41503"/>
    <cellStyle name="Note 2 40 2 6" xfId="41504"/>
    <cellStyle name="Note 2 40 2 6 2" xfId="41505"/>
    <cellStyle name="Note 2 40 2 7" xfId="41506"/>
    <cellStyle name="Note 2 40 2 7 2" xfId="41507"/>
    <cellStyle name="Note 2 40 2 8" xfId="41508"/>
    <cellStyle name="Note 2 40 2 8 2" xfId="41509"/>
    <cellStyle name="Note 2 40 2 9" xfId="41510"/>
    <cellStyle name="Note 2 40 2 9 2" xfId="41511"/>
    <cellStyle name="Note 2 40 20" xfId="41512"/>
    <cellStyle name="Note 2 40 20 2" xfId="41513"/>
    <cellStyle name="Note 2 40 21" xfId="41514"/>
    <cellStyle name="Note 2 40 21 2" xfId="41515"/>
    <cellStyle name="Note 2 40 22" xfId="41516"/>
    <cellStyle name="Note 2 40 22 2" xfId="41517"/>
    <cellStyle name="Note 2 40 23" xfId="41518"/>
    <cellStyle name="Note 2 40 23 2" xfId="41519"/>
    <cellStyle name="Note 2 40 24" xfId="41520"/>
    <cellStyle name="Note 2 40 24 2" xfId="41521"/>
    <cellStyle name="Note 2 40 25" xfId="41522"/>
    <cellStyle name="Note 2 40 25 2" xfId="41523"/>
    <cellStyle name="Note 2 40 26" xfId="41524"/>
    <cellStyle name="Note 2 40 26 2" xfId="41525"/>
    <cellStyle name="Note 2 40 27" xfId="41526"/>
    <cellStyle name="Note 2 40 27 2" xfId="41527"/>
    <cellStyle name="Note 2 40 28" xfId="41528"/>
    <cellStyle name="Note 2 40 28 2" xfId="41529"/>
    <cellStyle name="Note 2 40 29" xfId="41530"/>
    <cellStyle name="Note 2 40 29 2" xfId="41531"/>
    <cellStyle name="Note 2 40 3" xfId="41532"/>
    <cellStyle name="Note 2 40 3 2" xfId="41533"/>
    <cellStyle name="Note 2 40 3 2 2" xfId="41534"/>
    <cellStyle name="Note 2 40 3 3" xfId="41535"/>
    <cellStyle name="Note 2 40 3 3 2" xfId="41536"/>
    <cellStyle name="Note 2 40 3 4" xfId="41537"/>
    <cellStyle name="Note 2 40 3 4 2" xfId="41538"/>
    <cellStyle name="Note 2 40 3 5" xfId="41539"/>
    <cellStyle name="Note 2 40 30" xfId="41540"/>
    <cellStyle name="Note 2 40 30 2" xfId="41541"/>
    <cellStyle name="Note 2 40 31" xfId="41542"/>
    <cellStyle name="Note 2 40 31 2" xfId="41543"/>
    <cellStyle name="Note 2 40 32" xfId="41544"/>
    <cellStyle name="Note 2 40 32 2" xfId="41545"/>
    <cellStyle name="Note 2 40 33" xfId="41546"/>
    <cellStyle name="Note 2 40 33 2" xfId="41547"/>
    <cellStyle name="Note 2 40 34" xfId="41548"/>
    <cellStyle name="Note 2 40 34 2" xfId="41549"/>
    <cellStyle name="Note 2 40 35" xfId="41550"/>
    <cellStyle name="Note 2 40 35 2" xfId="41551"/>
    <cellStyle name="Note 2 40 36" xfId="41552"/>
    <cellStyle name="Note 2 40 36 2" xfId="41553"/>
    <cellStyle name="Note 2 40 37" xfId="41554"/>
    <cellStyle name="Note 2 40 37 2" xfId="41555"/>
    <cellStyle name="Note 2 40 38" xfId="41556"/>
    <cellStyle name="Note 2 40 38 2" xfId="41557"/>
    <cellStyle name="Note 2 40 39" xfId="41558"/>
    <cellStyle name="Note 2 40 39 2" xfId="41559"/>
    <cellStyle name="Note 2 40 4" xfId="41560"/>
    <cellStyle name="Note 2 40 4 2" xfId="41561"/>
    <cellStyle name="Note 2 40 4 2 2" xfId="41562"/>
    <cellStyle name="Note 2 40 4 3" xfId="41563"/>
    <cellStyle name="Note 2 40 4 3 2" xfId="41564"/>
    <cellStyle name="Note 2 40 4 4" xfId="41565"/>
    <cellStyle name="Note 2 40 4 4 2" xfId="41566"/>
    <cellStyle name="Note 2 40 4 5" xfId="41567"/>
    <cellStyle name="Note 2 40 40" xfId="41568"/>
    <cellStyle name="Note 2 40 40 2" xfId="41569"/>
    <cellStyle name="Note 2 40 41" xfId="41570"/>
    <cellStyle name="Note 2 40 41 2" xfId="41571"/>
    <cellStyle name="Note 2 40 42" xfId="41572"/>
    <cellStyle name="Note 2 40 42 2" xfId="41573"/>
    <cellStyle name="Note 2 40 43" xfId="41574"/>
    <cellStyle name="Note 2 40 43 2" xfId="41575"/>
    <cellStyle name="Note 2 40 44" xfId="41576"/>
    <cellStyle name="Note 2 40 44 2" xfId="41577"/>
    <cellStyle name="Note 2 40 45" xfId="41578"/>
    <cellStyle name="Note 2 40 45 2" xfId="41579"/>
    <cellStyle name="Note 2 40 46" xfId="41580"/>
    <cellStyle name="Note 2 40 46 2" xfId="41581"/>
    <cellStyle name="Note 2 40 47" xfId="41582"/>
    <cellStyle name="Note 2 40 47 2" xfId="41583"/>
    <cellStyle name="Note 2 40 48" xfId="41584"/>
    <cellStyle name="Note 2 40 48 2" xfId="41585"/>
    <cellStyle name="Note 2 40 49" xfId="41586"/>
    <cellStyle name="Note 2 40 49 2" xfId="41587"/>
    <cellStyle name="Note 2 40 5" xfId="41588"/>
    <cellStyle name="Note 2 40 5 2" xfId="41589"/>
    <cellStyle name="Note 2 40 5 2 2" xfId="41590"/>
    <cellStyle name="Note 2 40 5 3" xfId="41591"/>
    <cellStyle name="Note 2 40 5 3 2" xfId="41592"/>
    <cellStyle name="Note 2 40 5 4" xfId="41593"/>
    <cellStyle name="Note 2 40 5 4 2" xfId="41594"/>
    <cellStyle name="Note 2 40 5 5" xfId="41595"/>
    <cellStyle name="Note 2 40 50" xfId="41596"/>
    <cellStyle name="Note 2 40 50 2" xfId="41597"/>
    <cellStyle name="Note 2 40 51" xfId="41598"/>
    <cellStyle name="Note 2 40 51 2" xfId="41599"/>
    <cellStyle name="Note 2 40 52" xfId="41600"/>
    <cellStyle name="Note 2 40 52 2" xfId="41601"/>
    <cellStyle name="Note 2 40 53" xfId="41602"/>
    <cellStyle name="Note 2 40 53 2" xfId="41603"/>
    <cellStyle name="Note 2 40 54" xfId="41604"/>
    <cellStyle name="Note 2 40 54 2" xfId="41605"/>
    <cellStyle name="Note 2 40 55" xfId="41606"/>
    <cellStyle name="Note 2 40 55 2" xfId="41607"/>
    <cellStyle name="Note 2 40 56" xfId="41608"/>
    <cellStyle name="Note 2 40 56 2" xfId="41609"/>
    <cellStyle name="Note 2 40 57" xfId="41610"/>
    <cellStyle name="Note 2 40 57 2" xfId="41611"/>
    <cellStyle name="Note 2 40 58" xfId="41612"/>
    <cellStyle name="Note 2 40 58 2" xfId="41613"/>
    <cellStyle name="Note 2 40 59" xfId="41614"/>
    <cellStyle name="Note 2 40 59 2" xfId="41615"/>
    <cellStyle name="Note 2 40 6" xfId="41616"/>
    <cellStyle name="Note 2 40 6 2" xfId="41617"/>
    <cellStyle name="Note 2 40 6 2 2" xfId="41618"/>
    <cellStyle name="Note 2 40 6 3" xfId="41619"/>
    <cellStyle name="Note 2 40 6 3 2" xfId="41620"/>
    <cellStyle name="Note 2 40 6 4" xfId="41621"/>
    <cellStyle name="Note 2 40 6 4 2" xfId="41622"/>
    <cellStyle name="Note 2 40 6 5" xfId="41623"/>
    <cellStyle name="Note 2 40 60" xfId="41624"/>
    <cellStyle name="Note 2 40 60 2" xfId="41625"/>
    <cellStyle name="Note 2 40 61" xfId="41626"/>
    <cellStyle name="Note 2 40 61 2" xfId="41627"/>
    <cellStyle name="Note 2 40 62" xfId="41628"/>
    <cellStyle name="Note 2 40 7" xfId="41629"/>
    <cellStyle name="Note 2 40 7 2" xfId="41630"/>
    <cellStyle name="Note 2 40 7 2 2" xfId="41631"/>
    <cellStyle name="Note 2 40 7 3" xfId="41632"/>
    <cellStyle name="Note 2 40 7 3 2" xfId="41633"/>
    <cellStyle name="Note 2 40 7 4" xfId="41634"/>
    <cellStyle name="Note 2 40 7 4 2" xfId="41635"/>
    <cellStyle name="Note 2 40 7 5" xfId="41636"/>
    <cellStyle name="Note 2 40 8" xfId="41637"/>
    <cellStyle name="Note 2 40 8 2" xfId="41638"/>
    <cellStyle name="Note 2 40 8 2 2" xfId="41639"/>
    <cellStyle name="Note 2 40 8 3" xfId="41640"/>
    <cellStyle name="Note 2 40 8 3 2" xfId="41641"/>
    <cellStyle name="Note 2 40 8 4" xfId="41642"/>
    <cellStyle name="Note 2 40 8 4 2" xfId="41643"/>
    <cellStyle name="Note 2 40 8 5" xfId="41644"/>
    <cellStyle name="Note 2 40 9" xfId="41645"/>
    <cellStyle name="Note 2 40 9 2" xfId="41646"/>
    <cellStyle name="Note 2 40 9 2 2" xfId="41647"/>
    <cellStyle name="Note 2 40 9 3" xfId="41648"/>
    <cellStyle name="Note 2 40 9 3 2" xfId="41649"/>
    <cellStyle name="Note 2 40 9 4" xfId="41650"/>
    <cellStyle name="Note 2 40 9 4 2" xfId="41651"/>
    <cellStyle name="Note 2 40 9 5" xfId="41652"/>
    <cellStyle name="Note 2 41" xfId="41653"/>
    <cellStyle name="Note 2 41 10" xfId="41654"/>
    <cellStyle name="Note 2 41 10 2" xfId="41655"/>
    <cellStyle name="Note 2 41 10 2 2" xfId="41656"/>
    <cellStyle name="Note 2 41 10 3" xfId="41657"/>
    <cellStyle name="Note 2 41 10 3 2" xfId="41658"/>
    <cellStyle name="Note 2 41 10 4" xfId="41659"/>
    <cellStyle name="Note 2 41 10 4 2" xfId="41660"/>
    <cellStyle name="Note 2 41 10 5" xfId="41661"/>
    <cellStyle name="Note 2 41 11" xfId="41662"/>
    <cellStyle name="Note 2 41 11 2" xfId="41663"/>
    <cellStyle name="Note 2 41 11 2 2" xfId="41664"/>
    <cellStyle name="Note 2 41 11 3" xfId="41665"/>
    <cellStyle name="Note 2 41 11 3 2" xfId="41666"/>
    <cellStyle name="Note 2 41 11 4" xfId="41667"/>
    <cellStyle name="Note 2 41 11 4 2" xfId="41668"/>
    <cellStyle name="Note 2 41 11 5" xfId="41669"/>
    <cellStyle name="Note 2 41 12" xfId="41670"/>
    <cellStyle name="Note 2 41 12 2" xfId="41671"/>
    <cellStyle name="Note 2 41 12 2 2" xfId="41672"/>
    <cellStyle name="Note 2 41 12 3" xfId="41673"/>
    <cellStyle name="Note 2 41 12 3 2" xfId="41674"/>
    <cellStyle name="Note 2 41 12 4" xfId="41675"/>
    <cellStyle name="Note 2 41 12 4 2" xfId="41676"/>
    <cellStyle name="Note 2 41 12 5" xfId="41677"/>
    <cellStyle name="Note 2 41 13" xfId="41678"/>
    <cellStyle name="Note 2 41 13 2" xfId="41679"/>
    <cellStyle name="Note 2 41 13 2 2" xfId="41680"/>
    <cellStyle name="Note 2 41 13 3" xfId="41681"/>
    <cellStyle name="Note 2 41 13 3 2" xfId="41682"/>
    <cellStyle name="Note 2 41 13 4" xfId="41683"/>
    <cellStyle name="Note 2 41 13 4 2" xfId="41684"/>
    <cellStyle name="Note 2 41 13 5" xfId="41685"/>
    <cellStyle name="Note 2 41 14" xfId="41686"/>
    <cellStyle name="Note 2 41 14 2" xfId="41687"/>
    <cellStyle name="Note 2 41 14 2 2" xfId="41688"/>
    <cellStyle name="Note 2 41 14 3" xfId="41689"/>
    <cellStyle name="Note 2 41 14 3 2" xfId="41690"/>
    <cellStyle name="Note 2 41 14 4" xfId="41691"/>
    <cellStyle name="Note 2 41 14 4 2" xfId="41692"/>
    <cellStyle name="Note 2 41 14 5" xfId="41693"/>
    <cellStyle name="Note 2 41 15" xfId="41694"/>
    <cellStyle name="Note 2 41 15 2" xfId="41695"/>
    <cellStyle name="Note 2 41 16" xfId="41696"/>
    <cellStyle name="Note 2 41 16 2" xfId="41697"/>
    <cellStyle name="Note 2 41 17" xfId="41698"/>
    <cellStyle name="Note 2 41 17 2" xfId="41699"/>
    <cellStyle name="Note 2 41 18" xfId="41700"/>
    <cellStyle name="Note 2 41 18 2" xfId="41701"/>
    <cellStyle name="Note 2 41 19" xfId="41702"/>
    <cellStyle name="Note 2 41 19 2" xfId="41703"/>
    <cellStyle name="Note 2 41 2" xfId="41704"/>
    <cellStyle name="Note 2 41 2 10" xfId="41705"/>
    <cellStyle name="Note 2 41 2 10 2" xfId="41706"/>
    <cellStyle name="Note 2 41 2 11" xfId="41707"/>
    <cellStyle name="Note 2 41 2 11 2" xfId="41708"/>
    <cellStyle name="Note 2 41 2 12" xfId="41709"/>
    <cellStyle name="Note 2 41 2 12 2" xfId="41710"/>
    <cellStyle name="Note 2 41 2 13" xfId="41711"/>
    <cellStyle name="Note 2 41 2 13 2" xfId="41712"/>
    <cellStyle name="Note 2 41 2 14" xfId="41713"/>
    <cellStyle name="Note 2 41 2 14 2" xfId="41714"/>
    <cellStyle name="Note 2 41 2 15" xfId="41715"/>
    <cellStyle name="Note 2 41 2 15 2" xfId="41716"/>
    <cellStyle name="Note 2 41 2 16" xfId="41717"/>
    <cellStyle name="Note 2 41 2 16 2" xfId="41718"/>
    <cellStyle name="Note 2 41 2 17" xfId="41719"/>
    <cellStyle name="Note 2 41 2 17 2" xfId="41720"/>
    <cellStyle name="Note 2 41 2 18" xfId="41721"/>
    <cellStyle name="Note 2 41 2 18 2" xfId="41722"/>
    <cellStyle name="Note 2 41 2 19" xfId="41723"/>
    <cellStyle name="Note 2 41 2 19 2" xfId="41724"/>
    <cellStyle name="Note 2 41 2 2" xfId="41725"/>
    <cellStyle name="Note 2 41 2 2 2" xfId="41726"/>
    <cellStyle name="Note 2 41 2 2 3" xfId="41727"/>
    <cellStyle name="Note 2 41 2 20" xfId="41728"/>
    <cellStyle name="Note 2 41 2 20 2" xfId="41729"/>
    <cellStyle name="Note 2 41 2 21" xfId="41730"/>
    <cellStyle name="Note 2 41 2 21 2" xfId="41731"/>
    <cellStyle name="Note 2 41 2 22" xfId="41732"/>
    <cellStyle name="Note 2 41 2 22 2" xfId="41733"/>
    <cellStyle name="Note 2 41 2 23" xfId="41734"/>
    <cellStyle name="Note 2 41 2 23 2" xfId="41735"/>
    <cellStyle name="Note 2 41 2 24" xfId="41736"/>
    <cellStyle name="Note 2 41 2 24 2" xfId="41737"/>
    <cellStyle name="Note 2 41 2 25" xfId="41738"/>
    <cellStyle name="Note 2 41 2 25 2" xfId="41739"/>
    <cellStyle name="Note 2 41 2 26" xfId="41740"/>
    <cellStyle name="Note 2 41 2 26 2" xfId="41741"/>
    <cellStyle name="Note 2 41 2 27" xfId="41742"/>
    <cellStyle name="Note 2 41 2 27 2" xfId="41743"/>
    <cellStyle name="Note 2 41 2 28" xfId="41744"/>
    <cellStyle name="Note 2 41 2 28 2" xfId="41745"/>
    <cellStyle name="Note 2 41 2 29" xfId="41746"/>
    <cellStyle name="Note 2 41 2 29 2" xfId="41747"/>
    <cellStyle name="Note 2 41 2 3" xfId="41748"/>
    <cellStyle name="Note 2 41 2 3 2" xfId="41749"/>
    <cellStyle name="Note 2 41 2 3 3" xfId="41750"/>
    <cellStyle name="Note 2 41 2 30" xfId="41751"/>
    <cellStyle name="Note 2 41 2 30 2" xfId="41752"/>
    <cellStyle name="Note 2 41 2 31" xfId="41753"/>
    <cellStyle name="Note 2 41 2 4" xfId="41754"/>
    <cellStyle name="Note 2 41 2 4 2" xfId="41755"/>
    <cellStyle name="Note 2 41 2 5" xfId="41756"/>
    <cellStyle name="Note 2 41 2 5 2" xfId="41757"/>
    <cellStyle name="Note 2 41 2 6" xfId="41758"/>
    <cellStyle name="Note 2 41 2 6 2" xfId="41759"/>
    <cellStyle name="Note 2 41 2 7" xfId="41760"/>
    <cellStyle name="Note 2 41 2 7 2" xfId="41761"/>
    <cellStyle name="Note 2 41 2 8" xfId="41762"/>
    <cellStyle name="Note 2 41 2 8 2" xfId="41763"/>
    <cellStyle name="Note 2 41 2 9" xfId="41764"/>
    <cellStyle name="Note 2 41 2 9 2" xfId="41765"/>
    <cellStyle name="Note 2 41 20" xfId="41766"/>
    <cellStyle name="Note 2 41 20 2" xfId="41767"/>
    <cellStyle name="Note 2 41 21" xfId="41768"/>
    <cellStyle name="Note 2 41 21 2" xfId="41769"/>
    <cellStyle name="Note 2 41 22" xfId="41770"/>
    <cellStyle name="Note 2 41 22 2" xfId="41771"/>
    <cellStyle name="Note 2 41 23" xfId="41772"/>
    <cellStyle name="Note 2 41 23 2" xfId="41773"/>
    <cellStyle name="Note 2 41 24" xfId="41774"/>
    <cellStyle name="Note 2 41 24 2" xfId="41775"/>
    <cellStyle name="Note 2 41 25" xfId="41776"/>
    <cellStyle name="Note 2 41 25 2" xfId="41777"/>
    <cellStyle name="Note 2 41 26" xfId="41778"/>
    <cellStyle name="Note 2 41 26 2" xfId="41779"/>
    <cellStyle name="Note 2 41 27" xfId="41780"/>
    <cellStyle name="Note 2 41 27 2" xfId="41781"/>
    <cellStyle name="Note 2 41 28" xfId="41782"/>
    <cellStyle name="Note 2 41 28 2" xfId="41783"/>
    <cellStyle name="Note 2 41 29" xfId="41784"/>
    <cellStyle name="Note 2 41 29 2" xfId="41785"/>
    <cellStyle name="Note 2 41 3" xfId="41786"/>
    <cellStyle name="Note 2 41 3 2" xfId="41787"/>
    <cellStyle name="Note 2 41 3 2 2" xfId="41788"/>
    <cellStyle name="Note 2 41 3 3" xfId="41789"/>
    <cellStyle name="Note 2 41 3 3 2" xfId="41790"/>
    <cellStyle name="Note 2 41 3 4" xfId="41791"/>
    <cellStyle name="Note 2 41 3 4 2" xfId="41792"/>
    <cellStyle name="Note 2 41 3 5" xfId="41793"/>
    <cellStyle name="Note 2 41 30" xfId="41794"/>
    <cellStyle name="Note 2 41 30 2" xfId="41795"/>
    <cellStyle name="Note 2 41 31" xfId="41796"/>
    <cellStyle name="Note 2 41 31 2" xfId="41797"/>
    <cellStyle name="Note 2 41 32" xfId="41798"/>
    <cellStyle name="Note 2 41 32 2" xfId="41799"/>
    <cellStyle name="Note 2 41 33" xfId="41800"/>
    <cellStyle name="Note 2 41 33 2" xfId="41801"/>
    <cellStyle name="Note 2 41 34" xfId="41802"/>
    <cellStyle name="Note 2 41 34 2" xfId="41803"/>
    <cellStyle name="Note 2 41 35" xfId="41804"/>
    <cellStyle name="Note 2 41 35 2" xfId="41805"/>
    <cellStyle name="Note 2 41 36" xfId="41806"/>
    <cellStyle name="Note 2 41 36 2" xfId="41807"/>
    <cellStyle name="Note 2 41 37" xfId="41808"/>
    <cellStyle name="Note 2 41 37 2" xfId="41809"/>
    <cellStyle name="Note 2 41 38" xfId="41810"/>
    <cellStyle name="Note 2 41 38 2" xfId="41811"/>
    <cellStyle name="Note 2 41 39" xfId="41812"/>
    <cellStyle name="Note 2 41 39 2" xfId="41813"/>
    <cellStyle name="Note 2 41 4" xfId="41814"/>
    <cellStyle name="Note 2 41 4 2" xfId="41815"/>
    <cellStyle name="Note 2 41 4 2 2" xfId="41816"/>
    <cellStyle name="Note 2 41 4 3" xfId="41817"/>
    <cellStyle name="Note 2 41 4 3 2" xfId="41818"/>
    <cellStyle name="Note 2 41 4 4" xfId="41819"/>
    <cellStyle name="Note 2 41 4 4 2" xfId="41820"/>
    <cellStyle name="Note 2 41 4 5" xfId="41821"/>
    <cellStyle name="Note 2 41 40" xfId="41822"/>
    <cellStyle name="Note 2 41 40 2" xfId="41823"/>
    <cellStyle name="Note 2 41 41" xfId="41824"/>
    <cellStyle name="Note 2 41 41 2" xfId="41825"/>
    <cellStyle name="Note 2 41 42" xfId="41826"/>
    <cellStyle name="Note 2 41 42 2" xfId="41827"/>
    <cellStyle name="Note 2 41 43" xfId="41828"/>
    <cellStyle name="Note 2 41 43 2" xfId="41829"/>
    <cellStyle name="Note 2 41 44" xfId="41830"/>
    <cellStyle name="Note 2 41 44 2" xfId="41831"/>
    <cellStyle name="Note 2 41 45" xfId="41832"/>
    <cellStyle name="Note 2 41 45 2" xfId="41833"/>
    <cellStyle name="Note 2 41 46" xfId="41834"/>
    <cellStyle name="Note 2 41 46 2" xfId="41835"/>
    <cellStyle name="Note 2 41 47" xfId="41836"/>
    <cellStyle name="Note 2 41 47 2" xfId="41837"/>
    <cellStyle name="Note 2 41 48" xfId="41838"/>
    <cellStyle name="Note 2 41 48 2" xfId="41839"/>
    <cellStyle name="Note 2 41 49" xfId="41840"/>
    <cellStyle name="Note 2 41 49 2" xfId="41841"/>
    <cellStyle name="Note 2 41 5" xfId="41842"/>
    <cellStyle name="Note 2 41 5 2" xfId="41843"/>
    <cellStyle name="Note 2 41 5 2 2" xfId="41844"/>
    <cellStyle name="Note 2 41 5 3" xfId="41845"/>
    <cellStyle name="Note 2 41 5 3 2" xfId="41846"/>
    <cellStyle name="Note 2 41 5 4" xfId="41847"/>
    <cellStyle name="Note 2 41 5 4 2" xfId="41848"/>
    <cellStyle name="Note 2 41 5 5" xfId="41849"/>
    <cellStyle name="Note 2 41 50" xfId="41850"/>
    <cellStyle name="Note 2 41 50 2" xfId="41851"/>
    <cellStyle name="Note 2 41 51" xfId="41852"/>
    <cellStyle name="Note 2 41 51 2" xfId="41853"/>
    <cellStyle name="Note 2 41 52" xfId="41854"/>
    <cellStyle name="Note 2 41 52 2" xfId="41855"/>
    <cellStyle name="Note 2 41 53" xfId="41856"/>
    <cellStyle name="Note 2 41 53 2" xfId="41857"/>
    <cellStyle name="Note 2 41 54" xfId="41858"/>
    <cellStyle name="Note 2 41 54 2" xfId="41859"/>
    <cellStyle name="Note 2 41 55" xfId="41860"/>
    <cellStyle name="Note 2 41 55 2" xfId="41861"/>
    <cellStyle name="Note 2 41 56" xfId="41862"/>
    <cellStyle name="Note 2 41 56 2" xfId="41863"/>
    <cellStyle name="Note 2 41 57" xfId="41864"/>
    <cellStyle name="Note 2 41 57 2" xfId="41865"/>
    <cellStyle name="Note 2 41 58" xfId="41866"/>
    <cellStyle name="Note 2 41 58 2" xfId="41867"/>
    <cellStyle name="Note 2 41 59" xfId="41868"/>
    <cellStyle name="Note 2 41 59 2" xfId="41869"/>
    <cellStyle name="Note 2 41 6" xfId="41870"/>
    <cellStyle name="Note 2 41 6 2" xfId="41871"/>
    <cellStyle name="Note 2 41 6 2 2" xfId="41872"/>
    <cellStyle name="Note 2 41 6 3" xfId="41873"/>
    <cellStyle name="Note 2 41 6 3 2" xfId="41874"/>
    <cellStyle name="Note 2 41 6 4" xfId="41875"/>
    <cellStyle name="Note 2 41 6 4 2" xfId="41876"/>
    <cellStyle name="Note 2 41 6 5" xfId="41877"/>
    <cellStyle name="Note 2 41 60" xfId="41878"/>
    <cellStyle name="Note 2 41 60 2" xfId="41879"/>
    <cellStyle name="Note 2 41 61" xfId="41880"/>
    <cellStyle name="Note 2 41 61 2" xfId="41881"/>
    <cellStyle name="Note 2 41 62" xfId="41882"/>
    <cellStyle name="Note 2 41 7" xfId="41883"/>
    <cellStyle name="Note 2 41 7 2" xfId="41884"/>
    <cellStyle name="Note 2 41 7 2 2" xfId="41885"/>
    <cellStyle name="Note 2 41 7 3" xfId="41886"/>
    <cellStyle name="Note 2 41 7 3 2" xfId="41887"/>
    <cellStyle name="Note 2 41 7 4" xfId="41888"/>
    <cellStyle name="Note 2 41 7 4 2" xfId="41889"/>
    <cellStyle name="Note 2 41 7 5" xfId="41890"/>
    <cellStyle name="Note 2 41 8" xfId="41891"/>
    <cellStyle name="Note 2 41 8 2" xfId="41892"/>
    <cellStyle name="Note 2 41 8 2 2" xfId="41893"/>
    <cellStyle name="Note 2 41 8 3" xfId="41894"/>
    <cellStyle name="Note 2 41 8 3 2" xfId="41895"/>
    <cellStyle name="Note 2 41 8 4" xfId="41896"/>
    <cellStyle name="Note 2 41 8 4 2" xfId="41897"/>
    <cellStyle name="Note 2 41 8 5" xfId="41898"/>
    <cellStyle name="Note 2 41 9" xfId="41899"/>
    <cellStyle name="Note 2 41 9 2" xfId="41900"/>
    <cellStyle name="Note 2 41 9 2 2" xfId="41901"/>
    <cellStyle name="Note 2 41 9 3" xfId="41902"/>
    <cellStyle name="Note 2 41 9 3 2" xfId="41903"/>
    <cellStyle name="Note 2 41 9 4" xfId="41904"/>
    <cellStyle name="Note 2 41 9 4 2" xfId="41905"/>
    <cellStyle name="Note 2 41 9 5" xfId="41906"/>
    <cellStyle name="Note 2 42" xfId="41907"/>
    <cellStyle name="Note 2 42 10" xfId="41908"/>
    <cellStyle name="Note 2 42 10 10" xfId="41909"/>
    <cellStyle name="Note 2 42 10 2" xfId="41910"/>
    <cellStyle name="Note 2 42 10 2 2" xfId="41911"/>
    <cellStyle name="Note 2 42 10 3" xfId="41912"/>
    <cellStyle name="Note 2 42 10 3 2" xfId="41913"/>
    <cellStyle name="Note 2 42 10 4" xfId="41914"/>
    <cellStyle name="Note 2 42 10 4 2" xfId="41915"/>
    <cellStyle name="Note 2 42 10 5" xfId="41916"/>
    <cellStyle name="Note 2 42 10 5 2" xfId="41917"/>
    <cellStyle name="Note 2 42 10 6" xfId="41918"/>
    <cellStyle name="Note 2 42 10 6 2" xfId="41919"/>
    <cellStyle name="Note 2 42 10 7" xfId="41920"/>
    <cellStyle name="Note 2 42 10 7 2" xfId="41921"/>
    <cellStyle name="Note 2 42 10 8" xfId="41922"/>
    <cellStyle name="Note 2 42 10 8 2" xfId="41923"/>
    <cellStyle name="Note 2 42 10 9" xfId="41924"/>
    <cellStyle name="Note 2 42 10 9 2" xfId="41925"/>
    <cellStyle name="Note 2 42 11" xfId="41926"/>
    <cellStyle name="Note 2 42 11 10" xfId="41927"/>
    <cellStyle name="Note 2 42 11 2" xfId="41928"/>
    <cellStyle name="Note 2 42 11 2 2" xfId="41929"/>
    <cellStyle name="Note 2 42 11 3" xfId="41930"/>
    <cellStyle name="Note 2 42 11 3 2" xfId="41931"/>
    <cellStyle name="Note 2 42 11 4" xfId="41932"/>
    <cellStyle name="Note 2 42 11 4 2" xfId="41933"/>
    <cellStyle name="Note 2 42 11 5" xfId="41934"/>
    <cellStyle name="Note 2 42 11 5 2" xfId="41935"/>
    <cellStyle name="Note 2 42 11 6" xfId="41936"/>
    <cellStyle name="Note 2 42 11 6 2" xfId="41937"/>
    <cellStyle name="Note 2 42 11 7" xfId="41938"/>
    <cellStyle name="Note 2 42 11 7 2" xfId="41939"/>
    <cellStyle name="Note 2 42 11 8" xfId="41940"/>
    <cellStyle name="Note 2 42 11 8 2" xfId="41941"/>
    <cellStyle name="Note 2 42 11 9" xfId="41942"/>
    <cellStyle name="Note 2 42 11 9 2" xfId="41943"/>
    <cellStyle name="Note 2 42 12" xfId="41944"/>
    <cellStyle name="Note 2 42 12 10" xfId="41945"/>
    <cellStyle name="Note 2 42 12 2" xfId="41946"/>
    <cellStyle name="Note 2 42 12 2 2" xfId="41947"/>
    <cellStyle name="Note 2 42 12 3" xfId="41948"/>
    <cellStyle name="Note 2 42 12 3 2" xfId="41949"/>
    <cellStyle name="Note 2 42 12 4" xfId="41950"/>
    <cellStyle name="Note 2 42 12 4 2" xfId="41951"/>
    <cellStyle name="Note 2 42 12 5" xfId="41952"/>
    <cellStyle name="Note 2 42 12 5 2" xfId="41953"/>
    <cellStyle name="Note 2 42 12 6" xfId="41954"/>
    <cellStyle name="Note 2 42 12 6 2" xfId="41955"/>
    <cellStyle name="Note 2 42 12 7" xfId="41956"/>
    <cellStyle name="Note 2 42 12 7 2" xfId="41957"/>
    <cellStyle name="Note 2 42 12 8" xfId="41958"/>
    <cellStyle name="Note 2 42 12 8 2" xfId="41959"/>
    <cellStyle name="Note 2 42 12 9" xfId="41960"/>
    <cellStyle name="Note 2 42 12 9 2" xfId="41961"/>
    <cellStyle name="Note 2 42 13" xfId="41962"/>
    <cellStyle name="Note 2 42 13 10" xfId="41963"/>
    <cellStyle name="Note 2 42 13 2" xfId="41964"/>
    <cellStyle name="Note 2 42 13 2 2" xfId="41965"/>
    <cellStyle name="Note 2 42 13 3" xfId="41966"/>
    <cellStyle name="Note 2 42 13 3 2" xfId="41967"/>
    <cellStyle name="Note 2 42 13 4" xfId="41968"/>
    <cellStyle name="Note 2 42 13 4 2" xfId="41969"/>
    <cellStyle name="Note 2 42 13 5" xfId="41970"/>
    <cellStyle name="Note 2 42 13 5 2" xfId="41971"/>
    <cellStyle name="Note 2 42 13 6" xfId="41972"/>
    <cellStyle name="Note 2 42 13 6 2" xfId="41973"/>
    <cellStyle name="Note 2 42 13 7" xfId="41974"/>
    <cellStyle name="Note 2 42 13 7 2" xfId="41975"/>
    <cellStyle name="Note 2 42 13 8" xfId="41976"/>
    <cellStyle name="Note 2 42 13 8 2" xfId="41977"/>
    <cellStyle name="Note 2 42 13 9" xfId="41978"/>
    <cellStyle name="Note 2 42 13 9 2" xfId="41979"/>
    <cellStyle name="Note 2 42 14" xfId="41980"/>
    <cellStyle name="Note 2 42 14 10" xfId="41981"/>
    <cellStyle name="Note 2 42 14 2" xfId="41982"/>
    <cellStyle name="Note 2 42 14 2 2" xfId="41983"/>
    <cellStyle name="Note 2 42 14 3" xfId="41984"/>
    <cellStyle name="Note 2 42 14 3 2" xfId="41985"/>
    <cellStyle name="Note 2 42 14 4" xfId="41986"/>
    <cellStyle name="Note 2 42 14 4 2" xfId="41987"/>
    <cellStyle name="Note 2 42 14 5" xfId="41988"/>
    <cellStyle name="Note 2 42 14 5 2" xfId="41989"/>
    <cellStyle name="Note 2 42 14 6" xfId="41990"/>
    <cellStyle name="Note 2 42 14 6 2" xfId="41991"/>
    <cellStyle name="Note 2 42 14 7" xfId="41992"/>
    <cellStyle name="Note 2 42 14 7 2" xfId="41993"/>
    <cellStyle name="Note 2 42 14 8" xfId="41994"/>
    <cellStyle name="Note 2 42 14 8 2" xfId="41995"/>
    <cellStyle name="Note 2 42 14 9" xfId="41996"/>
    <cellStyle name="Note 2 42 14 9 2" xfId="41997"/>
    <cellStyle name="Note 2 42 15" xfId="41998"/>
    <cellStyle name="Note 2 42 15 10" xfId="41999"/>
    <cellStyle name="Note 2 42 15 2" xfId="42000"/>
    <cellStyle name="Note 2 42 15 2 2" xfId="42001"/>
    <cellStyle name="Note 2 42 15 3" xfId="42002"/>
    <cellStyle name="Note 2 42 15 3 2" xfId="42003"/>
    <cellStyle name="Note 2 42 15 4" xfId="42004"/>
    <cellStyle name="Note 2 42 15 4 2" xfId="42005"/>
    <cellStyle name="Note 2 42 15 5" xfId="42006"/>
    <cellStyle name="Note 2 42 15 5 2" xfId="42007"/>
    <cellStyle name="Note 2 42 15 6" xfId="42008"/>
    <cellStyle name="Note 2 42 15 6 2" xfId="42009"/>
    <cellStyle name="Note 2 42 15 7" xfId="42010"/>
    <cellStyle name="Note 2 42 15 7 2" xfId="42011"/>
    <cellStyle name="Note 2 42 15 8" xfId="42012"/>
    <cellStyle name="Note 2 42 15 8 2" xfId="42013"/>
    <cellStyle name="Note 2 42 15 9" xfId="42014"/>
    <cellStyle name="Note 2 42 15 9 2" xfId="42015"/>
    <cellStyle name="Note 2 42 16" xfId="42016"/>
    <cellStyle name="Note 2 42 16 10" xfId="42017"/>
    <cellStyle name="Note 2 42 16 11" xfId="42018"/>
    <cellStyle name="Note 2 42 16 2" xfId="42019"/>
    <cellStyle name="Note 2 42 16 2 2" xfId="42020"/>
    <cellStyle name="Note 2 42 16 2 3" xfId="42021"/>
    <cellStyle name="Note 2 42 16 2 4" xfId="42022"/>
    <cellStyle name="Note 2 42 16 2 5" xfId="42023"/>
    <cellStyle name="Note 2 42 16 2 6" xfId="42024"/>
    <cellStyle name="Note 2 42 16 3" xfId="42025"/>
    <cellStyle name="Note 2 42 16 3 2" xfId="42026"/>
    <cellStyle name="Note 2 42 16 4" xfId="42027"/>
    <cellStyle name="Note 2 42 16 4 2" xfId="42028"/>
    <cellStyle name="Note 2 42 16 5" xfId="42029"/>
    <cellStyle name="Note 2 42 16 5 2" xfId="42030"/>
    <cellStyle name="Note 2 42 16 6" xfId="42031"/>
    <cellStyle name="Note 2 42 16 6 2" xfId="42032"/>
    <cellStyle name="Note 2 42 16 7" xfId="42033"/>
    <cellStyle name="Note 2 42 16 7 2" xfId="42034"/>
    <cellStyle name="Note 2 42 16 8" xfId="42035"/>
    <cellStyle name="Note 2 42 16 9" xfId="42036"/>
    <cellStyle name="Note 2 42 17" xfId="42037"/>
    <cellStyle name="Note 2 42 17 2" xfId="42038"/>
    <cellStyle name="Note 2 42 18" xfId="42039"/>
    <cellStyle name="Note 2 42 18 2" xfId="42040"/>
    <cellStyle name="Note 2 42 19" xfId="42041"/>
    <cellStyle name="Note 2 42 19 2" xfId="42042"/>
    <cellStyle name="Note 2 42 2" xfId="42043"/>
    <cellStyle name="Note 2 42 2 10" xfId="42044"/>
    <cellStyle name="Note 2 42 2 10 2" xfId="42045"/>
    <cellStyle name="Note 2 42 2 11" xfId="42046"/>
    <cellStyle name="Note 2 42 2 11 2" xfId="42047"/>
    <cellStyle name="Note 2 42 2 12" xfId="42048"/>
    <cellStyle name="Note 2 42 2 12 2" xfId="42049"/>
    <cellStyle name="Note 2 42 2 13" xfId="42050"/>
    <cellStyle name="Note 2 42 2 13 2" xfId="42051"/>
    <cellStyle name="Note 2 42 2 14" xfId="42052"/>
    <cellStyle name="Note 2 42 2 14 2" xfId="42053"/>
    <cellStyle name="Note 2 42 2 15" xfId="42054"/>
    <cellStyle name="Note 2 42 2 15 2" xfId="42055"/>
    <cellStyle name="Note 2 42 2 16" xfId="42056"/>
    <cellStyle name="Note 2 42 2 16 2" xfId="42057"/>
    <cellStyle name="Note 2 42 2 17" xfId="42058"/>
    <cellStyle name="Note 2 42 2 17 2" xfId="42059"/>
    <cellStyle name="Note 2 42 2 18" xfId="42060"/>
    <cellStyle name="Note 2 42 2 18 2" xfId="42061"/>
    <cellStyle name="Note 2 42 2 19" xfId="42062"/>
    <cellStyle name="Note 2 42 2 19 2" xfId="42063"/>
    <cellStyle name="Note 2 42 2 2" xfId="42064"/>
    <cellStyle name="Note 2 42 2 2 2" xfId="42065"/>
    <cellStyle name="Note 2 42 2 2 2 2" xfId="42066"/>
    <cellStyle name="Note 2 42 2 2 3" xfId="42067"/>
    <cellStyle name="Note 2 42 2 2 3 2" xfId="42068"/>
    <cellStyle name="Note 2 42 2 2 4" xfId="42069"/>
    <cellStyle name="Note 2 42 2 2 4 2" xfId="42070"/>
    <cellStyle name="Note 2 42 2 2 5" xfId="42071"/>
    <cellStyle name="Note 2 42 2 2 5 2" xfId="42072"/>
    <cellStyle name="Note 2 42 2 2 6" xfId="42073"/>
    <cellStyle name="Note 2 42 2 2 6 2" xfId="42074"/>
    <cellStyle name="Note 2 42 2 2 7" xfId="42075"/>
    <cellStyle name="Note 2 42 2 2 7 2" xfId="42076"/>
    <cellStyle name="Note 2 42 2 2 8" xfId="42077"/>
    <cellStyle name="Note 2 42 2 20" xfId="42078"/>
    <cellStyle name="Note 2 42 2 20 2" xfId="42079"/>
    <cellStyle name="Note 2 42 2 21" xfId="42080"/>
    <cellStyle name="Note 2 42 2 21 2" xfId="42081"/>
    <cellStyle name="Note 2 42 2 22" xfId="42082"/>
    <cellStyle name="Note 2 42 2 22 2" xfId="42083"/>
    <cellStyle name="Note 2 42 2 23" xfId="42084"/>
    <cellStyle name="Note 2 42 2 23 2" xfId="42085"/>
    <cellStyle name="Note 2 42 2 24" xfId="42086"/>
    <cellStyle name="Note 2 42 2 3" xfId="42087"/>
    <cellStyle name="Note 2 42 2 3 2" xfId="42088"/>
    <cellStyle name="Note 2 42 2 3 2 2" xfId="42089"/>
    <cellStyle name="Note 2 42 2 3 3" xfId="42090"/>
    <cellStyle name="Note 2 42 2 3 3 2" xfId="42091"/>
    <cellStyle name="Note 2 42 2 3 4" xfId="42092"/>
    <cellStyle name="Note 2 42 2 3 4 2" xfId="42093"/>
    <cellStyle name="Note 2 42 2 3 5" xfId="42094"/>
    <cellStyle name="Note 2 42 2 3 5 2" xfId="42095"/>
    <cellStyle name="Note 2 42 2 3 6" xfId="42096"/>
    <cellStyle name="Note 2 42 2 3 6 2" xfId="42097"/>
    <cellStyle name="Note 2 42 2 3 7" xfId="42098"/>
    <cellStyle name="Note 2 42 2 3 7 2" xfId="42099"/>
    <cellStyle name="Note 2 42 2 3 8" xfId="42100"/>
    <cellStyle name="Note 2 42 2 4" xfId="42101"/>
    <cellStyle name="Note 2 42 2 4 2" xfId="42102"/>
    <cellStyle name="Note 2 42 2 5" xfId="42103"/>
    <cellStyle name="Note 2 42 2 5 2" xfId="42104"/>
    <cellStyle name="Note 2 42 2 6" xfId="42105"/>
    <cellStyle name="Note 2 42 2 6 2" xfId="42106"/>
    <cellStyle name="Note 2 42 2 7" xfId="42107"/>
    <cellStyle name="Note 2 42 2 7 2" xfId="42108"/>
    <cellStyle name="Note 2 42 2 8" xfId="42109"/>
    <cellStyle name="Note 2 42 2 8 2" xfId="42110"/>
    <cellStyle name="Note 2 42 2 9" xfId="42111"/>
    <cellStyle name="Note 2 42 2 9 2" xfId="42112"/>
    <cellStyle name="Note 2 42 20" xfId="42113"/>
    <cellStyle name="Note 2 42 20 2" xfId="42114"/>
    <cellStyle name="Note 2 42 21" xfId="42115"/>
    <cellStyle name="Note 2 42 21 2" xfId="42116"/>
    <cellStyle name="Note 2 42 22" xfId="42117"/>
    <cellStyle name="Note 2 42 22 2" xfId="42118"/>
    <cellStyle name="Note 2 42 23" xfId="42119"/>
    <cellStyle name="Note 2 42 23 2" xfId="42120"/>
    <cellStyle name="Note 2 42 24" xfId="42121"/>
    <cellStyle name="Note 2 42 24 2" xfId="42122"/>
    <cellStyle name="Note 2 42 25" xfId="42123"/>
    <cellStyle name="Note 2 42 25 2" xfId="42124"/>
    <cellStyle name="Note 2 42 26" xfId="42125"/>
    <cellStyle name="Note 2 42 26 2" xfId="42126"/>
    <cellStyle name="Note 2 42 27" xfId="42127"/>
    <cellStyle name="Note 2 42 27 2" xfId="42128"/>
    <cellStyle name="Note 2 42 28" xfId="42129"/>
    <cellStyle name="Note 2 42 28 2" xfId="42130"/>
    <cellStyle name="Note 2 42 29" xfId="42131"/>
    <cellStyle name="Note 2 42 29 2" xfId="42132"/>
    <cellStyle name="Note 2 42 3" xfId="42133"/>
    <cellStyle name="Note 2 42 3 10" xfId="42134"/>
    <cellStyle name="Note 2 42 3 2" xfId="42135"/>
    <cellStyle name="Note 2 42 3 2 2" xfId="42136"/>
    <cellStyle name="Note 2 42 3 2 2 2" xfId="42137"/>
    <cellStyle name="Note 2 42 3 2 3" xfId="42138"/>
    <cellStyle name="Note 2 42 3 2 3 2" xfId="42139"/>
    <cellStyle name="Note 2 42 3 2 4" xfId="42140"/>
    <cellStyle name="Note 2 42 3 2 4 2" xfId="42141"/>
    <cellStyle name="Note 2 42 3 2 5" xfId="42142"/>
    <cellStyle name="Note 2 42 3 2 5 2" xfId="42143"/>
    <cellStyle name="Note 2 42 3 2 6" xfId="42144"/>
    <cellStyle name="Note 2 42 3 2 6 2" xfId="42145"/>
    <cellStyle name="Note 2 42 3 2 7" xfId="42146"/>
    <cellStyle name="Note 2 42 3 2 7 2" xfId="42147"/>
    <cellStyle name="Note 2 42 3 2 8" xfId="42148"/>
    <cellStyle name="Note 2 42 3 3" xfId="42149"/>
    <cellStyle name="Note 2 42 3 3 2" xfId="42150"/>
    <cellStyle name="Note 2 42 3 4" xfId="42151"/>
    <cellStyle name="Note 2 42 3 4 2" xfId="42152"/>
    <cellStyle name="Note 2 42 3 5" xfId="42153"/>
    <cellStyle name="Note 2 42 3 5 2" xfId="42154"/>
    <cellStyle name="Note 2 42 3 6" xfId="42155"/>
    <cellStyle name="Note 2 42 3 6 2" xfId="42156"/>
    <cellStyle name="Note 2 42 3 7" xfId="42157"/>
    <cellStyle name="Note 2 42 3 7 2" xfId="42158"/>
    <cellStyle name="Note 2 42 3 8" xfId="42159"/>
    <cellStyle name="Note 2 42 3 8 2" xfId="42160"/>
    <cellStyle name="Note 2 42 3 9" xfId="42161"/>
    <cellStyle name="Note 2 42 3 9 2" xfId="42162"/>
    <cellStyle name="Note 2 42 30" xfId="42163"/>
    <cellStyle name="Note 2 42 30 2" xfId="42164"/>
    <cellStyle name="Note 2 42 31" xfId="42165"/>
    <cellStyle name="Note 2 42 31 2" xfId="42166"/>
    <cellStyle name="Note 2 42 32" xfId="42167"/>
    <cellStyle name="Note 2 42 32 2" xfId="42168"/>
    <cellStyle name="Note 2 42 33" xfId="42169"/>
    <cellStyle name="Note 2 42 33 2" xfId="42170"/>
    <cellStyle name="Note 2 42 34" xfId="42171"/>
    <cellStyle name="Note 2 42 34 2" xfId="42172"/>
    <cellStyle name="Note 2 42 35" xfId="42173"/>
    <cellStyle name="Note 2 42 35 2" xfId="42174"/>
    <cellStyle name="Note 2 42 36" xfId="42175"/>
    <cellStyle name="Note 2 42 36 2" xfId="42176"/>
    <cellStyle name="Note 2 42 37" xfId="42177"/>
    <cellStyle name="Note 2 42 37 2" xfId="42178"/>
    <cellStyle name="Note 2 42 38" xfId="42179"/>
    <cellStyle name="Note 2 42 38 2" xfId="42180"/>
    <cellStyle name="Note 2 42 39" xfId="42181"/>
    <cellStyle name="Note 2 42 39 2" xfId="42182"/>
    <cellStyle name="Note 2 42 4" xfId="42183"/>
    <cellStyle name="Note 2 42 4 10" xfId="42184"/>
    <cellStyle name="Note 2 42 4 11" xfId="42185"/>
    <cellStyle name="Note 2 42 4 12" xfId="42186"/>
    <cellStyle name="Note 2 42 4 13" xfId="42187"/>
    <cellStyle name="Note 2 42 4 2" xfId="42188"/>
    <cellStyle name="Note 2 42 4 2 2" xfId="42189"/>
    <cellStyle name="Note 2 42 4 2 2 2" xfId="42190"/>
    <cellStyle name="Note 2 42 4 2 3" xfId="42191"/>
    <cellStyle name="Note 2 42 4 2 3 2" xfId="42192"/>
    <cellStyle name="Note 2 42 4 2 4" xfId="42193"/>
    <cellStyle name="Note 2 42 4 2 4 2" xfId="42194"/>
    <cellStyle name="Note 2 42 4 2 5" xfId="42195"/>
    <cellStyle name="Note 2 42 4 2 5 2" xfId="42196"/>
    <cellStyle name="Note 2 42 4 2 6" xfId="42197"/>
    <cellStyle name="Note 2 42 4 2 6 2" xfId="42198"/>
    <cellStyle name="Note 2 42 4 2 7" xfId="42199"/>
    <cellStyle name="Note 2 42 4 2 7 2" xfId="42200"/>
    <cellStyle name="Note 2 42 4 2 8" xfId="42201"/>
    <cellStyle name="Note 2 42 4 3" xfId="42202"/>
    <cellStyle name="Note 2 42 4 3 2" xfId="42203"/>
    <cellStyle name="Note 2 42 4 4" xfId="42204"/>
    <cellStyle name="Note 2 42 4 4 2" xfId="42205"/>
    <cellStyle name="Note 2 42 4 5" xfId="42206"/>
    <cellStyle name="Note 2 42 4 5 2" xfId="42207"/>
    <cellStyle name="Note 2 42 4 5 3" xfId="42208"/>
    <cellStyle name="Note 2 42 4 5 4" xfId="42209"/>
    <cellStyle name="Note 2 42 4 5 5" xfId="42210"/>
    <cellStyle name="Note 2 42 4 5 6" xfId="42211"/>
    <cellStyle name="Note 2 42 4 6" xfId="42212"/>
    <cellStyle name="Note 2 42 4 6 2" xfId="42213"/>
    <cellStyle name="Note 2 42 4 7" xfId="42214"/>
    <cellStyle name="Note 2 42 4 7 2" xfId="42215"/>
    <cellStyle name="Note 2 42 4 8" xfId="42216"/>
    <cellStyle name="Note 2 42 4 8 2" xfId="42217"/>
    <cellStyle name="Note 2 42 4 9" xfId="42218"/>
    <cellStyle name="Note 2 42 4 9 2" xfId="42219"/>
    <cellStyle name="Note 2 42 40" xfId="42220"/>
    <cellStyle name="Note 2 42 40 2" xfId="42221"/>
    <cellStyle name="Note 2 42 41" xfId="42222"/>
    <cellStyle name="Note 2 42 41 2" xfId="42223"/>
    <cellStyle name="Note 2 42 42" xfId="42224"/>
    <cellStyle name="Note 2 42 42 2" xfId="42225"/>
    <cellStyle name="Note 2 42 43" xfId="42226"/>
    <cellStyle name="Note 2 42 43 2" xfId="42227"/>
    <cellStyle name="Note 2 42 44" xfId="42228"/>
    <cellStyle name="Note 2 42 44 2" xfId="42229"/>
    <cellStyle name="Note 2 42 45" xfId="42230"/>
    <cellStyle name="Note 2 42 45 2" xfId="42231"/>
    <cellStyle name="Note 2 42 46" xfId="42232"/>
    <cellStyle name="Note 2 42 46 2" xfId="42233"/>
    <cellStyle name="Note 2 42 47" xfId="42234"/>
    <cellStyle name="Note 2 42 47 2" xfId="42235"/>
    <cellStyle name="Note 2 42 48" xfId="42236"/>
    <cellStyle name="Note 2 42 48 2" xfId="42237"/>
    <cellStyle name="Note 2 42 49" xfId="42238"/>
    <cellStyle name="Note 2 42 49 2" xfId="42239"/>
    <cellStyle name="Note 2 42 49 3" xfId="42240"/>
    <cellStyle name="Note 2 42 49 4" xfId="42241"/>
    <cellStyle name="Note 2 42 49 5" xfId="42242"/>
    <cellStyle name="Note 2 42 49 6" xfId="42243"/>
    <cellStyle name="Note 2 42 5" xfId="42244"/>
    <cellStyle name="Note 2 42 5 10" xfId="42245"/>
    <cellStyle name="Note 2 42 5 2" xfId="42246"/>
    <cellStyle name="Note 2 42 5 2 2" xfId="42247"/>
    <cellStyle name="Note 2 42 5 3" xfId="42248"/>
    <cellStyle name="Note 2 42 5 3 2" xfId="42249"/>
    <cellStyle name="Note 2 42 5 4" xfId="42250"/>
    <cellStyle name="Note 2 42 5 4 2" xfId="42251"/>
    <cellStyle name="Note 2 42 5 5" xfId="42252"/>
    <cellStyle name="Note 2 42 5 5 2" xfId="42253"/>
    <cellStyle name="Note 2 42 5 6" xfId="42254"/>
    <cellStyle name="Note 2 42 5 6 2" xfId="42255"/>
    <cellStyle name="Note 2 42 5 7" xfId="42256"/>
    <cellStyle name="Note 2 42 5 7 2" xfId="42257"/>
    <cellStyle name="Note 2 42 5 8" xfId="42258"/>
    <cellStyle name="Note 2 42 5 8 2" xfId="42259"/>
    <cellStyle name="Note 2 42 5 9" xfId="42260"/>
    <cellStyle name="Note 2 42 5 9 2" xfId="42261"/>
    <cellStyle name="Note 2 42 50" xfId="42262"/>
    <cellStyle name="Note 2 42 50 2" xfId="42263"/>
    <cellStyle name="Note 2 42 51" xfId="42264"/>
    <cellStyle name="Note 2 42 51 2" xfId="42265"/>
    <cellStyle name="Note 2 42 52" xfId="42266"/>
    <cellStyle name="Note 2 42 52 2" xfId="42267"/>
    <cellStyle name="Note 2 42 53" xfId="42268"/>
    <cellStyle name="Note 2 42 53 2" xfId="42269"/>
    <cellStyle name="Note 2 42 54" xfId="42270"/>
    <cellStyle name="Note 2 42 55" xfId="42271"/>
    <cellStyle name="Note 2 42 56" xfId="42272"/>
    <cellStyle name="Note 2 42 57" xfId="42273"/>
    <cellStyle name="Note 2 42 6" xfId="42274"/>
    <cellStyle name="Note 2 42 6 10" xfId="42275"/>
    <cellStyle name="Note 2 42 6 2" xfId="42276"/>
    <cellStyle name="Note 2 42 6 2 2" xfId="42277"/>
    <cellStyle name="Note 2 42 6 3" xfId="42278"/>
    <cellStyle name="Note 2 42 6 3 2" xfId="42279"/>
    <cellStyle name="Note 2 42 6 4" xfId="42280"/>
    <cellStyle name="Note 2 42 6 4 2" xfId="42281"/>
    <cellStyle name="Note 2 42 6 5" xfId="42282"/>
    <cellStyle name="Note 2 42 6 5 2" xfId="42283"/>
    <cellStyle name="Note 2 42 6 6" xfId="42284"/>
    <cellStyle name="Note 2 42 6 6 2" xfId="42285"/>
    <cellStyle name="Note 2 42 6 7" xfId="42286"/>
    <cellStyle name="Note 2 42 6 7 2" xfId="42287"/>
    <cellStyle name="Note 2 42 6 8" xfId="42288"/>
    <cellStyle name="Note 2 42 6 8 2" xfId="42289"/>
    <cellStyle name="Note 2 42 6 9" xfId="42290"/>
    <cellStyle name="Note 2 42 6 9 2" xfId="42291"/>
    <cellStyle name="Note 2 42 7" xfId="42292"/>
    <cellStyle name="Note 2 42 7 10" xfId="42293"/>
    <cellStyle name="Note 2 42 7 2" xfId="42294"/>
    <cellStyle name="Note 2 42 7 2 2" xfId="42295"/>
    <cellStyle name="Note 2 42 7 3" xfId="42296"/>
    <cellStyle name="Note 2 42 7 3 2" xfId="42297"/>
    <cellStyle name="Note 2 42 7 4" xfId="42298"/>
    <cellStyle name="Note 2 42 7 4 2" xfId="42299"/>
    <cellStyle name="Note 2 42 7 5" xfId="42300"/>
    <cellStyle name="Note 2 42 7 5 2" xfId="42301"/>
    <cellStyle name="Note 2 42 7 6" xfId="42302"/>
    <cellStyle name="Note 2 42 7 6 2" xfId="42303"/>
    <cellStyle name="Note 2 42 7 7" xfId="42304"/>
    <cellStyle name="Note 2 42 7 7 2" xfId="42305"/>
    <cellStyle name="Note 2 42 7 8" xfId="42306"/>
    <cellStyle name="Note 2 42 7 8 2" xfId="42307"/>
    <cellStyle name="Note 2 42 7 9" xfId="42308"/>
    <cellStyle name="Note 2 42 7 9 2" xfId="42309"/>
    <cellStyle name="Note 2 42 8" xfId="42310"/>
    <cellStyle name="Note 2 42 8 10" xfId="42311"/>
    <cellStyle name="Note 2 42 8 2" xfId="42312"/>
    <cellStyle name="Note 2 42 8 2 2" xfId="42313"/>
    <cellStyle name="Note 2 42 8 3" xfId="42314"/>
    <cellStyle name="Note 2 42 8 3 2" xfId="42315"/>
    <cellStyle name="Note 2 42 8 4" xfId="42316"/>
    <cellStyle name="Note 2 42 8 4 2" xfId="42317"/>
    <cellStyle name="Note 2 42 8 5" xfId="42318"/>
    <cellStyle name="Note 2 42 8 5 2" xfId="42319"/>
    <cellStyle name="Note 2 42 8 6" xfId="42320"/>
    <cellStyle name="Note 2 42 8 6 2" xfId="42321"/>
    <cellStyle name="Note 2 42 8 7" xfId="42322"/>
    <cellStyle name="Note 2 42 8 7 2" xfId="42323"/>
    <cellStyle name="Note 2 42 8 8" xfId="42324"/>
    <cellStyle name="Note 2 42 8 8 2" xfId="42325"/>
    <cellStyle name="Note 2 42 8 9" xfId="42326"/>
    <cellStyle name="Note 2 42 8 9 2" xfId="42327"/>
    <cellStyle name="Note 2 42 9" xfId="42328"/>
    <cellStyle name="Note 2 42 9 10" xfId="42329"/>
    <cellStyle name="Note 2 42 9 2" xfId="42330"/>
    <cellStyle name="Note 2 42 9 2 2" xfId="42331"/>
    <cellStyle name="Note 2 42 9 3" xfId="42332"/>
    <cellStyle name="Note 2 42 9 3 2" xfId="42333"/>
    <cellStyle name="Note 2 42 9 4" xfId="42334"/>
    <cellStyle name="Note 2 42 9 4 2" xfId="42335"/>
    <cellStyle name="Note 2 42 9 5" xfId="42336"/>
    <cellStyle name="Note 2 42 9 5 2" xfId="42337"/>
    <cellStyle name="Note 2 42 9 6" xfId="42338"/>
    <cellStyle name="Note 2 42 9 6 2" xfId="42339"/>
    <cellStyle name="Note 2 42 9 7" xfId="42340"/>
    <cellStyle name="Note 2 42 9 7 2" xfId="42341"/>
    <cellStyle name="Note 2 42 9 8" xfId="42342"/>
    <cellStyle name="Note 2 42 9 8 2" xfId="42343"/>
    <cellStyle name="Note 2 42 9 9" xfId="42344"/>
    <cellStyle name="Note 2 42 9 9 2" xfId="42345"/>
    <cellStyle name="Note 2 43" xfId="42346"/>
    <cellStyle name="Note 2 43 10" xfId="42347"/>
    <cellStyle name="Note 2 43 10 2" xfId="42348"/>
    <cellStyle name="Note 2 43 11" xfId="42349"/>
    <cellStyle name="Note 2 43 11 2" xfId="42350"/>
    <cellStyle name="Note 2 43 12" xfId="42351"/>
    <cellStyle name="Note 2 43 12 2" xfId="42352"/>
    <cellStyle name="Note 2 43 13" xfId="42353"/>
    <cellStyle name="Note 2 43 13 2" xfId="42354"/>
    <cellStyle name="Note 2 43 14" xfId="42355"/>
    <cellStyle name="Note 2 43 14 2" xfId="42356"/>
    <cellStyle name="Note 2 43 15" xfId="42357"/>
    <cellStyle name="Note 2 43 15 2" xfId="42358"/>
    <cellStyle name="Note 2 43 16" xfId="42359"/>
    <cellStyle name="Note 2 43 16 2" xfId="42360"/>
    <cellStyle name="Note 2 43 17" xfId="42361"/>
    <cellStyle name="Note 2 43 17 2" xfId="42362"/>
    <cellStyle name="Note 2 43 18" xfId="42363"/>
    <cellStyle name="Note 2 43 18 2" xfId="42364"/>
    <cellStyle name="Note 2 43 19" xfId="42365"/>
    <cellStyle name="Note 2 43 19 2" xfId="42366"/>
    <cellStyle name="Note 2 43 2" xfId="42367"/>
    <cellStyle name="Note 2 43 2 2" xfId="42368"/>
    <cellStyle name="Note 2 43 2 3" xfId="42369"/>
    <cellStyle name="Note 2 43 20" xfId="42370"/>
    <cellStyle name="Note 2 43 20 2" xfId="42371"/>
    <cellStyle name="Note 2 43 21" xfId="42372"/>
    <cellStyle name="Note 2 43 21 2" xfId="42373"/>
    <cellStyle name="Note 2 43 22" xfId="42374"/>
    <cellStyle name="Note 2 43 22 2" xfId="42375"/>
    <cellStyle name="Note 2 43 23" xfId="42376"/>
    <cellStyle name="Note 2 43 23 2" xfId="42377"/>
    <cellStyle name="Note 2 43 24" xfId="42378"/>
    <cellStyle name="Note 2 43 24 2" xfId="42379"/>
    <cellStyle name="Note 2 43 25" xfId="42380"/>
    <cellStyle name="Note 2 43 25 2" xfId="42381"/>
    <cellStyle name="Note 2 43 26" xfId="42382"/>
    <cellStyle name="Note 2 43 26 2" xfId="42383"/>
    <cellStyle name="Note 2 43 27" xfId="42384"/>
    <cellStyle name="Note 2 43 27 2" xfId="42385"/>
    <cellStyle name="Note 2 43 28" xfId="42386"/>
    <cellStyle name="Note 2 43 28 2" xfId="42387"/>
    <cellStyle name="Note 2 43 29" xfId="42388"/>
    <cellStyle name="Note 2 43 29 2" xfId="42389"/>
    <cellStyle name="Note 2 43 3" xfId="42390"/>
    <cellStyle name="Note 2 43 3 2" xfId="42391"/>
    <cellStyle name="Note 2 43 3 3" xfId="42392"/>
    <cellStyle name="Note 2 43 30" xfId="42393"/>
    <cellStyle name="Note 2 43 30 2" xfId="42394"/>
    <cellStyle name="Note 2 43 31" xfId="42395"/>
    <cellStyle name="Note 2 43 4" xfId="42396"/>
    <cellStyle name="Note 2 43 4 2" xfId="42397"/>
    <cellStyle name="Note 2 43 5" xfId="42398"/>
    <cellStyle name="Note 2 43 5 2" xfId="42399"/>
    <cellStyle name="Note 2 43 6" xfId="42400"/>
    <cellStyle name="Note 2 43 6 2" xfId="42401"/>
    <cellStyle name="Note 2 43 7" xfId="42402"/>
    <cellStyle name="Note 2 43 7 2" xfId="42403"/>
    <cellStyle name="Note 2 43 8" xfId="42404"/>
    <cellStyle name="Note 2 43 8 2" xfId="42405"/>
    <cellStyle name="Note 2 43 9" xfId="42406"/>
    <cellStyle name="Note 2 43 9 2" xfId="42407"/>
    <cellStyle name="Note 2 44" xfId="42408"/>
    <cellStyle name="Note 2 44 2" xfId="42409"/>
    <cellStyle name="Note 2 44 2 2" xfId="42410"/>
    <cellStyle name="Note 2 44 3" xfId="42411"/>
    <cellStyle name="Note 2 44 3 2" xfId="42412"/>
    <cellStyle name="Note 2 44 4" xfId="42413"/>
    <cellStyle name="Note 2 44 4 2" xfId="42414"/>
    <cellStyle name="Note 2 44 5" xfId="42415"/>
    <cellStyle name="Note 2 45" xfId="42416"/>
    <cellStyle name="Note 2 45 10" xfId="42417"/>
    <cellStyle name="Note 2 45 11" xfId="42418"/>
    <cellStyle name="Note 2 45 12" xfId="42419"/>
    <cellStyle name="Note 2 45 13" xfId="42420"/>
    <cellStyle name="Note 2 45 2" xfId="42421"/>
    <cellStyle name="Note 2 45 2 2" xfId="42422"/>
    <cellStyle name="Note 2 45 2 3" xfId="42423"/>
    <cellStyle name="Note 2 45 3" xfId="42424"/>
    <cellStyle name="Note 2 45 3 2" xfId="42425"/>
    <cellStyle name="Note 2 45 4" xfId="42426"/>
    <cellStyle name="Note 2 45 4 2" xfId="42427"/>
    <cellStyle name="Note 2 45 5" xfId="42428"/>
    <cellStyle name="Note 2 45 5 2" xfId="42429"/>
    <cellStyle name="Note 2 45 5 3" xfId="42430"/>
    <cellStyle name="Note 2 45 5 4" xfId="42431"/>
    <cellStyle name="Note 2 45 5 5" xfId="42432"/>
    <cellStyle name="Note 2 45 5 6" xfId="42433"/>
    <cellStyle name="Note 2 45 6" xfId="42434"/>
    <cellStyle name="Note 2 45 6 2" xfId="42435"/>
    <cellStyle name="Note 2 45 7" xfId="42436"/>
    <cellStyle name="Note 2 45 7 2" xfId="42437"/>
    <cellStyle name="Note 2 45 8" xfId="42438"/>
    <cellStyle name="Note 2 45 8 2" xfId="42439"/>
    <cellStyle name="Note 2 45 9" xfId="42440"/>
    <cellStyle name="Note 2 45 9 2" xfId="42441"/>
    <cellStyle name="Note 2 46" xfId="42442"/>
    <cellStyle name="Note 2 46 10" xfId="42443"/>
    <cellStyle name="Note 2 46 11" xfId="42444"/>
    <cellStyle name="Note 2 46 12" xfId="42445"/>
    <cellStyle name="Note 2 46 13" xfId="42446"/>
    <cellStyle name="Note 2 46 2" xfId="42447"/>
    <cellStyle name="Note 2 46 2 2" xfId="42448"/>
    <cellStyle name="Note 2 46 2 3" xfId="42449"/>
    <cellStyle name="Note 2 46 3" xfId="42450"/>
    <cellStyle name="Note 2 46 3 2" xfId="42451"/>
    <cellStyle name="Note 2 46 4" xfId="42452"/>
    <cellStyle name="Note 2 46 4 2" xfId="42453"/>
    <cellStyle name="Note 2 46 5" xfId="42454"/>
    <cellStyle name="Note 2 46 5 2" xfId="42455"/>
    <cellStyle name="Note 2 46 5 3" xfId="42456"/>
    <cellStyle name="Note 2 46 5 4" xfId="42457"/>
    <cellStyle name="Note 2 46 5 5" xfId="42458"/>
    <cellStyle name="Note 2 46 5 6" xfId="42459"/>
    <cellStyle name="Note 2 46 6" xfId="42460"/>
    <cellStyle name="Note 2 46 6 2" xfId="42461"/>
    <cellStyle name="Note 2 46 7" xfId="42462"/>
    <cellStyle name="Note 2 46 7 2" xfId="42463"/>
    <cellStyle name="Note 2 46 8" xfId="42464"/>
    <cellStyle name="Note 2 46 8 2" xfId="42465"/>
    <cellStyle name="Note 2 46 9" xfId="42466"/>
    <cellStyle name="Note 2 46 9 2" xfId="42467"/>
    <cellStyle name="Note 2 47" xfId="42468"/>
    <cellStyle name="Note 2 47 10" xfId="42469"/>
    <cellStyle name="Note 2 47 11" xfId="42470"/>
    <cellStyle name="Note 2 47 12" xfId="42471"/>
    <cellStyle name="Note 2 47 13" xfId="42472"/>
    <cellStyle name="Note 2 47 2" xfId="42473"/>
    <cellStyle name="Note 2 47 2 2" xfId="42474"/>
    <cellStyle name="Note 2 47 2 3" xfId="42475"/>
    <cellStyle name="Note 2 47 3" xfId="42476"/>
    <cellStyle name="Note 2 47 3 2" xfId="42477"/>
    <cellStyle name="Note 2 47 4" xfId="42478"/>
    <cellStyle name="Note 2 47 4 2" xfId="42479"/>
    <cellStyle name="Note 2 47 5" xfId="42480"/>
    <cellStyle name="Note 2 47 5 2" xfId="42481"/>
    <cellStyle name="Note 2 47 5 3" xfId="42482"/>
    <cellStyle name="Note 2 47 5 4" xfId="42483"/>
    <cellStyle name="Note 2 47 5 5" xfId="42484"/>
    <cellStyle name="Note 2 47 5 6" xfId="42485"/>
    <cellStyle name="Note 2 47 6" xfId="42486"/>
    <cellStyle name="Note 2 47 6 2" xfId="42487"/>
    <cellStyle name="Note 2 47 7" xfId="42488"/>
    <cellStyle name="Note 2 47 7 2" xfId="42489"/>
    <cellStyle name="Note 2 47 8" xfId="42490"/>
    <cellStyle name="Note 2 47 8 2" xfId="42491"/>
    <cellStyle name="Note 2 47 9" xfId="42492"/>
    <cellStyle name="Note 2 47 9 2" xfId="42493"/>
    <cellStyle name="Note 2 48" xfId="42494"/>
    <cellStyle name="Note 2 48 10" xfId="42495"/>
    <cellStyle name="Note 2 48 11" xfId="42496"/>
    <cellStyle name="Note 2 48 12" xfId="42497"/>
    <cellStyle name="Note 2 48 13" xfId="42498"/>
    <cellStyle name="Note 2 48 2" xfId="42499"/>
    <cellStyle name="Note 2 48 2 2" xfId="42500"/>
    <cellStyle name="Note 2 48 2 3" xfId="42501"/>
    <cellStyle name="Note 2 48 3" xfId="42502"/>
    <cellStyle name="Note 2 48 3 2" xfId="42503"/>
    <cellStyle name="Note 2 48 4" xfId="42504"/>
    <cellStyle name="Note 2 48 4 2" xfId="42505"/>
    <cellStyle name="Note 2 48 5" xfId="42506"/>
    <cellStyle name="Note 2 48 5 2" xfId="42507"/>
    <cellStyle name="Note 2 48 5 3" xfId="42508"/>
    <cellStyle name="Note 2 48 5 4" xfId="42509"/>
    <cellStyle name="Note 2 48 5 5" xfId="42510"/>
    <cellStyle name="Note 2 48 5 6" xfId="42511"/>
    <cellStyle name="Note 2 48 6" xfId="42512"/>
    <cellStyle name="Note 2 48 6 2" xfId="42513"/>
    <cellStyle name="Note 2 48 7" xfId="42514"/>
    <cellStyle name="Note 2 48 7 2" xfId="42515"/>
    <cellStyle name="Note 2 48 8" xfId="42516"/>
    <cellStyle name="Note 2 48 8 2" xfId="42517"/>
    <cellStyle name="Note 2 48 9" xfId="42518"/>
    <cellStyle name="Note 2 48 9 2" xfId="42519"/>
    <cellStyle name="Note 2 49" xfId="42520"/>
    <cellStyle name="Note 2 49 10" xfId="42521"/>
    <cellStyle name="Note 2 49 11" xfId="42522"/>
    <cellStyle name="Note 2 49 12" xfId="42523"/>
    <cellStyle name="Note 2 49 13" xfId="42524"/>
    <cellStyle name="Note 2 49 2" xfId="42525"/>
    <cellStyle name="Note 2 49 2 2" xfId="42526"/>
    <cellStyle name="Note 2 49 2 3" xfId="42527"/>
    <cellStyle name="Note 2 49 3" xfId="42528"/>
    <cellStyle name="Note 2 49 3 2" xfId="42529"/>
    <cellStyle name="Note 2 49 4" xfId="42530"/>
    <cellStyle name="Note 2 49 4 2" xfId="42531"/>
    <cellStyle name="Note 2 49 5" xfId="42532"/>
    <cellStyle name="Note 2 49 5 2" xfId="42533"/>
    <cellStyle name="Note 2 49 5 3" xfId="42534"/>
    <cellStyle name="Note 2 49 5 4" xfId="42535"/>
    <cellStyle name="Note 2 49 5 5" xfId="42536"/>
    <cellStyle name="Note 2 49 5 6" xfId="42537"/>
    <cellStyle name="Note 2 49 6" xfId="42538"/>
    <cellStyle name="Note 2 49 6 2" xfId="42539"/>
    <cellStyle name="Note 2 49 7" xfId="42540"/>
    <cellStyle name="Note 2 49 7 2" xfId="42541"/>
    <cellStyle name="Note 2 49 8" xfId="42542"/>
    <cellStyle name="Note 2 49 8 2" xfId="42543"/>
    <cellStyle name="Note 2 49 9" xfId="42544"/>
    <cellStyle name="Note 2 49 9 2" xfId="42545"/>
    <cellStyle name="Note 2 5" xfId="42546"/>
    <cellStyle name="Note 2 5 10" xfId="42547"/>
    <cellStyle name="Note 2 5 10 2" xfId="42548"/>
    <cellStyle name="Note 2 5 10 2 2" xfId="42549"/>
    <cellStyle name="Note 2 5 10 3" xfId="42550"/>
    <cellStyle name="Note 2 5 10 3 2" xfId="42551"/>
    <cellStyle name="Note 2 5 10 4" xfId="42552"/>
    <cellStyle name="Note 2 5 10 4 2" xfId="42553"/>
    <cellStyle name="Note 2 5 10 5" xfId="42554"/>
    <cellStyle name="Note 2 5 11" xfId="42555"/>
    <cellStyle name="Note 2 5 11 2" xfId="42556"/>
    <cellStyle name="Note 2 5 11 2 2" xfId="42557"/>
    <cellStyle name="Note 2 5 11 3" xfId="42558"/>
    <cellStyle name="Note 2 5 11 3 2" xfId="42559"/>
    <cellStyle name="Note 2 5 11 4" xfId="42560"/>
    <cellStyle name="Note 2 5 11 4 2" xfId="42561"/>
    <cellStyle name="Note 2 5 11 5" xfId="42562"/>
    <cellStyle name="Note 2 5 12" xfId="42563"/>
    <cellStyle name="Note 2 5 12 2" xfId="42564"/>
    <cellStyle name="Note 2 5 12 2 2" xfId="42565"/>
    <cellStyle name="Note 2 5 12 3" xfId="42566"/>
    <cellStyle name="Note 2 5 12 3 2" xfId="42567"/>
    <cellStyle name="Note 2 5 12 4" xfId="42568"/>
    <cellStyle name="Note 2 5 12 4 2" xfId="42569"/>
    <cellStyle name="Note 2 5 12 5" xfId="42570"/>
    <cellStyle name="Note 2 5 13" xfId="42571"/>
    <cellStyle name="Note 2 5 13 2" xfId="42572"/>
    <cellStyle name="Note 2 5 13 2 2" xfId="42573"/>
    <cellStyle name="Note 2 5 13 3" xfId="42574"/>
    <cellStyle name="Note 2 5 13 3 2" xfId="42575"/>
    <cellStyle name="Note 2 5 13 4" xfId="42576"/>
    <cellStyle name="Note 2 5 13 4 2" xfId="42577"/>
    <cellStyle name="Note 2 5 13 5" xfId="42578"/>
    <cellStyle name="Note 2 5 14" xfId="42579"/>
    <cellStyle name="Note 2 5 14 2" xfId="42580"/>
    <cellStyle name="Note 2 5 14 2 2" xfId="42581"/>
    <cellStyle name="Note 2 5 14 3" xfId="42582"/>
    <cellStyle name="Note 2 5 14 3 2" xfId="42583"/>
    <cellStyle name="Note 2 5 14 4" xfId="42584"/>
    <cellStyle name="Note 2 5 14 4 2" xfId="42585"/>
    <cellStyle name="Note 2 5 14 5" xfId="42586"/>
    <cellStyle name="Note 2 5 15" xfId="42587"/>
    <cellStyle name="Note 2 5 15 2" xfId="42588"/>
    <cellStyle name="Note 2 5 16" xfId="42589"/>
    <cellStyle name="Note 2 5 16 2" xfId="42590"/>
    <cellStyle name="Note 2 5 17" xfId="42591"/>
    <cellStyle name="Note 2 5 17 2" xfId="42592"/>
    <cellStyle name="Note 2 5 18" xfId="42593"/>
    <cellStyle name="Note 2 5 18 2" xfId="42594"/>
    <cellStyle name="Note 2 5 19" xfId="42595"/>
    <cellStyle name="Note 2 5 19 2" xfId="42596"/>
    <cellStyle name="Note 2 5 2" xfId="42597"/>
    <cellStyle name="Note 2 5 2 10" xfId="42598"/>
    <cellStyle name="Note 2 5 2 10 2" xfId="42599"/>
    <cellStyle name="Note 2 5 2 11" xfId="42600"/>
    <cellStyle name="Note 2 5 2 11 2" xfId="42601"/>
    <cellStyle name="Note 2 5 2 12" xfId="42602"/>
    <cellStyle name="Note 2 5 2 12 2" xfId="42603"/>
    <cellStyle name="Note 2 5 2 13" xfId="42604"/>
    <cellStyle name="Note 2 5 2 13 2" xfId="42605"/>
    <cellStyle name="Note 2 5 2 14" xfId="42606"/>
    <cellStyle name="Note 2 5 2 14 2" xfId="42607"/>
    <cellStyle name="Note 2 5 2 15" xfId="42608"/>
    <cellStyle name="Note 2 5 2 15 2" xfId="42609"/>
    <cellStyle name="Note 2 5 2 16" xfId="42610"/>
    <cellStyle name="Note 2 5 2 16 2" xfId="42611"/>
    <cellStyle name="Note 2 5 2 17" xfId="42612"/>
    <cellStyle name="Note 2 5 2 17 2" xfId="42613"/>
    <cellStyle name="Note 2 5 2 18" xfId="42614"/>
    <cellStyle name="Note 2 5 2 18 2" xfId="42615"/>
    <cellStyle name="Note 2 5 2 19" xfId="42616"/>
    <cellStyle name="Note 2 5 2 19 2" xfId="42617"/>
    <cellStyle name="Note 2 5 2 2" xfId="42618"/>
    <cellStyle name="Note 2 5 2 2 2" xfId="42619"/>
    <cellStyle name="Note 2 5 2 2 3" xfId="42620"/>
    <cellStyle name="Note 2 5 2 20" xfId="42621"/>
    <cellStyle name="Note 2 5 2 20 2" xfId="42622"/>
    <cellStyle name="Note 2 5 2 21" xfId="42623"/>
    <cellStyle name="Note 2 5 2 21 2" xfId="42624"/>
    <cellStyle name="Note 2 5 2 22" xfId="42625"/>
    <cellStyle name="Note 2 5 2 22 2" xfId="42626"/>
    <cellStyle name="Note 2 5 2 23" xfId="42627"/>
    <cellStyle name="Note 2 5 2 23 2" xfId="42628"/>
    <cellStyle name="Note 2 5 2 24" xfId="42629"/>
    <cellStyle name="Note 2 5 2 24 2" xfId="42630"/>
    <cellStyle name="Note 2 5 2 25" xfId="42631"/>
    <cellStyle name="Note 2 5 2 25 2" xfId="42632"/>
    <cellStyle name="Note 2 5 2 26" xfId="42633"/>
    <cellStyle name="Note 2 5 2 26 2" xfId="42634"/>
    <cellStyle name="Note 2 5 2 27" xfId="42635"/>
    <cellStyle name="Note 2 5 2 27 2" xfId="42636"/>
    <cellStyle name="Note 2 5 2 28" xfId="42637"/>
    <cellStyle name="Note 2 5 2 28 2" xfId="42638"/>
    <cellStyle name="Note 2 5 2 29" xfId="42639"/>
    <cellStyle name="Note 2 5 2 29 2" xfId="42640"/>
    <cellStyle name="Note 2 5 2 3" xfId="42641"/>
    <cellStyle name="Note 2 5 2 3 2" xfId="42642"/>
    <cellStyle name="Note 2 5 2 3 3" xfId="42643"/>
    <cellStyle name="Note 2 5 2 30" xfId="42644"/>
    <cellStyle name="Note 2 5 2 30 2" xfId="42645"/>
    <cellStyle name="Note 2 5 2 31" xfId="42646"/>
    <cellStyle name="Note 2 5 2 4" xfId="42647"/>
    <cellStyle name="Note 2 5 2 4 2" xfId="42648"/>
    <cellStyle name="Note 2 5 2 5" xfId="42649"/>
    <cellStyle name="Note 2 5 2 5 2" xfId="42650"/>
    <cellStyle name="Note 2 5 2 6" xfId="42651"/>
    <cellStyle name="Note 2 5 2 6 2" xfId="42652"/>
    <cellStyle name="Note 2 5 2 7" xfId="42653"/>
    <cellStyle name="Note 2 5 2 7 2" xfId="42654"/>
    <cellStyle name="Note 2 5 2 8" xfId="42655"/>
    <cellStyle name="Note 2 5 2 8 2" xfId="42656"/>
    <cellStyle name="Note 2 5 2 9" xfId="42657"/>
    <cellStyle name="Note 2 5 2 9 2" xfId="42658"/>
    <cellStyle name="Note 2 5 20" xfId="42659"/>
    <cellStyle name="Note 2 5 20 2" xfId="42660"/>
    <cellStyle name="Note 2 5 21" xfId="42661"/>
    <cellStyle name="Note 2 5 21 2" xfId="42662"/>
    <cellStyle name="Note 2 5 22" xfId="42663"/>
    <cellStyle name="Note 2 5 22 2" xfId="42664"/>
    <cellStyle name="Note 2 5 23" xfId="42665"/>
    <cellStyle name="Note 2 5 23 2" xfId="42666"/>
    <cellStyle name="Note 2 5 24" xfId="42667"/>
    <cellStyle name="Note 2 5 24 2" xfId="42668"/>
    <cellStyle name="Note 2 5 25" xfId="42669"/>
    <cellStyle name="Note 2 5 25 2" xfId="42670"/>
    <cellStyle name="Note 2 5 26" xfId="42671"/>
    <cellStyle name="Note 2 5 26 2" xfId="42672"/>
    <cellStyle name="Note 2 5 27" xfId="42673"/>
    <cellStyle name="Note 2 5 27 2" xfId="42674"/>
    <cellStyle name="Note 2 5 28" xfId="42675"/>
    <cellStyle name="Note 2 5 28 2" xfId="42676"/>
    <cellStyle name="Note 2 5 29" xfId="42677"/>
    <cellStyle name="Note 2 5 29 2" xfId="42678"/>
    <cellStyle name="Note 2 5 3" xfId="42679"/>
    <cellStyle name="Note 2 5 3 2" xfId="42680"/>
    <cellStyle name="Note 2 5 3 2 2" xfId="42681"/>
    <cellStyle name="Note 2 5 3 3" xfId="42682"/>
    <cellStyle name="Note 2 5 3 3 2" xfId="42683"/>
    <cellStyle name="Note 2 5 3 4" xfId="42684"/>
    <cellStyle name="Note 2 5 3 4 2" xfId="42685"/>
    <cellStyle name="Note 2 5 3 5" xfId="42686"/>
    <cellStyle name="Note 2 5 30" xfId="42687"/>
    <cellStyle name="Note 2 5 30 2" xfId="42688"/>
    <cellStyle name="Note 2 5 31" xfId="42689"/>
    <cellStyle name="Note 2 5 31 2" xfId="42690"/>
    <cellStyle name="Note 2 5 32" xfId="42691"/>
    <cellStyle name="Note 2 5 32 2" xfId="42692"/>
    <cellStyle name="Note 2 5 33" xfId="42693"/>
    <cellStyle name="Note 2 5 33 2" xfId="42694"/>
    <cellStyle name="Note 2 5 34" xfId="42695"/>
    <cellStyle name="Note 2 5 34 2" xfId="42696"/>
    <cellStyle name="Note 2 5 35" xfId="42697"/>
    <cellStyle name="Note 2 5 35 2" xfId="42698"/>
    <cellStyle name="Note 2 5 36" xfId="42699"/>
    <cellStyle name="Note 2 5 36 2" xfId="42700"/>
    <cellStyle name="Note 2 5 37" xfId="42701"/>
    <cellStyle name="Note 2 5 37 2" xfId="42702"/>
    <cellStyle name="Note 2 5 38" xfId="42703"/>
    <cellStyle name="Note 2 5 38 2" xfId="42704"/>
    <cellStyle name="Note 2 5 39" xfId="42705"/>
    <cellStyle name="Note 2 5 39 2" xfId="42706"/>
    <cellStyle name="Note 2 5 4" xfId="42707"/>
    <cellStyle name="Note 2 5 4 2" xfId="42708"/>
    <cellStyle name="Note 2 5 4 2 2" xfId="42709"/>
    <cellStyle name="Note 2 5 4 3" xfId="42710"/>
    <cellStyle name="Note 2 5 4 3 2" xfId="42711"/>
    <cellStyle name="Note 2 5 4 4" xfId="42712"/>
    <cellStyle name="Note 2 5 4 4 2" xfId="42713"/>
    <cellStyle name="Note 2 5 4 5" xfId="42714"/>
    <cellStyle name="Note 2 5 40" xfId="42715"/>
    <cellStyle name="Note 2 5 40 2" xfId="42716"/>
    <cellStyle name="Note 2 5 41" xfId="42717"/>
    <cellStyle name="Note 2 5 41 2" xfId="42718"/>
    <cellStyle name="Note 2 5 42" xfId="42719"/>
    <cellStyle name="Note 2 5 42 2" xfId="42720"/>
    <cellStyle name="Note 2 5 43" xfId="42721"/>
    <cellStyle name="Note 2 5 43 2" xfId="42722"/>
    <cellStyle name="Note 2 5 44" xfId="42723"/>
    <cellStyle name="Note 2 5 44 2" xfId="42724"/>
    <cellStyle name="Note 2 5 45" xfId="42725"/>
    <cellStyle name="Note 2 5 45 2" xfId="42726"/>
    <cellStyle name="Note 2 5 46" xfId="42727"/>
    <cellStyle name="Note 2 5 46 2" xfId="42728"/>
    <cellStyle name="Note 2 5 47" xfId="42729"/>
    <cellStyle name="Note 2 5 47 2" xfId="42730"/>
    <cellStyle name="Note 2 5 48" xfId="42731"/>
    <cellStyle name="Note 2 5 48 2" xfId="42732"/>
    <cellStyle name="Note 2 5 49" xfId="42733"/>
    <cellStyle name="Note 2 5 49 2" xfId="42734"/>
    <cellStyle name="Note 2 5 5" xfId="42735"/>
    <cellStyle name="Note 2 5 5 2" xfId="42736"/>
    <cellStyle name="Note 2 5 5 2 2" xfId="42737"/>
    <cellStyle name="Note 2 5 5 3" xfId="42738"/>
    <cellStyle name="Note 2 5 5 3 2" xfId="42739"/>
    <cellStyle name="Note 2 5 5 4" xfId="42740"/>
    <cellStyle name="Note 2 5 5 4 2" xfId="42741"/>
    <cellStyle name="Note 2 5 5 5" xfId="42742"/>
    <cellStyle name="Note 2 5 50" xfId="42743"/>
    <cellStyle name="Note 2 5 50 2" xfId="42744"/>
    <cellStyle name="Note 2 5 51" xfId="42745"/>
    <cellStyle name="Note 2 5 51 2" xfId="42746"/>
    <cellStyle name="Note 2 5 52" xfId="42747"/>
    <cellStyle name="Note 2 5 52 2" xfId="42748"/>
    <cellStyle name="Note 2 5 53" xfId="42749"/>
    <cellStyle name="Note 2 5 53 2" xfId="42750"/>
    <cellStyle name="Note 2 5 54" xfId="42751"/>
    <cellStyle name="Note 2 5 54 2" xfId="42752"/>
    <cellStyle name="Note 2 5 55" xfId="42753"/>
    <cellStyle name="Note 2 5 55 2" xfId="42754"/>
    <cellStyle name="Note 2 5 56" xfId="42755"/>
    <cellStyle name="Note 2 5 56 2" xfId="42756"/>
    <cellStyle name="Note 2 5 57" xfId="42757"/>
    <cellStyle name="Note 2 5 57 2" xfId="42758"/>
    <cellStyle name="Note 2 5 58" xfId="42759"/>
    <cellStyle name="Note 2 5 58 2" xfId="42760"/>
    <cellStyle name="Note 2 5 59" xfId="42761"/>
    <cellStyle name="Note 2 5 59 2" xfId="42762"/>
    <cellStyle name="Note 2 5 6" xfId="42763"/>
    <cellStyle name="Note 2 5 6 2" xfId="42764"/>
    <cellStyle name="Note 2 5 6 2 2" xfId="42765"/>
    <cellStyle name="Note 2 5 6 3" xfId="42766"/>
    <cellStyle name="Note 2 5 6 3 2" xfId="42767"/>
    <cellStyle name="Note 2 5 6 4" xfId="42768"/>
    <cellStyle name="Note 2 5 6 4 2" xfId="42769"/>
    <cellStyle name="Note 2 5 6 5" xfId="42770"/>
    <cellStyle name="Note 2 5 60" xfId="42771"/>
    <cellStyle name="Note 2 5 60 2" xfId="42772"/>
    <cellStyle name="Note 2 5 61" xfId="42773"/>
    <cellStyle name="Note 2 5 61 2" xfId="42774"/>
    <cellStyle name="Note 2 5 62" xfId="42775"/>
    <cellStyle name="Note 2 5 7" xfId="42776"/>
    <cellStyle name="Note 2 5 7 2" xfId="42777"/>
    <cellStyle name="Note 2 5 7 2 2" xfId="42778"/>
    <cellStyle name="Note 2 5 7 3" xfId="42779"/>
    <cellStyle name="Note 2 5 7 3 2" xfId="42780"/>
    <cellStyle name="Note 2 5 7 4" xfId="42781"/>
    <cellStyle name="Note 2 5 7 4 2" xfId="42782"/>
    <cellStyle name="Note 2 5 7 5" xfId="42783"/>
    <cellStyle name="Note 2 5 8" xfId="42784"/>
    <cellStyle name="Note 2 5 8 2" xfId="42785"/>
    <cellStyle name="Note 2 5 8 2 2" xfId="42786"/>
    <cellStyle name="Note 2 5 8 3" xfId="42787"/>
    <cellStyle name="Note 2 5 8 3 2" xfId="42788"/>
    <cellStyle name="Note 2 5 8 4" xfId="42789"/>
    <cellStyle name="Note 2 5 8 4 2" xfId="42790"/>
    <cellStyle name="Note 2 5 8 5" xfId="42791"/>
    <cellStyle name="Note 2 5 9" xfId="42792"/>
    <cellStyle name="Note 2 5 9 2" xfId="42793"/>
    <cellStyle name="Note 2 5 9 2 2" xfId="42794"/>
    <cellStyle name="Note 2 5 9 3" xfId="42795"/>
    <cellStyle name="Note 2 5 9 3 2" xfId="42796"/>
    <cellStyle name="Note 2 5 9 4" xfId="42797"/>
    <cellStyle name="Note 2 5 9 4 2" xfId="42798"/>
    <cellStyle name="Note 2 5 9 5" xfId="42799"/>
    <cellStyle name="Note 2 50" xfId="42800"/>
    <cellStyle name="Note 2 50 10" xfId="42801"/>
    <cellStyle name="Note 2 50 11" xfId="42802"/>
    <cellStyle name="Note 2 50 12" xfId="42803"/>
    <cellStyle name="Note 2 50 13" xfId="42804"/>
    <cellStyle name="Note 2 50 2" xfId="42805"/>
    <cellStyle name="Note 2 50 2 2" xfId="42806"/>
    <cellStyle name="Note 2 50 2 3" xfId="42807"/>
    <cellStyle name="Note 2 50 3" xfId="42808"/>
    <cellStyle name="Note 2 50 3 2" xfId="42809"/>
    <cellStyle name="Note 2 50 4" xfId="42810"/>
    <cellStyle name="Note 2 50 4 2" xfId="42811"/>
    <cellStyle name="Note 2 50 5" xfId="42812"/>
    <cellStyle name="Note 2 50 5 2" xfId="42813"/>
    <cellStyle name="Note 2 50 5 3" xfId="42814"/>
    <cellStyle name="Note 2 50 5 4" xfId="42815"/>
    <cellStyle name="Note 2 50 5 5" xfId="42816"/>
    <cellStyle name="Note 2 50 5 6" xfId="42817"/>
    <cellStyle name="Note 2 50 6" xfId="42818"/>
    <cellStyle name="Note 2 50 6 2" xfId="42819"/>
    <cellStyle name="Note 2 50 7" xfId="42820"/>
    <cellStyle name="Note 2 50 7 2" xfId="42821"/>
    <cellStyle name="Note 2 50 8" xfId="42822"/>
    <cellStyle name="Note 2 50 8 2" xfId="42823"/>
    <cellStyle name="Note 2 50 9" xfId="42824"/>
    <cellStyle name="Note 2 50 9 2" xfId="42825"/>
    <cellStyle name="Note 2 51" xfId="42826"/>
    <cellStyle name="Note 2 51 10" xfId="42827"/>
    <cellStyle name="Note 2 51 11" xfId="42828"/>
    <cellStyle name="Note 2 51 12" xfId="42829"/>
    <cellStyle name="Note 2 51 13" xfId="42830"/>
    <cellStyle name="Note 2 51 2" xfId="42831"/>
    <cellStyle name="Note 2 51 2 2" xfId="42832"/>
    <cellStyle name="Note 2 51 2 3" xfId="42833"/>
    <cellStyle name="Note 2 51 3" xfId="42834"/>
    <cellStyle name="Note 2 51 3 2" xfId="42835"/>
    <cellStyle name="Note 2 51 4" xfId="42836"/>
    <cellStyle name="Note 2 51 4 2" xfId="42837"/>
    <cellStyle name="Note 2 51 5" xfId="42838"/>
    <cellStyle name="Note 2 51 5 2" xfId="42839"/>
    <cellStyle name="Note 2 51 5 3" xfId="42840"/>
    <cellStyle name="Note 2 51 5 4" xfId="42841"/>
    <cellStyle name="Note 2 51 5 5" xfId="42842"/>
    <cellStyle name="Note 2 51 5 6" xfId="42843"/>
    <cellStyle name="Note 2 51 6" xfId="42844"/>
    <cellStyle name="Note 2 51 6 2" xfId="42845"/>
    <cellStyle name="Note 2 51 7" xfId="42846"/>
    <cellStyle name="Note 2 51 7 2" xfId="42847"/>
    <cellStyle name="Note 2 51 8" xfId="42848"/>
    <cellStyle name="Note 2 51 8 2" xfId="42849"/>
    <cellStyle name="Note 2 51 9" xfId="42850"/>
    <cellStyle name="Note 2 51 9 2" xfId="42851"/>
    <cellStyle name="Note 2 52" xfId="42852"/>
    <cellStyle name="Note 2 52 10" xfId="42853"/>
    <cellStyle name="Note 2 52 11" xfId="42854"/>
    <cellStyle name="Note 2 52 12" xfId="42855"/>
    <cellStyle name="Note 2 52 13" xfId="42856"/>
    <cellStyle name="Note 2 52 2" xfId="42857"/>
    <cellStyle name="Note 2 52 2 2" xfId="42858"/>
    <cellStyle name="Note 2 52 2 3" xfId="42859"/>
    <cellStyle name="Note 2 52 3" xfId="42860"/>
    <cellStyle name="Note 2 52 3 2" xfId="42861"/>
    <cellStyle name="Note 2 52 4" xfId="42862"/>
    <cellStyle name="Note 2 52 4 2" xfId="42863"/>
    <cellStyle name="Note 2 52 5" xfId="42864"/>
    <cellStyle name="Note 2 52 5 2" xfId="42865"/>
    <cellStyle name="Note 2 52 5 3" xfId="42866"/>
    <cellStyle name="Note 2 52 5 4" xfId="42867"/>
    <cellStyle name="Note 2 52 5 5" xfId="42868"/>
    <cellStyle name="Note 2 52 5 6" xfId="42869"/>
    <cellStyle name="Note 2 52 6" xfId="42870"/>
    <cellStyle name="Note 2 52 6 2" xfId="42871"/>
    <cellStyle name="Note 2 52 7" xfId="42872"/>
    <cellStyle name="Note 2 52 7 2" xfId="42873"/>
    <cellStyle name="Note 2 52 8" xfId="42874"/>
    <cellStyle name="Note 2 52 8 2" xfId="42875"/>
    <cellStyle name="Note 2 52 9" xfId="42876"/>
    <cellStyle name="Note 2 52 9 2" xfId="42877"/>
    <cellStyle name="Note 2 53" xfId="42878"/>
    <cellStyle name="Note 2 53 10" xfId="42879"/>
    <cellStyle name="Note 2 53 11" xfId="42880"/>
    <cellStyle name="Note 2 53 12" xfId="42881"/>
    <cellStyle name="Note 2 53 13" xfId="42882"/>
    <cellStyle name="Note 2 53 2" xfId="42883"/>
    <cellStyle name="Note 2 53 2 2" xfId="42884"/>
    <cellStyle name="Note 2 53 2 3" xfId="42885"/>
    <cellStyle name="Note 2 53 3" xfId="42886"/>
    <cellStyle name="Note 2 53 3 2" xfId="42887"/>
    <cellStyle name="Note 2 53 4" xfId="42888"/>
    <cellStyle name="Note 2 53 4 2" xfId="42889"/>
    <cellStyle name="Note 2 53 5" xfId="42890"/>
    <cellStyle name="Note 2 53 5 2" xfId="42891"/>
    <cellStyle name="Note 2 53 5 3" xfId="42892"/>
    <cellStyle name="Note 2 53 5 4" xfId="42893"/>
    <cellStyle name="Note 2 53 5 5" xfId="42894"/>
    <cellStyle name="Note 2 53 5 6" xfId="42895"/>
    <cellStyle name="Note 2 53 6" xfId="42896"/>
    <cellStyle name="Note 2 53 6 2" xfId="42897"/>
    <cellStyle name="Note 2 53 7" xfId="42898"/>
    <cellStyle name="Note 2 53 7 2" xfId="42899"/>
    <cellStyle name="Note 2 53 8" xfId="42900"/>
    <cellStyle name="Note 2 53 8 2" xfId="42901"/>
    <cellStyle name="Note 2 53 9" xfId="42902"/>
    <cellStyle name="Note 2 53 9 2" xfId="42903"/>
    <cellStyle name="Note 2 54" xfId="42904"/>
    <cellStyle name="Note 2 54 10" xfId="42905"/>
    <cellStyle name="Note 2 54 11" xfId="42906"/>
    <cellStyle name="Note 2 54 12" xfId="42907"/>
    <cellStyle name="Note 2 54 13" xfId="42908"/>
    <cellStyle name="Note 2 54 2" xfId="42909"/>
    <cellStyle name="Note 2 54 2 2" xfId="42910"/>
    <cellStyle name="Note 2 54 2 3" xfId="42911"/>
    <cellStyle name="Note 2 54 3" xfId="42912"/>
    <cellStyle name="Note 2 54 3 2" xfId="42913"/>
    <cellStyle name="Note 2 54 4" xfId="42914"/>
    <cellStyle name="Note 2 54 4 2" xfId="42915"/>
    <cellStyle name="Note 2 54 5" xfId="42916"/>
    <cellStyle name="Note 2 54 5 2" xfId="42917"/>
    <cellStyle name="Note 2 54 5 3" xfId="42918"/>
    <cellStyle name="Note 2 54 5 4" xfId="42919"/>
    <cellStyle name="Note 2 54 5 5" xfId="42920"/>
    <cellStyle name="Note 2 54 5 6" xfId="42921"/>
    <cellStyle name="Note 2 54 6" xfId="42922"/>
    <cellStyle name="Note 2 54 6 2" xfId="42923"/>
    <cellStyle name="Note 2 54 7" xfId="42924"/>
    <cellStyle name="Note 2 54 7 2" xfId="42925"/>
    <cellStyle name="Note 2 54 8" xfId="42926"/>
    <cellStyle name="Note 2 54 8 2" xfId="42927"/>
    <cellStyle name="Note 2 54 9" xfId="42928"/>
    <cellStyle name="Note 2 54 9 2" xfId="42929"/>
    <cellStyle name="Note 2 55" xfId="42930"/>
    <cellStyle name="Note 2 55 10" xfId="42931"/>
    <cellStyle name="Note 2 55 11" xfId="42932"/>
    <cellStyle name="Note 2 55 12" xfId="42933"/>
    <cellStyle name="Note 2 55 13" xfId="42934"/>
    <cellStyle name="Note 2 55 2" xfId="42935"/>
    <cellStyle name="Note 2 55 2 2" xfId="42936"/>
    <cellStyle name="Note 2 55 2 3" xfId="42937"/>
    <cellStyle name="Note 2 55 3" xfId="42938"/>
    <cellStyle name="Note 2 55 3 2" xfId="42939"/>
    <cellStyle name="Note 2 55 4" xfId="42940"/>
    <cellStyle name="Note 2 55 4 2" xfId="42941"/>
    <cellStyle name="Note 2 55 5" xfId="42942"/>
    <cellStyle name="Note 2 55 5 2" xfId="42943"/>
    <cellStyle name="Note 2 55 5 3" xfId="42944"/>
    <cellStyle name="Note 2 55 5 4" xfId="42945"/>
    <cellStyle name="Note 2 55 5 5" xfId="42946"/>
    <cellStyle name="Note 2 55 5 6" xfId="42947"/>
    <cellStyle name="Note 2 55 6" xfId="42948"/>
    <cellStyle name="Note 2 55 6 2" xfId="42949"/>
    <cellStyle name="Note 2 55 7" xfId="42950"/>
    <cellStyle name="Note 2 55 7 2" xfId="42951"/>
    <cellStyle name="Note 2 55 8" xfId="42952"/>
    <cellStyle name="Note 2 55 8 2" xfId="42953"/>
    <cellStyle name="Note 2 55 9" xfId="42954"/>
    <cellStyle name="Note 2 55 9 2" xfId="42955"/>
    <cellStyle name="Note 2 56" xfId="42956"/>
    <cellStyle name="Note 2 56 10" xfId="42957"/>
    <cellStyle name="Note 2 56 11" xfId="42958"/>
    <cellStyle name="Note 2 56 12" xfId="42959"/>
    <cellStyle name="Note 2 56 13" xfId="42960"/>
    <cellStyle name="Note 2 56 2" xfId="42961"/>
    <cellStyle name="Note 2 56 2 2" xfId="42962"/>
    <cellStyle name="Note 2 56 2 3" xfId="42963"/>
    <cellStyle name="Note 2 56 3" xfId="42964"/>
    <cellStyle name="Note 2 56 3 2" xfId="42965"/>
    <cellStyle name="Note 2 56 4" xfId="42966"/>
    <cellStyle name="Note 2 56 4 2" xfId="42967"/>
    <cellStyle name="Note 2 56 5" xfId="42968"/>
    <cellStyle name="Note 2 56 5 2" xfId="42969"/>
    <cellStyle name="Note 2 56 5 3" xfId="42970"/>
    <cellStyle name="Note 2 56 5 4" xfId="42971"/>
    <cellStyle name="Note 2 56 5 5" xfId="42972"/>
    <cellStyle name="Note 2 56 5 6" xfId="42973"/>
    <cellStyle name="Note 2 56 6" xfId="42974"/>
    <cellStyle name="Note 2 56 6 2" xfId="42975"/>
    <cellStyle name="Note 2 56 7" xfId="42976"/>
    <cellStyle name="Note 2 56 7 2" xfId="42977"/>
    <cellStyle name="Note 2 56 8" xfId="42978"/>
    <cellStyle name="Note 2 56 8 2" xfId="42979"/>
    <cellStyle name="Note 2 56 9" xfId="42980"/>
    <cellStyle name="Note 2 56 9 2" xfId="42981"/>
    <cellStyle name="Note 2 57" xfId="42982"/>
    <cellStyle name="Note 2 57 10" xfId="42983"/>
    <cellStyle name="Note 2 57 11" xfId="42984"/>
    <cellStyle name="Note 2 57 12" xfId="42985"/>
    <cellStyle name="Note 2 57 13" xfId="42986"/>
    <cellStyle name="Note 2 57 2" xfId="42987"/>
    <cellStyle name="Note 2 57 2 2" xfId="42988"/>
    <cellStyle name="Note 2 57 2 3" xfId="42989"/>
    <cellStyle name="Note 2 57 3" xfId="42990"/>
    <cellStyle name="Note 2 57 3 2" xfId="42991"/>
    <cellStyle name="Note 2 57 4" xfId="42992"/>
    <cellStyle name="Note 2 57 4 2" xfId="42993"/>
    <cellStyle name="Note 2 57 5" xfId="42994"/>
    <cellStyle name="Note 2 57 5 2" xfId="42995"/>
    <cellStyle name="Note 2 57 5 3" xfId="42996"/>
    <cellStyle name="Note 2 57 5 4" xfId="42997"/>
    <cellStyle name="Note 2 57 5 5" xfId="42998"/>
    <cellStyle name="Note 2 57 5 6" xfId="42999"/>
    <cellStyle name="Note 2 57 6" xfId="43000"/>
    <cellStyle name="Note 2 57 6 2" xfId="43001"/>
    <cellStyle name="Note 2 57 7" xfId="43002"/>
    <cellStyle name="Note 2 57 7 2" xfId="43003"/>
    <cellStyle name="Note 2 57 8" xfId="43004"/>
    <cellStyle name="Note 2 57 8 2" xfId="43005"/>
    <cellStyle name="Note 2 57 9" xfId="43006"/>
    <cellStyle name="Note 2 57 9 2" xfId="43007"/>
    <cellStyle name="Note 2 58" xfId="43008"/>
    <cellStyle name="Note 2 58 2" xfId="43009"/>
    <cellStyle name="Note 2 58 3" xfId="43010"/>
    <cellStyle name="Note 2 59" xfId="43011"/>
    <cellStyle name="Note 2 59 2" xfId="43012"/>
    <cellStyle name="Note 2 6" xfId="43013"/>
    <cellStyle name="Note 2 6 10" xfId="43014"/>
    <cellStyle name="Note 2 6 10 2" xfId="43015"/>
    <cellStyle name="Note 2 6 10 2 2" xfId="43016"/>
    <cellStyle name="Note 2 6 10 3" xfId="43017"/>
    <cellStyle name="Note 2 6 10 3 2" xfId="43018"/>
    <cellStyle name="Note 2 6 10 4" xfId="43019"/>
    <cellStyle name="Note 2 6 10 4 2" xfId="43020"/>
    <cellStyle name="Note 2 6 10 5" xfId="43021"/>
    <cellStyle name="Note 2 6 11" xfId="43022"/>
    <cellStyle name="Note 2 6 11 2" xfId="43023"/>
    <cellStyle name="Note 2 6 11 2 2" xfId="43024"/>
    <cellStyle name="Note 2 6 11 3" xfId="43025"/>
    <cellStyle name="Note 2 6 11 3 2" xfId="43026"/>
    <cellStyle name="Note 2 6 11 4" xfId="43027"/>
    <cellStyle name="Note 2 6 11 4 2" xfId="43028"/>
    <cellStyle name="Note 2 6 11 5" xfId="43029"/>
    <cellStyle name="Note 2 6 12" xfId="43030"/>
    <cellStyle name="Note 2 6 12 2" xfId="43031"/>
    <cellStyle name="Note 2 6 12 2 2" xfId="43032"/>
    <cellStyle name="Note 2 6 12 3" xfId="43033"/>
    <cellStyle name="Note 2 6 12 3 2" xfId="43034"/>
    <cellStyle name="Note 2 6 12 4" xfId="43035"/>
    <cellStyle name="Note 2 6 12 4 2" xfId="43036"/>
    <cellStyle name="Note 2 6 12 5" xfId="43037"/>
    <cellStyle name="Note 2 6 13" xfId="43038"/>
    <cellStyle name="Note 2 6 13 2" xfId="43039"/>
    <cellStyle name="Note 2 6 13 2 2" xfId="43040"/>
    <cellStyle name="Note 2 6 13 3" xfId="43041"/>
    <cellStyle name="Note 2 6 13 3 2" xfId="43042"/>
    <cellStyle name="Note 2 6 13 4" xfId="43043"/>
    <cellStyle name="Note 2 6 13 4 2" xfId="43044"/>
    <cellStyle name="Note 2 6 13 5" xfId="43045"/>
    <cellStyle name="Note 2 6 14" xfId="43046"/>
    <cellStyle name="Note 2 6 14 2" xfId="43047"/>
    <cellStyle name="Note 2 6 14 2 2" xfId="43048"/>
    <cellStyle name="Note 2 6 14 3" xfId="43049"/>
    <cellStyle name="Note 2 6 14 3 2" xfId="43050"/>
    <cellStyle name="Note 2 6 14 4" xfId="43051"/>
    <cellStyle name="Note 2 6 14 4 2" xfId="43052"/>
    <cellStyle name="Note 2 6 14 5" xfId="43053"/>
    <cellStyle name="Note 2 6 15" xfId="43054"/>
    <cellStyle name="Note 2 6 15 2" xfId="43055"/>
    <cellStyle name="Note 2 6 16" xfId="43056"/>
    <cellStyle name="Note 2 6 16 2" xfId="43057"/>
    <cellStyle name="Note 2 6 17" xfId="43058"/>
    <cellStyle name="Note 2 6 17 2" xfId="43059"/>
    <cellStyle name="Note 2 6 18" xfId="43060"/>
    <cellStyle name="Note 2 6 18 2" xfId="43061"/>
    <cellStyle name="Note 2 6 19" xfId="43062"/>
    <cellStyle name="Note 2 6 19 2" xfId="43063"/>
    <cellStyle name="Note 2 6 2" xfId="43064"/>
    <cellStyle name="Note 2 6 2 10" xfId="43065"/>
    <cellStyle name="Note 2 6 2 10 2" xfId="43066"/>
    <cellStyle name="Note 2 6 2 11" xfId="43067"/>
    <cellStyle name="Note 2 6 2 11 2" xfId="43068"/>
    <cellStyle name="Note 2 6 2 12" xfId="43069"/>
    <cellStyle name="Note 2 6 2 12 2" xfId="43070"/>
    <cellStyle name="Note 2 6 2 13" xfId="43071"/>
    <cellStyle name="Note 2 6 2 13 2" xfId="43072"/>
    <cellStyle name="Note 2 6 2 14" xfId="43073"/>
    <cellStyle name="Note 2 6 2 14 2" xfId="43074"/>
    <cellStyle name="Note 2 6 2 15" xfId="43075"/>
    <cellStyle name="Note 2 6 2 15 2" xfId="43076"/>
    <cellStyle name="Note 2 6 2 16" xfId="43077"/>
    <cellStyle name="Note 2 6 2 16 2" xfId="43078"/>
    <cellStyle name="Note 2 6 2 17" xfId="43079"/>
    <cellStyle name="Note 2 6 2 17 2" xfId="43080"/>
    <cellStyle name="Note 2 6 2 18" xfId="43081"/>
    <cellStyle name="Note 2 6 2 18 2" xfId="43082"/>
    <cellStyle name="Note 2 6 2 19" xfId="43083"/>
    <cellStyle name="Note 2 6 2 19 2" xfId="43084"/>
    <cellStyle name="Note 2 6 2 2" xfId="43085"/>
    <cellStyle name="Note 2 6 2 2 2" xfId="43086"/>
    <cellStyle name="Note 2 6 2 2 3" xfId="43087"/>
    <cellStyle name="Note 2 6 2 20" xfId="43088"/>
    <cellStyle name="Note 2 6 2 20 2" xfId="43089"/>
    <cellStyle name="Note 2 6 2 21" xfId="43090"/>
    <cellStyle name="Note 2 6 2 21 2" xfId="43091"/>
    <cellStyle name="Note 2 6 2 22" xfId="43092"/>
    <cellStyle name="Note 2 6 2 22 2" xfId="43093"/>
    <cellStyle name="Note 2 6 2 23" xfId="43094"/>
    <cellStyle name="Note 2 6 2 23 2" xfId="43095"/>
    <cellStyle name="Note 2 6 2 24" xfId="43096"/>
    <cellStyle name="Note 2 6 2 24 2" xfId="43097"/>
    <cellStyle name="Note 2 6 2 25" xfId="43098"/>
    <cellStyle name="Note 2 6 2 25 2" xfId="43099"/>
    <cellStyle name="Note 2 6 2 26" xfId="43100"/>
    <cellStyle name="Note 2 6 2 26 2" xfId="43101"/>
    <cellStyle name="Note 2 6 2 27" xfId="43102"/>
    <cellStyle name="Note 2 6 2 27 2" xfId="43103"/>
    <cellStyle name="Note 2 6 2 28" xfId="43104"/>
    <cellStyle name="Note 2 6 2 28 2" xfId="43105"/>
    <cellStyle name="Note 2 6 2 29" xfId="43106"/>
    <cellStyle name="Note 2 6 2 29 2" xfId="43107"/>
    <cellStyle name="Note 2 6 2 3" xfId="43108"/>
    <cellStyle name="Note 2 6 2 3 2" xfId="43109"/>
    <cellStyle name="Note 2 6 2 3 3" xfId="43110"/>
    <cellStyle name="Note 2 6 2 30" xfId="43111"/>
    <cellStyle name="Note 2 6 2 30 2" xfId="43112"/>
    <cellStyle name="Note 2 6 2 31" xfId="43113"/>
    <cellStyle name="Note 2 6 2 4" xfId="43114"/>
    <cellStyle name="Note 2 6 2 4 2" xfId="43115"/>
    <cellStyle name="Note 2 6 2 5" xfId="43116"/>
    <cellStyle name="Note 2 6 2 5 2" xfId="43117"/>
    <cellStyle name="Note 2 6 2 6" xfId="43118"/>
    <cellStyle name="Note 2 6 2 6 2" xfId="43119"/>
    <cellStyle name="Note 2 6 2 7" xfId="43120"/>
    <cellStyle name="Note 2 6 2 7 2" xfId="43121"/>
    <cellStyle name="Note 2 6 2 8" xfId="43122"/>
    <cellStyle name="Note 2 6 2 8 2" xfId="43123"/>
    <cellStyle name="Note 2 6 2 9" xfId="43124"/>
    <cellStyle name="Note 2 6 2 9 2" xfId="43125"/>
    <cellStyle name="Note 2 6 20" xfId="43126"/>
    <cellStyle name="Note 2 6 20 2" xfId="43127"/>
    <cellStyle name="Note 2 6 21" xfId="43128"/>
    <cellStyle name="Note 2 6 21 2" xfId="43129"/>
    <cellStyle name="Note 2 6 22" xfId="43130"/>
    <cellStyle name="Note 2 6 22 2" xfId="43131"/>
    <cellStyle name="Note 2 6 23" xfId="43132"/>
    <cellStyle name="Note 2 6 23 2" xfId="43133"/>
    <cellStyle name="Note 2 6 24" xfId="43134"/>
    <cellStyle name="Note 2 6 24 2" xfId="43135"/>
    <cellStyle name="Note 2 6 25" xfId="43136"/>
    <cellStyle name="Note 2 6 25 2" xfId="43137"/>
    <cellStyle name="Note 2 6 26" xfId="43138"/>
    <cellStyle name="Note 2 6 26 2" xfId="43139"/>
    <cellStyle name="Note 2 6 27" xfId="43140"/>
    <cellStyle name="Note 2 6 27 2" xfId="43141"/>
    <cellStyle name="Note 2 6 28" xfId="43142"/>
    <cellStyle name="Note 2 6 28 2" xfId="43143"/>
    <cellStyle name="Note 2 6 29" xfId="43144"/>
    <cellStyle name="Note 2 6 29 2" xfId="43145"/>
    <cellStyle name="Note 2 6 3" xfId="43146"/>
    <cellStyle name="Note 2 6 3 2" xfId="43147"/>
    <cellStyle name="Note 2 6 3 2 2" xfId="43148"/>
    <cellStyle name="Note 2 6 3 3" xfId="43149"/>
    <cellStyle name="Note 2 6 3 3 2" xfId="43150"/>
    <cellStyle name="Note 2 6 3 4" xfId="43151"/>
    <cellStyle name="Note 2 6 3 4 2" xfId="43152"/>
    <cellStyle name="Note 2 6 3 5" xfId="43153"/>
    <cellStyle name="Note 2 6 30" xfId="43154"/>
    <cellStyle name="Note 2 6 30 2" xfId="43155"/>
    <cellStyle name="Note 2 6 31" xfId="43156"/>
    <cellStyle name="Note 2 6 31 2" xfId="43157"/>
    <cellStyle name="Note 2 6 32" xfId="43158"/>
    <cellStyle name="Note 2 6 32 2" xfId="43159"/>
    <cellStyle name="Note 2 6 33" xfId="43160"/>
    <cellStyle name="Note 2 6 33 2" xfId="43161"/>
    <cellStyle name="Note 2 6 34" xfId="43162"/>
    <cellStyle name="Note 2 6 34 2" xfId="43163"/>
    <cellStyle name="Note 2 6 35" xfId="43164"/>
    <cellStyle name="Note 2 6 35 2" xfId="43165"/>
    <cellStyle name="Note 2 6 36" xfId="43166"/>
    <cellStyle name="Note 2 6 36 2" xfId="43167"/>
    <cellStyle name="Note 2 6 37" xfId="43168"/>
    <cellStyle name="Note 2 6 37 2" xfId="43169"/>
    <cellStyle name="Note 2 6 38" xfId="43170"/>
    <cellStyle name="Note 2 6 38 2" xfId="43171"/>
    <cellStyle name="Note 2 6 39" xfId="43172"/>
    <cellStyle name="Note 2 6 39 2" xfId="43173"/>
    <cellStyle name="Note 2 6 4" xfId="43174"/>
    <cellStyle name="Note 2 6 4 2" xfId="43175"/>
    <cellStyle name="Note 2 6 4 2 2" xfId="43176"/>
    <cellStyle name="Note 2 6 4 3" xfId="43177"/>
    <cellStyle name="Note 2 6 4 3 2" xfId="43178"/>
    <cellStyle name="Note 2 6 4 4" xfId="43179"/>
    <cellStyle name="Note 2 6 4 4 2" xfId="43180"/>
    <cellStyle name="Note 2 6 4 5" xfId="43181"/>
    <cellStyle name="Note 2 6 40" xfId="43182"/>
    <cellStyle name="Note 2 6 40 2" xfId="43183"/>
    <cellStyle name="Note 2 6 41" xfId="43184"/>
    <cellStyle name="Note 2 6 41 2" xfId="43185"/>
    <cellStyle name="Note 2 6 42" xfId="43186"/>
    <cellStyle name="Note 2 6 42 2" xfId="43187"/>
    <cellStyle name="Note 2 6 43" xfId="43188"/>
    <cellStyle name="Note 2 6 43 2" xfId="43189"/>
    <cellStyle name="Note 2 6 44" xfId="43190"/>
    <cellStyle name="Note 2 6 44 2" xfId="43191"/>
    <cellStyle name="Note 2 6 45" xfId="43192"/>
    <cellStyle name="Note 2 6 45 2" xfId="43193"/>
    <cellStyle name="Note 2 6 46" xfId="43194"/>
    <cellStyle name="Note 2 6 46 2" xfId="43195"/>
    <cellStyle name="Note 2 6 47" xfId="43196"/>
    <cellStyle name="Note 2 6 47 2" xfId="43197"/>
    <cellStyle name="Note 2 6 48" xfId="43198"/>
    <cellStyle name="Note 2 6 48 2" xfId="43199"/>
    <cellStyle name="Note 2 6 49" xfId="43200"/>
    <cellStyle name="Note 2 6 49 2" xfId="43201"/>
    <cellStyle name="Note 2 6 5" xfId="43202"/>
    <cellStyle name="Note 2 6 5 2" xfId="43203"/>
    <cellStyle name="Note 2 6 5 2 2" xfId="43204"/>
    <cellStyle name="Note 2 6 5 3" xfId="43205"/>
    <cellStyle name="Note 2 6 5 3 2" xfId="43206"/>
    <cellStyle name="Note 2 6 5 4" xfId="43207"/>
    <cellStyle name="Note 2 6 5 4 2" xfId="43208"/>
    <cellStyle name="Note 2 6 5 5" xfId="43209"/>
    <cellStyle name="Note 2 6 50" xfId="43210"/>
    <cellStyle name="Note 2 6 50 2" xfId="43211"/>
    <cellStyle name="Note 2 6 51" xfId="43212"/>
    <cellStyle name="Note 2 6 51 2" xfId="43213"/>
    <cellStyle name="Note 2 6 52" xfId="43214"/>
    <cellStyle name="Note 2 6 52 2" xfId="43215"/>
    <cellStyle name="Note 2 6 53" xfId="43216"/>
    <cellStyle name="Note 2 6 53 2" xfId="43217"/>
    <cellStyle name="Note 2 6 54" xfId="43218"/>
    <cellStyle name="Note 2 6 54 2" xfId="43219"/>
    <cellStyle name="Note 2 6 55" xfId="43220"/>
    <cellStyle name="Note 2 6 55 2" xfId="43221"/>
    <cellStyle name="Note 2 6 56" xfId="43222"/>
    <cellStyle name="Note 2 6 56 2" xfId="43223"/>
    <cellStyle name="Note 2 6 57" xfId="43224"/>
    <cellStyle name="Note 2 6 57 2" xfId="43225"/>
    <cellStyle name="Note 2 6 58" xfId="43226"/>
    <cellStyle name="Note 2 6 58 2" xfId="43227"/>
    <cellStyle name="Note 2 6 59" xfId="43228"/>
    <cellStyle name="Note 2 6 59 2" xfId="43229"/>
    <cellStyle name="Note 2 6 6" xfId="43230"/>
    <cellStyle name="Note 2 6 6 2" xfId="43231"/>
    <cellStyle name="Note 2 6 6 2 2" xfId="43232"/>
    <cellStyle name="Note 2 6 6 3" xfId="43233"/>
    <cellStyle name="Note 2 6 6 3 2" xfId="43234"/>
    <cellStyle name="Note 2 6 6 4" xfId="43235"/>
    <cellStyle name="Note 2 6 6 4 2" xfId="43236"/>
    <cellStyle name="Note 2 6 6 5" xfId="43237"/>
    <cellStyle name="Note 2 6 60" xfId="43238"/>
    <cellStyle name="Note 2 6 60 2" xfId="43239"/>
    <cellStyle name="Note 2 6 61" xfId="43240"/>
    <cellStyle name="Note 2 6 61 2" xfId="43241"/>
    <cellStyle name="Note 2 6 62" xfId="43242"/>
    <cellStyle name="Note 2 6 7" xfId="43243"/>
    <cellStyle name="Note 2 6 7 2" xfId="43244"/>
    <cellStyle name="Note 2 6 7 2 2" xfId="43245"/>
    <cellStyle name="Note 2 6 7 3" xfId="43246"/>
    <cellStyle name="Note 2 6 7 3 2" xfId="43247"/>
    <cellStyle name="Note 2 6 7 4" xfId="43248"/>
    <cellStyle name="Note 2 6 7 4 2" xfId="43249"/>
    <cellStyle name="Note 2 6 7 5" xfId="43250"/>
    <cellStyle name="Note 2 6 8" xfId="43251"/>
    <cellStyle name="Note 2 6 8 2" xfId="43252"/>
    <cellStyle name="Note 2 6 8 2 2" xfId="43253"/>
    <cellStyle name="Note 2 6 8 3" xfId="43254"/>
    <cellStyle name="Note 2 6 8 3 2" xfId="43255"/>
    <cellStyle name="Note 2 6 8 4" xfId="43256"/>
    <cellStyle name="Note 2 6 8 4 2" xfId="43257"/>
    <cellStyle name="Note 2 6 8 5" xfId="43258"/>
    <cellStyle name="Note 2 6 9" xfId="43259"/>
    <cellStyle name="Note 2 6 9 2" xfId="43260"/>
    <cellStyle name="Note 2 6 9 2 2" xfId="43261"/>
    <cellStyle name="Note 2 6 9 3" xfId="43262"/>
    <cellStyle name="Note 2 6 9 3 2" xfId="43263"/>
    <cellStyle name="Note 2 6 9 4" xfId="43264"/>
    <cellStyle name="Note 2 6 9 4 2" xfId="43265"/>
    <cellStyle name="Note 2 6 9 5" xfId="43266"/>
    <cellStyle name="Note 2 60" xfId="43267"/>
    <cellStyle name="Note 2 60 2" xfId="43268"/>
    <cellStyle name="Note 2 61" xfId="43269"/>
    <cellStyle name="Note 2 61 2" xfId="43270"/>
    <cellStyle name="Note 2 62" xfId="43271"/>
    <cellStyle name="Note 2 62 2" xfId="43272"/>
    <cellStyle name="Note 2 63" xfId="43273"/>
    <cellStyle name="Note 2 63 2" xfId="43274"/>
    <cellStyle name="Note 2 64" xfId="43275"/>
    <cellStyle name="Note 2 64 2" xfId="43276"/>
    <cellStyle name="Note 2 65" xfId="43277"/>
    <cellStyle name="Note 2 65 2" xfId="43278"/>
    <cellStyle name="Note 2 66" xfId="43279"/>
    <cellStyle name="Note 2 66 2" xfId="43280"/>
    <cellStyle name="Note 2 67" xfId="43281"/>
    <cellStyle name="Note 2 67 2" xfId="43282"/>
    <cellStyle name="Note 2 68" xfId="43283"/>
    <cellStyle name="Note 2 68 2" xfId="43284"/>
    <cellStyle name="Note 2 69" xfId="43285"/>
    <cellStyle name="Note 2 69 2" xfId="43286"/>
    <cellStyle name="Note 2 7" xfId="43287"/>
    <cellStyle name="Note 2 7 10" xfId="43288"/>
    <cellStyle name="Note 2 7 10 2" xfId="43289"/>
    <cellStyle name="Note 2 7 10 2 2" xfId="43290"/>
    <cellStyle name="Note 2 7 10 3" xfId="43291"/>
    <cellStyle name="Note 2 7 10 3 2" xfId="43292"/>
    <cellStyle name="Note 2 7 10 4" xfId="43293"/>
    <cellStyle name="Note 2 7 10 4 2" xfId="43294"/>
    <cellStyle name="Note 2 7 10 5" xfId="43295"/>
    <cellStyle name="Note 2 7 11" xfId="43296"/>
    <cellStyle name="Note 2 7 11 2" xfId="43297"/>
    <cellStyle name="Note 2 7 11 2 2" xfId="43298"/>
    <cellStyle name="Note 2 7 11 3" xfId="43299"/>
    <cellStyle name="Note 2 7 11 3 2" xfId="43300"/>
    <cellStyle name="Note 2 7 11 4" xfId="43301"/>
    <cellStyle name="Note 2 7 11 4 2" xfId="43302"/>
    <cellStyle name="Note 2 7 11 5" xfId="43303"/>
    <cellStyle name="Note 2 7 12" xfId="43304"/>
    <cellStyle name="Note 2 7 12 2" xfId="43305"/>
    <cellStyle name="Note 2 7 12 2 2" xfId="43306"/>
    <cellStyle name="Note 2 7 12 3" xfId="43307"/>
    <cellStyle name="Note 2 7 12 3 2" xfId="43308"/>
    <cellStyle name="Note 2 7 12 4" xfId="43309"/>
    <cellStyle name="Note 2 7 12 4 2" xfId="43310"/>
    <cellStyle name="Note 2 7 12 5" xfId="43311"/>
    <cellStyle name="Note 2 7 13" xfId="43312"/>
    <cellStyle name="Note 2 7 13 2" xfId="43313"/>
    <cellStyle name="Note 2 7 13 2 2" xfId="43314"/>
    <cellStyle name="Note 2 7 13 3" xfId="43315"/>
    <cellStyle name="Note 2 7 13 3 2" xfId="43316"/>
    <cellStyle name="Note 2 7 13 4" xfId="43317"/>
    <cellStyle name="Note 2 7 13 4 2" xfId="43318"/>
    <cellStyle name="Note 2 7 13 5" xfId="43319"/>
    <cellStyle name="Note 2 7 14" xfId="43320"/>
    <cellStyle name="Note 2 7 14 2" xfId="43321"/>
    <cellStyle name="Note 2 7 14 2 2" xfId="43322"/>
    <cellStyle name="Note 2 7 14 3" xfId="43323"/>
    <cellStyle name="Note 2 7 14 3 2" xfId="43324"/>
    <cellStyle name="Note 2 7 14 4" xfId="43325"/>
    <cellStyle name="Note 2 7 14 4 2" xfId="43326"/>
    <cellStyle name="Note 2 7 14 5" xfId="43327"/>
    <cellStyle name="Note 2 7 15" xfId="43328"/>
    <cellStyle name="Note 2 7 15 2" xfId="43329"/>
    <cellStyle name="Note 2 7 16" xfId="43330"/>
    <cellStyle name="Note 2 7 16 2" xfId="43331"/>
    <cellStyle name="Note 2 7 17" xfId="43332"/>
    <cellStyle name="Note 2 7 17 2" xfId="43333"/>
    <cellStyle name="Note 2 7 18" xfId="43334"/>
    <cellStyle name="Note 2 7 18 2" xfId="43335"/>
    <cellStyle name="Note 2 7 19" xfId="43336"/>
    <cellStyle name="Note 2 7 19 2" xfId="43337"/>
    <cellStyle name="Note 2 7 2" xfId="43338"/>
    <cellStyle name="Note 2 7 2 10" xfId="43339"/>
    <cellStyle name="Note 2 7 2 10 2" xfId="43340"/>
    <cellStyle name="Note 2 7 2 11" xfId="43341"/>
    <cellStyle name="Note 2 7 2 11 2" xfId="43342"/>
    <cellStyle name="Note 2 7 2 12" xfId="43343"/>
    <cellStyle name="Note 2 7 2 12 2" xfId="43344"/>
    <cellStyle name="Note 2 7 2 13" xfId="43345"/>
    <cellStyle name="Note 2 7 2 13 2" xfId="43346"/>
    <cellStyle name="Note 2 7 2 14" xfId="43347"/>
    <cellStyle name="Note 2 7 2 14 2" xfId="43348"/>
    <cellStyle name="Note 2 7 2 15" xfId="43349"/>
    <cellStyle name="Note 2 7 2 15 2" xfId="43350"/>
    <cellStyle name="Note 2 7 2 16" xfId="43351"/>
    <cellStyle name="Note 2 7 2 16 2" xfId="43352"/>
    <cellStyle name="Note 2 7 2 17" xfId="43353"/>
    <cellStyle name="Note 2 7 2 17 2" xfId="43354"/>
    <cellStyle name="Note 2 7 2 18" xfId="43355"/>
    <cellStyle name="Note 2 7 2 18 2" xfId="43356"/>
    <cellStyle name="Note 2 7 2 19" xfId="43357"/>
    <cellStyle name="Note 2 7 2 19 2" xfId="43358"/>
    <cellStyle name="Note 2 7 2 2" xfId="43359"/>
    <cellStyle name="Note 2 7 2 2 2" xfId="43360"/>
    <cellStyle name="Note 2 7 2 2 3" xfId="43361"/>
    <cellStyle name="Note 2 7 2 20" xfId="43362"/>
    <cellStyle name="Note 2 7 2 20 2" xfId="43363"/>
    <cellStyle name="Note 2 7 2 21" xfId="43364"/>
    <cellStyle name="Note 2 7 2 21 2" xfId="43365"/>
    <cellStyle name="Note 2 7 2 22" xfId="43366"/>
    <cellStyle name="Note 2 7 2 22 2" xfId="43367"/>
    <cellStyle name="Note 2 7 2 23" xfId="43368"/>
    <cellStyle name="Note 2 7 2 23 2" xfId="43369"/>
    <cellStyle name="Note 2 7 2 24" xfId="43370"/>
    <cellStyle name="Note 2 7 2 24 2" xfId="43371"/>
    <cellStyle name="Note 2 7 2 25" xfId="43372"/>
    <cellStyle name="Note 2 7 2 25 2" xfId="43373"/>
    <cellStyle name="Note 2 7 2 26" xfId="43374"/>
    <cellStyle name="Note 2 7 2 26 2" xfId="43375"/>
    <cellStyle name="Note 2 7 2 27" xfId="43376"/>
    <cellStyle name="Note 2 7 2 27 2" xfId="43377"/>
    <cellStyle name="Note 2 7 2 28" xfId="43378"/>
    <cellStyle name="Note 2 7 2 28 2" xfId="43379"/>
    <cellStyle name="Note 2 7 2 29" xfId="43380"/>
    <cellStyle name="Note 2 7 2 29 2" xfId="43381"/>
    <cellStyle name="Note 2 7 2 3" xfId="43382"/>
    <cellStyle name="Note 2 7 2 3 2" xfId="43383"/>
    <cellStyle name="Note 2 7 2 3 3" xfId="43384"/>
    <cellStyle name="Note 2 7 2 30" xfId="43385"/>
    <cellStyle name="Note 2 7 2 30 2" xfId="43386"/>
    <cellStyle name="Note 2 7 2 31" xfId="43387"/>
    <cellStyle name="Note 2 7 2 4" xfId="43388"/>
    <cellStyle name="Note 2 7 2 4 2" xfId="43389"/>
    <cellStyle name="Note 2 7 2 5" xfId="43390"/>
    <cellStyle name="Note 2 7 2 5 2" xfId="43391"/>
    <cellStyle name="Note 2 7 2 6" xfId="43392"/>
    <cellStyle name="Note 2 7 2 6 2" xfId="43393"/>
    <cellStyle name="Note 2 7 2 7" xfId="43394"/>
    <cellStyle name="Note 2 7 2 7 2" xfId="43395"/>
    <cellStyle name="Note 2 7 2 8" xfId="43396"/>
    <cellStyle name="Note 2 7 2 8 2" xfId="43397"/>
    <cellStyle name="Note 2 7 2 9" xfId="43398"/>
    <cellStyle name="Note 2 7 2 9 2" xfId="43399"/>
    <cellStyle name="Note 2 7 20" xfId="43400"/>
    <cellStyle name="Note 2 7 20 2" xfId="43401"/>
    <cellStyle name="Note 2 7 21" xfId="43402"/>
    <cellStyle name="Note 2 7 21 2" xfId="43403"/>
    <cellStyle name="Note 2 7 22" xfId="43404"/>
    <cellStyle name="Note 2 7 22 2" xfId="43405"/>
    <cellStyle name="Note 2 7 23" xfId="43406"/>
    <cellStyle name="Note 2 7 23 2" xfId="43407"/>
    <cellStyle name="Note 2 7 24" xfId="43408"/>
    <cellStyle name="Note 2 7 24 2" xfId="43409"/>
    <cellStyle name="Note 2 7 25" xfId="43410"/>
    <cellStyle name="Note 2 7 25 2" xfId="43411"/>
    <cellStyle name="Note 2 7 26" xfId="43412"/>
    <cellStyle name="Note 2 7 26 2" xfId="43413"/>
    <cellStyle name="Note 2 7 27" xfId="43414"/>
    <cellStyle name="Note 2 7 27 2" xfId="43415"/>
    <cellStyle name="Note 2 7 28" xfId="43416"/>
    <cellStyle name="Note 2 7 28 2" xfId="43417"/>
    <cellStyle name="Note 2 7 29" xfId="43418"/>
    <cellStyle name="Note 2 7 29 2" xfId="43419"/>
    <cellStyle name="Note 2 7 3" xfId="43420"/>
    <cellStyle name="Note 2 7 3 2" xfId="43421"/>
    <cellStyle name="Note 2 7 3 2 2" xfId="43422"/>
    <cellStyle name="Note 2 7 3 3" xfId="43423"/>
    <cellStyle name="Note 2 7 3 3 2" xfId="43424"/>
    <cellStyle name="Note 2 7 3 4" xfId="43425"/>
    <cellStyle name="Note 2 7 3 4 2" xfId="43426"/>
    <cellStyle name="Note 2 7 3 5" xfId="43427"/>
    <cellStyle name="Note 2 7 30" xfId="43428"/>
    <cellStyle name="Note 2 7 30 2" xfId="43429"/>
    <cellStyle name="Note 2 7 31" xfId="43430"/>
    <cellStyle name="Note 2 7 31 2" xfId="43431"/>
    <cellStyle name="Note 2 7 32" xfId="43432"/>
    <cellStyle name="Note 2 7 32 2" xfId="43433"/>
    <cellStyle name="Note 2 7 33" xfId="43434"/>
    <cellStyle name="Note 2 7 33 2" xfId="43435"/>
    <cellStyle name="Note 2 7 34" xfId="43436"/>
    <cellStyle name="Note 2 7 34 2" xfId="43437"/>
    <cellStyle name="Note 2 7 35" xfId="43438"/>
    <cellStyle name="Note 2 7 35 2" xfId="43439"/>
    <cellStyle name="Note 2 7 36" xfId="43440"/>
    <cellStyle name="Note 2 7 36 2" xfId="43441"/>
    <cellStyle name="Note 2 7 37" xfId="43442"/>
    <cellStyle name="Note 2 7 37 2" xfId="43443"/>
    <cellStyle name="Note 2 7 38" xfId="43444"/>
    <cellStyle name="Note 2 7 38 2" xfId="43445"/>
    <cellStyle name="Note 2 7 39" xfId="43446"/>
    <cellStyle name="Note 2 7 39 2" xfId="43447"/>
    <cellStyle name="Note 2 7 4" xfId="43448"/>
    <cellStyle name="Note 2 7 4 2" xfId="43449"/>
    <cellStyle name="Note 2 7 4 2 2" xfId="43450"/>
    <cellStyle name="Note 2 7 4 3" xfId="43451"/>
    <cellStyle name="Note 2 7 4 3 2" xfId="43452"/>
    <cellStyle name="Note 2 7 4 4" xfId="43453"/>
    <cellStyle name="Note 2 7 4 4 2" xfId="43454"/>
    <cellStyle name="Note 2 7 4 5" xfId="43455"/>
    <cellStyle name="Note 2 7 40" xfId="43456"/>
    <cellStyle name="Note 2 7 40 2" xfId="43457"/>
    <cellStyle name="Note 2 7 41" xfId="43458"/>
    <cellStyle name="Note 2 7 41 2" xfId="43459"/>
    <cellStyle name="Note 2 7 42" xfId="43460"/>
    <cellStyle name="Note 2 7 42 2" xfId="43461"/>
    <cellStyle name="Note 2 7 43" xfId="43462"/>
    <cellStyle name="Note 2 7 43 2" xfId="43463"/>
    <cellStyle name="Note 2 7 44" xfId="43464"/>
    <cellStyle name="Note 2 7 44 2" xfId="43465"/>
    <cellStyle name="Note 2 7 45" xfId="43466"/>
    <cellStyle name="Note 2 7 45 2" xfId="43467"/>
    <cellStyle name="Note 2 7 46" xfId="43468"/>
    <cellStyle name="Note 2 7 46 2" xfId="43469"/>
    <cellStyle name="Note 2 7 47" xfId="43470"/>
    <cellStyle name="Note 2 7 47 2" xfId="43471"/>
    <cellStyle name="Note 2 7 48" xfId="43472"/>
    <cellStyle name="Note 2 7 48 2" xfId="43473"/>
    <cellStyle name="Note 2 7 49" xfId="43474"/>
    <cellStyle name="Note 2 7 49 2" xfId="43475"/>
    <cellStyle name="Note 2 7 5" xfId="43476"/>
    <cellStyle name="Note 2 7 5 2" xfId="43477"/>
    <cellStyle name="Note 2 7 5 2 2" xfId="43478"/>
    <cellStyle name="Note 2 7 5 3" xfId="43479"/>
    <cellStyle name="Note 2 7 5 3 2" xfId="43480"/>
    <cellStyle name="Note 2 7 5 4" xfId="43481"/>
    <cellStyle name="Note 2 7 5 4 2" xfId="43482"/>
    <cellStyle name="Note 2 7 5 5" xfId="43483"/>
    <cellStyle name="Note 2 7 50" xfId="43484"/>
    <cellStyle name="Note 2 7 50 2" xfId="43485"/>
    <cellStyle name="Note 2 7 51" xfId="43486"/>
    <cellStyle name="Note 2 7 51 2" xfId="43487"/>
    <cellStyle name="Note 2 7 52" xfId="43488"/>
    <cellStyle name="Note 2 7 52 2" xfId="43489"/>
    <cellStyle name="Note 2 7 53" xfId="43490"/>
    <cellStyle name="Note 2 7 53 2" xfId="43491"/>
    <cellStyle name="Note 2 7 54" xfId="43492"/>
    <cellStyle name="Note 2 7 54 2" xfId="43493"/>
    <cellStyle name="Note 2 7 55" xfId="43494"/>
    <cellStyle name="Note 2 7 55 2" xfId="43495"/>
    <cellStyle name="Note 2 7 56" xfId="43496"/>
    <cellStyle name="Note 2 7 56 2" xfId="43497"/>
    <cellStyle name="Note 2 7 57" xfId="43498"/>
    <cellStyle name="Note 2 7 57 2" xfId="43499"/>
    <cellStyle name="Note 2 7 58" xfId="43500"/>
    <cellStyle name="Note 2 7 58 2" xfId="43501"/>
    <cellStyle name="Note 2 7 59" xfId="43502"/>
    <cellStyle name="Note 2 7 59 2" xfId="43503"/>
    <cellStyle name="Note 2 7 6" xfId="43504"/>
    <cellStyle name="Note 2 7 6 2" xfId="43505"/>
    <cellStyle name="Note 2 7 6 2 2" xfId="43506"/>
    <cellStyle name="Note 2 7 6 3" xfId="43507"/>
    <cellStyle name="Note 2 7 6 3 2" xfId="43508"/>
    <cellStyle name="Note 2 7 6 4" xfId="43509"/>
    <cellStyle name="Note 2 7 6 4 2" xfId="43510"/>
    <cellStyle name="Note 2 7 6 5" xfId="43511"/>
    <cellStyle name="Note 2 7 60" xfId="43512"/>
    <cellStyle name="Note 2 7 60 2" xfId="43513"/>
    <cellStyle name="Note 2 7 61" xfId="43514"/>
    <cellStyle name="Note 2 7 61 2" xfId="43515"/>
    <cellStyle name="Note 2 7 62" xfId="43516"/>
    <cellStyle name="Note 2 7 7" xfId="43517"/>
    <cellStyle name="Note 2 7 7 2" xfId="43518"/>
    <cellStyle name="Note 2 7 7 2 2" xfId="43519"/>
    <cellStyle name="Note 2 7 7 3" xfId="43520"/>
    <cellStyle name="Note 2 7 7 3 2" xfId="43521"/>
    <cellStyle name="Note 2 7 7 4" xfId="43522"/>
    <cellStyle name="Note 2 7 7 4 2" xfId="43523"/>
    <cellStyle name="Note 2 7 7 5" xfId="43524"/>
    <cellStyle name="Note 2 7 8" xfId="43525"/>
    <cellStyle name="Note 2 7 8 2" xfId="43526"/>
    <cellStyle name="Note 2 7 8 2 2" xfId="43527"/>
    <cellStyle name="Note 2 7 8 3" xfId="43528"/>
    <cellStyle name="Note 2 7 8 3 2" xfId="43529"/>
    <cellStyle name="Note 2 7 8 4" xfId="43530"/>
    <cellStyle name="Note 2 7 8 4 2" xfId="43531"/>
    <cellStyle name="Note 2 7 8 5" xfId="43532"/>
    <cellStyle name="Note 2 7 9" xfId="43533"/>
    <cellStyle name="Note 2 7 9 2" xfId="43534"/>
    <cellStyle name="Note 2 7 9 2 2" xfId="43535"/>
    <cellStyle name="Note 2 7 9 3" xfId="43536"/>
    <cellStyle name="Note 2 7 9 3 2" xfId="43537"/>
    <cellStyle name="Note 2 7 9 4" xfId="43538"/>
    <cellStyle name="Note 2 7 9 4 2" xfId="43539"/>
    <cellStyle name="Note 2 7 9 5" xfId="43540"/>
    <cellStyle name="Note 2 70" xfId="43541"/>
    <cellStyle name="Note 2 70 2" xfId="43542"/>
    <cellStyle name="Note 2 71" xfId="43543"/>
    <cellStyle name="Note 2 71 2" xfId="43544"/>
    <cellStyle name="Note 2 72" xfId="43545"/>
    <cellStyle name="Note 2 72 2" xfId="43546"/>
    <cellStyle name="Note 2 73" xfId="43547"/>
    <cellStyle name="Note 2 73 2" xfId="43548"/>
    <cellStyle name="Note 2 74" xfId="43549"/>
    <cellStyle name="Note 2 74 2" xfId="43550"/>
    <cellStyle name="Note 2 75" xfId="43551"/>
    <cellStyle name="Note 2 75 2" xfId="43552"/>
    <cellStyle name="Note 2 76" xfId="43553"/>
    <cellStyle name="Note 2 76 2" xfId="43554"/>
    <cellStyle name="Note 2 77" xfId="43555"/>
    <cellStyle name="Note 2 77 2" xfId="43556"/>
    <cellStyle name="Note 2 78" xfId="43557"/>
    <cellStyle name="Note 2 78 2" xfId="43558"/>
    <cellStyle name="Note 2 79" xfId="43559"/>
    <cellStyle name="Note 2 79 2" xfId="43560"/>
    <cellStyle name="Note 2 8" xfId="43561"/>
    <cellStyle name="Note 2 8 10" xfId="43562"/>
    <cellStyle name="Note 2 8 10 2" xfId="43563"/>
    <cellStyle name="Note 2 8 10 2 2" xfId="43564"/>
    <cellStyle name="Note 2 8 10 3" xfId="43565"/>
    <cellStyle name="Note 2 8 10 3 2" xfId="43566"/>
    <cellStyle name="Note 2 8 10 4" xfId="43567"/>
    <cellStyle name="Note 2 8 10 4 2" xfId="43568"/>
    <cellStyle name="Note 2 8 10 5" xfId="43569"/>
    <cellStyle name="Note 2 8 11" xfId="43570"/>
    <cellStyle name="Note 2 8 11 2" xfId="43571"/>
    <cellStyle name="Note 2 8 11 2 2" xfId="43572"/>
    <cellStyle name="Note 2 8 11 3" xfId="43573"/>
    <cellStyle name="Note 2 8 11 3 2" xfId="43574"/>
    <cellStyle name="Note 2 8 11 4" xfId="43575"/>
    <cellStyle name="Note 2 8 11 4 2" xfId="43576"/>
    <cellStyle name="Note 2 8 11 5" xfId="43577"/>
    <cellStyle name="Note 2 8 12" xfId="43578"/>
    <cellStyle name="Note 2 8 12 2" xfId="43579"/>
    <cellStyle name="Note 2 8 12 2 2" xfId="43580"/>
    <cellStyle name="Note 2 8 12 3" xfId="43581"/>
    <cellStyle name="Note 2 8 12 3 2" xfId="43582"/>
    <cellStyle name="Note 2 8 12 4" xfId="43583"/>
    <cellStyle name="Note 2 8 12 4 2" xfId="43584"/>
    <cellStyle name="Note 2 8 12 5" xfId="43585"/>
    <cellStyle name="Note 2 8 13" xfId="43586"/>
    <cellStyle name="Note 2 8 13 2" xfId="43587"/>
    <cellStyle name="Note 2 8 13 2 2" xfId="43588"/>
    <cellStyle name="Note 2 8 13 3" xfId="43589"/>
    <cellStyle name="Note 2 8 13 3 2" xfId="43590"/>
    <cellStyle name="Note 2 8 13 4" xfId="43591"/>
    <cellStyle name="Note 2 8 13 4 2" xfId="43592"/>
    <cellStyle name="Note 2 8 13 5" xfId="43593"/>
    <cellStyle name="Note 2 8 14" xfId="43594"/>
    <cellStyle name="Note 2 8 14 2" xfId="43595"/>
    <cellStyle name="Note 2 8 14 2 2" xfId="43596"/>
    <cellStyle name="Note 2 8 14 3" xfId="43597"/>
    <cellStyle name="Note 2 8 14 3 2" xfId="43598"/>
    <cellStyle name="Note 2 8 14 4" xfId="43599"/>
    <cellStyle name="Note 2 8 14 4 2" xfId="43600"/>
    <cellStyle name="Note 2 8 14 5" xfId="43601"/>
    <cellStyle name="Note 2 8 15" xfId="43602"/>
    <cellStyle name="Note 2 8 15 2" xfId="43603"/>
    <cellStyle name="Note 2 8 16" xfId="43604"/>
    <cellStyle name="Note 2 8 16 2" xfId="43605"/>
    <cellStyle name="Note 2 8 17" xfId="43606"/>
    <cellStyle name="Note 2 8 17 2" xfId="43607"/>
    <cellStyle name="Note 2 8 18" xfId="43608"/>
    <cellStyle name="Note 2 8 18 2" xfId="43609"/>
    <cellStyle name="Note 2 8 19" xfId="43610"/>
    <cellStyle name="Note 2 8 19 2" xfId="43611"/>
    <cellStyle name="Note 2 8 2" xfId="43612"/>
    <cellStyle name="Note 2 8 2 10" xfId="43613"/>
    <cellStyle name="Note 2 8 2 10 2" xfId="43614"/>
    <cellStyle name="Note 2 8 2 11" xfId="43615"/>
    <cellStyle name="Note 2 8 2 11 2" xfId="43616"/>
    <cellStyle name="Note 2 8 2 12" xfId="43617"/>
    <cellStyle name="Note 2 8 2 12 2" xfId="43618"/>
    <cellStyle name="Note 2 8 2 13" xfId="43619"/>
    <cellStyle name="Note 2 8 2 13 2" xfId="43620"/>
    <cellStyle name="Note 2 8 2 14" xfId="43621"/>
    <cellStyle name="Note 2 8 2 14 2" xfId="43622"/>
    <cellStyle name="Note 2 8 2 15" xfId="43623"/>
    <cellStyle name="Note 2 8 2 15 2" xfId="43624"/>
    <cellStyle name="Note 2 8 2 16" xfId="43625"/>
    <cellStyle name="Note 2 8 2 16 2" xfId="43626"/>
    <cellStyle name="Note 2 8 2 17" xfId="43627"/>
    <cellStyle name="Note 2 8 2 17 2" xfId="43628"/>
    <cellStyle name="Note 2 8 2 18" xfId="43629"/>
    <cellStyle name="Note 2 8 2 18 2" xfId="43630"/>
    <cellStyle name="Note 2 8 2 19" xfId="43631"/>
    <cellStyle name="Note 2 8 2 19 2" xfId="43632"/>
    <cellStyle name="Note 2 8 2 2" xfId="43633"/>
    <cellStyle name="Note 2 8 2 2 2" xfId="43634"/>
    <cellStyle name="Note 2 8 2 2 3" xfId="43635"/>
    <cellStyle name="Note 2 8 2 20" xfId="43636"/>
    <cellStyle name="Note 2 8 2 20 2" xfId="43637"/>
    <cellStyle name="Note 2 8 2 21" xfId="43638"/>
    <cellStyle name="Note 2 8 2 21 2" xfId="43639"/>
    <cellStyle name="Note 2 8 2 22" xfId="43640"/>
    <cellStyle name="Note 2 8 2 22 2" xfId="43641"/>
    <cellStyle name="Note 2 8 2 23" xfId="43642"/>
    <cellStyle name="Note 2 8 2 23 2" xfId="43643"/>
    <cellStyle name="Note 2 8 2 24" xfId="43644"/>
    <cellStyle name="Note 2 8 2 24 2" xfId="43645"/>
    <cellStyle name="Note 2 8 2 25" xfId="43646"/>
    <cellStyle name="Note 2 8 2 25 2" xfId="43647"/>
    <cellStyle name="Note 2 8 2 26" xfId="43648"/>
    <cellStyle name="Note 2 8 2 26 2" xfId="43649"/>
    <cellStyle name="Note 2 8 2 27" xfId="43650"/>
    <cellStyle name="Note 2 8 2 27 2" xfId="43651"/>
    <cellStyle name="Note 2 8 2 28" xfId="43652"/>
    <cellStyle name="Note 2 8 2 28 2" xfId="43653"/>
    <cellStyle name="Note 2 8 2 29" xfId="43654"/>
    <cellStyle name="Note 2 8 2 29 2" xfId="43655"/>
    <cellStyle name="Note 2 8 2 3" xfId="43656"/>
    <cellStyle name="Note 2 8 2 3 2" xfId="43657"/>
    <cellStyle name="Note 2 8 2 3 3" xfId="43658"/>
    <cellStyle name="Note 2 8 2 30" xfId="43659"/>
    <cellStyle name="Note 2 8 2 30 2" xfId="43660"/>
    <cellStyle name="Note 2 8 2 31" xfId="43661"/>
    <cellStyle name="Note 2 8 2 4" xfId="43662"/>
    <cellStyle name="Note 2 8 2 4 2" xfId="43663"/>
    <cellStyle name="Note 2 8 2 5" xfId="43664"/>
    <cellStyle name="Note 2 8 2 5 2" xfId="43665"/>
    <cellStyle name="Note 2 8 2 6" xfId="43666"/>
    <cellStyle name="Note 2 8 2 6 2" xfId="43667"/>
    <cellStyle name="Note 2 8 2 7" xfId="43668"/>
    <cellStyle name="Note 2 8 2 7 2" xfId="43669"/>
    <cellStyle name="Note 2 8 2 8" xfId="43670"/>
    <cellStyle name="Note 2 8 2 8 2" xfId="43671"/>
    <cellStyle name="Note 2 8 2 9" xfId="43672"/>
    <cellStyle name="Note 2 8 2 9 2" xfId="43673"/>
    <cellStyle name="Note 2 8 20" xfId="43674"/>
    <cellStyle name="Note 2 8 20 2" xfId="43675"/>
    <cellStyle name="Note 2 8 21" xfId="43676"/>
    <cellStyle name="Note 2 8 21 2" xfId="43677"/>
    <cellStyle name="Note 2 8 22" xfId="43678"/>
    <cellStyle name="Note 2 8 22 2" xfId="43679"/>
    <cellStyle name="Note 2 8 23" xfId="43680"/>
    <cellStyle name="Note 2 8 23 2" xfId="43681"/>
    <cellStyle name="Note 2 8 24" xfId="43682"/>
    <cellStyle name="Note 2 8 24 2" xfId="43683"/>
    <cellStyle name="Note 2 8 25" xfId="43684"/>
    <cellStyle name="Note 2 8 25 2" xfId="43685"/>
    <cellStyle name="Note 2 8 26" xfId="43686"/>
    <cellStyle name="Note 2 8 26 2" xfId="43687"/>
    <cellStyle name="Note 2 8 27" xfId="43688"/>
    <cellStyle name="Note 2 8 27 2" xfId="43689"/>
    <cellStyle name="Note 2 8 28" xfId="43690"/>
    <cellStyle name="Note 2 8 28 2" xfId="43691"/>
    <cellStyle name="Note 2 8 29" xfId="43692"/>
    <cellStyle name="Note 2 8 29 2" xfId="43693"/>
    <cellStyle name="Note 2 8 3" xfId="43694"/>
    <cellStyle name="Note 2 8 3 2" xfId="43695"/>
    <cellStyle name="Note 2 8 3 2 2" xfId="43696"/>
    <cellStyle name="Note 2 8 3 3" xfId="43697"/>
    <cellStyle name="Note 2 8 3 3 2" xfId="43698"/>
    <cellStyle name="Note 2 8 3 4" xfId="43699"/>
    <cellStyle name="Note 2 8 3 4 2" xfId="43700"/>
    <cellStyle name="Note 2 8 3 5" xfId="43701"/>
    <cellStyle name="Note 2 8 30" xfId="43702"/>
    <cellStyle name="Note 2 8 30 2" xfId="43703"/>
    <cellStyle name="Note 2 8 31" xfId="43704"/>
    <cellStyle name="Note 2 8 31 2" xfId="43705"/>
    <cellStyle name="Note 2 8 32" xfId="43706"/>
    <cellStyle name="Note 2 8 32 2" xfId="43707"/>
    <cellStyle name="Note 2 8 33" xfId="43708"/>
    <cellStyle name="Note 2 8 33 2" xfId="43709"/>
    <cellStyle name="Note 2 8 34" xfId="43710"/>
    <cellStyle name="Note 2 8 34 2" xfId="43711"/>
    <cellStyle name="Note 2 8 35" xfId="43712"/>
    <cellStyle name="Note 2 8 35 2" xfId="43713"/>
    <cellStyle name="Note 2 8 36" xfId="43714"/>
    <cellStyle name="Note 2 8 36 2" xfId="43715"/>
    <cellStyle name="Note 2 8 37" xfId="43716"/>
    <cellStyle name="Note 2 8 37 2" xfId="43717"/>
    <cellStyle name="Note 2 8 38" xfId="43718"/>
    <cellStyle name="Note 2 8 38 2" xfId="43719"/>
    <cellStyle name="Note 2 8 39" xfId="43720"/>
    <cellStyle name="Note 2 8 39 2" xfId="43721"/>
    <cellStyle name="Note 2 8 4" xfId="43722"/>
    <cellStyle name="Note 2 8 4 2" xfId="43723"/>
    <cellStyle name="Note 2 8 4 2 2" xfId="43724"/>
    <cellStyle name="Note 2 8 4 3" xfId="43725"/>
    <cellStyle name="Note 2 8 4 3 2" xfId="43726"/>
    <cellStyle name="Note 2 8 4 4" xfId="43727"/>
    <cellStyle name="Note 2 8 4 4 2" xfId="43728"/>
    <cellStyle name="Note 2 8 4 5" xfId="43729"/>
    <cellStyle name="Note 2 8 40" xfId="43730"/>
    <cellStyle name="Note 2 8 40 2" xfId="43731"/>
    <cellStyle name="Note 2 8 41" xfId="43732"/>
    <cellStyle name="Note 2 8 41 2" xfId="43733"/>
    <cellStyle name="Note 2 8 42" xfId="43734"/>
    <cellStyle name="Note 2 8 42 2" xfId="43735"/>
    <cellStyle name="Note 2 8 43" xfId="43736"/>
    <cellStyle name="Note 2 8 43 2" xfId="43737"/>
    <cellStyle name="Note 2 8 44" xfId="43738"/>
    <cellStyle name="Note 2 8 44 2" xfId="43739"/>
    <cellStyle name="Note 2 8 45" xfId="43740"/>
    <cellStyle name="Note 2 8 45 2" xfId="43741"/>
    <cellStyle name="Note 2 8 46" xfId="43742"/>
    <cellStyle name="Note 2 8 46 2" xfId="43743"/>
    <cellStyle name="Note 2 8 47" xfId="43744"/>
    <cellStyle name="Note 2 8 47 2" xfId="43745"/>
    <cellStyle name="Note 2 8 48" xfId="43746"/>
    <cellStyle name="Note 2 8 48 2" xfId="43747"/>
    <cellStyle name="Note 2 8 49" xfId="43748"/>
    <cellStyle name="Note 2 8 49 2" xfId="43749"/>
    <cellStyle name="Note 2 8 5" xfId="43750"/>
    <cellStyle name="Note 2 8 5 2" xfId="43751"/>
    <cellStyle name="Note 2 8 5 2 2" xfId="43752"/>
    <cellStyle name="Note 2 8 5 3" xfId="43753"/>
    <cellStyle name="Note 2 8 5 3 2" xfId="43754"/>
    <cellStyle name="Note 2 8 5 4" xfId="43755"/>
    <cellStyle name="Note 2 8 5 4 2" xfId="43756"/>
    <cellStyle name="Note 2 8 5 5" xfId="43757"/>
    <cellStyle name="Note 2 8 50" xfId="43758"/>
    <cellStyle name="Note 2 8 50 2" xfId="43759"/>
    <cellStyle name="Note 2 8 51" xfId="43760"/>
    <cellStyle name="Note 2 8 51 2" xfId="43761"/>
    <cellStyle name="Note 2 8 52" xfId="43762"/>
    <cellStyle name="Note 2 8 52 2" xfId="43763"/>
    <cellStyle name="Note 2 8 53" xfId="43764"/>
    <cellStyle name="Note 2 8 53 2" xfId="43765"/>
    <cellStyle name="Note 2 8 54" xfId="43766"/>
    <cellStyle name="Note 2 8 54 2" xfId="43767"/>
    <cellStyle name="Note 2 8 55" xfId="43768"/>
    <cellStyle name="Note 2 8 55 2" xfId="43769"/>
    <cellStyle name="Note 2 8 56" xfId="43770"/>
    <cellStyle name="Note 2 8 56 2" xfId="43771"/>
    <cellStyle name="Note 2 8 57" xfId="43772"/>
    <cellStyle name="Note 2 8 57 2" xfId="43773"/>
    <cellStyle name="Note 2 8 58" xfId="43774"/>
    <cellStyle name="Note 2 8 58 2" xfId="43775"/>
    <cellStyle name="Note 2 8 59" xfId="43776"/>
    <cellStyle name="Note 2 8 59 2" xfId="43777"/>
    <cellStyle name="Note 2 8 6" xfId="43778"/>
    <cellStyle name="Note 2 8 6 2" xfId="43779"/>
    <cellStyle name="Note 2 8 6 2 2" xfId="43780"/>
    <cellStyle name="Note 2 8 6 3" xfId="43781"/>
    <cellStyle name="Note 2 8 6 3 2" xfId="43782"/>
    <cellStyle name="Note 2 8 6 4" xfId="43783"/>
    <cellStyle name="Note 2 8 6 4 2" xfId="43784"/>
    <cellStyle name="Note 2 8 6 5" xfId="43785"/>
    <cellStyle name="Note 2 8 60" xfId="43786"/>
    <cellStyle name="Note 2 8 60 2" xfId="43787"/>
    <cellStyle name="Note 2 8 61" xfId="43788"/>
    <cellStyle name="Note 2 8 61 2" xfId="43789"/>
    <cellStyle name="Note 2 8 62" xfId="43790"/>
    <cellStyle name="Note 2 8 7" xfId="43791"/>
    <cellStyle name="Note 2 8 7 2" xfId="43792"/>
    <cellStyle name="Note 2 8 7 2 2" xfId="43793"/>
    <cellStyle name="Note 2 8 7 3" xfId="43794"/>
    <cellStyle name="Note 2 8 7 3 2" xfId="43795"/>
    <cellStyle name="Note 2 8 7 4" xfId="43796"/>
    <cellStyle name="Note 2 8 7 4 2" xfId="43797"/>
    <cellStyle name="Note 2 8 7 5" xfId="43798"/>
    <cellStyle name="Note 2 8 8" xfId="43799"/>
    <cellStyle name="Note 2 8 8 2" xfId="43800"/>
    <cellStyle name="Note 2 8 8 2 2" xfId="43801"/>
    <cellStyle name="Note 2 8 8 3" xfId="43802"/>
    <cellStyle name="Note 2 8 8 3 2" xfId="43803"/>
    <cellStyle name="Note 2 8 8 4" xfId="43804"/>
    <cellStyle name="Note 2 8 8 4 2" xfId="43805"/>
    <cellStyle name="Note 2 8 8 5" xfId="43806"/>
    <cellStyle name="Note 2 8 9" xfId="43807"/>
    <cellStyle name="Note 2 8 9 2" xfId="43808"/>
    <cellStyle name="Note 2 8 9 2 2" xfId="43809"/>
    <cellStyle name="Note 2 8 9 3" xfId="43810"/>
    <cellStyle name="Note 2 8 9 3 2" xfId="43811"/>
    <cellStyle name="Note 2 8 9 4" xfId="43812"/>
    <cellStyle name="Note 2 8 9 4 2" xfId="43813"/>
    <cellStyle name="Note 2 8 9 5" xfId="43814"/>
    <cellStyle name="Note 2 80" xfId="43815"/>
    <cellStyle name="Note 2 80 2" xfId="43816"/>
    <cellStyle name="Note 2 81" xfId="43817"/>
    <cellStyle name="Note 2 81 2" xfId="43818"/>
    <cellStyle name="Note 2 82" xfId="43819"/>
    <cellStyle name="Note 2 82 2" xfId="43820"/>
    <cellStyle name="Note 2 83" xfId="43821"/>
    <cellStyle name="Note 2 83 2" xfId="43822"/>
    <cellStyle name="Note 2 84" xfId="43823"/>
    <cellStyle name="Note 2 84 2" xfId="43824"/>
    <cellStyle name="Note 2 85" xfId="43825"/>
    <cellStyle name="Note 2 85 2" xfId="43826"/>
    <cellStyle name="Note 2 86" xfId="43827"/>
    <cellStyle name="Note 2 86 2" xfId="43828"/>
    <cellStyle name="Note 2 87" xfId="43829"/>
    <cellStyle name="Note 2 87 2" xfId="43830"/>
    <cellStyle name="Note 2 88" xfId="43831"/>
    <cellStyle name="Note 2 88 2" xfId="43832"/>
    <cellStyle name="Note 2 89" xfId="43833"/>
    <cellStyle name="Note 2 89 2" xfId="43834"/>
    <cellStyle name="Note 2 9" xfId="43835"/>
    <cellStyle name="Note 2 9 10" xfId="43836"/>
    <cellStyle name="Note 2 9 10 2" xfId="43837"/>
    <cellStyle name="Note 2 9 10 2 2" xfId="43838"/>
    <cellStyle name="Note 2 9 10 3" xfId="43839"/>
    <cellStyle name="Note 2 9 10 3 2" xfId="43840"/>
    <cellStyle name="Note 2 9 10 4" xfId="43841"/>
    <cellStyle name="Note 2 9 10 4 2" xfId="43842"/>
    <cellStyle name="Note 2 9 10 5" xfId="43843"/>
    <cellStyle name="Note 2 9 11" xfId="43844"/>
    <cellStyle name="Note 2 9 11 2" xfId="43845"/>
    <cellStyle name="Note 2 9 11 2 2" xfId="43846"/>
    <cellStyle name="Note 2 9 11 3" xfId="43847"/>
    <cellStyle name="Note 2 9 11 3 2" xfId="43848"/>
    <cellStyle name="Note 2 9 11 4" xfId="43849"/>
    <cellStyle name="Note 2 9 11 4 2" xfId="43850"/>
    <cellStyle name="Note 2 9 11 5" xfId="43851"/>
    <cellStyle name="Note 2 9 12" xfId="43852"/>
    <cellStyle name="Note 2 9 12 2" xfId="43853"/>
    <cellStyle name="Note 2 9 12 2 2" xfId="43854"/>
    <cellStyle name="Note 2 9 12 3" xfId="43855"/>
    <cellStyle name="Note 2 9 12 3 2" xfId="43856"/>
    <cellStyle name="Note 2 9 12 4" xfId="43857"/>
    <cellStyle name="Note 2 9 12 4 2" xfId="43858"/>
    <cellStyle name="Note 2 9 12 5" xfId="43859"/>
    <cellStyle name="Note 2 9 13" xfId="43860"/>
    <cellStyle name="Note 2 9 13 2" xfId="43861"/>
    <cellStyle name="Note 2 9 13 2 2" xfId="43862"/>
    <cellStyle name="Note 2 9 13 3" xfId="43863"/>
    <cellStyle name="Note 2 9 13 3 2" xfId="43864"/>
    <cellStyle name="Note 2 9 13 4" xfId="43865"/>
    <cellStyle name="Note 2 9 13 4 2" xfId="43866"/>
    <cellStyle name="Note 2 9 13 5" xfId="43867"/>
    <cellStyle name="Note 2 9 14" xfId="43868"/>
    <cellStyle name="Note 2 9 14 2" xfId="43869"/>
    <cellStyle name="Note 2 9 14 2 2" xfId="43870"/>
    <cellStyle name="Note 2 9 14 3" xfId="43871"/>
    <cellStyle name="Note 2 9 14 3 2" xfId="43872"/>
    <cellStyle name="Note 2 9 14 4" xfId="43873"/>
    <cellStyle name="Note 2 9 14 4 2" xfId="43874"/>
    <cellStyle name="Note 2 9 14 5" xfId="43875"/>
    <cellStyle name="Note 2 9 15" xfId="43876"/>
    <cellStyle name="Note 2 9 15 2" xfId="43877"/>
    <cellStyle name="Note 2 9 16" xfId="43878"/>
    <cellStyle name="Note 2 9 16 2" xfId="43879"/>
    <cellStyle name="Note 2 9 17" xfId="43880"/>
    <cellStyle name="Note 2 9 17 2" xfId="43881"/>
    <cellStyle name="Note 2 9 18" xfId="43882"/>
    <cellStyle name="Note 2 9 18 2" xfId="43883"/>
    <cellStyle name="Note 2 9 19" xfId="43884"/>
    <cellStyle name="Note 2 9 19 2" xfId="43885"/>
    <cellStyle name="Note 2 9 2" xfId="43886"/>
    <cellStyle name="Note 2 9 2 10" xfId="43887"/>
    <cellStyle name="Note 2 9 2 10 2" xfId="43888"/>
    <cellStyle name="Note 2 9 2 11" xfId="43889"/>
    <cellStyle name="Note 2 9 2 11 2" xfId="43890"/>
    <cellStyle name="Note 2 9 2 12" xfId="43891"/>
    <cellStyle name="Note 2 9 2 12 2" xfId="43892"/>
    <cellStyle name="Note 2 9 2 13" xfId="43893"/>
    <cellStyle name="Note 2 9 2 13 2" xfId="43894"/>
    <cellStyle name="Note 2 9 2 14" xfId="43895"/>
    <cellStyle name="Note 2 9 2 14 2" xfId="43896"/>
    <cellStyle name="Note 2 9 2 15" xfId="43897"/>
    <cellStyle name="Note 2 9 2 15 2" xfId="43898"/>
    <cellStyle name="Note 2 9 2 16" xfId="43899"/>
    <cellStyle name="Note 2 9 2 16 2" xfId="43900"/>
    <cellStyle name="Note 2 9 2 17" xfId="43901"/>
    <cellStyle name="Note 2 9 2 17 2" xfId="43902"/>
    <cellStyle name="Note 2 9 2 18" xfId="43903"/>
    <cellStyle name="Note 2 9 2 18 2" xfId="43904"/>
    <cellStyle name="Note 2 9 2 19" xfId="43905"/>
    <cellStyle name="Note 2 9 2 19 2" xfId="43906"/>
    <cellStyle name="Note 2 9 2 2" xfId="43907"/>
    <cellStyle name="Note 2 9 2 2 2" xfId="43908"/>
    <cellStyle name="Note 2 9 2 2 3" xfId="43909"/>
    <cellStyle name="Note 2 9 2 20" xfId="43910"/>
    <cellStyle name="Note 2 9 2 20 2" xfId="43911"/>
    <cellStyle name="Note 2 9 2 21" xfId="43912"/>
    <cellStyle name="Note 2 9 2 21 2" xfId="43913"/>
    <cellStyle name="Note 2 9 2 22" xfId="43914"/>
    <cellStyle name="Note 2 9 2 22 2" xfId="43915"/>
    <cellStyle name="Note 2 9 2 23" xfId="43916"/>
    <cellStyle name="Note 2 9 2 23 2" xfId="43917"/>
    <cellStyle name="Note 2 9 2 24" xfId="43918"/>
    <cellStyle name="Note 2 9 2 24 2" xfId="43919"/>
    <cellStyle name="Note 2 9 2 25" xfId="43920"/>
    <cellStyle name="Note 2 9 2 25 2" xfId="43921"/>
    <cellStyle name="Note 2 9 2 26" xfId="43922"/>
    <cellStyle name="Note 2 9 2 26 2" xfId="43923"/>
    <cellStyle name="Note 2 9 2 27" xfId="43924"/>
    <cellStyle name="Note 2 9 2 27 2" xfId="43925"/>
    <cellStyle name="Note 2 9 2 28" xfId="43926"/>
    <cellStyle name="Note 2 9 2 28 2" xfId="43927"/>
    <cellStyle name="Note 2 9 2 29" xfId="43928"/>
    <cellStyle name="Note 2 9 2 29 2" xfId="43929"/>
    <cellStyle name="Note 2 9 2 3" xfId="43930"/>
    <cellStyle name="Note 2 9 2 3 2" xfId="43931"/>
    <cellStyle name="Note 2 9 2 3 3" xfId="43932"/>
    <cellStyle name="Note 2 9 2 30" xfId="43933"/>
    <cellStyle name="Note 2 9 2 30 2" xfId="43934"/>
    <cellStyle name="Note 2 9 2 31" xfId="43935"/>
    <cellStyle name="Note 2 9 2 4" xfId="43936"/>
    <cellStyle name="Note 2 9 2 4 2" xfId="43937"/>
    <cellStyle name="Note 2 9 2 5" xfId="43938"/>
    <cellStyle name="Note 2 9 2 5 2" xfId="43939"/>
    <cellStyle name="Note 2 9 2 6" xfId="43940"/>
    <cellStyle name="Note 2 9 2 6 2" xfId="43941"/>
    <cellStyle name="Note 2 9 2 7" xfId="43942"/>
    <cellStyle name="Note 2 9 2 7 2" xfId="43943"/>
    <cellStyle name="Note 2 9 2 8" xfId="43944"/>
    <cellStyle name="Note 2 9 2 8 2" xfId="43945"/>
    <cellStyle name="Note 2 9 2 9" xfId="43946"/>
    <cellStyle name="Note 2 9 2 9 2" xfId="43947"/>
    <cellStyle name="Note 2 9 20" xfId="43948"/>
    <cellStyle name="Note 2 9 20 2" xfId="43949"/>
    <cellStyle name="Note 2 9 21" xfId="43950"/>
    <cellStyle name="Note 2 9 21 2" xfId="43951"/>
    <cellStyle name="Note 2 9 22" xfId="43952"/>
    <cellStyle name="Note 2 9 22 2" xfId="43953"/>
    <cellStyle name="Note 2 9 23" xfId="43954"/>
    <cellStyle name="Note 2 9 23 2" xfId="43955"/>
    <cellStyle name="Note 2 9 24" xfId="43956"/>
    <cellStyle name="Note 2 9 24 2" xfId="43957"/>
    <cellStyle name="Note 2 9 25" xfId="43958"/>
    <cellStyle name="Note 2 9 25 2" xfId="43959"/>
    <cellStyle name="Note 2 9 26" xfId="43960"/>
    <cellStyle name="Note 2 9 26 2" xfId="43961"/>
    <cellStyle name="Note 2 9 27" xfId="43962"/>
    <cellStyle name="Note 2 9 27 2" xfId="43963"/>
    <cellStyle name="Note 2 9 28" xfId="43964"/>
    <cellStyle name="Note 2 9 28 2" xfId="43965"/>
    <cellStyle name="Note 2 9 29" xfId="43966"/>
    <cellStyle name="Note 2 9 29 2" xfId="43967"/>
    <cellStyle name="Note 2 9 3" xfId="43968"/>
    <cellStyle name="Note 2 9 3 2" xfId="43969"/>
    <cellStyle name="Note 2 9 3 2 2" xfId="43970"/>
    <cellStyle name="Note 2 9 3 3" xfId="43971"/>
    <cellStyle name="Note 2 9 3 3 2" xfId="43972"/>
    <cellStyle name="Note 2 9 3 4" xfId="43973"/>
    <cellStyle name="Note 2 9 3 4 2" xfId="43974"/>
    <cellStyle name="Note 2 9 3 5" xfId="43975"/>
    <cellStyle name="Note 2 9 30" xfId="43976"/>
    <cellStyle name="Note 2 9 30 2" xfId="43977"/>
    <cellStyle name="Note 2 9 31" xfId="43978"/>
    <cellStyle name="Note 2 9 31 2" xfId="43979"/>
    <cellStyle name="Note 2 9 32" xfId="43980"/>
    <cellStyle name="Note 2 9 32 2" xfId="43981"/>
    <cellStyle name="Note 2 9 33" xfId="43982"/>
    <cellStyle name="Note 2 9 33 2" xfId="43983"/>
    <cellStyle name="Note 2 9 34" xfId="43984"/>
    <cellStyle name="Note 2 9 34 2" xfId="43985"/>
    <cellStyle name="Note 2 9 35" xfId="43986"/>
    <cellStyle name="Note 2 9 35 2" xfId="43987"/>
    <cellStyle name="Note 2 9 36" xfId="43988"/>
    <cellStyle name="Note 2 9 36 2" xfId="43989"/>
    <cellStyle name="Note 2 9 37" xfId="43990"/>
    <cellStyle name="Note 2 9 37 2" xfId="43991"/>
    <cellStyle name="Note 2 9 38" xfId="43992"/>
    <cellStyle name="Note 2 9 38 2" xfId="43993"/>
    <cellStyle name="Note 2 9 39" xfId="43994"/>
    <cellStyle name="Note 2 9 39 2" xfId="43995"/>
    <cellStyle name="Note 2 9 4" xfId="43996"/>
    <cellStyle name="Note 2 9 4 2" xfId="43997"/>
    <cellStyle name="Note 2 9 4 2 2" xfId="43998"/>
    <cellStyle name="Note 2 9 4 3" xfId="43999"/>
    <cellStyle name="Note 2 9 4 3 2" xfId="44000"/>
    <cellStyle name="Note 2 9 4 4" xfId="44001"/>
    <cellStyle name="Note 2 9 4 4 2" xfId="44002"/>
    <cellStyle name="Note 2 9 4 5" xfId="44003"/>
    <cellStyle name="Note 2 9 40" xfId="44004"/>
    <cellStyle name="Note 2 9 40 2" xfId="44005"/>
    <cellStyle name="Note 2 9 41" xfId="44006"/>
    <cellStyle name="Note 2 9 41 2" xfId="44007"/>
    <cellStyle name="Note 2 9 42" xfId="44008"/>
    <cellStyle name="Note 2 9 42 2" xfId="44009"/>
    <cellStyle name="Note 2 9 43" xfId="44010"/>
    <cellStyle name="Note 2 9 43 2" xfId="44011"/>
    <cellStyle name="Note 2 9 44" xfId="44012"/>
    <cellStyle name="Note 2 9 44 2" xfId="44013"/>
    <cellStyle name="Note 2 9 45" xfId="44014"/>
    <cellStyle name="Note 2 9 45 2" xfId="44015"/>
    <cellStyle name="Note 2 9 46" xfId="44016"/>
    <cellStyle name="Note 2 9 46 2" xfId="44017"/>
    <cellStyle name="Note 2 9 47" xfId="44018"/>
    <cellStyle name="Note 2 9 47 2" xfId="44019"/>
    <cellStyle name="Note 2 9 48" xfId="44020"/>
    <cellStyle name="Note 2 9 48 2" xfId="44021"/>
    <cellStyle name="Note 2 9 49" xfId="44022"/>
    <cellStyle name="Note 2 9 49 2" xfId="44023"/>
    <cellStyle name="Note 2 9 5" xfId="44024"/>
    <cellStyle name="Note 2 9 5 2" xfId="44025"/>
    <cellStyle name="Note 2 9 5 2 2" xfId="44026"/>
    <cellStyle name="Note 2 9 5 3" xfId="44027"/>
    <cellStyle name="Note 2 9 5 3 2" xfId="44028"/>
    <cellStyle name="Note 2 9 5 4" xfId="44029"/>
    <cellStyle name="Note 2 9 5 4 2" xfId="44030"/>
    <cellStyle name="Note 2 9 5 5" xfId="44031"/>
    <cellStyle name="Note 2 9 50" xfId="44032"/>
    <cellStyle name="Note 2 9 50 2" xfId="44033"/>
    <cellStyle name="Note 2 9 51" xfId="44034"/>
    <cellStyle name="Note 2 9 51 2" xfId="44035"/>
    <cellStyle name="Note 2 9 52" xfId="44036"/>
    <cellStyle name="Note 2 9 52 2" xfId="44037"/>
    <cellStyle name="Note 2 9 53" xfId="44038"/>
    <cellStyle name="Note 2 9 53 2" xfId="44039"/>
    <cellStyle name="Note 2 9 54" xfId="44040"/>
    <cellStyle name="Note 2 9 54 2" xfId="44041"/>
    <cellStyle name="Note 2 9 55" xfId="44042"/>
    <cellStyle name="Note 2 9 55 2" xfId="44043"/>
    <cellStyle name="Note 2 9 56" xfId="44044"/>
    <cellStyle name="Note 2 9 56 2" xfId="44045"/>
    <cellStyle name="Note 2 9 57" xfId="44046"/>
    <cellStyle name="Note 2 9 57 2" xfId="44047"/>
    <cellStyle name="Note 2 9 58" xfId="44048"/>
    <cellStyle name="Note 2 9 58 2" xfId="44049"/>
    <cellStyle name="Note 2 9 59" xfId="44050"/>
    <cellStyle name="Note 2 9 59 2" xfId="44051"/>
    <cellStyle name="Note 2 9 6" xfId="44052"/>
    <cellStyle name="Note 2 9 6 2" xfId="44053"/>
    <cellStyle name="Note 2 9 6 2 2" xfId="44054"/>
    <cellStyle name="Note 2 9 6 3" xfId="44055"/>
    <cellStyle name="Note 2 9 6 3 2" xfId="44056"/>
    <cellStyle name="Note 2 9 6 4" xfId="44057"/>
    <cellStyle name="Note 2 9 6 4 2" xfId="44058"/>
    <cellStyle name="Note 2 9 6 5" xfId="44059"/>
    <cellStyle name="Note 2 9 60" xfId="44060"/>
    <cellStyle name="Note 2 9 60 2" xfId="44061"/>
    <cellStyle name="Note 2 9 61" xfId="44062"/>
    <cellStyle name="Note 2 9 61 2" xfId="44063"/>
    <cellStyle name="Note 2 9 62" xfId="44064"/>
    <cellStyle name="Note 2 9 7" xfId="44065"/>
    <cellStyle name="Note 2 9 7 2" xfId="44066"/>
    <cellStyle name="Note 2 9 7 2 2" xfId="44067"/>
    <cellStyle name="Note 2 9 7 3" xfId="44068"/>
    <cellStyle name="Note 2 9 7 3 2" xfId="44069"/>
    <cellStyle name="Note 2 9 7 4" xfId="44070"/>
    <cellStyle name="Note 2 9 7 4 2" xfId="44071"/>
    <cellStyle name="Note 2 9 7 5" xfId="44072"/>
    <cellStyle name="Note 2 9 8" xfId="44073"/>
    <cellStyle name="Note 2 9 8 2" xfId="44074"/>
    <cellStyle name="Note 2 9 8 2 2" xfId="44075"/>
    <cellStyle name="Note 2 9 8 3" xfId="44076"/>
    <cellStyle name="Note 2 9 8 3 2" xfId="44077"/>
    <cellStyle name="Note 2 9 8 4" xfId="44078"/>
    <cellStyle name="Note 2 9 8 4 2" xfId="44079"/>
    <cellStyle name="Note 2 9 8 5" xfId="44080"/>
    <cellStyle name="Note 2 9 9" xfId="44081"/>
    <cellStyle name="Note 2 9 9 2" xfId="44082"/>
    <cellStyle name="Note 2 9 9 2 2" xfId="44083"/>
    <cellStyle name="Note 2 9 9 3" xfId="44084"/>
    <cellStyle name="Note 2 9 9 3 2" xfId="44085"/>
    <cellStyle name="Note 2 9 9 4" xfId="44086"/>
    <cellStyle name="Note 2 9 9 4 2" xfId="44087"/>
    <cellStyle name="Note 2 9 9 5" xfId="44088"/>
    <cellStyle name="Note 2 90" xfId="44089"/>
    <cellStyle name="Note 2 90 2" xfId="44090"/>
    <cellStyle name="Note 2 91" xfId="44091"/>
    <cellStyle name="Note 2 91 2" xfId="44092"/>
    <cellStyle name="Note 2 92" xfId="44093"/>
    <cellStyle name="Note 2 92 2" xfId="44094"/>
    <cellStyle name="Note 2 93" xfId="44095"/>
    <cellStyle name="Note 2 93 2" xfId="44096"/>
    <cellStyle name="Note 2 94" xfId="44097"/>
    <cellStyle name="Note 2 94 2" xfId="44098"/>
    <cellStyle name="Note 2 95" xfId="44099"/>
    <cellStyle name="Note 2 95 2" xfId="44100"/>
    <cellStyle name="Note 2 96" xfId="44101"/>
    <cellStyle name="Note 2 96 2" xfId="44102"/>
    <cellStyle name="Note 2 97" xfId="44103"/>
    <cellStyle name="Note 2 97 2" xfId="44104"/>
    <cellStyle name="Note 2 98" xfId="44105"/>
    <cellStyle name="Note 2 98 2" xfId="44106"/>
    <cellStyle name="Note 2 99" xfId="44107"/>
    <cellStyle name="Note 2 99 2" xfId="44108"/>
    <cellStyle name="Note 20" xfId="44109"/>
    <cellStyle name="Note 20 2" xfId="44110"/>
    <cellStyle name="Note 20 2 2" xfId="44111"/>
    <cellStyle name="Note 20 3" xfId="44112"/>
    <cellStyle name="Note 20 3 2" xfId="44113"/>
    <cellStyle name="Note 20 4" xfId="44114"/>
    <cellStyle name="Note 20 4 2" xfId="44115"/>
    <cellStyle name="Note 20 5" xfId="44116"/>
    <cellStyle name="Note 21" xfId="44117"/>
    <cellStyle name="Note 21 2" xfId="44118"/>
    <cellStyle name="Note 22" xfId="44119"/>
    <cellStyle name="Note 22 2" xfId="44120"/>
    <cellStyle name="Note 23" xfId="44121"/>
    <cellStyle name="Note 23 2" xfId="44122"/>
    <cellStyle name="Note 24" xfId="44123"/>
    <cellStyle name="Note 24 2" xfId="44124"/>
    <cellStyle name="Note 25" xfId="44125"/>
    <cellStyle name="Note 25 2" xfId="44126"/>
    <cellStyle name="Note 26" xfId="44127"/>
    <cellStyle name="Note 26 2" xfId="44128"/>
    <cellStyle name="Note 27" xfId="44129"/>
    <cellStyle name="Note 27 2" xfId="44130"/>
    <cellStyle name="Note 28" xfId="44131"/>
    <cellStyle name="Note 28 2" xfId="44132"/>
    <cellStyle name="Note 29" xfId="44133"/>
    <cellStyle name="Note 29 2" xfId="44134"/>
    <cellStyle name="Note 3" xfId="44135"/>
    <cellStyle name="Note 3 10" xfId="44136"/>
    <cellStyle name="Note 3 10 10" xfId="44137"/>
    <cellStyle name="Note 3 10 11" xfId="44138"/>
    <cellStyle name="Note 3 10 12" xfId="44139"/>
    <cellStyle name="Note 3 10 13" xfId="44140"/>
    <cellStyle name="Note 3 10 2" xfId="44141"/>
    <cellStyle name="Note 3 10 2 2" xfId="44142"/>
    <cellStyle name="Note 3 10 2 3" xfId="44143"/>
    <cellStyle name="Note 3 10 2 4" xfId="44144"/>
    <cellStyle name="Note 3 10 3" xfId="44145"/>
    <cellStyle name="Note 3 10 3 2" xfId="44146"/>
    <cellStyle name="Note 3 10 4" xfId="44147"/>
    <cellStyle name="Note 3 10 4 2" xfId="44148"/>
    <cellStyle name="Note 3 10 5" xfId="44149"/>
    <cellStyle name="Note 3 10 5 2" xfId="44150"/>
    <cellStyle name="Note 3 10 5 3" xfId="44151"/>
    <cellStyle name="Note 3 10 5 4" xfId="44152"/>
    <cellStyle name="Note 3 10 5 5" xfId="44153"/>
    <cellStyle name="Note 3 10 5 6" xfId="44154"/>
    <cellStyle name="Note 3 10 6" xfId="44155"/>
    <cellStyle name="Note 3 10 6 2" xfId="44156"/>
    <cellStyle name="Note 3 10 7" xfId="44157"/>
    <cellStyle name="Note 3 10 7 2" xfId="44158"/>
    <cellStyle name="Note 3 10 8" xfId="44159"/>
    <cellStyle name="Note 3 10 8 2" xfId="44160"/>
    <cellStyle name="Note 3 10 9" xfId="44161"/>
    <cellStyle name="Note 3 10 9 2" xfId="44162"/>
    <cellStyle name="Note 3 11" xfId="44163"/>
    <cellStyle name="Note 3 11 10" xfId="44164"/>
    <cellStyle name="Note 3 11 11" xfId="44165"/>
    <cellStyle name="Note 3 11 12" xfId="44166"/>
    <cellStyle name="Note 3 11 13" xfId="44167"/>
    <cellStyle name="Note 3 11 2" xfId="44168"/>
    <cellStyle name="Note 3 11 2 2" xfId="44169"/>
    <cellStyle name="Note 3 11 2 3" xfId="44170"/>
    <cellStyle name="Note 3 11 2 4" xfId="44171"/>
    <cellStyle name="Note 3 11 3" xfId="44172"/>
    <cellStyle name="Note 3 11 3 2" xfId="44173"/>
    <cellStyle name="Note 3 11 4" xfId="44174"/>
    <cellStyle name="Note 3 11 4 2" xfId="44175"/>
    <cellStyle name="Note 3 11 5" xfId="44176"/>
    <cellStyle name="Note 3 11 5 2" xfId="44177"/>
    <cellStyle name="Note 3 11 5 3" xfId="44178"/>
    <cellStyle name="Note 3 11 5 4" xfId="44179"/>
    <cellStyle name="Note 3 11 5 5" xfId="44180"/>
    <cellStyle name="Note 3 11 5 6" xfId="44181"/>
    <cellStyle name="Note 3 11 6" xfId="44182"/>
    <cellStyle name="Note 3 11 6 2" xfId="44183"/>
    <cellStyle name="Note 3 11 7" xfId="44184"/>
    <cellStyle name="Note 3 11 7 2" xfId="44185"/>
    <cellStyle name="Note 3 11 8" xfId="44186"/>
    <cellStyle name="Note 3 11 8 2" xfId="44187"/>
    <cellStyle name="Note 3 11 9" xfId="44188"/>
    <cellStyle name="Note 3 11 9 2" xfId="44189"/>
    <cellStyle name="Note 3 12" xfId="44190"/>
    <cellStyle name="Note 3 12 10" xfId="44191"/>
    <cellStyle name="Note 3 12 11" xfId="44192"/>
    <cellStyle name="Note 3 12 12" xfId="44193"/>
    <cellStyle name="Note 3 12 13" xfId="44194"/>
    <cellStyle name="Note 3 12 2" xfId="44195"/>
    <cellStyle name="Note 3 12 2 2" xfId="44196"/>
    <cellStyle name="Note 3 12 2 3" xfId="44197"/>
    <cellStyle name="Note 3 12 2 4" xfId="44198"/>
    <cellStyle name="Note 3 12 3" xfId="44199"/>
    <cellStyle name="Note 3 12 3 2" xfId="44200"/>
    <cellStyle name="Note 3 12 4" xfId="44201"/>
    <cellStyle name="Note 3 12 4 2" xfId="44202"/>
    <cellStyle name="Note 3 12 5" xfId="44203"/>
    <cellStyle name="Note 3 12 5 2" xfId="44204"/>
    <cellStyle name="Note 3 12 5 3" xfId="44205"/>
    <cellStyle name="Note 3 12 5 4" xfId="44206"/>
    <cellStyle name="Note 3 12 5 5" xfId="44207"/>
    <cellStyle name="Note 3 12 5 6" xfId="44208"/>
    <cellStyle name="Note 3 12 6" xfId="44209"/>
    <cellStyle name="Note 3 12 6 2" xfId="44210"/>
    <cellStyle name="Note 3 12 7" xfId="44211"/>
    <cellStyle name="Note 3 12 7 2" xfId="44212"/>
    <cellStyle name="Note 3 12 8" xfId="44213"/>
    <cellStyle name="Note 3 12 8 2" xfId="44214"/>
    <cellStyle name="Note 3 12 9" xfId="44215"/>
    <cellStyle name="Note 3 12 9 2" xfId="44216"/>
    <cellStyle name="Note 3 13" xfId="44217"/>
    <cellStyle name="Note 3 13 10" xfId="44218"/>
    <cellStyle name="Note 3 13 11" xfId="44219"/>
    <cellStyle name="Note 3 13 12" xfId="44220"/>
    <cellStyle name="Note 3 13 13" xfId="44221"/>
    <cellStyle name="Note 3 13 2" xfId="44222"/>
    <cellStyle name="Note 3 13 2 2" xfId="44223"/>
    <cellStyle name="Note 3 13 2 3" xfId="44224"/>
    <cellStyle name="Note 3 13 2 4" xfId="44225"/>
    <cellStyle name="Note 3 13 3" xfId="44226"/>
    <cellStyle name="Note 3 13 3 2" xfId="44227"/>
    <cellStyle name="Note 3 13 4" xfId="44228"/>
    <cellStyle name="Note 3 13 4 2" xfId="44229"/>
    <cellStyle name="Note 3 13 5" xfId="44230"/>
    <cellStyle name="Note 3 13 5 2" xfId="44231"/>
    <cellStyle name="Note 3 13 5 3" xfId="44232"/>
    <cellStyle name="Note 3 13 5 4" xfId="44233"/>
    <cellStyle name="Note 3 13 5 5" xfId="44234"/>
    <cellStyle name="Note 3 13 5 6" xfId="44235"/>
    <cellStyle name="Note 3 13 6" xfId="44236"/>
    <cellStyle name="Note 3 13 6 2" xfId="44237"/>
    <cellStyle name="Note 3 13 7" xfId="44238"/>
    <cellStyle name="Note 3 13 7 2" xfId="44239"/>
    <cellStyle name="Note 3 13 8" xfId="44240"/>
    <cellStyle name="Note 3 13 8 2" xfId="44241"/>
    <cellStyle name="Note 3 13 9" xfId="44242"/>
    <cellStyle name="Note 3 13 9 2" xfId="44243"/>
    <cellStyle name="Note 3 14" xfId="44244"/>
    <cellStyle name="Note 3 14 10" xfId="44245"/>
    <cellStyle name="Note 3 14 11" xfId="44246"/>
    <cellStyle name="Note 3 14 12" xfId="44247"/>
    <cellStyle name="Note 3 14 13" xfId="44248"/>
    <cellStyle name="Note 3 14 2" xfId="44249"/>
    <cellStyle name="Note 3 14 2 2" xfId="44250"/>
    <cellStyle name="Note 3 14 2 3" xfId="44251"/>
    <cellStyle name="Note 3 14 2 4" xfId="44252"/>
    <cellStyle name="Note 3 14 3" xfId="44253"/>
    <cellStyle name="Note 3 14 3 2" xfId="44254"/>
    <cellStyle name="Note 3 14 4" xfId="44255"/>
    <cellStyle name="Note 3 14 4 2" xfId="44256"/>
    <cellStyle name="Note 3 14 5" xfId="44257"/>
    <cellStyle name="Note 3 14 5 2" xfId="44258"/>
    <cellStyle name="Note 3 14 5 3" xfId="44259"/>
    <cellStyle name="Note 3 14 5 4" xfId="44260"/>
    <cellStyle name="Note 3 14 5 5" xfId="44261"/>
    <cellStyle name="Note 3 14 5 6" xfId="44262"/>
    <cellStyle name="Note 3 14 6" xfId="44263"/>
    <cellStyle name="Note 3 14 6 2" xfId="44264"/>
    <cellStyle name="Note 3 14 7" xfId="44265"/>
    <cellStyle name="Note 3 14 7 2" xfId="44266"/>
    <cellStyle name="Note 3 14 8" xfId="44267"/>
    <cellStyle name="Note 3 14 8 2" xfId="44268"/>
    <cellStyle name="Note 3 14 9" xfId="44269"/>
    <cellStyle name="Note 3 14 9 2" xfId="44270"/>
    <cellStyle name="Note 3 15" xfId="44271"/>
    <cellStyle name="Note 3 15 10" xfId="44272"/>
    <cellStyle name="Note 3 15 11" xfId="44273"/>
    <cellStyle name="Note 3 15 2" xfId="44274"/>
    <cellStyle name="Note 3 15 2 2" xfId="44275"/>
    <cellStyle name="Note 3 15 2 3" xfId="44276"/>
    <cellStyle name="Note 3 15 2 4" xfId="44277"/>
    <cellStyle name="Note 3 15 2 5" xfId="44278"/>
    <cellStyle name="Note 3 15 2 6" xfId="44279"/>
    <cellStyle name="Note 3 15 3" xfId="44280"/>
    <cellStyle name="Note 3 15 3 2" xfId="44281"/>
    <cellStyle name="Note 3 15 4" xfId="44282"/>
    <cellStyle name="Note 3 15 4 2" xfId="44283"/>
    <cellStyle name="Note 3 15 5" xfId="44284"/>
    <cellStyle name="Note 3 15 5 2" xfId="44285"/>
    <cellStyle name="Note 3 15 6" xfId="44286"/>
    <cellStyle name="Note 3 15 6 2" xfId="44287"/>
    <cellStyle name="Note 3 15 7" xfId="44288"/>
    <cellStyle name="Note 3 15 7 2" xfId="44289"/>
    <cellStyle name="Note 3 15 8" xfId="44290"/>
    <cellStyle name="Note 3 15 9" xfId="44291"/>
    <cellStyle name="Note 3 16" xfId="44292"/>
    <cellStyle name="Note 3 16 10" xfId="44293"/>
    <cellStyle name="Note 3 16 11" xfId="44294"/>
    <cellStyle name="Note 3 16 2" xfId="44295"/>
    <cellStyle name="Note 3 16 2 2" xfId="44296"/>
    <cellStyle name="Note 3 16 2 3" xfId="44297"/>
    <cellStyle name="Note 3 16 2 4" xfId="44298"/>
    <cellStyle name="Note 3 16 2 5" xfId="44299"/>
    <cellStyle name="Note 3 16 2 6" xfId="44300"/>
    <cellStyle name="Note 3 16 3" xfId="44301"/>
    <cellStyle name="Note 3 16 3 2" xfId="44302"/>
    <cellStyle name="Note 3 16 4" xfId="44303"/>
    <cellStyle name="Note 3 16 4 2" xfId="44304"/>
    <cellStyle name="Note 3 16 5" xfId="44305"/>
    <cellStyle name="Note 3 16 5 2" xfId="44306"/>
    <cellStyle name="Note 3 16 6" xfId="44307"/>
    <cellStyle name="Note 3 16 6 2" xfId="44308"/>
    <cellStyle name="Note 3 16 7" xfId="44309"/>
    <cellStyle name="Note 3 16 7 2" xfId="44310"/>
    <cellStyle name="Note 3 16 8" xfId="44311"/>
    <cellStyle name="Note 3 16 9" xfId="44312"/>
    <cellStyle name="Note 3 17" xfId="44313"/>
    <cellStyle name="Note 3 17 2" xfId="44314"/>
    <cellStyle name="Note 3 17 3" xfId="44315"/>
    <cellStyle name="Note 3 18" xfId="44316"/>
    <cellStyle name="Note 3 18 2" xfId="44317"/>
    <cellStyle name="Note 3 19" xfId="44318"/>
    <cellStyle name="Note 3 19 2" xfId="44319"/>
    <cellStyle name="Note 3 2" xfId="44320"/>
    <cellStyle name="Note 3 2 10" xfId="44321"/>
    <cellStyle name="Note 3 2 10 2" xfId="44322"/>
    <cellStyle name="Note 3 2 11" xfId="44323"/>
    <cellStyle name="Note 3 2 11 2" xfId="44324"/>
    <cellStyle name="Note 3 2 12" xfId="44325"/>
    <cellStyle name="Note 3 2 12 2" xfId="44326"/>
    <cellStyle name="Note 3 2 13" xfId="44327"/>
    <cellStyle name="Note 3 2 13 2" xfId="44328"/>
    <cellStyle name="Note 3 2 14" xfId="44329"/>
    <cellStyle name="Note 3 2 14 2" xfId="44330"/>
    <cellStyle name="Note 3 2 15" xfId="44331"/>
    <cellStyle name="Note 3 2 15 2" xfId="44332"/>
    <cellStyle name="Note 3 2 16" xfId="44333"/>
    <cellStyle name="Note 3 2 16 2" xfId="44334"/>
    <cellStyle name="Note 3 2 17" xfId="44335"/>
    <cellStyle name="Note 3 2 17 2" xfId="44336"/>
    <cellStyle name="Note 3 2 18" xfId="44337"/>
    <cellStyle name="Note 3 2 18 2" xfId="44338"/>
    <cellStyle name="Note 3 2 19" xfId="44339"/>
    <cellStyle name="Note 3 2 19 2" xfId="44340"/>
    <cellStyle name="Note 3 2 2" xfId="44341"/>
    <cellStyle name="Note 3 2 2 2" xfId="44342"/>
    <cellStyle name="Note 3 2 2 3" xfId="44343"/>
    <cellStyle name="Note 3 2 2 4" xfId="44344"/>
    <cellStyle name="Note 3 2 20" xfId="44345"/>
    <cellStyle name="Note 3 2 20 2" xfId="44346"/>
    <cellStyle name="Note 3 2 21" xfId="44347"/>
    <cellStyle name="Note 3 2 21 2" xfId="44348"/>
    <cellStyle name="Note 3 2 22" xfId="44349"/>
    <cellStyle name="Note 3 2 22 2" xfId="44350"/>
    <cellStyle name="Note 3 2 23" xfId="44351"/>
    <cellStyle name="Note 3 2 23 2" xfId="44352"/>
    <cellStyle name="Note 3 2 24" xfId="44353"/>
    <cellStyle name="Note 3 2 24 2" xfId="44354"/>
    <cellStyle name="Note 3 2 25" xfId="44355"/>
    <cellStyle name="Note 3 2 25 2" xfId="44356"/>
    <cellStyle name="Note 3 2 26" xfId="44357"/>
    <cellStyle name="Note 3 2 26 2" xfId="44358"/>
    <cellStyle name="Note 3 2 27" xfId="44359"/>
    <cellStyle name="Note 3 2 27 2" xfId="44360"/>
    <cellStyle name="Note 3 2 28" xfId="44361"/>
    <cellStyle name="Note 3 2 28 2" xfId="44362"/>
    <cellStyle name="Note 3 2 29" xfId="44363"/>
    <cellStyle name="Note 3 2 29 2" xfId="44364"/>
    <cellStyle name="Note 3 2 3" xfId="44365"/>
    <cellStyle name="Note 3 2 3 2" xfId="44366"/>
    <cellStyle name="Note 3 2 3 3" xfId="44367"/>
    <cellStyle name="Note 3 2 30" xfId="44368"/>
    <cellStyle name="Note 3 2 30 2" xfId="44369"/>
    <cellStyle name="Note 3 2 31" xfId="44370"/>
    <cellStyle name="Note 3 2 4" xfId="44371"/>
    <cellStyle name="Note 3 2 4 2" xfId="44372"/>
    <cellStyle name="Note 3 2 5" xfId="44373"/>
    <cellStyle name="Note 3 2 5 2" xfId="44374"/>
    <cellStyle name="Note 3 2 6" xfId="44375"/>
    <cellStyle name="Note 3 2 6 2" xfId="44376"/>
    <cellStyle name="Note 3 2 7" xfId="44377"/>
    <cellStyle name="Note 3 2 7 2" xfId="44378"/>
    <cellStyle name="Note 3 2 8" xfId="44379"/>
    <cellStyle name="Note 3 2 8 2" xfId="44380"/>
    <cellStyle name="Note 3 2 9" xfId="44381"/>
    <cellStyle name="Note 3 2 9 2" xfId="44382"/>
    <cellStyle name="Note 3 20" xfId="44383"/>
    <cellStyle name="Note 3 20 2" xfId="44384"/>
    <cellStyle name="Note 3 21" xfId="44385"/>
    <cellStyle name="Note 3 21 2" xfId="44386"/>
    <cellStyle name="Note 3 22" xfId="44387"/>
    <cellStyle name="Note 3 22 2" xfId="44388"/>
    <cellStyle name="Note 3 23" xfId="44389"/>
    <cellStyle name="Note 3 23 2" xfId="44390"/>
    <cellStyle name="Note 3 24" xfId="44391"/>
    <cellStyle name="Note 3 24 2" xfId="44392"/>
    <cellStyle name="Note 3 25" xfId="44393"/>
    <cellStyle name="Note 3 25 2" xfId="44394"/>
    <cellStyle name="Note 3 26" xfId="44395"/>
    <cellStyle name="Note 3 26 2" xfId="44396"/>
    <cellStyle name="Note 3 27" xfId="44397"/>
    <cellStyle name="Note 3 27 2" xfId="44398"/>
    <cellStyle name="Note 3 28" xfId="44399"/>
    <cellStyle name="Note 3 28 2" xfId="44400"/>
    <cellStyle name="Note 3 29" xfId="44401"/>
    <cellStyle name="Note 3 29 2" xfId="44402"/>
    <cellStyle name="Note 3 3" xfId="44403"/>
    <cellStyle name="Note 3 3 2" xfId="44404"/>
    <cellStyle name="Note 3 3 2 2" xfId="44405"/>
    <cellStyle name="Note 3 3 3" xfId="44406"/>
    <cellStyle name="Note 3 3 3 2" xfId="44407"/>
    <cellStyle name="Note 3 3 4" xfId="44408"/>
    <cellStyle name="Note 3 3 4 2" xfId="44409"/>
    <cellStyle name="Note 3 3 5" xfId="44410"/>
    <cellStyle name="Note 3 30" xfId="44411"/>
    <cellStyle name="Note 3 30 2" xfId="44412"/>
    <cellStyle name="Note 3 31" xfId="44413"/>
    <cellStyle name="Note 3 31 2" xfId="44414"/>
    <cellStyle name="Note 3 32" xfId="44415"/>
    <cellStyle name="Note 3 32 2" xfId="44416"/>
    <cellStyle name="Note 3 33" xfId="44417"/>
    <cellStyle name="Note 3 33 2" xfId="44418"/>
    <cellStyle name="Note 3 34" xfId="44419"/>
    <cellStyle name="Note 3 34 2" xfId="44420"/>
    <cellStyle name="Note 3 35" xfId="44421"/>
    <cellStyle name="Note 3 35 2" xfId="44422"/>
    <cellStyle name="Note 3 36" xfId="44423"/>
    <cellStyle name="Note 3 36 2" xfId="44424"/>
    <cellStyle name="Note 3 37" xfId="44425"/>
    <cellStyle name="Note 3 37 2" xfId="44426"/>
    <cellStyle name="Note 3 38" xfId="44427"/>
    <cellStyle name="Note 3 38 2" xfId="44428"/>
    <cellStyle name="Note 3 39" xfId="44429"/>
    <cellStyle name="Note 3 39 2" xfId="44430"/>
    <cellStyle name="Note 3 4" xfId="44431"/>
    <cellStyle name="Note 3 4 10" xfId="44432"/>
    <cellStyle name="Note 3 4 11" xfId="44433"/>
    <cellStyle name="Note 3 4 12" xfId="44434"/>
    <cellStyle name="Note 3 4 13" xfId="44435"/>
    <cellStyle name="Note 3 4 2" xfId="44436"/>
    <cellStyle name="Note 3 4 2 2" xfId="44437"/>
    <cellStyle name="Note 3 4 2 3" xfId="44438"/>
    <cellStyle name="Note 3 4 2 4" xfId="44439"/>
    <cellStyle name="Note 3 4 3" xfId="44440"/>
    <cellStyle name="Note 3 4 3 2" xfId="44441"/>
    <cellStyle name="Note 3 4 4" xfId="44442"/>
    <cellStyle name="Note 3 4 4 2" xfId="44443"/>
    <cellStyle name="Note 3 4 5" xfId="44444"/>
    <cellStyle name="Note 3 4 5 2" xfId="44445"/>
    <cellStyle name="Note 3 4 5 3" xfId="44446"/>
    <cellStyle name="Note 3 4 5 4" xfId="44447"/>
    <cellStyle name="Note 3 4 5 5" xfId="44448"/>
    <cellStyle name="Note 3 4 5 6" xfId="44449"/>
    <cellStyle name="Note 3 4 6" xfId="44450"/>
    <cellStyle name="Note 3 4 6 2" xfId="44451"/>
    <cellStyle name="Note 3 4 7" xfId="44452"/>
    <cellStyle name="Note 3 4 7 2" xfId="44453"/>
    <cellStyle name="Note 3 4 8" xfId="44454"/>
    <cellStyle name="Note 3 4 8 2" xfId="44455"/>
    <cellStyle name="Note 3 4 9" xfId="44456"/>
    <cellStyle name="Note 3 4 9 2" xfId="44457"/>
    <cellStyle name="Note 3 40" xfId="44458"/>
    <cellStyle name="Note 3 40 2" xfId="44459"/>
    <cellStyle name="Note 3 41" xfId="44460"/>
    <cellStyle name="Note 3 41 2" xfId="44461"/>
    <cellStyle name="Note 3 42" xfId="44462"/>
    <cellStyle name="Note 3 42 2" xfId="44463"/>
    <cellStyle name="Note 3 43" xfId="44464"/>
    <cellStyle name="Note 3 43 2" xfId="44465"/>
    <cellStyle name="Note 3 44" xfId="44466"/>
    <cellStyle name="Note 3 44 2" xfId="44467"/>
    <cellStyle name="Note 3 45" xfId="44468"/>
    <cellStyle name="Note 3 45 2" xfId="44469"/>
    <cellStyle name="Note 3 46" xfId="44470"/>
    <cellStyle name="Note 3 46 2" xfId="44471"/>
    <cellStyle name="Note 3 47" xfId="44472"/>
    <cellStyle name="Note 3 47 2" xfId="44473"/>
    <cellStyle name="Note 3 48" xfId="44474"/>
    <cellStyle name="Note 3 48 2" xfId="44475"/>
    <cellStyle name="Note 3 49" xfId="44476"/>
    <cellStyle name="Note 3 49 2" xfId="44477"/>
    <cellStyle name="Note 3 5" xfId="44478"/>
    <cellStyle name="Note 3 5 10" xfId="44479"/>
    <cellStyle name="Note 3 5 11" xfId="44480"/>
    <cellStyle name="Note 3 5 12" xfId="44481"/>
    <cellStyle name="Note 3 5 13" xfId="44482"/>
    <cellStyle name="Note 3 5 2" xfId="44483"/>
    <cellStyle name="Note 3 5 2 2" xfId="44484"/>
    <cellStyle name="Note 3 5 2 3" xfId="44485"/>
    <cellStyle name="Note 3 5 2 4" xfId="44486"/>
    <cellStyle name="Note 3 5 3" xfId="44487"/>
    <cellStyle name="Note 3 5 3 2" xfId="44488"/>
    <cellStyle name="Note 3 5 4" xfId="44489"/>
    <cellStyle name="Note 3 5 4 2" xfId="44490"/>
    <cellStyle name="Note 3 5 5" xfId="44491"/>
    <cellStyle name="Note 3 5 5 2" xfId="44492"/>
    <cellStyle name="Note 3 5 5 3" xfId="44493"/>
    <cellStyle name="Note 3 5 5 4" xfId="44494"/>
    <cellStyle name="Note 3 5 5 5" xfId="44495"/>
    <cellStyle name="Note 3 5 5 6" xfId="44496"/>
    <cellStyle name="Note 3 5 6" xfId="44497"/>
    <cellStyle name="Note 3 5 6 2" xfId="44498"/>
    <cellStyle name="Note 3 5 7" xfId="44499"/>
    <cellStyle name="Note 3 5 7 2" xfId="44500"/>
    <cellStyle name="Note 3 5 8" xfId="44501"/>
    <cellStyle name="Note 3 5 8 2" xfId="44502"/>
    <cellStyle name="Note 3 5 9" xfId="44503"/>
    <cellStyle name="Note 3 5 9 2" xfId="44504"/>
    <cellStyle name="Note 3 50" xfId="44505"/>
    <cellStyle name="Note 3 50 2" xfId="44506"/>
    <cellStyle name="Note 3 51" xfId="44507"/>
    <cellStyle name="Note 3 51 2" xfId="44508"/>
    <cellStyle name="Note 3 52" xfId="44509"/>
    <cellStyle name="Note 3 52 2" xfId="44510"/>
    <cellStyle name="Note 3 53" xfId="44511"/>
    <cellStyle name="Note 3 53 2" xfId="44512"/>
    <cellStyle name="Note 3 54" xfId="44513"/>
    <cellStyle name="Note 3 54 2" xfId="44514"/>
    <cellStyle name="Note 3 55" xfId="44515"/>
    <cellStyle name="Note 3 55 2" xfId="44516"/>
    <cellStyle name="Note 3 56" xfId="44517"/>
    <cellStyle name="Note 3 56 2" xfId="44518"/>
    <cellStyle name="Note 3 57" xfId="44519"/>
    <cellStyle name="Note 3 57 2" xfId="44520"/>
    <cellStyle name="Note 3 58" xfId="44521"/>
    <cellStyle name="Note 3 58 2" xfId="44522"/>
    <cellStyle name="Note 3 59" xfId="44523"/>
    <cellStyle name="Note 3 59 2" xfId="44524"/>
    <cellStyle name="Note 3 6" xfId="44525"/>
    <cellStyle name="Note 3 6 10" xfId="44526"/>
    <cellStyle name="Note 3 6 11" xfId="44527"/>
    <cellStyle name="Note 3 6 12" xfId="44528"/>
    <cellStyle name="Note 3 6 13" xfId="44529"/>
    <cellStyle name="Note 3 6 2" xfId="44530"/>
    <cellStyle name="Note 3 6 2 2" xfId="44531"/>
    <cellStyle name="Note 3 6 2 3" xfId="44532"/>
    <cellStyle name="Note 3 6 2 4" xfId="44533"/>
    <cellStyle name="Note 3 6 3" xfId="44534"/>
    <cellStyle name="Note 3 6 3 2" xfId="44535"/>
    <cellStyle name="Note 3 6 4" xfId="44536"/>
    <cellStyle name="Note 3 6 4 2" xfId="44537"/>
    <cellStyle name="Note 3 6 5" xfId="44538"/>
    <cellStyle name="Note 3 6 5 2" xfId="44539"/>
    <cellStyle name="Note 3 6 5 3" xfId="44540"/>
    <cellStyle name="Note 3 6 5 4" xfId="44541"/>
    <cellStyle name="Note 3 6 5 5" xfId="44542"/>
    <cellStyle name="Note 3 6 5 6" xfId="44543"/>
    <cellStyle name="Note 3 6 6" xfId="44544"/>
    <cellStyle name="Note 3 6 6 2" xfId="44545"/>
    <cellStyle name="Note 3 6 7" xfId="44546"/>
    <cellStyle name="Note 3 6 7 2" xfId="44547"/>
    <cellStyle name="Note 3 6 8" xfId="44548"/>
    <cellStyle name="Note 3 6 8 2" xfId="44549"/>
    <cellStyle name="Note 3 6 9" xfId="44550"/>
    <cellStyle name="Note 3 6 9 2" xfId="44551"/>
    <cellStyle name="Note 3 60" xfId="44552"/>
    <cellStyle name="Note 3 60 2" xfId="44553"/>
    <cellStyle name="Note 3 61" xfId="44554"/>
    <cellStyle name="Note 3 61 2" xfId="44555"/>
    <cellStyle name="Note 3 62" xfId="44556"/>
    <cellStyle name="Note 3 62 2" xfId="44557"/>
    <cellStyle name="Note 3 63" xfId="44558"/>
    <cellStyle name="Note 3 63 2" xfId="44559"/>
    <cellStyle name="Note 3 64" xfId="44560"/>
    <cellStyle name="Note 3 64 2" xfId="44561"/>
    <cellStyle name="Note 3 65" xfId="44562"/>
    <cellStyle name="Note 3 65 2" xfId="44563"/>
    <cellStyle name="Note 3 66" xfId="44564"/>
    <cellStyle name="Note 3 66 2" xfId="44565"/>
    <cellStyle name="Note 3 67" xfId="44566"/>
    <cellStyle name="Note 3 67 2" xfId="44567"/>
    <cellStyle name="Note 3 68" xfId="44568"/>
    <cellStyle name="Note 3 68 2" xfId="44569"/>
    <cellStyle name="Note 3 69" xfId="44570"/>
    <cellStyle name="Note 3 69 2" xfId="44571"/>
    <cellStyle name="Note 3 7" xfId="44572"/>
    <cellStyle name="Note 3 7 10" xfId="44573"/>
    <cellStyle name="Note 3 7 11" xfId="44574"/>
    <cellStyle name="Note 3 7 12" xfId="44575"/>
    <cellStyle name="Note 3 7 13" xfId="44576"/>
    <cellStyle name="Note 3 7 2" xfId="44577"/>
    <cellStyle name="Note 3 7 2 2" xfId="44578"/>
    <cellStyle name="Note 3 7 2 3" xfId="44579"/>
    <cellStyle name="Note 3 7 2 4" xfId="44580"/>
    <cellStyle name="Note 3 7 3" xfId="44581"/>
    <cellStyle name="Note 3 7 3 2" xfId="44582"/>
    <cellStyle name="Note 3 7 4" xfId="44583"/>
    <cellStyle name="Note 3 7 4 2" xfId="44584"/>
    <cellStyle name="Note 3 7 5" xfId="44585"/>
    <cellStyle name="Note 3 7 5 2" xfId="44586"/>
    <cellStyle name="Note 3 7 5 3" xfId="44587"/>
    <cellStyle name="Note 3 7 5 4" xfId="44588"/>
    <cellStyle name="Note 3 7 5 5" xfId="44589"/>
    <cellStyle name="Note 3 7 5 6" xfId="44590"/>
    <cellStyle name="Note 3 7 6" xfId="44591"/>
    <cellStyle name="Note 3 7 6 2" xfId="44592"/>
    <cellStyle name="Note 3 7 7" xfId="44593"/>
    <cellStyle name="Note 3 7 7 2" xfId="44594"/>
    <cellStyle name="Note 3 7 8" xfId="44595"/>
    <cellStyle name="Note 3 7 8 2" xfId="44596"/>
    <cellStyle name="Note 3 7 9" xfId="44597"/>
    <cellStyle name="Note 3 7 9 2" xfId="44598"/>
    <cellStyle name="Note 3 70" xfId="44599"/>
    <cellStyle name="Note 3 70 2" xfId="44600"/>
    <cellStyle name="Note 3 71" xfId="44601"/>
    <cellStyle name="Note 3 71 2" xfId="44602"/>
    <cellStyle name="Note 3 72" xfId="44603"/>
    <cellStyle name="Note 3 72 2" xfId="44604"/>
    <cellStyle name="Note 3 73" xfId="44605"/>
    <cellStyle name="Note 3 73 2" xfId="44606"/>
    <cellStyle name="Note 3 74" xfId="44607"/>
    <cellStyle name="Note 3 74 2" xfId="44608"/>
    <cellStyle name="Note 3 75" xfId="44609"/>
    <cellStyle name="Note 3 75 2" xfId="44610"/>
    <cellStyle name="Note 3 76" xfId="44611"/>
    <cellStyle name="Note 3 76 2" xfId="44612"/>
    <cellStyle name="Note 3 77" xfId="44613"/>
    <cellStyle name="Note 3 77 2" xfId="44614"/>
    <cellStyle name="Note 3 78" xfId="44615"/>
    <cellStyle name="Note 3 78 2" xfId="44616"/>
    <cellStyle name="Note 3 79" xfId="44617"/>
    <cellStyle name="Note 3 79 2" xfId="44618"/>
    <cellStyle name="Note 3 8" xfId="44619"/>
    <cellStyle name="Note 3 8 10" xfId="44620"/>
    <cellStyle name="Note 3 8 11" xfId="44621"/>
    <cellStyle name="Note 3 8 12" xfId="44622"/>
    <cellStyle name="Note 3 8 13" xfId="44623"/>
    <cellStyle name="Note 3 8 2" xfId="44624"/>
    <cellStyle name="Note 3 8 2 2" xfId="44625"/>
    <cellStyle name="Note 3 8 2 3" xfId="44626"/>
    <cellStyle name="Note 3 8 2 4" xfId="44627"/>
    <cellStyle name="Note 3 8 3" xfId="44628"/>
    <cellStyle name="Note 3 8 3 2" xfId="44629"/>
    <cellStyle name="Note 3 8 4" xfId="44630"/>
    <cellStyle name="Note 3 8 4 2" xfId="44631"/>
    <cellStyle name="Note 3 8 5" xfId="44632"/>
    <cellStyle name="Note 3 8 5 2" xfId="44633"/>
    <cellStyle name="Note 3 8 5 3" xfId="44634"/>
    <cellStyle name="Note 3 8 5 4" xfId="44635"/>
    <cellStyle name="Note 3 8 5 5" xfId="44636"/>
    <cellStyle name="Note 3 8 5 6" xfId="44637"/>
    <cellStyle name="Note 3 8 6" xfId="44638"/>
    <cellStyle name="Note 3 8 6 2" xfId="44639"/>
    <cellStyle name="Note 3 8 7" xfId="44640"/>
    <cellStyle name="Note 3 8 7 2" xfId="44641"/>
    <cellStyle name="Note 3 8 8" xfId="44642"/>
    <cellStyle name="Note 3 8 8 2" xfId="44643"/>
    <cellStyle name="Note 3 8 9" xfId="44644"/>
    <cellStyle name="Note 3 8 9 2" xfId="44645"/>
    <cellStyle name="Note 3 80" xfId="44646"/>
    <cellStyle name="Note 3 80 2" xfId="44647"/>
    <cellStyle name="Note 3 81" xfId="44648"/>
    <cellStyle name="Note 3 81 2" xfId="44649"/>
    <cellStyle name="Note 3 82" xfId="44650"/>
    <cellStyle name="Note 3 82 2" xfId="44651"/>
    <cellStyle name="Note 3 83" xfId="44652"/>
    <cellStyle name="Note 3 9" xfId="44653"/>
    <cellStyle name="Note 3 9 10" xfId="44654"/>
    <cellStyle name="Note 3 9 11" xfId="44655"/>
    <cellStyle name="Note 3 9 12" xfId="44656"/>
    <cellStyle name="Note 3 9 13" xfId="44657"/>
    <cellStyle name="Note 3 9 2" xfId="44658"/>
    <cellStyle name="Note 3 9 2 2" xfId="44659"/>
    <cellStyle name="Note 3 9 2 3" xfId="44660"/>
    <cellStyle name="Note 3 9 2 4" xfId="44661"/>
    <cellStyle name="Note 3 9 3" xfId="44662"/>
    <cellStyle name="Note 3 9 3 2" xfId="44663"/>
    <cellStyle name="Note 3 9 4" xfId="44664"/>
    <cellStyle name="Note 3 9 4 2" xfId="44665"/>
    <cellStyle name="Note 3 9 5" xfId="44666"/>
    <cellStyle name="Note 3 9 5 2" xfId="44667"/>
    <cellStyle name="Note 3 9 5 3" xfId="44668"/>
    <cellStyle name="Note 3 9 5 4" xfId="44669"/>
    <cellStyle name="Note 3 9 5 5" xfId="44670"/>
    <cellStyle name="Note 3 9 5 6" xfId="44671"/>
    <cellStyle name="Note 3 9 6" xfId="44672"/>
    <cellStyle name="Note 3 9 6 2" xfId="44673"/>
    <cellStyle name="Note 3 9 7" xfId="44674"/>
    <cellStyle name="Note 3 9 7 2" xfId="44675"/>
    <cellStyle name="Note 3 9 8" xfId="44676"/>
    <cellStyle name="Note 3 9 8 2" xfId="44677"/>
    <cellStyle name="Note 3 9 9" xfId="44678"/>
    <cellStyle name="Note 3 9 9 2" xfId="44679"/>
    <cellStyle name="Note 30" xfId="44680"/>
    <cellStyle name="Note 30 2" xfId="44681"/>
    <cellStyle name="Note 31" xfId="44682"/>
    <cellStyle name="Note 31 2" xfId="44683"/>
    <cellStyle name="Note 32" xfId="44684"/>
    <cellStyle name="Note 32 2" xfId="44685"/>
    <cellStyle name="Note 33" xfId="44686"/>
    <cellStyle name="Note 33 2" xfId="44687"/>
    <cellStyle name="Note 34" xfId="44688"/>
    <cellStyle name="Note 34 2" xfId="44689"/>
    <cellStyle name="Note 35" xfId="44690"/>
    <cellStyle name="Note 35 2" xfId="44691"/>
    <cellStyle name="Note 36" xfId="44692"/>
    <cellStyle name="Note 36 2" xfId="44693"/>
    <cellStyle name="Note 37" xfId="44694"/>
    <cellStyle name="Note 37 2" xfId="44695"/>
    <cellStyle name="Note 38" xfId="44696"/>
    <cellStyle name="Note 38 2" xfId="44697"/>
    <cellStyle name="Note 39" xfId="44698"/>
    <cellStyle name="Note 39 2" xfId="44699"/>
    <cellStyle name="Note 4" xfId="44700"/>
    <cellStyle name="Note 4 10" xfId="44701"/>
    <cellStyle name="Note 4 10 2" xfId="44702"/>
    <cellStyle name="Note 4 10 2 2" xfId="44703"/>
    <cellStyle name="Note 4 10 3" xfId="44704"/>
    <cellStyle name="Note 4 10 3 2" xfId="44705"/>
    <cellStyle name="Note 4 10 4" xfId="44706"/>
    <cellStyle name="Note 4 10 4 2" xfId="44707"/>
    <cellStyle name="Note 4 10 5" xfId="44708"/>
    <cellStyle name="Note 4 11" xfId="44709"/>
    <cellStyle name="Note 4 11 2" xfId="44710"/>
    <cellStyle name="Note 4 11 2 2" xfId="44711"/>
    <cellStyle name="Note 4 11 3" xfId="44712"/>
    <cellStyle name="Note 4 11 3 2" xfId="44713"/>
    <cellStyle name="Note 4 11 4" xfId="44714"/>
    <cellStyle name="Note 4 11 4 2" xfId="44715"/>
    <cellStyle name="Note 4 11 5" xfId="44716"/>
    <cellStyle name="Note 4 12" xfId="44717"/>
    <cellStyle name="Note 4 12 2" xfId="44718"/>
    <cellStyle name="Note 4 12 2 2" xfId="44719"/>
    <cellStyle name="Note 4 12 3" xfId="44720"/>
    <cellStyle name="Note 4 12 3 2" xfId="44721"/>
    <cellStyle name="Note 4 12 4" xfId="44722"/>
    <cellStyle name="Note 4 12 4 2" xfId="44723"/>
    <cellStyle name="Note 4 12 5" xfId="44724"/>
    <cellStyle name="Note 4 13" xfId="44725"/>
    <cellStyle name="Note 4 13 2" xfId="44726"/>
    <cellStyle name="Note 4 13 2 2" xfId="44727"/>
    <cellStyle name="Note 4 13 3" xfId="44728"/>
    <cellStyle name="Note 4 13 3 2" xfId="44729"/>
    <cellStyle name="Note 4 13 4" xfId="44730"/>
    <cellStyle name="Note 4 13 4 2" xfId="44731"/>
    <cellStyle name="Note 4 13 5" xfId="44732"/>
    <cellStyle name="Note 4 14" xfId="44733"/>
    <cellStyle name="Note 4 14 2" xfId="44734"/>
    <cellStyle name="Note 4 14 2 2" xfId="44735"/>
    <cellStyle name="Note 4 14 3" xfId="44736"/>
    <cellStyle name="Note 4 14 3 2" xfId="44737"/>
    <cellStyle name="Note 4 14 4" xfId="44738"/>
    <cellStyle name="Note 4 14 4 2" xfId="44739"/>
    <cellStyle name="Note 4 14 5" xfId="44740"/>
    <cellStyle name="Note 4 15" xfId="44741"/>
    <cellStyle name="Note 4 15 2" xfId="44742"/>
    <cellStyle name="Note 4 16" xfId="44743"/>
    <cellStyle name="Note 4 16 2" xfId="44744"/>
    <cellStyle name="Note 4 17" xfId="44745"/>
    <cellStyle name="Note 4 17 2" xfId="44746"/>
    <cellStyle name="Note 4 18" xfId="44747"/>
    <cellStyle name="Note 4 18 2" xfId="44748"/>
    <cellStyle name="Note 4 19" xfId="44749"/>
    <cellStyle name="Note 4 19 2" xfId="44750"/>
    <cellStyle name="Note 4 2" xfId="44751"/>
    <cellStyle name="Note 4 2 10" xfId="44752"/>
    <cellStyle name="Note 4 2 10 2" xfId="44753"/>
    <cellStyle name="Note 4 2 11" xfId="44754"/>
    <cellStyle name="Note 4 2 11 2" xfId="44755"/>
    <cellStyle name="Note 4 2 12" xfId="44756"/>
    <cellStyle name="Note 4 2 12 2" xfId="44757"/>
    <cellStyle name="Note 4 2 13" xfId="44758"/>
    <cellStyle name="Note 4 2 13 2" xfId="44759"/>
    <cellStyle name="Note 4 2 14" xfId="44760"/>
    <cellStyle name="Note 4 2 14 2" xfId="44761"/>
    <cellStyle name="Note 4 2 15" xfId="44762"/>
    <cellStyle name="Note 4 2 15 2" xfId="44763"/>
    <cellStyle name="Note 4 2 16" xfId="44764"/>
    <cellStyle name="Note 4 2 16 2" xfId="44765"/>
    <cellStyle name="Note 4 2 17" xfId="44766"/>
    <cellStyle name="Note 4 2 17 2" xfId="44767"/>
    <cellStyle name="Note 4 2 18" xfId="44768"/>
    <cellStyle name="Note 4 2 18 2" xfId="44769"/>
    <cellStyle name="Note 4 2 19" xfId="44770"/>
    <cellStyle name="Note 4 2 19 2" xfId="44771"/>
    <cellStyle name="Note 4 2 2" xfId="44772"/>
    <cellStyle name="Note 4 2 2 2" xfId="44773"/>
    <cellStyle name="Note 4 2 2 3" xfId="44774"/>
    <cellStyle name="Note 4 2 20" xfId="44775"/>
    <cellStyle name="Note 4 2 20 2" xfId="44776"/>
    <cellStyle name="Note 4 2 21" xfId="44777"/>
    <cellStyle name="Note 4 2 21 2" xfId="44778"/>
    <cellStyle name="Note 4 2 22" xfId="44779"/>
    <cellStyle name="Note 4 2 22 2" xfId="44780"/>
    <cellStyle name="Note 4 2 23" xfId="44781"/>
    <cellStyle name="Note 4 2 23 2" xfId="44782"/>
    <cellStyle name="Note 4 2 24" xfId="44783"/>
    <cellStyle name="Note 4 2 24 2" xfId="44784"/>
    <cellStyle name="Note 4 2 25" xfId="44785"/>
    <cellStyle name="Note 4 2 25 2" xfId="44786"/>
    <cellStyle name="Note 4 2 26" xfId="44787"/>
    <cellStyle name="Note 4 2 26 2" xfId="44788"/>
    <cellStyle name="Note 4 2 27" xfId="44789"/>
    <cellStyle name="Note 4 2 27 2" xfId="44790"/>
    <cellStyle name="Note 4 2 28" xfId="44791"/>
    <cellStyle name="Note 4 2 28 2" xfId="44792"/>
    <cellStyle name="Note 4 2 29" xfId="44793"/>
    <cellStyle name="Note 4 2 29 2" xfId="44794"/>
    <cellStyle name="Note 4 2 3" xfId="44795"/>
    <cellStyle name="Note 4 2 3 2" xfId="44796"/>
    <cellStyle name="Note 4 2 3 3" xfId="44797"/>
    <cellStyle name="Note 4 2 30" xfId="44798"/>
    <cellStyle name="Note 4 2 30 2" xfId="44799"/>
    <cellStyle name="Note 4 2 31" xfId="44800"/>
    <cellStyle name="Note 4 2 4" xfId="44801"/>
    <cellStyle name="Note 4 2 4 2" xfId="44802"/>
    <cellStyle name="Note 4 2 5" xfId="44803"/>
    <cellStyle name="Note 4 2 5 2" xfId="44804"/>
    <cellStyle name="Note 4 2 6" xfId="44805"/>
    <cellStyle name="Note 4 2 6 2" xfId="44806"/>
    <cellStyle name="Note 4 2 7" xfId="44807"/>
    <cellStyle name="Note 4 2 7 2" xfId="44808"/>
    <cellStyle name="Note 4 2 8" xfId="44809"/>
    <cellStyle name="Note 4 2 8 2" xfId="44810"/>
    <cellStyle name="Note 4 2 9" xfId="44811"/>
    <cellStyle name="Note 4 2 9 2" xfId="44812"/>
    <cellStyle name="Note 4 20" xfId="44813"/>
    <cellStyle name="Note 4 20 2" xfId="44814"/>
    <cellStyle name="Note 4 21" xfId="44815"/>
    <cellStyle name="Note 4 21 2" xfId="44816"/>
    <cellStyle name="Note 4 22" xfId="44817"/>
    <cellStyle name="Note 4 22 2" xfId="44818"/>
    <cellStyle name="Note 4 23" xfId="44819"/>
    <cellStyle name="Note 4 23 2" xfId="44820"/>
    <cellStyle name="Note 4 24" xfId="44821"/>
    <cellStyle name="Note 4 24 2" xfId="44822"/>
    <cellStyle name="Note 4 25" xfId="44823"/>
    <cellStyle name="Note 4 25 2" xfId="44824"/>
    <cellStyle name="Note 4 26" xfId="44825"/>
    <cellStyle name="Note 4 26 2" xfId="44826"/>
    <cellStyle name="Note 4 27" xfId="44827"/>
    <cellStyle name="Note 4 27 2" xfId="44828"/>
    <cellStyle name="Note 4 28" xfId="44829"/>
    <cellStyle name="Note 4 28 2" xfId="44830"/>
    <cellStyle name="Note 4 29" xfId="44831"/>
    <cellStyle name="Note 4 29 2" xfId="44832"/>
    <cellStyle name="Note 4 3" xfId="44833"/>
    <cellStyle name="Note 4 3 2" xfId="44834"/>
    <cellStyle name="Note 4 3 2 2" xfId="44835"/>
    <cellStyle name="Note 4 3 3" xfId="44836"/>
    <cellStyle name="Note 4 3 3 2" xfId="44837"/>
    <cellStyle name="Note 4 3 4" xfId="44838"/>
    <cellStyle name="Note 4 3 4 2" xfId="44839"/>
    <cellStyle name="Note 4 3 5" xfId="44840"/>
    <cellStyle name="Note 4 30" xfId="44841"/>
    <cellStyle name="Note 4 30 2" xfId="44842"/>
    <cellStyle name="Note 4 31" xfId="44843"/>
    <cellStyle name="Note 4 31 2" xfId="44844"/>
    <cellStyle name="Note 4 32" xfId="44845"/>
    <cellStyle name="Note 4 32 2" xfId="44846"/>
    <cellStyle name="Note 4 33" xfId="44847"/>
    <cellStyle name="Note 4 33 2" xfId="44848"/>
    <cellStyle name="Note 4 34" xfId="44849"/>
    <cellStyle name="Note 4 34 2" xfId="44850"/>
    <cellStyle name="Note 4 35" xfId="44851"/>
    <cellStyle name="Note 4 35 2" xfId="44852"/>
    <cellStyle name="Note 4 36" xfId="44853"/>
    <cellStyle name="Note 4 36 2" xfId="44854"/>
    <cellStyle name="Note 4 37" xfId="44855"/>
    <cellStyle name="Note 4 37 2" xfId="44856"/>
    <cellStyle name="Note 4 38" xfId="44857"/>
    <cellStyle name="Note 4 38 2" xfId="44858"/>
    <cellStyle name="Note 4 39" xfId="44859"/>
    <cellStyle name="Note 4 39 2" xfId="44860"/>
    <cellStyle name="Note 4 4" xfId="44861"/>
    <cellStyle name="Note 4 4 10" xfId="44862"/>
    <cellStyle name="Note 4 4 11" xfId="44863"/>
    <cellStyle name="Note 4 4 12" xfId="44864"/>
    <cellStyle name="Note 4 4 13" xfId="44865"/>
    <cellStyle name="Note 4 4 2" xfId="44866"/>
    <cellStyle name="Note 4 4 2 2" xfId="44867"/>
    <cellStyle name="Note 4 4 2 3" xfId="44868"/>
    <cellStyle name="Note 4 4 2 4" xfId="44869"/>
    <cellStyle name="Note 4 4 3" xfId="44870"/>
    <cellStyle name="Note 4 4 3 2" xfId="44871"/>
    <cellStyle name="Note 4 4 4" xfId="44872"/>
    <cellStyle name="Note 4 4 4 2" xfId="44873"/>
    <cellStyle name="Note 4 4 5" xfId="44874"/>
    <cellStyle name="Note 4 4 5 2" xfId="44875"/>
    <cellStyle name="Note 4 4 5 3" xfId="44876"/>
    <cellStyle name="Note 4 4 5 4" xfId="44877"/>
    <cellStyle name="Note 4 4 5 5" xfId="44878"/>
    <cellStyle name="Note 4 4 5 6" xfId="44879"/>
    <cellStyle name="Note 4 4 6" xfId="44880"/>
    <cellStyle name="Note 4 4 6 2" xfId="44881"/>
    <cellStyle name="Note 4 4 7" xfId="44882"/>
    <cellStyle name="Note 4 4 7 2" xfId="44883"/>
    <cellStyle name="Note 4 4 8" xfId="44884"/>
    <cellStyle name="Note 4 4 8 2" xfId="44885"/>
    <cellStyle name="Note 4 4 9" xfId="44886"/>
    <cellStyle name="Note 4 4 9 2" xfId="44887"/>
    <cellStyle name="Note 4 40" xfId="44888"/>
    <cellStyle name="Note 4 40 2" xfId="44889"/>
    <cellStyle name="Note 4 41" xfId="44890"/>
    <cellStyle name="Note 4 41 2" xfId="44891"/>
    <cellStyle name="Note 4 42" xfId="44892"/>
    <cellStyle name="Note 4 42 2" xfId="44893"/>
    <cellStyle name="Note 4 43" xfId="44894"/>
    <cellStyle name="Note 4 43 2" xfId="44895"/>
    <cellStyle name="Note 4 44" xfId="44896"/>
    <cellStyle name="Note 4 44 2" xfId="44897"/>
    <cellStyle name="Note 4 45" xfId="44898"/>
    <cellStyle name="Note 4 45 2" xfId="44899"/>
    <cellStyle name="Note 4 46" xfId="44900"/>
    <cellStyle name="Note 4 46 2" xfId="44901"/>
    <cellStyle name="Note 4 47" xfId="44902"/>
    <cellStyle name="Note 4 47 2" xfId="44903"/>
    <cellStyle name="Note 4 48" xfId="44904"/>
    <cellStyle name="Note 4 48 2" xfId="44905"/>
    <cellStyle name="Note 4 49" xfId="44906"/>
    <cellStyle name="Note 4 49 2" xfId="44907"/>
    <cellStyle name="Note 4 5" xfId="44908"/>
    <cellStyle name="Note 4 5 10" xfId="44909"/>
    <cellStyle name="Note 4 5 11" xfId="44910"/>
    <cellStyle name="Note 4 5 12" xfId="44911"/>
    <cellStyle name="Note 4 5 13" xfId="44912"/>
    <cellStyle name="Note 4 5 2" xfId="44913"/>
    <cellStyle name="Note 4 5 2 2" xfId="44914"/>
    <cellStyle name="Note 4 5 2 3" xfId="44915"/>
    <cellStyle name="Note 4 5 2 4" xfId="44916"/>
    <cellStyle name="Note 4 5 3" xfId="44917"/>
    <cellStyle name="Note 4 5 3 2" xfId="44918"/>
    <cellStyle name="Note 4 5 4" xfId="44919"/>
    <cellStyle name="Note 4 5 4 2" xfId="44920"/>
    <cellStyle name="Note 4 5 5" xfId="44921"/>
    <cellStyle name="Note 4 5 5 2" xfId="44922"/>
    <cellStyle name="Note 4 5 5 3" xfId="44923"/>
    <cellStyle name="Note 4 5 5 4" xfId="44924"/>
    <cellStyle name="Note 4 5 5 5" xfId="44925"/>
    <cellStyle name="Note 4 5 5 6" xfId="44926"/>
    <cellStyle name="Note 4 5 6" xfId="44927"/>
    <cellStyle name="Note 4 5 6 2" xfId="44928"/>
    <cellStyle name="Note 4 5 7" xfId="44929"/>
    <cellStyle name="Note 4 5 7 2" xfId="44930"/>
    <cellStyle name="Note 4 5 8" xfId="44931"/>
    <cellStyle name="Note 4 5 8 2" xfId="44932"/>
    <cellStyle name="Note 4 5 9" xfId="44933"/>
    <cellStyle name="Note 4 5 9 2" xfId="44934"/>
    <cellStyle name="Note 4 50" xfId="44935"/>
    <cellStyle name="Note 4 50 2" xfId="44936"/>
    <cellStyle name="Note 4 51" xfId="44937"/>
    <cellStyle name="Note 4 51 2" xfId="44938"/>
    <cellStyle name="Note 4 52" xfId="44939"/>
    <cellStyle name="Note 4 52 2" xfId="44940"/>
    <cellStyle name="Note 4 53" xfId="44941"/>
    <cellStyle name="Note 4 53 2" xfId="44942"/>
    <cellStyle name="Note 4 54" xfId="44943"/>
    <cellStyle name="Note 4 54 2" xfId="44944"/>
    <cellStyle name="Note 4 55" xfId="44945"/>
    <cellStyle name="Note 4 55 2" xfId="44946"/>
    <cellStyle name="Note 4 56" xfId="44947"/>
    <cellStyle name="Note 4 56 2" xfId="44948"/>
    <cellStyle name="Note 4 57" xfId="44949"/>
    <cellStyle name="Note 4 57 2" xfId="44950"/>
    <cellStyle name="Note 4 58" xfId="44951"/>
    <cellStyle name="Note 4 58 2" xfId="44952"/>
    <cellStyle name="Note 4 59" xfId="44953"/>
    <cellStyle name="Note 4 59 2" xfId="44954"/>
    <cellStyle name="Note 4 6" xfId="44955"/>
    <cellStyle name="Note 4 6 10" xfId="44956"/>
    <cellStyle name="Note 4 6 11" xfId="44957"/>
    <cellStyle name="Note 4 6 12" xfId="44958"/>
    <cellStyle name="Note 4 6 13" xfId="44959"/>
    <cellStyle name="Note 4 6 2" xfId="44960"/>
    <cellStyle name="Note 4 6 2 2" xfId="44961"/>
    <cellStyle name="Note 4 6 2 3" xfId="44962"/>
    <cellStyle name="Note 4 6 2 4" xfId="44963"/>
    <cellStyle name="Note 4 6 3" xfId="44964"/>
    <cellStyle name="Note 4 6 3 2" xfId="44965"/>
    <cellStyle name="Note 4 6 4" xfId="44966"/>
    <cellStyle name="Note 4 6 4 2" xfId="44967"/>
    <cellStyle name="Note 4 6 5" xfId="44968"/>
    <cellStyle name="Note 4 6 5 2" xfId="44969"/>
    <cellStyle name="Note 4 6 5 3" xfId="44970"/>
    <cellStyle name="Note 4 6 5 4" xfId="44971"/>
    <cellStyle name="Note 4 6 5 5" xfId="44972"/>
    <cellStyle name="Note 4 6 5 6" xfId="44973"/>
    <cellStyle name="Note 4 6 6" xfId="44974"/>
    <cellStyle name="Note 4 6 6 2" xfId="44975"/>
    <cellStyle name="Note 4 6 7" xfId="44976"/>
    <cellStyle name="Note 4 6 7 2" xfId="44977"/>
    <cellStyle name="Note 4 6 8" xfId="44978"/>
    <cellStyle name="Note 4 6 8 2" xfId="44979"/>
    <cellStyle name="Note 4 6 9" xfId="44980"/>
    <cellStyle name="Note 4 6 9 2" xfId="44981"/>
    <cellStyle name="Note 4 60" xfId="44982"/>
    <cellStyle name="Note 4 60 2" xfId="44983"/>
    <cellStyle name="Note 4 61" xfId="44984"/>
    <cellStyle name="Note 4 61 2" xfId="44985"/>
    <cellStyle name="Note 4 62" xfId="44986"/>
    <cellStyle name="Note 4 62 2" xfId="44987"/>
    <cellStyle name="Note 4 63" xfId="44988"/>
    <cellStyle name="Note 4 63 2" xfId="44989"/>
    <cellStyle name="Note 4 64" xfId="44990"/>
    <cellStyle name="Note 4 64 2" xfId="44991"/>
    <cellStyle name="Note 4 65" xfId="44992"/>
    <cellStyle name="Note 4 65 2" xfId="44993"/>
    <cellStyle name="Note 4 66" xfId="44994"/>
    <cellStyle name="Note 4 66 2" xfId="44995"/>
    <cellStyle name="Note 4 67" xfId="44996"/>
    <cellStyle name="Note 4 67 2" xfId="44997"/>
    <cellStyle name="Note 4 68" xfId="44998"/>
    <cellStyle name="Note 4 68 2" xfId="44999"/>
    <cellStyle name="Note 4 69" xfId="45000"/>
    <cellStyle name="Note 4 69 2" xfId="45001"/>
    <cellStyle name="Note 4 7" xfId="45002"/>
    <cellStyle name="Note 4 7 2" xfId="45003"/>
    <cellStyle name="Note 4 7 2 2" xfId="45004"/>
    <cellStyle name="Note 4 7 3" xfId="45005"/>
    <cellStyle name="Note 4 7 3 2" xfId="45006"/>
    <cellStyle name="Note 4 7 4" xfId="45007"/>
    <cellStyle name="Note 4 7 4 2" xfId="45008"/>
    <cellStyle name="Note 4 7 5" xfId="45009"/>
    <cellStyle name="Note 4 70" xfId="45010"/>
    <cellStyle name="Note 4 70 2" xfId="45011"/>
    <cellStyle name="Note 4 71" xfId="45012"/>
    <cellStyle name="Note 4 71 2" xfId="45013"/>
    <cellStyle name="Note 4 72" xfId="45014"/>
    <cellStyle name="Note 4 72 2" xfId="45015"/>
    <cellStyle name="Note 4 73" xfId="45016"/>
    <cellStyle name="Note 4 73 2" xfId="45017"/>
    <cellStyle name="Note 4 74" xfId="45018"/>
    <cellStyle name="Note 4 74 2" xfId="45019"/>
    <cellStyle name="Note 4 75" xfId="45020"/>
    <cellStyle name="Note 4 75 2" xfId="45021"/>
    <cellStyle name="Note 4 76" xfId="45022"/>
    <cellStyle name="Note 4 76 2" xfId="45023"/>
    <cellStyle name="Note 4 77" xfId="45024"/>
    <cellStyle name="Note 4 77 2" xfId="45025"/>
    <cellStyle name="Note 4 78" xfId="45026"/>
    <cellStyle name="Note 4 78 2" xfId="45027"/>
    <cellStyle name="Note 4 79" xfId="45028"/>
    <cellStyle name="Note 4 79 2" xfId="45029"/>
    <cellStyle name="Note 4 8" xfId="45030"/>
    <cellStyle name="Note 4 8 2" xfId="45031"/>
    <cellStyle name="Note 4 8 2 2" xfId="45032"/>
    <cellStyle name="Note 4 8 3" xfId="45033"/>
    <cellStyle name="Note 4 8 3 2" xfId="45034"/>
    <cellStyle name="Note 4 8 4" xfId="45035"/>
    <cellStyle name="Note 4 8 4 2" xfId="45036"/>
    <cellStyle name="Note 4 8 5" xfId="45037"/>
    <cellStyle name="Note 4 80" xfId="45038"/>
    <cellStyle name="Note 4 80 2" xfId="45039"/>
    <cellStyle name="Note 4 81" xfId="45040"/>
    <cellStyle name="Note 4 81 2" xfId="45041"/>
    <cellStyle name="Note 4 82" xfId="45042"/>
    <cellStyle name="Note 4 82 2" xfId="45043"/>
    <cellStyle name="Note 4 83" xfId="45044"/>
    <cellStyle name="Note 4 9" xfId="45045"/>
    <cellStyle name="Note 4 9 2" xfId="45046"/>
    <cellStyle name="Note 4 9 2 2" xfId="45047"/>
    <cellStyle name="Note 4 9 3" xfId="45048"/>
    <cellStyle name="Note 4 9 3 2" xfId="45049"/>
    <cellStyle name="Note 4 9 4" xfId="45050"/>
    <cellStyle name="Note 4 9 4 2" xfId="45051"/>
    <cellStyle name="Note 4 9 5" xfId="45052"/>
    <cellStyle name="Note 40" xfId="45053"/>
    <cellStyle name="Note 40 2" xfId="45054"/>
    <cellStyle name="Note 41" xfId="45055"/>
    <cellStyle name="Note 41 2" xfId="45056"/>
    <cellStyle name="Note 42" xfId="45057"/>
    <cellStyle name="Note 42 2" xfId="45058"/>
    <cellStyle name="Note 43" xfId="45059"/>
    <cellStyle name="Note 43 2" xfId="45060"/>
    <cellStyle name="Note 44" xfId="45061"/>
    <cellStyle name="Note 44 2" xfId="45062"/>
    <cellStyle name="Note 45" xfId="45063"/>
    <cellStyle name="Note 45 2" xfId="45064"/>
    <cellStyle name="Note 46" xfId="45065"/>
    <cellStyle name="Note 46 2" xfId="45066"/>
    <cellStyle name="Note 47" xfId="45067"/>
    <cellStyle name="Note 47 2" xfId="45068"/>
    <cellStyle name="Note 48" xfId="45069"/>
    <cellStyle name="Note 48 2" xfId="45070"/>
    <cellStyle name="Note 49" xfId="45071"/>
    <cellStyle name="Note 49 2" xfId="45072"/>
    <cellStyle name="Note 5" xfId="45073"/>
    <cellStyle name="Note 5 10" xfId="45074"/>
    <cellStyle name="Note 5 10 2" xfId="45075"/>
    <cellStyle name="Note 5 10 2 2" xfId="45076"/>
    <cellStyle name="Note 5 10 3" xfId="45077"/>
    <cellStyle name="Note 5 10 3 2" xfId="45078"/>
    <cellStyle name="Note 5 10 4" xfId="45079"/>
    <cellStyle name="Note 5 10 4 2" xfId="45080"/>
    <cellStyle name="Note 5 10 5" xfId="45081"/>
    <cellStyle name="Note 5 11" xfId="45082"/>
    <cellStyle name="Note 5 11 2" xfId="45083"/>
    <cellStyle name="Note 5 11 2 2" xfId="45084"/>
    <cellStyle name="Note 5 11 3" xfId="45085"/>
    <cellStyle name="Note 5 11 3 2" xfId="45086"/>
    <cellStyle name="Note 5 11 4" xfId="45087"/>
    <cellStyle name="Note 5 11 4 2" xfId="45088"/>
    <cellStyle name="Note 5 11 5" xfId="45089"/>
    <cellStyle name="Note 5 12" xfId="45090"/>
    <cellStyle name="Note 5 12 2" xfId="45091"/>
    <cellStyle name="Note 5 12 2 2" xfId="45092"/>
    <cellStyle name="Note 5 12 3" xfId="45093"/>
    <cellStyle name="Note 5 12 3 2" xfId="45094"/>
    <cellStyle name="Note 5 12 4" xfId="45095"/>
    <cellStyle name="Note 5 12 4 2" xfId="45096"/>
    <cellStyle name="Note 5 12 5" xfId="45097"/>
    <cellStyle name="Note 5 13" xfId="45098"/>
    <cellStyle name="Note 5 13 2" xfId="45099"/>
    <cellStyle name="Note 5 13 2 2" xfId="45100"/>
    <cellStyle name="Note 5 13 3" xfId="45101"/>
    <cellStyle name="Note 5 13 3 2" xfId="45102"/>
    <cellStyle name="Note 5 13 4" xfId="45103"/>
    <cellStyle name="Note 5 13 4 2" xfId="45104"/>
    <cellStyle name="Note 5 13 5" xfId="45105"/>
    <cellStyle name="Note 5 14" xfId="45106"/>
    <cellStyle name="Note 5 14 2" xfId="45107"/>
    <cellStyle name="Note 5 14 2 2" xfId="45108"/>
    <cellStyle name="Note 5 14 3" xfId="45109"/>
    <cellStyle name="Note 5 14 3 2" xfId="45110"/>
    <cellStyle name="Note 5 14 4" xfId="45111"/>
    <cellStyle name="Note 5 14 4 2" xfId="45112"/>
    <cellStyle name="Note 5 14 5" xfId="45113"/>
    <cellStyle name="Note 5 15" xfId="45114"/>
    <cellStyle name="Note 5 15 2" xfId="45115"/>
    <cellStyle name="Note 5 16" xfId="45116"/>
    <cellStyle name="Note 5 16 2" xfId="45117"/>
    <cellStyle name="Note 5 17" xfId="45118"/>
    <cellStyle name="Note 5 17 2" xfId="45119"/>
    <cellStyle name="Note 5 18" xfId="45120"/>
    <cellStyle name="Note 5 18 2" xfId="45121"/>
    <cellStyle name="Note 5 19" xfId="45122"/>
    <cellStyle name="Note 5 19 2" xfId="45123"/>
    <cellStyle name="Note 5 2" xfId="45124"/>
    <cellStyle name="Note 5 2 10" xfId="45125"/>
    <cellStyle name="Note 5 2 10 2" xfId="45126"/>
    <cellStyle name="Note 5 2 11" xfId="45127"/>
    <cellStyle name="Note 5 2 11 2" xfId="45128"/>
    <cellStyle name="Note 5 2 12" xfId="45129"/>
    <cellStyle name="Note 5 2 12 2" xfId="45130"/>
    <cellStyle name="Note 5 2 13" xfId="45131"/>
    <cellStyle name="Note 5 2 13 2" xfId="45132"/>
    <cellStyle name="Note 5 2 14" xfId="45133"/>
    <cellStyle name="Note 5 2 14 2" xfId="45134"/>
    <cellStyle name="Note 5 2 15" xfId="45135"/>
    <cellStyle name="Note 5 2 15 2" xfId="45136"/>
    <cellStyle name="Note 5 2 16" xfId="45137"/>
    <cellStyle name="Note 5 2 16 2" xfId="45138"/>
    <cellStyle name="Note 5 2 17" xfId="45139"/>
    <cellStyle name="Note 5 2 17 2" xfId="45140"/>
    <cellStyle name="Note 5 2 18" xfId="45141"/>
    <cellStyle name="Note 5 2 18 2" xfId="45142"/>
    <cellStyle name="Note 5 2 19" xfId="45143"/>
    <cellStyle name="Note 5 2 19 2" xfId="45144"/>
    <cellStyle name="Note 5 2 2" xfId="45145"/>
    <cellStyle name="Note 5 2 2 2" xfId="45146"/>
    <cellStyle name="Note 5 2 2 3" xfId="45147"/>
    <cellStyle name="Note 5 2 20" xfId="45148"/>
    <cellStyle name="Note 5 2 20 2" xfId="45149"/>
    <cellStyle name="Note 5 2 21" xfId="45150"/>
    <cellStyle name="Note 5 2 21 2" xfId="45151"/>
    <cellStyle name="Note 5 2 22" xfId="45152"/>
    <cellStyle name="Note 5 2 22 2" xfId="45153"/>
    <cellStyle name="Note 5 2 23" xfId="45154"/>
    <cellStyle name="Note 5 2 23 2" xfId="45155"/>
    <cellStyle name="Note 5 2 24" xfId="45156"/>
    <cellStyle name="Note 5 2 24 2" xfId="45157"/>
    <cellStyle name="Note 5 2 25" xfId="45158"/>
    <cellStyle name="Note 5 2 25 2" xfId="45159"/>
    <cellStyle name="Note 5 2 26" xfId="45160"/>
    <cellStyle name="Note 5 2 26 2" xfId="45161"/>
    <cellStyle name="Note 5 2 27" xfId="45162"/>
    <cellStyle name="Note 5 2 27 2" xfId="45163"/>
    <cellStyle name="Note 5 2 28" xfId="45164"/>
    <cellStyle name="Note 5 2 28 2" xfId="45165"/>
    <cellStyle name="Note 5 2 29" xfId="45166"/>
    <cellStyle name="Note 5 2 29 2" xfId="45167"/>
    <cellStyle name="Note 5 2 3" xfId="45168"/>
    <cellStyle name="Note 5 2 3 2" xfId="45169"/>
    <cellStyle name="Note 5 2 3 3" xfId="45170"/>
    <cellStyle name="Note 5 2 30" xfId="45171"/>
    <cellStyle name="Note 5 2 30 2" xfId="45172"/>
    <cellStyle name="Note 5 2 31" xfId="45173"/>
    <cellStyle name="Note 5 2 4" xfId="45174"/>
    <cellStyle name="Note 5 2 4 2" xfId="45175"/>
    <cellStyle name="Note 5 2 5" xfId="45176"/>
    <cellStyle name="Note 5 2 5 2" xfId="45177"/>
    <cellStyle name="Note 5 2 6" xfId="45178"/>
    <cellStyle name="Note 5 2 6 2" xfId="45179"/>
    <cellStyle name="Note 5 2 7" xfId="45180"/>
    <cellStyle name="Note 5 2 7 2" xfId="45181"/>
    <cellStyle name="Note 5 2 8" xfId="45182"/>
    <cellStyle name="Note 5 2 8 2" xfId="45183"/>
    <cellStyle name="Note 5 2 9" xfId="45184"/>
    <cellStyle name="Note 5 2 9 2" xfId="45185"/>
    <cellStyle name="Note 5 20" xfId="45186"/>
    <cellStyle name="Note 5 20 2" xfId="45187"/>
    <cellStyle name="Note 5 21" xfId="45188"/>
    <cellStyle name="Note 5 21 2" xfId="45189"/>
    <cellStyle name="Note 5 22" xfId="45190"/>
    <cellStyle name="Note 5 22 2" xfId="45191"/>
    <cellStyle name="Note 5 23" xfId="45192"/>
    <cellStyle name="Note 5 23 2" xfId="45193"/>
    <cellStyle name="Note 5 24" xfId="45194"/>
    <cellStyle name="Note 5 24 2" xfId="45195"/>
    <cellStyle name="Note 5 25" xfId="45196"/>
    <cellStyle name="Note 5 25 2" xfId="45197"/>
    <cellStyle name="Note 5 26" xfId="45198"/>
    <cellStyle name="Note 5 26 2" xfId="45199"/>
    <cellStyle name="Note 5 27" xfId="45200"/>
    <cellStyle name="Note 5 27 2" xfId="45201"/>
    <cellStyle name="Note 5 28" xfId="45202"/>
    <cellStyle name="Note 5 28 2" xfId="45203"/>
    <cellStyle name="Note 5 29" xfId="45204"/>
    <cellStyle name="Note 5 29 2" xfId="45205"/>
    <cellStyle name="Note 5 3" xfId="45206"/>
    <cellStyle name="Note 5 3 2" xfId="45207"/>
    <cellStyle name="Note 5 3 2 2" xfId="45208"/>
    <cellStyle name="Note 5 3 3" xfId="45209"/>
    <cellStyle name="Note 5 3 3 2" xfId="45210"/>
    <cellStyle name="Note 5 3 4" xfId="45211"/>
    <cellStyle name="Note 5 3 4 2" xfId="45212"/>
    <cellStyle name="Note 5 3 5" xfId="45213"/>
    <cellStyle name="Note 5 30" xfId="45214"/>
    <cellStyle name="Note 5 30 2" xfId="45215"/>
    <cellStyle name="Note 5 31" xfId="45216"/>
    <cellStyle name="Note 5 31 2" xfId="45217"/>
    <cellStyle name="Note 5 32" xfId="45218"/>
    <cellStyle name="Note 5 32 2" xfId="45219"/>
    <cellStyle name="Note 5 33" xfId="45220"/>
    <cellStyle name="Note 5 33 2" xfId="45221"/>
    <cellStyle name="Note 5 34" xfId="45222"/>
    <cellStyle name="Note 5 34 2" xfId="45223"/>
    <cellStyle name="Note 5 35" xfId="45224"/>
    <cellStyle name="Note 5 35 2" xfId="45225"/>
    <cellStyle name="Note 5 36" xfId="45226"/>
    <cellStyle name="Note 5 36 2" xfId="45227"/>
    <cellStyle name="Note 5 37" xfId="45228"/>
    <cellStyle name="Note 5 37 2" xfId="45229"/>
    <cellStyle name="Note 5 38" xfId="45230"/>
    <cellStyle name="Note 5 38 2" xfId="45231"/>
    <cellStyle name="Note 5 39" xfId="45232"/>
    <cellStyle name="Note 5 39 2" xfId="45233"/>
    <cellStyle name="Note 5 4" xfId="45234"/>
    <cellStyle name="Note 5 4 10" xfId="45235"/>
    <cellStyle name="Note 5 4 11" xfId="45236"/>
    <cellStyle name="Note 5 4 12" xfId="45237"/>
    <cellStyle name="Note 5 4 13" xfId="45238"/>
    <cellStyle name="Note 5 4 2" xfId="45239"/>
    <cellStyle name="Note 5 4 2 2" xfId="45240"/>
    <cellStyle name="Note 5 4 2 3" xfId="45241"/>
    <cellStyle name="Note 5 4 2 4" xfId="45242"/>
    <cellStyle name="Note 5 4 3" xfId="45243"/>
    <cellStyle name="Note 5 4 3 2" xfId="45244"/>
    <cellStyle name="Note 5 4 4" xfId="45245"/>
    <cellStyle name="Note 5 4 4 2" xfId="45246"/>
    <cellStyle name="Note 5 4 5" xfId="45247"/>
    <cellStyle name="Note 5 4 5 2" xfId="45248"/>
    <cellStyle name="Note 5 4 5 3" xfId="45249"/>
    <cellStyle name="Note 5 4 5 4" xfId="45250"/>
    <cellStyle name="Note 5 4 5 5" xfId="45251"/>
    <cellStyle name="Note 5 4 5 6" xfId="45252"/>
    <cellStyle name="Note 5 4 6" xfId="45253"/>
    <cellStyle name="Note 5 4 6 2" xfId="45254"/>
    <cellStyle name="Note 5 4 7" xfId="45255"/>
    <cellStyle name="Note 5 4 7 2" xfId="45256"/>
    <cellStyle name="Note 5 4 8" xfId="45257"/>
    <cellStyle name="Note 5 4 8 2" xfId="45258"/>
    <cellStyle name="Note 5 4 9" xfId="45259"/>
    <cellStyle name="Note 5 4 9 2" xfId="45260"/>
    <cellStyle name="Note 5 40" xfId="45261"/>
    <cellStyle name="Note 5 40 2" xfId="45262"/>
    <cellStyle name="Note 5 41" xfId="45263"/>
    <cellStyle name="Note 5 41 2" xfId="45264"/>
    <cellStyle name="Note 5 42" xfId="45265"/>
    <cellStyle name="Note 5 42 2" xfId="45266"/>
    <cellStyle name="Note 5 43" xfId="45267"/>
    <cellStyle name="Note 5 43 2" xfId="45268"/>
    <cellStyle name="Note 5 44" xfId="45269"/>
    <cellStyle name="Note 5 44 2" xfId="45270"/>
    <cellStyle name="Note 5 45" xfId="45271"/>
    <cellStyle name="Note 5 45 2" xfId="45272"/>
    <cellStyle name="Note 5 46" xfId="45273"/>
    <cellStyle name="Note 5 46 2" xfId="45274"/>
    <cellStyle name="Note 5 47" xfId="45275"/>
    <cellStyle name="Note 5 47 2" xfId="45276"/>
    <cellStyle name="Note 5 48" xfId="45277"/>
    <cellStyle name="Note 5 48 2" xfId="45278"/>
    <cellStyle name="Note 5 49" xfId="45279"/>
    <cellStyle name="Note 5 49 2" xfId="45280"/>
    <cellStyle name="Note 5 5" xfId="45281"/>
    <cellStyle name="Note 5 5 10" xfId="45282"/>
    <cellStyle name="Note 5 5 11" xfId="45283"/>
    <cellStyle name="Note 5 5 12" xfId="45284"/>
    <cellStyle name="Note 5 5 13" xfId="45285"/>
    <cellStyle name="Note 5 5 2" xfId="45286"/>
    <cellStyle name="Note 5 5 2 2" xfId="45287"/>
    <cellStyle name="Note 5 5 2 3" xfId="45288"/>
    <cellStyle name="Note 5 5 2 4" xfId="45289"/>
    <cellStyle name="Note 5 5 3" xfId="45290"/>
    <cellStyle name="Note 5 5 3 2" xfId="45291"/>
    <cellStyle name="Note 5 5 4" xfId="45292"/>
    <cellStyle name="Note 5 5 4 2" xfId="45293"/>
    <cellStyle name="Note 5 5 5" xfId="45294"/>
    <cellStyle name="Note 5 5 5 2" xfId="45295"/>
    <cellStyle name="Note 5 5 5 3" xfId="45296"/>
    <cellStyle name="Note 5 5 5 4" xfId="45297"/>
    <cellStyle name="Note 5 5 5 5" xfId="45298"/>
    <cellStyle name="Note 5 5 5 6" xfId="45299"/>
    <cellStyle name="Note 5 5 6" xfId="45300"/>
    <cellStyle name="Note 5 5 6 2" xfId="45301"/>
    <cellStyle name="Note 5 5 7" xfId="45302"/>
    <cellStyle name="Note 5 5 7 2" xfId="45303"/>
    <cellStyle name="Note 5 5 8" xfId="45304"/>
    <cellStyle name="Note 5 5 8 2" xfId="45305"/>
    <cellStyle name="Note 5 5 9" xfId="45306"/>
    <cellStyle name="Note 5 5 9 2" xfId="45307"/>
    <cellStyle name="Note 5 50" xfId="45308"/>
    <cellStyle name="Note 5 50 2" xfId="45309"/>
    <cellStyle name="Note 5 51" xfId="45310"/>
    <cellStyle name="Note 5 51 2" xfId="45311"/>
    <cellStyle name="Note 5 52" xfId="45312"/>
    <cellStyle name="Note 5 52 2" xfId="45313"/>
    <cellStyle name="Note 5 53" xfId="45314"/>
    <cellStyle name="Note 5 53 2" xfId="45315"/>
    <cellStyle name="Note 5 54" xfId="45316"/>
    <cellStyle name="Note 5 54 2" xfId="45317"/>
    <cellStyle name="Note 5 55" xfId="45318"/>
    <cellStyle name="Note 5 55 2" xfId="45319"/>
    <cellStyle name="Note 5 56" xfId="45320"/>
    <cellStyle name="Note 5 56 2" xfId="45321"/>
    <cellStyle name="Note 5 57" xfId="45322"/>
    <cellStyle name="Note 5 57 2" xfId="45323"/>
    <cellStyle name="Note 5 58" xfId="45324"/>
    <cellStyle name="Note 5 58 2" xfId="45325"/>
    <cellStyle name="Note 5 59" xfId="45326"/>
    <cellStyle name="Note 5 59 2" xfId="45327"/>
    <cellStyle name="Note 5 6" xfId="45328"/>
    <cellStyle name="Note 5 6 10" xfId="45329"/>
    <cellStyle name="Note 5 6 11" xfId="45330"/>
    <cellStyle name="Note 5 6 12" xfId="45331"/>
    <cellStyle name="Note 5 6 13" xfId="45332"/>
    <cellStyle name="Note 5 6 2" xfId="45333"/>
    <cellStyle name="Note 5 6 2 2" xfId="45334"/>
    <cellStyle name="Note 5 6 2 3" xfId="45335"/>
    <cellStyle name="Note 5 6 2 4" xfId="45336"/>
    <cellStyle name="Note 5 6 3" xfId="45337"/>
    <cellStyle name="Note 5 6 3 2" xfId="45338"/>
    <cellStyle name="Note 5 6 4" xfId="45339"/>
    <cellStyle name="Note 5 6 4 2" xfId="45340"/>
    <cellStyle name="Note 5 6 5" xfId="45341"/>
    <cellStyle name="Note 5 6 5 2" xfId="45342"/>
    <cellStyle name="Note 5 6 5 3" xfId="45343"/>
    <cellStyle name="Note 5 6 5 4" xfId="45344"/>
    <cellStyle name="Note 5 6 5 5" xfId="45345"/>
    <cellStyle name="Note 5 6 5 6" xfId="45346"/>
    <cellStyle name="Note 5 6 6" xfId="45347"/>
    <cellStyle name="Note 5 6 6 2" xfId="45348"/>
    <cellStyle name="Note 5 6 7" xfId="45349"/>
    <cellStyle name="Note 5 6 7 2" xfId="45350"/>
    <cellStyle name="Note 5 6 8" xfId="45351"/>
    <cellStyle name="Note 5 6 8 2" xfId="45352"/>
    <cellStyle name="Note 5 6 9" xfId="45353"/>
    <cellStyle name="Note 5 6 9 2" xfId="45354"/>
    <cellStyle name="Note 5 60" xfId="45355"/>
    <cellStyle name="Note 5 60 2" xfId="45356"/>
    <cellStyle name="Note 5 61" xfId="45357"/>
    <cellStyle name="Note 5 61 2" xfId="45358"/>
    <cellStyle name="Note 5 62" xfId="45359"/>
    <cellStyle name="Note 5 62 2" xfId="45360"/>
    <cellStyle name="Note 5 63" xfId="45361"/>
    <cellStyle name="Note 5 63 2" xfId="45362"/>
    <cellStyle name="Note 5 64" xfId="45363"/>
    <cellStyle name="Note 5 64 2" xfId="45364"/>
    <cellStyle name="Note 5 65" xfId="45365"/>
    <cellStyle name="Note 5 65 2" xfId="45366"/>
    <cellStyle name="Note 5 66" xfId="45367"/>
    <cellStyle name="Note 5 66 2" xfId="45368"/>
    <cellStyle name="Note 5 67" xfId="45369"/>
    <cellStyle name="Note 5 67 2" xfId="45370"/>
    <cellStyle name="Note 5 68" xfId="45371"/>
    <cellStyle name="Note 5 68 2" xfId="45372"/>
    <cellStyle name="Note 5 69" xfId="45373"/>
    <cellStyle name="Note 5 69 2" xfId="45374"/>
    <cellStyle name="Note 5 7" xfId="45375"/>
    <cellStyle name="Note 5 7 2" xfId="45376"/>
    <cellStyle name="Note 5 7 2 2" xfId="45377"/>
    <cellStyle name="Note 5 7 3" xfId="45378"/>
    <cellStyle name="Note 5 7 3 2" xfId="45379"/>
    <cellStyle name="Note 5 7 4" xfId="45380"/>
    <cellStyle name="Note 5 7 4 2" xfId="45381"/>
    <cellStyle name="Note 5 7 5" xfId="45382"/>
    <cellStyle name="Note 5 70" xfId="45383"/>
    <cellStyle name="Note 5 70 2" xfId="45384"/>
    <cellStyle name="Note 5 71" xfId="45385"/>
    <cellStyle name="Note 5 71 2" xfId="45386"/>
    <cellStyle name="Note 5 72" xfId="45387"/>
    <cellStyle name="Note 5 72 2" xfId="45388"/>
    <cellStyle name="Note 5 73" xfId="45389"/>
    <cellStyle name="Note 5 73 2" xfId="45390"/>
    <cellStyle name="Note 5 74" xfId="45391"/>
    <cellStyle name="Note 5 74 2" xfId="45392"/>
    <cellStyle name="Note 5 75" xfId="45393"/>
    <cellStyle name="Note 5 75 2" xfId="45394"/>
    <cellStyle name="Note 5 76" xfId="45395"/>
    <cellStyle name="Note 5 76 2" xfId="45396"/>
    <cellStyle name="Note 5 77" xfId="45397"/>
    <cellStyle name="Note 5 77 2" xfId="45398"/>
    <cellStyle name="Note 5 78" xfId="45399"/>
    <cellStyle name="Note 5 78 2" xfId="45400"/>
    <cellStyle name="Note 5 79" xfId="45401"/>
    <cellStyle name="Note 5 79 2" xfId="45402"/>
    <cellStyle name="Note 5 8" xfId="45403"/>
    <cellStyle name="Note 5 8 2" xfId="45404"/>
    <cellStyle name="Note 5 8 2 2" xfId="45405"/>
    <cellStyle name="Note 5 8 3" xfId="45406"/>
    <cellStyle name="Note 5 8 3 2" xfId="45407"/>
    <cellStyle name="Note 5 8 4" xfId="45408"/>
    <cellStyle name="Note 5 8 4 2" xfId="45409"/>
    <cellStyle name="Note 5 8 5" xfId="45410"/>
    <cellStyle name="Note 5 80" xfId="45411"/>
    <cellStyle name="Note 5 80 2" xfId="45412"/>
    <cellStyle name="Note 5 81" xfId="45413"/>
    <cellStyle name="Note 5 81 2" xfId="45414"/>
    <cellStyle name="Note 5 82" xfId="45415"/>
    <cellStyle name="Note 5 82 2" xfId="45416"/>
    <cellStyle name="Note 5 83" xfId="45417"/>
    <cellStyle name="Note 5 9" xfId="45418"/>
    <cellStyle name="Note 5 9 2" xfId="45419"/>
    <cellStyle name="Note 5 9 2 2" xfId="45420"/>
    <cellStyle name="Note 5 9 3" xfId="45421"/>
    <cellStyle name="Note 5 9 3 2" xfId="45422"/>
    <cellStyle name="Note 5 9 4" xfId="45423"/>
    <cellStyle name="Note 5 9 4 2" xfId="45424"/>
    <cellStyle name="Note 5 9 5" xfId="45425"/>
    <cellStyle name="Note 50" xfId="45426"/>
    <cellStyle name="Note 50 2" xfId="45427"/>
    <cellStyle name="Note 51" xfId="45428"/>
    <cellStyle name="Note 51 2" xfId="45429"/>
    <cellStyle name="Note 52" xfId="45430"/>
    <cellStyle name="Note 52 2" xfId="45431"/>
    <cellStyle name="Note 53" xfId="45432"/>
    <cellStyle name="Note 53 2" xfId="45433"/>
    <cellStyle name="Note 54" xfId="45434"/>
    <cellStyle name="Note 54 2" xfId="45435"/>
    <cellStyle name="Note 55" xfId="45436"/>
    <cellStyle name="Note 55 2" xfId="45437"/>
    <cellStyle name="Note 56" xfId="45438"/>
    <cellStyle name="Note 56 2" xfId="45439"/>
    <cellStyle name="Note 57" xfId="45440"/>
    <cellStyle name="Note 57 2" xfId="45441"/>
    <cellStyle name="Note 58" xfId="45442"/>
    <cellStyle name="Note 58 2" xfId="45443"/>
    <cellStyle name="Note 59" xfId="45444"/>
    <cellStyle name="Note 59 2" xfId="45445"/>
    <cellStyle name="Note 6" xfId="45446"/>
    <cellStyle name="Note 6 10" xfId="45447"/>
    <cellStyle name="Note 6 10 2" xfId="45448"/>
    <cellStyle name="Note 6 10 2 2" xfId="45449"/>
    <cellStyle name="Note 6 10 3" xfId="45450"/>
    <cellStyle name="Note 6 10 3 2" xfId="45451"/>
    <cellStyle name="Note 6 10 4" xfId="45452"/>
    <cellStyle name="Note 6 10 4 2" xfId="45453"/>
    <cellStyle name="Note 6 10 5" xfId="45454"/>
    <cellStyle name="Note 6 11" xfId="45455"/>
    <cellStyle name="Note 6 11 2" xfId="45456"/>
    <cellStyle name="Note 6 11 2 2" xfId="45457"/>
    <cellStyle name="Note 6 11 3" xfId="45458"/>
    <cellStyle name="Note 6 11 3 2" xfId="45459"/>
    <cellStyle name="Note 6 11 4" xfId="45460"/>
    <cellStyle name="Note 6 11 4 2" xfId="45461"/>
    <cellStyle name="Note 6 11 5" xfId="45462"/>
    <cellStyle name="Note 6 12" xfId="45463"/>
    <cellStyle name="Note 6 12 2" xfId="45464"/>
    <cellStyle name="Note 6 12 2 2" xfId="45465"/>
    <cellStyle name="Note 6 12 3" xfId="45466"/>
    <cellStyle name="Note 6 12 3 2" xfId="45467"/>
    <cellStyle name="Note 6 12 4" xfId="45468"/>
    <cellStyle name="Note 6 12 4 2" xfId="45469"/>
    <cellStyle name="Note 6 12 5" xfId="45470"/>
    <cellStyle name="Note 6 13" xfId="45471"/>
    <cellStyle name="Note 6 13 2" xfId="45472"/>
    <cellStyle name="Note 6 13 2 2" xfId="45473"/>
    <cellStyle name="Note 6 13 3" xfId="45474"/>
    <cellStyle name="Note 6 13 3 2" xfId="45475"/>
    <cellStyle name="Note 6 13 4" xfId="45476"/>
    <cellStyle name="Note 6 13 4 2" xfId="45477"/>
    <cellStyle name="Note 6 13 5" xfId="45478"/>
    <cellStyle name="Note 6 14" xfId="45479"/>
    <cellStyle name="Note 6 14 2" xfId="45480"/>
    <cellStyle name="Note 6 14 2 2" xfId="45481"/>
    <cellStyle name="Note 6 14 3" xfId="45482"/>
    <cellStyle name="Note 6 14 3 2" xfId="45483"/>
    <cellStyle name="Note 6 14 4" xfId="45484"/>
    <cellStyle name="Note 6 14 4 2" xfId="45485"/>
    <cellStyle name="Note 6 14 5" xfId="45486"/>
    <cellStyle name="Note 6 15" xfId="45487"/>
    <cellStyle name="Note 6 15 2" xfId="45488"/>
    <cellStyle name="Note 6 16" xfId="45489"/>
    <cellStyle name="Note 6 16 2" xfId="45490"/>
    <cellStyle name="Note 6 17" xfId="45491"/>
    <cellStyle name="Note 6 17 2" xfId="45492"/>
    <cellStyle name="Note 6 18" xfId="45493"/>
    <cellStyle name="Note 6 18 2" xfId="45494"/>
    <cellStyle name="Note 6 19" xfId="45495"/>
    <cellStyle name="Note 6 19 2" xfId="45496"/>
    <cellStyle name="Note 6 2" xfId="45497"/>
    <cellStyle name="Note 6 2 10" xfId="45498"/>
    <cellStyle name="Note 6 2 10 2" xfId="45499"/>
    <cellStyle name="Note 6 2 11" xfId="45500"/>
    <cellStyle name="Note 6 2 11 2" xfId="45501"/>
    <cellStyle name="Note 6 2 12" xfId="45502"/>
    <cellStyle name="Note 6 2 12 2" xfId="45503"/>
    <cellStyle name="Note 6 2 13" xfId="45504"/>
    <cellStyle name="Note 6 2 13 2" xfId="45505"/>
    <cellStyle name="Note 6 2 14" xfId="45506"/>
    <cellStyle name="Note 6 2 14 2" xfId="45507"/>
    <cellStyle name="Note 6 2 15" xfId="45508"/>
    <cellStyle name="Note 6 2 15 2" xfId="45509"/>
    <cellStyle name="Note 6 2 16" xfId="45510"/>
    <cellStyle name="Note 6 2 16 2" xfId="45511"/>
    <cellStyle name="Note 6 2 17" xfId="45512"/>
    <cellStyle name="Note 6 2 17 2" xfId="45513"/>
    <cellStyle name="Note 6 2 18" xfId="45514"/>
    <cellStyle name="Note 6 2 18 2" xfId="45515"/>
    <cellStyle name="Note 6 2 19" xfId="45516"/>
    <cellStyle name="Note 6 2 19 2" xfId="45517"/>
    <cellStyle name="Note 6 2 2" xfId="45518"/>
    <cellStyle name="Note 6 2 2 2" xfId="45519"/>
    <cellStyle name="Note 6 2 2 3" xfId="45520"/>
    <cellStyle name="Note 6 2 20" xfId="45521"/>
    <cellStyle name="Note 6 2 20 2" xfId="45522"/>
    <cellStyle name="Note 6 2 21" xfId="45523"/>
    <cellStyle name="Note 6 2 21 2" xfId="45524"/>
    <cellStyle name="Note 6 2 22" xfId="45525"/>
    <cellStyle name="Note 6 2 22 2" xfId="45526"/>
    <cellStyle name="Note 6 2 23" xfId="45527"/>
    <cellStyle name="Note 6 2 23 2" xfId="45528"/>
    <cellStyle name="Note 6 2 24" xfId="45529"/>
    <cellStyle name="Note 6 2 24 2" xfId="45530"/>
    <cellStyle name="Note 6 2 25" xfId="45531"/>
    <cellStyle name="Note 6 2 25 2" xfId="45532"/>
    <cellStyle name="Note 6 2 26" xfId="45533"/>
    <cellStyle name="Note 6 2 26 2" xfId="45534"/>
    <cellStyle name="Note 6 2 27" xfId="45535"/>
    <cellStyle name="Note 6 2 27 2" xfId="45536"/>
    <cellStyle name="Note 6 2 28" xfId="45537"/>
    <cellStyle name="Note 6 2 28 2" xfId="45538"/>
    <cellStyle name="Note 6 2 29" xfId="45539"/>
    <cellStyle name="Note 6 2 29 2" xfId="45540"/>
    <cellStyle name="Note 6 2 3" xfId="45541"/>
    <cellStyle name="Note 6 2 3 2" xfId="45542"/>
    <cellStyle name="Note 6 2 3 3" xfId="45543"/>
    <cellStyle name="Note 6 2 30" xfId="45544"/>
    <cellStyle name="Note 6 2 30 2" xfId="45545"/>
    <cellStyle name="Note 6 2 31" xfId="45546"/>
    <cellStyle name="Note 6 2 4" xfId="45547"/>
    <cellStyle name="Note 6 2 4 2" xfId="45548"/>
    <cellStyle name="Note 6 2 5" xfId="45549"/>
    <cellStyle name="Note 6 2 5 2" xfId="45550"/>
    <cellStyle name="Note 6 2 6" xfId="45551"/>
    <cellStyle name="Note 6 2 6 2" xfId="45552"/>
    <cellStyle name="Note 6 2 7" xfId="45553"/>
    <cellStyle name="Note 6 2 7 2" xfId="45554"/>
    <cellStyle name="Note 6 2 8" xfId="45555"/>
    <cellStyle name="Note 6 2 8 2" xfId="45556"/>
    <cellStyle name="Note 6 2 9" xfId="45557"/>
    <cellStyle name="Note 6 2 9 2" xfId="45558"/>
    <cellStyle name="Note 6 20" xfId="45559"/>
    <cellStyle name="Note 6 20 2" xfId="45560"/>
    <cellStyle name="Note 6 21" xfId="45561"/>
    <cellStyle name="Note 6 21 2" xfId="45562"/>
    <cellStyle name="Note 6 22" xfId="45563"/>
    <cellStyle name="Note 6 22 2" xfId="45564"/>
    <cellStyle name="Note 6 23" xfId="45565"/>
    <cellStyle name="Note 6 23 2" xfId="45566"/>
    <cellStyle name="Note 6 24" xfId="45567"/>
    <cellStyle name="Note 6 24 2" xfId="45568"/>
    <cellStyle name="Note 6 25" xfId="45569"/>
    <cellStyle name="Note 6 25 2" xfId="45570"/>
    <cellStyle name="Note 6 26" xfId="45571"/>
    <cellStyle name="Note 6 26 2" xfId="45572"/>
    <cellStyle name="Note 6 27" xfId="45573"/>
    <cellStyle name="Note 6 27 2" xfId="45574"/>
    <cellStyle name="Note 6 28" xfId="45575"/>
    <cellStyle name="Note 6 28 2" xfId="45576"/>
    <cellStyle name="Note 6 29" xfId="45577"/>
    <cellStyle name="Note 6 29 2" xfId="45578"/>
    <cellStyle name="Note 6 3" xfId="45579"/>
    <cellStyle name="Note 6 3 2" xfId="45580"/>
    <cellStyle name="Note 6 3 2 2" xfId="45581"/>
    <cellStyle name="Note 6 3 3" xfId="45582"/>
    <cellStyle name="Note 6 3 3 2" xfId="45583"/>
    <cellStyle name="Note 6 3 4" xfId="45584"/>
    <cellStyle name="Note 6 3 4 2" xfId="45585"/>
    <cellStyle name="Note 6 3 5" xfId="45586"/>
    <cellStyle name="Note 6 30" xfId="45587"/>
    <cellStyle name="Note 6 30 2" xfId="45588"/>
    <cellStyle name="Note 6 31" xfId="45589"/>
    <cellStyle name="Note 6 31 2" xfId="45590"/>
    <cellStyle name="Note 6 32" xfId="45591"/>
    <cellStyle name="Note 6 32 2" xfId="45592"/>
    <cellStyle name="Note 6 33" xfId="45593"/>
    <cellStyle name="Note 6 33 2" xfId="45594"/>
    <cellStyle name="Note 6 34" xfId="45595"/>
    <cellStyle name="Note 6 34 2" xfId="45596"/>
    <cellStyle name="Note 6 35" xfId="45597"/>
    <cellStyle name="Note 6 35 2" xfId="45598"/>
    <cellStyle name="Note 6 36" xfId="45599"/>
    <cellStyle name="Note 6 36 2" xfId="45600"/>
    <cellStyle name="Note 6 37" xfId="45601"/>
    <cellStyle name="Note 6 37 2" xfId="45602"/>
    <cellStyle name="Note 6 38" xfId="45603"/>
    <cellStyle name="Note 6 38 2" xfId="45604"/>
    <cellStyle name="Note 6 39" xfId="45605"/>
    <cellStyle name="Note 6 39 2" xfId="45606"/>
    <cellStyle name="Note 6 4" xfId="45607"/>
    <cellStyle name="Note 6 4 2" xfId="45608"/>
    <cellStyle name="Note 6 4 2 2" xfId="45609"/>
    <cellStyle name="Note 6 4 3" xfId="45610"/>
    <cellStyle name="Note 6 4 3 2" xfId="45611"/>
    <cellStyle name="Note 6 4 4" xfId="45612"/>
    <cellStyle name="Note 6 4 4 2" xfId="45613"/>
    <cellStyle name="Note 6 4 5" xfId="45614"/>
    <cellStyle name="Note 6 40" xfId="45615"/>
    <cellStyle name="Note 6 40 2" xfId="45616"/>
    <cellStyle name="Note 6 41" xfId="45617"/>
    <cellStyle name="Note 6 41 2" xfId="45618"/>
    <cellStyle name="Note 6 42" xfId="45619"/>
    <cellStyle name="Note 6 42 2" xfId="45620"/>
    <cellStyle name="Note 6 43" xfId="45621"/>
    <cellStyle name="Note 6 43 2" xfId="45622"/>
    <cellStyle name="Note 6 44" xfId="45623"/>
    <cellStyle name="Note 6 44 2" xfId="45624"/>
    <cellStyle name="Note 6 45" xfId="45625"/>
    <cellStyle name="Note 6 45 2" xfId="45626"/>
    <cellStyle name="Note 6 46" xfId="45627"/>
    <cellStyle name="Note 6 46 2" xfId="45628"/>
    <cellStyle name="Note 6 47" xfId="45629"/>
    <cellStyle name="Note 6 47 2" xfId="45630"/>
    <cellStyle name="Note 6 48" xfId="45631"/>
    <cellStyle name="Note 6 48 2" xfId="45632"/>
    <cellStyle name="Note 6 49" xfId="45633"/>
    <cellStyle name="Note 6 49 2" xfId="45634"/>
    <cellStyle name="Note 6 5" xfId="45635"/>
    <cellStyle name="Note 6 5 2" xfId="45636"/>
    <cellStyle name="Note 6 5 2 2" xfId="45637"/>
    <cellStyle name="Note 6 5 3" xfId="45638"/>
    <cellStyle name="Note 6 5 3 2" xfId="45639"/>
    <cellStyle name="Note 6 5 4" xfId="45640"/>
    <cellStyle name="Note 6 5 4 2" xfId="45641"/>
    <cellStyle name="Note 6 5 5" xfId="45642"/>
    <cellStyle name="Note 6 50" xfId="45643"/>
    <cellStyle name="Note 6 50 2" xfId="45644"/>
    <cellStyle name="Note 6 51" xfId="45645"/>
    <cellStyle name="Note 6 51 2" xfId="45646"/>
    <cellStyle name="Note 6 52" xfId="45647"/>
    <cellStyle name="Note 6 52 2" xfId="45648"/>
    <cellStyle name="Note 6 53" xfId="45649"/>
    <cellStyle name="Note 6 53 2" xfId="45650"/>
    <cellStyle name="Note 6 54" xfId="45651"/>
    <cellStyle name="Note 6 54 2" xfId="45652"/>
    <cellStyle name="Note 6 55" xfId="45653"/>
    <cellStyle name="Note 6 55 2" xfId="45654"/>
    <cellStyle name="Note 6 56" xfId="45655"/>
    <cellStyle name="Note 6 56 2" xfId="45656"/>
    <cellStyle name="Note 6 57" xfId="45657"/>
    <cellStyle name="Note 6 57 2" xfId="45658"/>
    <cellStyle name="Note 6 58" xfId="45659"/>
    <cellStyle name="Note 6 58 2" xfId="45660"/>
    <cellStyle name="Note 6 59" xfId="45661"/>
    <cellStyle name="Note 6 59 2" xfId="45662"/>
    <cellStyle name="Note 6 6" xfId="45663"/>
    <cellStyle name="Note 6 6 2" xfId="45664"/>
    <cellStyle name="Note 6 6 2 2" xfId="45665"/>
    <cellStyle name="Note 6 6 3" xfId="45666"/>
    <cellStyle name="Note 6 6 3 2" xfId="45667"/>
    <cellStyle name="Note 6 6 4" xfId="45668"/>
    <cellStyle name="Note 6 6 4 2" xfId="45669"/>
    <cellStyle name="Note 6 6 5" xfId="45670"/>
    <cellStyle name="Note 6 60" xfId="45671"/>
    <cellStyle name="Note 6 60 2" xfId="45672"/>
    <cellStyle name="Note 6 61" xfId="45673"/>
    <cellStyle name="Note 6 61 2" xfId="45674"/>
    <cellStyle name="Note 6 62" xfId="45675"/>
    <cellStyle name="Note 6 62 2" xfId="45676"/>
    <cellStyle name="Note 6 63" xfId="45677"/>
    <cellStyle name="Note 6 63 2" xfId="45678"/>
    <cellStyle name="Note 6 64" xfId="45679"/>
    <cellStyle name="Note 6 64 2" xfId="45680"/>
    <cellStyle name="Note 6 65" xfId="45681"/>
    <cellStyle name="Note 6 65 2" xfId="45682"/>
    <cellStyle name="Note 6 66" xfId="45683"/>
    <cellStyle name="Note 6 66 2" xfId="45684"/>
    <cellStyle name="Note 6 67" xfId="45685"/>
    <cellStyle name="Note 6 67 2" xfId="45686"/>
    <cellStyle name="Note 6 68" xfId="45687"/>
    <cellStyle name="Note 6 68 2" xfId="45688"/>
    <cellStyle name="Note 6 69" xfId="45689"/>
    <cellStyle name="Note 6 69 2" xfId="45690"/>
    <cellStyle name="Note 6 7" xfId="45691"/>
    <cellStyle name="Note 6 7 2" xfId="45692"/>
    <cellStyle name="Note 6 7 2 2" xfId="45693"/>
    <cellStyle name="Note 6 7 3" xfId="45694"/>
    <cellStyle name="Note 6 7 3 2" xfId="45695"/>
    <cellStyle name="Note 6 7 4" xfId="45696"/>
    <cellStyle name="Note 6 7 4 2" xfId="45697"/>
    <cellStyle name="Note 6 7 5" xfId="45698"/>
    <cellStyle name="Note 6 70" xfId="45699"/>
    <cellStyle name="Note 6 70 2" xfId="45700"/>
    <cellStyle name="Note 6 71" xfId="45701"/>
    <cellStyle name="Note 6 71 2" xfId="45702"/>
    <cellStyle name="Note 6 72" xfId="45703"/>
    <cellStyle name="Note 6 72 2" xfId="45704"/>
    <cellStyle name="Note 6 73" xfId="45705"/>
    <cellStyle name="Note 6 73 2" xfId="45706"/>
    <cellStyle name="Note 6 74" xfId="45707"/>
    <cellStyle name="Note 6 74 2" xfId="45708"/>
    <cellStyle name="Note 6 75" xfId="45709"/>
    <cellStyle name="Note 6 75 2" xfId="45710"/>
    <cellStyle name="Note 6 76" xfId="45711"/>
    <cellStyle name="Note 6 76 2" xfId="45712"/>
    <cellStyle name="Note 6 77" xfId="45713"/>
    <cellStyle name="Note 6 77 2" xfId="45714"/>
    <cellStyle name="Note 6 78" xfId="45715"/>
    <cellStyle name="Note 6 78 2" xfId="45716"/>
    <cellStyle name="Note 6 79" xfId="45717"/>
    <cellStyle name="Note 6 79 2" xfId="45718"/>
    <cellStyle name="Note 6 8" xfId="45719"/>
    <cellStyle name="Note 6 8 2" xfId="45720"/>
    <cellStyle name="Note 6 8 2 2" xfId="45721"/>
    <cellStyle name="Note 6 8 3" xfId="45722"/>
    <cellStyle name="Note 6 8 3 2" xfId="45723"/>
    <cellStyle name="Note 6 8 4" xfId="45724"/>
    <cellStyle name="Note 6 8 4 2" xfId="45725"/>
    <cellStyle name="Note 6 8 5" xfId="45726"/>
    <cellStyle name="Note 6 80" xfId="45727"/>
    <cellStyle name="Note 6 80 2" xfId="45728"/>
    <cellStyle name="Note 6 81" xfId="45729"/>
    <cellStyle name="Note 6 81 2" xfId="45730"/>
    <cellStyle name="Note 6 82" xfId="45731"/>
    <cellStyle name="Note 6 82 2" xfId="45732"/>
    <cellStyle name="Note 6 83" xfId="45733"/>
    <cellStyle name="Note 6 9" xfId="45734"/>
    <cellStyle name="Note 6 9 2" xfId="45735"/>
    <cellStyle name="Note 6 9 2 2" xfId="45736"/>
    <cellStyle name="Note 6 9 3" xfId="45737"/>
    <cellStyle name="Note 6 9 3 2" xfId="45738"/>
    <cellStyle name="Note 6 9 4" xfId="45739"/>
    <cellStyle name="Note 6 9 4 2" xfId="45740"/>
    <cellStyle name="Note 6 9 5" xfId="45741"/>
    <cellStyle name="Note 60" xfId="45742"/>
    <cellStyle name="Note 60 2" xfId="45743"/>
    <cellStyle name="Note 61" xfId="45744"/>
    <cellStyle name="Note 61 2" xfId="45745"/>
    <cellStyle name="Note 62" xfId="45746"/>
    <cellStyle name="Note 62 2" xfId="45747"/>
    <cellStyle name="Note 63" xfId="45748"/>
    <cellStyle name="Note 63 2" xfId="45749"/>
    <cellStyle name="Note 64" xfId="45750"/>
    <cellStyle name="Note 64 2" xfId="45751"/>
    <cellStyle name="Note 65" xfId="45752"/>
    <cellStyle name="Note 65 2" xfId="45753"/>
    <cellStyle name="Note 66" xfId="45754"/>
    <cellStyle name="Note 66 2" xfId="45755"/>
    <cellStyle name="Note 67" xfId="45756"/>
    <cellStyle name="Note 67 2" xfId="45757"/>
    <cellStyle name="Note 68" xfId="45758"/>
    <cellStyle name="Note 68 2" xfId="45759"/>
    <cellStyle name="Note 69" xfId="45760"/>
    <cellStyle name="Note 69 2" xfId="45761"/>
    <cellStyle name="Note 7" xfId="45762"/>
    <cellStyle name="Note 7 10" xfId="45763"/>
    <cellStyle name="Note 7 10 2" xfId="45764"/>
    <cellStyle name="Note 7 10 2 2" xfId="45765"/>
    <cellStyle name="Note 7 10 3" xfId="45766"/>
    <cellStyle name="Note 7 10 3 2" xfId="45767"/>
    <cellStyle name="Note 7 10 4" xfId="45768"/>
    <cellStyle name="Note 7 10 4 2" xfId="45769"/>
    <cellStyle name="Note 7 10 5" xfId="45770"/>
    <cellStyle name="Note 7 11" xfId="45771"/>
    <cellStyle name="Note 7 11 2" xfId="45772"/>
    <cellStyle name="Note 7 11 2 2" xfId="45773"/>
    <cellStyle name="Note 7 11 3" xfId="45774"/>
    <cellStyle name="Note 7 11 3 2" xfId="45775"/>
    <cellStyle name="Note 7 11 4" xfId="45776"/>
    <cellStyle name="Note 7 11 4 2" xfId="45777"/>
    <cellStyle name="Note 7 11 5" xfId="45778"/>
    <cellStyle name="Note 7 12" xfId="45779"/>
    <cellStyle name="Note 7 12 2" xfId="45780"/>
    <cellStyle name="Note 7 12 2 2" xfId="45781"/>
    <cellStyle name="Note 7 12 3" xfId="45782"/>
    <cellStyle name="Note 7 12 3 2" xfId="45783"/>
    <cellStyle name="Note 7 12 4" xfId="45784"/>
    <cellStyle name="Note 7 12 4 2" xfId="45785"/>
    <cellStyle name="Note 7 12 5" xfId="45786"/>
    <cellStyle name="Note 7 13" xfId="45787"/>
    <cellStyle name="Note 7 13 2" xfId="45788"/>
    <cellStyle name="Note 7 13 2 2" xfId="45789"/>
    <cellStyle name="Note 7 13 3" xfId="45790"/>
    <cellStyle name="Note 7 13 3 2" xfId="45791"/>
    <cellStyle name="Note 7 13 4" xfId="45792"/>
    <cellStyle name="Note 7 13 4 2" xfId="45793"/>
    <cellStyle name="Note 7 13 5" xfId="45794"/>
    <cellStyle name="Note 7 14" xfId="45795"/>
    <cellStyle name="Note 7 14 2" xfId="45796"/>
    <cellStyle name="Note 7 14 2 2" xfId="45797"/>
    <cellStyle name="Note 7 14 3" xfId="45798"/>
    <cellStyle name="Note 7 14 3 2" xfId="45799"/>
    <cellStyle name="Note 7 14 4" xfId="45800"/>
    <cellStyle name="Note 7 14 4 2" xfId="45801"/>
    <cellStyle name="Note 7 14 5" xfId="45802"/>
    <cellStyle name="Note 7 15" xfId="45803"/>
    <cellStyle name="Note 7 15 2" xfId="45804"/>
    <cellStyle name="Note 7 15 2 2" xfId="45805"/>
    <cellStyle name="Note 7 15 3" xfId="45806"/>
    <cellStyle name="Note 7 15 3 2" xfId="45807"/>
    <cellStyle name="Note 7 15 4" xfId="45808"/>
    <cellStyle name="Note 7 15 4 2" xfId="45809"/>
    <cellStyle name="Note 7 15 5" xfId="45810"/>
    <cellStyle name="Note 7 16" xfId="45811"/>
    <cellStyle name="Note 7 16 2" xfId="45812"/>
    <cellStyle name="Note 7 17" xfId="45813"/>
    <cellStyle name="Note 7 17 2" xfId="45814"/>
    <cellStyle name="Note 7 18" xfId="45815"/>
    <cellStyle name="Note 7 18 2" xfId="45816"/>
    <cellStyle name="Note 7 19" xfId="45817"/>
    <cellStyle name="Note 7 19 2" xfId="45818"/>
    <cellStyle name="Note 7 2" xfId="45819"/>
    <cellStyle name="Note 7 2 10" xfId="45820"/>
    <cellStyle name="Note 7 2 10 2" xfId="45821"/>
    <cellStyle name="Note 7 2 10 2 2" xfId="45822"/>
    <cellStyle name="Note 7 2 10 3" xfId="45823"/>
    <cellStyle name="Note 7 2 10 3 2" xfId="45824"/>
    <cellStyle name="Note 7 2 10 4" xfId="45825"/>
    <cellStyle name="Note 7 2 10 4 2" xfId="45826"/>
    <cellStyle name="Note 7 2 10 5" xfId="45827"/>
    <cellStyle name="Note 7 2 11" xfId="45828"/>
    <cellStyle name="Note 7 2 11 2" xfId="45829"/>
    <cellStyle name="Note 7 2 11 2 2" xfId="45830"/>
    <cellStyle name="Note 7 2 11 3" xfId="45831"/>
    <cellStyle name="Note 7 2 11 3 2" xfId="45832"/>
    <cellStyle name="Note 7 2 11 4" xfId="45833"/>
    <cellStyle name="Note 7 2 11 4 2" xfId="45834"/>
    <cellStyle name="Note 7 2 11 5" xfId="45835"/>
    <cellStyle name="Note 7 2 12" xfId="45836"/>
    <cellStyle name="Note 7 2 12 2" xfId="45837"/>
    <cellStyle name="Note 7 2 12 2 2" xfId="45838"/>
    <cellStyle name="Note 7 2 12 3" xfId="45839"/>
    <cellStyle name="Note 7 2 12 3 2" xfId="45840"/>
    <cellStyle name="Note 7 2 12 4" xfId="45841"/>
    <cellStyle name="Note 7 2 12 4 2" xfId="45842"/>
    <cellStyle name="Note 7 2 12 5" xfId="45843"/>
    <cellStyle name="Note 7 2 13" xfId="45844"/>
    <cellStyle name="Note 7 2 13 2" xfId="45845"/>
    <cellStyle name="Note 7 2 13 2 2" xfId="45846"/>
    <cellStyle name="Note 7 2 13 3" xfId="45847"/>
    <cellStyle name="Note 7 2 13 3 2" xfId="45848"/>
    <cellStyle name="Note 7 2 13 4" xfId="45849"/>
    <cellStyle name="Note 7 2 13 4 2" xfId="45850"/>
    <cellStyle name="Note 7 2 13 5" xfId="45851"/>
    <cellStyle name="Note 7 2 14" xfId="45852"/>
    <cellStyle name="Note 7 2 14 2" xfId="45853"/>
    <cellStyle name="Note 7 2 14 2 2" xfId="45854"/>
    <cellStyle name="Note 7 2 14 3" xfId="45855"/>
    <cellStyle name="Note 7 2 14 3 2" xfId="45856"/>
    <cellStyle name="Note 7 2 14 4" xfId="45857"/>
    <cellStyle name="Note 7 2 14 4 2" xfId="45858"/>
    <cellStyle name="Note 7 2 14 5" xfId="45859"/>
    <cellStyle name="Note 7 2 15" xfId="45860"/>
    <cellStyle name="Note 7 2 15 2" xfId="45861"/>
    <cellStyle name="Note 7 2 16" xfId="45862"/>
    <cellStyle name="Note 7 2 16 2" xfId="45863"/>
    <cellStyle name="Note 7 2 17" xfId="45864"/>
    <cellStyle name="Note 7 2 17 2" xfId="45865"/>
    <cellStyle name="Note 7 2 18" xfId="45866"/>
    <cellStyle name="Note 7 2 18 2" xfId="45867"/>
    <cellStyle name="Note 7 2 19" xfId="45868"/>
    <cellStyle name="Note 7 2 19 2" xfId="45869"/>
    <cellStyle name="Note 7 2 2" xfId="45870"/>
    <cellStyle name="Note 7 2 2 10" xfId="45871"/>
    <cellStyle name="Note 7 2 2 10 2" xfId="45872"/>
    <cellStyle name="Note 7 2 2 11" xfId="45873"/>
    <cellStyle name="Note 7 2 2 11 2" xfId="45874"/>
    <cellStyle name="Note 7 2 2 12" xfId="45875"/>
    <cellStyle name="Note 7 2 2 12 2" xfId="45876"/>
    <cellStyle name="Note 7 2 2 13" xfId="45877"/>
    <cellStyle name="Note 7 2 2 13 2" xfId="45878"/>
    <cellStyle name="Note 7 2 2 14" xfId="45879"/>
    <cellStyle name="Note 7 2 2 14 2" xfId="45880"/>
    <cellStyle name="Note 7 2 2 15" xfId="45881"/>
    <cellStyle name="Note 7 2 2 15 2" xfId="45882"/>
    <cellStyle name="Note 7 2 2 16" xfId="45883"/>
    <cellStyle name="Note 7 2 2 16 2" xfId="45884"/>
    <cellStyle name="Note 7 2 2 17" xfId="45885"/>
    <cellStyle name="Note 7 2 2 17 2" xfId="45886"/>
    <cellStyle name="Note 7 2 2 18" xfId="45887"/>
    <cellStyle name="Note 7 2 2 18 2" xfId="45888"/>
    <cellStyle name="Note 7 2 2 19" xfId="45889"/>
    <cellStyle name="Note 7 2 2 19 2" xfId="45890"/>
    <cellStyle name="Note 7 2 2 2" xfId="45891"/>
    <cellStyle name="Note 7 2 2 2 2" xfId="45892"/>
    <cellStyle name="Note 7 2 2 2 3" xfId="45893"/>
    <cellStyle name="Note 7 2 2 20" xfId="45894"/>
    <cellStyle name="Note 7 2 2 20 2" xfId="45895"/>
    <cellStyle name="Note 7 2 2 21" xfId="45896"/>
    <cellStyle name="Note 7 2 2 21 2" xfId="45897"/>
    <cellStyle name="Note 7 2 2 22" xfId="45898"/>
    <cellStyle name="Note 7 2 2 22 2" xfId="45899"/>
    <cellStyle name="Note 7 2 2 23" xfId="45900"/>
    <cellStyle name="Note 7 2 2 23 2" xfId="45901"/>
    <cellStyle name="Note 7 2 2 24" xfId="45902"/>
    <cellStyle name="Note 7 2 2 24 2" xfId="45903"/>
    <cellStyle name="Note 7 2 2 25" xfId="45904"/>
    <cellStyle name="Note 7 2 2 25 2" xfId="45905"/>
    <cellStyle name="Note 7 2 2 26" xfId="45906"/>
    <cellStyle name="Note 7 2 2 26 2" xfId="45907"/>
    <cellStyle name="Note 7 2 2 27" xfId="45908"/>
    <cellStyle name="Note 7 2 2 27 2" xfId="45909"/>
    <cellStyle name="Note 7 2 2 28" xfId="45910"/>
    <cellStyle name="Note 7 2 2 28 2" xfId="45911"/>
    <cellStyle name="Note 7 2 2 29" xfId="45912"/>
    <cellStyle name="Note 7 2 2 29 2" xfId="45913"/>
    <cellStyle name="Note 7 2 2 3" xfId="45914"/>
    <cellStyle name="Note 7 2 2 3 2" xfId="45915"/>
    <cellStyle name="Note 7 2 2 3 3" xfId="45916"/>
    <cellStyle name="Note 7 2 2 30" xfId="45917"/>
    <cellStyle name="Note 7 2 2 30 2" xfId="45918"/>
    <cellStyle name="Note 7 2 2 31" xfId="45919"/>
    <cellStyle name="Note 7 2 2 4" xfId="45920"/>
    <cellStyle name="Note 7 2 2 4 2" xfId="45921"/>
    <cellStyle name="Note 7 2 2 5" xfId="45922"/>
    <cellStyle name="Note 7 2 2 5 2" xfId="45923"/>
    <cellStyle name="Note 7 2 2 6" xfId="45924"/>
    <cellStyle name="Note 7 2 2 6 2" xfId="45925"/>
    <cellStyle name="Note 7 2 2 7" xfId="45926"/>
    <cellStyle name="Note 7 2 2 7 2" xfId="45927"/>
    <cellStyle name="Note 7 2 2 8" xfId="45928"/>
    <cellStyle name="Note 7 2 2 8 2" xfId="45929"/>
    <cellStyle name="Note 7 2 2 9" xfId="45930"/>
    <cellStyle name="Note 7 2 2 9 2" xfId="45931"/>
    <cellStyle name="Note 7 2 20" xfId="45932"/>
    <cellStyle name="Note 7 2 20 2" xfId="45933"/>
    <cellStyle name="Note 7 2 21" xfId="45934"/>
    <cellStyle name="Note 7 2 21 2" xfId="45935"/>
    <cellStyle name="Note 7 2 22" xfId="45936"/>
    <cellStyle name="Note 7 2 22 2" xfId="45937"/>
    <cellStyle name="Note 7 2 23" xfId="45938"/>
    <cellStyle name="Note 7 2 23 2" xfId="45939"/>
    <cellStyle name="Note 7 2 24" xfId="45940"/>
    <cellStyle name="Note 7 2 24 2" xfId="45941"/>
    <cellStyle name="Note 7 2 25" xfId="45942"/>
    <cellStyle name="Note 7 2 25 2" xfId="45943"/>
    <cellStyle name="Note 7 2 26" xfId="45944"/>
    <cellStyle name="Note 7 2 26 2" xfId="45945"/>
    <cellStyle name="Note 7 2 27" xfId="45946"/>
    <cellStyle name="Note 7 2 27 2" xfId="45947"/>
    <cellStyle name="Note 7 2 28" xfId="45948"/>
    <cellStyle name="Note 7 2 28 2" xfId="45949"/>
    <cellStyle name="Note 7 2 29" xfId="45950"/>
    <cellStyle name="Note 7 2 29 2" xfId="45951"/>
    <cellStyle name="Note 7 2 3" xfId="45952"/>
    <cellStyle name="Note 7 2 3 2" xfId="45953"/>
    <cellStyle name="Note 7 2 3 2 2" xfId="45954"/>
    <cellStyle name="Note 7 2 3 3" xfId="45955"/>
    <cellStyle name="Note 7 2 3 3 2" xfId="45956"/>
    <cellStyle name="Note 7 2 3 4" xfId="45957"/>
    <cellStyle name="Note 7 2 3 4 2" xfId="45958"/>
    <cellStyle name="Note 7 2 3 5" xfId="45959"/>
    <cellStyle name="Note 7 2 30" xfId="45960"/>
    <cellStyle name="Note 7 2 30 2" xfId="45961"/>
    <cellStyle name="Note 7 2 31" xfId="45962"/>
    <cellStyle name="Note 7 2 31 2" xfId="45963"/>
    <cellStyle name="Note 7 2 32" xfId="45964"/>
    <cellStyle name="Note 7 2 32 2" xfId="45965"/>
    <cellStyle name="Note 7 2 33" xfId="45966"/>
    <cellStyle name="Note 7 2 33 2" xfId="45967"/>
    <cellStyle name="Note 7 2 34" xfId="45968"/>
    <cellStyle name="Note 7 2 34 2" xfId="45969"/>
    <cellStyle name="Note 7 2 35" xfId="45970"/>
    <cellStyle name="Note 7 2 35 2" xfId="45971"/>
    <cellStyle name="Note 7 2 36" xfId="45972"/>
    <cellStyle name="Note 7 2 36 2" xfId="45973"/>
    <cellStyle name="Note 7 2 37" xfId="45974"/>
    <cellStyle name="Note 7 2 37 2" xfId="45975"/>
    <cellStyle name="Note 7 2 38" xfId="45976"/>
    <cellStyle name="Note 7 2 38 2" xfId="45977"/>
    <cellStyle name="Note 7 2 39" xfId="45978"/>
    <cellStyle name="Note 7 2 39 2" xfId="45979"/>
    <cellStyle name="Note 7 2 4" xfId="45980"/>
    <cellStyle name="Note 7 2 4 2" xfId="45981"/>
    <cellStyle name="Note 7 2 4 2 2" xfId="45982"/>
    <cellStyle name="Note 7 2 4 3" xfId="45983"/>
    <cellStyle name="Note 7 2 4 3 2" xfId="45984"/>
    <cellStyle name="Note 7 2 4 4" xfId="45985"/>
    <cellStyle name="Note 7 2 4 4 2" xfId="45986"/>
    <cellStyle name="Note 7 2 4 5" xfId="45987"/>
    <cellStyle name="Note 7 2 40" xfId="45988"/>
    <cellStyle name="Note 7 2 40 2" xfId="45989"/>
    <cellStyle name="Note 7 2 41" xfId="45990"/>
    <cellStyle name="Note 7 2 41 2" xfId="45991"/>
    <cellStyle name="Note 7 2 42" xfId="45992"/>
    <cellStyle name="Note 7 2 42 2" xfId="45993"/>
    <cellStyle name="Note 7 2 43" xfId="45994"/>
    <cellStyle name="Note 7 2 43 2" xfId="45995"/>
    <cellStyle name="Note 7 2 44" xfId="45996"/>
    <cellStyle name="Note 7 2 44 2" xfId="45997"/>
    <cellStyle name="Note 7 2 45" xfId="45998"/>
    <cellStyle name="Note 7 2 45 2" xfId="45999"/>
    <cellStyle name="Note 7 2 46" xfId="46000"/>
    <cellStyle name="Note 7 2 46 2" xfId="46001"/>
    <cellStyle name="Note 7 2 47" xfId="46002"/>
    <cellStyle name="Note 7 2 47 2" xfId="46003"/>
    <cellStyle name="Note 7 2 48" xfId="46004"/>
    <cellStyle name="Note 7 2 48 2" xfId="46005"/>
    <cellStyle name="Note 7 2 49" xfId="46006"/>
    <cellStyle name="Note 7 2 49 2" xfId="46007"/>
    <cellStyle name="Note 7 2 5" xfId="46008"/>
    <cellStyle name="Note 7 2 5 2" xfId="46009"/>
    <cellStyle name="Note 7 2 5 2 2" xfId="46010"/>
    <cellStyle name="Note 7 2 5 3" xfId="46011"/>
    <cellStyle name="Note 7 2 5 3 2" xfId="46012"/>
    <cellStyle name="Note 7 2 5 4" xfId="46013"/>
    <cellStyle name="Note 7 2 5 4 2" xfId="46014"/>
    <cellStyle name="Note 7 2 5 5" xfId="46015"/>
    <cellStyle name="Note 7 2 50" xfId="46016"/>
    <cellStyle name="Note 7 2 50 2" xfId="46017"/>
    <cellStyle name="Note 7 2 51" xfId="46018"/>
    <cellStyle name="Note 7 2 51 2" xfId="46019"/>
    <cellStyle name="Note 7 2 52" xfId="46020"/>
    <cellStyle name="Note 7 2 52 2" xfId="46021"/>
    <cellStyle name="Note 7 2 53" xfId="46022"/>
    <cellStyle name="Note 7 2 53 2" xfId="46023"/>
    <cellStyle name="Note 7 2 54" xfId="46024"/>
    <cellStyle name="Note 7 2 54 2" xfId="46025"/>
    <cellStyle name="Note 7 2 55" xfId="46026"/>
    <cellStyle name="Note 7 2 55 2" xfId="46027"/>
    <cellStyle name="Note 7 2 56" xfId="46028"/>
    <cellStyle name="Note 7 2 56 2" xfId="46029"/>
    <cellStyle name="Note 7 2 57" xfId="46030"/>
    <cellStyle name="Note 7 2 57 2" xfId="46031"/>
    <cellStyle name="Note 7 2 58" xfId="46032"/>
    <cellStyle name="Note 7 2 58 2" xfId="46033"/>
    <cellStyle name="Note 7 2 59" xfId="46034"/>
    <cellStyle name="Note 7 2 59 2" xfId="46035"/>
    <cellStyle name="Note 7 2 6" xfId="46036"/>
    <cellStyle name="Note 7 2 6 2" xfId="46037"/>
    <cellStyle name="Note 7 2 6 2 2" xfId="46038"/>
    <cellStyle name="Note 7 2 6 3" xfId="46039"/>
    <cellStyle name="Note 7 2 6 3 2" xfId="46040"/>
    <cellStyle name="Note 7 2 6 4" xfId="46041"/>
    <cellStyle name="Note 7 2 6 4 2" xfId="46042"/>
    <cellStyle name="Note 7 2 6 5" xfId="46043"/>
    <cellStyle name="Note 7 2 60" xfId="46044"/>
    <cellStyle name="Note 7 2 60 2" xfId="46045"/>
    <cellStyle name="Note 7 2 61" xfId="46046"/>
    <cellStyle name="Note 7 2 61 2" xfId="46047"/>
    <cellStyle name="Note 7 2 62" xfId="46048"/>
    <cellStyle name="Note 7 2 7" xfId="46049"/>
    <cellStyle name="Note 7 2 7 2" xfId="46050"/>
    <cellStyle name="Note 7 2 7 2 2" xfId="46051"/>
    <cellStyle name="Note 7 2 7 3" xfId="46052"/>
    <cellStyle name="Note 7 2 7 3 2" xfId="46053"/>
    <cellStyle name="Note 7 2 7 4" xfId="46054"/>
    <cellStyle name="Note 7 2 7 4 2" xfId="46055"/>
    <cellStyle name="Note 7 2 7 5" xfId="46056"/>
    <cellStyle name="Note 7 2 8" xfId="46057"/>
    <cellStyle name="Note 7 2 8 2" xfId="46058"/>
    <cellStyle name="Note 7 2 8 2 2" xfId="46059"/>
    <cellStyle name="Note 7 2 8 3" xfId="46060"/>
    <cellStyle name="Note 7 2 8 3 2" xfId="46061"/>
    <cellStyle name="Note 7 2 8 4" xfId="46062"/>
    <cellStyle name="Note 7 2 8 4 2" xfId="46063"/>
    <cellStyle name="Note 7 2 8 5" xfId="46064"/>
    <cellStyle name="Note 7 2 9" xfId="46065"/>
    <cellStyle name="Note 7 2 9 2" xfId="46066"/>
    <cellStyle name="Note 7 2 9 2 2" xfId="46067"/>
    <cellStyle name="Note 7 2 9 3" xfId="46068"/>
    <cellStyle name="Note 7 2 9 3 2" xfId="46069"/>
    <cellStyle name="Note 7 2 9 4" xfId="46070"/>
    <cellStyle name="Note 7 2 9 4 2" xfId="46071"/>
    <cellStyle name="Note 7 2 9 5" xfId="46072"/>
    <cellStyle name="Note 7 20" xfId="46073"/>
    <cellStyle name="Note 7 20 2" xfId="46074"/>
    <cellStyle name="Note 7 21" xfId="46075"/>
    <cellStyle name="Note 7 21 2" xfId="46076"/>
    <cellStyle name="Note 7 22" xfId="46077"/>
    <cellStyle name="Note 7 22 2" xfId="46078"/>
    <cellStyle name="Note 7 23" xfId="46079"/>
    <cellStyle name="Note 7 23 2" xfId="46080"/>
    <cellStyle name="Note 7 24" xfId="46081"/>
    <cellStyle name="Note 7 24 2" xfId="46082"/>
    <cellStyle name="Note 7 25" xfId="46083"/>
    <cellStyle name="Note 7 25 2" xfId="46084"/>
    <cellStyle name="Note 7 26" xfId="46085"/>
    <cellStyle name="Note 7 26 2" xfId="46086"/>
    <cellStyle name="Note 7 27" xfId="46087"/>
    <cellStyle name="Note 7 27 2" xfId="46088"/>
    <cellStyle name="Note 7 28" xfId="46089"/>
    <cellStyle name="Note 7 28 2" xfId="46090"/>
    <cellStyle name="Note 7 29" xfId="46091"/>
    <cellStyle name="Note 7 29 2" xfId="46092"/>
    <cellStyle name="Note 7 3" xfId="46093"/>
    <cellStyle name="Note 7 3 10" xfId="46094"/>
    <cellStyle name="Note 7 3 10 2" xfId="46095"/>
    <cellStyle name="Note 7 3 11" xfId="46096"/>
    <cellStyle name="Note 7 3 11 2" xfId="46097"/>
    <cellStyle name="Note 7 3 12" xfId="46098"/>
    <cellStyle name="Note 7 3 12 2" xfId="46099"/>
    <cellStyle name="Note 7 3 13" xfId="46100"/>
    <cellStyle name="Note 7 3 13 2" xfId="46101"/>
    <cellStyle name="Note 7 3 14" xfId="46102"/>
    <cellStyle name="Note 7 3 14 2" xfId="46103"/>
    <cellStyle name="Note 7 3 15" xfId="46104"/>
    <cellStyle name="Note 7 3 15 2" xfId="46105"/>
    <cellStyle name="Note 7 3 16" xfId="46106"/>
    <cellStyle name="Note 7 3 16 2" xfId="46107"/>
    <cellStyle name="Note 7 3 17" xfId="46108"/>
    <cellStyle name="Note 7 3 17 2" xfId="46109"/>
    <cellStyle name="Note 7 3 18" xfId="46110"/>
    <cellStyle name="Note 7 3 18 2" xfId="46111"/>
    <cellStyle name="Note 7 3 19" xfId="46112"/>
    <cellStyle name="Note 7 3 19 2" xfId="46113"/>
    <cellStyle name="Note 7 3 2" xfId="46114"/>
    <cellStyle name="Note 7 3 2 2" xfId="46115"/>
    <cellStyle name="Note 7 3 2 3" xfId="46116"/>
    <cellStyle name="Note 7 3 20" xfId="46117"/>
    <cellStyle name="Note 7 3 20 2" xfId="46118"/>
    <cellStyle name="Note 7 3 21" xfId="46119"/>
    <cellStyle name="Note 7 3 21 2" xfId="46120"/>
    <cellStyle name="Note 7 3 22" xfId="46121"/>
    <cellStyle name="Note 7 3 22 2" xfId="46122"/>
    <cellStyle name="Note 7 3 23" xfId="46123"/>
    <cellStyle name="Note 7 3 23 2" xfId="46124"/>
    <cellStyle name="Note 7 3 24" xfId="46125"/>
    <cellStyle name="Note 7 3 24 2" xfId="46126"/>
    <cellStyle name="Note 7 3 25" xfId="46127"/>
    <cellStyle name="Note 7 3 25 2" xfId="46128"/>
    <cellStyle name="Note 7 3 26" xfId="46129"/>
    <cellStyle name="Note 7 3 26 2" xfId="46130"/>
    <cellStyle name="Note 7 3 27" xfId="46131"/>
    <cellStyle name="Note 7 3 27 2" xfId="46132"/>
    <cellStyle name="Note 7 3 28" xfId="46133"/>
    <cellStyle name="Note 7 3 28 2" xfId="46134"/>
    <cellStyle name="Note 7 3 29" xfId="46135"/>
    <cellStyle name="Note 7 3 29 2" xfId="46136"/>
    <cellStyle name="Note 7 3 3" xfId="46137"/>
    <cellStyle name="Note 7 3 3 2" xfId="46138"/>
    <cellStyle name="Note 7 3 3 3" xfId="46139"/>
    <cellStyle name="Note 7 3 30" xfId="46140"/>
    <cellStyle name="Note 7 3 30 2" xfId="46141"/>
    <cellStyle name="Note 7 3 31" xfId="46142"/>
    <cellStyle name="Note 7 3 4" xfId="46143"/>
    <cellStyle name="Note 7 3 4 2" xfId="46144"/>
    <cellStyle name="Note 7 3 5" xfId="46145"/>
    <cellStyle name="Note 7 3 5 2" xfId="46146"/>
    <cellStyle name="Note 7 3 6" xfId="46147"/>
    <cellStyle name="Note 7 3 6 2" xfId="46148"/>
    <cellStyle name="Note 7 3 7" xfId="46149"/>
    <cellStyle name="Note 7 3 7 2" xfId="46150"/>
    <cellStyle name="Note 7 3 8" xfId="46151"/>
    <cellStyle name="Note 7 3 8 2" xfId="46152"/>
    <cellStyle name="Note 7 3 9" xfId="46153"/>
    <cellStyle name="Note 7 3 9 2" xfId="46154"/>
    <cellStyle name="Note 7 30" xfId="46155"/>
    <cellStyle name="Note 7 30 2" xfId="46156"/>
    <cellStyle name="Note 7 31" xfId="46157"/>
    <cellStyle name="Note 7 31 2" xfId="46158"/>
    <cellStyle name="Note 7 32" xfId="46159"/>
    <cellStyle name="Note 7 32 2" xfId="46160"/>
    <cellStyle name="Note 7 33" xfId="46161"/>
    <cellStyle name="Note 7 33 2" xfId="46162"/>
    <cellStyle name="Note 7 34" xfId="46163"/>
    <cellStyle name="Note 7 34 2" xfId="46164"/>
    <cellStyle name="Note 7 35" xfId="46165"/>
    <cellStyle name="Note 7 35 2" xfId="46166"/>
    <cellStyle name="Note 7 36" xfId="46167"/>
    <cellStyle name="Note 7 36 2" xfId="46168"/>
    <cellStyle name="Note 7 37" xfId="46169"/>
    <cellStyle name="Note 7 37 2" xfId="46170"/>
    <cellStyle name="Note 7 38" xfId="46171"/>
    <cellStyle name="Note 7 38 2" xfId="46172"/>
    <cellStyle name="Note 7 39" xfId="46173"/>
    <cellStyle name="Note 7 39 2" xfId="46174"/>
    <cellStyle name="Note 7 4" xfId="46175"/>
    <cellStyle name="Note 7 4 2" xfId="46176"/>
    <cellStyle name="Note 7 4 2 2" xfId="46177"/>
    <cellStyle name="Note 7 4 3" xfId="46178"/>
    <cellStyle name="Note 7 4 3 2" xfId="46179"/>
    <cellStyle name="Note 7 4 4" xfId="46180"/>
    <cellStyle name="Note 7 4 4 2" xfId="46181"/>
    <cellStyle name="Note 7 4 5" xfId="46182"/>
    <cellStyle name="Note 7 40" xfId="46183"/>
    <cellStyle name="Note 7 40 2" xfId="46184"/>
    <cellStyle name="Note 7 41" xfId="46185"/>
    <cellStyle name="Note 7 41 2" xfId="46186"/>
    <cellStyle name="Note 7 42" xfId="46187"/>
    <cellStyle name="Note 7 42 2" xfId="46188"/>
    <cellStyle name="Note 7 43" xfId="46189"/>
    <cellStyle name="Note 7 43 2" xfId="46190"/>
    <cellStyle name="Note 7 44" xfId="46191"/>
    <cellStyle name="Note 7 44 2" xfId="46192"/>
    <cellStyle name="Note 7 45" xfId="46193"/>
    <cellStyle name="Note 7 45 2" xfId="46194"/>
    <cellStyle name="Note 7 46" xfId="46195"/>
    <cellStyle name="Note 7 46 2" xfId="46196"/>
    <cellStyle name="Note 7 47" xfId="46197"/>
    <cellStyle name="Note 7 47 2" xfId="46198"/>
    <cellStyle name="Note 7 48" xfId="46199"/>
    <cellStyle name="Note 7 48 2" xfId="46200"/>
    <cellStyle name="Note 7 49" xfId="46201"/>
    <cellStyle name="Note 7 49 2" xfId="46202"/>
    <cellStyle name="Note 7 5" xfId="46203"/>
    <cellStyle name="Note 7 5 2" xfId="46204"/>
    <cellStyle name="Note 7 5 2 2" xfId="46205"/>
    <cellStyle name="Note 7 5 3" xfId="46206"/>
    <cellStyle name="Note 7 5 3 2" xfId="46207"/>
    <cellStyle name="Note 7 5 4" xfId="46208"/>
    <cellStyle name="Note 7 5 4 2" xfId="46209"/>
    <cellStyle name="Note 7 5 5" xfId="46210"/>
    <cellStyle name="Note 7 50" xfId="46211"/>
    <cellStyle name="Note 7 50 2" xfId="46212"/>
    <cellStyle name="Note 7 51" xfId="46213"/>
    <cellStyle name="Note 7 51 2" xfId="46214"/>
    <cellStyle name="Note 7 52" xfId="46215"/>
    <cellStyle name="Note 7 52 2" xfId="46216"/>
    <cellStyle name="Note 7 53" xfId="46217"/>
    <cellStyle name="Note 7 53 2" xfId="46218"/>
    <cellStyle name="Note 7 54" xfId="46219"/>
    <cellStyle name="Note 7 54 2" xfId="46220"/>
    <cellStyle name="Note 7 55" xfId="46221"/>
    <cellStyle name="Note 7 55 2" xfId="46222"/>
    <cellStyle name="Note 7 56" xfId="46223"/>
    <cellStyle name="Note 7 56 2" xfId="46224"/>
    <cellStyle name="Note 7 57" xfId="46225"/>
    <cellStyle name="Note 7 57 2" xfId="46226"/>
    <cellStyle name="Note 7 58" xfId="46227"/>
    <cellStyle name="Note 7 58 2" xfId="46228"/>
    <cellStyle name="Note 7 59" xfId="46229"/>
    <cellStyle name="Note 7 59 2" xfId="46230"/>
    <cellStyle name="Note 7 6" xfId="46231"/>
    <cellStyle name="Note 7 6 2" xfId="46232"/>
    <cellStyle name="Note 7 6 2 2" xfId="46233"/>
    <cellStyle name="Note 7 6 3" xfId="46234"/>
    <cellStyle name="Note 7 6 3 2" xfId="46235"/>
    <cellStyle name="Note 7 6 4" xfId="46236"/>
    <cellStyle name="Note 7 6 4 2" xfId="46237"/>
    <cellStyle name="Note 7 6 5" xfId="46238"/>
    <cellStyle name="Note 7 60" xfId="46239"/>
    <cellStyle name="Note 7 60 2" xfId="46240"/>
    <cellStyle name="Note 7 61" xfId="46241"/>
    <cellStyle name="Note 7 61 2" xfId="46242"/>
    <cellStyle name="Note 7 62" xfId="46243"/>
    <cellStyle name="Note 7 62 2" xfId="46244"/>
    <cellStyle name="Note 7 63" xfId="46245"/>
    <cellStyle name="Note 7 63 2" xfId="46246"/>
    <cellStyle name="Note 7 64" xfId="46247"/>
    <cellStyle name="Note 7 64 2" xfId="46248"/>
    <cellStyle name="Note 7 65" xfId="46249"/>
    <cellStyle name="Note 7 65 2" xfId="46250"/>
    <cellStyle name="Note 7 66" xfId="46251"/>
    <cellStyle name="Note 7 66 2" xfId="46252"/>
    <cellStyle name="Note 7 67" xfId="46253"/>
    <cellStyle name="Note 7 67 2" xfId="46254"/>
    <cellStyle name="Note 7 68" xfId="46255"/>
    <cellStyle name="Note 7 68 2" xfId="46256"/>
    <cellStyle name="Note 7 69" xfId="46257"/>
    <cellStyle name="Note 7 69 2" xfId="46258"/>
    <cellStyle name="Note 7 7" xfId="46259"/>
    <cellStyle name="Note 7 7 2" xfId="46260"/>
    <cellStyle name="Note 7 7 2 2" xfId="46261"/>
    <cellStyle name="Note 7 7 3" xfId="46262"/>
    <cellStyle name="Note 7 7 3 2" xfId="46263"/>
    <cellStyle name="Note 7 7 4" xfId="46264"/>
    <cellStyle name="Note 7 7 4 2" xfId="46265"/>
    <cellStyle name="Note 7 7 5" xfId="46266"/>
    <cellStyle name="Note 7 70" xfId="46267"/>
    <cellStyle name="Note 7 70 2" xfId="46268"/>
    <cellStyle name="Note 7 71" xfId="46269"/>
    <cellStyle name="Note 7 71 2" xfId="46270"/>
    <cellStyle name="Note 7 72" xfId="46271"/>
    <cellStyle name="Note 7 72 2" xfId="46272"/>
    <cellStyle name="Note 7 73" xfId="46273"/>
    <cellStyle name="Note 7 73 2" xfId="46274"/>
    <cellStyle name="Note 7 74" xfId="46275"/>
    <cellStyle name="Note 7 74 2" xfId="46276"/>
    <cellStyle name="Note 7 75" xfId="46277"/>
    <cellStyle name="Note 7 75 2" xfId="46278"/>
    <cellStyle name="Note 7 76" xfId="46279"/>
    <cellStyle name="Note 7 76 2" xfId="46280"/>
    <cellStyle name="Note 7 77" xfId="46281"/>
    <cellStyle name="Note 7 77 2" xfId="46282"/>
    <cellStyle name="Note 7 78" xfId="46283"/>
    <cellStyle name="Note 7 78 2" xfId="46284"/>
    <cellStyle name="Note 7 79" xfId="46285"/>
    <cellStyle name="Note 7 79 2" xfId="46286"/>
    <cellStyle name="Note 7 8" xfId="46287"/>
    <cellStyle name="Note 7 8 2" xfId="46288"/>
    <cellStyle name="Note 7 8 2 2" xfId="46289"/>
    <cellStyle name="Note 7 8 3" xfId="46290"/>
    <cellStyle name="Note 7 8 3 2" xfId="46291"/>
    <cellStyle name="Note 7 8 4" xfId="46292"/>
    <cellStyle name="Note 7 8 4 2" xfId="46293"/>
    <cellStyle name="Note 7 8 5" xfId="46294"/>
    <cellStyle name="Note 7 80" xfId="46295"/>
    <cellStyle name="Note 7 80 2" xfId="46296"/>
    <cellStyle name="Note 7 81" xfId="46297"/>
    <cellStyle name="Note 7 81 2" xfId="46298"/>
    <cellStyle name="Note 7 82" xfId="46299"/>
    <cellStyle name="Note 7 82 2" xfId="46300"/>
    <cellStyle name="Note 7 83" xfId="46301"/>
    <cellStyle name="Note 7 83 2" xfId="46302"/>
    <cellStyle name="Note 7 84" xfId="46303"/>
    <cellStyle name="Note 7 9" xfId="46304"/>
    <cellStyle name="Note 7 9 2" xfId="46305"/>
    <cellStyle name="Note 7 9 2 2" xfId="46306"/>
    <cellStyle name="Note 7 9 3" xfId="46307"/>
    <cellStyle name="Note 7 9 3 2" xfId="46308"/>
    <cellStyle name="Note 7 9 4" xfId="46309"/>
    <cellStyle name="Note 7 9 4 2" xfId="46310"/>
    <cellStyle name="Note 7 9 5" xfId="46311"/>
    <cellStyle name="Note 70" xfId="46312"/>
    <cellStyle name="Note 70 2" xfId="46313"/>
    <cellStyle name="Note 71" xfId="46314"/>
    <cellStyle name="Note 71 2" xfId="46315"/>
    <cellStyle name="Note 72" xfId="46316"/>
    <cellStyle name="Note 72 2" xfId="46317"/>
    <cellStyle name="Note 73" xfId="46318"/>
    <cellStyle name="Note 73 2" xfId="46319"/>
    <cellStyle name="Note 74" xfId="46320"/>
    <cellStyle name="Note 8" xfId="46321"/>
    <cellStyle name="Note 8 10" xfId="46322"/>
    <cellStyle name="Note 8 10 10" xfId="46323"/>
    <cellStyle name="Note 8 10 11" xfId="46324"/>
    <cellStyle name="Note 8 10 2" xfId="46325"/>
    <cellStyle name="Note 8 10 2 2" xfId="46326"/>
    <cellStyle name="Note 8 10 2 3" xfId="46327"/>
    <cellStyle name="Note 8 10 2 4" xfId="46328"/>
    <cellStyle name="Note 8 10 2 5" xfId="46329"/>
    <cellStyle name="Note 8 10 2 6" xfId="46330"/>
    <cellStyle name="Note 8 10 3" xfId="46331"/>
    <cellStyle name="Note 8 10 3 2" xfId="46332"/>
    <cellStyle name="Note 8 10 4" xfId="46333"/>
    <cellStyle name="Note 8 10 4 2" xfId="46334"/>
    <cellStyle name="Note 8 10 5" xfId="46335"/>
    <cellStyle name="Note 8 10 5 2" xfId="46336"/>
    <cellStyle name="Note 8 10 6" xfId="46337"/>
    <cellStyle name="Note 8 10 6 2" xfId="46338"/>
    <cellStyle name="Note 8 10 7" xfId="46339"/>
    <cellStyle name="Note 8 10 7 2" xfId="46340"/>
    <cellStyle name="Note 8 10 8" xfId="46341"/>
    <cellStyle name="Note 8 10 9" xfId="46342"/>
    <cellStyle name="Note 8 11" xfId="46343"/>
    <cellStyle name="Note 8 11 2" xfId="46344"/>
    <cellStyle name="Note 8 12" xfId="46345"/>
    <cellStyle name="Note 8 12 2" xfId="46346"/>
    <cellStyle name="Note 8 13" xfId="46347"/>
    <cellStyle name="Note 8 13 2" xfId="46348"/>
    <cellStyle name="Note 8 14" xfId="46349"/>
    <cellStyle name="Note 8 14 2" xfId="46350"/>
    <cellStyle name="Note 8 15" xfId="46351"/>
    <cellStyle name="Note 8 15 2" xfId="46352"/>
    <cellStyle name="Note 8 16" xfId="46353"/>
    <cellStyle name="Note 8 16 2" xfId="46354"/>
    <cellStyle name="Note 8 17" xfId="46355"/>
    <cellStyle name="Note 8 17 2" xfId="46356"/>
    <cellStyle name="Note 8 18" xfId="46357"/>
    <cellStyle name="Note 8 18 2" xfId="46358"/>
    <cellStyle name="Note 8 19" xfId="46359"/>
    <cellStyle name="Note 8 19 2" xfId="46360"/>
    <cellStyle name="Note 8 2" xfId="46361"/>
    <cellStyle name="Note 8 2 10" xfId="46362"/>
    <cellStyle name="Note 8 2 10 2" xfId="46363"/>
    <cellStyle name="Note 8 2 11" xfId="46364"/>
    <cellStyle name="Note 8 2 11 2" xfId="46365"/>
    <cellStyle name="Note 8 2 12" xfId="46366"/>
    <cellStyle name="Note 8 2 12 2" xfId="46367"/>
    <cellStyle name="Note 8 2 13" xfId="46368"/>
    <cellStyle name="Note 8 2 13 2" xfId="46369"/>
    <cellStyle name="Note 8 2 14" xfId="46370"/>
    <cellStyle name="Note 8 2 14 2" xfId="46371"/>
    <cellStyle name="Note 8 2 15" xfId="46372"/>
    <cellStyle name="Note 8 2 15 2" xfId="46373"/>
    <cellStyle name="Note 8 2 16" xfId="46374"/>
    <cellStyle name="Note 8 2 16 2" xfId="46375"/>
    <cellStyle name="Note 8 2 17" xfId="46376"/>
    <cellStyle name="Note 8 2 17 2" xfId="46377"/>
    <cellStyle name="Note 8 2 18" xfId="46378"/>
    <cellStyle name="Note 8 2 18 2" xfId="46379"/>
    <cellStyle name="Note 8 2 19" xfId="46380"/>
    <cellStyle name="Note 8 2 19 2" xfId="46381"/>
    <cellStyle name="Note 8 2 2" xfId="46382"/>
    <cellStyle name="Note 8 2 2 2" xfId="46383"/>
    <cellStyle name="Note 8 2 2 3" xfId="46384"/>
    <cellStyle name="Note 8 2 20" xfId="46385"/>
    <cellStyle name="Note 8 2 20 2" xfId="46386"/>
    <cellStyle name="Note 8 2 21" xfId="46387"/>
    <cellStyle name="Note 8 2 21 2" xfId="46388"/>
    <cellStyle name="Note 8 2 22" xfId="46389"/>
    <cellStyle name="Note 8 2 22 2" xfId="46390"/>
    <cellStyle name="Note 8 2 23" xfId="46391"/>
    <cellStyle name="Note 8 2 23 2" xfId="46392"/>
    <cellStyle name="Note 8 2 24" xfId="46393"/>
    <cellStyle name="Note 8 2 24 2" xfId="46394"/>
    <cellStyle name="Note 8 2 25" xfId="46395"/>
    <cellStyle name="Note 8 2 25 2" xfId="46396"/>
    <cellStyle name="Note 8 2 26" xfId="46397"/>
    <cellStyle name="Note 8 2 26 2" xfId="46398"/>
    <cellStyle name="Note 8 2 27" xfId="46399"/>
    <cellStyle name="Note 8 2 27 2" xfId="46400"/>
    <cellStyle name="Note 8 2 28" xfId="46401"/>
    <cellStyle name="Note 8 2 28 2" xfId="46402"/>
    <cellStyle name="Note 8 2 29" xfId="46403"/>
    <cellStyle name="Note 8 2 29 2" xfId="46404"/>
    <cellStyle name="Note 8 2 3" xfId="46405"/>
    <cellStyle name="Note 8 2 3 2" xfId="46406"/>
    <cellStyle name="Note 8 2 3 3" xfId="46407"/>
    <cellStyle name="Note 8 2 30" xfId="46408"/>
    <cellStyle name="Note 8 2 30 2" xfId="46409"/>
    <cellStyle name="Note 8 2 31" xfId="46410"/>
    <cellStyle name="Note 8 2 4" xfId="46411"/>
    <cellStyle name="Note 8 2 4 2" xfId="46412"/>
    <cellStyle name="Note 8 2 5" xfId="46413"/>
    <cellStyle name="Note 8 2 5 2" xfId="46414"/>
    <cellStyle name="Note 8 2 6" xfId="46415"/>
    <cellStyle name="Note 8 2 6 2" xfId="46416"/>
    <cellStyle name="Note 8 2 7" xfId="46417"/>
    <cellStyle name="Note 8 2 7 2" xfId="46418"/>
    <cellStyle name="Note 8 2 8" xfId="46419"/>
    <cellStyle name="Note 8 2 8 2" xfId="46420"/>
    <cellStyle name="Note 8 2 9" xfId="46421"/>
    <cellStyle name="Note 8 2 9 2" xfId="46422"/>
    <cellStyle name="Note 8 20" xfId="46423"/>
    <cellStyle name="Note 8 20 2" xfId="46424"/>
    <cellStyle name="Note 8 21" xfId="46425"/>
    <cellStyle name="Note 8 21 2" xfId="46426"/>
    <cellStyle name="Note 8 22" xfId="46427"/>
    <cellStyle name="Note 8 22 2" xfId="46428"/>
    <cellStyle name="Note 8 23" xfId="46429"/>
    <cellStyle name="Note 8 23 2" xfId="46430"/>
    <cellStyle name="Note 8 24" xfId="46431"/>
    <cellStyle name="Note 8 24 2" xfId="46432"/>
    <cellStyle name="Note 8 25" xfId="46433"/>
    <cellStyle name="Note 8 25 2" xfId="46434"/>
    <cellStyle name="Note 8 26" xfId="46435"/>
    <cellStyle name="Note 8 26 2" xfId="46436"/>
    <cellStyle name="Note 8 27" xfId="46437"/>
    <cellStyle name="Note 8 27 2" xfId="46438"/>
    <cellStyle name="Note 8 28" xfId="46439"/>
    <cellStyle name="Note 8 28 2" xfId="46440"/>
    <cellStyle name="Note 8 29" xfId="46441"/>
    <cellStyle name="Note 8 29 2" xfId="46442"/>
    <cellStyle name="Note 8 3" xfId="46443"/>
    <cellStyle name="Note 8 3 2" xfId="46444"/>
    <cellStyle name="Note 8 3 2 2" xfId="46445"/>
    <cellStyle name="Note 8 3 3" xfId="46446"/>
    <cellStyle name="Note 8 3 3 2" xfId="46447"/>
    <cellStyle name="Note 8 3 4" xfId="46448"/>
    <cellStyle name="Note 8 3 4 2" xfId="46449"/>
    <cellStyle name="Note 8 3 5" xfId="46450"/>
    <cellStyle name="Note 8 30" xfId="46451"/>
    <cellStyle name="Note 8 30 2" xfId="46452"/>
    <cellStyle name="Note 8 31" xfId="46453"/>
    <cellStyle name="Note 8 31 2" xfId="46454"/>
    <cellStyle name="Note 8 32" xfId="46455"/>
    <cellStyle name="Note 8 32 2" xfId="46456"/>
    <cellStyle name="Note 8 33" xfId="46457"/>
    <cellStyle name="Note 8 33 2" xfId="46458"/>
    <cellStyle name="Note 8 34" xfId="46459"/>
    <cellStyle name="Note 8 34 2" xfId="46460"/>
    <cellStyle name="Note 8 35" xfId="46461"/>
    <cellStyle name="Note 8 35 2" xfId="46462"/>
    <cellStyle name="Note 8 36" xfId="46463"/>
    <cellStyle name="Note 8 36 2" xfId="46464"/>
    <cellStyle name="Note 8 37" xfId="46465"/>
    <cellStyle name="Note 8 37 2" xfId="46466"/>
    <cellStyle name="Note 8 38" xfId="46467"/>
    <cellStyle name="Note 8 38 2" xfId="46468"/>
    <cellStyle name="Note 8 39" xfId="46469"/>
    <cellStyle name="Note 8 39 2" xfId="46470"/>
    <cellStyle name="Note 8 4" xfId="46471"/>
    <cellStyle name="Note 8 4 10" xfId="46472"/>
    <cellStyle name="Note 8 4 11" xfId="46473"/>
    <cellStyle name="Note 8 4 12" xfId="46474"/>
    <cellStyle name="Note 8 4 13" xfId="46475"/>
    <cellStyle name="Note 8 4 2" xfId="46476"/>
    <cellStyle name="Note 8 4 2 2" xfId="46477"/>
    <cellStyle name="Note 8 4 2 3" xfId="46478"/>
    <cellStyle name="Note 8 4 3" xfId="46479"/>
    <cellStyle name="Note 8 4 3 2" xfId="46480"/>
    <cellStyle name="Note 8 4 4" xfId="46481"/>
    <cellStyle name="Note 8 4 4 2" xfId="46482"/>
    <cellStyle name="Note 8 4 5" xfId="46483"/>
    <cellStyle name="Note 8 4 5 2" xfId="46484"/>
    <cellStyle name="Note 8 4 5 3" xfId="46485"/>
    <cellStyle name="Note 8 4 5 4" xfId="46486"/>
    <cellStyle name="Note 8 4 5 5" xfId="46487"/>
    <cellStyle name="Note 8 4 5 6" xfId="46488"/>
    <cellStyle name="Note 8 4 6" xfId="46489"/>
    <cellStyle name="Note 8 4 6 2" xfId="46490"/>
    <cellStyle name="Note 8 4 7" xfId="46491"/>
    <cellStyle name="Note 8 4 7 2" xfId="46492"/>
    <cellStyle name="Note 8 4 8" xfId="46493"/>
    <cellStyle name="Note 8 4 8 2" xfId="46494"/>
    <cellStyle name="Note 8 4 9" xfId="46495"/>
    <cellStyle name="Note 8 4 9 2" xfId="46496"/>
    <cellStyle name="Note 8 40" xfId="46497"/>
    <cellStyle name="Note 8 40 2" xfId="46498"/>
    <cellStyle name="Note 8 41" xfId="46499"/>
    <cellStyle name="Note 8 41 2" xfId="46500"/>
    <cellStyle name="Note 8 42" xfId="46501"/>
    <cellStyle name="Note 8 42 2" xfId="46502"/>
    <cellStyle name="Note 8 43" xfId="46503"/>
    <cellStyle name="Note 8 43 2" xfId="46504"/>
    <cellStyle name="Note 8 44" xfId="46505"/>
    <cellStyle name="Note 8 44 2" xfId="46506"/>
    <cellStyle name="Note 8 45" xfId="46507"/>
    <cellStyle name="Note 8 45 2" xfId="46508"/>
    <cellStyle name="Note 8 46" xfId="46509"/>
    <cellStyle name="Note 8 46 2" xfId="46510"/>
    <cellStyle name="Note 8 47" xfId="46511"/>
    <cellStyle name="Note 8 47 2" xfId="46512"/>
    <cellStyle name="Note 8 48" xfId="46513"/>
    <cellStyle name="Note 8 48 2" xfId="46514"/>
    <cellStyle name="Note 8 49" xfId="46515"/>
    <cellStyle name="Note 8 49 2" xfId="46516"/>
    <cellStyle name="Note 8 5" xfId="46517"/>
    <cellStyle name="Note 8 5 2" xfId="46518"/>
    <cellStyle name="Note 8 5 2 2" xfId="46519"/>
    <cellStyle name="Note 8 5 3" xfId="46520"/>
    <cellStyle name="Note 8 5 3 2" xfId="46521"/>
    <cellStyle name="Note 8 5 4" xfId="46522"/>
    <cellStyle name="Note 8 5 4 2" xfId="46523"/>
    <cellStyle name="Note 8 5 5" xfId="46524"/>
    <cellStyle name="Note 8 50" xfId="46525"/>
    <cellStyle name="Note 8 50 2" xfId="46526"/>
    <cellStyle name="Note 8 51" xfId="46527"/>
    <cellStyle name="Note 8 51 2" xfId="46528"/>
    <cellStyle name="Note 8 52" xfId="46529"/>
    <cellStyle name="Note 8 52 2" xfId="46530"/>
    <cellStyle name="Note 8 52 3" xfId="46531"/>
    <cellStyle name="Note 8 52 4" xfId="46532"/>
    <cellStyle name="Note 8 52 5" xfId="46533"/>
    <cellStyle name="Note 8 52 6" xfId="46534"/>
    <cellStyle name="Note 8 53" xfId="46535"/>
    <cellStyle name="Note 8 53 2" xfId="46536"/>
    <cellStyle name="Note 8 54" xfId="46537"/>
    <cellStyle name="Note 8 54 2" xfId="46538"/>
    <cellStyle name="Note 8 55" xfId="46539"/>
    <cellStyle name="Note 8 55 2" xfId="46540"/>
    <cellStyle name="Note 8 56" xfId="46541"/>
    <cellStyle name="Note 8 56 2" xfId="46542"/>
    <cellStyle name="Note 8 57" xfId="46543"/>
    <cellStyle name="Note 8 57 2" xfId="46544"/>
    <cellStyle name="Note 8 58" xfId="46545"/>
    <cellStyle name="Note 8 58 2" xfId="46546"/>
    <cellStyle name="Note 8 59" xfId="46547"/>
    <cellStyle name="Note 8 59 2" xfId="46548"/>
    <cellStyle name="Note 8 6" xfId="46549"/>
    <cellStyle name="Note 8 6 2" xfId="46550"/>
    <cellStyle name="Note 8 6 2 2" xfId="46551"/>
    <cellStyle name="Note 8 6 3" xfId="46552"/>
    <cellStyle name="Note 8 6 3 2" xfId="46553"/>
    <cellStyle name="Note 8 6 4" xfId="46554"/>
    <cellStyle name="Note 8 6 4 2" xfId="46555"/>
    <cellStyle name="Note 8 6 5" xfId="46556"/>
    <cellStyle name="Note 8 60" xfId="46557"/>
    <cellStyle name="Note 8 60 2" xfId="46558"/>
    <cellStyle name="Note 8 61" xfId="46559"/>
    <cellStyle name="Note 8 61 2" xfId="46560"/>
    <cellStyle name="Note 8 62" xfId="46561"/>
    <cellStyle name="Note 8 62 2" xfId="46562"/>
    <cellStyle name="Note 8 63" xfId="46563"/>
    <cellStyle name="Note 8 63 2" xfId="46564"/>
    <cellStyle name="Note 8 64" xfId="46565"/>
    <cellStyle name="Note 8 64 2" xfId="46566"/>
    <cellStyle name="Note 8 65" xfId="46567"/>
    <cellStyle name="Note 8 65 2" xfId="46568"/>
    <cellStyle name="Note 8 66" xfId="46569"/>
    <cellStyle name="Note 8 66 2" xfId="46570"/>
    <cellStyle name="Note 8 67" xfId="46571"/>
    <cellStyle name="Note 8 67 2" xfId="46572"/>
    <cellStyle name="Note 8 68" xfId="46573"/>
    <cellStyle name="Note 8 68 2" xfId="46574"/>
    <cellStyle name="Note 8 69" xfId="46575"/>
    <cellStyle name="Note 8 69 2" xfId="46576"/>
    <cellStyle name="Note 8 7" xfId="46577"/>
    <cellStyle name="Note 8 7 2" xfId="46578"/>
    <cellStyle name="Note 8 7 2 2" xfId="46579"/>
    <cellStyle name="Note 8 7 3" xfId="46580"/>
    <cellStyle name="Note 8 7 3 2" xfId="46581"/>
    <cellStyle name="Note 8 7 4" xfId="46582"/>
    <cellStyle name="Note 8 7 4 2" xfId="46583"/>
    <cellStyle name="Note 8 7 5" xfId="46584"/>
    <cellStyle name="Note 8 70" xfId="46585"/>
    <cellStyle name="Note 8 70 2" xfId="46586"/>
    <cellStyle name="Note 8 71" xfId="46587"/>
    <cellStyle name="Note 8 71 2" xfId="46588"/>
    <cellStyle name="Note 8 72" xfId="46589"/>
    <cellStyle name="Note 8 72 2" xfId="46590"/>
    <cellStyle name="Note 8 73" xfId="46591"/>
    <cellStyle name="Note 8 73 2" xfId="46592"/>
    <cellStyle name="Note 8 74" xfId="46593"/>
    <cellStyle name="Note 8 74 2" xfId="46594"/>
    <cellStyle name="Note 8 75" xfId="46595"/>
    <cellStyle name="Note 8 75 2" xfId="46596"/>
    <cellStyle name="Note 8 76" xfId="46597"/>
    <cellStyle name="Note 8 76 2" xfId="46598"/>
    <cellStyle name="Note 8 77" xfId="46599"/>
    <cellStyle name="Note 8 77 2" xfId="46600"/>
    <cellStyle name="Note 8 78" xfId="46601"/>
    <cellStyle name="Note 8 8" xfId="46602"/>
    <cellStyle name="Note 8 8 2" xfId="46603"/>
    <cellStyle name="Note 8 8 2 2" xfId="46604"/>
    <cellStyle name="Note 8 8 3" xfId="46605"/>
    <cellStyle name="Note 8 8 3 2" xfId="46606"/>
    <cellStyle name="Note 8 8 4" xfId="46607"/>
    <cellStyle name="Note 8 8 4 2" xfId="46608"/>
    <cellStyle name="Note 8 8 5" xfId="46609"/>
    <cellStyle name="Note 8 9" xfId="46610"/>
    <cellStyle name="Note 8 9 2" xfId="46611"/>
    <cellStyle name="Note 8 9 2 2" xfId="46612"/>
    <cellStyle name="Note 8 9 3" xfId="46613"/>
    <cellStyle name="Note 8 9 3 2" xfId="46614"/>
    <cellStyle name="Note 8 9 4" xfId="46615"/>
    <cellStyle name="Note 8 9 4 2" xfId="46616"/>
    <cellStyle name="Note 8 9 5" xfId="46617"/>
    <cellStyle name="Note 9" xfId="46618"/>
    <cellStyle name="Note 9 10" xfId="46619"/>
    <cellStyle name="Note 9 10 2" xfId="46620"/>
    <cellStyle name="Note 9 11" xfId="46621"/>
    <cellStyle name="Note 9 11 2" xfId="46622"/>
    <cellStyle name="Note 9 12" xfId="46623"/>
    <cellStyle name="Note 9 12 2" xfId="46624"/>
    <cellStyle name="Note 9 13" xfId="46625"/>
    <cellStyle name="Note 9 13 2" xfId="46626"/>
    <cellStyle name="Note 9 14" xfId="46627"/>
    <cellStyle name="Note 9 14 2" xfId="46628"/>
    <cellStyle name="Note 9 15" xfId="46629"/>
    <cellStyle name="Note 9 15 2" xfId="46630"/>
    <cellStyle name="Note 9 16" xfId="46631"/>
    <cellStyle name="Note 9 16 2" xfId="46632"/>
    <cellStyle name="Note 9 17" xfId="46633"/>
    <cellStyle name="Note 9 17 2" xfId="46634"/>
    <cellStyle name="Note 9 18" xfId="46635"/>
    <cellStyle name="Note 9 18 2" xfId="46636"/>
    <cellStyle name="Note 9 19" xfId="46637"/>
    <cellStyle name="Note 9 19 2" xfId="46638"/>
    <cellStyle name="Note 9 2" xfId="46639"/>
    <cellStyle name="Note 9 2 2" xfId="46640"/>
    <cellStyle name="Note 9 2 3" xfId="46641"/>
    <cellStyle name="Note 9 2 4" xfId="46642"/>
    <cellStyle name="Note 9 20" xfId="46643"/>
    <cellStyle name="Note 9 20 2" xfId="46644"/>
    <cellStyle name="Note 9 21" xfId="46645"/>
    <cellStyle name="Note 9 21 2" xfId="46646"/>
    <cellStyle name="Note 9 22" xfId="46647"/>
    <cellStyle name="Note 9 22 2" xfId="46648"/>
    <cellStyle name="Note 9 23" xfId="46649"/>
    <cellStyle name="Note 9 23 2" xfId="46650"/>
    <cellStyle name="Note 9 24" xfId="46651"/>
    <cellStyle name="Note 9 24 2" xfId="46652"/>
    <cellStyle name="Note 9 25" xfId="46653"/>
    <cellStyle name="Note 9 25 2" xfId="46654"/>
    <cellStyle name="Note 9 26" xfId="46655"/>
    <cellStyle name="Note 9 26 2" xfId="46656"/>
    <cellStyle name="Note 9 27" xfId="46657"/>
    <cellStyle name="Note 9 27 2" xfId="46658"/>
    <cellStyle name="Note 9 28" xfId="46659"/>
    <cellStyle name="Note 9 28 2" xfId="46660"/>
    <cellStyle name="Note 9 29" xfId="46661"/>
    <cellStyle name="Note 9 29 2" xfId="46662"/>
    <cellStyle name="Note 9 3" xfId="46663"/>
    <cellStyle name="Note 9 3 2" xfId="46664"/>
    <cellStyle name="Note 9 3 3" xfId="46665"/>
    <cellStyle name="Note 9 30" xfId="46666"/>
    <cellStyle name="Note 9 30 2" xfId="46667"/>
    <cellStyle name="Note 9 31" xfId="46668"/>
    <cellStyle name="Note 9 31 2" xfId="46669"/>
    <cellStyle name="Note 9 32" xfId="46670"/>
    <cellStyle name="Note 9 32 2" xfId="46671"/>
    <cellStyle name="Note 9 33" xfId="46672"/>
    <cellStyle name="Note 9 33 2" xfId="46673"/>
    <cellStyle name="Note 9 34" xfId="46674"/>
    <cellStyle name="Note 9 34 2" xfId="46675"/>
    <cellStyle name="Note 9 35" xfId="46676"/>
    <cellStyle name="Note 9 35 2" xfId="46677"/>
    <cellStyle name="Note 9 36" xfId="46678"/>
    <cellStyle name="Note 9 36 2" xfId="46679"/>
    <cellStyle name="Note 9 37" xfId="46680"/>
    <cellStyle name="Note 9 37 2" xfId="46681"/>
    <cellStyle name="Note 9 38" xfId="46682"/>
    <cellStyle name="Note 9 38 2" xfId="46683"/>
    <cellStyle name="Note 9 39" xfId="46684"/>
    <cellStyle name="Note 9 39 2" xfId="46685"/>
    <cellStyle name="Note 9 4" xfId="46686"/>
    <cellStyle name="Note 9 4 2" xfId="46687"/>
    <cellStyle name="Note 9 40" xfId="46688"/>
    <cellStyle name="Note 9 40 2" xfId="46689"/>
    <cellStyle name="Note 9 41" xfId="46690"/>
    <cellStyle name="Note 9 41 2" xfId="46691"/>
    <cellStyle name="Note 9 42" xfId="46692"/>
    <cellStyle name="Note 9 42 2" xfId="46693"/>
    <cellStyle name="Note 9 43" xfId="46694"/>
    <cellStyle name="Note 9 43 2" xfId="46695"/>
    <cellStyle name="Note 9 44" xfId="46696"/>
    <cellStyle name="Note 9 44 2" xfId="46697"/>
    <cellStyle name="Note 9 45" xfId="46698"/>
    <cellStyle name="Note 9 45 2" xfId="46699"/>
    <cellStyle name="Note 9 46" xfId="46700"/>
    <cellStyle name="Note 9 46 2" xfId="46701"/>
    <cellStyle name="Note 9 47" xfId="46702"/>
    <cellStyle name="Note 9 47 2" xfId="46703"/>
    <cellStyle name="Note 9 48" xfId="46704"/>
    <cellStyle name="Note 9 48 2" xfId="46705"/>
    <cellStyle name="Note 9 49" xfId="46706"/>
    <cellStyle name="Note 9 49 2" xfId="46707"/>
    <cellStyle name="Note 9 5" xfId="46708"/>
    <cellStyle name="Note 9 5 2" xfId="46709"/>
    <cellStyle name="Note 9 50" xfId="46710"/>
    <cellStyle name="Note 9 50 2" xfId="46711"/>
    <cellStyle name="Note 9 51" xfId="46712"/>
    <cellStyle name="Note 9 51 2" xfId="46713"/>
    <cellStyle name="Note 9 52" xfId="46714"/>
    <cellStyle name="Note 9 6" xfId="46715"/>
    <cellStyle name="Note 9 6 2" xfId="46716"/>
    <cellStyle name="Note 9 7" xfId="46717"/>
    <cellStyle name="Note 9 7 2" xfId="46718"/>
    <cellStyle name="Note 9 8" xfId="46719"/>
    <cellStyle name="Note 9 8 2" xfId="46720"/>
    <cellStyle name="Note 9 9" xfId="46721"/>
    <cellStyle name="Note 9 9 2" xfId="46722"/>
    <cellStyle name="Output 10" xfId="46723"/>
    <cellStyle name="Output 10 10" xfId="46724"/>
    <cellStyle name="Output 10 11" xfId="46725"/>
    <cellStyle name="Output 10 12" xfId="46726"/>
    <cellStyle name="Output 10 13" xfId="46727"/>
    <cellStyle name="Output 10 2" xfId="46728"/>
    <cellStyle name="Output 10 2 2" xfId="46729"/>
    <cellStyle name="Output 10 2 3" xfId="46730"/>
    <cellStyle name="Output 10 3" xfId="46731"/>
    <cellStyle name="Output 10 3 2" xfId="46732"/>
    <cellStyle name="Output 10 4" xfId="46733"/>
    <cellStyle name="Output 10 4 2" xfId="46734"/>
    <cellStyle name="Output 10 5" xfId="46735"/>
    <cellStyle name="Output 10 5 2" xfId="46736"/>
    <cellStyle name="Output 10 5 3" xfId="46737"/>
    <cellStyle name="Output 10 5 4" xfId="46738"/>
    <cellStyle name="Output 10 5 5" xfId="46739"/>
    <cellStyle name="Output 10 5 6" xfId="46740"/>
    <cellStyle name="Output 10 6" xfId="46741"/>
    <cellStyle name="Output 10 6 2" xfId="46742"/>
    <cellStyle name="Output 10 7" xfId="46743"/>
    <cellStyle name="Output 10 7 2" xfId="46744"/>
    <cellStyle name="Output 10 8" xfId="46745"/>
    <cellStyle name="Output 10 8 2" xfId="46746"/>
    <cellStyle name="Output 10 9" xfId="46747"/>
    <cellStyle name="Output 10 9 2" xfId="46748"/>
    <cellStyle name="Output 11" xfId="46749"/>
    <cellStyle name="Output 11 10" xfId="46750"/>
    <cellStyle name="Output 11 11" xfId="46751"/>
    <cellStyle name="Output 11 12" xfId="46752"/>
    <cellStyle name="Output 11 13" xfId="46753"/>
    <cellStyle name="Output 11 2" xfId="46754"/>
    <cellStyle name="Output 11 2 2" xfId="46755"/>
    <cellStyle name="Output 11 2 3" xfId="46756"/>
    <cellStyle name="Output 11 3" xfId="46757"/>
    <cellStyle name="Output 11 3 2" xfId="46758"/>
    <cellStyle name="Output 11 4" xfId="46759"/>
    <cellStyle name="Output 11 4 2" xfId="46760"/>
    <cellStyle name="Output 11 5" xfId="46761"/>
    <cellStyle name="Output 11 5 2" xfId="46762"/>
    <cellStyle name="Output 11 5 3" xfId="46763"/>
    <cellStyle name="Output 11 5 4" xfId="46764"/>
    <cellStyle name="Output 11 5 5" xfId="46765"/>
    <cellStyle name="Output 11 5 6" xfId="46766"/>
    <cellStyle name="Output 11 6" xfId="46767"/>
    <cellStyle name="Output 11 6 2" xfId="46768"/>
    <cellStyle name="Output 11 7" xfId="46769"/>
    <cellStyle name="Output 11 7 2" xfId="46770"/>
    <cellStyle name="Output 11 8" xfId="46771"/>
    <cellStyle name="Output 11 8 2" xfId="46772"/>
    <cellStyle name="Output 11 9" xfId="46773"/>
    <cellStyle name="Output 11 9 2" xfId="46774"/>
    <cellStyle name="Output 12" xfId="46775"/>
    <cellStyle name="Output 12 10" xfId="46776"/>
    <cellStyle name="Output 12 11" xfId="46777"/>
    <cellStyle name="Output 12 12" xfId="46778"/>
    <cellStyle name="Output 12 13" xfId="46779"/>
    <cellStyle name="Output 12 2" xfId="46780"/>
    <cellStyle name="Output 12 2 2" xfId="46781"/>
    <cellStyle name="Output 12 2 3" xfId="46782"/>
    <cellStyle name="Output 12 3" xfId="46783"/>
    <cellStyle name="Output 12 3 2" xfId="46784"/>
    <cellStyle name="Output 12 4" xfId="46785"/>
    <cellStyle name="Output 12 4 2" xfId="46786"/>
    <cellStyle name="Output 12 5" xfId="46787"/>
    <cellStyle name="Output 12 5 2" xfId="46788"/>
    <cellStyle name="Output 12 5 3" xfId="46789"/>
    <cellStyle name="Output 12 5 4" xfId="46790"/>
    <cellStyle name="Output 12 5 5" xfId="46791"/>
    <cellStyle name="Output 12 5 6" xfId="46792"/>
    <cellStyle name="Output 12 6" xfId="46793"/>
    <cellStyle name="Output 12 6 2" xfId="46794"/>
    <cellStyle name="Output 12 7" xfId="46795"/>
    <cellStyle name="Output 12 7 2" xfId="46796"/>
    <cellStyle name="Output 12 8" xfId="46797"/>
    <cellStyle name="Output 12 8 2" xfId="46798"/>
    <cellStyle name="Output 12 9" xfId="46799"/>
    <cellStyle name="Output 12 9 2" xfId="46800"/>
    <cellStyle name="Output 13" xfId="46801"/>
    <cellStyle name="Output 13 10" xfId="46802"/>
    <cellStyle name="Output 13 11" xfId="46803"/>
    <cellStyle name="Output 13 12" xfId="46804"/>
    <cellStyle name="Output 13 13" xfId="46805"/>
    <cellStyle name="Output 13 2" xfId="46806"/>
    <cellStyle name="Output 13 2 2" xfId="46807"/>
    <cellStyle name="Output 13 2 3" xfId="46808"/>
    <cellStyle name="Output 13 3" xfId="46809"/>
    <cellStyle name="Output 13 3 2" xfId="46810"/>
    <cellStyle name="Output 13 4" xfId="46811"/>
    <cellStyle name="Output 13 4 2" xfId="46812"/>
    <cellStyle name="Output 13 5" xfId="46813"/>
    <cellStyle name="Output 13 5 2" xfId="46814"/>
    <cellStyle name="Output 13 5 3" xfId="46815"/>
    <cellStyle name="Output 13 5 4" xfId="46816"/>
    <cellStyle name="Output 13 5 5" xfId="46817"/>
    <cellStyle name="Output 13 5 6" xfId="46818"/>
    <cellStyle name="Output 13 6" xfId="46819"/>
    <cellStyle name="Output 13 6 2" xfId="46820"/>
    <cellStyle name="Output 13 7" xfId="46821"/>
    <cellStyle name="Output 13 7 2" xfId="46822"/>
    <cellStyle name="Output 13 8" xfId="46823"/>
    <cellStyle name="Output 13 8 2" xfId="46824"/>
    <cellStyle name="Output 13 9" xfId="46825"/>
    <cellStyle name="Output 13 9 2" xfId="46826"/>
    <cellStyle name="Output 14" xfId="46827"/>
    <cellStyle name="Output 14 10" xfId="46828"/>
    <cellStyle name="Output 14 11" xfId="46829"/>
    <cellStyle name="Output 14 12" xfId="46830"/>
    <cellStyle name="Output 14 13" xfId="46831"/>
    <cellStyle name="Output 14 2" xfId="46832"/>
    <cellStyle name="Output 14 2 2" xfId="46833"/>
    <cellStyle name="Output 14 2 3" xfId="46834"/>
    <cellStyle name="Output 14 3" xfId="46835"/>
    <cellStyle name="Output 14 3 2" xfId="46836"/>
    <cellStyle name="Output 14 4" xfId="46837"/>
    <cellStyle name="Output 14 4 2" xfId="46838"/>
    <cellStyle name="Output 14 5" xfId="46839"/>
    <cellStyle name="Output 14 5 2" xfId="46840"/>
    <cellStyle name="Output 14 5 3" xfId="46841"/>
    <cellStyle name="Output 14 5 4" xfId="46842"/>
    <cellStyle name="Output 14 5 5" xfId="46843"/>
    <cellStyle name="Output 14 5 6" xfId="46844"/>
    <cellStyle name="Output 14 6" xfId="46845"/>
    <cellStyle name="Output 14 6 2" xfId="46846"/>
    <cellStyle name="Output 14 7" xfId="46847"/>
    <cellStyle name="Output 14 7 2" xfId="46848"/>
    <cellStyle name="Output 14 8" xfId="46849"/>
    <cellStyle name="Output 14 8 2" xfId="46850"/>
    <cellStyle name="Output 14 9" xfId="46851"/>
    <cellStyle name="Output 14 9 2" xfId="46852"/>
    <cellStyle name="Output 15" xfId="46853"/>
    <cellStyle name="Output 15 10" xfId="46854"/>
    <cellStyle name="Output 15 11" xfId="46855"/>
    <cellStyle name="Output 15 12" xfId="46856"/>
    <cellStyle name="Output 15 13" xfId="46857"/>
    <cellStyle name="Output 15 2" xfId="46858"/>
    <cellStyle name="Output 15 2 2" xfId="46859"/>
    <cellStyle name="Output 15 2 3" xfId="46860"/>
    <cellStyle name="Output 15 3" xfId="46861"/>
    <cellStyle name="Output 15 3 2" xfId="46862"/>
    <cellStyle name="Output 15 4" xfId="46863"/>
    <cellStyle name="Output 15 4 2" xfId="46864"/>
    <cellStyle name="Output 15 5" xfId="46865"/>
    <cellStyle name="Output 15 5 2" xfId="46866"/>
    <cellStyle name="Output 15 5 3" xfId="46867"/>
    <cellStyle name="Output 15 5 4" xfId="46868"/>
    <cellStyle name="Output 15 5 5" xfId="46869"/>
    <cellStyle name="Output 15 5 6" xfId="46870"/>
    <cellStyle name="Output 15 6" xfId="46871"/>
    <cellStyle name="Output 15 6 2" xfId="46872"/>
    <cellStyle name="Output 15 7" xfId="46873"/>
    <cellStyle name="Output 15 7 2" xfId="46874"/>
    <cellStyle name="Output 15 8" xfId="46875"/>
    <cellStyle name="Output 15 8 2" xfId="46876"/>
    <cellStyle name="Output 15 9" xfId="46877"/>
    <cellStyle name="Output 15 9 2" xfId="46878"/>
    <cellStyle name="Output 16" xfId="46879"/>
    <cellStyle name="Output 16 10" xfId="46880"/>
    <cellStyle name="Output 16 11" xfId="46881"/>
    <cellStyle name="Output 16 12" xfId="46882"/>
    <cellStyle name="Output 16 13" xfId="46883"/>
    <cellStyle name="Output 16 2" xfId="46884"/>
    <cellStyle name="Output 16 2 2" xfId="46885"/>
    <cellStyle name="Output 16 2 3" xfId="46886"/>
    <cellStyle name="Output 16 3" xfId="46887"/>
    <cellStyle name="Output 16 3 2" xfId="46888"/>
    <cellStyle name="Output 16 4" xfId="46889"/>
    <cellStyle name="Output 16 4 2" xfId="46890"/>
    <cellStyle name="Output 16 5" xfId="46891"/>
    <cellStyle name="Output 16 5 2" xfId="46892"/>
    <cellStyle name="Output 16 5 3" xfId="46893"/>
    <cellStyle name="Output 16 5 4" xfId="46894"/>
    <cellStyle name="Output 16 5 5" xfId="46895"/>
    <cellStyle name="Output 16 5 6" xfId="46896"/>
    <cellStyle name="Output 16 6" xfId="46897"/>
    <cellStyle name="Output 16 6 2" xfId="46898"/>
    <cellStyle name="Output 16 7" xfId="46899"/>
    <cellStyle name="Output 16 7 2" xfId="46900"/>
    <cellStyle name="Output 16 8" xfId="46901"/>
    <cellStyle name="Output 16 8 2" xfId="46902"/>
    <cellStyle name="Output 16 9" xfId="46903"/>
    <cellStyle name="Output 16 9 2" xfId="46904"/>
    <cellStyle name="Output 17" xfId="46905"/>
    <cellStyle name="Output 17 10" xfId="46906"/>
    <cellStyle name="Output 17 11" xfId="46907"/>
    <cellStyle name="Output 17 12" xfId="46908"/>
    <cellStyle name="Output 17 13" xfId="46909"/>
    <cellStyle name="Output 17 2" xfId="46910"/>
    <cellStyle name="Output 17 2 2" xfId="46911"/>
    <cellStyle name="Output 17 2 3" xfId="46912"/>
    <cellStyle name="Output 17 3" xfId="46913"/>
    <cellStyle name="Output 17 3 2" xfId="46914"/>
    <cellStyle name="Output 17 4" xfId="46915"/>
    <cellStyle name="Output 17 4 2" xfId="46916"/>
    <cellStyle name="Output 17 5" xfId="46917"/>
    <cellStyle name="Output 17 5 2" xfId="46918"/>
    <cellStyle name="Output 17 5 3" xfId="46919"/>
    <cellStyle name="Output 17 5 4" xfId="46920"/>
    <cellStyle name="Output 17 5 5" xfId="46921"/>
    <cellStyle name="Output 17 5 6" xfId="46922"/>
    <cellStyle name="Output 17 6" xfId="46923"/>
    <cellStyle name="Output 17 6 2" xfId="46924"/>
    <cellStyle name="Output 17 7" xfId="46925"/>
    <cellStyle name="Output 17 7 2" xfId="46926"/>
    <cellStyle name="Output 17 8" xfId="46927"/>
    <cellStyle name="Output 17 8 2" xfId="46928"/>
    <cellStyle name="Output 17 9" xfId="46929"/>
    <cellStyle name="Output 17 9 2" xfId="46930"/>
    <cellStyle name="Output 18" xfId="46931"/>
    <cellStyle name="Output 18 10" xfId="46932"/>
    <cellStyle name="Output 18 11" xfId="46933"/>
    <cellStyle name="Output 18 2" xfId="46934"/>
    <cellStyle name="Output 18 2 2" xfId="46935"/>
    <cellStyle name="Output 18 2 3" xfId="46936"/>
    <cellStyle name="Output 18 2 4" xfId="46937"/>
    <cellStyle name="Output 18 2 5" xfId="46938"/>
    <cellStyle name="Output 18 2 6" xfId="46939"/>
    <cellStyle name="Output 18 3" xfId="46940"/>
    <cellStyle name="Output 18 3 2" xfId="46941"/>
    <cellStyle name="Output 18 4" xfId="46942"/>
    <cellStyle name="Output 18 4 2" xfId="46943"/>
    <cellStyle name="Output 18 5" xfId="46944"/>
    <cellStyle name="Output 18 5 2" xfId="46945"/>
    <cellStyle name="Output 18 6" xfId="46946"/>
    <cellStyle name="Output 18 6 2" xfId="46947"/>
    <cellStyle name="Output 18 7" xfId="46948"/>
    <cellStyle name="Output 18 7 2" xfId="46949"/>
    <cellStyle name="Output 18 8" xfId="46950"/>
    <cellStyle name="Output 18 9" xfId="46951"/>
    <cellStyle name="Output 19" xfId="46952"/>
    <cellStyle name="Output 19 10" xfId="46953"/>
    <cellStyle name="Output 19 11" xfId="46954"/>
    <cellStyle name="Output 19 2" xfId="46955"/>
    <cellStyle name="Output 19 2 2" xfId="46956"/>
    <cellStyle name="Output 19 2 3" xfId="46957"/>
    <cellStyle name="Output 19 2 4" xfId="46958"/>
    <cellStyle name="Output 19 2 5" xfId="46959"/>
    <cellStyle name="Output 19 2 6" xfId="46960"/>
    <cellStyle name="Output 19 3" xfId="46961"/>
    <cellStyle name="Output 19 3 2" xfId="46962"/>
    <cellStyle name="Output 19 4" xfId="46963"/>
    <cellStyle name="Output 19 4 2" xfId="46964"/>
    <cellStyle name="Output 19 5" xfId="46965"/>
    <cellStyle name="Output 19 5 2" xfId="46966"/>
    <cellStyle name="Output 19 6" xfId="46967"/>
    <cellStyle name="Output 19 6 2" xfId="46968"/>
    <cellStyle name="Output 19 7" xfId="46969"/>
    <cellStyle name="Output 19 7 2" xfId="46970"/>
    <cellStyle name="Output 19 8" xfId="46971"/>
    <cellStyle name="Output 19 9" xfId="46972"/>
    <cellStyle name="Output 2" xfId="46973"/>
    <cellStyle name="Output 2 10" xfId="46974"/>
    <cellStyle name="Output 2 10 2" xfId="46975"/>
    <cellStyle name="Output 2 10 2 2" xfId="46976"/>
    <cellStyle name="Output 2 10 3" xfId="46977"/>
    <cellStyle name="Output 2 10 3 2" xfId="46978"/>
    <cellStyle name="Output 2 10 4" xfId="46979"/>
    <cellStyle name="Output 2 10 4 2" xfId="46980"/>
    <cellStyle name="Output 2 10 5" xfId="46981"/>
    <cellStyle name="Output 2 11" xfId="46982"/>
    <cellStyle name="Output 2 11 2" xfId="46983"/>
    <cellStyle name="Output 2 11 2 2" xfId="46984"/>
    <cellStyle name="Output 2 11 3" xfId="46985"/>
    <cellStyle name="Output 2 11 3 2" xfId="46986"/>
    <cellStyle name="Output 2 11 4" xfId="46987"/>
    <cellStyle name="Output 2 11 4 2" xfId="46988"/>
    <cellStyle name="Output 2 11 5" xfId="46989"/>
    <cellStyle name="Output 2 12" xfId="46990"/>
    <cellStyle name="Output 2 12 2" xfId="46991"/>
    <cellStyle name="Output 2 12 2 2" xfId="46992"/>
    <cellStyle name="Output 2 12 3" xfId="46993"/>
    <cellStyle name="Output 2 12 3 2" xfId="46994"/>
    <cellStyle name="Output 2 12 4" xfId="46995"/>
    <cellStyle name="Output 2 12 4 2" xfId="46996"/>
    <cellStyle name="Output 2 12 5" xfId="46997"/>
    <cellStyle name="Output 2 13" xfId="46998"/>
    <cellStyle name="Output 2 13 2" xfId="46999"/>
    <cellStyle name="Output 2 13 2 2" xfId="47000"/>
    <cellStyle name="Output 2 13 3" xfId="47001"/>
    <cellStyle name="Output 2 13 3 2" xfId="47002"/>
    <cellStyle name="Output 2 13 4" xfId="47003"/>
    <cellStyle name="Output 2 13 4 2" xfId="47004"/>
    <cellStyle name="Output 2 13 5" xfId="47005"/>
    <cellStyle name="Output 2 14" xfId="47006"/>
    <cellStyle name="Output 2 14 2" xfId="47007"/>
    <cellStyle name="Output 2 14 2 2" xfId="47008"/>
    <cellStyle name="Output 2 14 3" xfId="47009"/>
    <cellStyle name="Output 2 14 3 2" xfId="47010"/>
    <cellStyle name="Output 2 14 4" xfId="47011"/>
    <cellStyle name="Output 2 14 4 2" xfId="47012"/>
    <cellStyle name="Output 2 14 5" xfId="47013"/>
    <cellStyle name="Output 2 15" xfId="47014"/>
    <cellStyle name="Output 2 15 2" xfId="47015"/>
    <cellStyle name="Output 2 15 2 2" xfId="47016"/>
    <cellStyle name="Output 2 15 3" xfId="47017"/>
    <cellStyle name="Output 2 15 3 2" xfId="47018"/>
    <cellStyle name="Output 2 15 4" xfId="47019"/>
    <cellStyle name="Output 2 15 4 2" xfId="47020"/>
    <cellStyle name="Output 2 15 5" xfId="47021"/>
    <cellStyle name="Output 2 16" xfId="47022"/>
    <cellStyle name="Output 2 16 2" xfId="47023"/>
    <cellStyle name="Output 2 16 2 2" xfId="47024"/>
    <cellStyle name="Output 2 16 3" xfId="47025"/>
    <cellStyle name="Output 2 16 3 2" xfId="47026"/>
    <cellStyle name="Output 2 16 4" xfId="47027"/>
    <cellStyle name="Output 2 16 4 2" xfId="47028"/>
    <cellStyle name="Output 2 16 5" xfId="47029"/>
    <cellStyle name="Output 2 17" xfId="47030"/>
    <cellStyle name="Output 2 17 2" xfId="47031"/>
    <cellStyle name="Output 2 17 2 2" xfId="47032"/>
    <cellStyle name="Output 2 17 3" xfId="47033"/>
    <cellStyle name="Output 2 17 3 2" xfId="47034"/>
    <cellStyle name="Output 2 17 4" xfId="47035"/>
    <cellStyle name="Output 2 17 4 2" xfId="47036"/>
    <cellStyle name="Output 2 17 5" xfId="47037"/>
    <cellStyle name="Output 2 18" xfId="47038"/>
    <cellStyle name="Output 2 18 2" xfId="47039"/>
    <cellStyle name="Output 2 18 2 2" xfId="47040"/>
    <cellStyle name="Output 2 18 3" xfId="47041"/>
    <cellStyle name="Output 2 18 3 2" xfId="47042"/>
    <cellStyle name="Output 2 18 4" xfId="47043"/>
    <cellStyle name="Output 2 18 4 2" xfId="47044"/>
    <cellStyle name="Output 2 18 5" xfId="47045"/>
    <cellStyle name="Output 2 19" xfId="47046"/>
    <cellStyle name="Output 2 19 2" xfId="47047"/>
    <cellStyle name="Output 2 19 2 2" xfId="47048"/>
    <cellStyle name="Output 2 19 3" xfId="47049"/>
    <cellStyle name="Output 2 19 3 2" xfId="47050"/>
    <cellStyle name="Output 2 19 4" xfId="47051"/>
    <cellStyle name="Output 2 19 4 2" xfId="47052"/>
    <cellStyle name="Output 2 19 5" xfId="47053"/>
    <cellStyle name="Output 2 2" xfId="47054"/>
    <cellStyle name="Output 2 2 10" xfId="47055"/>
    <cellStyle name="Output 2 2 10 2" xfId="47056"/>
    <cellStyle name="Output 2 2 10 2 2" xfId="47057"/>
    <cellStyle name="Output 2 2 10 3" xfId="47058"/>
    <cellStyle name="Output 2 2 10 3 2" xfId="47059"/>
    <cellStyle name="Output 2 2 10 4" xfId="47060"/>
    <cellStyle name="Output 2 2 10 4 2" xfId="47061"/>
    <cellStyle name="Output 2 2 10 5" xfId="47062"/>
    <cellStyle name="Output 2 2 11" xfId="47063"/>
    <cellStyle name="Output 2 2 11 2" xfId="47064"/>
    <cellStyle name="Output 2 2 11 2 2" xfId="47065"/>
    <cellStyle name="Output 2 2 11 3" xfId="47066"/>
    <cellStyle name="Output 2 2 11 3 2" xfId="47067"/>
    <cellStyle name="Output 2 2 11 4" xfId="47068"/>
    <cellStyle name="Output 2 2 11 4 2" xfId="47069"/>
    <cellStyle name="Output 2 2 11 5" xfId="47070"/>
    <cellStyle name="Output 2 2 12" xfId="47071"/>
    <cellStyle name="Output 2 2 12 2" xfId="47072"/>
    <cellStyle name="Output 2 2 12 2 2" xfId="47073"/>
    <cellStyle name="Output 2 2 12 3" xfId="47074"/>
    <cellStyle name="Output 2 2 12 3 2" xfId="47075"/>
    <cellStyle name="Output 2 2 12 4" xfId="47076"/>
    <cellStyle name="Output 2 2 12 4 2" xfId="47077"/>
    <cellStyle name="Output 2 2 12 5" xfId="47078"/>
    <cellStyle name="Output 2 2 13" xfId="47079"/>
    <cellStyle name="Output 2 2 13 2" xfId="47080"/>
    <cellStyle name="Output 2 2 13 2 2" xfId="47081"/>
    <cellStyle name="Output 2 2 13 3" xfId="47082"/>
    <cellStyle name="Output 2 2 13 3 2" xfId="47083"/>
    <cellStyle name="Output 2 2 13 4" xfId="47084"/>
    <cellStyle name="Output 2 2 13 4 2" xfId="47085"/>
    <cellStyle name="Output 2 2 13 5" xfId="47086"/>
    <cellStyle name="Output 2 2 14" xfId="47087"/>
    <cellStyle name="Output 2 2 14 2" xfId="47088"/>
    <cellStyle name="Output 2 2 14 2 2" xfId="47089"/>
    <cellStyle name="Output 2 2 14 3" xfId="47090"/>
    <cellStyle name="Output 2 2 14 3 2" xfId="47091"/>
    <cellStyle name="Output 2 2 14 4" xfId="47092"/>
    <cellStyle name="Output 2 2 14 4 2" xfId="47093"/>
    <cellStyle name="Output 2 2 14 5" xfId="47094"/>
    <cellStyle name="Output 2 2 15" xfId="47095"/>
    <cellStyle name="Output 2 2 15 2" xfId="47096"/>
    <cellStyle name="Output 2 2 16" xfId="47097"/>
    <cellStyle name="Output 2 2 16 2" xfId="47098"/>
    <cellStyle name="Output 2 2 17" xfId="47099"/>
    <cellStyle name="Output 2 2 17 2" xfId="47100"/>
    <cellStyle name="Output 2 2 18" xfId="47101"/>
    <cellStyle name="Output 2 2 18 2" xfId="47102"/>
    <cellStyle name="Output 2 2 19" xfId="47103"/>
    <cellStyle name="Output 2 2 19 2" xfId="47104"/>
    <cellStyle name="Output 2 2 2" xfId="47105"/>
    <cellStyle name="Output 2 2 2 10" xfId="47106"/>
    <cellStyle name="Output 2 2 2 10 2" xfId="47107"/>
    <cellStyle name="Output 2 2 2 11" xfId="47108"/>
    <cellStyle name="Output 2 2 2 11 2" xfId="47109"/>
    <cellStyle name="Output 2 2 2 12" xfId="47110"/>
    <cellStyle name="Output 2 2 2 12 2" xfId="47111"/>
    <cellStyle name="Output 2 2 2 13" xfId="47112"/>
    <cellStyle name="Output 2 2 2 13 2" xfId="47113"/>
    <cellStyle name="Output 2 2 2 14" xfId="47114"/>
    <cellStyle name="Output 2 2 2 14 2" xfId="47115"/>
    <cellStyle name="Output 2 2 2 15" xfId="47116"/>
    <cellStyle name="Output 2 2 2 15 2" xfId="47117"/>
    <cellStyle name="Output 2 2 2 16" xfId="47118"/>
    <cellStyle name="Output 2 2 2 16 2" xfId="47119"/>
    <cellStyle name="Output 2 2 2 17" xfId="47120"/>
    <cellStyle name="Output 2 2 2 17 2" xfId="47121"/>
    <cellStyle name="Output 2 2 2 18" xfId="47122"/>
    <cellStyle name="Output 2 2 2 18 2" xfId="47123"/>
    <cellStyle name="Output 2 2 2 19" xfId="47124"/>
    <cellStyle name="Output 2 2 2 19 2" xfId="47125"/>
    <cellStyle name="Output 2 2 2 2" xfId="47126"/>
    <cellStyle name="Output 2 2 2 2 2" xfId="47127"/>
    <cellStyle name="Output 2 2 2 2 3" xfId="47128"/>
    <cellStyle name="Output 2 2 2 20" xfId="47129"/>
    <cellStyle name="Output 2 2 2 20 2" xfId="47130"/>
    <cellStyle name="Output 2 2 2 21" xfId="47131"/>
    <cellStyle name="Output 2 2 2 21 2" xfId="47132"/>
    <cellStyle name="Output 2 2 2 22" xfId="47133"/>
    <cellStyle name="Output 2 2 2 22 2" xfId="47134"/>
    <cellStyle name="Output 2 2 2 23" xfId="47135"/>
    <cellStyle name="Output 2 2 2 23 2" xfId="47136"/>
    <cellStyle name="Output 2 2 2 24" xfId="47137"/>
    <cellStyle name="Output 2 2 2 24 2" xfId="47138"/>
    <cellStyle name="Output 2 2 2 25" xfId="47139"/>
    <cellStyle name="Output 2 2 2 25 2" xfId="47140"/>
    <cellStyle name="Output 2 2 2 26" xfId="47141"/>
    <cellStyle name="Output 2 2 2 26 2" xfId="47142"/>
    <cellStyle name="Output 2 2 2 27" xfId="47143"/>
    <cellStyle name="Output 2 2 2 27 2" xfId="47144"/>
    <cellStyle name="Output 2 2 2 28" xfId="47145"/>
    <cellStyle name="Output 2 2 2 28 2" xfId="47146"/>
    <cellStyle name="Output 2 2 2 29" xfId="47147"/>
    <cellStyle name="Output 2 2 2 29 2" xfId="47148"/>
    <cellStyle name="Output 2 2 2 3" xfId="47149"/>
    <cellStyle name="Output 2 2 2 3 2" xfId="47150"/>
    <cellStyle name="Output 2 2 2 3 3" xfId="47151"/>
    <cellStyle name="Output 2 2 2 30" xfId="47152"/>
    <cellStyle name="Output 2 2 2 30 2" xfId="47153"/>
    <cellStyle name="Output 2 2 2 31" xfId="47154"/>
    <cellStyle name="Output 2 2 2 4" xfId="47155"/>
    <cellStyle name="Output 2 2 2 4 2" xfId="47156"/>
    <cellStyle name="Output 2 2 2 5" xfId="47157"/>
    <cellStyle name="Output 2 2 2 5 2" xfId="47158"/>
    <cellStyle name="Output 2 2 2 6" xfId="47159"/>
    <cellStyle name="Output 2 2 2 6 2" xfId="47160"/>
    <cellStyle name="Output 2 2 2 7" xfId="47161"/>
    <cellStyle name="Output 2 2 2 7 2" xfId="47162"/>
    <cellStyle name="Output 2 2 2 8" xfId="47163"/>
    <cellStyle name="Output 2 2 2 8 2" xfId="47164"/>
    <cellStyle name="Output 2 2 2 9" xfId="47165"/>
    <cellStyle name="Output 2 2 2 9 2" xfId="47166"/>
    <cellStyle name="Output 2 2 20" xfId="47167"/>
    <cellStyle name="Output 2 2 20 2" xfId="47168"/>
    <cellStyle name="Output 2 2 21" xfId="47169"/>
    <cellStyle name="Output 2 2 21 2" xfId="47170"/>
    <cellStyle name="Output 2 2 22" xfId="47171"/>
    <cellStyle name="Output 2 2 22 2" xfId="47172"/>
    <cellStyle name="Output 2 2 23" xfId="47173"/>
    <cellStyle name="Output 2 2 23 2" xfId="47174"/>
    <cellStyle name="Output 2 2 24" xfId="47175"/>
    <cellStyle name="Output 2 2 24 2" xfId="47176"/>
    <cellStyle name="Output 2 2 25" xfId="47177"/>
    <cellStyle name="Output 2 2 25 2" xfId="47178"/>
    <cellStyle name="Output 2 2 26" xfId="47179"/>
    <cellStyle name="Output 2 2 26 2" xfId="47180"/>
    <cellStyle name="Output 2 2 27" xfId="47181"/>
    <cellStyle name="Output 2 2 27 2" xfId="47182"/>
    <cellStyle name="Output 2 2 28" xfId="47183"/>
    <cellStyle name="Output 2 2 28 2" xfId="47184"/>
    <cellStyle name="Output 2 2 29" xfId="47185"/>
    <cellStyle name="Output 2 2 29 2" xfId="47186"/>
    <cellStyle name="Output 2 2 3" xfId="47187"/>
    <cellStyle name="Output 2 2 3 2" xfId="47188"/>
    <cellStyle name="Output 2 2 3 2 2" xfId="47189"/>
    <cellStyle name="Output 2 2 3 3" xfId="47190"/>
    <cellStyle name="Output 2 2 3 3 2" xfId="47191"/>
    <cellStyle name="Output 2 2 3 4" xfId="47192"/>
    <cellStyle name="Output 2 2 3 4 2" xfId="47193"/>
    <cellStyle name="Output 2 2 3 5" xfId="47194"/>
    <cellStyle name="Output 2 2 30" xfId="47195"/>
    <cellStyle name="Output 2 2 30 2" xfId="47196"/>
    <cellStyle name="Output 2 2 31" xfId="47197"/>
    <cellStyle name="Output 2 2 31 2" xfId="47198"/>
    <cellStyle name="Output 2 2 32" xfId="47199"/>
    <cellStyle name="Output 2 2 32 2" xfId="47200"/>
    <cellStyle name="Output 2 2 33" xfId="47201"/>
    <cellStyle name="Output 2 2 33 2" xfId="47202"/>
    <cellStyle name="Output 2 2 34" xfId="47203"/>
    <cellStyle name="Output 2 2 34 2" xfId="47204"/>
    <cellStyle name="Output 2 2 35" xfId="47205"/>
    <cellStyle name="Output 2 2 35 2" xfId="47206"/>
    <cellStyle name="Output 2 2 36" xfId="47207"/>
    <cellStyle name="Output 2 2 36 2" xfId="47208"/>
    <cellStyle name="Output 2 2 37" xfId="47209"/>
    <cellStyle name="Output 2 2 37 2" xfId="47210"/>
    <cellStyle name="Output 2 2 38" xfId="47211"/>
    <cellStyle name="Output 2 2 38 2" xfId="47212"/>
    <cellStyle name="Output 2 2 39" xfId="47213"/>
    <cellStyle name="Output 2 2 39 2" xfId="47214"/>
    <cellStyle name="Output 2 2 4" xfId="47215"/>
    <cellStyle name="Output 2 2 4 2" xfId="47216"/>
    <cellStyle name="Output 2 2 4 2 2" xfId="47217"/>
    <cellStyle name="Output 2 2 4 3" xfId="47218"/>
    <cellStyle name="Output 2 2 4 3 2" xfId="47219"/>
    <cellStyle name="Output 2 2 4 4" xfId="47220"/>
    <cellStyle name="Output 2 2 4 4 2" xfId="47221"/>
    <cellStyle name="Output 2 2 4 5" xfId="47222"/>
    <cellStyle name="Output 2 2 40" xfId="47223"/>
    <cellStyle name="Output 2 2 40 2" xfId="47224"/>
    <cellStyle name="Output 2 2 41" xfId="47225"/>
    <cellStyle name="Output 2 2 41 2" xfId="47226"/>
    <cellStyle name="Output 2 2 42" xfId="47227"/>
    <cellStyle name="Output 2 2 42 2" xfId="47228"/>
    <cellStyle name="Output 2 2 43" xfId="47229"/>
    <cellStyle name="Output 2 2 43 2" xfId="47230"/>
    <cellStyle name="Output 2 2 44" xfId="47231"/>
    <cellStyle name="Output 2 2 44 2" xfId="47232"/>
    <cellStyle name="Output 2 2 45" xfId="47233"/>
    <cellStyle name="Output 2 2 45 2" xfId="47234"/>
    <cellStyle name="Output 2 2 46" xfId="47235"/>
    <cellStyle name="Output 2 2 46 2" xfId="47236"/>
    <cellStyle name="Output 2 2 47" xfId="47237"/>
    <cellStyle name="Output 2 2 47 2" xfId="47238"/>
    <cellStyle name="Output 2 2 48" xfId="47239"/>
    <cellStyle name="Output 2 2 48 2" xfId="47240"/>
    <cellStyle name="Output 2 2 49" xfId="47241"/>
    <cellStyle name="Output 2 2 49 2" xfId="47242"/>
    <cellStyle name="Output 2 2 5" xfId="47243"/>
    <cellStyle name="Output 2 2 5 2" xfId="47244"/>
    <cellStyle name="Output 2 2 5 2 2" xfId="47245"/>
    <cellStyle name="Output 2 2 5 3" xfId="47246"/>
    <cellStyle name="Output 2 2 5 3 2" xfId="47247"/>
    <cellStyle name="Output 2 2 5 4" xfId="47248"/>
    <cellStyle name="Output 2 2 5 4 2" xfId="47249"/>
    <cellStyle name="Output 2 2 5 5" xfId="47250"/>
    <cellStyle name="Output 2 2 50" xfId="47251"/>
    <cellStyle name="Output 2 2 50 2" xfId="47252"/>
    <cellStyle name="Output 2 2 51" xfId="47253"/>
    <cellStyle name="Output 2 2 51 2" xfId="47254"/>
    <cellStyle name="Output 2 2 52" xfId="47255"/>
    <cellStyle name="Output 2 2 52 2" xfId="47256"/>
    <cellStyle name="Output 2 2 53" xfId="47257"/>
    <cellStyle name="Output 2 2 53 2" xfId="47258"/>
    <cellStyle name="Output 2 2 54" xfId="47259"/>
    <cellStyle name="Output 2 2 54 2" xfId="47260"/>
    <cellStyle name="Output 2 2 55" xfId="47261"/>
    <cellStyle name="Output 2 2 55 2" xfId="47262"/>
    <cellStyle name="Output 2 2 56" xfId="47263"/>
    <cellStyle name="Output 2 2 56 2" xfId="47264"/>
    <cellStyle name="Output 2 2 57" xfId="47265"/>
    <cellStyle name="Output 2 2 57 2" xfId="47266"/>
    <cellStyle name="Output 2 2 58" xfId="47267"/>
    <cellStyle name="Output 2 2 58 2" xfId="47268"/>
    <cellStyle name="Output 2 2 59" xfId="47269"/>
    <cellStyle name="Output 2 2 59 2" xfId="47270"/>
    <cellStyle name="Output 2 2 6" xfId="47271"/>
    <cellStyle name="Output 2 2 6 2" xfId="47272"/>
    <cellStyle name="Output 2 2 6 2 2" xfId="47273"/>
    <cellStyle name="Output 2 2 6 3" xfId="47274"/>
    <cellStyle name="Output 2 2 6 3 2" xfId="47275"/>
    <cellStyle name="Output 2 2 6 4" xfId="47276"/>
    <cellStyle name="Output 2 2 6 4 2" xfId="47277"/>
    <cellStyle name="Output 2 2 6 5" xfId="47278"/>
    <cellStyle name="Output 2 2 60" xfId="47279"/>
    <cellStyle name="Output 2 2 60 2" xfId="47280"/>
    <cellStyle name="Output 2 2 61" xfId="47281"/>
    <cellStyle name="Output 2 2 61 2" xfId="47282"/>
    <cellStyle name="Output 2 2 62" xfId="47283"/>
    <cellStyle name="Output 2 2 7" xfId="47284"/>
    <cellStyle name="Output 2 2 7 2" xfId="47285"/>
    <cellStyle name="Output 2 2 7 2 2" xfId="47286"/>
    <cellStyle name="Output 2 2 7 3" xfId="47287"/>
    <cellStyle name="Output 2 2 7 3 2" xfId="47288"/>
    <cellStyle name="Output 2 2 7 4" xfId="47289"/>
    <cellStyle name="Output 2 2 7 4 2" xfId="47290"/>
    <cellStyle name="Output 2 2 7 5" xfId="47291"/>
    <cellStyle name="Output 2 2 8" xfId="47292"/>
    <cellStyle name="Output 2 2 8 2" xfId="47293"/>
    <cellStyle name="Output 2 2 8 2 2" xfId="47294"/>
    <cellStyle name="Output 2 2 8 3" xfId="47295"/>
    <cellStyle name="Output 2 2 8 3 2" xfId="47296"/>
    <cellStyle name="Output 2 2 8 4" xfId="47297"/>
    <cellStyle name="Output 2 2 8 4 2" xfId="47298"/>
    <cellStyle name="Output 2 2 8 5" xfId="47299"/>
    <cellStyle name="Output 2 2 9" xfId="47300"/>
    <cellStyle name="Output 2 2 9 2" xfId="47301"/>
    <cellStyle name="Output 2 2 9 2 2" xfId="47302"/>
    <cellStyle name="Output 2 2 9 3" xfId="47303"/>
    <cellStyle name="Output 2 2 9 3 2" xfId="47304"/>
    <cellStyle name="Output 2 2 9 4" xfId="47305"/>
    <cellStyle name="Output 2 2 9 4 2" xfId="47306"/>
    <cellStyle name="Output 2 2 9 5" xfId="47307"/>
    <cellStyle name="Output 2 20" xfId="47308"/>
    <cellStyle name="Output 2 20 2" xfId="47309"/>
    <cellStyle name="Output 2 21" xfId="47310"/>
    <cellStyle name="Output 2 21 2" xfId="47311"/>
    <cellStyle name="Output 2 22" xfId="47312"/>
    <cellStyle name="Output 2 22 2" xfId="47313"/>
    <cellStyle name="Output 2 23" xfId="47314"/>
    <cellStyle name="Output 2 23 2" xfId="47315"/>
    <cellStyle name="Output 2 24" xfId="47316"/>
    <cellStyle name="Output 2 24 2" xfId="47317"/>
    <cellStyle name="Output 2 25" xfId="47318"/>
    <cellStyle name="Output 2 25 2" xfId="47319"/>
    <cellStyle name="Output 2 26" xfId="47320"/>
    <cellStyle name="Output 2 26 2" xfId="47321"/>
    <cellStyle name="Output 2 27" xfId="47322"/>
    <cellStyle name="Output 2 27 2" xfId="47323"/>
    <cellStyle name="Output 2 28" xfId="47324"/>
    <cellStyle name="Output 2 28 2" xfId="47325"/>
    <cellStyle name="Output 2 29" xfId="47326"/>
    <cellStyle name="Output 2 29 2" xfId="47327"/>
    <cellStyle name="Output 2 3" xfId="47328"/>
    <cellStyle name="Output 2 3 10" xfId="47329"/>
    <cellStyle name="Output 2 3 10 2" xfId="47330"/>
    <cellStyle name="Output 2 3 11" xfId="47331"/>
    <cellStyle name="Output 2 3 11 2" xfId="47332"/>
    <cellStyle name="Output 2 3 12" xfId="47333"/>
    <cellStyle name="Output 2 3 12 2" xfId="47334"/>
    <cellStyle name="Output 2 3 13" xfId="47335"/>
    <cellStyle name="Output 2 3 13 2" xfId="47336"/>
    <cellStyle name="Output 2 3 14" xfId="47337"/>
    <cellStyle name="Output 2 3 14 2" xfId="47338"/>
    <cellStyle name="Output 2 3 15" xfId="47339"/>
    <cellStyle name="Output 2 3 15 2" xfId="47340"/>
    <cellStyle name="Output 2 3 16" xfId="47341"/>
    <cellStyle name="Output 2 3 16 2" xfId="47342"/>
    <cellStyle name="Output 2 3 17" xfId="47343"/>
    <cellStyle name="Output 2 3 17 2" xfId="47344"/>
    <cellStyle name="Output 2 3 18" xfId="47345"/>
    <cellStyle name="Output 2 3 18 2" xfId="47346"/>
    <cellStyle name="Output 2 3 19" xfId="47347"/>
    <cellStyle name="Output 2 3 19 2" xfId="47348"/>
    <cellStyle name="Output 2 3 2" xfId="47349"/>
    <cellStyle name="Output 2 3 2 2" xfId="47350"/>
    <cellStyle name="Output 2 3 2 3" xfId="47351"/>
    <cellStyle name="Output 2 3 20" xfId="47352"/>
    <cellStyle name="Output 2 3 20 2" xfId="47353"/>
    <cellStyle name="Output 2 3 21" xfId="47354"/>
    <cellStyle name="Output 2 3 21 2" xfId="47355"/>
    <cellStyle name="Output 2 3 22" xfId="47356"/>
    <cellStyle name="Output 2 3 22 2" xfId="47357"/>
    <cellStyle name="Output 2 3 23" xfId="47358"/>
    <cellStyle name="Output 2 3 23 2" xfId="47359"/>
    <cellStyle name="Output 2 3 24" xfId="47360"/>
    <cellStyle name="Output 2 3 24 2" xfId="47361"/>
    <cellStyle name="Output 2 3 25" xfId="47362"/>
    <cellStyle name="Output 2 3 25 2" xfId="47363"/>
    <cellStyle name="Output 2 3 26" xfId="47364"/>
    <cellStyle name="Output 2 3 26 2" xfId="47365"/>
    <cellStyle name="Output 2 3 27" xfId="47366"/>
    <cellStyle name="Output 2 3 27 2" xfId="47367"/>
    <cellStyle name="Output 2 3 28" xfId="47368"/>
    <cellStyle name="Output 2 3 28 2" xfId="47369"/>
    <cellStyle name="Output 2 3 29" xfId="47370"/>
    <cellStyle name="Output 2 3 29 2" xfId="47371"/>
    <cellStyle name="Output 2 3 3" xfId="47372"/>
    <cellStyle name="Output 2 3 3 2" xfId="47373"/>
    <cellStyle name="Output 2 3 3 3" xfId="47374"/>
    <cellStyle name="Output 2 3 30" xfId="47375"/>
    <cellStyle name="Output 2 3 30 2" xfId="47376"/>
    <cellStyle name="Output 2 3 31" xfId="47377"/>
    <cellStyle name="Output 2 3 4" xfId="47378"/>
    <cellStyle name="Output 2 3 4 2" xfId="47379"/>
    <cellStyle name="Output 2 3 5" xfId="47380"/>
    <cellStyle name="Output 2 3 5 2" xfId="47381"/>
    <cellStyle name="Output 2 3 6" xfId="47382"/>
    <cellStyle name="Output 2 3 6 2" xfId="47383"/>
    <cellStyle name="Output 2 3 7" xfId="47384"/>
    <cellStyle name="Output 2 3 7 2" xfId="47385"/>
    <cellStyle name="Output 2 3 8" xfId="47386"/>
    <cellStyle name="Output 2 3 8 2" xfId="47387"/>
    <cellStyle name="Output 2 3 9" xfId="47388"/>
    <cellStyle name="Output 2 3 9 2" xfId="47389"/>
    <cellStyle name="Output 2 30" xfId="47390"/>
    <cellStyle name="Output 2 30 2" xfId="47391"/>
    <cellStyle name="Output 2 31" xfId="47392"/>
    <cellStyle name="Output 2 31 2" xfId="47393"/>
    <cellStyle name="Output 2 32" xfId="47394"/>
    <cellStyle name="Output 2 32 2" xfId="47395"/>
    <cellStyle name="Output 2 33" xfId="47396"/>
    <cellStyle name="Output 2 33 2" xfId="47397"/>
    <cellStyle name="Output 2 34" xfId="47398"/>
    <cellStyle name="Output 2 34 2" xfId="47399"/>
    <cellStyle name="Output 2 35" xfId="47400"/>
    <cellStyle name="Output 2 35 2" xfId="47401"/>
    <cellStyle name="Output 2 36" xfId="47402"/>
    <cellStyle name="Output 2 36 2" xfId="47403"/>
    <cellStyle name="Output 2 37" xfId="47404"/>
    <cellStyle name="Output 2 37 2" xfId="47405"/>
    <cellStyle name="Output 2 38" xfId="47406"/>
    <cellStyle name="Output 2 38 2" xfId="47407"/>
    <cellStyle name="Output 2 39" xfId="47408"/>
    <cellStyle name="Output 2 39 2" xfId="47409"/>
    <cellStyle name="Output 2 4" xfId="47410"/>
    <cellStyle name="Output 2 4 2" xfId="47411"/>
    <cellStyle name="Output 2 4 2 2" xfId="47412"/>
    <cellStyle name="Output 2 4 3" xfId="47413"/>
    <cellStyle name="Output 2 4 3 2" xfId="47414"/>
    <cellStyle name="Output 2 4 4" xfId="47415"/>
    <cellStyle name="Output 2 4 4 2" xfId="47416"/>
    <cellStyle name="Output 2 4 5" xfId="47417"/>
    <cellStyle name="Output 2 40" xfId="47418"/>
    <cellStyle name="Output 2 40 2" xfId="47419"/>
    <cellStyle name="Output 2 41" xfId="47420"/>
    <cellStyle name="Output 2 41 2" xfId="47421"/>
    <cellStyle name="Output 2 42" xfId="47422"/>
    <cellStyle name="Output 2 42 2" xfId="47423"/>
    <cellStyle name="Output 2 43" xfId="47424"/>
    <cellStyle name="Output 2 43 2" xfId="47425"/>
    <cellStyle name="Output 2 44" xfId="47426"/>
    <cellStyle name="Output 2 44 2" xfId="47427"/>
    <cellStyle name="Output 2 45" xfId="47428"/>
    <cellStyle name="Output 2 45 2" xfId="47429"/>
    <cellStyle name="Output 2 46" xfId="47430"/>
    <cellStyle name="Output 2 46 2" xfId="47431"/>
    <cellStyle name="Output 2 47" xfId="47432"/>
    <cellStyle name="Output 2 47 2" xfId="47433"/>
    <cellStyle name="Output 2 48" xfId="47434"/>
    <cellStyle name="Output 2 48 2" xfId="47435"/>
    <cellStyle name="Output 2 49" xfId="47436"/>
    <cellStyle name="Output 2 49 2" xfId="47437"/>
    <cellStyle name="Output 2 5" xfId="47438"/>
    <cellStyle name="Output 2 5 2" xfId="47439"/>
    <cellStyle name="Output 2 5 2 2" xfId="47440"/>
    <cellStyle name="Output 2 5 3" xfId="47441"/>
    <cellStyle name="Output 2 5 3 2" xfId="47442"/>
    <cellStyle name="Output 2 5 4" xfId="47443"/>
    <cellStyle name="Output 2 5 4 2" xfId="47444"/>
    <cellStyle name="Output 2 5 5" xfId="47445"/>
    <cellStyle name="Output 2 50" xfId="47446"/>
    <cellStyle name="Output 2 50 2" xfId="47447"/>
    <cellStyle name="Output 2 51" xfId="47448"/>
    <cellStyle name="Output 2 51 2" xfId="47449"/>
    <cellStyle name="Output 2 52" xfId="47450"/>
    <cellStyle name="Output 2 52 2" xfId="47451"/>
    <cellStyle name="Output 2 53" xfId="47452"/>
    <cellStyle name="Output 2 53 2" xfId="47453"/>
    <cellStyle name="Output 2 54" xfId="47454"/>
    <cellStyle name="Output 2 54 2" xfId="47455"/>
    <cellStyle name="Output 2 55" xfId="47456"/>
    <cellStyle name="Output 2 55 2" xfId="47457"/>
    <cellStyle name="Output 2 56" xfId="47458"/>
    <cellStyle name="Output 2 56 2" xfId="47459"/>
    <cellStyle name="Output 2 57" xfId="47460"/>
    <cellStyle name="Output 2 57 2" xfId="47461"/>
    <cellStyle name="Output 2 58" xfId="47462"/>
    <cellStyle name="Output 2 58 2" xfId="47463"/>
    <cellStyle name="Output 2 59" xfId="47464"/>
    <cellStyle name="Output 2 59 2" xfId="47465"/>
    <cellStyle name="Output 2 6" xfId="47466"/>
    <cellStyle name="Output 2 6 2" xfId="47467"/>
    <cellStyle name="Output 2 6 2 2" xfId="47468"/>
    <cellStyle name="Output 2 6 3" xfId="47469"/>
    <cellStyle name="Output 2 6 3 2" xfId="47470"/>
    <cellStyle name="Output 2 6 4" xfId="47471"/>
    <cellStyle name="Output 2 6 4 2" xfId="47472"/>
    <cellStyle name="Output 2 6 5" xfId="47473"/>
    <cellStyle name="Output 2 60" xfId="47474"/>
    <cellStyle name="Output 2 60 2" xfId="47475"/>
    <cellStyle name="Output 2 61" xfId="47476"/>
    <cellStyle name="Output 2 61 2" xfId="47477"/>
    <cellStyle name="Output 2 62" xfId="47478"/>
    <cellStyle name="Output 2 62 2" xfId="47479"/>
    <cellStyle name="Output 2 63" xfId="47480"/>
    <cellStyle name="Output 2 63 2" xfId="47481"/>
    <cellStyle name="Output 2 64" xfId="47482"/>
    <cellStyle name="Output 2 64 2" xfId="47483"/>
    <cellStyle name="Output 2 65" xfId="47484"/>
    <cellStyle name="Output 2 65 2" xfId="47485"/>
    <cellStyle name="Output 2 66" xfId="47486"/>
    <cellStyle name="Output 2 66 2" xfId="47487"/>
    <cellStyle name="Output 2 67" xfId="47488"/>
    <cellStyle name="Output 2 67 2" xfId="47489"/>
    <cellStyle name="Output 2 68" xfId="47490"/>
    <cellStyle name="Output 2 7" xfId="47491"/>
    <cellStyle name="Output 2 7 2" xfId="47492"/>
    <cellStyle name="Output 2 7 2 2" xfId="47493"/>
    <cellStyle name="Output 2 7 3" xfId="47494"/>
    <cellStyle name="Output 2 7 3 2" xfId="47495"/>
    <cellStyle name="Output 2 7 4" xfId="47496"/>
    <cellStyle name="Output 2 7 4 2" xfId="47497"/>
    <cellStyle name="Output 2 7 5" xfId="47498"/>
    <cellStyle name="Output 2 8" xfId="47499"/>
    <cellStyle name="Output 2 8 2" xfId="47500"/>
    <cellStyle name="Output 2 8 2 2" xfId="47501"/>
    <cellStyle name="Output 2 8 3" xfId="47502"/>
    <cellStyle name="Output 2 8 3 2" xfId="47503"/>
    <cellStyle name="Output 2 8 4" xfId="47504"/>
    <cellStyle name="Output 2 8 4 2" xfId="47505"/>
    <cellStyle name="Output 2 8 5" xfId="47506"/>
    <cellStyle name="Output 2 9" xfId="47507"/>
    <cellStyle name="Output 2 9 2" xfId="47508"/>
    <cellStyle name="Output 2 9 2 2" xfId="47509"/>
    <cellStyle name="Output 2 9 3" xfId="47510"/>
    <cellStyle name="Output 2 9 3 2" xfId="47511"/>
    <cellStyle name="Output 2 9 4" xfId="47512"/>
    <cellStyle name="Output 2 9 4 2" xfId="47513"/>
    <cellStyle name="Output 2 9 5" xfId="47514"/>
    <cellStyle name="Output 20" xfId="47515"/>
    <cellStyle name="Output 20 2" xfId="47516"/>
    <cellStyle name="Output 21" xfId="47517"/>
    <cellStyle name="Output 21 2" xfId="47518"/>
    <cellStyle name="Output 22" xfId="47519"/>
    <cellStyle name="Output 22 2" xfId="47520"/>
    <cellStyle name="Output 23" xfId="47521"/>
    <cellStyle name="Output 23 2" xfId="47522"/>
    <cellStyle name="Output 24" xfId="47523"/>
    <cellStyle name="Output 24 2" xfId="47524"/>
    <cellStyle name="Output 25" xfId="47525"/>
    <cellStyle name="Output 25 2" xfId="47526"/>
    <cellStyle name="Output 26" xfId="47527"/>
    <cellStyle name="Output 26 2" xfId="47528"/>
    <cellStyle name="Output 27" xfId="47529"/>
    <cellStyle name="Output 27 2" xfId="47530"/>
    <cellStyle name="Output 28" xfId="47531"/>
    <cellStyle name="Output 28 2" xfId="47532"/>
    <cellStyle name="Output 29" xfId="47533"/>
    <cellStyle name="Output 29 2" xfId="47534"/>
    <cellStyle name="Output 3" xfId="47535"/>
    <cellStyle name="Output 3 10" xfId="47536"/>
    <cellStyle name="Output 3 11" xfId="47537"/>
    <cellStyle name="Output 3 12" xfId="47538"/>
    <cellStyle name="Output 3 13" xfId="47539"/>
    <cellStyle name="Output 3 13 10" xfId="47540"/>
    <cellStyle name="Output 3 13 11" xfId="47541"/>
    <cellStyle name="Output 3 13 2" xfId="47542"/>
    <cellStyle name="Output 3 13 2 2" xfId="47543"/>
    <cellStyle name="Output 3 13 2 3" xfId="47544"/>
    <cellStyle name="Output 3 13 2 4" xfId="47545"/>
    <cellStyle name="Output 3 13 2 5" xfId="47546"/>
    <cellStyle name="Output 3 13 2 6" xfId="47547"/>
    <cellStyle name="Output 3 13 3" xfId="47548"/>
    <cellStyle name="Output 3 13 4" xfId="47549"/>
    <cellStyle name="Output 3 13 5" xfId="47550"/>
    <cellStyle name="Output 3 13 6" xfId="47551"/>
    <cellStyle name="Output 3 13 7" xfId="47552"/>
    <cellStyle name="Output 3 13 8" xfId="47553"/>
    <cellStyle name="Output 3 13 9" xfId="47554"/>
    <cellStyle name="Output 3 14" xfId="47555"/>
    <cellStyle name="Output 3 15" xfId="47556"/>
    <cellStyle name="Output 3 16" xfId="47557"/>
    <cellStyle name="Output 3 17" xfId="47558"/>
    <cellStyle name="Output 3 18" xfId="47559"/>
    <cellStyle name="Output 3 19" xfId="47560"/>
    <cellStyle name="Output 3 2" xfId="47561"/>
    <cellStyle name="Output 3 2 10" xfId="47562"/>
    <cellStyle name="Output 3 2 11" xfId="47563"/>
    <cellStyle name="Output 3 2 12" xfId="47564"/>
    <cellStyle name="Output 3 2 2" xfId="47565"/>
    <cellStyle name="Output 3 2 2 2" xfId="47566"/>
    <cellStyle name="Output 3 2 2 3" xfId="47567"/>
    <cellStyle name="Output 3 2 2 4" xfId="47568"/>
    <cellStyle name="Output 3 2 2 5" xfId="47569"/>
    <cellStyle name="Output 3 2 2 6" xfId="47570"/>
    <cellStyle name="Output 3 2 3" xfId="47571"/>
    <cellStyle name="Output 3 2 4" xfId="47572"/>
    <cellStyle name="Output 3 2 5" xfId="47573"/>
    <cellStyle name="Output 3 2 6" xfId="47574"/>
    <cellStyle name="Output 3 2 7" xfId="47575"/>
    <cellStyle name="Output 3 2 8" xfId="47576"/>
    <cellStyle name="Output 3 2 9" xfId="47577"/>
    <cellStyle name="Output 3 20" xfId="47578"/>
    <cellStyle name="Output 3 21" xfId="47579"/>
    <cellStyle name="Output 3 22" xfId="47580"/>
    <cellStyle name="Output 3 23" xfId="47581"/>
    <cellStyle name="Output 3 24" xfId="47582"/>
    <cellStyle name="Output 3 25" xfId="47583"/>
    <cellStyle name="Output 3 26" xfId="47584"/>
    <cellStyle name="Output 3 27" xfId="47585"/>
    <cellStyle name="Output 3 28" xfId="47586"/>
    <cellStyle name="Output 3 29" xfId="47587"/>
    <cellStyle name="Output 3 3" xfId="47588"/>
    <cellStyle name="Output 3 30" xfId="47589"/>
    <cellStyle name="Output 3 31" xfId="47590"/>
    <cellStyle name="Output 3 32" xfId="47591"/>
    <cellStyle name="Output 3 33" xfId="47592"/>
    <cellStyle name="Output 3 34" xfId="47593"/>
    <cellStyle name="Output 3 35" xfId="47594"/>
    <cellStyle name="Output 3 36" xfId="47595"/>
    <cellStyle name="Output 3 37" xfId="47596"/>
    <cellStyle name="Output 3 38" xfId="47597"/>
    <cellStyle name="Output 3 39" xfId="47598"/>
    <cellStyle name="Output 3 39 2" xfId="47599"/>
    <cellStyle name="Output 3 4" xfId="47600"/>
    <cellStyle name="Output 3 40" xfId="47601"/>
    <cellStyle name="Output 3 40 2" xfId="47602"/>
    <cellStyle name="Output 3 41" xfId="47603"/>
    <cellStyle name="Output 3 41 2" xfId="47604"/>
    <cellStyle name="Output 3 42" xfId="47605"/>
    <cellStyle name="Output 3 42 2" xfId="47606"/>
    <cellStyle name="Output 3 42 3" xfId="47607"/>
    <cellStyle name="Output 3 42 4" xfId="47608"/>
    <cellStyle name="Output 3 42 5" xfId="47609"/>
    <cellStyle name="Output 3 42 6" xfId="47610"/>
    <cellStyle name="Output 3 43" xfId="47611"/>
    <cellStyle name="Output 3 43 2" xfId="47612"/>
    <cellStyle name="Output 3 44" xfId="47613"/>
    <cellStyle name="Output 3 44 2" xfId="47614"/>
    <cellStyle name="Output 3 45" xfId="47615"/>
    <cellStyle name="Output 3 45 2" xfId="47616"/>
    <cellStyle name="Output 3 46" xfId="47617"/>
    <cellStyle name="Output 3 46 2" xfId="47618"/>
    <cellStyle name="Output 3 47" xfId="47619"/>
    <cellStyle name="Output 3 48" xfId="47620"/>
    <cellStyle name="Output 3 49" xfId="47621"/>
    <cellStyle name="Output 3 5" xfId="47622"/>
    <cellStyle name="Output 3 50" xfId="47623"/>
    <cellStyle name="Output 3 6" xfId="47624"/>
    <cellStyle name="Output 3 7" xfId="47625"/>
    <cellStyle name="Output 3 8" xfId="47626"/>
    <cellStyle name="Output 3 9" xfId="47627"/>
    <cellStyle name="Output 30" xfId="47628"/>
    <cellStyle name="Output 30 2" xfId="47629"/>
    <cellStyle name="Output 31" xfId="47630"/>
    <cellStyle name="Output 31 2" xfId="47631"/>
    <cellStyle name="Output 32" xfId="47632"/>
    <cellStyle name="Output 32 2" xfId="47633"/>
    <cellStyle name="Output 33" xfId="47634"/>
    <cellStyle name="Output 33 2" xfId="47635"/>
    <cellStyle name="Output 34" xfId="47636"/>
    <cellStyle name="Output 34 2" xfId="47637"/>
    <cellStyle name="Output 35" xfId="47638"/>
    <cellStyle name="Output 35 2" xfId="47639"/>
    <cellStyle name="Output 36" xfId="47640"/>
    <cellStyle name="Output 36 2" xfId="47641"/>
    <cellStyle name="Output 37" xfId="47642"/>
    <cellStyle name="Output 37 2" xfId="47643"/>
    <cellStyle name="Output 38" xfId="47644"/>
    <cellStyle name="Output 38 2" xfId="47645"/>
    <cellStyle name="Output 39" xfId="47646"/>
    <cellStyle name="Output 39 2" xfId="47647"/>
    <cellStyle name="Output 4" xfId="47648"/>
    <cellStyle name="Output 4 10" xfId="47649"/>
    <cellStyle name="Output 4 10 2" xfId="47650"/>
    <cellStyle name="Output 4 11" xfId="47651"/>
    <cellStyle name="Output 4 11 2" xfId="47652"/>
    <cellStyle name="Output 4 12" xfId="47653"/>
    <cellStyle name="Output 4 12 2" xfId="47654"/>
    <cellStyle name="Output 4 13" xfId="47655"/>
    <cellStyle name="Output 4 13 2" xfId="47656"/>
    <cellStyle name="Output 4 14" xfId="47657"/>
    <cellStyle name="Output 4 14 2" xfId="47658"/>
    <cellStyle name="Output 4 15" xfId="47659"/>
    <cellStyle name="Output 4 15 2" xfId="47660"/>
    <cellStyle name="Output 4 16" xfId="47661"/>
    <cellStyle name="Output 4 16 2" xfId="47662"/>
    <cellStyle name="Output 4 17" xfId="47663"/>
    <cellStyle name="Output 4 17 2" xfId="47664"/>
    <cellStyle name="Output 4 18" xfId="47665"/>
    <cellStyle name="Output 4 18 2" xfId="47666"/>
    <cellStyle name="Output 4 19" xfId="47667"/>
    <cellStyle name="Output 4 19 2" xfId="47668"/>
    <cellStyle name="Output 4 2" xfId="47669"/>
    <cellStyle name="Output 4 2 10" xfId="47670"/>
    <cellStyle name="Output 4 2 10 2" xfId="47671"/>
    <cellStyle name="Output 4 2 11" xfId="47672"/>
    <cellStyle name="Output 4 2 11 2" xfId="47673"/>
    <cellStyle name="Output 4 2 12" xfId="47674"/>
    <cellStyle name="Output 4 2 12 2" xfId="47675"/>
    <cellStyle name="Output 4 2 13" xfId="47676"/>
    <cellStyle name="Output 4 2 13 2" xfId="47677"/>
    <cellStyle name="Output 4 2 14" xfId="47678"/>
    <cellStyle name="Output 4 2 14 2" xfId="47679"/>
    <cellStyle name="Output 4 2 15" xfId="47680"/>
    <cellStyle name="Output 4 2 15 2" xfId="47681"/>
    <cellStyle name="Output 4 2 16" xfId="47682"/>
    <cellStyle name="Output 4 2 16 2" xfId="47683"/>
    <cellStyle name="Output 4 2 17" xfId="47684"/>
    <cellStyle name="Output 4 2 17 2" xfId="47685"/>
    <cellStyle name="Output 4 2 18" xfId="47686"/>
    <cellStyle name="Output 4 2 18 2" xfId="47687"/>
    <cellStyle name="Output 4 2 19" xfId="47688"/>
    <cellStyle name="Output 4 2 19 2" xfId="47689"/>
    <cellStyle name="Output 4 2 2" xfId="47690"/>
    <cellStyle name="Output 4 2 2 2" xfId="47691"/>
    <cellStyle name="Output 4 2 2 3" xfId="47692"/>
    <cellStyle name="Output 4 2 20" xfId="47693"/>
    <cellStyle name="Output 4 2 20 2" xfId="47694"/>
    <cellStyle name="Output 4 2 21" xfId="47695"/>
    <cellStyle name="Output 4 2 21 2" xfId="47696"/>
    <cellStyle name="Output 4 2 22" xfId="47697"/>
    <cellStyle name="Output 4 2 22 2" xfId="47698"/>
    <cellStyle name="Output 4 2 23" xfId="47699"/>
    <cellStyle name="Output 4 2 23 2" xfId="47700"/>
    <cellStyle name="Output 4 2 24" xfId="47701"/>
    <cellStyle name="Output 4 2 24 2" xfId="47702"/>
    <cellStyle name="Output 4 2 25" xfId="47703"/>
    <cellStyle name="Output 4 2 25 2" xfId="47704"/>
    <cellStyle name="Output 4 2 26" xfId="47705"/>
    <cellStyle name="Output 4 2 26 2" xfId="47706"/>
    <cellStyle name="Output 4 2 27" xfId="47707"/>
    <cellStyle name="Output 4 2 27 2" xfId="47708"/>
    <cellStyle name="Output 4 2 28" xfId="47709"/>
    <cellStyle name="Output 4 2 28 2" xfId="47710"/>
    <cellStyle name="Output 4 2 29" xfId="47711"/>
    <cellStyle name="Output 4 2 29 2" xfId="47712"/>
    <cellStyle name="Output 4 2 3" xfId="47713"/>
    <cellStyle name="Output 4 2 3 2" xfId="47714"/>
    <cellStyle name="Output 4 2 3 3" xfId="47715"/>
    <cellStyle name="Output 4 2 30" xfId="47716"/>
    <cellStyle name="Output 4 2 30 2" xfId="47717"/>
    <cellStyle name="Output 4 2 31" xfId="47718"/>
    <cellStyle name="Output 4 2 4" xfId="47719"/>
    <cellStyle name="Output 4 2 4 2" xfId="47720"/>
    <cellStyle name="Output 4 2 5" xfId="47721"/>
    <cellStyle name="Output 4 2 5 2" xfId="47722"/>
    <cellStyle name="Output 4 2 6" xfId="47723"/>
    <cellStyle name="Output 4 2 6 2" xfId="47724"/>
    <cellStyle name="Output 4 2 7" xfId="47725"/>
    <cellStyle name="Output 4 2 7 2" xfId="47726"/>
    <cellStyle name="Output 4 2 8" xfId="47727"/>
    <cellStyle name="Output 4 2 8 2" xfId="47728"/>
    <cellStyle name="Output 4 2 9" xfId="47729"/>
    <cellStyle name="Output 4 2 9 2" xfId="47730"/>
    <cellStyle name="Output 4 20" xfId="47731"/>
    <cellStyle name="Output 4 20 2" xfId="47732"/>
    <cellStyle name="Output 4 21" xfId="47733"/>
    <cellStyle name="Output 4 21 2" xfId="47734"/>
    <cellStyle name="Output 4 22" xfId="47735"/>
    <cellStyle name="Output 4 22 2" xfId="47736"/>
    <cellStyle name="Output 4 23" xfId="47737"/>
    <cellStyle name="Output 4 23 2" xfId="47738"/>
    <cellStyle name="Output 4 24" xfId="47739"/>
    <cellStyle name="Output 4 24 2" xfId="47740"/>
    <cellStyle name="Output 4 25" xfId="47741"/>
    <cellStyle name="Output 4 25 2" xfId="47742"/>
    <cellStyle name="Output 4 26" xfId="47743"/>
    <cellStyle name="Output 4 26 2" xfId="47744"/>
    <cellStyle name="Output 4 27" xfId="47745"/>
    <cellStyle name="Output 4 27 2" xfId="47746"/>
    <cellStyle name="Output 4 28" xfId="47747"/>
    <cellStyle name="Output 4 28 2" xfId="47748"/>
    <cellStyle name="Output 4 29" xfId="47749"/>
    <cellStyle name="Output 4 29 2" xfId="47750"/>
    <cellStyle name="Output 4 3" xfId="47751"/>
    <cellStyle name="Output 4 3 2" xfId="47752"/>
    <cellStyle name="Output 4 3 2 2" xfId="47753"/>
    <cellStyle name="Output 4 3 3" xfId="47754"/>
    <cellStyle name="Output 4 3 3 2" xfId="47755"/>
    <cellStyle name="Output 4 3 4" xfId="47756"/>
    <cellStyle name="Output 4 3 4 2" xfId="47757"/>
    <cellStyle name="Output 4 3 5" xfId="47758"/>
    <cellStyle name="Output 4 30" xfId="47759"/>
    <cellStyle name="Output 4 30 2" xfId="47760"/>
    <cellStyle name="Output 4 31" xfId="47761"/>
    <cellStyle name="Output 4 31 2" xfId="47762"/>
    <cellStyle name="Output 4 32" xfId="47763"/>
    <cellStyle name="Output 4 32 2" xfId="47764"/>
    <cellStyle name="Output 4 33" xfId="47765"/>
    <cellStyle name="Output 4 33 2" xfId="47766"/>
    <cellStyle name="Output 4 34" xfId="47767"/>
    <cellStyle name="Output 4 34 2" xfId="47768"/>
    <cellStyle name="Output 4 35" xfId="47769"/>
    <cellStyle name="Output 4 35 2" xfId="47770"/>
    <cellStyle name="Output 4 36" xfId="47771"/>
    <cellStyle name="Output 4 36 2" xfId="47772"/>
    <cellStyle name="Output 4 37" xfId="47773"/>
    <cellStyle name="Output 4 37 2" xfId="47774"/>
    <cellStyle name="Output 4 38" xfId="47775"/>
    <cellStyle name="Output 4 38 2" xfId="47776"/>
    <cellStyle name="Output 4 39" xfId="47777"/>
    <cellStyle name="Output 4 39 2" xfId="47778"/>
    <cellStyle name="Output 4 4" xfId="47779"/>
    <cellStyle name="Output 4 4 2" xfId="47780"/>
    <cellStyle name="Output 4 4 2 2" xfId="47781"/>
    <cellStyle name="Output 4 4 3" xfId="47782"/>
    <cellStyle name="Output 4 4 3 2" xfId="47783"/>
    <cellStyle name="Output 4 4 4" xfId="47784"/>
    <cellStyle name="Output 4 4 4 2" xfId="47785"/>
    <cellStyle name="Output 4 4 5" xfId="47786"/>
    <cellStyle name="Output 4 40" xfId="47787"/>
    <cellStyle name="Output 4 40 2" xfId="47788"/>
    <cellStyle name="Output 4 41" xfId="47789"/>
    <cellStyle name="Output 4 41 2" xfId="47790"/>
    <cellStyle name="Output 4 42" xfId="47791"/>
    <cellStyle name="Output 4 42 2" xfId="47792"/>
    <cellStyle name="Output 4 43" xfId="47793"/>
    <cellStyle name="Output 4 43 2" xfId="47794"/>
    <cellStyle name="Output 4 44" xfId="47795"/>
    <cellStyle name="Output 4 44 2" xfId="47796"/>
    <cellStyle name="Output 4 45" xfId="47797"/>
    <cellStyle name="Output 4 45 2" xfId="47798"/>
    <cellStyle name="Output 4 46" xfId="47799"/>
    <cellStyle name="Output 4 46 2" xfId="47800"/>
    <cellStyle name="Output 4 47" xfId="47801"/>
    <cellStyle name="Output 4 47 2" xfId="47802"/>
    <cellStyle name="Output 4 48" xfId="47803"/>
    <cellStyle name="Output 4 48 2" xfId="47804"/>
    <cellStyle name="Output 4 49" xfId="47805"/>
    <cellStyle name="Output 4 49 2" xfId="47806"/>
    <cellStyle name="Output 4 5" xfId="47807"/>
    <cellStyle name="Output 4 5 2" xfId="47808"/>
    <cellStyle name="Output 4 5 2 2" xfId="47809"/>
    <cellStyle name="Output 4 5 3" xfId="47810"/>
    <cellStyle name="Output 4 5 3 2" xfId="47811"/>
    <cellStyle name="Output 4 5 4" xfId="47812"/>
    <cellStyle name="Output 4 5 4 2" xfId="47813"/>
    <cellStyle name="Output 4 5 5" xfId="47814"/>
    <cellStyle name="Output 4 50" xfId="47815"/>
    <cellStyle name="Output 4 50 2" xfId="47816"/>
    <cellStyle name="Output 4 51" xfId="47817"/>
    <cellStyle name="Output 4 51 2" xfId="47818"/>
    <cellStyle name="Output 4 52" xfId="47819"/>
    <cellStyle name="Output 4 52 2" xfId="47820"/>
    <cellStyle name="Output 4 53" xfId="47821"/>
    <cellStyle name="Output 4 53 2" xfId="47822"/>
    <cellStyle name="Output 4 54" xfId="47823"/>
    <cellStyle name="Output 4 54 2" xfId="47824"/>
    <cellStyle name="Output 4 55" xfId="47825"/>
    <cellStyle name="Output 4 55 2" xfId="47826"/>
    <cellStyle name="Output 4 56" xfId="47827"/>
    <cellStyle name="Output 4 56 2" xfId="47828"/>
    <cellStyle name="Output 4 57" xfId="47829"/>
    <cellStyle name="Output 4 6" xfId="47830"/>
    <cellStyle name="Output 4 6 2" xfId="47831"/>
    <cellStyle name="Output 4 6 2 2" xfId="47832"/>
    <cellStyle name="Output 4 6 3" xfId="47833"/>
    <cellStyle name="Output 4 6 3 2" xfId="47834"/>
    <cellStyle name="Output 4 6 4" xfId="47835"/>
    <cellStyle name="Output 4 6 4 2" xfId="47836"/>
    <cellStyle name="Output 4 6 5" xfId="47837"/>
    <cellStyle name="Output 4 7" xfId="47838"/>
    <cellStyle name="Output 4 7 2" xfId="47839"/>
    <cellStyle name="Output 4 7 2 2" xfId="47840"/>
    <cellStyle name="Output 4 7 3" xfId="47841"/>
    <cellStyle name="Output 4 7 3 2" xfId="47842"/>
    <cellStyle name="Output 4 7 4" xfId="47843"/>
    <cellStyle name="Output 4 7 4 2" xfId="47844"/>
    <cellStyle name="Output 4 7 5" xfId="47845"/>
    <cellStyle name="Output 4 8" xfId="47846"/>
    <cellStyle name="Output 4 8 2" xfId="47847"/>
    <cellStyle name="Output 4 8 2 2" xfId="47848"/>
    <cellStyle name="Output 4 8 3" xfId="47849"/>
    <cellStyle name="Output 4 8 3 2" xfId="47850"/>
    <cellStyle name="Output 4 8 4" xfId="47851"/>
    <cellStyle name="Output 4 8 4 2" xfId="47852"/>
    <cellStyle name="Output 4 8 5" xfId="47853"/>
    <cellStyle name="Output 4 9" xfId="47854"/>
    <cellStyle name="Output 4 9 2" xfId="47855"/>
    <cellStyle name="Output 4 9 2 2" xfId="47856"/>
    <cellStyle name="Output 4 9 3" xfId="47857"/>
    <cellStyle name="Output 4 9 3 2" xfId="47858"/>
    <cellStyle name="Output 4 9 4" xfId="47859"/>
    <cellStyle name="Output 4 9 4 2" xfId="47860"/>
    <cellStyle name="Output 4 9 5" xfId="47861"/>
    <cellStyle name="Output 40" xfId="47862"/>
    <cellStyle name="Output 40 2" xfId="47863"/>
    <cellStyle name="Output 41" xfId="47864"/>
    <cellStyle name="Output 41 2" xfId="47865"/>
    <cellStyle name="Output 42" xfId="47866"/>
    <cellStyle name="Output 42 2" xfId="47867"/>
    <cellStyle name="Output 43" xfId="47868"/>
    <cellStyle name="Output 43 2" xfId="47869"/>
    <cellStyle name="Output 44" xfId="47870"/>
    <cellStyle name="Output 44 2" xfId="47871"/>
    <cellStyle name="Output 45" xfId="47872"/>
    <cellStyle name="Output 45 2" xfId="47873"/>
    <cellStyle name="Output 46" xfId="47874"/>
    <cellStyle name="Output 46 2" xfId="47875"/>
    <cellStyle name="Output 47" xfId="47876"/>
    <cellStyle name="Output 47 2" xfId="47877"/>
    <cellStyle name="Output 48" xfId="47878"/>
    <cellStyle name="Output 48 2" xfId="47879"/>
    <cellStyle name="Output 49" xfId="47880"/>
    <cellStyle name="Output 49 2" xfId="47881"/>
    <cellStyle name="Output 5" xfId="47882"/>
    <cellStyle name="Output 5 10" xfId="47883"/>
    <cellStyle name="Output 5 10 2" xfId="47884"/>
    <cellStyle name="Output 5 11" xfId="47885"/>
    <cellStyle name="Output 5 11 2" xfId="47886"/>
    <cellStyle name="Output 5 12" xfId="47887"/>
    <cellStyle name="Output 5 12 2" xfId="47888"/>
    <cellStyle name="Output 5 13" xfId="47889"/>
    <cellStyle name="Output 5 13 2" xfId="47890"/>
    <cellStyle name="Output 5 14" xfId="47891"/>
    <cellStyle name="Output 5 14 2" xfId="47892"/>
    <cellStyle name="Output 5 15" xfId="47893"/>
    <cellStyle name="Output 5 15 2" xfId="47894"/>
    <cellStyle name="Output 5 16" xfId="47895"/>
    <cellStyle name="Output 5 16 2" xfId="47896"/>
    <cellStyle name="Output 5 17" xfId="47897"/>
    <cellStyle name="Output 5 17 2" xfId="47898"/>
    <cellStyle name="Output 5 18" xfId="47899"/>
    <cellStyle name="Output 5 18 2" xfId="47900"/>
    <cellStyle name="Output 5 19" xfId="47901"/>
    <cellStyle name="Output 5 19 2" xfId="47902"/>
    <cellStyle name="Output 5 2" xfId="47903"/>
    <cellStyle name="Output 5 2 2" xfId="47904"/>
    <cellStyle name="Output 5 2 3" xfId="47905"/>
    <cellStyle name="Output 5 20" xfId="47906"/>
    <cellStyle name="Output 5 20 2" xfId="47907"/>
    <cellStyle name="Output 5 21" xfId="47908"/>
    <cellStyle name="Output 5 21 2" xfId="47909"/>
    <cellStyle name="Output 5 22" xfId="47910"/>
    <cellStyle name="Output 5 22 2" xfId="47911"/>
    <cellStyle name="Output 5 23" xfId="47912"/>
    <cellStyle name="Output 5 23 2" xfId="47913"/>
    <cellStyle name="Output 5 24" xfId="47914"/>
    <cellStyle name="Output 5 24 2" xfId="47915"/>
    <cellStyle name="Output 5 25" xfId="47916"/>
    <cellStyle name="Output 5 25 2" xfId="47917"/>
    <cellStyle name="Output 5 26" xfId="47918"/>
    <cellStyle name="Output 5 26 2" xfId="47919"/>
    <cellStyle name="Output 5 27" xfId="47920"/>
    <cellStyle name="Output 5 27 2" xfId="47921"/>
    <cellStyle name="Output 5 28" xfId="47922"/>
    <cellStyle name="Output 5 28 2" xfId="47923"/>
    <cellStyle name="Output 5 29" xfId="47924"/>
    <cellStyle name="Output 5 29 2" xfId="47925"/>
    <cellStyle name="Output 5 3" xfId="47926"/>
    <cellStyle name="Output 5 3 2" xfId="47927"/>
    <cellStyle name="Output 5 3 3" xfId="47928"/>
    <cellStyle name="Output 5 30" xfId="47929"/>
    <cellStyle name="Output 5 30 2" xfId="47930"/>
    <cellStyle name="Output 5 31" xfId="47931"/>
    <cellStyle name="Output 5 4" xfId="47932"/>
    <cellStyle name="Output 5 4 2" xfId="47933"/>
    <cellStyle name="Output 5 5" xfId="47934"/>
    <cellStyle name="Output 5 5 2" xfId="47935"/>
    <cellStyle name="Output 5 6" xfId="47936"/>
    <cellStyle name="Output 5 6 2" xfId="47937"/>
    <cellStyle name="Output 5 7" xfId="47938"/>
    <cellStyle name="Output 5 7 2" xfId="47939"/>
    <cellStyle name="Output 5 8" xfId="47940"/>
    <cellStyle name="Output 5 8 2" xfId="47941"/>
    <cellStyle name="Output 5 9" xfId="47942"/>
    <cellStyle name="Output 5 9 2" xfId="47943"/>
    <cellStyle name="Output 50" xfId="47944"/>
    <cellStyle name="Output 50 2" xfId="47945"/>
    <cellStyle name="Output 51" xfId="47946"/>
    <cellStyle name="Output 51 2" xfId="47947"/>
    <cellStyle name="Output 52" xfId="47948"/>
    <cellStyle name="Output 52 2" xfId="47949"/>
    <cellStyle name="Output 53" xfId="47950"/>
    <cellStyle name="Output 53 2" xfId="47951"/>
    <cellStyle name="Output 54" xfId="47952"/>
    <cellStyle name="Output 54 2" xfId="47953"/>
    <cellStyle name="Output 55" xfId="47954"/>
    <cellStyle name="Output 55 2" xfId="47955"/>
    <cellStyle name="Output 56" xfId="47956"/>
    <cellStyle name="Output 56 2" xfId="47957"/>
    <cellStyle name="Output 57" xfId="47958"/>
    <cellStyle name="Output 57 2" xfId="47959"/>
    <cellStyle name="Output 58" xfId="47960"/>
    <cellStyle name="Output 58 2" xfId="47961"/>
    <cellStyle name="Output 59" xfId="47962"/>
    <cellStyle name="Output 59 2" xfId="47963"/>
    <cellStyle name="Output 6" xfId="47964"/>
    <cellStyle name="Output 6 2" xfId="47965"/>
    <cellStyle name="Output 6 2 2" xfId="47966"/>
    <cellStyle name="Output 6 3" xfId="47967"/>
    <cellStyle name="Output 6 3 2" xfId="47968"/>
    <cellStyle name="Output 6 4" xfId="47969"/>
    <cellStyle name="Output 6 4 2" xfId="47970"/>
    <cellStyle name="Output 6 5" xfId="47971"/>
    <cellStyle name="Output 60" xfId="47972"/>
    <cellStyle name="Output 60 2" xfId="47973"/>
    <cellStyle name="Output 61" xfId="47974"/>
    <cellStyle name="Output 61 2" xfId="47975"/>
    <cellStyle name="Output 62" xfId="47976"/>
    <cellStyle name="Output 62 2" xfId="47977"/>
    <cellStyle name="Output 63" xfId="47978"/>
    <cellStyle name="Output 63 2" xfId="47979"/>
    <cellStyle name="Output 64" xfId="47980"/>
    <cellStyle name="Output 64 2" xfId="47981"/>
    <cellStyle name="Output 65" xfId="47982"/>
    <cellStyle name="Output 65 2" xfId="47983"/>
    <cellStyle name="Output 66" xfId="47984"/>
    <cellStyle name="Output 67" xfId="47985"/>
    <cellStyle name="Output 68" xfId="47986"/>
    <cellStyle name="Output 69" xfId="47987"/>
    <cellStyle name="Output 7" xfId="47988"/>
    <cellStyle name="Output 7 10" xfId="47989"/>
    <cellStyle name="Output 7 11" xfId="47990"/>
    <cellStyle name="Output 7 12" xfId="47991"/>
    <cellStyle name="Output 7 13" xfId="47992"/>
    <cellStyle name="Output 7 2" xfId="47993"/>
    <cellStyle name="Output 7 2 2" xfId="47994"/>
    <cellStyle name="Output 7 2 3" xfId="47995"/>
    <cellStyle name="Output 7 3" xfId="47996"/>
    <cellStyle name="Output 7 3 2" xfId="47997"/>
    <cellStyle name="Output 7 4" xfId="47998"/>
    <cellStyle name="Output 7 4 2" xfId="47999"/>
    <cellStyle name="Output 7 5" xfId="48000"/>
    <cellStyle name="Output 7 5 2" xfId="48001"/>
    <cellStyle name="Output 7 5 3" xfId="48002"/>
    <cellStyle name="Output 7 5 4" xfId="48003"/>
    <cellStyle name="Output 7 5 5" xfId="48004"/>
    <cellStyle name="Output 7 5 6" xfId="48005"/>
    <cellStyle name="Output 7 6" xfId="48006"/>
    <cellStyle name="Output 7 6 2" xfId="48007"/>
    <cellStyle name="Output 7 7" xfId="48008"/>
    <cellStyle name="Output 7 7 2" xfId="48009"/>
    <cellStyle name="Output 7 8" xfId="48010"/>
    <cellStyle name="Output 7 8 2" xfId="48011"/>
    <cellStyle name="Output 7 9" xfId="48012"/>
    <cellStyle name="Output 7 9 2" xfId="48013"/>
    <cellStyle name="Output 70" xfId="48014"/>
    <cellStyle name="Output 71" xfId="48015"/>
    <cellStyle name="Output 72" xfId="48016"/>
    <cellStyle name="Output 72 2" xfId="48017"/>
    <cellStyle name="Output 73" xfId="48018"/>
    <cellStyle name="Output 73 2" xfId="48019"/>
    <cellStyle name="Output 74" xfId="48020"/>
    <cellStyle name="Output 74 2" xfId="48021"/>
    <cellStyle name="Output 75" xfId="48022"/>
    <cellStyle name="Output 76" xfId="48023"/>
    <cellStyle name="Output 77" xfId="48024"/>
    <cellStyle name="Output 78" xfId="48025"/>
    <cellStyle name="Output 79" xfId="48026"/>
    <cellStyle name="Output 8" xfId="48027"/>
    <cellStyle name="Output 8 10" xfId="48028"/>
    <cellStyle name="Output 8 11" xfId="48029"/>
    <cellStyle name="Output 8 12" xfId="48030"/>
    <cellStyle name="Output 8 13" xfId="48031"/>
    <cellStyle name="Output 8 2" xfId="48032"/>
    <cellStyle name="Output 8 2 2" xfId="48033"/>
    <cellStyle name="Output 8 2 3" xfId="48034"/>
    <cellStyle name="Output 8 3" xfId="48035"/>
    <cellStyle name="Output 8 3 2" xfId="48036"/>
    <cellStyle name="Output 8 4" xfId="48037"/>
    <cellStyle name="Output 8 4 2" xfId="48038"/>
    <cellStyle name="Output 8 5" xfId="48039"/>
    <cellStyle name="Output 8 5 2" xfId="48040"/>
    <cellStyle name="Output 8 5 3" xfId="48041"/>
    <cellStyle name="Output 8 5 4" xfId="48042"/>
    <cellStyle name="Output 8 5 5" xfId="48043"/>
    <cellStyle name="Output 8 5 6" xfId="48044"/>
    <cellStyle name="Output 8 6" xfId="48045"/>
    <cellStyle name="Output 8 6 2" xfId="48046"/>
    <cellStyle name="Output 8 7" xfId="48047"/>
    <cellStyle name="Output 8 7 2" xfId="48048"/>
    <cellStyle name="Output 8 8" xfId="48049"/>
    <cellStyle name="Output 8 8 2" xfId="48050"/>
    <cellStyle name="Output 8 9" xfId="48051"/>
    <cellStyle name="Output 8 9 2" xfId="48052"/>
    <cellStyle name="Output 80" xfId="48053"/>
    <cellStyle name="Output 81" xfId="48054"/>
    <cellStyle name="Output 82" xfId="48055"/>
    <cellStyle name="Output 83" xfId="48056"/>
    <cellStyle name="Output 84" xfId="48057"/>
    <cellStyle name="Output 85" xfId="48058"/>
    <cellStyle name="Output 86" xfId="48059"/>
    <cellStyle name="Output 87" xfId="48060"/>
    <cellStyle name="Output 88" xfId="48061"/>
    <cellStyle name="Output 89" xfId="48062"/>
    <cellStyle name="Output 89 2" xfId="48063"/>
    <cellStyle name="Output 9" xfId="48064"/>
    <cellStyle name="Output 9 10" xfId="48065"/>
    <cellStyle name="Output 9 11" xfId="48066"/>
    <cellStyle name="Output 9 12" xfId="48067"/>
    <cellStyle name="Output 9 13" xfId="48068"/>
    <cellStyle name="Output 9 2" xfId="48069"/>
    <cellStyle name="Output 9 2 2" xfId="48070"/>
    <cellStyle name="Output 9 2 3" xfId="48071"/>
    <cellStyle name="Output 9 3" xfId="48072"/>
    <cellStyle name="Output 9 3 2" xfId="48073"/>
    <cellStyle name="Output 9 4" xfId="48074"/>
    <cellStyle name="Output 9 4 2" xfId="48075"/>
    <cellStyle name="Output 9 5" xfId="48076"/>
    <cellStyle name="Output 9 5 2" xfId="48077"/>
    <cellStyle name="Output 9 5 3" xfId="48078"/>
    <cellStyle name="Output 9 5 4" xfId="48079"/>
    <cellStyle name="Output 9 5 5" xfId="48080"/>
    <cellStyle name="Output 9 5 6" xfId="48081"/>
    <cellStyle name="Output 9 6" xfId="48082"/>
    <cellStyle name="Output 9 6 2" xfId="48083"/>
    <cellStyle name="Output 9 7" xfId="48084"/>
    <cellStyle name="Output 9 7 2" xfId="48085"/>
    <cellStyle name="Output 9 8" xfId="48086"/>
    <cellStyle name="Output 9 8 2" xfId="48087"/>
    <cellStyle name="Output 9 9" xfId="48088"/>
    <cellStyle name="Output 9 9 2" xfId="48089"/>
    <cellStyle name="Output 90" xfId="48090"/>
    <cellStyle name="Output 90 2" xfId="48091"/>
    <cellStyle name="Output 91" xfId="48092"/>
    <cellStyle name="Output 92" xfId="48093"/>
    <cellStyle name="Percent 2" xfId="48094"/>
    <cellStyle name="Percent 2 10" xfId="48095"/>
    <cellStyle name="Percent 2 11" xfId="48096"/>
    <cellStyle name="Percent 2 12" xfId="48097"/>
    <cellStyle name="Percent 2 13" xfId="48098"/>
    <cellStyle name="Percent 2 14" xfId="48099"/>
    <cellStyle name="Percent 2 15" xfId="48100"/>
    <cellStyle name="Percent 2 16" xfId="48101"/>
    <cellStyle name="Percent 2 17" xfId="48102"/>
    <cellStyle name="Percent 2 18" xfId="48103"/>
    <cellStyle name="Percent 2 19" xfId="48104"/>
    <cellStyle name="Percent 2 2" xfId="48105"/>
    <cellStyle name="Percent 2 2 2" xfId="48106"/>
    <cellStyle name="Percent 2 20" xfId="48107"/>
    <cellStyle name="Percent 2 21" xfId="48108"/>
    <cellStyle name="Percent 2 22" xfId="48109"/>
    <cellStyle name="Percent 2 23" xfId="48110"/>
    <cellStyle name="Percent 2 24" xfId="48111"/>
    <cellStyle name="Percent 2 25" xfId="48112"/>
    <cellStyle name="Percent 2 26" xfId="48113"/>
    <cellStyle name="Percent 2 27" xfId="48114"/>
    <cellStyle name="Percent 2 28" xfId="48115"/>
    <cellStyle name="Percent 2 29" xfId="48116"/>
    <cellStyle name="Percent 2 3" xfId="48117"/>
    <cellStyle name="Percent 2 30" xfId="48118"/>
    <cellStyle name="Percent 2 31" xfId="48119"/>
    <cellStyle name="Percent 2 32" xfId="48120"/>
    <cellStyle name="Percent 2 33" xfId="48121"/>
    <cellStyle name="Percent 2 34" xfId="48122"/>
    <cellStyle name="Percent 2 35" xfId="48123"/>
    <cellStyle name="Percent 2 36" xfId="48124"/>
    <cellStyle name="Percent 2 37" xfId="48125"/>
    <cellStyle name="Percent 2 4" xfId="48126"/>
    <cellStyle name="Percent 2 5" xfId="48127"/>
    <cellStyle name="Percent 2 6" xfId="48128"/>
    <cellStyle name="Percent 2 7" xfId="48129"/>
    <cellStyle name="Percent 2 8" xfId="48130"/>
    <cellStyle name="Percent 2 9" xfId="48131"/>
    <cellStyle name="Percent 3" xfId="48132"/>
    <cellStyle name="Percent 3 10" xfId="48133"/>
    <cellStyle name="Percent 3 11" xfId="48134"/>
    <cellStyle name="Percent 3 12" xfId="48135"/>
    <cellStyle name="Percent 3 13" xfId="48136"/>
    <cellStyle name="Percent 3 14" xfId="48137"/>
    <cellStyle name="Percent 3 15" xfId="48138"/>
    <cellStyle name="Percent 3 16" xfId="48139"/>
    <cellStyle name="Percent 3 17" xfId="48140"/>
    <cellStyle name="Percent 3 18" xfId="48141"/>
    <cellStyle name="Percent 3 19" xfId="48142"/>
    <cellStyle name="Percent 3 2" xfId="48143"/>
    <cellStyle name="Percent 3 20" xfId="48144"/>
    <cellStyle name="Percent 3 3" xfId="48145"/>
    <cellStyle name="Percent 3 4" xfId="48146"/>
    <cellStyle name="Percent 3 5" xfId="48147"/>
    <cellStyle name="Percent 3 6" xfId="48148"/>
    <cellStyle name="Percent 3 7" xfId="48149"/>
    <cellStyle name="Percent 3 8" xfId="48150"/>
    <cellStyle name="Percent 3 9" xfId="48151"/>
    <cellStyle name="Percent 4" xfId="48152"/>
    <cellStyle name="Percent 4 2" xfId="48153"/>
    <cellStyle name="Percent 4 3" xfId="48154"/>
    <cellStyle name="Percent 4 4" xfId="48155"/>
    <cellStyle name="Percent 4 5" xfId="48156"/>
    <cellStyle name="Percent 4 6" xfId="48157"/>
    <cellStyle name="Percent 4 7" xfId="48158"/>
    <cellStyle name="Percent 5" xfId="48159"/>
    <cellStyle name="Percent 6" xfId="48160"/>
    <cellStyle name="Percent 7" xfId="48161"/>
    <cellStyle name="Percent 8" xfId="48162"/>
    <cellStyle name="Title 10" xfId="48163"/>
    <cellStyle name="Title 10 2" xfId="48164"/>
    <cellStyle name="Title 11" xfId="48165"/>
    <cellStyle name="Title 12" xfId="48166"/>
    <cellStyle name="Title 13" xfId="48167"/>
    <cellStyle name="Title 14" xfId="48168"/>
    <cellStyle name="Title 15" xfId="48169"/>
    <cellStyle name="Title 16" xfId="48170"/>
    <cellStyle name="Title 17" xfId="48171"/>
    <cellStyle name="Title 18" xfId="48172"/>
    <cellStyle name="Title 19" xfId="48173"/>
    <cellStyle name="Title 2" xfId="48174"/>
    <cellStyle name="Title 2 2" xfId="48175"/>
    <cellStyle name="Title 2 3" xfId="48176"/>
    <cellStyle name="Title 2 4" xfId="48177"/>
    <cellStyle name="Title 2 5" xfId="48178"/>
    <cellStyle name="Title 2 6" xfId="48179"/>
    <cellStyle name="Title 2 7" xfId="48180"/>
    <cellStyle name="Title 2 8" xfId="48181"/>
    <cellStyle name="Title 20" xfId="48182"/>
    <cellStyle name="Title 21" xfId="48183"/>
    <cellStyle name="Title 22" xfId="48184"/>
    <cellStyle name="Title 23" xfId="48185"/>
    <cellStyle name="Title 24" xfId="48186"/>
    <cellStyle name="Title 25" xfId="48187"/>
    <cellStyle name="Title 26" xfId="48188"/>
    <cellStyle name="Title 27" xfId="48189"/>
    <cellStyle name="Title 28" xfId="48190"/>
    <cellStyle name="Title 29" xfId="48191"/>
    <cellStyle name="Title 3" xfId="48192"/>
    <cellStyle name="Title 30" xfId="48193"/>
    <cellStyle name="Title 31" xfId="48194"/>
    <cellStyle name="Title 32" xfId="48195"/>
    <cellStyle name="Title 33" xfId="48196"/>
    <cellStyle name="Title 34" xfId="48197"/>
    <cellStyle name="Title 35" xfId="48198"/>
    <cellStyle name="Title 36" xfId="48199"/>
    <cellStyle name="Title 37" xfId="48200"/>
    <cellStyle name="Title 38" xfId="48201"/>
    <cellStyle name="Title 39" xfId="48202"/>
    <cellStyle name="Title 4" xfId="48203"/>
    <cellStyle name="Title 4 2" xfId="48204"/>
    <cellStyle name="Title 4 3" xfId="48205"/>
    <cellStyle name="Title 4 4" xfId="48206"/>
    <cellStyle name="Title 5" xfId="48207"/>
    <cellStyle name="Title 5 10" xfId="48208"/>
    <cellStyle name="Title 5 11" xfId="48209"/>
    <cellStyle name="Title 5 2" xfId="48210"/>
    <cellStyle name="Title 5 2 2" xfId="48211"/>
    <cellStyle name="Title 5 2 3" xfId="48212"/>
    <cellStyle name="Title 5 2 4" xfId="48213"/>
    <cellStyle name="Title 5 2 5" xfId="48214"/>
    <cellStyle name="Title 5 2 6" xfId="48215"/>
    <cellStyle name="Title 5 3" xfId="48216"/>
    <cellStyle name="Title 5 4" xfId="48217"/>
    <cellStyle name="Title 5 5" xfId="48218"/>
    <cellStyle name="Title 5 6" xfId="48219"/>
    <cellStyle name="Title 5 7" xfId="48220"/>
    <cellStyle name="Title 5 8" xfId="48221"/>
    <cellStyle name="Title 5 9" xfId="48222"/>
    <cellStyle name="Title 6" xfId="48223"/>
    <cellStyle name="Title 6 2" xfId="48224"/>
    <cellStyle name="Title 6 2 2" xfId="48225"/>
    <cellStyle name="Title 6 2 3" xfId="48226"/>
    <cellStyle name="Title 6 2 4" xfId="48227"/>
    <cellStyle name="Title 6 2 5" xfId="48228"/>
    <cellStyle name="Title 6 2 6" xfId="48229"/>
    <cellStyle name="Title 6 3" xfId="48230"/>
    <cellStyle name="Title 6 4" xfId="48231"/>
    <cellStyle name="Title 6 5" xfId="48232"/>
    <cellStyle name="Title 6 6" xfId="48233"/>
    <cellStyle name="Title 6 7" xfId="48234"/>
    <cellStyle name="Title 6 8" xfId="48235"/>
    <cellStyle name="Title 6 9" xfId="48236"/>
    <cellStyle name="Title 7" xfId="48237"/>
    <cellStyle name="Title 7 2" xfId="48238"/>
    <cellStyle name="Title 7 3" xfId="48239"/>
    <cellStyle name="Title 7 4" xfId="48240"/>
    <cellStyle name="Title 8" xfId="48241"/>
    <cellStyle name="Title 8 2" xfId="48242"/>
    <cellStyle name="Title 8 3" xfId="48243"/>
    <cellStyle name="Title 8 4" xfId="48244"/>
    <cellStyle name="Title 9" xfId="48245"/>
    <cellStyle name="Title 9 2" xfId="48246"/>
    <cellStyle name="Title 9 3" xfId="48247"/>
    <cellStyle name="Total 10" xfId="48248"/>
    <cellStyle name="Total 10 10" xfId="48249"/>
    <cellStyle name="Total 10 11" xfId="48250"/>
    <cellStyle name="Total 10 12" xfId="48251"/>
    <cellStyle name="Total 10 13" xfId="48252"/>
    <cellStyle name="Total 10 2" xfId="48253"/>
    <cellStyle name="Total 10 2 2" xfId="48254"/>
    <cellStyle name="Total 10 2 3" xfId="48255"/>
    <cellStyle name="Total 10 3" xfId="48256"/>
    <cellStyle name="Total 10 3 2" xfId="48257"/>
    <cellStyle name="Total 10 4" xfId="48258"/>
    <cellStyle name="Total 10 4 2" xfId="48259"/>
    <cellStyle name="Total 10 5" xfId="48260"/>
    <cellStyle name="Total 10 5 2" xfId="48261"/>
    <cellStyle name="Total 10 5 3" xfId="48262"/>
    <cellStyle name="Total 10 5 4" xfId="48263"/>
    <cellStyle name="Total 10 5 5" xfId="48264"/>
    <cellStyle name="Total 10 5 6" xfId="48265"/>
    <cellStyle name="Total 10 6" xfId="48266"/>
    <cellStyle name="Total 10 6 2" xfId="48267"/>
    <cellStyle name="Total 10 7" xfId="48268"/>
    <cellStyle name="Total 10 7 2" xfId="48269"/>
    <cellStyle name="Total 10 8" xfId="48270"/>
    <cellStyle name="Total 10 8 2" xfId="48271"/>
    <cellStyle name="Total 10 9" xfId="48272"/>
    <cellStyle name="Total 10 9 2" xfId="48273"/>
    <cellStyle name="Total 11" xfId="48274"/>
    <cellStyle name="Total 11 10" xfId="48275"/>
    <cellStyle name="Total 11 11" xfId="48276"/>
    <cellStyle name="Total 11 12" xfId="48277"/>
    <cellStyle name="Total 11 13" xfId="48278"/>
    <cellStyle name="Total 11 2" xfId="48279"/>
    <cellStyle name="Total 11 2 2" xfId="48280"/>
    <cellStyle name="Total 11 2 3" xfId="48281"/>
    <cellStyle name="Total 11 3" xfId="48282"/>
    <cellStyle name="Total 11 3 2" xfId="48283"/>
    <cellStyle name="Total 11 4" xfId="48284"/>
    <cellStyle name="Total 11 4 2" xfId="48285"/>
    <cellStyle name="Total 11 5" xfId="48286"/>
    <cellStyle name="Total 11 5 2" xfId="48287"/>
    <cellStyle name="Total 11 5 3" xfId="48288"/>
    <cellStyle name="Total 11 5 4" xfId="48289"/>
    <cellStyle name="Total 11 5 5" xfId="48290"/>
    <cellStyle name="Total 11 5 6" xfId="48291"/>
    <cellStyle name="Total 11 6" xfId="48292"/>
    <cellStyle name="Total 11 6 2" xfId="48293"/>
    <cellStyle name="Total 11 7" xfId="48294"/>
    <cellStyle name="Total 11 7 2" xfId="48295"/>
    <cellStyle name="Total 11 8" xfId="48296"/>
    <cellStyle name="Total 11 8 2" xfId="48297"/>
    <cellStyle name="Total 11 9" xfId="48298"/>
    <cellStyle name="Total 11 9 2" xfId="48299"/>
    <cellStyle name="Total 12" xfId="48300"/>
    <cellStyle name="Total 12 10" xfId="48301"/>
    <cellStyle name="Total 12 11" xfId="48302"/>
    <cellStyle name="Total 12 12" xfId="48303"/>
    <cellStyle name="Total 12 13" xfId="48304"/>
    <cellStyle name="Total 12 2" xfId="48305"/>
    <cellStyle name="Total 12 2 2" xfId="48306"/>
    <cellStyle name="Total 12 2 3" xfId="48307"/>
    <cellStyle name="Total 12 3" xfId="48308"/>
    <cellStyle name="Total 12 3 2" xfId="48309"/>
    <cellStyle name="Total 12 4" xfId="48310"/>
    <cellStyle name="Total 12 4 2" xfId="48311"/>
    <cellStyle name="Total 12 5" xfId="48312"/>
    <cellStyle name="Total 12 5 2" xfId="48313"/>
    <cellStyle name="Total 12 5 3" xfId="48314"/>
    <cellStyle name="Total 12 5 4" xfId="48315"/>
    <cellStyle name="Total 12 5 5" xfId="48316"/>
    <cellStyle name="Total 12 5 6" xfId="48317"/>
    <cellStyle name="Total 12 6" xfId="48318"/>
    <cellStyle name="Total 12 6 2" xfId="48319"/>
    <cellStyle name="Total 12 7" xfId="48320"/>
    <cellStyle name="Total 12 7 2" xfId="48321"/>
    <cellStyle name="Total 12 8" xfId="48322"/>
    <cellStyle name="Total 12 8 2" xfId="48323"/>
    <cellStyle name="Total 12 9" xfId="48324"/>
    <cellStyle name="Total 12 9 2" xfId="48325"/>
    <cellStyle name="Total 13" xfId="48326"/>
    <cellStyle name="Total 13 10" xfId="48327"/>
    <cellStyle name="Total 13 11" xfId="48328"/>
    <cellStyle name="Total 13 12" xfId="48329"/>
    <cellStyle name="Total 13 13" xfId="48330"/>
    <cellStyle name="Total 13 2" xfId="48331"/>
    <cellStyle name="Total 13 2 2" xfId="48332"/>
    <cellStyle name="Total 13 2 3" xfId="48333"/>
    <cellStyle name="Total 13 3" xfId="48334"/>
    <cellStyle name="Total 13 3 2" xfId="48335"/>
    <cellStyle name="Total 13 4" xfId="48336"/>
    <cellStyle name="Total 13 4 2" xfId="48337"/>
    <cellStyle name="Total 13 5" xfId="48338"/>
    <cellStyle name="Total 13 5 2" xfId="48339"/>
    <cellStyle name="Total 13 5 3" xfId="48340"/>
    <cellStyle name="Total 13 5 4" xfId="48341"/>
    <cellStyle name="Total 13 5 5" xfId="48342"/>
    <cellStyle name="Total 13 5 6" xfId="48343"/>
    <cellStyle name="Total 13 6" xfId="48344"/>
    <cellStyle name="Total 13 6 2" xfId="48345"/>
    <cellStyle name="Total 13 7" xfId="48346"/>
    <cellStyle name="Total 13 7 2" xfId="48347"/>
    <cellStyle name="Total 13 8" xfId="48348"/>
    <cellStyle name="Total 13 8 2" xfId="48349"/>
    <cellStyle name="Total 13 9" xfId="48350"/>
    <cellStyle name="Total 13 9 2" xfId="48351"/>
    <cellStyle name="Total 14" xfId="48352"/>
    <cellStyle name="Total 14 10" xfId="48353"/>
    <cellStyle name="Total 14 11" xfId="48354"/>
    <cellStyle name="Total 14 12" xfId="48355"/>
    <cellStyle name="Total 14 13" xfId="48356"/>
    <cellStyle name="Total 14 2" xfId="48357"/>
    <cellStyle name="Total 14 2 2" xfId="48358"/>
    <cellStyle name="Total 14 2 3" xfId="48359"/>
    <cellStyle name="Total 14 3" xfId="48360"/>
    <cellStyle name="Total 14 3 2" xfId="48361"/>
    <cellStyle name="Total 14 4" xfId="48362"/>
    <cellStyle name="Total 14 4 2" xfId="48363"/>
    <cellStyle name="Total 14 5" xfId="48364"/>
    <cellStyle name="Total 14 5 2" xfId="48365"/>
    <cellStyle name="Total 14 5 3" xfId="48366"/>
    <cellStyle name="Total 14 5 4" xfId="48367"/>
    <cellStyle name="Total 14 5 5" xfId="48368"/>
    <cellStyle name="Total 14 5 6" xfId="48369"/>
    <cellStyle name="Total 14 6" xfId="48370"/>
    <cellStyle name="Total 14 6 2" xfId="48371"/>
    <cellStyle name="Total 14 7" xfId="48372"/>
    <cellStyle name="Total 14 7 2" xfId="48373"/>
    <cellStyle name="Total 14 8" xfId="48374"/>
    <cellStyle name="Total 14 8 2" xfId="48375"/>
    <cellStyle name="Total 14 9" xfId="48376"/>
    <cellStyle name="Total 14 9 2" xfId="48377"/>
    <cellStyle name="Total 15" xfId="48378"/>
    <cellStyle name="Total 15 10" xfId="48379"/>
    <cellStyle name="Total 15 11" xfId="48380"/>
    <cellStyle name="Total 15 12" xfId="48381"/>
    <cellStyle name="Total 15 13" xfId="48382"/>
    <cellStyle name="Total 15 2" xfId="48383"/>
    <cellStyle name="Total 15 2 2" xfId="48384"/>
    <cellStyle name="Total 15 2 3" xfId="48385"/>
    <cellStyle name="Total 15 3" xfId="48386"/>
    <cellStyle name="Total 15 3 2" xfId="48387"/>
    <cellStyle name="Total 15 4" xfId="48388"/>
    <cellStyle name="Total 15 4 2" xfId="48389"/>
    <cellStyle name="Total 15 5" xfId="48390"/>
    <cellStyle name="Total 15 5 2" xfId="48391"/>
    <cellStyle name="Total 15 5 3" xfId="48392"/>
    <cellStyle name="Total 15 5 4" xfId="48393"/>
    <cellStyle name="Total 15 5 5" xfId="48394"/>
    <cellStyle name="Total 15 5 6" xfId="48395"/>
    <cellStyle name="Total 15 6" xfId="48396"/>
    <cellStyle name="Total 15 6 2" xfId="48397"/>
    <cellStyle name="Total 15 7" xfId="48398"/>
    <cellStyle name="Total 15 7 2" xfId="48399"/>
    <cellStyle name="Total 15 8" xfId="48400"/>
    <cellStyle name="Total 15 8 2" xfId="48401"/>
    <cellStyle name="Total 15 9" xfId="48402"/>
    <cellStyle name="Total 15 9 2" xfId="48403"/>
    <cellStyle name="Total 16" xfId="48404"/>
    <cellStyle name="Total 16 10" xfId="48405"/>
    <cellStyle name="Total 16 11" xfId="48406"/>
    <cellStyle name="Total 16 12" xfId="48407"/>
    <cellStyle name="Total 16 13" xfId="48408"/>
    <cellStyle name="Total 16 2" xfId="48409"/>
    <cellStyle name="Total 16 2 2" xfId="48410"/>
    <cellStyle name="Total 16 2 3" xfId="48411"/>
    <cellStyle name="Total 16 3" xfId="48412"/>
    <cellStyle name="Total 16 3 2" xfId="48413"/>
    <cellStyle name="Total 16 4" xfId="48414"/>
    <cellStyle name="Total 16 4 2" xfId="48415"/>
    <cellStyle name="Total 16 5" xfId="48416"/>
    <cellStyle name="Total 16 5 2" xfId="48417"/>
    <cellStyle name="Total 16 5 3" xfId="48418"/>
    <cellStyle name="Total 16 5 4" xfId="48419"/>
    <cellStyle name="Total 16 5 5" xfId="48420"/>
    <cellStyle name="Total 16 5 6" xfId="48421"/>
    <cellStyle name="Total 16 6" xfId="48422"/>
    <cellStyle name="Total 16 6 2" xfId="48423"/>
    <cellStyle name="Total 16 7" xfId="48424"/>
    <cellStyle name="Total 16 7 2" xfId="48425"/>
    <cellStyle name="Total 16 8" xfId="48426"/>
    <cellStyle name="Total 16 8 2" xfId="48427"/>
    <cellStyle name="Total 16 9" xfId="48428"/>
    <cellStyle name="Total 16 9 2" xfId="48429"/>
    <cellStyle name="Total 17" xfId="48430"/>
    <cellStyle name="Total 17 10" xfId="48431"/>
    <cellStyle name="Total 17 11" xfId="48432"/>
    <cellStyle name="Total 17 12" xfId="48433"/>
    <cellStyle name="Total 17 13" xfId="48434"/>
    <cellStyle name="Total 17 2" xfId="48435"/>
    <cellStyle name="Total 17 2 2" xfId="48436"/>
    <cellStyle name="Total 17 2 3" xfId="48437"/>
    <cellStyle name="Total 17 3" xfId="48438"/>
    <cellStyle name="Total 17 3 2" xfId="48439"/>
    <cellStyle name="Total 17 4" xfId="48440"/>
    <cellStyle name="Total 17 4 2" xfId="48441"/>
    <cellStyle name="Total 17 5" xfId="48442"/>
    <cellStyle name="Total 17 5 2" xfId="48443"/>
    <cellStyle name="Total 17 5 3" xfId="48444"/>
    <cellStyle name="Total 17 5 4" xfId="48445"/>
    <cellStyle name="Total 17 5 5" xfId="48446"/>
    <cellStyle name="Total 17 5 6" xfId="48447"/>
    <cellStyle name="Total 17 6" xfId="48448"/>
    <cellStyle name="Total 17 6 2" xfId="48449"/>
    <cellStyle name="Total 17 7" xfId="48450"/>
    <cellStyle name="Total 17 7 2" xfId="48451"/>
    <cellStyle name="Total 17 8" xfId="48452"/>
    <cellStyle name="Total 17 8 2" xfId="48453"/>
    <cellStyle name="Total 17 9" xfId="48454"/>
    <cellStyle name="Total 17 9 2" xfId="48455"/>
    <cellStyle name="Total 18" xfId="48456"/>
    <cellStyle name="Total 18 10" xfId="48457"/>
    <cellStyle name="Total 18 11" xfId="48458"/>
    <cellStyle name="Total 18 2" xfId="48459"/>
    <cellStyle name="Total 18 2 2" xfId="48460"/>
    <cellStyle name="Total 18 2 3" xfId="48461"/>
    <cellStyle name="Total 18 2 4" xfId="48462"/>
    <cellStyle name="Total 18 2 5" xfId="48463"/>
    <cellStyle name="Total 18 2 6" xfId="48464"/>
    <cellStyle name="Total 18 3" xfId="48465"/>
    <cellStyle name="Total 18 3 2" xfId="48466"/>
    <cellStyle name="Total 18 4" xfId="48467"/>
    <cellStyle name="Total 18 4 2" xfId="48468"/>
    <cellStyle name="Total 18 5" xfId="48469"/>
    <cellStyle name="Total 18 5 2" xfId="48470"/>
    <cellStyle name="Total 18 6" xfId="48471"/>
    <cellStyle name="Total 18 6 2" xfId="48472"/>
    <cellStyle name="Total 18 7" xfId="48473"/>
    <cellStyle name="Total 18 7 2" xfId="48474"/>
    <cellStyle name="Total 18 8" xfId="48475"/>
    <cellStyle name="Total 18 9" xfId="48476"/>
    <cellStyle name="Total 19" xfId="48477"/>
    <cellStyle name="Total 19 10" xfId="48478"/>
    <cellStyle name="Total 19 11" xfId="48479"/>
    <cellStyle name="Total 19 2" xfId="48480"/>
    <cellStyle name="Total 19 2 2" xfId="48481"/>
    <cellStyle name="Total 19 2 3" xfId="48482"/>
    <cellStyle name="Total 19 2 4" xfId="48483"/>
    <cellStyle name="Total 19 2 5" xfId="48484"/>
    <cellStyle name="Total 19 2 6" xfId="48485"/>
    <cellStyle name="Total 19 3" xfId="48486"/>
    <cellStyle name="Total 19 3 2" xfId="48487"/>
    <cellStyle name="Total 19 4" xfId="48488"/>
    <cellStyle name="Total 19 4 2" xfId="48489"/>
    <cellStyle name="Total 19 5" xfId="48490"/>
    <cellStyle name="Total 19 5 2" xfId="48491"/>
    <cellStyle name="Total 19 6" xfId="48492"/>
    <cellStyle name="Total 19 6 2" xfId="48493"/>
    <cellStyle name="Total 19 7" xfId="48494"/>
    <cellStyle name="Total 19 7 2" xfId="48495"/>
    <cellStyle name="Total 19 8" xfId="48496"/>
    <cellStyle name="Total 19 9" xfId="48497"/>
    <cellStyle name="Total 2" xfId="48498"/>
    <cellStyle name="Total 2 10" xfId="48499"/>
    <cellStyle name="Total 2 10 2" xfId="48500"/>
    <cellStyle name="Total 2 10 2 2" xfId="48501"/>
    <cellStyle name="Total 2 10 3" xfId="48502"/>
    <cellStyle name="Total 2 10 3 2" xfId="48503"/>
    <cellStyle name="Total 2 10 4" xfId="48504"/>
    <cellStyle name="Total 2 10 4 2" xfId="48505"/>
    <cellStyle name="Total 2 10 5" xfId="48506"/>
    <cellStyle name="Total 2 11" xfId="48507"/>
    <cellStyle name="Total 2 11 2" xfId="48508"/>
    <cellStyle name="Total 2 11 2 2" xfId="48509"/>
    <cellStyle name="Total 2 11 3" xfId="48510"/>
    <cellStyle name="Total 2 11 3 2" xfId="48511"/>
    <cellStyle name="Total 2 11 4" xfId="48512"/>
    <cellStyle name="Total 2 11 4 2" xfId="48513"/>
    <cellStyle name="Total 2 11 5" xfId="48514"/>
    <cellStyle name="Total 2 12" xfId="48515"/>
    <cellStyle name="Total 2 12 2" xfId="48516"/>
    <cellStyle name="Total 2 12 2 2" xfId="48517"/>
    <cellStyle name="Total 2 12 3" xfId="48518"/>
    <cellStyle name="Total 2 12 3 2" xfId="48519"/>
    <cellStyle name="Total 2 12 4" xfId="48520"/>
    <cellStyle name="Total 2 12 4 2" xfId="48521"/>
    <cellStyle name="Total 2 12 5" xfId="48522"/>
    <cellStyle name="Total 2 13" xfId="48523"/>
    <cellStyle name="Total 2 13 2" xfId="48524"/>
    <cellStyle name="Total 2 13 2 2" xfId="48525"/>
    <cellStyle name="Total 2 13 3" xfId="48526"/>
    <cellStyle name="Total 2 13 3 2" xfId="48527"/>
    <cellStyle name="Total 2 13 4" xfId="48528"/>
    <cellStyle name="Total 2 13 4 2" xfId="48529"/>
    <cellStyle name="Total 2 13 5" xfId="48530"/>
    <cellStyle name="Total 2 14" xfId="48531"/>
    <cellStyle name="Total 2 14 2" xfId="48532"/>
    <cellStyle name="Total 2 14 2 2" xfId="48533"/>
    <cellStyle name="Total 2 14 3" xfId="48534"/>
    <cellStyle name="Total 2 14 3 2" xfId="48535"/>
    <cellStyle name="Total 2 14 4" xfId="48536"/>
    <cellStyle name="Total 2 14 4 2" xfId="48537"/>
    <cellStyle name="Total 2 14 5" xfId="48538"/>
    <cellStyle name="Total 2 15" xfId="48539"/>
    <cellStyle name="Total 2 15 2" xfId="48540"/>
    <cellStyle name="Total 2 15 2 2" xfId="48541"/>
    <cellStyle name="Total 2 15 3" xfId="48542"/>
    <cellStyle name="Total 2 15 3 2" xfId="48543"/>
    <cellStyle name="Total 2 15 4" xfId="48544"/>
    <cellStyle name="Total 2 15 4 2" xfId="48545"/>
    <cellStyle name="Total 2 15 5" xfId="48546"/>
    <cellStyle name="Total 2 16" xfId="48547"/>
    <cellStyle name="Total 2 16 2" xfId="48548"/>
    <cellStyle name="Total 2 16 2 2" xfId="48549"/>
    <cellStyle name="Total 2 16 3" xfId="48550"/>
    <cellStyle name="Total 2 16 3 2" xfId="48551"/>
    <cellStyle name="Total 2 16 4" xfId="48552"/>
    <cellStyle name="Total 2 16 4 2" xfId="48553"/>
    <cellStyle name="Total 2 16 5" xfId="48554"/>
    <cellStyle name="Total 2 17" xfId="48555"/>
    <cellStyle name="Total 2 17 2" xfId="48556"/>
    <cellStyle name="Total 2 17 2 2" xfId="48557"/>
    <cellStyle name="Total 2 17 3" xfId="48558"/>
    <cellStyle name="Total 2 17 3 2" xfId="48559"/>
    <cellStyle name="Total 2 17 4" xfId="48560"/>
    <cellStyle name="Total 2 17 4 2" xfId="48561"/>
    <cellStyle name="Total 2 17 5" xfId="48562"/>
    <cellStyle name="Total 2 18" xfId="48563"/>
    <cellStyle name="Total 2 18 2" xfId="48564"/>
    <cellStyle name="Total 2 18 2 2" xfId="48565"/>
    <cellStyle name="Total 2 18 3" xfId="48566"/>
    <cellStyle name="Total 2 18 3 2" xfId="48567"/>
    <cellStyle name="Total 2 18 4" xfId="48568"/>
    <cellStyle name="Total 2 18 4 2" xfId="48569"/>
    <cellStyle name="Total 2 18 5" xfId="48570"/>
    <cellStyle name="Total 2 19" xfId="48571"/>
    <cellStyle name="Total 2 19 2" xfId="48572"/>
    <cellStyle name="Total 2 19 2 2" xfId="48573"/>
    <cellStyle name="Total 2 19 3" xfId="48574"/>
    <cellStyle name="Total 2 19 3 2" xfId="48575"/>
    <cellStyle name="Total 2 19 4" xfId="48576"/>
    <cellStyle name="Total 2 19 4 2" xfId="48577"/>
    <cellStyle name="Total 2 19 5" xfId="48578"/>
    <cellStyle name="Total 2 2" xfId="48579"/>
    <cellStyle name="Total 2 2 10" xfId="48580"/>
    <cellStyle name="Total 2 2 10 2" xfId="48581"/>
    <cellStyle name="Total 2 2 10 2 2" xfId="48582"/>
    <cellStyle name="Total 2 2 10 3" xfId="48583"/>
    <cellStyle name="Total 2 2 10 3 2" xfId="48584"/>
    <cellStyle name="Total 2 2 10 4" xfId="48585"/>
    <cellStyle name="Total 2 2 10 4 2" xfId="48586"/>
    <cellStyle name="Total 2 2 10 5" xfId="48587"/>
    <cellStyle name="Total 2 2 11" xfId="48588"/>
    <cellStyle name="Total 2 2 11 2" xfId="48589"/>
    <cellStyle name="Total 2 2 11 2 2" xfId="48590"/>
    <cellStyle name="Total 2 2 11 3" xfId="48591"/>
    <cellStyle name="Total 2 2 11 3 2" xfId="48592"/>
    <cellStyle name="Total 2 2 11 4" xfId="48593"/>
    <cellStyle name="Total 2 2 11 4 2" xfId="48594"/>
    <cellStyle name="Total 2 2 11 5" xfId="48595"/>
    <cellStyle name="Total 2 2 12" xfId="48596"/>
    <cellStyle name="Total 2 2 12 2" xfId="48597"/>
    <cellStyle name="Total 2 2 12 2 2" xfId="48598"/>
    <cellStyle name="Total 2 2 12 3" xfId="48599"/>
    <cellStyle name="Total 2 2 12 3 2" xfId="48600"/>
    <cellStyle name="Total 2 2 12 4" xfId="48601"/>
    <cellStyle name="Total 2 2 12 4 2" xfId="48602"/>
    <cellStyle name="Total 2 2 12 5" xfId="48603"/>
    <cellStyle name="Total 2 2 13" xfId="48604"/>
    <cellStyle name="Total 2 2 13 2" xfId="48605"/>
    <cellStyle name="Total 2 2 13 2 2" xfId="48606"/>
    <cellStyle name="Total 2 2 13 3" xfId="48607"/>
    <cellStyle name="Total 2 2 13 3 2" xfId="48608"/>
    <cellStyle name="Total 2 2 13 4" xfId="48609"/>
    <cellStyle name="Total 2 2 13 4 2" xfId="48610"/>
    <cellStyle name="Total 2 2 13 5" xfId="48611"/>
    <cellStyle name="Total 2 2 14" xfId="48612"/>
    <cellStyle name="Total 2 2 14 2" xfId="48613"/>
    <cellStyle name="Total 2 2 14 2 2" xfId="48614"/>
    <cellStyle name="Total 2 2 14 3" xfId="48615"/>
    <cellStyle name="Total 2 2 14 3 2" xfId="48616"/>
    <cellStyle name="Total 2 2 14 4" xfId="48617"/>
    <cellStyle name="Total 2 2 14 4 2" xfId="48618"/>
    <cellStyle name="Total 2 2 14 5" xfId="48619"/>
    <cellStyle name="Total 2 2 15" xfId="48620"/>
    <cellStyle name="Total 2 2 15 2" xfId="48621"/>
    <cellStyle name="Total 2 2 16" xfId="48622"/>
    <cellStyle name="Total 2 2 16 2" xfId="48623"/>
    <cellStyle name="Total 2 2 17" xfId="48624"/>
    <cellStyle name="Total 2 2 17 2" xfId="48625"/>
    <cellStyle name="Total 2 2 18" xfId="48626"/>
    <cellStyle name="Total 2 2 18 2" xfId="48627"/>
    <cellStyle name="Total 2 2 19" xfId="48628"/>
    <cellStyle name="Total 2 2 19 2" xfId="48629"/>
    <cellStyle name="Total 2 2 2" xfId="48630"/>
    <cellStyle name="Total 2 2 2 10" xfId="48631"/>
    <cellStyle name="Total 2 2 2 10 2" xfId="48632"/>
    <cellStyle name="Total 2 2 2 11" xfId="48633"/>
    <cellStyle name="Total 2 2 2 11 2" xfId="48634"/>
    <cellStyle name="Total 2 2 2 12" xfId="48635"/>
    <cellStyle name="Total 2 2 2 12 2" xfId="48636"/>
    <cellStyle name="Total 2 2 2 13" xfId="48637"/>
    <cellStyle name="Total 2 2 2 13 2" xfId="48638"/>
    <cellStyle name="Total 2 2 2 14" xfId="48639"/>
    <cellStyle name="Total 2 2 2 14 2" xfId="48640"/>
    <cellStyle name="Total 2 2 2 15" xfId="48641"/>
    <cellStyle name="Total 2 2 2 15 2" xfId="48642"/>
    <cellStyle name="Total 2 2 2 16" xfId="48643"/>
    <cellStyle name="Total 2 2 2 16 2" xfId="48644"/>
    <cellStyle name="Total 2 2 2 17" xfId="48645"/>
    <cellStyle name="Total 2 2 2 17 2" xfId="48646"/>
    <cellStyle name="Total 2 2 2 18" xfId="48647"/>
    <cellStyle name="Total 2 2 2 18 2" xfId="48648"/>
    <cellStyle name="Total 2 2 2 19" xfId="48649"/>
    <cellStyle name="Total 2 2 2 19 2" xfId="48650"/>
    <cellStyle name="Total 2 2 2 2" xfId="48651"/>
    <cellStyle name="Total 2 2 2 2 2" xfId="48652"/>
    <cellStyle name="Total 2 2 2 2 3" xfId="48653"/>
    <cellStyle name="Total 2 2 2 20" xfId="48654"/>
    <cellStyle name="Total 2 2 2 20 2" xfId="48655"/>
    <cellStyle name="Total 2 2 2 21" xfId="48656"/>
    <cellStyle name="Total 2 2 2 21 2" xfId="48657"/>
    <cellStyle name="Total 2 2 2 22" xfId="48658"/>
    <cellStyle name="Total 2 2 2 22 2" xfId="48659"/>
    <cellStyle name="Total 2 2 2 23" xfId="48660"/>
    <cellStyle name="Total 2 2 2 23 2" xfId="48661"/>
    <cellStyle name="Total 2 2 2 24" xfId="48662"/>
    <cellStyle name="Total 2 2 2 24 2" xfId="48663"/>
    <cellStyle name="Total 2 2 2 25" xfId="48664"/>
    <cellStyle name="Total 2 2 2 25 2" xfId="48665"/>
    <cellStyle name="Total 2 2 2 26" xfId="48666"/>
    <cellStyle name="Total 2 2 2 26 2" xfId="48667"/>
    <cellStyle name="Total 2 2 2 27" xfId="48668"/>
    <cellStyle name="Total 2 2 2 27 2" xfId="48669"/>
    <cellStyle name="Total 2 2 2 28" xfId="48670"/>
    <cellStyle name="Total 2 2 2 28 2" xfId="48671"/>
    <cellStyle name="Total 2 2 2 29" xfId="48672"/>
    <cellStyle name="Total 2 2 2 29 2" xfId="48673"/>
    <cellStyle name="Total 2 2 2 3" xfId="48674"/>
    <cellStyle name="Total 2 2 2 3 2" xfId="48675"/>
    <cellStyle name="Total 2 2 2 3 3" xfId="48676"/>
    <cellStyle name="Total 2 2 2 30" xfId="48677"/>
    <cellStyle name="Total 2 2 2 30 2" xfId="48678"/>
    <cellStyle name="Total 2 2 2 31" xfId="48679"/>
    <cellStyle name="Total 2 2 2 4" xfId="48680"/>
    <cellStyle name="Total 2 2 2 4 2" xfId="48681"/>
    <cellStyle name="Total 2 2 2 5" xfId="48682"/>
    <cellStyle name="Total 2 2 2 5 2" xfId="48683"/>
    <cellStyle name="Total 2 2 2 6" xfId="48684"/>
    <cellStyle name="Total 2 2 2 6 2" xfId="48685"/>
    <cellStyle name="Total 2 2 2 7" xfId="48686"/>
    <cellStyle name="Total 2 2 2 7 2" xfId="48687"/>
    <cellStyle name="Total 2 2 2 8" xfId="48688"/>
    <cellStyle name="Total 2 2 2 8 2" xfId="48689"/>
    <cellStyle name="Total 2 2 2 9" xfId="48690"/>
    <cellStyle name="Total 2 2 2 9 2" xfId="48691"/>
    <cellStyle name="Total 2 2 20" xfId="48692"/>
    <cellStyle name="Total 2 2 20 2" xfId="48693"/>
    <cellStyle name="Total 2 2 21" xfId="48694"/>
    <cellStyle name="Total 2 2 21 2" xfId="48695"/>
    <cellStyle name="Total 2 2 22" xfId="48696"/>
    <cellStyle name="Total 2 2 22 2" xfId="48697"/>
    <cellStyle name="Total 2 2 23" xfId="48698"/>
    <cellStyle name="Total 2 2 23 2" xfId="48699"/>
    <cellStyle name="Total 2 2 24" xfId="48700"/>
    <cellStyle name="Total 2 2 24 2" xfId="48701"/>
    <cellStyle name="Total 2 2 25" xfId="48702"/>
    <cellStyle name="Total 2 2 25 2" xfId="48703"/>
    <cellStyle name="Total 2 2 26" xfId="48704"/>
    <cellStyle name="Total 2 2 26 2" xfId="48705"/>
    <cellStyle name="Total 2 2 27" xfId="48706"/>
    <cellStyle name="Total 2 2 27 2" xfId="48707"/>
    <cellStyle name="Total 2 2 28" xfId="48708"/>
    <cellStyle name="Total 2 2 28 2" xfId="48709"/>
    <cellStyle name="Total 2 2 29" xfId="48710"/>
    <cellStyle name="Total 2 2 29 2" xfId="48711"/>
    <cellStyle name="Total 2 2 3" xfId="48712"/>
    <cellStyle name="Total 2 2 3 2" xfId="48713"/>
    <cellStyle name="Total 2 2 3 2 2" xfId="48714"/>
    <cellStyle name="Total 2 2 3 3" xfId="48715"/>
    <cellStyle name="Total 2 2 3 3 2" xfId="48716"/>
    <cellStyle name="Total 2 2 3 4" xfId="48717"/>
    <cellStyle name="Total 2 2 3 4 2" xfId="48718"/>
    <cellStyle name="Total 2 2 3 5" xfId="48719"/>
    <cellStyle name="Total 2 2 30" xfId="48720"/>
    <cellStyle name="Total 2 2 30 2" xfId="48721"/>
    <cellStyle name="Total 2 2 31" xfId="48722"/>
    <cellStyle name="Total 2 2 31 2" xfId="48723"/>
    <cellStyle name="Total 2 2 32" xfId="48724"/>
    <cellStyle name="Total 2 2 32 2" xfId="48725"/>
    <cellStyle name="Total 2 2 33" xfId="48726"/>
    <cellStyle name="Total 2 2 33 2" xfId="48727"/>
    <cellStyle name="Total 2 2 34" xfId="48728"/>
    <cellStyle name="Total 2 2 34 2" xfId="48729"/>
    <cellStyle name="Total 2 2 35" xfId="48730"/>
    <cellStyle name="Total 2 2 35 2" xfId="48731"/>
    <cellStyle name="Total 2 2 36" xfId="48732"/>
    <cellStyle name="Total 2 2 36 2" xfId="48733"/>
    <cellStyle name="Total 2 2 37" xfId="48734"/>
    <cellStyle name="Total 2 2 37 2" xfId="48735"/>
    <cellStyle name="Total 2 2 38" xfId="48736"/>
    <cellStyle name="Total 2 2 38 2" xfId="48737"/>
    <cellStyle name="Total 2 2 39" xfId="48738"/>
    <cellStyle name="Total 2 2 39 2" xfId="48739"/>
    <cellStyle name="Total 2 2 4" xfId="48740"/>
    <cellStyle name="Total 2 2 4 2" xfId="48741"/>
    <cellStyle name="Total 2 2 4 2 2" xfId="48742"/>
    <cellStyle name="Total 2 2 4 3" xfId="48743"/>
    <cellStyle name="Total 2 2 4 3 2" xfId="48744"/>
    <cellStyle name="Total 2 2 4 4" xfId="48745"/>
    <cellStyle name="Total 2 2 4 4 2" xfId="48746"/>
    <cellStyle name="Total 2 2 4 5" xfId="48747"/>
    <cellStyle name="Total 2 2 40" xfId="48748"/>
    <cellStyle name="Total 2 2 40 2" xfId="48749"/>
    <cellStyle name="Total 2 2 41" xfId="48750"/>
    <cellStyle name="Total 2 2 41 2" xfId="48751"/>
    <cellStyle name="Total 2 2 42" xfId="48752"/>
    <cellStyle name="Total 2 2 42 2" xfId="48753"/>
    <cellStyle name="Total 2 2 43" xfId="48754"/>
    <cellStyle name="Total 2 2 43 2" xfId="48755"/>
    <cellStyle name="Total 2 2 44" xfId="48756"/>
    <cellStyle name="Total 2 2 44 2" xfId="48757"/>
    <cellStyle name="Total 2 2 45" xfId="48758"/>
    <cellStyle name="Total 2 2 45 2" xfId="48759"/>
    <cellStyle name="Total 2 2 46" xfId="48760"/>
    <cellStyle name="Total 2 2 46 2" xfId="48761"/>
    <cellStyle name="Total 2 2 47" xfId="48762"/>
    <cellStyle name="Total 2 2 47 2" xfId="48763"/>
    <cellStyle name="Total 2 2 48" xfId="48764"/>
    <cellStyle name="Total 2 2 48 2" xfId="48765"/>
    <cellStyle name="Total 2 2 49" xfId="48766"/>
    <cellStyle name="Total 2 2 49 2" xfId="48767"/>
    <cellStyle name="Total 2 2 5" xfId="48768"/>
    <cellStyle name="Total 2 2 5 2" xfId="48769"/>
    <cellStyle name="Total 2 2 5 2 2" xfId="48770"/>
    <cellStyle name="Total 2 2 5 3" xfId="48771"/>
    <cellStyle name="Total 2 2 5 3 2" xfId="48772"/>
    <cellStyle name="Total 2 2 5 4" xfId="48773"/>
    <cellStyle name="Total 2 2 5 4 2" xfId="48774"/>
    <cellStyle name="Total 2 2 5 5" xfId="48775"/>
    <cellStyle name="Total 2 2 50" xfId="48776"/>
    <cellStyle name="Total 2 2 50 2" xfId="48777"/>
    <cellStyle name="Total 2 2 51" xfId="48778"/>
    <cellStyle name="Total 2 2 51 2" xfId="48779"/>
    <cellStyle name="Total 2 2 52" xfId="48780"/>
    <cellStyle name="Total 2 2 52 2" xfId="48781"/>
    <cellStyle name="Total 2 2 53" xfId="48782"/>
    <cellStyle name="Total 2 2 53 2" xfId="48783"/>
    <cellStyle name="Total 2 2 54" xfId="48784"/>
    <cellStyle name="Total 2 2 54 2" xfId="48785"/>
    <cellStyle name="Total 2 2 55" xfId="48786"/>
    <cellStyle name="Total 2 2 55 2" xfId="48787"/>
    <cellStyle name="Total 2 2 56" xfId="48788"/>
    <cellStyle name="Total 2 2 56 2" xfId="48789"/>
    <cellStyle name="Total 2 2 57" xfId="48790"/>
    <cellStyle name="Total 2 2 57 2" xfId="48791"/>
    <cellStyle name="Total 2 2 58" xfId="48792"/>
    <cellStyle name="Total 2 2 58 2" xfId="48793"/>
    <cellStyle name="Total 2 2 59" xfId="48794"/>
    <cellStyle name="Total 2 2 59 2" xfId="48795"/>
    <cellStyle name="Total 2 2 6" xfId="48796"/>
    <cellStyle name="Total 2 2 6 2" xfId="48797"/>
    <cellStyle name="Total 2 2 6 2 2" xfId="48798"/>
    <cellStyle name="Total 2 2 6 3" xfId="48799"/>
    <cellStyle name="Total 2 2 6 3 2" xfId="48800"/>
    <cellStyle name="Total 2 2 6 4" xfId="48801"/>
    <cellStyle name="Total 2 2 6 4 2" xfId="48802"/>
    <cellStyle name="Total 2 2 6 5" xfId="48803"/>
    <cellStyle name="Total 2 2 60" xfId="48804"/>
    <cellStyle name="Total 2 2 60 2" xfId="48805"/>
    <cellStyle name="Total 2 2 61" xfId="48806"/>
    <cellStyle name="Total 2 2 61 2" xfId="48807"/>
    <cellStyle name="Total 2 2 62" xfId="48808"/>
    <cellStyle name="Total 2 2 7" xfId="48809"/>
    <cellStyle name="Total 2 2 7 2" xfId="48810"/>
    <cellStyle name="Total 2 2 7 2 2" xfId="48811"/>
    <cellStyle name="Total 2 2 7 3" xfId="48812"/>
    <cellStyle name="Total 2 2 7 3 2" xfId="48813"/>
    <cellStyle name="Total 2 2 7 4" xfId="48814"/>
    <cellStyle name="Total 2 2 7 4 2" xfId="48815"/>
    <cellStyle name="Total 2 2 7 5" xfId="48816"/>
    <cellStyle name="Total 2 2 8" xfId="48817"/>
    <cellStyle name="Total 2 2 8 2" xfId="48818"/>
    <cellStyle name="Total 2 2 8 2 2" xfId="48819"/>
    <cellStyle name="Total 2 2 8 3" xfId="48820"/>
    <cellStyle name="Total 2 2 8 3 2" xfId="48821"/>
    <cellStyle name="Total 2 2 8 4" xfId="48822"/>
    <cellStyle name="Total 2 2 8 4 2" xfId="48823"/>
    <cellStyle name="Total 2 2 8 5" xfId="48824"/>
    <cellStyle name="Total 2 2 9" xfId="48825"/>
    <cellStyle name="Total 2 2 9 2" xfId="48826"/>
    <cellStyle name="Total 2 2 9 2 2" xfId="48827"/>
    <cellStyle name="Total 2 2 9 3" xfId="48828"/>
    <cellStyle name="Total 2 2 9 3 2" xfId="48829"/>
    <cellStyle name="Total 2 2 9 4" xfId="48830"/>
    <cellStyle name="Total 2 2 9 4 2" xfId="48831"/>
    <cellStyle name="Total 2 2 9 5" xfId="48832"/>
    <cellStyle name="Total 2 20" xfId="48833"/>
    <cellStyle name="Total 2 20 2" xfId="48834"/>
    <cellStyle name="Total 2 21" xfId="48835"/>
    <cellStyle name="Total 2 21 2" xfId="48836"/>
    <cellStyle name="Total 2 22" xfId="48837"/>
    <cellStyle name="Total 2 22 2" xfId="48838"/>
    <cellStyle name="Total 2 23" xfId="48839"/>
    <cellStyle name="Total 2 23 2" xfId="48840"/>
    <cellStyle name="Total 2 24" xfId="48841"/>
    <cellStyle name="Total 2 24 2" xfId="48842"/>
    <cellStyle name="Total 2 25" xfId="48843"/>
    <cellStyle name="Total 2 25 2" xfId="48844"/>
    <cellStyle name="Total 2 26" xfId="48845"/>
    <cellStyle name="Total 2 26 2" xfId="48846"/>
    <cellStyle name="Total 2 27" xfId="48847"/>
    <cellStyle name="Total 2 27 2" xfId="48848"/>
    <cellStyle name="Total 2 28" xfId="48849"/>
    <cellStyle name="Total 2 28 2" xfId="48850"/>
    <cellStyle name="Total 2 29" xfId="48851"/>
    <cellStyle name="Total 2 29 2" xfId="48852"/>
    <cellStyle name="Total 2 3" xfId="48853"/>
    <cellStyle name="Total 2 3 10" xfId="48854"/>
    <cellStyle name="Total 2 3 10 2" xfId="48855"/>
    <cellStyle name="Total 2 3 11" xfId="48856"/>
    <cellStyle name="Total 2 3 11 2" xfId="48857"/>
    <cellStyle name="Total 2 3 12" xfId="48858"/>
    <cellStyle name="Total 2 3 12 2" xfId="48859"/>
    <cellStyle name="Total 2 3 13" xfId="48860"/>
    <cellStyle name="Total 2 3 13 2" xfId="48861"/>
    <cellStyle name="Total 2 3 14" xfId="48862"/>
    <cellStyle name="Total 2 3 14 2" xfId="48863"/>
    <cellStyle name="Total 2 3 15" xfId="48864"/>
    <cellStyle name="Total 2 3 15 2" xfId="48865"/>
    <cellStyle name="Total 2 3 16" xfId="48866"/>
    <cellStyle name="Total 2 3 16 2" xfId="48867"/>
    <cellStyle name="Total 2 3 17" xfId="48868"/>
    <cellStyle name="Total 2 3 17 2" xfId="48869"/>
    <cellStyle name="Total 2 3 18" xfId="48870"/>
    <cellStyle name="Total 2 3 18 2" xfId="48871"/>
    <cellStyle name="Total 2 3 19" xfId="48872"/>
    <cellStyle name="Total 2 3 19 2" xfId="48873"/>
    <cellStyle name="Total 2 3 2" xfId="48874"/>
    <cellStyle name="Total 2 3 2 2" xfId="48875"/>
    <cellStyle name="Total 2 3 2 3" xfId="48876"/>
    <cellStyle name="Total 2 3 20" xfId="48877"/>
    <cellStyle name="Total 2 3 20 2" xfId="48878"/>
    <cellStyle name="Total 2 3 21" xfId="48879"/>
    <cellStyle name="Total 2 3 21 2" xfId="48880"/>
    <cellStyle name="Total 2 3 22" xfId="48881"/>
    <cellStyle name="Total 2 3 22 2" xfId="48882"/>
    <cellStyle name="Total 2 3 23" xfId="48883"/>
    <cellStyle name="Total 2 3 23 2" xfId="48884"/>
    <cellStyle name="Total 2 3 24" xfId="48885"/>
    <cellStyle name="Total 2 3 24 2" xfId="48886"/>
    <cellStyle name="Total 2 3 25" xfId="48887"/>
    <cellStyle name="Total 2 3 25 2" xfId="48888"/>
    <cellStyle name="Total 2 3 26" xfId="48889"/>
    <cellStyle name="Total 2 3 26 2" xfId="48890"/>
    <cellStyle name="Total 2 3 27" xfId="48891"/>
    <cellStyle name="Total 2 3 27 2" xfId="48892"/>
    <cellStyle name="Total 2 3 28" xfId="48893"/>
    <cellStyle name="Total 2 3 28 2" xfId="48894"/>
    <cellStyle name="Total 2 3 29" xfId="48895"/>
    <cellStyle name="Total 2 3 29 2" xfId="48896"/>
    <cellStyle name="Total 2 3 3" xfId="48897"/>
    <cellStyle name="Total 2 3 3 2" xfId="48898"/>
    <cellStyle name="Total 2 3 3 3" xfId="48899"/>
    <cellStyle name="Total 2 3 30" xfId="48900"/>
    <cellStyle name="Total 2 3 30 2" xfId="48901"/>
    <cellStyle name="Total 2 3 31" xfId="48902"/>
    <cellStyle name="Total 2 3 4" xfId="48903"/>
    <cellStyle name="Total 2 3 4 2" xfId="48904"/>
    <cellStyle name="Total 2 3 5" xfId="48905"/>
    <cellStyle name="Total 2 3 5 2" xfId="48906"/>
    <cellStyle name="Total 2 3 6" xfId="48907"/>
    <cellStyle name="Total 2 3 6 2" xfId="48908"/>
    <cellStyle name="Total 2 3 7" xfId="48909"/>
    <cellStyle name="Total 2 3 7 2" xfId="48910"/>
    <cellStyle name="Total 2 3 8" xfId="48911"/>
    <cellStyle name="Total 2 3 8 2" xfId="48912"/>
    <cellStyle name="Total 2 3 9" xfId="48913"/>
    <cellStyle name="Total 2 3 9 2" xfId="48914"/>
    <cellStyle name="Total 2 30" xfId="48915"/>
    <cellStyle name="Total 2 30 2" xfId="48916"/>
    <cellStyle name="Total 2 31" xfId="48917"/>
    <cellStyle name="Total 2 31 2" xfId="48918"/>
    <cellStyle name="Total 2 32" xfId="48919"/>
    <cellStyle name="Total 2 32 2" xfId="48920"/>
    <cellStyle name="Total 2 33" xfId="48921"/>
    <cellStyle name="Total 2 33 2" xfId="48922"/>
    <cellStyle name="Total 2 34" xfId="48923"/>
    <cellStyle name="Total 2 34 2" xfId="48924"/>
    <cellStyle name="Total 2 35" xfId="48925"/>
    <cellStyle name="Total 2 35 2" xfId="48926"/>
    <cellStyle name="Total 2 36" xfId="48927"/>
    <cellStyle name="Total 2 36 2" xfId="48928"/>
    <cellStyle name="Total 2 37" xfId="48929"/>
    <cellStyle name="Total 2 37 2" xfId="48930"/>
    <cellStyle name="Total 2 38" xfId="48931"/>
    <cellStyle name="Total 2 38 2" xfId="48932"/>
    <cellStyle name="Total 2 39" xfId="48933"/>
    <cellStyle name="Total 2 39 2" xfId="48934"/>
    <cellStyle name="Total 2 4" xfId="48935"/>
    <cellStyle name="Total 2 4 2" xfId="48936"/>
    <cellStyle name="Total 2 4 2 2" xfId="48937"/>
    <cellStyle name="Total 2 4 3" xfId="48938"/>
    <cellStyle name="Total 2 4 3 2" xfId="48939"/>
    <cellStyle name="Total 2 4 4" xfId="48940"/>
    <cellStyle name="Total 2 4 4 2" xfId="48941"/>
    <cellStyle name="Total 2 4 5" xfId="48942"/>
    <cellStyle name="Total 2 40" xfId="48943"/>
    <cellStyle name="Total 2 40 2" xfId="48944"/>
    <cellStyle name="Total 2 41" xfId="48945"/>
    <cellStyle name="Total 2 41 2" xfId="48946"/>
    <cellStyle name="Total 2 42" xfId="48947"/>
    <cellStyle name="Total 2 42 2" xfId="48948"/>
    <cellStyle name="Total 2 43" xfId="48949"/>
    <cellStyle name="Total 2 43 2" xfId="48950"/>
    <cellStyle name="Total 2 44" xfId="48951"/>
    <cellStyle name="Total 2 44 2" xfId="48952"/>
    <cellStyle name="Total 2 45" xfId="48953"/>
    <cellStyle name="Total 2 45 2" xfId="48954"/>
    <cellStyle name="Total 2 46" xfId="48955"/>
    <cellStyle name="Total 2 46 2" xfId="48956"/>
    <cellStyle name="Total 2 47" xfId="48957"/>
    <cellStyle name="Total 2 47 2" xfId="48958"/>
    <cellStyle name="Total 2 48" xfId="48959"/>
    <cellStyle name="Total 2 48 2" xfId="48960"/>
    <cellStyle name="Total 2 49" xfId="48961"/>
    <cellStyle name="Total 2 49 2" xfId="48962"/>
    <cellStyle name="Total 2 5" xfId="48963"/>
    <cellStyle name="Total 2 5 2" xfId="48964"/>
    <cellStyle name="Total 2 5 2 2" xfId="48965"/>
    <cellStyle name="Total 2 5 3" xfId="48966"/>
    <cellStyle name="Total 2 5 3 2" xfId="48967"/>
    <cellStyle name="Total 2 5 4" xfId="48968"/>
    <cellStyle name="Total 2 5 4 2" xfId="48969"/>
    <cellStyle name="Total 2 5 5" xfId="48970"/>
    <cellStyle name="Total 2 50" xfId="48971"/>
    <cellStyle name="Total 2 50 2" xfId="48972"/>
    <cellStyle name="Total 2 51" xfId="48973"/>
    <cellStyle name="Total 2 51 2" xfId="48974"/>
    <cellStyle name="Total 2 52" xfId="48975"/>
    <cellStyle name="Total 2 52 2" xfId="48976"/>
    <cellStyle name="Total 2 53" xfId="48977"/>
    <cellStyle name="Total 2 53 2" xfId="48978"/>
    <cellStyle name="Total 2 54" xfId="48979"/>
    <cellStyle name="Total 2 54 2" xfId="48980"/>
    <cellStyle name="Total 2 55" xfId="48981"/>
    <cellStyle name="Total 2 55 2" xfId="48982"/>
    <cellStyle name="Total 2 56" xfId="48983"/>
    <cellStyle name="Total 2 56 2" xfId="48984"/>
    <cellStyle name="Total 2 57" xfId="48985"/>
    <cellStyle name="Total 2 57 2" xfId="48986"/>
    <cellStyle name="Total 2 58" xfId="48987"/>
    <cellStyle name="Total 2 58 2" xfId="48988"/>
    <cellStyle name="Total 2 59" xfId="48989"/>
    <cellStyle name="Total 2 59 2" xfId="48990"/>
    <cellStyle name="Total 2 6" xfId="48991"/>
    <cellStyle name="Total 2 6 2" xfId="48992"/>
    <cellStyle name="Total 2 6 2 2" xfId="48993"/>
    <cellStyle name="Total 2 6 3" xfId="48994"/>
    <cellStyle name="Total 2 6 3 2" xfId="48995"/>
    <cellStyle name="Total 2 6 4" xfId="48996"/>
    <cellStyle name="Total 2 6 4 2" xfId="48997"/>
    <cellStyle name="Total 2 6 5" xfId="48998"/>
    <cellStyle name="Total 2 60" xfId="48999"/>
    <cellStyle name="Total 2 60 2" xfId="49000"/>
    <cellStyle name="Total 2 61" xfId="49001"/>
    <cellStyle name="Total 2 61 2" xfId="49002"/>
    <cellStyle name="Total 2 62" xfId="49003"/>
    <cellStyle name="Total 2 62 2" xfId="49004"/>
    <cellStyle name="Total 2 63" xfId="49005"/>
    <cellStyle name="Total 2 63 2" xfId="49006"/>
    <cellStyle name="Total 2 64" xfId="49007"/>
    <cellStyle name="Total 2 64 2" xfId="49008"/>
    <cellStyle name="Total 2 65" xfId="49009"/>
    <cellStyle name="Total 2 65 2" xfId="49010"/>
    <cellStyle name="Total 2 66" xfId="49011"/>
    <cellStyle name="Total 2 66 2" xfId="49012"/>
    <cellStyle name="Total 2 67" xfId="49013"/>
    <cellStyle name="Total 2 67 2" xfId="49014"/>
    <cellStyle name="Total 2 68" xfId="49015"/>
    <cellStyle name="Total 2 7" xfId="49016"/>
    <cellStyle name="Total 2 7 2" xfId="49017"/>
    <cellStyle name="Total 2 7 2 2" xfId="49018"/>
    <cellStyle name="Total 2 7 3" xfId="49019"/>
    <cellStyle name="Total 2 7 3 2" xfId="49020"/>
    <cellStyle name="Total 2 7 4" xfId="49021"/>
    <cellStyle name="Total 2 7 4 2" xfId="49022"/>
    <cellStyle name="Total 2 7 5" xfId="49023"/>
    <cellStyle name="Total 2 8" xfId="49024"/>
    <cellStyle name="Total 2 8 2" xfId="49025"/>
    <cellStyle name="Total 2 8 2 2" xfId="49026"/>
    <cellStyle name="Total 2 8 3" xfId="49027"/>
    <cellStyle name="Total 2 8 3 2" xfId="49028"/>
    <cellStyle name="Total 2 8 4" xfId="49029"/>
    <cellStyle name="Total 2 8 4 2" xfId="49030"/>
    <cellStyle name="Total 2 8 5" xfId="49031"/>
    <cellStyle name="Total 2 9" xfId="49032"/>
    <cellStyle name="Total 2 9 2" xfId="49033"/>
    <cellStyle name="Total 2 9 2 2" xfId="49034"/>
    <cellStyle name="Total 2 9 3" xfId="49035"/>
    <cellStyle name="Total 2 9 3 2" xfId="49036"/>
    <cellStyle name="Total 2 9 4" xfId="49037"/>
    <cellStyle name="Total 2 9 4 2" xfId="49038"/>
    <cellStyle name="Total 2 9 5" xfId="49039"/>
    <cellStyle name="Total 20" xfId="49040"/>
    <cellStyle name="Total 20 2" xfId="49041"/>
    <cellStyle name="Total 21" xfId="49042"/>
    <cellStyle name="Total 21 2" xfId="49043"/>
    <cellStyle name="Total 22" xfId="49044"/>
    <cellStyle name="Total 22 2" xfId="49045"/>
    <cellStyle name="Total 23" xfId="49046"/>
    <cellStyle name="Total 23 2" xfId="49047"/>
    <cellStyle name="Total 24" xfId="49048"/>
    <cellStyle name="Total 24 2" xfId="49049"/>
    <cellStyle name="Total 25" xfId="49050"/>
    <cellStyle name="Total 25 2" xfId="49051"/>
    <cellStyle name="Total 26" xfId="49052"/>
    <cellStyle name="Total 26 2" xfId="49053"/>
    <cellStyle name="Total 27" xfId="49054"/>
    <cellStyle name="Total 27 2" xfId="49055"/>
    <cellStyle name="Total 28" xfId="49056"/>
    <cellStyle name="Total 28 2" xfId="49057"/>
    <cellStyle name="Total 29" xfId="49058"/>
    <cellStyle name="Total 29 2" xfId="49059"/>
    <cellStyle name="Total 3" xfId="49060"/>
    <cellStyle name="Total 3 10" xfId="49061"/>
    <cellStyle name="Total 3 11" xfId="49062"/>
    <cellStyle name="Total 3 12" xfId="49063"/>
    <cellStyle name="Total 3 13" xfId="49064"/>
    <cellStyle name="Total 3 13 10" xfId="49065"/>
    <cellStyle name="Total 3 13 11" xfId="49066"/>
    <cellStyle name="Total 3 13 2" xfId="49067"/>
    <cellStyle name="Total 3 13 2 2" xfId="49068"/>
    <cellStyle name="Total 3 13 2 3" xfId="49069"/>
    <cellStyle name="Total 3 13 2 4" xfId="49070"/>
    <cellStyle name="Total 3 13 2 5" xfId="49071"/>
    <cellStyle name="Total 3 13 2 6" xfId="49072"/>
    <cellStyle name="Total 3 13 3" xfId="49073"/>
    <cellStyle name="Total 3 13 4" xfId="49074"/>
    <cellStyle name="Total 3 13 5" xfId="49075"/>
    <cellStyle name="Total 3 13 6" xfId="49076"/>
    <cellStyle name="Total 3 13 7" xfId="49077"/>
    <cellStyle name="Total 3 13 8" xfId="49078"/>
    <cellStyle name="Total 3 13 9" xfId="49079"/>
    <cellStyle name="Total 3 14" xfId="49080"/>
    <cellStyle name="Total 3 15" xfId="49081"/>
    <cellStyle name="Total 3 16" xfId="49082"/>
    <cellStyle name="Total 3 17" xfId="49083"/>
    <cellStyle name="Total 3 18" xfId="49084"/>
    <cellStyle name="Total 3 19" xfId="49085"/>
    <cellStyle name="Total 3 2" xfId="49086"/>
    <cellStyle name="Total 3 2 10" xfId="49087"/>
    <cellStyle name="Total 3 2 11" xfId="49088"/>
    <cellStyle name="Total 3 2 12" xfId="49089"/>
    <cellStyle name="Total 3 2 2" xfId="49090"/>
    <cellStyle name="Total 3 2 2 2" xfId="49091"/>
    <cellStyle name="Total 3 2 2 3" xfId="49092"/>
    <cellStyle name="Total 3 2 2 4" xfId="49093"/>
    <cellStyle name="Total 3 2 2 5" xfId="49094"/>
    <cellStyle name="Total 3 2 2 6" xfId="49095"/>
    <cellStyle name="Total 3 2 3" xfId="49096"/>
    <cellStyle name="Total 3 2 4" xfId="49097"/>
    <cellStyle name="Total 3 2 5" xfId="49098"/>
    <cellStyle name="Total 3 2 6" xfId="49099"/>
    <cellStyle name="Total 3 2 7" xfId="49100"/>
    <cellStyle name="Total 3 2 8" xfId="49101"/>
    <cellStyle name="Total 3 2 9" xfId="49102"/>
    <cellStyle name="Total 3 20" xfId="49103"/>
    <cellStyle name="Total 3 21" xfId="49104"/>
    <cellStyle name="Total 3 22" xfId="49105"/>
    <cellStyle name="Total 3 23" xfId="49106"/>
    <cellStyle name="Total 3 24" xfId="49107"/>
    <cellStyle name="Total 3 25" xfId="49108"/>
    <cellStyle name="Total 3 26" xfId="49109"/>
    <cellStyle name="Total 3 27" xfId="49110"/>
    <cellStyle name="Total 3 28" xfId="49111"/>
    <cellStyle name="Total 3 29" xfId="49112"/>
    <cellStyle name="Total 3 3" xfId="49113"/>
    <cellStyle name="Total 3 30" xfId="49114"/>
    <cellStyle name="Total 3 31" xfId="49115"/>
    <cellStyle name="Total 3 32" xfId="49116"/>
    <cellStyle name="Total 3 33" xfId="49117"/>
    <cellStyle name="Total 3 34" xfId="49118"/>
    <cellStyle name="Total 3 35" xfId="49119"/>
    <cellStyle name="Total 3 36" xfId="49120"/>
    <cellStyle name="Total 3 37" xfId="49121"/>
    <cellStyle name="Total 3 38" xfId="49122"/>
    <cellStyle name="Total 3 39" xfId="49123"/>
    <cellStyle name="Total 3 39 2" xfId="49124"/>
    <cellStyle name="Total 3 4" xfId="49125"/>
    <cellStyle name="Total 3 40" xfId="49126"/>
    <cellStyle name="Total 3 40 2" xfId="49127"/>
    <cellStyle name="Total 3 41" xfId="49128"/>
    <cellStyle name="Total 3 41 2" xfId="49129"/>
    <cellStyle name="Total 3 42" xfId="49130"/>
    <cellStyle name="Total 3 42 2" xfId="49131"/>
    <cellStyle name="Total 3 42 3" xfId="49132"/>
    <cellStyle name="Total 3 42 4" xfId="49133"/>
    <cellStyle name="Total 3 42 5" xfId="49134"/>
    <cellStyle name="Total 3 42 6" xfId="49135"/>
    <cellStyle name="Total 3 43" xfId="49136"/>
    <cellStyle name="Total 3 43 2" xfId="49137"/>
    <cellStyle name="Total 3 44" xfId="49138"/>
    <cellStyle name="Total 3 44 2" xfId="49139"/>
    <cellStyle name="Total 3 45" xfId="49140"/>
    <cellStyle name="Total 3 45 2" xfId="49141"/>
    <cellStyle name="Total 3 46" xfId="49142"/>
    <cellStyle name="Total 3 46 2" xfId="49143"/>
    <cellStyle name="Total 3 47" xfId="49144"/>
    <cellStyle name="Total 3 48" xfId="49145"/>
    <cellStyle name="Total 3 49" xfId="49146"/>
    <cellStyle name="Total 3 5" xfId="49147"/>
    <cellStyle name="Total 3 50" xfId="49148"/>
    <cellStyle name="Total 3 6" xfId="49149"/>
    <cellStyle name="Total 3 7" xfId="49150"/>
    <cellStyle name="Total 3 8" xfId="49151"/>
    <cellStyle name="Total 3 9" xfId="49152"/>
    <cellStyle name="Total 30" xfId="49153"/>
    <cellStyle name="Total 30 2" xfId="49154"/>
    <cellStyle name="Total 31" xfId="49155"/>
    <cellStyle name="Total 31 2" xfId="49156"/>
    <cellStyle name="Total 32" xfId="49157"/>
    <cellStyle name="Total 32 2" xfId="49158"/>
    <cellStyle name="Total 33" xfId="49159"/>
    <cellStyle name="Total 33 2" xfId="49160"/>
    <cellStyle name="Total 34" xfId="49161"/>
    <cellStyle name="Total 34 2" xfId="49162"/>
    <cellStyle name="Total 35" xfId="49163"/>
    <cellStyle name="Total 35 2" xfId="49164"/>
    <cellStyle name="Total 36" xfId="49165"/>
    <cellStyle name="Total 36 2" xfId="49166"/>
    <cellStyle name="Total 37" xfId="49167"/>
    <cellStyle name="Total 37 2" xfId="49168"/>
    <cellStyle name="Total 38" xfId="49169"/>
    <cellStyle name="Total 38 2" xfId="49170"/>
    <cellStyle name="Total 39" xfId="49171"/>
    <cellStyle name="Total 39 2" xfId="49172"/>
    <cellStyle name="Total 4" xfId="49173"/>
    <cellStyle name="Total 4 10" xfId="49174"/>
    <cellStyle name="Total 4 10 2" xfId="49175"/>
    <cellStyle name="Total 4 11" xfId="49176"/>
    <cellStyle name="Total 4 11 2" xfId="49177"/>
    <cellStyle name="Total 4 12" xfId="49178"/>
    <cellStyle name="Total 4 12 2" xfId="49179"/>
    <cellStyle name="Total 4 13" xfId="49180"/>
    <cellStyle name="Total 4 13 2" xfId="49181"/>
    <cellStyle name="Total 4 14" xfId="49182"/>
    <cellStyle name="Total 4 14 2" xfId="49183"/>
    <cellStyle name="Total 4 15" xfId="49184"/>
    <cellStyle name="Total 4 15 2" xfId="49185"/>
    <cellStyle name="Total 4 16" xfId="49186"/>
    <cellStyle name="Total 4 16 2" xfId="49187"/>
    <cellStyle name="Total 4 17" xfId="49188"/>
    <cellStyle name="Total 4 17 2" xfId="49189"/>
    <cellStyle name="Total 4 18" xfId="49190"/>
    <cellStyle name="Total 4 18 2" xfId="49191"/>
    <cellStyle name="Total 4 19" xfId="49192"/>
    <cellStyle name="Total 4 19 2" xfId="49193"/>
    <cellStyle name="Total 4 2" xfId="49194"/>
    <cellStyle name="Total 4 2 10" xfId="49195"/>
    <cellStyle name="Total 4 2 10 2" xfId="49196"/>
    <cellStyle name="Total 4 2 11" xfId="49197"/>
    <cellStyle name="Total 4 2 11 2" xfId="49198"/>
    <cellStyle name="Total 4 2 12" xfId="49199"/>
    <cellStyle name="Total 4 2 12 2" xfId="49200"/>
    <cellStyle name="Total 4 2 13" xfId="49201"/>
    <cellStyle name="Total 4 2 13 2" xfId="49202"/>
    <cellStyle name="Total 4 2 14" xfId="49203"/>
    <cellStyle name="Total 4 2 14 2" xfId="49204"/>
    <cellStyle name="Total 4 2 15" xfId="49205"/>
    <cellStyle name="Total 4 2 15 2" xfId="49206"/>
    <cellStyle name="Total 4 2 16" xfId="49207"/>
    <cellStyle name="Total 4 2 16 2" xfId="49208"/>
    <cellStyle name="Total 4 2 17" xfId="49209"/>
    <cellStyle name="Total 4 2 17 2" xfId="49210"/>
    <cellStyle name="Total 4 2 18" xfId="49211"/>
    <cellStyle name="Total 4 2 18 2" xfId="49212"/>
    <cellStyle name="Total 4 2 19" xfId="49213"/>
    <cellStyle name="Total 4 2 19 2" xfId="49214"/>
    <cellStyle name="Total 4 2 2" xfId="49215"/>
    <cellStyle name="Total 4 2 2 2" xfId="49216"/>
    <cellStyle name="Total 4 2 2 3" xfId="49217"/>
    <cellStyle name="Total 4 2 20" xfId="49218"/>
    <cellStyle name="Total 4 2 20 2" xfId="49219"/>
    <cellStyle name="Total 4 2 21" xfId="49220"/>
    <cellStyle name="Total 4 2 21 2" xfId="49221"/>
    <cellStyle name="Total 4 2 22" xfId="49222"/>
    <cellStyle name="Total 4 2 22 2" xfId="49223"/>
    <cellStyle name="Total 4 2 23" xfId="49224"/>
    <cellStyle name="Total 4 2 23 2" xfId="49225"/>
    <cellStyle name="Total 4 2 24" xfId="49226"/>
    <cellStyle name="Total 4 2 24 2" xfId="49227"/>
    <cellStyle name="Total 4 2 25" xfId="49228"/>
    <cellStyle name="Total 4 2 25 2" xfId="49229"/>
    <cellStyle name="Total 4 2 26" xfId="49230"/>
    <cellStyle name="Total 4 2 26 2" xfId="49231"/>
    <cellStyle name="Total 4 2 27" xfId="49232"/>
    <cellStyle name="Total 4 2 27 2" xfId="49233"/>
    <cellStyle name="Total 4 2 28" xfId="49234"/>
    <cellStyle name="Total 4 2 28 2" xfId="49235"/>
    <cellStyle name="Total 4 2 29" xfId="49236"/>
    <cellStyle name="Total 4 2 29 2" xfId="49237"/>
    <cellStyle name="Total 4 2 3" xfId="49238"/>
    <cellStyle name="Total 4 2 3 2" xfId="49239"/>
    <cellStyle name="Total 4 2 3 3" xfId="49240"/>
    <cellStyle name="Total 4 2 30" xfId="49241"/>
    <cellStyle name="Total 4 2 30 2" xfId="49242"/>
    <cellStyle name="Total 4 2 31" xfId="49243"/>
    <cellStyle name="Total 4 2 4" xfId="49244"/>
    <cellStyle name="Total 4 2 4 2" xfId="49245"/>
    <cellStyle name="Total 4 2 5" xfId="49246"/>
    <cellStyle name="Total 4 2 5 2" xfId="49247"/>
    <cellStyle name="Total 4 2 6" xfId="49248"/>
    <cellStyle name="Total 4 2 6 2" xfId="49249"/>
    <cellStyle name="Total 4 2 7" xfId="49250"/>
    <cellStyle name="Total 4 2 7 2" xfId="49251"/>
    <cellStyle name="Total 4 2 8" xfId="49252"/>
    <cellStyle name="Total 4 2 8 2" xfId="49253"/>
    <cellStyle name="Total 4 2 9" xfId="49254"/>
    <cellStyle name="Total 4 2 9 2" xfId="49255"/>
    <cellStyle name="Total 4 20" xfId="49256"/>
    <cellStyle name="Total 4 20 2" xfId="49257"/>
    <cellStyle name="Total 4 21" xfId="49258"/>
    <cellStyle name="Total 4 21 2" xfId="49259"/>
    <cellStyle name="Total 4 22" xfId="49260"/>
    <cellStyle name="Total 4 22 2" xfId="49261"/>
    <cellStyle name="Total 4 23" xfId="49262"/>
    <cellStyle name="Total 4 23 2" xfId="49263"/>
    <cellStyle name="Total 4 24" xfId="49264"/>
    <cellStyle name="Total 4 24 2" xfId="49265"/>
    <cellStyle name="Total 4 25" xfId="49266"/>
    <cellStyle name="Total 4 25 2" xfId="49267"/>
    <cellStyle name="Total 4 26" xfId="49268"/>
    <cellStyle name="Total 4 26 2" xfId="49269"/>
    <cellStyle name="Total 4 27" xfId="49270"/>
    <cellStyle name="Total 4 27 2" xfId="49271"/>
    <cellStyle name="Total 4 28" xfId="49272"/>
    <cellStyle name="Total 4 28 2" xfId="49273"/>
    <cellStyle name="Total 4 29" xfId="49274"/>
    <cellStyle name="Total 4 29 2" xfId="49275"/>
    <cellStyle name="Total 4 3" xfId="49276"/>
    <cellStyle name="Total 4 3 2" xfId="49277"/>
    <cellStyle name="Total 4 3 2 2" xfId="49278"/>
    <cellStyle name="Total 4 3 3" xfId="49279"/>
    <cellStyle name="Total 4 3 3 2" xfId="49280"/>
    <cellStyle name="Total 4 3 4" xfId="49281"/>
    <cellStyle name="Total 4 3 4 2" xfId="49282"/>
    <cellStyle name="Total 4 3 5" xfId="49283"/>
    <cellStyle name="Total 4 30" xfId="49284"/>
    <cellStyle name="Total 4 30 2" xfId="49285"/>
    <cellStyle name="Total 4 31" xfId="49286"/>
    <cellStyle name="Total 4 31 2" xfId="49287"/>
    <cellStyle name="Total 4 32" xfId="49288"/>
    <cellStyle name="Total 4 32 2" xfId="49289"/>
    <cellStyle name="Total 4 33" xfId="49290"/>
    <cellStyle name="Total 4 33 2" xfId="49291"/>
    <cellStyle name="Total 4 34" xfId="49292"/>
    <cellStyle name="Total 4 34 2" xfId="49293"/>
    <cellStyle name="Total 4 35" xfId="49294"/>
    <cellStyle name="Total 4 35 2" xfId="49295"/>
    <cellStyle name="Total 4 36" xfId="49296"/>
    <cellStyle name="Total 4 36 2" xfId="49297"/>
    <cellStyle name="Total 4 37" xfId="49298"/>
    <cellStyle name="Total 4 37 2" xfId="49299"/>
    <cellStyle name="Total 4 38" xfId="49300"/>
    <cellStyle name="Total 4 38 2" xfId="49301"/>
    <cellStyle name="Total 4 39" xfId="49302"/>
    <cellStyle name="Total 4 39 2" xfId="49303"/>
    <cellStyle name="Total 4 4" xfId="49304"/>
    <cellStyle name="Total 4 4 2" xfId="49305"/>
    <cellStyle name="Total 4 4 2 2" xfId="49306"/>
    <cellStyle name="Total 4 4 3" xfId="49307"/>
    <cellStyle name="Total 4 4 3 2" xfId="49308"/>
    <cellStyle name="Total 4 4 4" xfId="49309"/>
    <cellStyle name="Total 4 4 4 2" xfId="49310"/>
    <cellStyle name="Total 4 4 5" xfId="49311"/>
    <cellStyle name="Total 4 40" xfId="49312"/>
    <cellStyle name="Total 4 40 2" xfId="49313"/>
    <cellStyle name="Total 4 41" xfId="49314"/>
    <cellStyle name="Total 4 41 2" xfId="49315"/>
    <cellStyle name="Total 4 42" xfId="49316"/>
    <cellStyle name="Total 4 42 2" xfId="49317"/>
    <cellStyle name="Total 4 43" xfId="49318"/>
    <cellStyle name="Total 4 43 2" xfId="49319"/>
    <cellStyle name="Total 4 44" xfId="49320"/>
    <cellStyle name="Total 4 44 2" xfId="49321"/>
    <cellStyle name="Total 4 45" xfId="49322"/>
    <cellStyle name="Total 4 45 2" xfId="49323"/>
    <cellStyle name="Total 4 46" xfId="49324"/>
    <cellStyle name="Total 4 46 2" xfId="49325"/>
    <cellStyle name="Total 4 47" xfId="49326"/>
    <cellStyle name="Total 4 47 2" xfId="49327"/>
    <cellStyle name="Total 4 48" xfId="49328"/>
    <cellStyle name="Total 4 48 2" xfId="49329"/>
    <cellStyle name="Total 4 49" xfId="49330"/>
    <cellStyle name="Total 4 49 2" xfId="49331"/>
    <cellStyle name="Total 4 5" xfId="49332"/>
    <cellStyle name="Total 4 5 2" xfId="49333"/>
    <cellStyle name="Total 4 5 2 2" xfId="49334"/>
    <cellStyle name="Total 4 5 3" xfId="49335"/>
    <cellStyle name="Total 4 5 3 2" xfId="49336"/>
    <cellStyle name="Total 4 5 4" xfId="49337"/>
    <cellStyle name="Total 4 5 4 2" xfId="49338"/>
    <cellStyle name="Total 4 5 5" xfId="49339"/>
    <cellStyle name="Total 4 50" xfId="49340"/>
    <cellStyle name="Total 4 50 2" xfId="49341"/>
    <cellStyle name="Total 4 51" xfId="49342"/>
    <cellStyle name="Total 4 51 2" xfId="49343"/>
    <cellStyle name="Total 4 52" xfId="49344"/>
    <cellStyle name="Total 4 52 2" xfId="49345"/>
    <cellStyle name="Total 4 53" xfId="49346"/>
    <cellStyle name="Total 4 53 2" xfId="49347"/>
    <cellStyle name="Total 4 54" xfId="49348"/>
    <cellStyle name="Total 4 54 2" xfId="49349"/>
    <cellStyle name="Total 4 55" xfId="49350"/>
    <cellStyle name="Total 4 55 2" xfId="49351"/>
    <cellStyle name="Total 4 56" xfId="49352"/>
    <cellStyle name="Total 4 56 2" xfId="49353"/>
    <cellStyle name="Total 4 57" xfId="49354"/>
    <cellStyle name="Total 4 6" xfId="49355"/>
    <cellStyle name="Total 4 6 2" xfId="49356"/>
    <cellStyle name="Total 4 6 2 2" xfId="49357"/>
    <cellStyle name="Total 4 6 3" xfId="49358"/>
    <cellStyle name="Total 4 6 3 2" xfId="49359"/>
    <cellStyle name="Total 4 6 4" xfId="49360"/>
    <cellStyle name="Total 4 6 4 2" xfId="49361"/>
    <cellStyle name="Total 4 6 5" xfId="49362"/>
    <cellStyle name="Total 4 7" xfId="49363"/>
    <cellStyle name="Total 4 7 2" xfId="49364"/>
    <cellStyle name="Total 4 7 2 2" xfId="49365"/>
    <cellStyle name="Total 4 7 3" xfId="49366"/>
    <cellStyle name="Total 4 7 3 2" xfId="49367"/>
    <cellStyle name="Total 4 7 4" xfId="49368"/>
    <cellStyle name="Total 4 7 4 2" xfId="49369"/>
    <cellStyle name="Total 4 7 5" xfId="49370"/>
    <cellStyle name="Total 4 8" xfId="49371"/>
    <cellStyle name="Total 4 8 2" xfId="49372"/>
    <cellStyle name="Total 4 8 2 2" xfId="49373"/>
    <cellStyle name="Total 4 8 3" xfId="49374"/>
    <cellStyle name="Total 4 8 3 2" xfId="49375"/>
    <cellStyle name="Total 4 8 4" xfId="49376"/>
    <cellStyle name="Total 4 8 4 2" xfId="49377"/>
    <cellStyle name="Total 4 8 5" xfId="49378"/>
    <cellStyle name="Total 4 9" xfId="49379"/>
    <cellStyle name="Total 4 9 2" xfId="49380"/>
    <cellStyle name="Total 4 9 2 2" xfId="49381"/>
    <cellStyle name="Total 4 9 3" xfId="49382"/>
    <cellStyle name="Total 4 9 3 2" xfId="49383"/>
    <cellStyle name="Total 4 9 4" xfId="49384"/>
    <cellStyle name="Total 4 9 4 2" xfId="49385"/>
    <cellStyle name="Total 4 9 5" xfId="49386"/>
    <cellStyle name="Total 40" xfId="49387"/>
    <cellStyle name="Total 40 2" xfId="49388"/>
    <cellStyle name="Total 41" xfId="49389"/>
    <cellStyle name="Total 41 2" xfId="49390"/>
    <cellStyle name="Total 42" xfId="49391"/>
    <cellStyle name="Total 42 2" xfId="49392"/>
    <cellStyle name="Total 43" xfId="49393"/>
    <cellStyle name="Total 43 2" xfId="49394"/>
    <cellStyle name="Total 44" xfId="49395"/>
    <cellStyle name="Total 44 2" xfId="49396"/>
    <cellStyle name="Total 45" xfId="49397"/>
    <cellStyle name="Total 45 2" xfId="49398"/>
    <cellStyle name="Total 46" xfId="49399"/>
    <cellStyle name="Total 46 2" xfId="49400"/>
    <cellStyle name="Total 47" xfId="49401"/>
    <cellStyle name="Total 47 2" xfId="49402"/>
    <cellStyle name="Total 48" xfId="49403"/>
    <cellStyle name="Total 48 2" xfId="49404"/>
    <cellStyle name="Total 49" xfId="49405"/>
    <cellStyle name="Total 49 2" xfId="49406"/>
    <cellStyle name="Total 5" xfId="49407"/>
    <cellStyle name="Total 5 10" xfId="49408"/>
    <cellStyle name="Total 5 10 2" xfId="49409"/>
    <cellStyle name="Total 5 11" xfId="49410"/>
    <cellStyle name="Total 5 11 2" xfId="49411"/>
    <cellStyle name="Total 5 12" xfId="49412"/>
    <cellStyle name="Total 5 12 2" xfId="49413"/>
    <cellStyle name="Total 5 13" xfId="49414"/>
    <cellStyle name="Total 5 13 2" xfId="49415"/>
    <cellStyle name="Total 5 14" xfId="49416"/>
    <cellStyle name="Total 5 14 2" xfId="49417"/>
    <cellStyle name="Total 5 15" xfId="49418"/>
    <cellStyle name="Total 5 15 2" xfId="49419"/>
    <cellStyle name="Total 5 16" xfId="49420"/>
    <cellStyle name="Total 5 16 2" xfId="49421"/>
    <cellStyle name="Total 5 17" xfId="49422"/>
    <cellStyle name="Total 5 17 2" xfId="49423"/>
    <cellStyle name="Total 5 18" xfId="49424"/>
    <cellStyle name="Total 5 18 2" xfId="49425"/>
    <cellStyle name="Total 5 19" xfId="49426"/>
    <cellStyle name="Total 5 19 2" xfId="49427"/>
    <cellStyle name="Total 5 2" xfId="49428"/>
    <cellStyle name="Total 5 2 2" xfId="49429"/>
    <cellStyle name="Total 5 2 3" xfId="49430"/>
    <cellStyle name="Total 5 20" xfId="49431"/>
    <cellStyle name="Total 5 20 2" xfId="49432"/>
    <cellStyle name="Total 5 21" xfId="49433"/>
    <cellStyle name="Total 5 21 2" xfId="49434"/>
    <cellStyle name="Total 5 22" xfId="49435"/>
    <cellStyle name="Total 5 22 2" xfId="49436"/>
    <cellStyle name="Total 5 23" xfId="49437"/>
    <cellStyle name="Total 5 23 2" xfId="49438"/>
    <cellStyle name="Total 5 24" xfId="49439"/>
    <cellStyle name="Total 5 24 2" xfId="49440"/>
    <cellStyle name="Total 5 25" xfId="49441"/>
    <cellStyle name="Total 5 25 2" xfId="49442"/>
    <cellStyle name="Total 5 26" xfId="49443"/>
    <cellStyle name="Total 5 26 2" xfId="49444"/>
    <cellStyle name="Total 5 27" xfId="49445"/>
    <cellStyle name="Total 5 27 2" xfId="49446"/>
    <cellStyle name="Total 5 28" xfId="49447"/>
    <cellStyle name="Total 5 28 2" xfId="49448"/>
    <cellStyle name="Total 5 29" xfId="49449"/>
    <cellStyle name="Total 5 29 2" xfId="49450"/>
    <cellStyle name="Total 5 3" xfId="49451"/>
    <cellStyle name="Total 5 3 2" xfId="49452"/>
    <cellStyle name="Total 5 3 3" xfId="49453"/>
    <cellStyle name="Total 5 30" xfId="49454"/>
    <cellStyle name="Total 5 30 2" xfId="49455"/>
    <cellStyle name="Total 5 31" xfId="49456"/>
    <cellStyle name="Total 5 4" xfId="49457"/>
    <cellStyle name="Total 5 4 2" xfId="49458"/>
    <cellStyle name="Total 5 5" xfId="49459"/>
    <cellStyle name="Total 5 5 2" xfId="49460"/>
    <cellStyle name="Total 5 6" xfId="49461"/>
    <cellStyle name="Total 5 6 2" xfId="49462"/>
    <cellStyle name="Total 5 7" xfId="49463"/>
    <cellStyle name="Total 5 7 2" xfId="49464"/>
    <cellStyle name="Total 5 8" xfId="49465"/>
    <cellStyle name="Total 5 8 2" xfId="49466"/>
    <cellStyle name="Total 5 9" xfId="49467"/>
    <cellStyle name="Total 5 9 2" xfId="49468"/>
    <cellStyle name="Total 50" xfId="49469"/>
    <cellStyle name="Total 50 2" xfId="49470"/>
    <cellStyle name="Total 51" xfId="49471"/>
    <cellStyle name="Total 51 2" xfId="49472"/>
    <cellStyle name="Total 52" xfId="49473"/>
    <cellStyle name="Total 52 2" xfId="49474"/>
    <cellStyle name="Total 53" xfId="49475"/>
    <cellStyle name="Total 53 2" xfId="49476"/>
    <cellStyle name="Total 54" xfId="49477"/>
    <cellStyle name="Total 54 2" xfId="49478"/>
    <cellStyle name="Total 55" xfId="49479"/>
    <cellStyle name="Total 55 2" xfId="49480"/>
    <cellStyle name="Total 56" xfId="49481"/>
    <cellStyle name="Total 56 2" xfId="49482"/>
    <cellStyle name="Total 57" xfId="49483"/>
    <cellStyle name="Total 57 2" xfId="49484"/>
    <cellStyle name="Total 58" xfId="49485"/>
    <cellStyle name="Total 58 2" xfId="49486"/>
    <cellStyle name="Total 59" xfId="49487"/>
    <cellStyle name="Total 59 2" xfId="49488"/>
    <cellStyle name="Total 6" xfId="49489"/>
    <cellStyle name="Total 6 2" xfId="49490"/>
    <cellStyle name="Total 6 2 2" xfId="49491"/>
    <cellStyle name="Total 6 3" xfId="49492"/>
    <cellStyle name="Total 6 3 2" xfId="49493"/>
    <cellStyle name="Total 6 4" xfId="49494"/>
    <cellStyle name="Total 6 4 2" xfId="49495"/>
    <cellStyle name="Total 6 5" xfId="49496"/>
    <cellStyle name="Total 60" xfId="49497"/>
    <cellStyle name="Total 60 2" xfId="49498"/>
    <cellStyle name="Total 61" xfId="49499"/>
    <cellStyle name="Total 61 2" xfId="49500"/>
    <cellStyle name="Total 62" xfId="49501"/>
    <cellStyle name="Total 62 2" xfId="49502"/>
    <cellStyle name="Total 63" xfId="49503"/>
    <cellStyle name="Total 63 2" xfId="49504"/>
    <cellStyle name="Total 64" xfId="49505"/>
    <cellStyle name="Total 64 2" xfId="49506"/>
    <cellStyle name="Total 65" xfId="49507"/>
    <cellStyle name="Total 65 2" xfId="49508"/>
    <cellStyle name="Total 66" xfId="49509"/>
    <cellStyle name="Total 67" xfId="49510"/>
    <cellStyle name="Total 68" xfId="49511"/>
    <cellStyle name="Total 69" xfId="49512"/>
    <cellStyle name="Total 7" xfId="49513"/>
    <cellStyle name="Total 7 10" xfId="49514"/>
    <cellStyle name="Total 7 11" xfId="49515"/>
    <cellStyle name="Total 7 12" xfId="49516"/>
    <cellStyle name="Total 7 13" xfId="49517"/>
    <cellStyle name="Total 7 2" xfId="49518"/>
    <cellStyle name="Total 7 2 2" xfId="49519"/>
    <cellStyle name="Total 7 2 3" xfId="49520"/>
    <cellStyle name="Total 7 3" xfId="49521"/>
    <cellStyle name="Total 7 3 2" xfId="49522"/>
    <cellStyle name="Total 7 4" xfId="49523"/>
    <cellStyle name="Total 7 4 2" xfId="49524"/>
    <cellStyle name="Total 7 5" xfId="49525"/>
    <cellStyle name="Total 7 5 2" xfId="49526"/>
    <cellStyle name="Total 7 5 3" xfId="49527"/>
    <cellStyle name="Total 7 5 4" xfId="49528"/>
    <cellStyle name="Total 7 5 5" xfId="49529"/>
    <cellStyle name="Total 7 5 6" xfId="49530"/>
    <cellStyle name="Total 7 6" xfId="49531"/>
    <cellStyle name="Total 7 6 2" xfId="49532"/>
    <cellStyle name="Total 7 7" xfId="49533"/>
    <cellStyle name="Total 7 7 2" xfId="49534"/>
    <cellStyle name="Total 7 8" xfId="49535"/>
    <cellStyle name="Total 7 8 2" xfId="49536"/>
    <cellStyle name="Total 7 9" xfId="49537"/>
    <cellStyle name="Total 7 9 2" xfId="49538"/>
    <cellStyle name="Total 70" xfId="49539"/>
    <cellStyle name="Total 71" xfId="49540"/>
    <cellStyle name="Total 72" xfId="49541"/>
    <cellStyle name="Total 72 2" xfId="49542"/>
    <cellStyle name="Total 73" xfId="49543"/>
    <cellStyle name="Total 73 2" xfId="49544"/>
    <cellStyle name="Total 74" xfId="49545"/>
    <cellStyle name="Total 74 2" xfId="49546"/>
    <cellStyle name="Total 75" xfId="49547"/>
    <cellStyle name="Total 76" xfId="49548"/>
    <cellStyle name="Total 77" xfId="49549"/>
    <cellStyle name="Total 78" xfId="49550"/>
    <cellStyle name="Total 79" xfId="49551"/>
    <cellStyle name="Total 8" xfId="49552"/>
    <cellStyle name="Total 8 10" xfId="49553"/>
    <cellStyle name="Total 8 11" xfId="49554"/>
    <cellStyle name="Total 8 12" xfId="49555"/>
    <cellStyle name="Total 8 13" xfId="49556"/>
    <cellStyle name="Total 8 2" xfId="49557"/>
    <cellStyle name="Total 8 2 2" xfId="49558"/>
    <cellStyle name="Total 8 2 3" xfId="49559"/>
    <cellStyle name="Total 8 3" xfId="49560"/>
    <cellStyle name="Total 8 3 2" xfId="49561"/>
    <cellStyle name="Total 8 4" xfId="49562"/>
    <cellStyle name="Total 8 4 2" xfId="49563"/>
    <cellStyle name="Total 8 5" xfId="49564"/>
    <cellStyle name="Total 8 5 2" xfId="49565"/>
    <cellStyle name="Total 8 5 3" xfId="49566"/>
    <cellStyle name="Total 8 5 4" xfId="49567"/>
    <cellStyle name="Total 8 5 5" xfId="49568"/>
    <cellStyle name="Total 8 5 6" xfId="49569"/>
    <cellStyle name="Total 8 6" xfId="49570"/>
    <cellStyle name="Total 8 6 2" xfId="49571"/>
    <cellStyle name="Total 8 7" xfId="49572"/>
    <cellStyle name="Total 8 7 2" xfId="49573"/>
    <cellStyle name="Total 8 8" xfId="49574"/>
    <cellStyle name="Total 8 8 2" xfId="49575"/>
    <cellStyle name="Total 8 9" xfId="49576"/>
    <cellStyle name="Total 8 9 2" xfId="49577"/>
    <cellStyle name="Total 80" xfId="49578"/>
    <cellStyle name="Total 81" xfId="49579"/>
    <cellStyle name="Total 82" xfId="49580"/>
    <cellStyle name="Total 83" xfId="49581"/>
    <cellStyle name="Total 84" xfId="49582"/>
    <cellStyle name="Total 85" xfId="49583"/>
    <cellStyle name="Total 86" xfId="49584"/>
    <cellStyle name="Total 87" xfId="49585"/>
    <cellStyle name="Total 88" xfId="49586"/>
    <cellStyle name="Total 89" xfId="49587"/>
    <cellStyle name="Total 89 2" xfId="49588"/>
    <cellStyle name="Total 9" xfId="49589"/>
    <cellStyle name="Total 9 10" xfId="49590"/>
    <cellStyle name="Total 9 11" xfId="49591"/>
    <cellStyle name="Total 9 12" xfId="49592"/>
    <cellStyle name="Total 9 13" xfId="49593"/>
    <cellStyle name="Total 9 2" xfId="49594"/>
    <cellStyle name="Total 9 2 2" xfId="49595"/>
    <cellStyle name="Total 9 2 3" xfId="49596"/>
    <cellStyle name="Total 9 3" xfId="49597"/>
    <cellStyle name="Total 9 3 2" xfId="49598"/>
    <cellStyle name="Total 9 4" xfId="49599"/>
    <cellStyle name="Total 9 4 2" xfId="49600"/>
    <cellStyle name="Total 9 5" xfId="49601"/>
    <cellStyle name="Total 9 5 2" xfId="49602"/>
    <cellStyle name="Total 9 5 3" xfId="49603"/>
    <cellStyle name="Total 9 5 4" xfId="49604"/>
    <cellStyle name="Total 9 5 5" xfId="49605"/>
    <cellStyle name="Total 9 5 6" xfId="49606"/>
    <cellStyle name="Total 9 6" xfId="49607"/>
    <cellStyle name="Total 9 6 2" xfId="49608"/>
    <cellStyle name="Total 9 7" xfId="49609"/>
    <cellStyle name="Total 9 7 2" xfId="49610"/>
    <cellStyle name="Total 9 8" xfId="49611"/>
    <cellStyle name="Total 9 8 2" xfId="49612"/>
    <cellStyle name="Total 9 9" xfId="49613"/>
    <cellStyle name="Total 9 9 2" xfId="49614"/>
    <cellStyle name="Total 90" xfId="49615"/>
    <cellStyle name="Total 90 2" xfId="49616"/>
    <cellStyle name="Total 91" xfId="49617"/>
    <cellStyle name="Total 92" xfId="49618"/>
    <cellStyle name="Warning Text 10" xfId="49619"/>
    <cellStyle name="Warning Text 10 2" xfId="49620"/>
    <cellStyle name="Warning Text 11" xfId="49621"/>
    <cellStyle name="Warning Text 12" xfId="49622"/>
    <cellStyle name="Warning Text 13" xfId="49623"/>
    <cellStyle name="Warning Text 14" xfId="49624"/>
    <cellStyle name="Warning Text 15" xfId="49625"/>
    <cellStyle name="Warning Text 16" xfId="49626"/>
    <cellStyle name="Warning Text 17" xfId="49627"/>
    <cellStyle name="Warning Text 18" xfId="49628"/>
    <cellStyle name="Warning Text 19" xfId="49629"/>
    <cellStyle name="Warning Text 2" xfId="49630"/>
    <cellStyle name="Warning Text 2 2" xfId="49631"/>
    <cellStyle name="Warning Text 2 3" xfId="49632"/>
    <cellStyle name="Warning Text 2 4" xfId="49633"/>
    <cellStyle name="Warning Text 2 5" xfId="49634"/>
    <cellStyle name="Warning Text 2 6" xfId="49635"/>
    <cellStyle name="Warning Text 2 7" xfId="49636"/>
    <cellStyle name="Warning Text 2 8" xfId="49637"/>
    <cellStyle name="Warning Text 20" xfId="49638"/>
    <cellStyle name="Warning Text 21" xfId="49639"/>
    <cellStyle name="Warning Text 22" xfId="49640"/>
    <cellStyle name="Warning Text 23" xfId="49641"/>
    <cellStyle name="Warning Text 24" xfId="49642"/>
    <cellStyle name="Warning Text 25" xfId="49643"/>
    <cellStyle name="Warning Text 26" xfId="49644"/>
    <cellStyle name="Warning Text 27" xfId="49645"/>
    <cellStyle name="Warning Text 28" xfId="49646"/>
    <cellStyle name="Warning Text 29" xfId="49647"/>
    <cellStyle name="Warning Text 3" xfId="49648"/>
    <cellStyle name="Warning Text 30" xfId="49649"/>
    <cellStyle name="Warning Text 31" xfId="49650"/>
    <cellStyle name="Warning Text 32" xfId="49651"/>
    <cellStyle name="Warning Text 33" xfId="49652"/>
    <cellStyle name="Warning Text 34" xfId="49653"/>
    <cellStyle name="Warning Text 35" xfId="49654"/>
    <cellStyle name="Warning Text 36" xfId="49655"/>
    <cellStyle name="Warning Text 37" xfId="49656"/>
    <cellStyle name="Warning Text 38" xfId="49657"/>
    <cellStyle name="Warning Text 4" xfId="49658"/>
    <cellStyle name="Warning Text 4 2" xfId="49659"/>
    <cellStyle name="Warning Text 4 3" xfId="49660"/>
    <cellStyle name="Warning Text 4 4" xfId="49661"/>
    <cellStyle name="Warning Text 5" xfId="49662"/>
    <cellStyle name="Warning Text 5 10" xfId="49663"/>
    <cellStyle name="Warning Text 5 11" xfId="49664"/>
    <cellStyle name="Warning Text 5 2" xfId="49665"/>
    <cellStyle name="Warning Text 5 2 2" xfId="49666"/>
    <cellStyle name="Warning Text 5 2 3" xfId="49667"/>
    <cellStyle name="Warning Text 5 2 4" xfId="49668"/>
    <cellStyle name="Warning Text 5 2 5" xfId="49669"/>
    <cellStyle name="Warning Text 5 2 6" xfId="49670"/>
    <cellStyle name="Warning Text 5 3" xfId="49671"/>
    <cellStyle name="Warning Text 5 4" xfId="49672"/>
    <cellStyle name="Warning Text 5 5" xfId="49673"/>
    <cellStyle name="Warning Text 5 6" xfId="49674"/>
    <cellStyle name="Warning Text 5 7" xfId="49675"/>
    <cellStyle name="Warning Text 5 8" xfId="49676"/>
    <cellStyle name="Warning Text 5 9" xfId="49677"/>
    <cellStyle name="Warning Text 6" xfId="49678"/>
    <cellStyle name="Warning Text 6 2" xfId="49679"/>
    <cellStyle name="Warning Text 6 2 2" xfId="49680"/>
    <cellStyle name="Warning Text 6 2 3" xfId="49681"/>
    <cellStyle name="Warning Text 6 2 4" xfId="49682"/>
    <cellStyle name="Warning Text 6 2 5" xfId="49683"/>
    <cellStyle name="Warning Text 6 2 6" xfId="49684"/>
    <cellStyle name="Warning Text 6 3" xfId="49685"/>
    <cellStyle name="Warning Text 6 4" xfId="49686"/>
    <cellStyle name="Warning Text 6 5" xfId="49687"/>
    <cellStyle name="Warning Text 6 6" xfId="49688"/>
    <cellStyle name="Warning Text 6 7" xfId="49689"/>
    <cellStyle name="Warning Text 6 8" xfId="49690"/>
    <cellStyle name="Warning Text 6 9" xfId="49691"/>
    <cellStyle name="Warning Text 7" xfId="49692"/>
    <cellStyle name="Warning Text 7 2" xfId="49693"/>
    <cellStyle name="Warning Text 7 3" xfId="49694"/>
    <cellStyle name="Warning Text 7 4" xfId="49695"/>
    <cellStyle name="Warning Text 8" xfId="49696"/>
    <cellStyle name="Warning Text 8 2" xfId="49697"/>
    <cellStyle name="Warning Text 8 3" xfId="49698"/>
    <cellStyle name="Warning Text 8 4" xfId="49699"/>
    <cellStyle name="Warning Text 9" xfId="49700"/>
    <cellStyle name="Warning Text 9 2" xfId="49701"/>
    <cellStyle name="Warning Text 9 3" xfId="49702"/>
  </cellStyles>
  <dxfs count="108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ill>
        <patternFill>
          <bgColor rgb="FFCCECFF"/>
        </patternFill>
      </fill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6699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ill>
        <patternFill>
          <bgColor rgb="FF00B0F0"/>
        </patternFill>
      </fill>
    </dxf>
    <dxf>
      <fill>
        <patternFill>
          <bgColor rgb="FF97E4FF"/>
        </patternFill>
      </fill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n13\mis%20data\mis%20data\mis%20data\mis%20data\mis%20data\mis%20data\mis%20data\Operation\MIS\2017-18\New%20Prod%202017-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ACT 15-16"/>
      <sheetName val="act2010-11"/>
      <sheetName val="act2011-12 "/>
      <sheetName val="act2012-13"/>
      <sheetName val="act2013-14"/>
      <sheetName val="act2014-15"/>
      <sheetName val="Perf new facilities"/>
      <sheetName val="app vs act2017-18item-wise"/>
      <sheetName val="2016-17 mod act"/>
      <sheetName val="Qtr wise 17-18 APP"/>
      <sheetName val="Qtr wise 17-18 MoU L-2"/>
      <sheetName val="APP 17-18"/>
      <sheetName val="ACT 15-16"/>
      <sheetName val="MoU L-1 17-18"/>
      <sheetName val="MoU L-2 17-18"/>
      <sheetName val="MoU vs act2017-18item-wise"/>
      <sheetName val="APP report"/>
      <sheetName val="MoU report"/>
      <sheetName val="ACT 17-18"/>
      <sheetName val="ACT 16-17"/>
      <sheetName val="DOMOS"/>
      <sheetName val="NEWACT 16-17"/>
      <sheetName val="NEWACT 17-18"/>
      <sheetName val="NEWPLAN 17-18"/>
      <sheetName val="NEWPLAN MoU L-2 17-18"/>
      <sheetName val="NEWPLAN MoU L-1 17-18"/>
      <sheetName val="APP reportnew"/>
      <sheetName val="Annexure-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U3">
            <v>42856</v>
          </cell>
          <cell r="V3">
            <v>42887</v>
          </cell>
          <cell r="W3">
            <v>42917</v>
          </cell>
          <cell r="X3">
            <v>42948</v>
          </cell>
          <cell r="Y3">
            <v>42979</v>
          </cell>
          <cell r="Z3">
            <v>43009</v>
          </cell>
          <cell r="AA3">
            <v>43040</v>
          </cell>
          <cell r="AB3">
            <v>43070</v>
          </cell>
          <cell r="AC3">
            <v>43101</v>
          </cell>
          <cell r="AD3">
            <v>43132</v>
          </cell>
          <cell r="AE3">
            <v>43160</v>
          </cell>
        </row>
        <row r="4">
          <cell r="U4">
            <v>598.96721311475414</v>
          </cell>
          <cell r="V4">
            <v>574.58241758241763</v>
          </cell>
          <cell r="W4">
            <v>579.26229508196718</v>
          </cell>
          <cell r="X4">
            <v>587.51633986928107</v>
          </cell>
          <cell r="Y4">
            <v>592.18579234972674</v>
          </cell>
          <cell r="Z4">
            <v>594.3317757009346</v>
          </cell>
          <cell r="AA4">
            <v>595.27459016393448</v>
          </cell>
          <cell r="AB4">
            <v>596.37090909090909</v>
          </cell>
          <cell r="AC4">
            <v>598.96732026143786</v>
          </cell>
          <cell r="AD4">
            <v>607.26946107784431</v>
          </cell>
          <cell r="AE4">
            <v>613.27671232876708</v>
          </cell>
        </row>
        <row r="5">
          <cell r="U5">
            <v>248.14754098360655</v>
          </cell>
          <cell r="V5">
            <v>250.45054945054946</v>
          </cell>
          <cell r="W5">
            <v>261.05737704918033</v>
          </cell>
          <cell r="X5">
            <v>272.8235294117647</v>
          </cell>
          <cell r="Y5">
            <v>283.80874316939889</v>
          </cell>
          <cell r="Z5">
            <v>285.86915887850466</v>
          </cell>
          <cell r="AA5">
            <v>284.44262295081967</v>
          </cell>
          <cell r="AB5">
            <v>289.37454545454545</v>
          </cell>
          <cell r="AC5">
            <v>292.140522875817</v>
          </cell>
          <cell r="AD5">
            <v>295.76946107784431</v>
          </cell>
          <cell r="AE5">
            <v>299.78082191780823</v>
          </cell>
        </row>
        <row r="6">
          <cell r="U6">
            <v>437.06557377049182</v>
          </cell>
          <cell r="V6">
            <v>416.48351648351633</v>
          </cell>
          <cell r="W6">
            <v>411.4836065573769</v>
          </cell>
          <cell r="X6">
            <v>419.49673202614372</v>
          </cell>
          <cell r="Y6">
            <v>425.7322404371584</v>
          </cell>
          <cell r="Z6">
            <v>429.7488785046728</v>
          </cell>
          <cell r="AA6">
            <v>430.10762295081958</v>
          </cell>
          <cell r="AB6">
            <v>429.86507636363626</v>
          </cell>
          <cell r="AC6">
            <v>430.91142483660121</v>
          </cell>
          <cell r="AD6">
            <v>431.04759281437117</v>
          </cell>
          <cell r="AE6">
            <v>431.12848219178079</v>
          </cell>
        </row>
        <row r="7">
          <cell r="U7">
            <v>368.65573770491801</v>
          </cell>
          <cell r="V7">
            <v>369.94505494505495</v>
          </cell>
          <cell r="W7">
            <v>372.86885245901641</v>
          </cell>
          <cell r="X7">
            <v>383.13725490196077</v>
          </cell>
          <cell r="Y7">
            <v>394.61202185792348</v>
          </cell>
          <cell r="Z7">
            <v>401.82242990654208</v>
          </cell>
          <cell r="AA7">
            <v>408.88114754098359</v>
          </cell>
          <cell r="AB7">
            <v>414.72727272727275</v>
          </cell>
          <cell r="AC7">
            <v>421.27124183006538</v>
          </cell>
          <cell r="AD7">
            <v>427.19461077844312</v>
          </cell>
          <cell r="AE7">
            <v>431.50958904109586</v>
          </cell>
        </row>
        <row r="8">
          <cell r="U8">
            <v>236.82542622950817</v>
          </cell>
          <cell r="V8">
            <v>239.96393406593407</v>
          </cell>
          <cell r="W8">
            <v>242.8959344262295</v>
          </cell>
          <cell r="X8">
            <v>245.95683006535947</v>
          </cell>
          <cell r="Y8">
            <v>248.7624863387978</v>
          </cell>
          <cell r="Z8">
            <v>248.25950934579438</v>
          </cell>
          <cell r="AA8">
            <v>248.48170081967211</v>
          </cell>
          <cell r="AB8">
            <v>249.25285454545457</v>
          </cell>
          <cell r="AC8">
            <v>250.4756045751634</v>
          </cell>
          <cell r="AD8">
            <v>251.07645209580841</v>
          </cell>
          <cell r="AE8">
            <v>252.08913698630138</v>
          </cell>
        </row>
        <row r="9">
          <cell r="U9">
            <v>1889.6614918032785</v>
          </cell>
          <cell r="V9">
            <v>1851.4254725274725</v>
          </cell>
          <cell r="W9">
            <v>1867.5680655737706</v>
          </cell>
          <cell r="X9">
            <v>1908.93068627451</v>
          </cell>
          <cell r="Y9">
            <v>1945.1012841530057</v>
          </cell>
          <cell r="Z9">
            <v>1960.0317523364488</v>
          </cell>
          <cell r="AA9">
            <v>1967.1876844262297</v>
          </cell>
          <cell r="AB9">
            <v>1979.5906581818185</v>
          </cell>
          <cell r="AC9">
            <v>1993.7661143790854</v>
          </cell>
          <cell r="AD9">
            <v>2012.3575778443117</v>
          </cell>
          <cell r="AE9">
            <v>2027.7847424657537</v>
          </cell>
        </row>
        <row r="10">
          <cell r="U10">
            <v>972.81999999999994</v>
          </cell>
          <cell r="V10">
            <v>1454.6329999999998</v>
          </cell>
          <cell r="W10">
            <v>1983.4699999999998</v>
          </cell>
          <cell r="X10">
            <v>2561.1539999999995</v>
          </cell>
          <cell r="Y10">
            <v>3132.3119999999994</v>
          </cell>
          <cell r="Z10">
            <v>3741.7609999999995</v>
          </cell>
          <cell r="AA10">
            <v>4255.2239999999993</v>
          </cell>
          <cell r="AB10">
            <v>4757.9809999999989</v>
          </cell>
          <cell r="AC10">
            <v>5328.0119999999988</v>
          </cell>
          <cell r="AD10">
            <v>5883.7339999999986</v>
          </cell>
          <cell r="AE10">
            <v>6489.5339999999987</v>
          </cell>
        </row>
        <row r="11">
          <cell r="U11">
            <v>401.22300000000001</v>
          </cell>
          <cell r="V11">
            <v>646.71900000000005</v>
          </cell>
          <cell r="W11">
            <v>928.43600000000004</v>
          </cell>
          <cell r="X11">
            <v>1220.5150000000001</v>
          </cell>
          <cell r="Y11">
            <v>1489.386</v>
          </cell>
          <cell r="Z11">
            <v>1763.838</v>
          </cell>
          <cell r="AA11">
            <v>2055.145</v>
          </cell>
          <cell r="AB11">
            <v>2332.9859999999999</v>
          </cell>
          <cell r="AC11">
            <v>2572.2660000000001</v>
          </cell>
          <cell r="AD11">
            <v>2840.4160000000002</v>
          </cell>
          <cell r="AE11">
            <v>3153.2080000000001</v>
          </cell>
        </row>
        <row r="12">
          <cell r="U12">
            <v>766.40200000000004</v>
          </cell>
          <cell r="V12">
            <v>1153.7840000000001</v>
          </cell>
          <cell r="W12">
            <v>1631.9180000000001</v>
          </cell>
          <cell r="X12">
            <v>2137.0060000000003</v>
          </cell>
          <cell r="Y12">
            <v>2543.7700000000004</v>
          </cell>
          <cell r="Z12">
            <v>3026.0760000000005</v>
          </cell>
          <cell r="AA12">
            <v>3474.6950000000006</v>
          </cell>
          <cell r="AB12">
            <v>3959.0870000000004</v>
          </cell>
          <cell r="AC12">
            <v>4408.6930000000002</v>
          </cell>
          <cell r="AD12">
            <v>4825.46</v>
          </cell>
          <cell r="AE12">
            <v>5304.72</v>
          </cell>
        </row>
        <row r="13">
          <cell r="U13">
            <v>931.25199999999995</v>
          </cell>
          <cell r="V13">
            <v>1385.8969999999999</v>
          </cell>
          <cell r="W13">
            <v>1815.1179999999999</v>
          </cell>
          <cell r="X13">
            <v>2241.239</v>
          </cell>
          <cell r="Y13">
            <v>2710.1460000000002</v>
          </cell>
          <cell r="Z13">
            <v>3186.6890000000003</v>
          </cell>
          <cell r="AA13">
            <v>3648.9390000000003</v>
          </cell>
          <cell r="AB13">
            <v>4122.0610000000006</v>
          </cell>
          <cell r="AC13">
            <v>4665.8570000000009</v>
          </cell>
          <cell r="AD13">
            <v>5121.7260000000006</v>
          </cell>
          <cell r="AE13">
            <v>5601.2020000000002</v>
          </cell>
        </row>
        <row r="14">
          <cell r="U14">
            <v>479.928</v>
          </cell>
          <cell r="V14">
            <v>728.91300000000001</v>
          </cell>
          <cell r="W14">
            <v>1004.513</v>
          </cell>
          <cell r="X14">
            <v>1294.5230000000001</v>
          </cell>
          <cell r="Y14">
            <v>1585.5330000000001</v>
          </cell>
          <cell r="Z14">
            <v>1868.5360000000001</v>
          </cell>
          <cell r="AA14">
            <v>2125.5079999999998</v>
          </cell>
          <cell r="AB14">
            <v>2394.0919999999996</v>
          </cell>
          <cell r="AC14">
            <v>2701.8729999999996</v>
          </cell>
          <cell r="AD14">
            <v>2984.9689999999996</v>
          </cell>
          <cell r="AE14">
            <v>3280.0109999999995</v>
          </cell>
        </row>
        <row r="15">
          <cell r="U15">
            <v>3551.625</v>
          </cell>
          <cell r="V15">
            <v>5369.9459999999999</v>
          </cell>
          <cell r="W15">
            <v>7363.4549999999999</v>
          </cell>
          <cell r="X15">
            <v>9454.4369999999999</v>
          </cell>
          <cell r="Y15">
            <v>11461.147000000001</v>
          </cell>
          <cell r="Z15">
            <v>13586.900000000001</v>
          </cell>
          <cell r="AA15">
            <v>15559.511000000002</v>
          </cell>
          <cell r="AB15">
            <v>17566.207000000002</v>
          </cell>
          <cell r="AC15">
            <v>19676.701000000001</v>
          </cell>
          <cell r="AD15">
            <v>21656.305</v>
          </cell>
          <cell r="AE15">
            <v>23828.674999999999</v>
          </cell>
        </row>
        <row r="16">
          <cell r="U16">
            <v>667.82999999999993</v>
          </cell>
          <cell r="V16">
            <v>983.86299999999994</v>
          </cell>
          <cell r="W16">
            <v>1329.6079999999999</v>
          </cell>
          <cell r="X16">
            <v>1709.152</v>
          </cell>
          <cell r="Y16">
            <v>2090.7310000000002</v>
          </cell>
          <cell r="Z16">
            <v>2492.9100000000003</v>
          </cell>
          <cell r="AA16">
            <v>2843.0990000000002</v>
          </cell>
          <cell r="AB16">
            <v>3163.893</v>
          </cell>
          <cell r="AC16">
            <v>3526.85</v>
          </cell>
          <cell r="AD16">
            <v>3879.1039999999998</v>
          </cell>
          <cell r="AE16">
            <v>4276.9039999999995</v>
          </cell>
        </row>
        <row r="17">
          <cell r="U17">
            <v>276.08000000000004</v>
          </cell>
          <cell r="V17">
            <v>451.12300000000005</v>
          </cell>
          <cell r="W17">
            <v>656.52400000000011</v>
          </cell>
          <cell r="X17">
            <v>868.30000000000018</v>
          </cell>
          <cell r="Y17">
            <v>1070.2300000000002</v>
          </cell>
          <cell r="Z17">
            <v>1272.5170000000003</v>
          </cell>
          <cell r="AA17">
            <v>1466.7770000000003</v>
          </cell>
          <cell r="AB17">
            <v>1662.9370000000004</v>
          </cell>
          <cell r="AC17">
            <v>1848.4920000000004</v>
          </cell>
          <cell r="AD17">
            <v>2053.9970000000003</v>
          </cell>
          <cell r="AE17">
            <v>2282.0450000000001</v>
          </cell>
        </row>
        <row r="18">
          <cell r="U18">
            <v>472.87199999999996</v>
          </cell>
          <cell r="V18">
            <v>728.375</v>
          </cell>
          <cell r="W18">
            <v>1014</v>
          </cell>
          <cell r="X18">
            <v>1317.68</v>
          </cell>
          <cell r="Y18">
            <v>1566.3490000000002</v>
          </cell>
          <cell r="Z18">
            <v>1876.7130000000002</v>
          </cell>
          <cell r="AA18">
            <v>2168.9100000000003</v>
          </cell>
          <cell r="AB18">
            <v>2475.2980000000002</v>
          </cell>
          <cell r="AC18">
            <v>2750.7150000000001</v>
          </cell>
          <cell r="AD18">
            <v>3015.4870000000001</v>
          </cell>
          <cell r="AE18">
            <v>3318.75</v>
          </cell>
        </row>
        <row r="19">
          <cell r="U19">
            <v>615.86799999999994</v>
          </cell>
          <cell r="V19">
            <v>906.971</v>
          </cell>
          <cell r="W19">
            <v>1210.6420000000001</v>
          </cell>
          <cell r="X19">
            <v>1527.67</v>
          </cell>
          <cell r="Y19">
            <v>1888.5130000000001</v>
          </cell>
          <cell r="Z19">
            <v>2255.5720000000001</v>
          </cell>
          <cell r="AA19">
            <v>2602.6350000000002</v>
          </cell>
          <cell r="AB19">
            <v>2949.2660000000001</v>
          </cell>
          <cell r="AC19">
            <v>3342.9189999999999</v>
          </cell>
          <cell r="AD19">
            <v>3685.6769999999997</v>
          </cell>
          <cell r="AE19">
            <v>4037.4189999999999</v>
          </cell>
        </row>
        <row r="20">
          <cell r="U20">
            <v>298.96199999999999</v>
          </cell>
          <cell r="V20">
            <v>457.56600000000003</v>
          </cell>
          <cell r="W20">
            <v>625.76900000000001</v>
          </cell>
          <cell r="X20">
            <v>805.81500000000005</v>
          </cell>
          <cell r="Y20">
            <v>992.30100000000004</v>
          </cell>
          <cell r="Z20">
            <v>1168.059</v>
          </cell>
          <cell r="AA20">
            <v>1324.2649999999999</v>
          </cell>
          <cell r="AB20">
            <v>1494.4459999999999</v>
          </cell>
          <cell r="AC20">
            <v>1685.348</v>
          </cell>
          <cell r="AD20">
            <v>1864.3049999999998</v>
          </cell>
          <cell r="AE20">
            <v>2051.4519999999998</v>
          </cell>
        </row>
        <row r="21">
          <cell r="U21">
            <v>2331.6120000000001</v>
          </cell>
          <cell r="V21">
            <v>3527.8980000000001</v>
          </cell>
          <cell r="W21">
            <v>4836.5429999999997</v>
          </cell>
          <cell r="X21">
            <v>6228.6170000000002</v>
          </cell>
          <cell r="Y21">
            <v>7608.1239999999998</v>
          </cell>
          <cell r="Z21">
            <v>9065.7710000000006</v>
          </cell>
          <cell r="AA21">
            <v>10405.686000000002</v>
          </cell>
          <cell r="AB21">
            <v>11745.840000000002</v>
          </cell>
          <cell r="AC21">
            <v>13154.324000000002</v>
          </cell>
          <cell r="AD21">
            <v>14498.570000000003</v>
          </cell>
          <cell r="AE21">
            <v>15966.570000000003</v>
          </cell>
        </row>
        <row r="22"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</row>
        <row r="23">
          <cell r="U23">
            <v>2331.6120000000001</v>
          </cell>
          <cell r="V23">
            <v>3527.8980000000001</v>
          </cell>
          <cell r="W23">
            <v>4836.5429999999997</v>
          </cell>
          <cell r="X23">
            <v>6228.6170000000002</v>
          </cell>
          <cell r="Y23">
            <v>7608.1239999999998</v>
          </cell>
          <cell r="Z23">
            <v>9065.7710000000006</v>
          </cell>
          <cell r="AA23">
            <v>10405.686000000002</v>
          </cell>
          <cell r="AB23">
            <v>11745.840000000002</v>
          </cell>
          <cell r="AC23">
            <v>13154.324000000002</v>
          </cell>
          <cell r="AD23">
            <v>14498.570000000003</v>
          </cell>
          <cell r="AE23">
            <v>15966.570000000003</v>
          </cell>
        </row>
        <row r="24">
          <cell r="U24">
            <v>611.46199999999999</v>
          </cell>
          <cell r="V24">
            <v>907.49099999999999</v>
          </cell>
          <cell r="W24">
            <v>1242.047</v>
          </cell>
          <cell r="X24">
            <v>1606.6980000000001</v>
          </cell>
          <cell r="Y24">
            <v>1972.49</v>
          </cell>
          <cell r="Z24">
            <v>2360.7110000000002</v>
          </cell>
          <cell r="AA24">
            <v>2692.9030000000002</v>
          </cell>
          <cell r="AB24">
            <v>2996.3640000000005</v>
          </cell>
          <cell r="AC24">
            <v>3343.7320000000004</v>
          </cell>
          <cell r="AD24">
            <v>3681.7960000000003</v>
          </cell>
          <cell r="AE24">
            <v>4067.2960000000003</v>
          </cell>
        </row>
        <row r="25">
          <cell r="U25">
            <v>260.80499999999995</v>
          </cell>
          <cell r="V25">
            <v>421.42499999999995</v>
          </cell>
          <cell r="W25">
            <v>610.73199999999997</v>
          </cell>
          <cell r="X25">
            <v>800.83699999999999</v>
          </cell>
          <cell r="Y25">
            <v>969.73500000000001</v>
          </cell>
          <cell r="Z25">
            <v>1154.3030000000001</v>
          </cell>
          <cell r="AA25">
            <v>1323.105</v>
          </cell>
          <cell r="AB25">
            <v>1499.653</v>
          </cell>
          <cell r="AC25">
            <v>1665.702</v>
          </cell>
          <cell r="AD25">
            <v>1845.9829999999999</v>
          </cell>
          <cell r="AE25">
            <v>2041.9189999999999</v>
          </cell>
        </row>
        <row r="26">
          <cell r="U26">
            <v>450.04700000000003</v>
          </cell>
          <cell r="V26">
            <v>696.745</v>
          </cell>
          <cell r="W26">
            <v>973.846</v>
          </cell>
          <cell r="X26">
            <v>1267.414</v>
          </cell>
          <cell r="Y26">
            <v>1510.3019999999999</v>
          </cell>
          <cell r="Z26">
            <v>1815.3969999999999</v>
          </cell>
          <cell r="AA26">
            <v>2094.125</v>
          </cell>
          <cell r="AB26">
            <v>2387.3209999999999</v>
          </cell>
          <cell r="AC26">
            <v>2659.59</v>
          </cell>
          <cell r="AD26">
            <v>2921.3440000000001</v>
          </cell>
          <cell r="AE26">
            <v>3218.527</v>
          </cell>
        </row>
        <row r="27">
          <cell r="U27">
            <v>572.66300000000001</v>
          </cell>
          <cell r="V27">
            <v>839.02800000000002</v>
          </cell>
          <cell r="W27">
            <v>1109.0509999999999</v>
          </cell>
          <cell r="X27">
            <v>1402.7280000000001</v>
          </cell>
          <cell r="Y27">
            <v>1733.0030000000002</v>
          </cell>
          <cell r="Z27">
            <v>2068.998</v>
          </cell>
          <cell r="AA27">
            <v>2386.88</v>
          </cell>
          <cell r="AB27">
            <v>2694.37</v>
          </cell>
          <cell r="AC27">
            <v>3053.1259999999997</v>
          </cell>
          <cell r="AD27">
            <v>3368.3469999999998</v>
          </cell>
          <cell r="AE27">
            <v>3682.8989999999999</v>
          </cell>
        </row>
        <row r="28">
          <cell r="U28">
            <v>256.01600000000002</v>
          </cell>
          <cell r="V28">
            <v>400.00600000000003</v>
          </cell>
          <cell r="W28">
            <v>546.03100000000006</v>
          </cell>
          <cell r="X28">
            <v>712.76900000000001</v>
          </cell>
          <cell r="Y28">
            <v>859.80500000000006</v>
          </cell>
          <cell r="Z28">
            <v>1019.8340000000001</v>
          </cell>
          <cell r="AA28">
            <v>1156.7080000000001</v>
          </cell>
          <cell r="AB28">
            <v>1302.3090000000002</v>
          </cell>
          <cell r="AC28">
            <v>1471.4950000000001</v>
          </cell>
          <cell r="AD28">
            <v>1633.6490000000001</v>
          </cell>
          <cell r="AE28">
            <v>1796.2980000000002</v>
          </cell>
        </row>
        <row r="29">
          <cell r="U29">
            <v>2150.9929999999999</v>
          </cell>
          <cell r="V29">
            <v>3264.6949999999997</v>
          </cell>
          <cell r="W29">
            <v>4481.7070000000003</v>
          </cell>
          <cell r="X29">
            <v>5790.4459999999999</v>
          </cell>
          <cell r="Y29">
            <v>7045.335</v>
          </cell>
          <cell r="Z29">
            <v>8419.2430000000004</v>
          </cell>
          <cell r="AA29">
            <v>9653.7210000000014</v>
          </cell>
          <cell r="AB29">
            <v>10880.017000000002</v>
          </cell>
          <cell r="AC29">
            <v>12193.645000000002</v>
          </cell>
          <cell r="AD29">
            <v>13451.119000000002</v>
          </cell>
          <cell r="AE29">
            <v>14806.939000000002</v>
          </cell>
        </row>
        <row r="30">
          <cell r="U30">
            <v>15.539</v>
          </cell>
          <cell r="V30">
            <v>23.45</v>
          </cell>
          <cell r="W30">
            <v>31.47</v>
          </cell>
          <cell r="X30">
            <v>39.701999999999998</v>
          </cell>
          <cell r="Y30">
            <v>48.274000000000001</v>
          </cell>
          <cell r="Z30">
            <v>55.417999999999999</v>
          </cell>
          <cell r="AA30">
            <v>62.028999999999996</v>
          </cell>
          <cell r="AB30">
            <v>70.231999999999999</v>
          </cell>
          <cell r="AC30">
            <v>78.433999999999997</v>
          </cell>
          <cell r="AD30">
            <v>86.36099999999999</v>
          </cell>
          <cell r="AE30">
            <v>95.523999999999987</v>
          </cell>
        </row>
        <row r="31">
          <cell r="U31">
            <v>12.131</v>
          </cell>
          <cell r="V31">
            <v>18.010999999999999</v>
          </cell>
          <cell r="W31">
            <v>27.430999999999997</v>
          </cell>
          <cell r="X31">
            <v>29.666999999999998</v>
          </cell>
          <cell r="Y31">
            <v>41.554000000000002</v>
          </cell>
          <cell r="Z31">
            <v>54.271000000000001</v>
          </cell>
          <cell r="AA31">
            <v>61.355000000000004</v>
          </cell>
          <cell r="AB31">
            <v>67.073000000000008</v>
          </cell>
          <cell r="AC31">
            <v>78.314000000000007</v>
          </cell>
          <cell r="AD31">
            <v>83.847000000000008</v>
          </cell>
          <cell r="AE31">
            <v>98.63600000000001</v>
          </cell>
        </row>
        <row r="32"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</row>
        <row r="33">
          <cell r="U33">
            <v>2178.6630000000005</v>
          </cell>
          <cell r="V33">
            <v>3306.1560000000009</v>
          </cell>
          <cell r="W33">
            <v>4540.6080000000011</v>
          </cell>
          <cell r="X33">
            <v>5859.8150000000014</v>
          </cell>
          <cell r="Y33">
            <v>7135.1630000000014</v>
          </cell>
          <cell r="Z33">
            <v>8528.9320000000007</v>
          </cell>
          <cell r="AA33">
            <v>9777.1050000000014</v>
          </cell>
          <cell r="AB33">
            <v>11017.322000000002</v>
          </cell>
          <cell r="AC33">
            <v>12350.393000000002</v>
          </cell>
          <cell r="AD33">
            <v>13621.327000000001</v>
          </cell>
          <cell r="AE33">
            <v>15001.099000000002</v>
          </cell>
        </row>
        <row r="34">
          <cell r="U34">
            <v>578.96199999999999</v>
          </cell>
          <cell r="V34">
            <v>840.26</v>
          </cell>
          <cell r="W34">
            <v>1150.2729999999999</v>
          </cell>
          <cell r="X34">
            <v>1480.29</v>
          </cell>
          <cell r="Y34">
            <v>1817.46</v>
          </cell>
          <cell r="Z34">
            <v>2157.5509999999999</v>
          </cell>
          <cell r="AA34">
            <v>2461.8580000000002</v>
          </cell>
          <cell r="AB34">
            <v>2741.904</v>
          </cell>
          <cell r="AC34">
            <v>3046.9719999999998</v>
          </cell>
          <cell r="AD34">
            <v>3348.2969999999996</v>
          </cell>
          <cell r="AE34">
            <v>3670.8969999999995</v>
          </cell>
        </row>
        <row r="35">
          <cell r="U35">
            <v>244.197</v>
          </cell>
          <cell r="V35">
            <v>396.31399999999996</v>
          </cell>
          <cell r="W35">
            <v>576.89599999999996</v>
          </cell>
          <cell r="X35">
            <v>758.01</v>
          </cell>
          <cell r="Y35">
            <v>916.69</v>
          </cell>
          <cell r="Z35">
            <v>1092.029</v>
          </cell>
          <cell r="AA35">
            <v>1262.829</v>
          </cell>
          <cell r="AB35">
            <v>1435.29</v>
          </cell>
          <cell r="AC35">
            <v>1592.163</v>
          </cell>
          <cell r="AD35">
            <v>1761.2370000000001</v>
          </cell>
          <cell r="AE35">
            <v>1949.2260000000001</v>
          </cell>
        </row>
        <row r="36">
          <cell r="U36">
            <v>421.69</v>
          </cell>
          <cell r="V36">
            <v>638.50400000000002</v>
          </cell>
          <cell r="W36">
            <v>901.81400000000008</v>
          </cell>
          <cell r="X36">
            <v>1175.4750000000001</v>
          </cell>
          <cell r="Y36">
            <v>1409.3490000000002</v>
          </cell>
          <cell r="Z36">
            <v>1671.5570000000002</v>
          </cell>
          <cell r="AA36">
            <v>1921.1480000000001</v>
          </cell>
          <cell r="AB36">
            <v>2172.86</v>
          </cell>
          <cell r="AC36">
            <v>2428.067</v>
          </cell>
          <cell r="AD36">
            <v>2664.0250000000001</v>
          </cell>
          <cell r="AE36">
            <v>2935.9490000000001</v>
          </cell>
        </row>
        <row r="37">
          <cell r="U37">
            <v>593.40200000000004</v>
          </cell>
          <cell r="V37">
            <v>873.43600000000004</v>
          </cell>
          <cell r="W37">
            <v>1123.963</v>
          </cell>
          <cell r="X37">
            <v>1441.096</v>
          </cell>
          <cell r="Y37">
            <v>1761.366</v>
          </cell>
          <cell r="Z37">
            <v>2071.6379999999999</v>
          </cell>
          <cell r="AA37">
            <v>2357.1379999999999</v>
          </cell>
          <cell r="AB37">
            <v>2653.3319999999999</v>
          </cell>
          <cell r="AC37">
            <v>2963.1979999999999</v>
          </cell>
          <cell r="AD37">
            <v>3236.8409999999999</v>
          </cell>
          <cell r="AE37">
            <v>3484.681</v>
          </cell>
        </row>
        <row r="38">
          <cell r="U38">
            <v>248.22519</v>
          </cell>
          <cell r="V38">
            <v>387.50448999999992</v>
          </cell>
          <cell r="W38">
            <v>527.79063999999994</v>
          </cell>
          <cell r="X38">
            <v>688.23399999999992</v>
          </cell>
          <cell r="Y38">
            <v>821.73878999999988</v>
          </cell>
          <cell r="Z38">
            <v>948.64378999999985</v>
          </cell>
          <cell r="AA38">
            <v>1074.6617899999999</v>
          </cell>
          <cell r="AB38">
            <v>1223.3967899999998</v>
          </cell>
          <cell r="AC38">
            <v>1384.9107899999999</v>
          </cell>
          <cell r="AD38">
            <v>1525.8937899999999</v>
          </cell>
          <cell r="AE38">
            <v>1696.5257899999999</v>
          </cell>
        </row>
        <row r="39">
          <cell r="U39">
            <v>2086.4761900000003</v>
          </cell>
          <cell r="V39">
            <v>3136.0184900000004</v>
          </cell>
          <cell r="W39">
            <v>4280.736640000001</v>
          </cell>
          <cell r="X39">
            <v>5543.1050000000014</v>
          </cell>
          <cell r="Y39">
            <v>6726.603790000001</v>
          </cell>
          <cell r="Z39">
            <v>7941.4187900000015</v>
          </cell>
          <cell r="AA39">
            <v>9077.6347900000019</v>
          </cell>
          <cell r="AB39">
            <v>10226.782790000001</v>
          </cell>
          <cell r="AC39">
            <v>11415.310790000001</v>
          </cell>
          <cell r="AD39">
            <v>12536.293790000002</v>
          </cell>
          <cell r="AE39">
            <v>13737.278790000002</v>
          </cell>
        </row>
        <row r="40">
          <cell r="U40">
            <v>13.693999999999999</v>
          </cell>
          <cell r="V40">
            <v>21.073</v>
          </cell>
          <cell r="W40">
            <v>28.5</v>
          </cell>
          <cell r="X40">
            <v>36.152999999999999</v>
          </cell>
          <cell r="Y40">
            <v>44.204999999999998</v>
          </cell>
          <cell r="Z40">
            <v>50.006999999999998</v>
          </cell>
          <cell r="AA40">
            <v>56.207999999999998</v>
          </cell>
          <cell r="AB40">
            <v>64.23</v>
          </cell>
          <cell r="AC40">
            <v>72.753</v>
          </cell>
          <cell r="AD40">
            <v>80.417000000000002</v>
          </cell>
          <cell r="AE40">
            <v>88.853000000000009</v>
          </cell>
        </row>
        <row r="41">
          <cell r="U41">
            <v>31.951000000000001</v>
          </cell>
          <cell r="V41">
            <v>39.875999999999998</v>
          </cell>
          <cell r="W41">
            <v>54.695999999999998</v>
          </cell>
          <cell r="X41">
            <v>68.894000000000005</v>
          </cell>
          <cell r="Y41">
            <v>80.733000000000004</v>
          </cell>
          <cell r="Z41">
            <v>105.17500000000001</v>
          </cell>
          <cell r="AA41">
            <v>137.10300000000001</v>
          </cell>
          <cell r="AB41">
            <v>156.822</v>
          </cell>
          <cell r="AC41">
            <v>173.47300000000001</v>
          </cell>
          <cell r="AD41">
            <v>185.53100000000001</v>
          </cell>
          <cell r="AE41">
            <v>193.29599999999999</v>
          </cell>
        </row>
        <row r="42">
          <cell r="U42">
            <v>2.6020000000000003</v>
          </cell>
          <cell r="V42">
            <v>4.0960000000000001</v>
          </cell>
          <cell r="W42">
            <v>5.8780000000000001</v>
          </cell>
          <cell r="X42">
            <v>7.2270000000000003</v>
          </cell>
          <cell r="Y42">
            <v>8.3360000000000003</v>
          </cell>
          <cell r="Z42">
            <v>9.375</v>
          </cell>
          <cell r="AA42">
            <v>11.166</v>
          </cell>
          <cell r="AB42">
            <v>12.939</v>
          </cell>
          <cell r="AC42">
            <v>14.494</v>
          </cell>
          <cell r="AD42">
            <v>15.773999999999999</v>
          </cell>
          <cell r="AE42">
            <v>17.439</v>
          </cell>
        </row>
        <row r="43">
          <cell r="U43">
            <v>2134.7231900000002</v>
          </cell>
          <cell r="V43">
            <v>3201.0634899999995</v>
          </cell>
          <cell r="W43">
            <v>4369.8106399999997</v>
          </cell>
          <cell r="X43">
            <v>5655.3789999999999</v>
          </cell>
          <cell r="Y43">
            <v>6859.8777899999995</v>
          </cell>
          <cell r="Z43">
            <v>8105.9757899999995</v>
          </cell>
          <cell r="AA43">
            <v>9282.111789999999</v>
          </cell>
          <cell r="AB43">
            <v>10460.773789999999</v>
          </cell>
          <cell r="AC43">
            <v>11676.030789999999</v>
          </cell>
          <cell r="AD43">
            <v>12818.015789999999</v>
          </cell>
          <cell r="AE43">
            <v>14036.86679</v>
          </cell>
        </row>
        <row r="44"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</row>
        <row r="45">
          <cell r="U45">
            <v>0.42400000000000004</v>
          </cell>
          <cell r="V45">
            <v>2.6389999999999998</v>
          </cell>
          <cell r="W45">
            <v>5.2769999999999992</v>
          </cell>
          <cell r="X45">
            <v>12.82</v>
          </cell>
          <cell r="Y45">
            <v>24.419</v>
          </cell>
          <cell r="Z45">
            <v>30.654</v>
          </cell>
          <cell r="AA45">
            <v>41.462000000000003</v>
          </cell>
          <cell r="AB45">
            <v>45.665000000000006</v>
          </cell>
          <cell r="AC45">
            <v>47.924000000000007</v>
          </cell>
          <cell r="AD45">
            <v>52.436000000000007</v>
          </cell>
          <cell r="AE45">
            <v>59.567000000000007</v>
          </cell>
        </row>
        <row r="46">
          <cell r="U46">
            <v>6.0839999999999996</v>
          </cell>
          <cell r="V46">
            <v>7.9539999999999997</v>
          </cell>
          <cell r="W46">
            <v>9.7240000000000002</v>
          </cell>
          <cell r="X46">
            <v>12.295999999999999</v>
          </cell>
          <cell r="Y46">
            <v>12.644</v>
          </cell>
          <cell r="Z46">
            <v>13.286</v>
          </cell>
          <cell r="AA46">
            <v>19.039000000000001</v>
          </cell>
          <cell r="AB46">
            <v>26.702000000000002</v>
          </cell>
          <cell r="AC46">
            <v>29.108000000000001</v>
          </cell>
          <cell r="AD46">
            <v>29.45</v>
          </cell>
          <cell r="AE46">
            <v>35.265000000000001</v>
          </cell>
        </row>
        <row r="47">
          <cell r="U47">
            <v>4.8380000000000001</v>
          </cell>
          <cell r="V47">
            <v>8.4980000000000011</v>
          </cell>
          <cell r="W47">
            <v>13.999000000000002</v>
          </cell>
          <cell r="X47">
            <v>15.716000000000003</v>
          </cell>
          <cell r="Y47">
            <v>22.435000000000002</v>
          </cell>
          <cell r="Z47">
            <v>26.981000000000002</v>
          </cell>
          <cell r="AA47">
            <v>29.301000000000002</v>
          </cell>
          <cell r="AB47">
            <v>39.206000000000003</v>
          </cell>
          <cell r="AC47">
            <v>45.486000000000004</v>
          </cell>
          <cell r="AD47">
            <v>48.873000000000005</v>
          </cell>
          <cell r="AE47">
            <v>57.926000000000002</v>
          </cell>
        </row>
        <row r="48">
          <cell r="U48">
            <v>27.238</v>
          </cell>
          <cell r="V48">
            <v>35.668999999999997</v>
          </cell>
          <cell r="W48">
            <v>50.375</v>
          </cell>
          <cell r="X48">
            <v>52.728999999999999</v>
          </cell>
          <cell r="Y48">
            <v>72.927999999999997</v>
          </cell>
          <cell r="Z48">
            <v>75.435999999999993</v>
          </cell>
          <cell r="AA48">
            <v>79.712999999999994</v>
          </cell>
          <cell r="AB48">
            <v>91.745799999999988</v>
          </cell>
          <cell r="AC48">
            <v>101.73479999999999</v>
          </cell>
          <cell r="AD48">
            <v>108.15779999999999</v>
          </cell>
          <cell r="AE48">
            <v>118.47879999999999</v>
          </cell>
        </row>
        <row r="49">
          <cell r="U49">
            <v>38.584000000000003</v>
          </cell>
          <cell r="V49">
            <v>54.760000000000005</v>
          </cell>
          <cell r="W49">
            <v>79.375</v>
          </cell>
          <cell r="X49">
            <v>93.561000000000007</v>
          </cell>
          <cell r="Y49">
            <v>132.42600000000002</v>
          </cell>
          <cell r="Z49">
            <v>146.35700000000003</v>
          </cell>
          <cell r="AA49">
            <v>169.51500000000004</v>
          </cell>
          <cell r="AB49">
            <v>203.31880000000004</v>
          </cell>
          <cell r="AC49">
            <v>224.25280000000004</v>
          </cell>
          <cell r="AD49">
            <v>238.91680000000002</v>
          </cell>
          <cell r="AE49">
            <v>271.23680000000002</v>
          </cell>
        </row>
        <row r="50"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0.183</v>
          </cell>
        </row>
        <row r="51">
          <cell r="U51">
            <v>38.584000000000003</v>
          </cell>
          <cell r="V51">
            <v>54.760000000000005</v>
          </cell>
          <cell r="W51">
            <v>79.375</v>
          </cell>
          <cell r="X51">
            <v>93.561000000000007</v>
          </cell>
          <cell r="Y51">
            <v>132.42600000000002</v>
          </cell>
          <cell r="Z51">
            <v>146.35700000000003</v>
          </cell>
          <cell r="AA51">
            <v>169.51500000000004</v>
          </cell>
          <cell r="AB51">
            <v>203.31880000000004</v>
          </cell>
          <cell r="AC51">
            <v>224.25280000000004</v>
          </cell>
          <cell r="AD51">
            <v>238.91680000000002</v>
          </cell>
          <cell r="AE51">
            <v>271.41980000000001</v>
          </cell>
        </row>
        <row r="52">
          <cell r="U52">
            <v>578.96199999999999</v>
          </cell>
          <cell r="V52">
            <v>840.26</v>
          </cell>
          <cell r="W52">
            <v>1150.2729999999999</v>
          </cell>
          <cell r="X52">
            <v>1480.29</v>
          </cell>
          <cell r="Y52">
            <v>1817.46</v>
          </cell>
          <cell r="Z52">
            <v>2157.5509999999999</v>
          </cell>
          <cell r="AA52">
            <v>2461.8580000000002</v>
          </cell>
          <cell r="AB52">
            <v>2741.904</v>
          </cell>
          <cell r="AC52">
            <v>3046.9719999999998</v>
          </cell>
          <cell r="AD52">
            <v>3348.2969999999996</v>
          </cell>
          <cell r="AE52">
            <v>3670.8969999999995</v>
          </cell>
        </row>
        <row r="53">
          <cell r="U53">
            <v>244.62099999999998</v>
          </cell>
          <cell r="V53">
            <v>398.95299999999997</v>
          </cell>
          <cell r="W53">
            <v>582.173</v>
          </cell>
          <cell r="X53">
            <v>770.83</v>
          </cell>
          <cell r="Y53">
            <v>941.10900000000004</v>
          </cell>
          <cell r="Z53">
            <v>1122.683</v>
          </cell>
          <cell r="AA53">
            <v>1304.2909999999999</v>
          </cell>
          <cell r="AB53">
            <v>1480.9549999999999</v>
          </cell>
          <cell r="AC53">
            <v>1640.087</v>
          </cell>
          <cell r="AD53">
            <v>1813.673</v>
          </cell>
          <cell r="AE53">
            <v>2008.7930000000001</v>
          </cell>
        </row>
        <row r="54">
          <cell r="U54">
            <v>427.774</v>
          </cell>
          <cell r="V54">
            <v>646.45799999999997</v>
          </cell>
          <cell r="W54">
            <v>911.53800000000001</v>
          </cell>
          <cell r="X54">
            <v>1187.771</v>
          </cell>
          <cell r="Y54">
            <v>1421.9929999999999</v>
          </cell>
          <cell r="Z54">
            <v>1684.8429999999998</v>
          </cell>
          <cell r="AA54">
            <v>1940.1869999999999</v>
          </cell>
          <cell r="AB54">
            <v>2199.5619999999999</v>
          </cell>
          <cell r="AC54">
            <v>2457.1749999999997</v>
          </cell>
          <cell r="AD54">
            <v>2693.4749999999999</v>
          </cell>
          <cell r="AE54">
            <v>2971.2139999999999</v>
          </cell>
        </row>
        <row r="55">
          <cell r="U55">
            <v>598.24</v>
          </cell>
          <cell r="V55">
            <v>881.93399999999997</v>
          </cell>
          <cell r="W55">
            <v>1137.962</v>
          </cell>
          <cell r="X55">
            <v>1456.8119999999999</v>
          </cell>
          <cell r="Y55">
            <v>1783.8009999999999</v>
          </cell>
          <cell r="Z55">
            <v>2098.6189999999997</v>
          </cell>
          <cell r="AA55">
            <v>2386.4389999999999</v>
          </cell>
          <cell r="AB55">
            <v>2692.538</v>
          </cell>
          <cell r="AC55">
            <v>3008.6840000000002</v>
          </cell>
          <cell r="AD55">
            <v>3285.7139999999999</v>
          </cell>
          <cell r="AE55">
            <v>3542.607</v>
          </cell>
        </row>
        <row r="56">
          <cell r="U56">
            <v>275.46319000000005</v>
          </cell>
          <cell r="V56">
            <v>423.17349000000002</v>
          </cell>
          <cell r="W56">
            <v>578.16564000000005</v>
          </cell>
          <cell r="X56">
            <v>740.96300000000008</v>
          </cell>
          <cell r="Y56">
            <v>894.66679000000011</v>
          </cell>
          <cell r="Z56">
            <v>1024.0797900000002</v>
          </cell>
          <cell r="AA56">
            <v>1154.3747900000003</v>
          </cell>
          <cell r="AB56">
            <v>1315.1425900000004</v>
          </cell>
          <cell r="AC56">
            <v>1486.6455900000003</v>
          </cell>
          <cell r="AD56">
            <v>1634.0515900000003</v>
          </cell>
          <cell r="AE56">
            <v>1815.0045900000002</v>
          </cell>
        </row>
        <row r="57">
          <cell r="U57">
            <v>2125.0601900000001</v>
          </cell>
          <cell r="V57">
            <v>3190.7784899999997</v>
          </cell>
          <cell r="W57">
            <v>4360.1116400000001</v>
          </cell>
          <cell r="X57">
            <v>5636.6660000000002</v>
          </cell>
          <cell r="Y57">
            <v>6859.0297900000005</v>
          </cell>
          <cell r="Z57">
            <v>8087.7757900000006</v>
          </cell>
          <cell r="AA57">
            <v>9247.1497900000013</v>
          </cell>
          <cell r="AB57">
            <v>10430.101590000002</v>
          </cell>
          <cell r="AC57">
            <v>11639.563590000002</v>
          </cell>
          <cell r="AD57">
            <v>12775.210590000002</v>
          </cell>
          <cell r="AE57">
            <v>14008.515590000003</v>
          </cell>
        </row>
        <row r="58">
          <cell r="U58">
            <v>13.693999999999999</v>
          </cell>
          <cell r="V58">
            <v>21.073</v>
          </cell>
          <cell r="W58">
            <v>28.5</v>
          </cell>
          <cell r="X58">
            <v>36.152999999999999</v>
          </cell>
          <cell r="Y58">
            <v>44.204999999999998</v>
          </cell>
          <cell r="Z58">
            <v>50.006999999999998</v>
          </cell>
          <cell r="AA58">
            <v>56.207999999999998</v>
          </cell>
          <cell r="AB58">
            <v>64.23</v>
          </cell>
          <cell r="AC58">
            <v>72.753</v>
          </cell>
          <cell r="AD58">
            <v>80.417000000000002</v>
          </cell>
          <cell r="AE58">
            <v>88.853000000000009</v>
          </cell>
        </row>
        <row r="59">
          <cell r="U59">
            <v>31.951000000000001</v>
          </cell>
          <cell r="V59">
            <v>39.875999999999998</v>
          </cell>
          <cell r="W59">
            <v>54.695999999999998</v>
          </cell>
          <cell r="X59">
            <v>68.894000000000005</v>
          </cell>
          <cell r="Y59">
            <v>80.733000000000004</v>
          </cell>
          <cell r="Z59">
            <v>105.17500000000001</v>
          </cell>
          <cell r="AA59">
            <v>137.10300000000001</v>
          </cell>
          <cell r="AB59">
            <v>156.822</v>
          </cell>
          <cell r="AC59">
            <v>173.47300000000001</v>
          </cell>
          <cell r="AD59">
            <v>185.53100000000001</v>
          </cell>
          <cell r="AE59">
            <v>193.29599999999999</v>
          </cell>
        </row>
        <row r="60">
          <cell r="U60">
            <v>2.6020000000000003</v>
          </cell>
          <cell r="V60">
            <v>4.0960000000000001</v>
          </cell>
          <cell r="W60">
            <v>5.8780000000000001</v>
          </cell>
          <cell r="X60">
            <v>7.2270000000000003</v>
          </cell>
          <cell r="Y60">
            <v>8.3360000000000003</v>
          </cell>
          <cell r="Z60">
            <v>9.375</v>
          </cell>
          <cell r="AA60">
            <v>11.166</v>
          </cell>
          <cell r="AB60">
            <v>12.939</v>
          </cell>
          <cell r="AC60">
            <v>14.494</v>
          </cell>
          <cell r="AD60">
            <v>15.773999999999999</v>
          </cell>
          <cell r="AE60">
            <v>17.622</v>
          </cell>
        </row>
        <row r="61">
          <cell r="U61">
            <v>2173.30719</v>
          </cell>
          <cell r="V61">
            <v>3255.8234899999998</v>
          </cell>
          <cell r="W61">
            <v>4449.1856399999997</v>
          </cell>
          <cell r="X61">
            <v>5748.94</v>
          </cell>
          <cell r="Y61">
            <v>6992.3037899999999</v>
          </cell>
          <cell r="Z61">
            <v>8252.3327900000004</v>
          </cell>
          <cell r="AA61">
            <v>9451.6267900000003</v>
          </cell>
          <cell r="AB61">
            <v>10664.09259</v>
          </cell>
          <cell r="AC61">
            <v>11900.283589999999</v>
          </cell>
          <cell r="AD61">
            <v>13056.932589999999</v>
          </cell>
          <cell r="AE61">
            <v>14308.286589999998</v>
          </cell>
        </row>
        <row r="62"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</row>
        <row r="63">
          <cell r="U63">
            <v>603.97299999999996</v>
          </cell>
          <cell r="V63">
            <v>866.83699999999999</v>
          </cell>
          <cell r="W63">
            <v>1174.1420000000001</v>
          </cell>
          <cell r="X63">
            <v>1508.5730000000001</v>
          </cell>
          <cell r="Y63">
            <v>1827.7050000000002</v>
          </cell>
          <cell r="Z63">
            <v>2163.9470000000001</v>
          </cell>
          <cell r="AA63">
            <v>2483.0590000000002</v>
          </cell>
          <cell r="AB63">
            <v>2779.9540000000002</v>
          </cell>
          <cell r="AC63">
            <v>3104.6559999999999</v>
          </cell>
          <cell r="AD63">
            <v>3407.5789999999997</v>
          </cell>
          <cell r="AE63">
            <v>3407.5789999999997</v>
          </cell>
        </row>
        <row r="64">
          <cell r="U64">
            <v>235.62900000000002</v>
          </cell>
          <cell r="V64">
            <v>367.43100000000004</v>
          </cell>
          <cell r="W64">
            <v>540.12800000000004</v>
          </cell>
          <cell r="X64">
            <v>711.06500000000005</v>
          </cell>
          <cell r="Y64">
            <v>870.17600000000004</v>
          </cell>
          <cell r="Z64">
            <v>1033.4100000000001</v>
          </cell>
          <cell r="AA64">
            <v>1210.4960000000001</v>
          </cell>
          <cell r="AB64">
            <v>1396.4780000000001</v>
          </cell>
          <cell r="AC64">
            <v>1573.5920000000001</v>
          </cell>
          <cell r="AD64">
            <v>1741.6780000000001</v>
          </cell>
          <cell r="AE64">
            <v>1741.6780000000001</v>
          </cell>
        </row>
        <row r="65">
          <cell r="U65">
            <v>492.00599999999997</v>
          </cell>
          <cell r="V65">
            <v>695.54399999999998</v>
          </cell>
          <cell r="W65">
            <v>944.92899999999997</v>
          </cell>
          <cell r="X65">
            <v>1226.4290000000001</v>
          </cell>
          <cell r="Y65">
            <v>1470.9550000000002</v>
          </cell>
          <cell r="Z65">
            <v>1726.8680000000002</v>
          </cell>
          <cell r="AA65">
            <v>1986.6340000000002</v>
          </cell>
          <cell r="AB65">
            <v>2247.8340000000003</v>
          </cell>
          <cell r="AC65">
            <v>2518.9720000000002</v>
          </cell>
          <cell r="AD65">
            <v>2759.1450000000004</v>
          </cell>
          <cell r="AE65">
            <v>2759.1450000000004</v>
          </cell>
        </row>
        <row r="66">
          <cell r="U66">
            <v>594.149</v>
          </cell>
          <cell r="V66">
            <v>865.94699999999989</v>
          </cell>
          <cell r="W66">
            <v>1127.7169999999999</v>
          </cell>
          <cell r="X66">
            <v>1439.684</v>
          </cell>
          <cell r="Y66">
            <v>1743.0309999999999</v>
          </cell>
          <cell r="Z66">
            <v>2043.587</v>
          </cell>
          <cell r="AA66">
            <v>2325.5</v>
          </cell>
          <cell r="AB66">
            <v>2639.13</v>
          </cell>
          <cell r="AC66">
            <v>2939.1420000000003</v>
          </cell>
          <cell r="AD66">
            <v>3204.2490000000003</v>
          </cell>
          <cell r="AE66">
            <v>3204.2490000000003</v>
          </cell>
        </row>
        <row r="67">
          <cell r="U67">
            <v>270.70490000000007</v>
          </cell>
          <cell r="V67">
            <v>400.25232</v>
          </cell>
          <cell r="W67">
            <v>541.34832000000006</v>
          </cell>
          <cell r="X67">
            <v>681.84418000000005</v>
          </cell>
          <cell r="Y67">
            <v>813.53987000000006</v>
          </cell>
          <cell r="Z67">
            <v>959.38987000000009</v>
          </cell>
          <cell r="AA67">
            <v>1086.4908700000001</v>
          </cell>
          <cell r="AB67">
            <v>1224.1458700000001</v>
          </cell>
          <cell r="AC67">
            <v>1373.0458700000001</v>
          </cell>
          <cell r="AD67">
            <v>1515.1138700000001</v>
          </cell>
          <cell r="AE67">
            <v>1515.1138700000001</v>
          </cell>
        </row>
        <row r="68">
          <cell r="U68">
            <v>2196.4619000000002</v>
          </cell>
          <cell r="V68">
            <v>3196.0113200000001</v>
          </cell>
          <cell r="W68">
            <v>4328.2643200000002</v>
          </cell>
          <cell r="X68">
            <v>5567.5951800000003</v>
          </cell>
          <cell r="Y68">
            <v>6725.4068700000007</v>
          </cell>
          <cell r="Z68">
            <v>7927.2018700000008</v>
          </cell>
          <cell r="AA68">
            <v>9092.1798699999999</v>
          </cell>
          <cell r="AB68">
            <v>10287.541869999999</v>
          </cell>
          <cell r="AC68">
            <v>11509.407869999999</v>
          </cell>
          <cell r="AD68">
            <v>12627.764869999999</v>
          </cell>
          <cell r="AE68">
            <v>12627.764869999999</v>
          </cell>
        </row>
        <row r="69">
          <cell r="U69">
            <v>15.427</v>
          </cell>
          <cell r="V69">
            <v>23.241</v>
          </cell>
          <cell r="W69">
            <v>28.478000000000002</v>
          </cell>
          <cell r="X69">
            <v>37.786000000000001</v>
          </cell>
          <cell r="Y69">
            <v>45.850999999999999</v>
          </cell>
          <cell r="Z69">
            <v>51.116999999999997</v>
          </cell>
          <cell r="AA69">
            <v>57.692</v>
          </cell>
          <cell r="AB69">
            <v>66.936000000000007</v>
          </cell>
          <cell r="AC69">
            <v>75.946000000000012</v>
          </cell>
          <cell r="AD69">
            <v>83.662000000000006</v>
          </cell>
          <cell r="AE69">
            <v>83.662000000000006</v>
          </cell>
        </row>
        <row r="70">
          <cell r="U70">
            <v>38.730000000000004</v>
          </cell>
          <cell r="V70">
            <v>47.204000000000008</v>
          </cell>
          <cell r="W70">
            <v>53.708000000000006</v>
          </cell>
          <cell r="X70">
            <v>70.385000000000005</v>
          </cell>
          <cell r="Y70">
            <v>82.132000000000005</v>
          </cell>
          <cell r="Z70">
            <v>99.844999999999999</v>
          </cell>
          <cell r="AA70">
            <v>129.73099999999999</v>
          </cell>
          <cell r="AB70">
            <v>153.221</v>
          </cell>
          <cell r="AC70">
            <v>167.92600000000002</v>
          </cell>
          <cell r="AD70">
            <v>181.99700000000001</v>
          </cell>
          <cell r="AE70">
            <v>181.99700000000001</v>
          </cell>
        </row>
        <row r="71">
          <cell r="U71">
            <v>3.6219999999999999</v>
          </cell>
          <cell r="V71">
            <v>5.8339999999999996</v>
          </cell>
          <cell r="W71">
            <v>7.1379999999999999</v>
          </cell>
          <cell r="X71">
            <v>8.9420000000000002</v>
          </cell>
          <cell r="Y71">
            <v>10.948</v>
          </cell>
          <cell r="Z71">
            <v>12.08</v>
          </cell>
          <cell r="AA71">
            <v>13.831</v>
          </cell>
          <cell r="AB71">
            <v>15.372</v>
          </cell>
          <cell r="AC71">
            <v>16.835000000000001</v>
          </cell>
          <cell r="AD71">
            <v>18.041</v>
          </cell>
          <cell r="AE71">
            <v>18.041</v>
          </cell>
        </row>
        <row r="72">
          <cell r="U72">
            <v>2254.2408999999998</v>
          </cell>
          <cell r="V72">
            <v>3272.2903199999996</v>
          </cell>
          <cell r="W72">
            <v>4417.5883199999998</v>
          </cell>
          <cell r="X72">
            <v>5684.7081799999996</v>
          </cell>
          <cell r="Y72">
            <v>6864.3378699999994</v>
          </cell>
          <cell r="Z72">
            <v>8090.2438699999993</v>
          </cell>
          <cell r="AA72">
            <v>9293.4338699999989</v>
          </cell>
          <cell r="AB72">
            <v>10523.07087</v>
          </cell>
          <cell r="AC72">
            <v>11770.114869999999</v>
          </cell>
          <cell r="AD72">
            <v>12911.46487</v>
          </cell>
          <cell r="AE72">
            <v>12911.46487</v>
          </cell>
        </row>
        <row r="74">
          <cell r="U74">
            <v>27.190999999999999</v>
          </cell>
          <cell r="V74">
            <v>29.265999999999998</v>
          </cell>
          <cell r="W74">
            <v>35.769999999999996</v>
          </cell>
          <cell r="X74">
            <v>44.488</v>
          </cell>
          <cell r="Y74">
            <v>50.197000000000003</v>
          </cell>
          <cell r="Z74">
            <v>60.680000000000007</v>
          </cell>
          <cell r="AA74">
            <v>82.305000000000007</v>
          </cell>
          <cell r="AB74">
            <v>98.798000000000002</v>
          </cell>
          <cell r="AC74">
            <v>106.304</v>
          </cell>
          <cell r="AD74">
            <v>114.566</v>
          </cell>
          <cell r="AE74">
            <v>114.566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AN1180"/>
  <sheetViews>
    <sheetView showZeros="0" tabSelected="1" view="pageBreakPreview" topLeftCell="A1058" zoomScale="30" zoomScaleNormal="30" zoomScaleSheetLayoutView="30" workbookViewId="0">
      <selection activeCell="F982" sqref="F982"/>
    </sheetView>
  </sheetViews>
  <sheetFormatPr defaultColWidth="10.6640625" defaultRowHeight="61.5"/>
  <cols>
    <col min="1" max="1" width="22" style="1" customWidth="1"/>
    <col min="2" max="2" width="22.6640625" style="87" customWidth="1"/>
    <col min="3" max="3" width="29.5" style="155" customWidth="1"/>
    <col min="4" max="4" width="39.1640625" style="8" customWidth="1"/>
    <col min="5" max="5" width="29.33203125" style="10" customWidth="1"/>
    <col min="6" max="6" width="31" style="10" customWidth="1"/>
    <col min="7" max="8" width="30.1640625" style="10" customWidth="1"/>
    <col min="9" max="9" width="31.83203125" style="10" customWidth="1"/>
    <col min="10" max="10" width="30.1640625" style="10" customWidth="1"/>
    <col min="11" max="11" width="28.5" style="10" customWidth="1"/>
    <col min="12" max="12" width="29.33203125" style="10" customWidth="1"/>
    <col min="13" max="13" width="30.1640625" style="10" customWidth="1"/>
    <col min="14" max="14" width="29.33203125" style="10" customWidth="1"/>
    <col min="15" max="15" width="28.5" style="10" customWidth="1"/>
    <col min="16" max="16" width="29.33203125" style="10" customWidth="1"/>
    <col min="17" max="17" width="79.33203125" style="3" customWidth="1"/>
    <col min="18" max="18" width="57.1640625" style="3" customWidth="1"/>
    <col min="19" max="19" width="41.83203125" style="3" customWidth="1"/>
    <col min="20" max="20" width="49.5" style="4" customWidth="1"/>
    <col min="21" max="21" width="56.1640625" style="4" customWidth="1"/>
    <col min="22" max="22" width="38.5" style="5" customWidth="1"/>
    <col min="23" max="23" width="55.5" style="5" customWidth="1"/>
    <col min="24" max="24" width="37.5" style="3" customWidth="1"/>
    <col min="25" max="25" width="34.83203125" style="6" customWidth="1"/>
    <col min="26" max="26" width="48.1640625" style="6" customWidth="1"/>
    <col min="27" max="27" width="20.83203125" style="3" bestFit="1" customWidth="1"/>
    <col min="28" max="28" width="38" style="3" customWidth="1"/>
    <col min="29" max="29" width="24.83203125" style="3" customWidth="1"/>
    <col min="30" max="30" width="41.5" style="3" customWidth="1"/>
    <col min="31" max="34" width="26.83203125" style="3" bestFit="1" customWidth="1"/>
    <col min="35" max="35" width="37.83203125" style="3" customWidth="1"/>
    <col min="36" max="36" width="26.83203125" style="3" bestFit="1" customWidth="1"/>
    <col min="37" max="37" width="39" style="3" customWidth="1"/>
    <col min="38" max="38" width="32.83203125" style="3" bestFit="1" customWidth="1"/>
    <col min="39" max="39" width="26.83203125" style="3" bestFit="1" customWidth="1"/>
    <col min="40" max="40" width="32.83203125" style="3" bestFit="1" customWidth="1"/>
    <col min="41" max="16384" width="10.6640625" style="3"/>
  </cols>
  <sheetData>
    <row r="1" spans="1:32" ht="33.75" customHeight="1">
      <c r="B1" s="156" t="s">
        <v>0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</row>
    <row r="2" spans="1:32" ht="15" customHeight="1"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</row>
    <row r="3" spans="1:32" ht="45" customHeight="1"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</row>
    <row r="4" spans="1:32" ht="61.5" customHeight="1">
      <c r="B4" s="7"/>
      <c r="C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1"/>
      <c r="R4" s="12"/>
      <c r="S4" s="13"/>
      <c r="T4" s="3"/>
      <c r="U4" s="3"/>
      <c r="V4" s="14"/>
      <c r="W4" s="6"/>
      <c r="X4" s="4"/>
      <c r="Y4" s="5"/>
      <c r="Z4" s="5"/>
    </row>
    <row r="5" spans="1:32" ht="61.5" customHeight="1">
      <c r="B5" s="15"/>
      <c r="C5" s="16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1"/>
      <c r="R5" s="12"/>
      <c r="S5" s="13"/>
      <c r="T5" s="3"/>
      <c r="U5" s="3"/>
      <c r="V5" s="14"/>
      <c r="W5" s="6"/>
      <c r="X5" s="4"/>
      <c r="Y5" s="5"/>
      <c r="Z5" s="5"/>
    </row>
    <row r="6" spans="1:32" s="25" customFormat="1" ht="61.5" customHeight="1">
      <c r="A6" s="17"/>
      <c r="B6" s="18"/>
      <c r="C6" s="19"/>
      <c r="D6" s="20"/>
      <c r="E6" s="21"/>
      <c r="F6" s="21"/>
      <c r="G6" s="21"/>
      <c r="H6" s="20"/>
      <c r="I6" s="21"/>
      <c r="J6" s="21"/>
      <c r="K6" s="21"/>
      <c r="L6" s="21"/>
      <c r="M6" s="21"/>
      <c r="N6" s="21"/>
      <c r="O6" s="21"/>
      <c r="P6" s="21"/>
      <c r="Q6" s="22"/>
      <c r="R6" s="23"/>
      <c r="S6" s="24"/>
      <c r="V6" s="26"/>
      <c r="W6" s="27"/>
      <c r="X6" s="28"/>
      <c r="Y6" s="29"/>
      <c r="Z6" s="29"/>
    </row>
    <row r="7" spans="1:32" ht="63" customHeight="1">
      <c r="A7" s="30" t="s">
        <v>1</v>
      </c>
      <c r="B7" s="30" t="s">
        <v>2</v>
      </c>
      <c r="C7" s="31"/>
      <c r="D7" s="32" t="s">
        <v>3</v>
      </c>
      <c r="E7" s="33" t="s">
        <v>4</v>
      </c>
      <c r="F7" s="33" t="s">
        <v>5</v>
      </c>
      <c r="G7" s="33" t="s">
        <v>6</v>
      </c>
      <c r="H7" s="34" t="s">
        <v>7</v>
      </c>
      <c r="I7" s="33" t="s">
        <v>8</v>
      </c>
      <c r="J7" s="33" t="s">
        <v>9</v>
      </c>
      <c r="K7" s="33" t="s">
        <v>10</v>
      </c>
      <c r="L7" s="33" t="s">
        <v>11</v>
      </c>
      <c r="M7" s="33" t="s">
        <v>12</v>
      </c>
      <c r="N7" s="33" t="s">
        <v>13</v>
      </c>
      <c r="O7" s="33" t="s">
        <v>14</v>
      </c>
      <c r="P7" s="33" t="s">
        <v>15</v>
      </c>
      <c r="Q7" s="35"/>
      <c r="R7" s="31"/>
      <c r="S7" s="36"/>
      <c r="T7" s="37"/>
      <c r="U7" s="37"/>
      <c r="V7" s="38"/>
      <c r="W7" s="38"/>
      <c r="X7" s="37"/>
      <c r="Y7" s="39"/>
      <c r="Z7" s="39"/>
      <c r="AA7" s="40"/>
      <c r="AB7" s="40"/>
      <c r="AC7" s="40"/>
      <c r="AD7" s="40"/>
      <c r="AE7" s="40"/>
      <c r="AF7" s="41"/>
    </row>
    <row r="8" spans="1:32" s="52" customFormat="1" ht="65.099999999999994" customHeight="1">
      <c r="A8" s="157" t="s">
        <v>16</v>
      </c>
      <c r="B8" s="163" t="s">
        <v>17</v>
      </c>
      <c r="C8" s="42"/>
      <c r="D8" s="43"/>
      <c r="E8" s="44"/>
      <c r="F8" s="44"/>
      <c r="G8" s="44"/>
      <c r="H8" s="45"/>
      <c r="I8" s="44"/>
      <c r="J8" s="44"/>
      <c r="K8" s="44"/>
      <c r="L8" s="44"/>
      <c r="M8" s="44"/>
      <c r="N8" s="44"/>
      <c r="O8" s="44"/>
      <c r="P8" s="44"/>
      <c r="Q8" s="46"/>
      <c r="R8" s="47"/>
      <c r="S8" s="47"/>
      <c r="T8" s="48"/>
      <c r="U8" s="48"/>
      <c r="V8" s="49"/>
      <c r="W8" s="50"/>
      <c r="X8" s="51"/>
      <c r="Y8" s="50"/>
      <c r="Z8" s="2"/>
    </row>
    <row r="9" spans="1:32" s="52" customFormat="1">
      <c r="A9" s="158"/>
      <c r="B9" s="164"/>
      <c r="C9" s="55"/>
      <c r="D9" s="4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7"/>
      <c r="R9" s="58"/>
      <c r="S9" s="47"/>
      <c r="T9" s="48"/>
      <c r="U9" s="48"/>
      <c r="V9" s="49"/>
      <c r="W9" s="50"/>
      <c r="X9" s="51"/>
      <c r="Y9" s="2"/>
      <c r="Z9" s="2"/>
      <c r="AB9" s="2"/>
    </row>
    <row r="10" spans="1:32" ht="46.5" customHeight="1">
      <c r="A10" s="158"/>
      <c r="B10" s="164"/>
      <c r="C10" s="59" t="s">
        <v>18</v>
      </c>
      <c r="D10" s="60" t="s">
        <v>19</v>
      </c>
      <c r="E10" s="61">
        <v>709</v>
      </c>
      <c r="F10" s="61">
        <v>747</v>
      </c>
      <c r="G10" s="61">
        <v>763</v>
      </c>
      <c r="H10" s="61">
        <v>702</v>
      </c>
      <c r="I10" s="61">
        <v>731</v>
      </c>
      <c r="J10" s="61">
        <v>742</v>
      </c>
      <c r="K10" s="61">
        <v>753</v>
      </c>
      <c r="L10" s="61">
        <v>762</v>
      </c>
      <c r="M10" s="61">
        <v>773</v>
      </c>
      <c r="N10" s="61">
        <v>775</v>
      </c>
      <c r="O10" s="61">
        <v>798</v>
      </c>
      <c r="P10" s="61">
        <v>804</v>
      </c>
      <c r="Q10" s="62"/>
      <c r="R10" s="63"/>
      <c r="S10" s="64"/>
      <c r="T10" s="65"/>
      <c r="U10" s="65"/>
      <c r="V10" s="49"/>
      <c r="W10" s="49"/>
      <c r="X10" s="66"/>
      <c r="AB10" s="6"/>
    </row>
    <row r="11" spans="1:32" ht="46.5" customHeight="1">
      <c r="A11" s="158"/>
      <c r="B11" s="164"/>
      <c r="C11" s="59" t="s">
        <v>18</v>
      </c>
      <c r="D11" s="60" t="s">
        <v>20</v>
      </c>
      <c r="E11" s="61">
        <v>829</v>
      </c>
      <c r="F11" s="61">
        <v>812</v>
      </c>
      <c r="G11" s="61">
        <v>723</v>
      </c>
      <c r="H11" s="61">
        <v>705</v>
      </c>
      <c r="I11" s="61">
        <v>748</v>
      </c>
      <c r="J11" s="61">
        <v>715</v>
      </c>
      <c r="K11" s="61">
        <v>708</v>
      </c>
      <c r="L11" s="61">
        <v>750</v>
      </c>
      <c r="M11" s="61">
        <v>814</v>
      </c>
      <c r="N11" s="61">
        <v>747</v>
      </c>
      <c r="O11" s="61">
        <v>718</v>
      </c>
      <c r="P11" s="61">
        <v>752</v>
      </c>
      <c r="Q11" s="62"/>
      <c r="R11" s="63"/>
      <c r="S11" s="64"/>
      <c r="T11" s="65"/>
      <c r="U11" s="65"/>
      <c r="V11" s="49"/>
      <c r="W11" s="49"/>
      <c r="X11" s="66"/>
      <c r="AB11" s="6"/>
    </row>
    <row r="12" spans="1:32" ht="46.5" customHeight="1">
      <c r="A12" s="158"/>
      <c r="B12" s="164"/>
      <c r="C12" s="59" t="s">
        <v>18</v>
      </c>
      <c r="D12" s="60" t="s">
        <v>21</v>
      </c>
      <c r="E12" s="61">
        <v>801</v>
      </c>
      <c r="F12" s="61">
        <v>806</v>
      </c>
      <c r="G12" s="61">
        <v>794</v>
      </c>
      <c r="H12" s="61">
        <v>793</v>
      </c>
      <c r="I12" s="61">
        <v>813</v>
      </c>
      <c r="J12" s="61">
        <v>803</v>
      </c>
      <c r="K12" s="61">
        <v>807</v>
      </c>
      <c r="L12" s="61">
        <v>632</v>
      </c>
      <c r="M12" s="61">
        <v>717</v>
      </c>
      <c r="N12" s="61">
        <v>810</v>
      </c>
      <c r="O12" s="61">
        <v>813</v>
      </c>
      <c r="P12" s="61">
        <v>816</v>
      </c>
      <c r="Q12" s="62"/>
      <c r="R12" s="63"/>
      <c r="S12" s="64"/>
      <c r="T12" s="65"/>
      <c r="U12" s="65"/>
      <c r="V12" s="49"/>
      <c r="W12" s="49"/>
      <c r="X12" s="66"/>
      <c r="AB12" s="6"/>
    </row>
    <row r="13" spans="1:32" ht="46.5" customHeight="1">
      <c r="A13" s="158"/>
      <c r="B13" s="164"/>
      <c r="C13" s="59" t="s">
        <v>18</v>
      </c>
      <c r="D13" s="60" t="s">
        <v>22</v>
      </c>
      <c r="E13" s="61">
        <v>737</v>
      </c>
      <c r="F13" s="61">
        <v>682</v>
      </c>
      <c r="G13" s="61">
        <v>645</v>
      </c>
      <c r="H13" s="61">
        <v>614</v>
      </c>
      <c r="I13" s="61">
        <v>619</v>
      </c>
      <c r="J13" s="61">
        <v>630</v>
      </c>
      <c r="K13" s="61">
        <v>690</v>
      </c>
      <c r="L13" s="61">
        <v>776</v>
      </c>
      <c r="M13" s="61">
        <v>700</v>
      </c>
      <c r="N13" s="61">
        <v>806</v>
      </c>
      <c r="O13" s="61">
        <v>814</v>
      </c>
      <c r="P13" s="61">
        <v>806</v>
      </c>
      <c r="Q13" s="62"/>
      <c r="R13" s="63"/>
      <c r="S13" s="64"/>
      <c r="T13" s="65"/>
      <c r="U13" s="65"/>
      <c r="V13" s="49"/>
      <c r="W13" s="49"/>
      <c r="X13" s="66"/>
      <c r="AB13" s="6"/>
    </row>
    <row r="14" spans="1:32" ht="46.5" customHeight="1">
      <c r="A14" s="158"/>
      <c r="B14" s="164"/>
      <c r="C14" s="59" t="s">
        <v>18</v>
      </c>
      <c r="D14" s="60" t="s">
        <v>23</v>
      </c>
      <c r="E14" s="61">
        <v>708</v>
      </c>
      <c r="F14" s="61">
        <v>654</v>
      </c>
      <c r="G14" s="61">
        <v>722</v>
      </c>
      <c r="H14" s="61">
        <v>713</v>
      </c>
      <c r="I14" s="61">
        <v>749</v>
      </c>
      <c r="J14" s="61">
        <v>705</v>
      </c>
      <c r="K14" s="61">
        <v>702</v>
      </c>
      <c r="L14" s="61">
        <v>694</v>
      </c>
      <c r="M14" s="61">
        <v>706</v>
      </c>
      <c r="N14" s="61">
        <v>713</v>
      </c>
      <c r="O14" s="61">
        <v>741</v>
      </c>
      <c r="P14" s="61">
        <v>750</v>
      </c>
      <c r="Q14" s="62"/>
      <c r="R14" s="63"/>
      <c r="S14" s="64"/>
      <c r="T14" s="65"/>
      <c r="U14" s="65"/>
      <c r="V14" s="49"/>
      <c r="W14" s="49"/>
      <c r="X14" s="66"/>
      <c r="AB14" s="6"/>
    </row>
    <row r="15" spans="1:32" s="72" customFormat="1" ht="46.5" customHeight="1">
      <c r="A15" s="158"/>
      <c r="B15" s="164"/>
      <c r="C15" s="59" t="s">
        <v>18</v>
      </c>
      <c r="D15" s="60" t="s">
        <v>24</v>
      </c>
      <c r="E15" s="61">
        <v>448</v>
      </c>
      <c r="F15" s="61">
        <v>448</v>
      </c>
      <c r="G15" s="61">
        <v>448</v>
      </c>
      <c r="H15" s="61">
        <v>513</v>
      </c>
      <c r="I15" s="61">
        <v>568</v>
      </c>
      <c r="J15" s="61">
        <v>628</v>
      </c>
      <c r="K15" s="61">
        <v>686</v>
      </c>
      <c r="L15" s="61">
        <v>713</v>
      </c>
      <c r="M15" s="61">
        <v>740</v>
      </c>
      <c r="N15" s="61">
        <v>772</v>
      </c>
      <c r="O15" s="61">
        <v>779</v>
      </c>
      <c r="P15" s="61">
        <v>785</v>
      </c>
      <c r="Q15" s="67"/>
      <c r="R15" s="68"/>
      <c r="S15" s="69"/>
      <c r="T15" s="70"/>
      <c r="U15" s="70"/>
      <c r="V15" s="49"/>
      <c r="W15" s="49"/>
      <c r="X15" s="71"/>
      <c r="Y15" s="49"/>
      <c r="Z15" s="49"/>
      <c r="AB15" s="49"/>
    </row>
    <row r="16" spans="1:32" s="72" customFormat="1" ht="46.5" customHeight="1">
      <c r="A16" s="158"/>
      <c r="B16" s="164"/>
      <c r="C16" s="59" t="s">
        <v>18</v>
      </c>
      <c r="D16" s="60" t="s">
        <v>25</v>
      </c>
      <c r="E16" s="61">
        <v>702</v>
      </c>
      <c r="F16" s="61">
        <v>681</v>
      </c>
      <c r="G16" s="61">
        <v>653</v>
      </c>
      <c r="H16" s="61">
        <v>658</v>
      </c>
      <c r="I16" s="61">
        <v>655</v>
      </c>
      <c r="J16" s="61">
        <v>626</v>
      </c>
      <c r="K16" s="61">
        <v>613</v>
      </c>
      <c r="L16" s="61">
        <v>609</v>
      </c>
      <c r="M16" s="61">
        <v>606</v>
      </c>
      <c r="N16" s="61">
        <v>612</v>
      </c>
      <c r="O16" s="61">
        <v>652</v>
      </c>
      <c r="P16" s="61">
        <v>655</v>
      </c>
      <c r="Q16" s="67"/>
      <c r="R16" s="68"/>
      <c r="S16" s="69"/>
      <c r="T16" s="70"/>
      <c r="U16" s="70"/>
      <c r="V16" s="49"/>
      <c r="W16" s="49"/>
      <c r="X16" s="71"/>
      <c r="Y16" s="6"/>
      <c r="Z16" s="6"/>
    </row>
    <row r="17" spans="1:26" s="72" customFormat="1" ht="46.5" customHeight="1">
      <c r="A17" s="158"/>
      <c r="B17" s="164"/>
      <c r="C17" s="59" t="s">
        <v>18</v>
      </c>
      <c r="D17" s="60" t="s">
        <v>26</v>
      </c>
      <c r="E17" s="61">
        <v>672</v>
      </c>
      <c r="F17" s="61">
        <v>659</v>
      </c>
      <c r="G17" s="61">
        <v>656</v>
      </c>
      <c r="H17" s="61">
        <v>517</v>
      </c>
      <c r="I17" s="61">
        <v>647</v>
      </c>
      <c r="J17" s="61">
        <v>662</v>
      </c>
      <c r="K17" s="61">
        <v>716</v>
      </c>
      <c r="L17" s="61">
        <v>721</v>
      </c>
      <c r="M17" s="61">
        <v>720</v>
      </c>
      <c r="N17" s="61">
        <v>698</v>
      </c>
      <c r="O17" s="61">
        <v>695</v>
      </c>
      <c r="P17" s="61">
        <v>705</v>
      </c>
      <c r="Q17" s="67"/>
      <c r="R17" s="68"/>
      <c r="S17" s="69"/>
      <c r="T17" s="70"/>
      <c r="U17" s="70"/>
      <c r="V17" s="49"/>
      <c r="W17" s="49"/>
      <c r="X17" s="71"/>
      <c r="Y17" s="6"/>
      <c r="Z17" s="6"/>
    </row>
    <row r="18" spans="1:26" s="72" customFormat="1" ht="46.5" customHeight="1">
      <c r="A18" s="158"/>
      <c r="B18" s="164"/>
      <c r="C18" s="59" t="s">
        <v>18</v>
      </c>
      <c r="D18" s="60" t="s">
        <v>27</v>
      </c>
      <c r="E18" s="61">
        <v>663</v>
      </c>
      <c r="F18" s="61">
        <v>537</v>
      </c>
      <c r="G18" s="61">
        <v>525</v>
      </c>
      <c r="H18" s="61">
        <v>593</v>
      </c>
      <c r="I18" s="61">
        <v>620</v>
      </c>
      <c r="J18" s="61">
        <v>616</v>
      </c>
      <c r="K18" s="61">
        <v>607</v>
      </c>
      <c r="L18" s="61">
        <v>602</v>
      </c>
      <c r="M18" s="61">
        <v>605</v>
      </c>
      <c r="N18" s="61">
        <v>622</v>
      </c>
      <c r="O18" s="61">
        <v>698</v>
      </c>
      <c r="P18" s="61">
        <v>677</v>
      </c>
      <c r="Q18" s="73"/>
      <c r="R18" s="69"/>
      <c r="S18" s="69"/>
      <c r="T18" s="70"/>
      <c r="U18" s="70"/>
      <c r="V18" s="49"/>
      <c r="W18" s="49"/>
      <c r="X18" s="71"/>
      <c r="Y18" s="6"/>
      <c r="Z18" s="6"/>
    </row>
    <row r="19" spans="1:26" s="72" customFormat="1" ht="46.5" customHeight="1">
      <c r="A19" s="158"/>
      <c r="B19" s="164"/>
      <c r="C19" s="59" t="s">
        <v>18</v>
      </c>
      <c r="D19" s="60" t="s">
        <v>28</v>
      </c>
      <c r="E19" s="61">
        <v>766</v>
      </c>
      <c r="F19" s="61">
        <v>680</v>
      </c>
      <c r="G19" s="61">
        <v>721</v>
      </c>
      <c r="H19" s="61">
        <v>715</v>
      </c>
      <c r="I19" s="61">
        <v>713</v>
      </c>
      <c r="J19" s="61">
        <v>714</v>
      </c>
      <c r="K19" s="61">
        <v>708</v>
      </c>
      <c r="L19" s="61">
        <v>709</v>
      </c>
      <c r="M19" s="61">
        <v>665</v>
      </c>
      <c r="N19" s="61">
        <v>680</v>
      </c>
      <c r="O19" s="61">
        <v>702</v>
      </c>
      <c r="P19" s="61">
        <v>701</v>
      </c>
      <c r="Q19" s="73"/>
      <c r="R19" s="69"/>
      <c r="S19" s="69"/>
      <c r="T19" s="70"/>
      <c r="U19" s="70"/>
      <c r="V19" s="49"/>
      <c r="W19" s="49"/>
      <c r="X19" s="71"/>
      <c r="Y19" s="6"/>
      <c r="Z19" s="6"/>
    </row>
    <row r="20" spans="1:26" s="72" customFormat="1" ht="46.5" customHeight="1">
      <c r="A20" s="158"/>
      <c r="B20" s="164"/>
      <c r="C20" s="74" t="s">
        <v>18</v>
      </c>
      <c r="D20" s="75" t="s">
        <v>29</v>
      </c>
      <c r="E20" s="76">
        <v>717</v>
      </c>
      <c r="F20" s="76">
        <v>716</v>
      </c>
      <c r="G20" s="76">
        <v>713</v>
      </c>
      <c r="H20" s="76">
        <v>716</v>
      </c>
      <c r="I20" s="76">
        <v>745</v>
      </c>
      <c r="J20" s="76">
        <v>711</v>
      </c>
      <c r="K20" s="76">
        <v>735</v>
      </c>
      <c r="L20" s="76">
        <v>758</v>
      </c>
      <c r="M20" s="76">
        <v>732</v>
      </c>
      <c r="N20" s="76">
        <v>708</v>
      </c>
      <c r="O20" s="76">
        <v>741</v>
      </c>
      <c r="P20" s="76">
        <v>759</v>
      </c>
      <c r="Q20" s="73"/>
      <c r="R20" s="69"/>
      <c r="S20" s="69"/>
      <c r="T20" s="70"/>
      <c r="U20" s="70"/>
      <c r="V20" s="49"/>
      <c r="W20" s="49"/>
      <c r="X20" s="71"/>
      <c r="Y20" s="77"/>
      <c r="Z20" s="6"/>
    </row>
    <row r="21" spans="1:26" s="72" customFormat="1" ht="61.5" customHeight="1">
      <c r="A21" s="158"/>
      <c r="B21" s="164"/>
      <c r="C21" s="59" t="s">
        <v>18</v>
      </c>
      <c r="D21" s="60" t="s">
        <v>30</v>
      </c>
      <c r="E21" s="61">
        <v>675</v>
      </c>
      <c r="F21" s="61">
        <v>715</v>
      </c>
      <c r="G21" s="61">
        <v>553</v>
      </c>
      <c r="H21" s="61">
        <v>679</v>
      </c>
      <c r="I21" s="61">
        <v>695</v>
      </c>
      <c r="J21" s="61">
        <v>702</v>
      </c>
      <c r="K21" s="61">
        <v>735</v>
      </c>
      <c r="L21" s="61">
        <v>685</v>
      </c>
      <c r="M21" s="61">
        <v>770</v>
      </c>
      <c r="N21" s="61">
        <v>770</v>
      </c>
      <c r="O21" s="61">
        <v>758</v>
      </c>
      <c r="P21" s="61">
        <v>714</v>
      </c>
      <c r="Q21" s="73"/>
      <c r="R21" s="69"/>
      <c r="S21" s="69"/>
      <c r="T21" s="70"/>
      <c r="U21" s="70"/>
      <c r="V21" s="49"/>
      <c r="W21" s="49"/>
      <c r="X21" s="71"/>
      <c r="Y21" s="6"/>
      <c r="Z21" s="6"/>
    </row>
    <row r="22" spans="1:26" s="72" customFormat="1" ht="61.5" customHeight="1">
      <c r="A22" s="158"/>
      <c r="B22" s="164"/>
      <c r="C22" s="59" t="s">
        <v>18</v>
      </c>
      <c r="D22" s="78" t="s">
        <v>31</v>
      </c>
      <c r="E22" s="61">
        <v>633</v>
      </c>
      <c r="F22" s="61">
        <v>696.93499999999995</v>
      </c>
      <c r="G22" s="61">
        <v>723</v>
      </c>
      <c r="H22" s="61">
        <v>728</v>
      </c>
      <c r="I22" s="61">
        <v>736</v>
      </c>
      <c r="J22" s="61">
        <v>742</v>
      </c>
      <c r="K22" s="61">
        <v>743</v>
      </c>
      <c r="L22" s="61">
        <v>749</v>
      </c>
      <c r="M22" s="61">
        <v>750</v>
      </c>
      <c r="N22" s="61">
        <v>727</v>
      </c>
      <c r="O22" s="61">
        <v>690</v>
      </c>
      <c r="P22" s="61">
        <v>749</v>
      </c>
      <c r="Q22" s="73"/>
      <c r="R22" s="69"/>
      <c r="S22" s="69"/>
      <c r="T22" s="70"/>
      <c r="U22" s="70"/>
      <c r="V22" s="49"/>
      <c r="W22" s="49"/>
      <c r="X22" s="71"/>
      <c r="Y22" s="6"/>
      <c r="Z22" s="6"/>
    </row>
    <row r="23" spans="1:26" s="72" customFormat="1" ht="61.5" customHeight="1">
      <c r="A23" s="158"/>
      <c r="B23" s="164"/>
      <c r="C23" s="59" t="s">
        <v>18</v>
      </c>
      <c r="D23" s="60" t="s">
        <v>32</v>
      </c>
      <c r="E23" s="61">
        <v>570</v>
      </c>
      <c r="F23" s="61">
        <v>554</v>
      </c>
      <c r="G23" s="61">
        <v>554</v>
      </c>
      <c r="H23" s="61">
        <v>567</v>
      </c>
      <c r="I23" s="61">
        <v>564</v>
      </c>
      <c r="J23" s="61">
        <v>560</v>
      </c>
      <c r="K23" s="61">
        <v>558</v>
      </c>
      <c r="L23" s="61">
        <v>590</v>
      </c>
      <c r="M23" s="61">
        <v>582</v>
      </c>
      <c r="N23" s="61">
        <v>586</v>
      </c>
      <c r="O23" s="61">
        <v>591</v>
      </c>
      <c r="P23" s="61">
        <v>636</v>
      </c>
      <c r="Q23" s="73"/>
      <c r="R23" s="69"/>
      <c r="S23" s="69"/>
      <c r="T23" s="70"/>
      <c r="U23" s="70"/>
      <c r="V23" s="49"/>
      <c r="W23" s="49"/>
      <c r="X23" s="71"/>
      <c r="Y23" s="6"/>
      <c r="Z23" s="6"/>
    </row>
    <row r="24" spans="1:26" ht="61.5" customHeight="1">
      <c r="A24" s="158"/>
      <c r="B24" s="164"/>
      <c r="C24" s="59" t="s">
        <v>18</v>
      </c>
      <c r="D24" s="60" t="s">
        <v>33</v>
      </c>
      <c r="E24" s="61">
        <v>726</v>
      </c>
      <c r="F24" s="61">
        <v>656</v>
      </c>
      <c r="G24" s="61">
        <v>646</v>
      </c>
      <c r="H24" s="79">
        <v>670</v>
      </c>
      <c r="I24" s="61">
        <v>651</v>
      </c>
      <c r="J24" s="61">
        <v>652</v>
      </c>
      <c r="K24" s="61">
        <v>651</v>
      </c>
      <c r="L24" s="61">
        <v>637</v>
      </c>
      <c r="M24" s="61">
        <v>628</v>
      </c>
      <c r="N24" s="61">
        <v>585</v>
      </c>
      <c r="O24" s="61">
        <v>551</v>
      </c>
      <c r="P24" s="61">
        <v>551</v>
      </c>
      <c r="Q24" s="60"/>
      <c r="R24" s="47"/>
      <c r="S24" s="47"/>
      <c r="T24" s="48"/>
      <c r="U24" s="48"/>
      <c r="V24" s="49"/>
      <c r="W24" s="50"/>
      <c r="X24" s="51"/>
    </row>
    <row r="25" spans="1:26" ht="61.5" customHeight="1">
      <c r="A25" s="158"/>
      <c r="B25" s="164"/>
      <c r="C25" s="59" t="s">
        <v>18</v>
      </c>
      <c r="D25" s="60" t="s">
        <v>34</v>
      </c>
      <c r="E25" s="61">
        <v>779</v>
      </c>
      <c r="F25" s="61">
        <v>773</v>
      </c>
      <c r="G25" s="61">
        <v>762</v>
      </c>
      <c r="H25" s="79">
        <v>744</v>
      </c>
      <c r="I25" s="61">
        <v>771</v>
      </c>
      <c r="J25" s="61">
        <v>766</v>
      </c>
      <c r="K25" s="61">
        <v>766</v>
      </c>
      <c r="L25" s="61">
        <v>779</v>
      </c>
      <c r="M25" s="61">
        <v>776</v>
      </c>
      <c r="N25" s="61">
        <v>768</v>
      </c>
      <c r="O25" s="61">
        <v>764</v>
      </c>
      <c r="P25" s="61">
        <v>778</v>
      </c>
      <c r="Q25" s="60"/>
      <c r="R25" s="47"/>
      <c r="S25" s="47"/>
      <c r="T25" s="48"/>
      <c r="U25" s="48"/>
      <c r="V25" s="49"/>
      <c r="W25" s="50"/>
      <c r="X25" s="51"/>
    </row>
    <row r="26" spans="1:26" ht="61.5" customHeight="1">
      <c r="A26" s="158"/>
      <c r="B26" s="164"/>
      <c r="C26" s="59" t="s">
        <v>18</v>
      </c>
      <c r="D26" s="60" t="s">
        <v>35</v>
      </c>
      <c r="E26" s="61">
        <v>709</v>
      </c>
      <c r="F26" s="61">
        <v>699</v>
      </c>
      <c r="G26" s="61">
        <v>695</v>
      </c>
      <c r="H26" s="79">
        <v>691</v>
      </c>
      <c r="I26" s="61">
        <v>760</v>
      </c>
      <c r="J26" s="61">
        <v>781</v>
      </c>
      <c r="K26" s="61">
        <v>783</v>
      </c>
      <c r="L26" s="61">
        <v>791</v>
      </c>
      <c r="M26" s="61">
        <v>792</v>
      </c>
      <c r="N26" s="61">
        <v>785</v>
      </c>
      <c r="O26" s="61">
        <v>674</v>
      </c>
      <c r="P26" s="61">
        <v>784</v>
      </c>
      <c r="Q26" s="60"/>
      <c r="R26" s="47"/>
      <c r="S26" s="47"/>
      <c r="T26" s="48"/>
      <c r="U26" s="48"/>
      <c r="V26" s="49"/>
      <c r="W26" s="50"/>
      <c r="X26" s="51"/>
    </row>
    <row r="27" spans="1:26" ht="61.5" customHeight="1">
      <c r="A27" s="158"/>
      <c r="B27" s="164"/>
      <c r="C27" s="80" t="s">
        <v>18</v>
      </c>
      <c r="D27" s="81" t="s">
        <v>36</v>
      </c>
      <c r="E27" s="82">
        <v>700</v>
      </c>
      <c r="F27" s="82">
        <v>696</v>
      </c>
      <c r="G27" s="82">
        <v>692</v>
      </c>
      <c r="H27" s="83">
        <v>720</v>
      </c>
      <c r="I27" s="82">
        <v>765</v>
      </c>
      <c r="J27" s="82">
        <v>759</v>
      </c>
      <c r="K27" s="82">
        <v>777</v>
      </c>
      <c r="L27" s="82">
        <v>768</v>
      </c>
      <c r="M27" s="82">
        <v>713</v>
      </c>
      <c r="N27" s="82">
        <v>709</v>
      </c>
      <c r="O27" s="82">
        <v>709</v>
      </c>
      <c r="P27" s="82">
        <v>710</v>
      </c>
      <c r="Q27" s="81"/>
      <c r="R27" s="47"/>
      <c r="S27" s="47"/>
      <c r="T27" s="48"/>
      <c r="U27" s="48"/>
      <c r="V27" s="49"/>
      <c r="W27" s="50"/>
      <c r="X27" s="51"/>
    </row>
    <row r="28" spans="1:26" ht="61.5" customHeight="1">
      <c r="A28" s="158"/>
      <c r="B28" s="164"/>
      <c r="C28" s="59" t="s">
        <v>18</v>
      </c>
      <c r="D28" s="60" t="s">
        <v>37</v>
      </c>
      <c r="E28" s="85">
        <v>723</v>
      </c>
      <c r="F28" s="85">
        <v>719</v>
      </c>
      <c r="G28" s="85">
        <v>698</v>
      </c>
      <c r="H28" s="79">
        <v>669</v>
      </c>
      <c r="I28" s="85">
        <v>650</v>
      </c>
      <c r="J28" s="85">
        <v>707</v>
      </c>
      <c r="K28" s="85">
        <v>745</v>
      </c>
      <c r="L28" s="85">
        <v>769</v>
      </c>
      <c r="M28" s="85">
        <v>769</v>
      </c>
      <c r="N28" s="85">
        <v>750</v>
      </c>
      <c r="O28" s="85">
        <v>742</v>
      </c>
      <c r="P28" s="85">
        <v>680</v>
      </c>
      <c r="Q28" s="46"/>
      <c r="R28" s="47"/>
      <c r="S28" s="47"/>
      <c r="T28" s="48"/>
      <c r="U28" s="48"/>
      <c r="V28" s="49"/>
      <c r="W28" s="50"/>
      <c r="X28" s="51"/>
    </row>
    <row r="29" spans="1:26" ht="61.5" customHeight="1">
      <c r="A29" s="158"/>
      <c r="B29" s="164"/>
      <c r="C29" s="59" t="s">
        <v>18</v>
      </c>
      <c r="D29" s="60" t="s">
        <v>38</v>
      </c>
      <c r="E29" s="85">
        <v>705</v>
      </c>
      <c r="F29" s="85">
        <v>690</v>
      </c>
      <c r="G29" s="85">
        <v>710</v>
      </c>
      <c r="H29" s="79">
        <v>719</v>
      </c>
      <c r="I29" s="85">
        <v>697</v>
      </c>
      <c r="J29" s="85">
        <v>716</v>
      </c>
      <c r="K29" s="85">
        <v>719</v>
      </c>
      <c r="L29" s="85">
        <v>694</v>
      </c>
      <c r="M29" s="85">
        <v>698</v>
      </c>
      <c r="N29" s="85">
        <v>700</v>
      </c>
      <c r="O29" s="85">
        <v>701</v>
      </c>
      <c r="P29" s="85">
        <v>719</v>
      </c>
      <c r="Q29" s="46"/>
      <c r="R29" s="47"/>
      <c r="S29" s="47"/>
      <c r="T29" s="48"/>
      <c r="U29" s="48"/>
      <c r="V29" s="49"/>
      <c r="W29" s="50"/>
      <c r="X29" s="51"/>
    </row>
    <row r="30" spans="1:26" ht="61.5" customHeight="1">
      <c r="A30" s="158"/>
      <c r="B30" s="164"/>
      <c r="C30" s="59" t="s">
        <v>18</v>
      </c>
      <c r="D30" s="60" t="s">
        <v>39</v>
      </c>
      <c r="E30" s="85">
        <v>672</v>
      </c>
      <c r="F30" s="85">
        <v>699</v>
      </c>
      <c r="G30" s="85">
        <v>733</v>
      </c>
      <c r="H30" s="79">
        <v>757</v>
      </c>
      <c r="I30" s="85">
        <v>756</v>
      </c>
      <c r="J30" s="85">
        <v>745</v>
      </c>
      <c r="K30" s="85">
        <v>754</v>
      </c>
      <c r="L30" s="86">
        <v>759</v>
      </c>
      <c r="M30" s="86">
        <v>765</v>
      </c>
      <c r="N30" s="85">
        <v>749</v>
      </c>
      <c r="O30" s="85">
        <v>745</v>
      </c>
      <c r="P30" s="85">
        <v>730</v>
      </c>
      <c r="Q30" s="46"/>
      <c r="R30" s="47"/>
      <c r="S30" s="47"/>
      <c r="T30" s="48"/>
      <c r="U30" s="48"/>
      <c r="V30" s="49"/>
      <c r="W30" s="50"/>
      <c r="X30" s="51"/>
    </row>
    <row r="31" spans="1:26" ht="61.5" customHeight="1">
      <c r="A31" s="158"/>
      <c r="B31" s="164"/>
      <c r="C31" s="59" t="s">
        <v>18</v>
      </c>
      <c r="D31" s="60" t="s">
        <v>40</v>
      </c>
      <c r="E31" s="85">
        <v>549</v>
      </c>
      <c r="F31" s="85">
        <v>524</v>
      </c>
      <c r="G31" s="85">
        <v>518</v>
      </c>
      <c r="H31" s="79">
        <v>543</v>
      </c>
      <c r="I31" s="85">
        <v>562</v>
      </c>
      <c r="J31" s="85">
        <v>673</v>
      </c>
      <c r="K31" s="85">
        <v>688</v>
      </c>
      <c r="L31" s="85">
        <v>688</v>
      </c>
      <c r="M31" s="85">
        <v>692</v>
      </c>
      <c r="N31" s="85">
        <v>698</v>
      </c>
      <c r="O31" s="85">
        <v>700</v>
      </c>
      <c r="P31" s="85">
        <v>698</v>
      </c>
      <c r="Q31" s="46"/>
      <c r="R31" s="47"/>
      <c r="S31" s="47"/>
      <c r="T31" s="48"/>
      <c r="U31" s="48"/>
      <c r="V31" s="49"/>
      <c r="W31" s="50"/>
      <c r="X31" s="51"/>
    </row>
    <row r="32" spans="1:26" ht="61.5" customHeight="1">
      <c r="A32" s="158"/>
      <c r="B32" s="164"/>
      <c r="C32" s="59" t="s">
        <v>18</v>
      </c>
      <c r="D32" s="60" t="s">
        <v>41</v>
      </c>
      <c r="E32" s="85">
        <v>680</v>
      </c>
      <c r="F32" s="85">
        <v>677</v>
      </c>
      <c r="G32" s="85">
        <v>680</v>
      </c>
      <c r="H32" s="79">
        <v>685</v>
      </c>
      <c r="I32" s="85">
        <v>687</v>
      </c>
      <c r="J32" s="85">
        <v>696</v>
      </c>
      <c r="K32" s="85">
        <v>691</v>
      </c>
      <c r="L32" s="85">
        <v>685</v>
      </c>
      <c r="M32" s="85">
        <v>682</v>
      </c>
      <c r="N32" s="85">
        <v>697</v>
      </c>
      <c r="O32" s="85">
        <v>685</v>
      </c>
      <c r="P32" s="85">
        <v>540</v>
      </c>
      <c r="Q32" s="46"/>
      <c r="R32" s="47"/>
      <c r="S32" s="47"/>
      <c r="T32" s="48"/>
      <c r="U32" s="48"/>
      <c r="V32" s="49"/>
      <c r="W32" s="50"/>
      <c r="X32" s="51"/>
    </row>
    <row r="33" spans="1:28" ht="61.5" customHeight="1">
      <c r="A33" s="158"/>
      <c r="B33" s="164"/>
      <c r="C33" s="59" t="s">
        <v>18</v>
      </c>
      <c r="D33" s="60" t="s">
        <v>42</v>
      </c>
      <c r="E33" s="85">
        <v>572</v>
      </c>
      <c r="F33" s="85">
        <v>504</v>
      </c>
      <c r="G33" s="85">
        <v>550</v>
      </c>
      <c r="H33" s="79">
        <v>600</v>
      </c>
      <c r="I33" s="85">
        <v>601</v>
      </c>
      <c r="J33" s="85">
        <v>612</v>
      </c>
      <c r="K33" s="85">
        <v>618</v>
      </c>
      <c r="L33" s="85">
        <v>615</v>
      </c>
      <c r="M33" s="85">
        <v>623</v>
      </c>
      <c r="N33" s="85">
        <v>653</v>
      </c>
      <c r="O33" s="85">
        <v>673</v>
      </c>
      <c r="P33" s="85">
        <v>681</v>
      </c>
      <c r="Q33" s="46"/>
      <c r="R33" s="47"/>
      <c r="S33" s="47"/>
      <c r="T33" s="48"/>
      <c r="U33" s="48"/>
      <c r="V33" s="49"/>
      <c r="W33" s="50"/>
      <c r="X33" s="51"/>
    </row>
    <row r="34" spans="1:28" ht="61.5" customHeight="1">
      <c r="A34" s="158"/>
      <c r="B34" s="164"/>
      <c r="C34" s="59" t="s">
        <v>18</v>
      </c>
      <c r="D34" s="60" t="s">
        <v>43</v>
      </c>
      <c r="E34" s="85">
        <v>573.20000000000005</v>
      </c>
      <c r="F34" s="85">
        <v>512.64854838709698</v>
      </c>
      <c r="G34" s="85">
        <v>544.4</v>
      </c>
      <c r="H34" s="79">
        <v>574.5</v>
      </c>
      <c r="I34" s="85">
        <v>580</v>
      </c>
      <c r="J34" s="85">
        <v>589</v>
      </c>
      <c r="K34" s="85">
        <v>593</v>
      </c>
      <c r="L34" s="85">
        <v>594.36</v>
      </c>
      <c r="M34" s="85">
        <v>599</v>
      </c>
      <c r="N34" s="85">
        <v>604</v>
      </c>
      <c r="O34" s="85">
        <v>583</v>
      </c>
      <c r="P34" s="85">
        <v>581</v>
      </c>
      <c r="Q34" s="46"/>
      <c r="R34" s="47"/>
      <c r="S34" s="47"/>
      <c r="T34" s="48"/>
      <c r="U34" s="48"/>
      <c r="V34" s="49"/>
      <c r="W34" s="50"/>
      <c r="X34" s="51"/>
    </row>
    <row r="35" spans="1:28" ht="61.5" customHeight="1">
      <c r="A35" s="158"/>
      <c r="B35" s="164"/>
      <c r="C35" s="59" t="s">
        <v>18</v>
      </c>
      <c r="D35" s="60" t="s">
        <v>44</v>
      </c>
      <c r="E35" s="85">
        <v>600.348166666667</v>
      </c>
      <c r="F35" s="85">
        <v>605.94161290322597</v>
      </c>
      <c r="G35" s="85">
        <v>611.94550000000004</v>
      </c>
      <c r="H35" s="79">
        <v>611.59354838709703</v>
      </c>
      <c r="I35" s="85">
        <v>626.65983870967796</v>
      </c>
      <c r="J35" s="85">
        <v>633.28383333333295</v>
      </c>
      <c r="K35" s="85">
        <v>613.94354838709705</v>
      </c>
      <c r="L35" s="85">
        <v>571.05999999999995</v>
      </c>
      <c r="M35" s="85">
        <v>523.63951612903202</v>
      </c>
      <c r="N35" s="85">
        <v>548.52516129032301</v>
      </c>
      <c r="O35" s="85">
        <v>554.94285714285695</v>
      </c>
      <c r="P35" s="85">
        <v>559.85048387096799</v>
      </c>
      <c r="Q35" s="46"/>
      <c r="R35" s="47"/>
      <c r="S35" s="47"/>
      <c r="T35" s="48"/>
      <c r="U35" s="48"/>
      <c r="V35" s="49"/>
      <c r="W35" s="50"/>
      <c r="X35" s="51"/>
    </row>
    <row r="36" spans="1:28" ht="61.5" customHeight="1">
      <c r="A36" s="158"/>
      <c r="C36" s="88"/>
      <c r="D36" s="89"/>
      <c r="E36" s="21"/>
      <c r="F36" s="21"/>
      <c r="G36" s="21"/>
      <c r="H36" s="20"/>
      <c r="I36" s="21"/>
      <c r="J36" s="21"/>
      <c r="K36" s="21"/>
      <c r="L36" s="21"/>
      <c r="M36" s="21"/>
      <c r="N36" s="21"/>
      <c r="O36" s="21"/>
      <c r="P36" s="21"/>
      <c r="Q36" s="46"/>
      <c r="R36" s="47"/>
      <c r="S36" s="47"/>
      <c r="T36" s="48"/>
      <c r="U36" s="48"/>
      <c r="V36" s="49"/>
      <c r="W36" s="50"/>
      <c r="X36" s="51"/>
    </row>
    <row r="37" spans="1:28" s="52" customFormat="1" ht="61.15" customHeight="1">
      <c r="A37" s="158"/>
      <c r="B37" s="163" t="s">
        <v>45</v>
      </c>
      <c r="C37" s="42"/>
      <c r="D37" s="43"/>
      <c r="E37" s="44"/>
      <c r="F37" s="44"/>
      <c r="G37" s="44"/>
      <c r="H37" s="45"/>
      <c r="I37" s="44"/>
      <c r="J37" s="44"/>
      <c r="K37" s="44"/>
      <c r="L37" s="44"/>
      <c r="M37" s="44"/>
      <c r="N37" s="44"/>
      <c r="O37" s="44"/>
      <c r="P37" s="44"/>
      <c r="Q37" s="46"/>
      <c r="R37" s="47"/>
      <c r="S37" s="47"/>
      <c r="T37" s="48"/>
      <c r="U37" s="48"/>
      <c r="V37" s="49"/>
      <c r="W37" s="50"/>
      <c r="X37" s="51"/>
      <c r="Y37" s="2"/>
      <c r="Z37" s="2"/>
    </row>
    <row r="38" spans="1:28" s="52" customFormat="1">
      <c r="A38" s="158"/>
      <c r="B38" s="164"/>
      <c r="C38" s="55"/>
      <c r="D38" s="4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7"/>
      <c r="R38" s="58"/>
      <c r="S38" s="47"/>
      <c r="T38" s="48"/>
      <c r="U38" s="48"/>
      <c r="V38" s="49"/>
      <c r="W38" s="50"/>
      <c r="X38" s="51"/>
      <c r="Y38" s="2"/>
      <c r="Z38" s="2"/>
      <c r="AB38" s="2"/>
    </row>
    <row r="39" spans="1:28" ht="46.5" customHeight="1">
      <c r="A39" s="158"/>
      <c r="B39" s="164"/>
      <c r="C39" s="59" t="s">
        <v>18</v>
      </c>
      <c r="D39" s="60" t="s">
        <v>19</v>
      </c>
      <c r="E39" s="61">
        <v>320.43333333333334</v>
      </c>
      <c r="F39" s="61">
        <v>314.54838709677421</v>
      </c>
      <c r="G39" s="61">
        <v>306.56666666666666</v>
      </c>
      <c r="H39" s="61">
        <v>322</v>
      </c>
      <c r="I39" s="61">
        <v>322.51612903225805</v>
      </c>
      <c r="J39" s="61">
        <v>304.33333333333331</v>
      </c>
      <c r="K39" s="61">
        <v>313.87096774193549</v>
      </c>
      <c r="L39" s="61">
        <v>327.36666666666667</v>
      </c>
      <c r="M39" s="61">
        <v>335.22580645161293</v>
      </c>
      <c r="N39" s="61">
        <v>339</v>
      </c>
      <c r="O39" s="61">
        <v>335</v>
      </c>
      <c r="P39" s="61">
        <v>327</v>
      </c>
      <c r="Q39" s="62"/>
      <c r="R39" s="63"/>
      <c r="S39" s="64"/>
      <c r="T39" s="65"/>
      <c r="U39" s="65"/>
      <c r="V39" s="49"/>
      <c r="W39" s="49"/>
      <c r="X39" s="66"/>
      <c r="AB39" s="6"/>
    </row>
    <row r="40" spans="1:28" s="52" customFormat="1" ht="46.5" customHeight="1">
      <c r="A40" s="158"/>
      <c r="B40" s="164"/>
      <c r="C40" s="59" t="s">
        <v>18</v>
      </c>
      <c r="D40" s="60" t="s">
        <v>20</v>
      </c>
      <c r="E40" s="61">
        <v>326.16666666666669</v>
      </c>
      <c r="F40" s="61">
        <v>341.74193548387098</v>
      </c>
      <c r="G40" s="61">
        <v>338.66666666666669</v>
      </c>
      <c r="H40" s="61">
        <v>330</v>
      </c>
      <c r="I40" s="61">
        <v>329.61290322580646</v>
      </c>
      <c r="J40" s="61">
        <v>333.86666666666667</v>
      </c>
      <c r="K40" s="61">
        <v>334.48387096774195</v>
      </c>
      <c r="L40" s="61">
        <v>336.16666666666669</v>
      </c>
      <c r="M40" s="61">
        <v>296.06451612903226</v>
      </c>
      <c r="N40" s="61">
        <v>294.09677419354841</v>
      </c>
      <c r="O40" s="61">
        <v>302.78571428571428</v>
      </c>
      <c r="P40" s="61">
        <v>312.74099999999999</v>
      </c>
      <c r="Q40" s="57"/>
      <c r="R40" s="58"/>
      <c r="S40" s="47"/>
      <c r="T40" s="48"/>
      <c r="U40" s="48"/>
      <c r="V40" s="49"/>
      <c r="W40" s="50"/>
      <c r="X40" s="51"/>
      <c r="Y40" s="2"/>
      <c r="Z40" s="2"/>
      <c r="AB40" s="2"/>
    </row>
    <row r="41" spans="1:28" ht="46.5" customHeight="1">
      <c r="A41" s="158"/>
      <c r="B41" s="164"/>
      <c r="C41" s="59" t="s">
        <v>18</v>
      </c>
      <c r="D41" s="60" t="s">
        <v>21</v>
      </c>
      <c r="E41" s="61">
        <v>344.06666666666666</v>
      </c>
      <c r="F41" s="61">
        <v>347.48387096774195</v>
      </c>
      <c r="G41" s="61">
        <v>349.5</v>
      </c>
      <c r="H41" s="61">
        <v>333</v>
      </c>
      <c r="I41" s="61">
        <v>335.48387096774195</v>
      </c>
      <c r="J41" s="61">
        <v>345</v>
      </c>
      <c r="K41" s="61">
        <v>342.64516129032256</v>
      </c>
      <c r="L41" s="61">
        <v>348.3</v>
      </c>
      <c r="M41" s="61">
        <v>349.87096774193549</v>
      </c>
      <c r="N41" s="61">
        <v>349.83870967741933</v>
      </c>
      <c r="O41" s="61">
        <v>349.89655172413791</v>
      </c>
      <c r="P41" s="61">
        <v>349.83870967741933</v>
      </c>
      <c r="Q41" s="62"/>
      <c r="R41" s="63"/>
      <c r="S41" s="64"/>
      <c r="T41" s="65"/>
      <c r="U41" s="65"/>
      <c r="V41" s="49"/>
      <c r="W41" s="49"/>
      <c r="X41" s="66"/>
      <c r="AB41" s="6"/>
    </row>
    <row r="42" spans="1:28" s="52" customFormat="1" ht="46.5" customHeight="1">
      <c r="A42" s="158"/>
      <c r="B42" s="164"/>
      <c r="C42" s="59" t="s">
        <v>18</v>
      </c>
      <c r="D42" s="60" t="s">
        <v>22</v>
      </c>
      <c r="E42" s="61">
        <v>346.1</v>
      </c>
      <c r="F42" s="61">
        <v>334.61290322580646</v>
      </c>
      <c r="G42" s="61">
        <v>317.53333333333336</v>
      </c>
      <c r="H42" s="61">
        <v>316.90322580645159</v>
      </c>
      <c r="I42" s="61">
        <v>334.25806451612902</v>
      </c>
      <c r="J42" s="61">
        <v>339.13333333333333</v>
      </c>
      <c r="K42" s="61">
        <v>348.09677419354841</v>
      </c>
      <c r="L42" s="61">
        <v>349.66666666666669</v>
      </c>
      <c r="M42" s="61">
        <v>323.54838709677421</v>
      </c>
      <c r="N42" s="61">
        <v>333.35483870967744</v>
      </c>
      <c r="O42" s="61">
        <v>336.14285714285717</v>
      </c>
      <c r="P42" s="61">
        <v>344.80645161290323</v>
      </c>
      <c r="Q42" s="57"/>
      <c r="R42" s="58"/>
      <c r="S42" s="47"/>
      <c r="T42" s="48"/>
      <c r="U42" s="48"/>
      <c r="V42" s="49"/>
      <c r="W42" s="50"/>
      <c r="X42" s="51"/>
      <c r="Y42" s="2"/>
      <c r="Z42" s="2"/>
      <c r="AB42" s="2"/>
    </row>
    <row r="43" spans="1:28" s="52" customFormat="1" ht="46.5" customHeight="1">
      <c r="A43" s="158"/>
      <c r="B43" s="164"/>
      <c r="C43" s="59" t="s">
        <v>18</v>
      </c>
      <c r="D43" s="60" t="s">
        <v>23</v>
      </c>
      <c r="E43" s="61">
        <v>348.76666666666665</v>
      </c>
      <c r="F43" s="61">
        <v>337.29032258064518</v>
      </c>
      <c r="G43" s="61">
        <v>315.56666666666666</v>
      </c>
      <c r="H43" s="61">
        <v>325.51612903225805</v>
      </c>
      <c r="I43" s="61">
        <v>338.12903225806451</v>
      </c>
      <c r="J43" s="61">
        <v>334.43333333333334</v>
      </c>
      <c r="K43" s="61">
        <v>330.22580645161293</v>
      </c>
      <c r="L43" s="61">
        <v>341.13333333333333</v>
      </c>
      <c r="M43" s="61">
        <v>341.41935483870969</v>
      </c>
      <c r="N43" s="61">
        <v>338.70967999999999</v>
      </c>
      <c r="O43" s="61">
        <v>338.14285714285717</v>
      </c>
      <c r="P43" s="61">
        <v>347.58064516129031</v>
      </c>
      <c r="Q43" s="57"/>
      <c r="R43" s="58"/>
      <c r="S43" s="47"/>
      <c r="T43" s="48"/>
      <c r="U43" s="48"/>
      <c r="V43" s="49"/>
      <c r="W43" s="50"/>
      <c r="X43" s="51"/>
      <c r="Y43" s="2"/>
      <c r="Z43" s="2"/>
      <c r="AB43" s="2"/>
    </row>
    <row r="44" spans="1:28" s="72" customFormat="1" ht="46.5" customHeight="1">
      <c r="A44" s="158"/>
      <c r="B44" s="164"/>
      <c r="C44" s="59" t="s">
        <v>18</v>
      </c>
      <c r="D44" s="64" t="str">
        <f>+D15</f>
        <v>2020-21</v>
      </c>
      <c r="E44" s="61">
        <v>230.93333333333334</v>
      </c>
      <c r="F44" s="61">
        <v>218.19354838709677</v>
      </c>
      <c r="G44" s="61">
        <v>238.3</v>
      </c>
      <c r="H44" s="61">
        <v>279.51612903225805</v>
      </c>
      <c r="I44" s="61">
        <v>327.90322580645159</v>
      </c>
      <c r="J44" s="61">
        <v>332.16666666666669</v>
      </c>
      <c r="K44" s="61">
        <v>341</v>
      </c>
      <c r="L44" s="61">
        <v>343</v>
      </c>
      <c r="M44" s="61">
        <v>341.96774193548384</v>
      </c>
      <c r="N44" s="61">
        <v>346</v>
      </c>
      <c r="O44" s="61">
        <v>347.78571428571428</v>
      </c>
      <c r="P44" s="61">
        <v>346.96774193548384</v>
      </c>
      <c r="Q44" s="67"/>
      <c r="R44" s="68"/>
      <c r="S44" s="69"/>
      <c r="T44" s="70"/>
      <c r="U44" s="70"/>
      <c r="V44" s="49"/>
      <c r="W44" s="49"/>
      <c r="X44" s="71"/>
      <c r="Y44" s="49"/>
      <c r="Z44" s="49"/>
      <c r="AB44" s="49"/>
    </row>
    <row r="45" spans="1:28" s="72" customFormat="1" ht="46.5" customHeight="1">
      <c r="A45" s="158"/>
      <c r="B45" s="164"/>
      <c r="C45" s="59" t="s">
        <v>18</v>
      </c>
      <c r="D45" s="64" t="str">
        <f>+D16</f>
        <v>2019-20</v>
      </c>
      <c r="E45" s="61">
        <v>316</v>
      </c>
      <c r="F45" s="61">
        <v>309.96774193548401</v>
      </c>
      <c r="G45" s="61">
        <v>312</v>
      </c>
      <c r="H45" s="61">
        <v>330.54838709677398</v>
      </c>
      <c r="I45" s="61">
        <v>341.03225806451599</v>
      </c>
      <c r="J45" s="61">
        <v>311.10000000000002</v>
      </c>
      <c r="K45" s="61">
        <v>308.93548387096803</v>
      </c>
      <c r="L45" s="61">
        <v>335.6</v>
      </c>
      <c r="M45" s="61">
        <v>340.16129032258101</v>
      </c>
      <c r="N45" s="61">
        <v>335.806451612903</v>
      </c>
      <c r="O45" s="61">
        <v>339.03448275862098</v>
      </c>
      <c r="P45" s="61">
        <v>320.58064516129002</v>
      </c>
      <c r="Q45" s="67"/>
      <c r="R45" s="68"/>
      <c r="S45" s="69"/>
      <c r="T45" s="70"/>
      <c r="U45" s="70"/>
      <c r="V45" s="49"/>
      <c r="W45" s="49"/>
      <c r="X45" s="71"/>
      <c r="Y45" s="6"/>
      <c r="Z45" s="6"/>
    </row>
    <row r="46" spans="1:28" s="94" customFormat="1" ht="46.5" customHeight="1">
      <c r="A46" s="158"/>
      <c r="B46" s="164"/>
      <c r="C46" s="59" t="s">
        <v>18</v>
      </c>
      <c r="D46" s="60" t="s">
        <v>26</v>
      </c>
      <c r="E46" s="61">
        <v>319.46666666666698</v>
      </c>
      <c r="F46" s="61">
        <v>339.16129032258101</v>
      </c>
      <c r="G46" s="61">
        <v>323</v>
      </c>
      <c r="H46" s="61">
        <v>312.74193548387098</v>
      </c>
      <c r="I46" s="61">
        <v>327.41935483870998</v>
      </c>
      <c r="J46" s="61">
        <v>322.933333333333</v>
      </c>
      <c r="K46" s="61">
        <v>332.77419354838702</v>
      </c>
      <c r="L46" s="61">
        <v>328.433333333333</v>
      </c>
      <c r="M46" s="61">
        <v>326.70967741935499</v>
      </c>
      <c r="N46" s="61">
        <v>317.16129032258101</v>
      </c>
      <c r="O46" s="61">
        <v>314.78571428571399</v>
      </c>
      <c r="P46" s="61">
        <v>328.12903225806502</v>
      </c>
      <c r="Q46" s="92"/>
      <c r="R46" s="93"/>
      <c r="S46" s="69"/>
      <c r="T46" s="70"/>
      <c r="U46" s="70"/>
      <c r="V46" s="49"/>
      <c r="W46" s="49"/>
      <c r="X46" s="71"/>
      <c r="Y46" s="27"/>
      <c r="Z46" s="27"/>
    </row>
    <row r="47" spans="1:28" s="72" customFormat="1" ht="46.5" customHeight="1">
      <c r="A47" s="158"/>
      <c r="B47" s="164"/>
      <c r="C47" s="59" t="s">
        <v>18</v>
      </c>
      <c r="D47" s="60" t="s">
        <v>27</v>
      </c>
      <c r="E47" s="61">
        <v>256.566666666667</v>
      </c>
      <c r="F47" s="61">
        <v>240</v>
      </c>
      <c r="G47" s="61">
        <v>255.13333333333301</v>
      </c>
      <c r="H47" s="61">
        <v>292.193548387097</v>
      </c>
      <c r="I47" s="61">
        <v>319.12903225806502</v>
      </c>
      <c r="J47" s="61">
        <v>339.83333333333297</v>
      </c>
      <c r="K47" s="61">
        <v>298.03225806451599</v>
      </c>
      <c r="L47" s="61">
        <v>274.26666666666699</v>
      </c>
      <c r="M47" s="61">
        <v>328.193548387097</v>
      </c>
      <c r="N47" s="61">
        <v>316.677419354839</v>
      </c>
      <c r="O47" s="61">
        <v>335.42857142857099</v>
      </c>
      <c r="P47" s="61">
        <v>343.09677419354801</v>
      </c>
      <c r="Q47" s="73"/>
      <c r="R47" s="69"/>
      <c r="S47" s="69"/>
      <c r="T47" s="70"/>
      <c r="U47" s="70"/>
      <c r="V47" s="49"/>
      <c r="W47" s="49"/>
      <c r="X47" s="71"/>
      <c r="Y47" s="6"/>
      <c r="Z47" s="6"/>
    </row>
    <row r="48" spans="1:28" s="72" customFormat="1" ht="46.5" customHeight="1">
      <c r="A48" s="158"/>
      <c r="B48" s="164"/>
      <c r="C48" s="59" t="s">
        <v>18</v>
      </c>
      <c r="D48" s="60" t="s">
        <v>28</v>
      </c>
      <c r="E48" s="61">
        <v>262.933333333333</v>
      </c>
      <c r="F48" s="61">
        <v>262.12903225806502</v>
      </c>
      <c r="G48" s="61">
        <v>271.53333333333302</v>
      </c>
      <c r="H48" s="61">
        <v>312.193548387097</v>
      </c>
      <c r="I48" s="61">
        <v>329.03225806451599</v>
      </c>
      <c r="J48" s="61">
        <v>339.66666666666703</v>
      </c>
      <c r="K48" s="61">
        <v>348.90322580645199</v>
      </c>
      <c r="L48" s="61">
        <v>334.6</v>
      </c>
      <c r="M48" s="61">
        <v>308.58064516129002</v>
      </c>
      <c r="N48" s="61">
        <v>300</v>
      </c>
      <c r="O48" s="61">
        <v>299.82142857142901</v>
      </c>
      <c r="P48" s="61">
        <v>285.35483870967698</v>
      </c>
      <c r="Q48" s="73"/>
      <c r="R48" s="69"/>
      <c r="S48" s="69"/>
      <c r="T48" s="70"/>
      <c r="U48" s="70"/>
      <c r="V48" s="49"/>
      <c r="W48" s="49"/>
      <c r="X48" s="71"/>
      <c r="Y48" s="6"/>
      <c r="Z48" s="6"/>
    </row>
    <row r="49" spans="1:26" s="72" customFormat="1" ht="46.5" customHeight="1">
      <c r="A49" s="158"/>
      <c r="B49" s="164"/>
      <c r="C49" s="59" t="s">
        <v>18</v>
      </c>
      <c r="D49" s="60" t="s">
        <v>29</v>
      </c>
      <c r="E49" s="76">
        <v>336.9</v>
      </c>
      <c r="F49" s="76">
        <v>342.74193548387098</v>
      </c>
      <c r="G49" s="76">
        <v>336.1</v>
      </c>
      <c r="H49" s="76">
        <v>334.41935483870998</v>
      </c>
      <c r="I49" s="76">
        <v>311.87096774193498</v>
      </c>
      <c r="J49" s="76">
        <v>324.83333333333297</v>
      </c>
      <c r="K49" s="76">
        <v>319.87096774193498</v>
      </c>
      <c r="L49" s="76">
        <v>315.26666666666699</v>
      </c>
      <c r="M49" s="76">
        <v>310.90322580645199</v>
      </c>
      <c r="N49" s="76">
        <v>293.09677419354801</v>
      </c>
      <c r="O49" s="76">
        <v>273.17241379310298</v>
      </c>
      <c r="P49" s="76">
        <v>266.48387096774201</v>
      </c>
      <c r="Q49" s="73"/>
      <c r="R49" s="69"/>
      <c r="S49" s="69"/>
      <c r="T49" s="70"/>
      <c r="U49" s="70"/>
      <c r="V49" s="49"/>
      <c r="W49" s="49"/>
      <c r="X49" s="71"/>
      <c r="Y49" s="6"/>
      <c r="Z49" s="6"/>
    </row>
    <row r="50" spans="1:26" s="72" customFormat="1" ht="61.5" customHeight="1">
      <c r="A50" s="158"/>
      <c r="B50" s="164"/>
      <c r="C50" s="59" t="s">
        <v>18</v>
      </c>
      <c r="D50" s="60" t="s">
        <v>30</v>
      </c>
      <c r="E50" s="61">
        <v>319</v>
      </c>
      <c r="F50" s="61">
        <v>314.58064516129002</v>
      </c>
      <c r="G50" s="61">
        <v>306.16666666666703</v>
      </c>
      <c r="H50" s="61">
        <v>302.29032258064501</v>
      </c>
      <c r="I50" s="61">
        <v>295.193548387097</v>
      </c>
      <c r="J50" s="61">
        <v>314.7</v>
      </c>
      <c r="K50" s="61">
        <v>297.87099999999998</v>
      </c>
      <c r="L50" s="61">
        <v>301.53333333333302</v>
      </c>
      <c r="M50" s="61">
        <v>301.12903225806502</v>
      </c>
      <c r="N50" s="61">
        <v>320.16129032258101</v>
      </c>
      <c r="O50" s="61">
        <v>335.17857142857099</v>
      </c>
      <c r="P50" s="61">
        <v>340.29032258064501</v>
      </c>
      <c r="Q50" s="73"/>
      <c r="R50" s="69"/>
      <c r="S50" s="69"/>
      <c r="T50" s="70"/>
      <c r="U50" s="70"/>
      <c r="V50" s="49"/>
      <c r="W50" s="49"/>
      <c r="X50" s="71"/>
      <c r="Y50" s="6"/>
      <c r="Z50" s="6"/>
    </row>
    <row r="51" spans="1:26" s="72" customFormat="1" ht="61.5" customHeight="1">
      <c r="A51" s="158"/>
      <c r="B51" s="164"/>
      <c r="C51" s="95" t="s">
        <v>18</v>
      </c>
      <c r="D51" s="96" t="s">
        <v>31</v>
      </c>
      <c r="E51" s="97">
        <v>301.63333333333298</v>
      </c>
      <c r="F51" s="97">
        <v>300.03225806451599</v>
      </c>
      <c r="G51" s="97">
        <v>296.3</v>
      </c>
      <c r="H51" s="97">
        <v>299</v>
      </c>
      <c r="I51" s="97">
        <v>291.58064516129002</v>
      </c>
      <c r="J51" s="97">
        <v>291.53300000000002</v>
      </c>
      <c r="K51" s="97">
        <v>265.51600000000002</v>
      </c>
      <c r="L51" s="97">
        <v>266.06700000000001</v>
      </c>
      <c r="M51" s="97">
        <v>293.12900000000002</v>
      </c>
      <c r="N51" s="97">
        <v>303.452</v>
      </c>
      <c r="O51" s="97">
        <v>314.42857142857099</v>
      </c>
      <c r="P51" s="97">
        <v>316.935</v>
      </c>
      <c r="Q51" s="73"/>
      <c r="R51" s="69"/>
      <c r="S51" s="69"/>
      <c r="T51" s="70"/>
      <c r="U51" s="70"/>
      <c r="V51" s="49"/>
      <c r="W51" s="49"/>
      <c r="X51" s="71"/>
      <c r="Y51" s="6"/>
      <c r="Z51" s="6"/>
    </row>
    <row r="52" spans="1:26" s="72" customFormat="1" ht="61.5" customHeight="1">
      <c r="A52" s="158"/>
      <c r="B52" s="164"/>
      <c r="C52" s="80" t="s">
        <v>18</v>
      </c>
      <c r="D52" s="81" t="s">
        <v>32</v>
      </c>
      <c r="E52" s="82">
        <v>290.46666666666698</v>
      </c>
      <c r="F52" s="82">
        <v>291</v>
      </c>
      <c r="G52" s="82">
        <v>287</v>
      </c>
      <c r="H52" s="82">
        <v>274</v>
      </c>
      <c r="I52" s="82">
        <v>264.64499999999998</v>
      </c>
      <c r="J52" s="82">
        <v>264.8</v>
      </c>
      <c r="K52" s="82">
        <v>264.80599999999998</v>
      </c>
      <c r="L52" s="82">
        <v>264.2</v>
      </c>
      <c r="M52" s="82">
        <v>264</v>
      </c>
      <c r="N52" s="82">
        <v>278.41899999999998</v>
      </c>
      <c r="O52" s="82">
        <v>304.5</v>
      </c>
      <c r="P52" s="82">
        <v>305.387</v>
      </c>
      <c r="Q52" s="73"/>
      <c r="R52" s="69"/>
      <c r="S52" s="69"/>
      <c r="T52" s="70"/>
      <c r="U52" s="70"/>
      <c r="V52" s="49"/>
      <c r="W52" s="49"/>
      <c r="X52" s="71"/>
      <c r="Y52" s="6"/>
      <c r="Z52" s="6"/>
    </row>
    <row r="53" spans="1:26" ht="61.5" customHeight="1">
      <c r="A53" s="158"/>
      <c r="B53" s="164"/>
      <c r="C53" s="59" t="s">
        <v>18</v>
      </c>
      <c r="D53" s="60" t="s">
        <v>33</v>
      </c>
      <c r="E53" s="61">
        <v>294.66666666666703</v>
      </c>
      <c r="F53" s="61">
        <v>282.03225806451599</v>
      </c>
      <c r="G53" s="61">
        <v>276</v>
      </c>
      <c r="H53" s="79">
        <v>267</v>
      </c>
      <c r="I53" s="61">
        <v>254.80600000000001</v>
      </c>
      <c r="J53" s="61">
        <v>257.36666666666702</v>
      </c>
      <c r="K53" s="61">
        <v>268.12903225806502</v>
      </c>
      <c r="L53" s="61">
        <v>270</v>
      </c>
      <c r="M53" s="61">
        <v>273</v>
      </c>
      <c r="N53" s="61">
        <v>274.96774193548401</v>
      </c>
      <c r="O53" s="61">
        <v>268.72413793103402</v>
      </c>
      <c r="P53" s="61">
        <v>288</v>
      </c>
      <c r="Q53" s="60"/>
      <c r="R53" s="47"/>
      <c r="S53" s="47"/>
      <c r="T53" s="48"/>
      <c r="U53" s="48"/>
      <c r="V53" s="49"/>
      <c r="W53" s="50"/>
      <c r="X53" s="51"/>
    </row>
    <row r="54" spans="1:26" ht="61.5" customHeight="1">
      <c r="A54" s="158"/>
      <c r="B54" s="164"/>
      <c r="C54" s="59" t="s">
        <v>18</v>
      </c>
      <c r="D54" s="60" t="s">
        <v>34</v>
      </c>
      <c r="E54" s="61">
        <v>304.16666666666703</v>
      </c>
      <c r="F54" s="61">
        <v>304.90322580645199</v>
      </c>
      <c r="G54" s="61">
        <v>305.39999999999998</v>
      </c>
      <c r="H54" s="79">
        <v>304</v>
      </c>
      <c r="I54" s="61">
        <v>302.90322580645199</v>
      </c>
      <c r="J54" s="61">
        <v>307.16666666666703</v>
      </c>
      <c r="K54" s="61">
        <v>309.25806451612902</v>
      </c>
      <c r="L54" s="61">
        <v>309.83333333333297</v>
      </c>
      <c r="M54" s="61">
        <v>304.61290322580601</v>
      </c>
      <c r="N54" s="61">
        <v>302.03225806451599</v>
      </c>
      <c r="O54" s="61">
        <v>291</v>
      </c>
      <c r="P54" s="61">
        <v>294.12903225806502</v>
      </c>
      <c r="Q54" s="60"/>
      <c r="R54" s="47"/>
      <c r="S54" s="47"/>
      <c r="T54" s="48"/>
      <c r="U54" s="48"/>
      <c r="V54" s="49"/>
      <c r="W54" s="50"/>
      <c r="X54" s="51"/>
    </row>
    <row r="55" spans="1:26" ht="61.5" customHeight="1">
      <c r="A55" s="158"/>
      <c r="B55" s="164"/>
      <c r="C55" s="59" t="s">
        <v>18</v>
      </c>
      <c r="D55" s="60" t="s">
        <v>35</v>
      </c>
      <c r="E55" s="61">
        <v>298.60000000000002</v>
      </c>
      <c r="F55" s="61">
        <v>298.61290322580601</v>
      </c>
      <c r="G55" s="61">
        <v>301.26666666666699</v>
      </c>
      <c r="H55" s="79">
        <v>302.806451612903</v>
      </c>
      <c r="I55" s="61">
        <v>301.77419354838702</v>
      </c>
      <c r="J55" s="61">
        <v>299.60000000000002</v>
      </c>
      <c r="K55" s="61">
        <v>296.03225806451599</v>
      </c>
      <c r="L55" s="61">
        <v>300.566666666667</v>
      </c>
      <c r="M55" s="61">
        <v>309.83870967741899</v>
      </c>
      <c r="N55" s="61">
        <v>311.322580645161</v>
      </c>
      <c r="O55" s="61">
        <v>312.25</v>
      </c>
      <c r="P55" s="61">
        <v>308.74193548387098</v>
      </c>
      <c r="Q55" s="60"/>
      <c r="R55" s="47"/>
      <c r="S55" s="47"/>
      <c r="T55" s="48"/>
      <c r="U55" s="48"/>
      <c r="V55" s="49"/>
      <c r="W55" s="50"/>
      <c r="X55" s="51"/>
    </row>
    <row r="56" spans="1:26" ht="61.5" customHeight="1">
      <c r="A56" s="158"/>
      <c r="B56" s="164"/>
      <c r="C56" s="80" t="s">
        <v>18</v>
      </c>
      <c r="D56" s="81" t="s">
        <v>36</v>
      </c>
      <c r="E56" s="82">
        <v>290.03333333333302</v>
      </c>
      <c r="F56" s="82">
        <v>290.193548387097</v>
      </c>
      <c r="G56" s="82">
        <v>293.10000000000002</v>
      </c>
      <c r="H56" s="83">
        <v>298.70967741935499</v>
      </c>
      <c r="I56" s="82">
        <v>301.61290322580601</v>
      </c>
      <c r="J56" s="82">
        <v>304.76666666666699</v>
      </c>
      <c r="K56" s="82">
        <v>307.09677419354801</v>
      </c>
      <c r="L56" s="82">
        <v>297.66666666666703</v>
      </c>
      <c r="M56" s="82">
        <v>285.61290322580601</v>
      </c>
      <c r="N56" s="82">
        <v>284.61290322580601</v>
      </c>
      <c r="O56" s="82">
        <v>289.46428571428601</v>
      </c>
      <c r="P56" s="82">
        <v>291.12903225806502</v>
      </c>
      <c r="Q56" s="81"/>
      <c r="R56" s="47"/>
      <c r="S56" s="47"/>
      <c r="T56" s="48"/>
      <c r="U56" s="48"/>
      <c r="V56" s="49"/>
      <c r="W56" s="50"/>
      <c r="X56" s="51"/>
    </row>
    <row r="57" spans="1:26" ht="61.5" customHeight="1">
      <c r="A57" s="158"/>
      <c r="B57" s="164"/>
      <c r="C57" s="59" t="s">
        <v>18</v>
      </c>
      <c r="D57" s="60" t="s">
        <v>37</v>
      </c>
      <c r="E57" s="85">
        <v>309.23333333333301</v>
      </c>
      <c r="F57" s="85">
        <v>310.03225806451599</v>
      </c>
      <c r="G57" s="85">
        <v>308.5</v>
      </c>
      <c r="H57" s="79">
        <v>286.61290322580601</v>
      </c>
      <c r="I57" s="85">
        <v>294.70967741935499</v>
      </c>
      <c r="J57" s="85">
        <v>292.933333333333</v>
      </c>
      <c r="K57" s="85">
        <v>302.35483870967698</v>
      </c>
      <c r="L57" s="85">
        <v>308.03333333333302</v>
      </c>
      <c r="M57" s="85">
        <v>311.25806451612902</v>
      </c>
      <c r="N57" s="85">
        <v>314.06451612903197</v>
      </c>
      <c r="O57" s="85">
        <v>300</v>
      </c>
      <c r="P57" s="85">
        <v>290.54838709677398</v>
      </c>
      <c r="Q57" s="46"/>
      <c r="R57" s="47"/>
      <c r="S57" s="47"/>
      <c r="T57" s="48"/>
      <c r="U57" s="48"/>
      <c r="V57" s="49"/>
      <c r="W57" s="50"/>
      <c r="X57" s="51"/>
    </row>
    <row r="58" spans="1:26" ht="61.5" customHeight="1">
      <c r="A58" s="158"/>
      <c r="B58" s="164"/>
      <c r="C58" s="59" t="s">
        <v>18</v>
      </c>
      <c r="D58" s="60" t="s">
        <v>38</v>
      </c>
      <c r="E58" s="85">
        <v>283.83333333333297</v>
      </c>
      <c r="F58" s="85">
        <v>292.09677419354801</v>
      </c>
      <c r="G58" s="85">
        <v>286.73333333333301</v>
      </c>
      <c r="H58" s="79">
        <v>275.64516129032302</v>
      </c>
      <c r="I58" s="85">
        <v>270.09677419354801</v>
      </c>
      <c r="J58" s="85">
        <v>270.63333333333298</v>
      </c>
      <c r="K58" s="85">
        <v>295.93548387096803</v>
      </c>
      <c r="L58" s="85">
        <v>310.16666666666703</v>
      </c>
      <c r="M58" s="85">
        <v>313.09677419354801</v>
      </c>
      <c r="N58" s="85">
        <v>312.22580645161298</v>
      </c>
      <c r="O58" s="85">
        <v>315.21428571428601</v>
      </c>
      <c r="P58" s="85">
        <v>315.35483870967698</v>
      </c>
      <c r="Q58" s="46"/>
      <c r="R58" s="47"/>
      <c r="S58" s="47"/>
      <c r="T58" s="48"/>
      <c r="U58" s="48"/>
      <c r="V58" s="49"/>
      <c r="W58" s="50"/>
      <c r="X58" s="51"/>
    </row>
    <row r="59" spans="1:26" ht="61.5" customHeight="1">
      <c r="A59" s="158"/>
      <c r="B59" s="164"/>
      <c r="C59" s="59" t="s">
        <v>18</v>
      </c>
      <c r="D59" s="60" t="s">
        <v>39</v>
      </c>
      <c r="E59" s="85">
        <v>300.89999999999998</v>
      </c>
      <c r="F59" s="85">
        <v>299.09677419354801</v>
      </c>
      <c r="G59" s="85">
        <v>284.2</v>
      </c>
      <c r="H59" s="79">
        <v>279.70967741935499</v>
      </c>
      <c r="I59" s="85">
        <v>285.677419354839</v>
      </c>
      <c r="J59" s="85">
        <v>295.3</v>
      </c>
      <c r="K59" s="85">
        <v>286.90322580645199</v>
      </c>
      <c r="L59" s="85">
        <v>298.83333333333297</v>
      </c>
      <c r="M59" s="85">
        <v>310.48387096774201</v>
      </c>
      <c r="N59" s="85">
        <v>307.54838709677398</v>
      </c>
      <c r="O59" s="85">
        <v>305.75</v>
      </c>
      <c r="P59" s="85">
        <v>302.41935483870998</v>
      </c>
      <c r="Q59" s="46"/>
      <c r="R59" s="47"/>
      <c r="S59" s="47"/>
      <c r="T59" s="48"/>
      <c r="U59" s="48"/>
      <c r="V59" s="49"/>
      <c r="W59" s="50"/>
      <c r="X59" s="51"/>
    </row>
    <row r="60" spans="1:26" ht="61.5" customHeight="1">
      <c r="A60" s="158"/>
      <c r="B60" s="164"/>
      <c r="C60" s="59" t="s">
        <v>18</v>
      </c>
      <c r="D60" s="60" t="s">
        <v>40</v>
      </c>
      <c r="E60" s="85">
        <v>241.03333333333299</v>
      </c>
      <c r="F60" s="85">
        <v>238</v>
      </c>
      <c r="G60" s="85">
        <v>239.566666666667</v>
      </c>
      <c r="H60" s="79">
        <v>249</v>
      </c>
      <c r="I60" s="85">
        <v>240.1</v>
      </c>
      <c r="J60" s="85">
        <v>266.89999999999998</v>
      </c>
      <c r="K60" s="85">
        <v>300.64516129032302</v>
      </c>
      <c r="L60" s="85">
        <v>311.36666666666702</v>
      </c>
      <c r="M60" s="85">
        <v>310.06451612903197</v>
      </c>
      <c r="N60" s="85">
        <v>305.29032258064501</v>
      </c>
      <c r="O60" s="85">
        <v>303.32142857142901</v>
      </c>
      <c r="P60" s="85">
        <v>303.83870967741899</v>
      </c>
      <c r="Q60" s="46"/>
      <c r="R60" s="47"/>
      <c r="S60" s="47"/>
      <c r="T60" s="48"/>
      <c r="U60" s="48"/>
      <c r="V60" s="49"/>
      <c r="W60" s="50"/>
      <c r="X60" s="51"/>
    </row>
    <row r="61" spans="1:26" ht="61.5" customHeight="1">
      <c r="A61" s="158"/>
      <c r="B61" s="164"/>
      <c r="C61" s="59" t="s">
        <v>18</v>
      </c>
      <c r="D61" s="60" t="s">
        <v>41</v>
      </c>
      <c r="E61" s="85">
        <v>272.63333333333298</v>
      </c>
      <c r="F61" s="85">
        <v>269.322580645161</v>
      </c>
      <c r="G61" s="85">
        <v>267.2</v>
      </c>
      <c r="H61" s="79">
        <v>301.64516129032302</v>
      </c>
      <c r="I61" s="85">
        <v>300.93548387096803</v>
      </c>
      <c r="J61" s="85">
        <v>308.8</v>
      </c>
      <c r="K61" s="85">
        <v>307.51612903225799</v>
      </c>
      <c r="L61" s="85">
        <v>304.46666666666698</v>
      </c>
      <c r="M61" s="85">
        <v>311.77419354838702</v>
      </c>
      <c r="N61" s="85">
        <v>315.03225806451599</v>
      </c>
      <c r="O61" s="85">
        <v>306.44827586206901</v>
      </c>
      <c r="P61" s="85">
        <v>257.322580645161</v>
      </c>
      <c r="Q61" s="46"/>
      <c r="R61" s="47"/>
      <c r="S61" s="47"/>
      <c r="T61" s="48"/>
      <c r="U61" s="48"/>
      <c r="V61" s="49"/>
      <c r="W61" s="50"/>
      <c r="X61" s="51"/>
    </row>
    <row r="62" spans="1:26" ht="61.5" customHeight="1">
      <c r="A62" s="158"/>
      <c r="B62" s="164"/>
      <c r="C62" s="59" t="s">
        <v>18</v>
      </c>
      <c r="D62" s="60" t="s">
        <v>42</v>
      </c>
      <c r="E62" s="85">
        <v>277</v>
      </c>
      <c r="F62" s="85">
        <v>275.03225806451599</v>
      </c>
      <c r="G62" s="85">
        <v>267.066666666667</v>
      </c>
      <c r="H62" s="79">
        <v>273.38709677419399</v>
      </c>
      <c r="I62" s="85">
        <v>275</v>
      </c>
      <c r="J62" s="85">
        <v>270.76666666666699</v>
      </c>
      <c r="K62" s="85">
        <v>276.83870967741899</v>
      </c>
      <c r="L62" s="85">
        <v>282.23333333333301</v>
      </c>
      <c r="M62" s="85">
        <v>281.45161290322602</v>
      </c>
      <c r="N62" s="85">
        <v>281.83870967741899</v>
      </c>
      <c r="O62" s="85">
        <v>283.17857142857099</v>
      </c>
      <c r="P62" s="85">
        <v>280.39999999999998</v>
      </c>
      <c r="Q62" s="46"/>
      <c r="R62" s="47"/>
      <c r="S62" s="47"/>
      <c r="T62" s="48"/>
      <c r="U62" s="48"/>
      <c r="V62" s="49"/>
      <c r="W62" s="50"/>
      <c r="X62" s="51"/>
    </row>
    <row r="63" spans="1:26" ht="61.5" customHeight="1">
      <c r="A63" s="158"/>
      <c r="B63" s="164"/>
      <c r="C63" s="59" t="s">
        <v>18</v>
      </c>
      <c r="D63" s="60" t="s">
        <v>43</v>
      </c>
      <c r="E63" s="85">
        <v>269</v>
      </c>
      <c r="F63" s="85">
        <v>269.322580645161</v>
      </c>
      <c r="G63" s="85">
        <v>266.53333333333302</v>
      </c>
      <c r="H63" s="79">
        <v>270</v>
      </c>
      <c r="I63" s="85">
        <v>267.38709677419399</v>
      </c>
      <c r="J63" s="85">
        <v>275.8</v>
      </c>
      <c r="K63" s="85">
        <v>275</v>
      </c>
      <c r="L63" s="85">
        <v>273.933333333333</v>
      </c>
      <c r="M63" s="85">
        <v>270</v>
      </c>
      <c r="N63" s="85">
        <v>277.22580645161298</v>
      </c>
      <c r="O63" s="85">
        <v>280.32142857142901</v>
      </c>
      <c r="P63" s="85">
        <v>280.54838709677398</v>
      </c>
      <c r="Q63" s="46"/>
      <c r="R63" s="47"/>
      <c r="S63" s="47"/>
      <c r="T63" s="48"/>
      <c r="U63" s="48"/>
      <c r="V63" s="49"/>
      <c r="W63" s="50"/>
      <c r="X63" s="51"/>
    </row>
    <row r="64" spans="1:26" ht="61.5" customHeight="1">
      <c r="A64" s="158"/>
      <c r="B64" s="165"/>
      <c r="C64" s="59" t="s">
        <v>18</v>
      </c>
      <c r="D64" s="60" t="s">
        <v>44</v>
      </c>
      <c r="E64" s="85">
        <v>273.53333333333302</v>
      </c>
      <c r="F64" s="85">
        <v>274.35483870967698</v>
      </c>
      <c r="G64" s="85">
        <v>268</v>
      </c>
      <c r="H64" s="79">
        <v>269.03225806451599</v>
      </c>
      <c r="I64" s="85">
        <v>270.61290322580601</v>
      </c>
      <c r="J64" s="85">
        <v>268.933333333333</v>
      </c>
      <c r="K64" s="85">
        <v>270</v>
      </c>
      <c r="L64" s="85">
        <v>264.5</v>
      </c>
      <c r="M64" s="85">
        <v>244.51612903225799</v>
      </c>
      <c r="N64" s="85">
        <v>263.54838709677398</v>
      </c>
      <c r="O64" s="85">
        <v>280</v>
      </c>
      <c r="P64" s="85">
        <v>286.16129032258101</v>
      </c>
      <c r="Q64" s="46"/>
      <c r="R64" s="47"/>
      <c r="S64" s="47"/>
      <c r="T64" s="48"/>
      <c r="U64" s="48"/>
      <c r="V64" s="49"/>
      <c r="W64" s="50"/>
      <c r="X64" s="51"/>
    </row>
    <row r="65" spans="1:28" s="52" customFormat="1" ht="65.099999999999994" customHeight="1">
      <c r="A65" s="158"/>
      <c r="B65" s="163" t="s">
        <v>49</v>
      </c>
      <c r="C65" s="42"/>
      <c r="D65" s="43"/>
      <c r="E65" s="44"/>
      <c r="F65" s="44"/>
      <c r="G65" s="44"/>
      <c r="H65" s="45"/>
      <c r="I65" s="44"/>
      <c r="J65" s="44"/>
      <c r="K65" s="44"/>
      <c r="L65" s="44"/>
      <c r="M65" s="44"/>
      <c r="N65" s="44"/>
      <c r="O65" s="44"/>
      <c r="P65" s="44"/>
      <c r="Q65" s="46"/>
      <c r="R65" s="47"/>
      <c r="S65" s="47"/>
      <c r="T65" s="48"/>
      <c r="U65" s="48"/>
      <c r="V65" s="49"/>
      <c r="W65" s="50"/>
      <c r="X65" s="51"/>
      <c r="Y65" s="2"/>
      <c r="Z65" s="2"/>
    </row>
    <row r="66" spans="1:28" s="52" customFormat="1">
      <c r="A66" s="158"/>
      <c r="B66" s="164"/>
      <c r="C66" s="55"/>
      <c r="D66" s="4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7"/>
      <c r="R66" s="58"/>
      <c r="S66" s="47"/>
      <c r="T66" s="48"/>
      <c r="U66" s="48"/>
      <c r="V66" s="49"/>
      <c r="W66" s="50"/>
      <c r="X66" s="51"/>
      <c r="Y66" s="2"/>
      <c r="Z66" s="2"/>
      <c r="AB66" s="2"/>
    </row>
    <row r="67" spans="1:28" ht="46.5" customHeight="1">
      <c r="A67" s="158"/>
      <c r="B67" s="164"/>
      <c r="C67" s="59" t="s">
        <v>18</v>
      </c>
      <c r="D67" s="60" t="s">
        <v>19</v>
      </c>
      <c r="E67" s="61">
        <v>532.26750000000004</v>
      </c>
      <c r="F67" s="61">
        <v>520.33790322580649</v>
      </c>
      <c r="G67" s="61">
        <v>508.64249999999998</v>
      </c>
      <c r="H67" s="61">
        <v>499.77016129032256</v>
      </c>
      <c r="I67" s="61">
        <v>505.86370967741937</v>
      </c>
      <c r="J67" s="61">
        <v>505.52499999999998</v>
      </c>
      <c r="K67" s="61">
        <v>507.95499999999998</v>
      </c>
      <c r="L67" s="61">
        <v>515.255</v>
      </c>
      <c r="M67" s="61">
        <v>519.89</v>
      </c>
      <c r="N67" s="61">
        <v>527.64750000000004</v>
      </c>
      <c r="O67" s="61">
        <v>530.36249999999995</v>
      </c>
      <c r="P67" s="61">
        <v>534.00250000000005</v>
      </c>
      <c r="Q67" s="62"/>
      <c r="R67" s="63"/>
      <c r="S67" s="64"/>
      <c r="T67" s="65"/>
      <c r="U67" s="65"/>
      <c r="V67" s="49"/>
      <c r="W67" s="49"/>
      <c r="X67" s="66"/>
      <c r="AB67" s="6"/>
    </row>
    <row r="68" spans="1:28" s="52" customFormat="1" ht="46.5" customHeight="1">
      <c r="A68" s="158"/>
      <c r="B68" s="164"/>
      <c r="C68" s="59" t="s">
        <v>18</v>
      </c>
      <c r="D68" s="60" t="s">
        <v>20</v>
      </c>
      <c r="E68" s="61">
        <v>504.66733333333332</v>
      </c>
      <c r="F68" s="61">
        <v>489.64838709677417</v>
      </c>
      <c r="G68" s="61">
        <v>495.46899999999994</v>
      </c>
      <c r="H68" s="61">
        <v>494.09838709677422</v>
      </c>
      <c r="I68" s="61">
        <v>492.26129032258063</v>
      </c>
      <c r="J68" s="61">
        <v>491.91599999999994</v>
      </c>
      <c r="K68" s="61">
        <v>496.04451612903222</v>
      </c>
      <c r="L68" s="61">
        <v>491.24099999999999</v>
      </c>
      <c r="M68" s="61">
        <v>503.38387096774193</v>
      </c>
      <c r="N68" s="61">
        <v>507.20064516129037</v>
      </c>
      <c r="O68" s="61">
        <v>504.45785714285716</v>
      </c>
      <c r="P68" s="61">
        <v>516.29</v>
      </c>
      <c r="Q68" s="57"/>
      <c r="R68" s="58"/>
      <c r="S68" s="47"/>
      <c r="T68" s="48"/>
      <c r="U68" s="48"/>
      <c r="V68" s="49"/>
      <c r="W68" s="50"/>
      <c r="X68" s="51"/>
      <c r="Y68" s="2"/>
      <c r="Z68" s="2"/>
      <c r="AB68" s="2"/>
    </row>
    <row r="69" spans="1:28" ht="46.5" customHeight="1">
      <c r="A69" s="158"/>
      <c r="B69" s="164"/>
      <c r="C69" s="59" t="s">
        <v>18</v>
      </c>
      <c r="D69" s="60" t="s">
        <v>21</v>
      </c>
      <c r="E69" s="61">
        <v>519.26633333333336</v>
      </c>
      <c r="F69" s="61">
        <v>518.13032258064516</v>
      </c>
      <c r="G69" s="61">
        <v>503.298</v>
      </c>
      <c r="H69" s="61">
        <v>513.89612903225805</v>
      </c>
      <c r="I69" s="61">
        <v>510.50354838709677</v>
      </c>
      <c r="J69" s="61">
        <v>510.24966666666666</v>
      </c>
      <c r="K69" s="61">
        <v>512.56548387096768</v>
      </c>
      <c r="L69" s="61">
        <v>515.43700000000001</v>
      </c>
      <c r="M69" s="61">
        <v>507.08967741935481</v>
      </c>
      <c r="N69" s="61">
        <v>509.24516129032259</v>
      </c>
      <c r="O69" s="61">
        <v>502.65517241379308</v>
      </c>
      <c r="P69" s="61">
        <v>504.09677419354841</v>
      </c>
      <c r="Q69" s="62"/>
      <c r="R69" s="63"/>
      <c r="S69" s="64"/>
      <c r="T69" s="65"/>
      <c r="U69" s="65"/>
      <c r="V69" s="49"/>
      <c r="W69" s="49"/>
      <c r="X69" s="66"/>
      <c r="AB69" s="6"/>
    </row>
    <row r="70" spans="1:28" s="52" customFormat="1" ht="46.5" customHeight="1">
      <c r="A70" s="158"/>
      <c r="B70" s="164"/>
      <c r="C70" s="59" t="s">
        <v>18</v>
      </c>
      <c r="D70" s="60" t="s">
        <v>22</v>
      </c>
      <c r="E70" s="61">
        <v>526.17433333333327</v>
      </c>
      <c r="F70" s="61">
        <v>512.3758064516129</v>
      </c>
      <c r="G70" s="61">
        <v>489.16666666666669</v>
      </c>
      <c r="H70" s="61">
        <v>513.67741935483866</v>
      </c>
      <c r="I70" s="61">
        <v>510.87096774193549</v>
      </c>
      <c r="J70" s="61">
        <v>529.01599999999996</v>
      </c>
      <c r="K70" s="61">
        <v>530.32258064516134</v>
      </c>
      <c r="L70" s="61">
        <v>527.63333333333333</v>
      </c>
      <c r="M70" s="61">
        <v>528.64516129032256</v>
      </c>
      <c r="N70" s="61">
        <v>524.09677419354841</v>
      </c>
      <c r="O70" s="61">
        <v>514.60714285714289</v>
      </c>
      <c r="P70" s="61">
        <v>517.16129032258061</v>
      </c>
      <c r="Q70" s="57"/>
      <c r="R70" s="58"/>
      <c r="S70" s="47"/>
      <c r="T70" s="48"/>
      <c r="U70" s="48"/>
      <c r="V70" s="49"/>
      <c r="W70" s="50"/>
      <c r="X70" s="51"/>
      <c r="Y70" s="2"/>
      <c r="Z70" s="2"/>
      <c r="AB70" s="2"/>
    </row>
    <row r="71" spans="1:28" s="52" customFormat="1" ht="46.5" customHeight="1">
      <c r="A71" s="158"/>
      <c r="B71" s="164"/>
      <c r="C71" s="59" t="s">
        <v>18</v>
      </c>
      <c r="D71" s="60" t="s">
        <v>23</v>
      </c>
      <c r="E71" s="61">
        <v>501.16833333333335</v>
      </c>
      <c r="F71" s="61">
        <v>513.78096774193546</v>
      </c>
      <c r="G71" s="61">
        <v>479.33533333333332</v>
      </c>
      <c r="H71" s="61">
        <v>518.24129032258065</v>
      </c>
      <c r="I71" s="61">
        <v>527.65483870967739</v>
      </c>
      <c r="J71" s="61">
        <v>514.01766666666663</v>
      </c>
      <c r="K71" s="61">
        <v>526.92645161290329</v>
      </c>
      <c r="L71" s="61">
        <v>527.96066666666661</v>
      </c>
      <c r="M71" s="61">
        <v>532.79935483870963</v>
      </c>
      <c r="N71" s="61">
        <v>523.86419354838711</v>
      </c>
      <c r="O71" s="61">
        <v>532.93464285714276</v>
      </c>
      <c r="P71" s="61">
        <v>534.48387096774195</v>
      </c>
      <c r="Q71" s="57"/>
      <c r="R71" s="58"/>
      <c r="S71" s="47"/>
      <c r="T71" s="48"/>
      <c r="U71" s="48"/>
      <c r="V71" s="49"/>
      <c r="W71" s="50"/>
      <c r="X71" s="51"/>
      <c r="Y71" s="2"/>
      <c r="Z71" s="2"/>
      <c r="AB71" s="2"/>
    </row>
    <row r="72" spans="1:28" s="72" customFormat="1" ht="46.5" customHeight="1">
      <c r="A72" s="158"/>
      <c r="B72" s="164"/>
      <c r="C72" s="59" t="s">
        <v>18</v>
      </c>
      <c r="D72" s="60" t="str">
        <f>+D44</f>
        <v>2020-21</v>
      </c>
      <c r="E72" s="61">
        <v>327.71899999999999</v>
      </c>
      <c r="F72" s="61">
        <v>315.29032258064518</v>
      </c>
      <c r="G72" s="61">
        <v>327.03333333333336</v>
      </c>
      <c r="H72" s="61">
        <v>426.06451612903226</v>
      </c>
      <c r="I72" s="61">
        <v>466.48387096774195</v>
      </c>
      <c r="J72" s="61">
        <v>495.22199999999998</v>
      </c>
      <c r="K72" s="61">
        <v>501.87096774193549</v>
      </c>
      <c r="L72" s="61">
        <v>501.9</v>
      </c>
      <c r="M72" s="61">
        <v>504.58064516129031</v>
      </c>
      <c r="N72" s="61">
        <v>513.87096774193549</v>
      </c>
      <c r="O72" s="61">
        <v>518.35714285714289</v>
      </c>
      <c r="P72" s="61">
        <v>520.54838709677415</v>
      </c>
      <c r="Q72" s="67"/>
      <c r="R72" s="68"/>
      <c r="S72" s="69"/>
      <c r="T72" s="70"/>
      <c r="U72" s="70"/>
      <c r="V72" s="49"/>
      <c r="W72" s="49"/>
      <c r="X72" s="71"/>
      <c r="Y72" s="49"/>
      <c r="Z72" s="49"/>
      <c r="AB72" s="49"/>
    </row>
    <row r="73" spans="1:28" s="72" customFormat="1" ht="46.5" customHeight="1">
      <c r="A73" s="158"/>
      <c r="B73" s="164"/>
      <c r="C73" s="59" t="s">
        <v>18</v>
      </c>
      <c r="D73" s="60" t="str">
        <f>+D45</f>
        <v>2019-20</v>
      </c>
      <c r="E73" s="61">
        <v>480.83333333333297</v>
      </c>
      <c r="F73" s="61">
        <v>484.77419354838702</v>
      </c>
      <c r="G73" s="61">
        <v>496</v>
      </c>
      <c r="H73" s="61">
        <v>493.83870967741899</v>
      </c>
      <c r="I73" s="61">
        <v>466.38193548387102</v>
      </c>
      <c r="J73" s="61">
        <v>466.86666666666702</v>
      </c>
      <c r="K73" s="61">
        <v>472.99516129032298</v>
      </c>
      <c r="L73" s="61">
        <v>478.23333333333301</v>
      </c>
      <c r="M73" s="61">
        <v>469.77903225806398</v>
      </c>
      <c r="N73" s="61">
        <v>475.86935483871002</v>
      </c>
      <c r="O73" s="61">
        <v>485.79310344827599</v>
      </c>
      <c r="P73" s="61">
        <v>480.38709677419399</v>
      </c>
      <c r="Q73" s="67"/>
      <c r="R73" s="68"/>
      <c r="S73" s="69"/>
      <c r="T73" s="70"/>
      <c r="U73" s="70"/>
      <c r="V73" s="49"/>
      <c r="W73" s="49"/>
      <c r="X73" s="71"/>
      <c r="Y73" s="6"/>
      <c r="Z73" s="6"/>
    </row>
    <row r="74" spans="1:28" s="94" customFormat="1" ht="46.5" customHeight="1">
      <c r="A74" s="158"/>
      <c r="B74" s="164"/>
      <c r="C74" s="59" t="s">
        <v>18</v>
      </c>
      <c r="D74" s="60" t="s">
        <v>26</v>
      </c>
      <c r="E74" s="61">
        <v>431.6</v>
      </c>
      <c r="F74" s="61">
        <v>461.13361290322598</v>
      </c>
      <c r="G74" s="61">
        <v>455.933333333333</v>
      </c>
      <c r="H74" s="61">
        <v>440.25419354838698</v>
      </c>
      <c r="I74" s="61">
        <v>449.41935483870998</v>
      </c>
      <c r="J74" s="61">
        <v>469.69900000000001</v>
      </c>
      <c r="K74" s="61">
        <v>477.04645161290301</v>
      </c>
      <c r="L74" s="61">
        <v>498.73333333333301</v>
      </c>
      <c r="M74" s="61">
        <v>499.193548387097</v>
      </c>
      <c r="N74" s="61">
        <v>506.35500000000002</v>
      </c>
      <c r="O74" s="61">
        <v>494</v>
      </c>
      <c r="P74" s="61">
        <v>490.8</v>
      </c>
      <c r="Q74" s="92"/>
      <c r="R74" s="93"/>
      <c r="S74" s="69"/>
      <c r="T74" s="70"/>
      <c r="U74" s="70"/>
      <c r="V74" s="49"/>
      <c r="W74" s="49"/>
      <c r="X74" s="71"/>
      <c r="Y74" s="27"/>
      <c r="Z74" s="27"/>
    </row>
    <row r="75" spans="1:28" s="72" customFormat="1" ht="46.5" customHeight="1">
      <c r="A75" s="158"/>
      <c r="B75" s="164"/>
      <c r="C75" s="59" t="s">
        <v>18</v>
      </c>
      <c r="D75" s="60" t="s">
        <v>27</v>
      </c>
      <c r="E75" s="61">
        <v>473.33333333333297</v>
      </c>
      <c r="F75" s="61">
        <v>401.96774193548401</v>
      </c>
      <c r="G75" s="61">
        <v>374.63333333333298</v>
      </c>
      <c r="H75" s="61">
        <v>396.806451612903</v>
      </c>
      <c r="I75" s="61">
        <v>451.03225806451599</v>
      </c>
      <c r="J75" s="61">
        <v>457.61700000000002</v>
      </c>
      <c r="K75" s="61">
        <v>453.46</v>
      </c>
      <c r="L75" s="61">
        <v>432.66666666666703</v>
      </c>
      <c r="M75" s="61">
        <v>427.95600000000002</v>
      </c>
      <c r="N75" s="61">
        <v>440.193548387097</v>
      </c>
      <c r="O75" s="61">
        <v>432.53571428571399</v>
      </c>
      <c r="P75" s="61">
        <v>434.93548387096803</v>
      </c>
      <c r="Q75" s="73"/>
      <c r="R75" s="69"/>
      <c r="S75" s="69"/>
      <c r="T75" s="70"/>
      <c r="U75" s="70"/>
      <c r="V75" s="49"/>
      <c r="W75" s="49"/>
      <c r="X75" s="71"/>
      <c r="Y75" s="6"/>
      <c r="Z75" s="6"/>
    </row>
    <row r="76" spans="1:28" s="72" customFormat="1" ht="46.5" customHeight="1">
      <c r="A76" s="158"/>
      <c r="B76" s="164"/>
      <c r="C76" s="59" t="s">
        <v>18</v>
      </c>
      <c r="D76" s="60" t="s">
        <v>28</v>
      </c>
      <c r="E76" s="61">
        <v>364.8</v>
      </c>
      <c r="F76" s="61">
        <v>375.54838709677398</v>
      </c>
      <c r="G76" s="61">
        <v>373</v>
      </c>
      <c r="H76" s="61">
        <v>380.16129032258101</v>
      </c>
      <c r="I76" s="61">
        <v>375.806451612903</v>
      </c>
      <c r="J76" s="61">
        <v>381.73333333333301</v>
      </c>
      <c r="K76" s="61">
        <v>382.38709677419399</v>
      </c>
      <c r="L76" s="61">
        <v>428.209</v>
      </c>
      <c r="M76" s="61">
        <v>451.22580645161298</v>
      </c>
      <c r="N76" s="61">
        <v>476.93548387096803</v>
      </c>
      <c r="O76" s="61">
        <v>465.21428571428601</v>
      </c>
      <c r="P76" s="61">
        <v>478.77419354838702</v>
      </c>
      <c r="Q76" s="73"/>
      <c r="R76" s="69"/>
      <c r="S76" s="69"/>
      <c r="T76" s="70"/>
      <c r="U76" s="70"/>
      <c r="V76" s="49"/>
      <c r="W76" s="49"/>
      <c r="X76" s="71"/>
      <c r="Y76" s="6"/>
      <c r="Z76" s="6"/>
    </row>
    <row r="77" spans="1:28" s="72" customFormat="1" ht="46.5" customHeight="1">
      <c r="A77" s="158"/>
      <c r="B77" s="164"/>
      <c r="C77" s="59" t="s">
        <v>18</v>
      </c>
      <c r="D77" s="60" t="s">
        <v>29</v>
      </c>
      <c r="E77" s="76">
        <v>465.6</v>
      </c>
      <c r="F77" s="76">
        <v>461.22580645161298</v>
      </c>
      <c r="G77" s="76">
        <v>458.26666666666699</v>
      </c>
      <c r="H77" s="76">
        <v>457.58064516129002</v>
      </c>
      <c r="I77" s="76">
        <v>457.06451612903197</v>
      </c>
      <c r="J77" s="76">
        <v>444.96666666666698</v>
      </c>
      <c r="K77" s="76">
        <v>457.93548387096803</v>
      </c>
      <c r="L77" s="76">
        <v>491.2</v>
      </c>
      <c r="M77" s="76">
        <v>408.54838709677398</v>
      </c>
      <c r="N77" s="76">
        <v>416.58064516129002</v>
      </c>
      <c r="O77" s="76">
        <v>389.89655172413802</v>
      </c>
      <c r="P77" s="76">
        <v>394.193548387097</v>
      </c>
      <c r="Q77" s="73"/>
      <c r="R77" s="69"/>
      <c r="S77" s="69"/>
      <c r="T77" s="70"/>
      <c r="U77" s="70"/>
      <c r="V77" s="49"/>
      <c r="W77" s="49"/>
      <c r="X77" s="71"/>
      <c r="Y77" s="6"/>
      <c r="Z77" s="6"/>
    </row>
    <row r="78" spans="1:28" s="72" customFormat="1" ht="61.5" customHeight="1">
      <c r="A78" s="158"/>
      <c r="B78" s="164"/>
      <c r="C78" s="59" t="s">
        <v>18</v>
      </c>
      <c r="D78" s="60" t="s">
        <v>30</v>
      </c>
      <c r="E78" s="61">
        <v>500.33333333333297</v>
      </c>
      <c r="F78" s="61">
        <v>493.322580645161</v>
      </c>
      <c r="G78" s="61">
        <v>466.13333333333298</v>
      </c>
      <c r="H78" s="61">
        <v>459.93548387096803</v>
      </c>
      <c r="I78" s="61">
        <v>444.09677419354801</v>
      </c>
      <c r="J78" s="61">
        <v>482</v>
      </c>
      <c r="K78" s="61">
        <v>448.90300000000002</v>
      </c>
      <c r="L78" s="61">
        <v>440.76666666666699</v>
      </c>
      <c r="M78" s="61">
        <v>472.64516129032302</v>
      </c>
      <c r="N78" s="61">
        <v>448.77419354838702</v>
      </c>
      <c r="O78" s="61">
        <v>478.42857142857099</v>
      </c>
      <c r="P78" s="61">
        <v>494.61290322580601</v>
      </c>
      <c r="Q78" s="73"/>
      <c r="R78" s="69"/>
      <c r="S78" s="69"/>
      <c r="T78" s="70"/>
      <c r="U78" s="70"/>
      <c r="V78" s="49"/>
      <c r="W78" s="49"/>
      <c r="X78" s="71"/>
      <c r="Y78" s="6"/>
      <c r="Z78" s="6"/>
    </row>
    <row r="79" spans="1:28" s="72" customFormat="1" ht="61.5" customHeight="1">
      <c r="A79" s="158"/>
      <c r="B79" s="164"/>
      <c r="C79" s="95" t="s">
        <v>18</v>
      </c>
      <c r="D79" s="96" t="s">
        <v>31</v>
      </c>
      <c r="E79" s="97">
        <v>431.9</v>
      </c>
      <c r="F79" s="97">
        <v>443.74200000000002</v>
      </c>
      <c r="G79" s="97">
        <v>452.1</v>
      </c>
      <c r="H79" s="97">
        <v>465.51600000000002</v>
      </c>
      <c r="I79" s="97">
        <v>470.35483870967698</v>
      </c>
      <c r="J79" s="97">
        <v>477.63299999999998</v>
      </c>
      <c r="K79" s="97">
        <v>468.839</v>
      </c>
      <c r="L79" s="97">
        <v>482.4</v>
      </c>
      <c r="M79" s="97">
        <v>474.774</v>
      </c>
      <c r="N79" s="97">
        <v>469.35500000000002</v>
      </c>
      <c r="O79" s="97">
        <v>476.25</v>
      </c>
      <c r="P79" s="97">
        <v>444.67700000000002</v>
      </c>
      <c r="Q79" s="73"/>
      <c r="R79" s="69"/>
      <c r="S79" s="69"/>
      <c r="T79" s="70"/>
      <c r="U79" s="70"/>
      <c r="V79" s="49"/>
      <c r="W79" s="49"/>
      <c r="X79" s="71"/>
      <c r="Y79" s="6"/>
      <c r="Z79" s="6"/>
    </row>
    <row r="80" spans="1:28" s="72" customFormat="1" ht="61.5" customHeight="1">
      <c r="A80" s="158"/>
      <c r="B80" s="164"/>
      <c r="C80" s="59" t="s">
        <v>18</v>
      </c>
      <c r="D80" s="60" t="s">
        <v>32</v>
      </c>
      <c r="E80" s="61">
        <v>361.36666666666702</v>
      </c>
      <c r="F80" s="61">
        <v>361</v>
      </c>
      <c r="G80" s="61">
        <v>360</v>
      </c>
      <c r="H80" s="61">
        <v>362</v>
      </c>
      <c r="I80" s="61">
        <v>360.387</v>
      </c>
      <c r="J80" s="61">
        <v>360.53333333333302</v>
      </c>
      <c r="K80" s="61">
        <v>362.09699999999998</v>
      </c>
      <c r="L80" s="61">
        <v>360.7</v>
      </c>
      <c r="M80" s="61">
        <v>362</v>
      </c>
      <c r="N80" s="61">
        <v>362</v>
      </c>
      <c r="O80" s="61">
        <v>362</v>
      </c>
      <c r="P80" s="61">
        <v>361.35500000000002</v>
      </c>
      <c r="Q80" s="73"/>
      <c r="R80" s="69"/>
      <c r="S80" s="69"/>
      <c r="T80" s="70"/>
      <c r="U80" s="70"/>
      <c r="V80" s="49"/>
      <c r="W80" s="49"/>
      <c r="X80" s="71"/>
      <c r="Y80" s="6"/>
      <c r="Z80" s="6"/>
    </row>
    <row r="81" spans="1:28" ht="61.5" customHeight="1">
      <c r="A81" s="158"/>
      <c r="B81" s="164"/>
      <c r="C81" s="59" t="s">
        <v>18</v>
      </c>
      <c r="D81" s="60" t="s">
        <v>33</v>
      </c>
      <c r="E81" s="61">
        <v>360</v>
      </c>
      <c r="F81" s="61">
        <v>360</v>
      </c>
      <c r="G81" s="61">
        <v>360</v>
      </c>
      <c r="H81" s="79">
        <v>358</v>
      </c>
      <c r="I81" s="61">
        <v>362</v>
      </c>
      <c r="J81" s="61">
        <v>357.933333333333</v>
      </c>
      <c r="K81" s="61">
        <v>362</v>
      </c>
      <c r="L81" s="61">
        <v>361.2</v>
      </c>
      <c r="M81" s="61">
        <v>362</v>
      </c>
      <c r="N81" s="61">
        <v>362</v>
      </c>
      <c r="O81" s="61">
        <v>362</v>
      </c>
      <c r="P81" s="61">
        <v>362</v>
      </c>
      <c r="Q81" s="60"/>
      <c r="R81" s="47"/>
      <c r="S81" s="47"/>
      <c r="T81" s="48"/>
      <c r="U81" s="48"/>
      <c r="V81" s="49"/>
      <c r="W81" s="50"/>
      <c r="X81" s="51"/>
    </row>
    <row r="82" spans="1:28" ht="61.5" customHeight="1">
      <c r="A82" s="158"/>
      <c r="B82" s="164"/>
      <c r="C82" s="59" t="s">
        <v>18</v>
      </c>
      <c r="D82" s="60" t="s">
        <v>34</v>
      </c>
      <c r="E82" s="61">
        <v>354.066666666667</v>
      </c>
      <c r="F82" s="61">
        <v>354.45161290322602</v>
      </c>
      <c r="G82" s="61">
        <v>354.433333333333</v>
      </c>
      <c r="H82" s="79">
        <v>354.45161290322602</v>
      </c>
      <c r="I82" s="61">
        <v>355</v>
      </c>
      <c r="J82" s="61">
        <v>358</v>
      </c>
      <c r="K82" s="61">
        <v>358</v>
      </c>
      <c r="L82" s="61">
        <v>358</v>
      </c>
      <c r="M82" s="61">
        <v>357.09677419354801</v>
      </c>
      <c r="N82" s="61">
        <v>360</v>
      </c>
      <c r="O82" s="61">
        <v>360</v>
      </c>
      <c r="P82" s="61">
        <v>360</v>
      </c>
      <c r="Q82" s="60"/>
      <c r="R82" s="47"/>
      <c r="S82" s="47"/>
      <c r="T82" s="48"/>
      <c r="U82" s="48"/>
      <c r="V82" s="49"/>
      <c r="W82" s="50"/>
      <c r="X82" s="51"/>
    </row>
    <row r="83" spans="1:28" ht="61.5" customHeight="1">
      <c r="A83" s="158"/>
      <c r="B83" s="164"/>
      <c r="C83" s="59" t="s">
        <v>18</v>
      </c>
      <c r="D83" s="60" t="s">
        <v>35</v>
      </c>
      <c r="E83" s="61">
        <v>345.3</v>
      </c>
      <c r="F83" s="61">
        <v>343.74193548387098</v>
      </c>
      <c r="G83" s="61">
        <v>343.566666666667</v>
      </c>
      <c r="H83" s="79">
        <v>345</v>
      </c>
      <c r="I83" s="61">
        <v>345.61290322580601</v>
      </c>
      <c r="J83" s="61">
        <v>346.66666666666703</v>
      </c>
      <c r="K83" s="61">
        <v>341.16129032258101</v>
      </c>
      <c r="L83" s="61">
        <v>345.36666666666702</v>
      </c>
      <c r="M83" s="61">
        <v>350.38709677419399</v>
      </c>
      <c r="N83" s="61">
        <v>350.77419354838702</v>
      </c>
      <c r="O83" s="61">
        <v>347.21428571428601</v>
      </c>
      <c r="P83" s="61">
        <v>349.93548387096803</v>
      </c>
      <c r="Q83" s="60"/>
      <c r="R83" s="47"/>
      <c r="S83" s="47"/>
      <c r="T83" s="48"/>
      <c r="U83" s="48"/>
      <c r="V83" s="49"/>
      <c r="W83" s="50"/>
      <c r="X83" s="51"/>
    </row>
    <row r="84" spans="1:28" ht="61.5" customHeight="1">
      <c r="A84" s="158"/>
      <c r="B84" s="164"/>
      <c r="C84" s="80" t="s">
        <v>18</v>
      </c>
      <c r="D84" s="81" t="s">
        <v>36</v>
      </c>
      <c r="E84" s="82">
        <v>299.8</v>
      </c>
      <c r="F84" s="82">
        <v>311.83870967741899</v>
      </c>
      <c r="G84" s="82">
        <v>325.5</v>
      </c>
      <c r="H84" s="83">
        <v>338.29032258064501</v>
      </c>
      <c r="I84" s="82">
        <v>345.41935483870998</v>
      </c>
      <c r="J84" s="82">
        <v>349.33333333333297</v>
      </c>
      <c r="K84" s="82">
        <v>350.16129032258101</v>
      </c>
      <c r="L84" s="82">
        <v>350.53333333333302</v>
      </c>
      <c r="M84" s="82">
        <v>331.77419354838702</v>
      </c>
      <c r="N84" s="82">
        <v>320</v>
      </c>
      <c r="O84" s="82">
        <v>320.32142857142901</v>
      </c>
      <c r="P84" s="82">
        <v>332.70967741935499</v>
      </c>
      <c r="Q84" s="81"/>
      <c r="R84" s="47"/>
      <c r="S84" s="47"/>
      <c r="T84" s="48"/>
      <c r="U84" s="48"/>
      <c r="V84" s="49"/>
      <c r="W84" s="50"/>
      <c r="X84" s="51"/>
    </row>
    <row r="85" spans="1:28" ht="61.5" customHeight="1">
      <c r="A85" s="158"/>
      <c r="B85" s="164"/>
      <c r="C85" s="59" t="s">
        <v>18</v>
      </c>
      <c r="D85" s="60" t="s">
        <v>37</v>
      </c>
      <c r="E85" s="85">
        <v>253.333333333333</v>
      </c>
      <c r="F85" s="85">
        <v>253.51612903225799</v>
      </c>
      <c r="G85" s="85">
        <v>324.73333333333301</v>
      </c>
      <c r="H85" s="79">
        <v>329.12903225806502</v>
      </c>
      <c r="I85" s="85">
        <v>303.09677419354801</v>
      </c>
      <c r="J85" s="85">
        <v>324.89999999999998</v>
      </c>
      <c r="K85" s="85">
        <v>330.29032258064501</v>
      </c>
      <c r="L85" s="85">
        <v>330.7</v>
      </c>
      <c r="M85" s="85">
        <v>334</v>
      </c>
      <c r="N85" s="85">
        <v>328.48387096774201</v>
      </c>
      <c r="O85" s="85">
        <v>315.86206896551698</v>
      </c>
      <c r="P85" s="85">
        <v>298</v>
      </c>
      <c r="Q85" s="46"/>
      <c r="R85" s="47"/>
      <c r="S85" s="47"/>
      <c r="T85" s="48"/>
      <c r="U85" s="48"/>
      <c r="V85" s="49"/>
      <c r="W85" s="50"/>
      <c r="X85" s="51"/>
    </row>
    <row r="86" spans="1:28" ht="61.5" customHeight="1">
      <c r="A86" s="158"/>
      <c r="B86" s="164"/>
      <c r="C86" s="59" t="s">
        <v>18</v>
      </c>
      <c r="D86" s="60" t="s">
        <v>38</v>
      </c>
      <c r="E86" s="85">
        <v>288.2</v>
      </c>
      <c r="F86" s="85">
        <v>295</v>
      </c>
      <c r="G86" s="85">
        <v>296.933333333333</v>
      </c>
      <c r="H86" s="79">
        <v>298.03225806451599</v>
      </c>
      <c r="I86" s="85">
        <v>297.193548387097</v>
      </c>
      <c r="J86" s="85">
        <v>289.7</v>
      </c>
      <c r="K86" s="85">
        <v>293.09677419354801</v>
      </c>
      <c r="L86" s="85">
        <v>300.03333333333302</v>
      </c>
      <c r="M86" s="85">
        <v>300.87096774193498</v>
      </c>
      <c r="N86" s="85">
        <v>264.806451612903</v>
      </c>
      <c r="O86" s="85">
        <v>257.107142857143</v>
      </c>
      <c r="P86" s="85">
        <v>253.48387096774201</v>
      </c>
      <c r="Q86" s="46"/>
      <c r="R86" s="47"/>
      <c r="S86" s="47"/>
      <c r="T86" s="48"/>
      <c r="U86" s="48"/>
      <c r="V86" s="49"/>
      <c r="W86" s="50"/>
      <c r="X86" s="51"/>
    </row>
    <row r="87" spans="1:28" ht="61.5" customHeight="1">
      <c r="A87" s="158"/>
      <c r="B87" s="164"/>
      <c r="C87" s="59" t="s">
        <v>18</v>
      </c>
      <c r="D87" s="60" t="s">
        <v>39</v>
      </c>
      <c r="E87" s="85">
        <v>296.16666666666703</v>
      </c>
      <c r="F87" s="85">
        <v>290.93548387096803</v>
      </c>
      <c r="G87" s="85">
        <v>284.60000000000002</v>
      </c>
      <c r="H87" s="79">
        <v>285.09677419354801</v>
      </c>
      <c r="I87" s="85">
        <v>283.06451612903197</v>
      </c>
      <c r="J87" s="85">
        <v>290.2</v>
      </c>
      <c r="K87" s="85">
        <v>291.35483870967698</v>
      </c>
      <c r="L87" s="85">
        <v>297.39999999999998</v>
      </c>
      <c r="M87" s="85">
        <v>293</v>
      </c>
      <c r="N87" s="85">
        <v>290.06451612903197</v>
      </c>
      <c r="O87" s="85">
        <v>291.142857142857</v>
      </c>
      <c r="P87" s="85">
        <v>292.70967741935499</v>
      </c>
      <c r="Q87" s="46"/>
      <c r="R87" s="47"/>
      <c r="S87" s="47"/>
      <c r="T87" s="48"/>
      <c r="U87" s="48"/>
      <c r="V87" s="49"/>
      <c r="W87" s="50"/>
      <c r="X87" s="51"/>
    </row>
    <row r="88" spans="1:28" ht="61.5" customHeight="1">
      <c r="A88" s="158"/>
      <c r="B88" s="164"/>
      <c r="C88" s="59" t="s">
        <v>18</v>
      </c>
      <c r="D88" s="60" t="s">
        <v>40</v>
      </c>
      <c r="E88" s="85">
        <v>230.433333333333</v>
      </c>
      <c r="F88" s="85">
        <v>241</v>
      </c>
      <c r="G88" s="85">
        <v>243.7</v>
      </c>
      <c r="H88" s="79">
        <v>252</v>
      </c>
      <c r="I88" s="85">
        <v>250.1</v>
      </c>
      <c r="J88" s="85">
        <v>286.066666666667</v>
      </c>
      <c r="K88" s="85">
        <v>300</v>
      </c>
      <c r="L88" s="85">
        <v>302.03333333333302</v>
      </c>
      <c r="M88" s="85">
        <v>303.16129032258101</v>
      </c>
      <c r="N88" s="85">
        <v>303.09677419354801</v>
      </c>
      <c r="O88" s="85">
        <v>300.96428571428601</v>
      </c>
      <c r="P88" s="85">
        <v>303.41935483870998</v>
      </c>
      <c r="Q88" s="46"/>
      <c r="R88" s="47"/>
      <c r="S88" s="47"/>
      <c r="T88" s="48"/>
      <c r="U88" s="48"/>
      <c r="V88" s="49"/>
      <c r="W88" s="50"/>
      <c r="X88" s="51"/>
    </row>
    <row r="89" spans="1:28" ht="61.5" customHeight="1">
      <c r="A89" s="158"/>
      <c r="B89" s="164"/>
      <c r="C89" s="59" t="s">
        <v>18</v>
      </c>
      <c r="D89" s="60" t="s">
        <v>41</v>
      </c>
      <c r="E89" s="85">
        <v>293.933333333333</v>
      </c>
      <c r="F89" s="85">
        <v>289</v>
      </c>
      <c r="G89" s="85">
        <v>296.33333333333297</v>
      </c>
      <c r="H89" s="79">
        <v>295</v>
      </c>
      <c r="I89" s="85">
        <v>293.06451612903197</v>
      </c>
      <c r="J89" s="85">
        <v>290.13333333333298</v>
      </c>
      <c r="K89" s="85">
        <v>285.87096774193498</v>
      </c>
      <c r="L89" s="85">
        <v>293.53333333333302</v>
      </c>
      <c r="M89" s="85">
        <v>291.93548387096803</v>
      </c>
      <c r="N89" s="85">
        <v>301.38709677419399</v>
      </c>
      <c r="O89" s="85">
        <v>290.51724137931001</v>
      </c>
      <c r="P89" s="85">
        <v>256.45161290322602</v>
      </c>
      <c r="Q89" s="46"/>
      <c r="R89" s="47"/>
      <c r="S89" s="47"/>
      <c r="T89" s="48"/>
      <c r="U89" s="48"/>
      <c r="V89" s="49"/>
      <c r="W89" s="50"/>
      <c r="X89" s="51"/>
    </row>
    <row r="90" spans="1:28" ht="61.5" customHeight="1">
      <c r="A90" s="158"/>
      <c r="B90" s="164"/>
      <c r="C90" s="59" t="s">
        <v>18</v>
      </c>
      <c r="D90" s="60" t="s">
        <v>42</v>
      </c>
      <c r="E90" s="85">
        <v>275</v>
      </c>
      <c r="F90" s="85">
        <v>268.29032258064501</v>
      </c>
      <c r="G90" s="85">
        <v>257.066666666667</v>
      </c>
      <c r="H90" s="79">
        <v>267.87096774193498</v>
      </c>
      <c r="I90" s="85">
        <v>251</v>
      </c>
      <c r="J90" s="85">
        <v>261.3</v>
      </c>
      <c r="K90" s="85">
        <v>277.09677419354801</v>
      </c>
      <c r="L90" s="85">
        <v>285.33333333333297</v>
      </c>
      <c r="M90" s="85">
        <v>287.677419354839</v>
      </c>
      <c r="N90" s="85">
        <v>290.74193548387098</v>
      </c>
      <c r="O90" s="85">
        <v>293.67857142857099</v>
      </c>
      <c r="P90" s="85">
        <v>295.7</v>
      </c>
      <c r="Q90" s="46"/>
      <c r="R90" s="47"/>
      <c r="S90" s="47"/>
      <c r="T90" s="48"/>
      <c r="U90" s="48"/>
      <c r="V90" s="49"/>
      <c r="W90" s="50"/>
      <c r="X90" s="51"/>
    </row>
    <row r="91" spans="1:28" ht="61.5" customHeight="1">
      <c r="A91" s="158"/>
      <c r="B91" s="164"/>
      <c r="C91" s="59" t="s">
        <v>18</v>
      </c>
      <c r="D91" s="60" t="s">
        <v>43</v>
      </c>
      <c r="E91" s="85">
        <v>262</v>
      </c>
      <c r="F91" s="85">
        <v>261.74193548387098</v>
      </c>
      <c r="G91" s="85">
        <v>235.433333333333</v>
      </c>
      <c r="H91" s="79">
        <v>216</v>
      </c>
      <c r="I91" s="85">
        <v>232.870967741935</v>
      </c>
      <c r="J91" s="85">
        <v>238.833333333333</v>
      </c>
      <c r="K91" s="85">
        <v>240.064516129032</v>
      </c>
      <c r="L91" s="85">
        <v>270.7</v>
      </c>
      <c r="M91" s="85">
        <v>276</v>
      </c>
      <c r="N91" s="85">
        <v>280.64516129032302</v>
      </c>
      <c r="O91" s="85">
        <v>284.892857142857</v>
      </c>
      <c r="P91" s="85">
        <v>291.22580645161298</v>
      </c>
      <c r="Q91" s="46"/>
      <c r="R91" s="47"/>
      <c r="S91" s="47"/>
      <c r="T91" s="48"/>
      <c r="U91" s="48"/>
      <c r="V91" s="49"/>
      <c r="W91" s="50"/>
      <c r="X91" s="51"/>
    </row>
    <row r="92" spans="1:28" ht="61.5" customHeight="1">
      <c r="A92" s="158"/>
      <c r="B92" s="165"/>
      <c r="C92" s="59" t="s">
        <v>18</v>
      </c>
      <c r="D92" s="60" t="s">
        <v>44</v>
      </c>
      <c r="E92" s="85">
        <v>268.89999999999998</v>
      </c>
      <c r="F92" s="85">
        <v>259.64516129032302</v>
      </c>
      <c r="G92" s="85">
        <v>244.9</v>
      </c>
      <c r="H92" s="79">
        <v>244.193548387097</v>
      </c>
      <c r="I92" s="85">
        <v>278.06451612903197</v>
      </c>
      <c r="J92" s="85">
        <v>292.10000000000002</v>
      </c>
      <c r="K92" s="85">
        <v>272.09677419354801</v>
      </c>
      <c r="L92" s="85">
        <v>257.23333333333301</v>
      </c>
      <c r="M92" s="85">
        <v>241.61290322580601</v>
      </c>
      <c r="N92" s="85">
        <v>252.96774193548401</v>
      </c>
      <c r="O92" s="85">
        <v>262.53571428571399</v>
      </c>
      <c r="P92" s="85">
        <v>275.16129032258101</v>
      </c>
      <c r="Q92" s="46"/>
      <c r="R92" s="47"/>
      <c r="S92" s="47"/>
      <c r="T92" s="48"/>
      <c r="U92" s="48"/>
      <c r="V92" s="49"/>
      <c r="W92" s="50"/>
      <c r="X92" s="51"/>
    </row>
    <row r="93" spans="1:28" ht="61.5" customHeight="1">
      <c r="A93" s="158"/>
      <c r="B93" s="98"/>
      <c r="C93" s="99"/>
      <c r="D93" s="89"/>
      <c r="E93" s="21"/>
      <c r="F93" s="21"/>
      <c r="G93" s="21"/>
      <c r="H93" s="20"/>
      <c r="I93" s="21"/>
      <c r="J93" s="21"/>
      <c r="K93" s="21"/>
      <c r="L93" s="21"/>
      <c r="M93" s="21"/>
      <c r="N93" s="21"/>
      <c r="O93" s="21"/>
      <c r="P93" s="21"/>
      <c r="Q93" s="46"/>
      <c r="R93" s="47"/>
      <c r="S93" s="47"/>
      <c r="T93" s="48"/>
      <c r="U93" s="48"/>
      <c r="V93" s="49"/>
      <c r="W93" s="50"/>
      <c r="X93" s="51"/>
    </row>
    <row r="94" spans="1:28" s="52" customFormat="1" ht="65.099999999999994" customHeight="1">
      <c r="A94" s="158"/>
      <c r="B94" s="163" t="s">
        <v>46</v>
      </c>
      <c r="C94" s="42"/>
      <c r="D94" s="43"/>
      <c r="E94" s="44"/>
      <c r="F94" s="44"/>
      <c r="G94" s="44"/>
      <c r="H94" s="45"/>
      <c r="I94" s="44"/>
      <c r="J94" s="44"/>
      <c r="K94" s="44"/>
      <c r="L94" s="44"/>
      <c r="M94" s="44"/>
      <c r="N94" s="44"/>
      <c r="O94" s="44"/>
      <c r="P94" s="44"/>
      <c r="Q94" s="46"/>
      <c r="R94" s="47"/>
      <c r="S94" s="47"/>
      <c r="T94" s="48"/>
      <c r="U94" s="48"/>
      <c r="V94" s="49"/>
      <c r="W94" s="50"/>
      <c r="X94" s="51"/>
      <c r="Y94" s="6"/>
      <c r="Z94" s="2"/>
    </row>
    <row r="95" spans="1:28" s="52" customFormat="1">
      <c r="A95" s="158"/>
      <c r="B95" s="164"/>
      <c r="C95" s="55"/>
      <c r="D95" s="4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7"/>
      <c r="R95" s="58"/>
      <c r="S95" s="47"/>
      <c r="T95" s="48"/>
      <c r="U95" s="48"/>
      <c r="V95" s="49"/>
      <c r="W95" s="50"/>
      <c r="X95" s="51"/>
      <c r="Y95" s="2"/>
      <c r="Z95" s="2"/>
      <c r="AB95" s="2"/>
    </row>
    <row r="96" spans="1:28" ht="46.5" customHeight="1">
      <c r="A96" s="158"/>
      <c r="B96" s="164"/>
      <c r="C96" s="59" t="s">
        <v>18</v>
      </c>
      <c r="D96" s="60" t="s">
        <v>19</v>
      </c>
      <c r="E96" s="61">
        <v>476</v>
      </c>
      <c r="F96" s="61">
        <v>519</v>
      </c>
      <c r="G96" s="61">
        <v>476.3</v>
      </c>
      <c r="H96" s="61">
        <v>472.51612903225805</v>
      </c>
      <c r="I96" s="61">
        <v>445.67741935483872</v>
      </c>
      <c r="J96" s="61">
        <v>440.56666666666666</v>
      </c>
      <c r="K96" s="61">
        <v>450.77419354838707</v>
      </c>
      <c r="L96" s="61">
        <v>513.9</v>
      </c>
      <c r="M96" s="61">
        <v>525.45161290322585</v>
      </c>
      <c r="N96" s="61">
        <v>526.32258064516134</v>
      </c>
      <c r="O96" s="61">
        <v>527.53571428571433</v>
      </c>
      <c r="P96" s="61">
        <v>530.06451612903231</v>
      </c>
      <c r="Q96" s="62"/>
      <c r="R96" s="63"/>
      <c r="S96" s="64"/>
      <c r="T96" s="65"/>
      <c r="U96" s="65"/>
      <c r="V96" s="49"/>
      <c r="W96" s="49"/>
      <c r="X96" s="66"/>
      <c r="AB96" s="6"/>
    </row>
    <row r="97" spans="1:28" ht="46.5" customHeight="1">
      <c r="A97" s="158"/>
      <c r="B97" s="164"/>
      <c r="C97" s="59" t="s">
        <v>18</v>
      </c>
      <c r="D97" s="60" t="s">
        <v>20</v>
      </c>
      <c r="E97" s="61">
        <v>511.76600000000002</v>
      </c>
      <c r="F97" s="61">
        <v>515.12903225806451</v>
      </c>
      <c r="G97" s="61">
        <v>489.76666666666665</v>
      </c>
      <c r="H97" s="61">
        <v>474.25806451612902</v>
      </c>
      <c r="I97" s="61">
        <v>470.32258064516128</v>
      </c>
      <c r="J97" s="61">
        <v>468.23333333333335</v>
      </c>
      <c r="K97" s="61">
        <v>469.22580645161293</v>
      </c>
      <c r="L97" s="61">
        <v>469</v>
      </c>
      <c r="M97" s="61">
        <v>468.38709677419354</v>
      </c>
      <c r="N97" s="61">
        <v>469.83870967741933</v>
      </c>
      <c r="O97" s="61">
        <v>469.96428571428572</v>
      </c>
      <c r="P97" s="61">
        <v>505.322</v>
      </c>
      <c r="Q97" s="62"/>
      <c r="R97" s="63"/>
      <c r="S97" s="64"/>
      <c r="T97" s="65"/>
      <c r="U97" s="65"/>
      <c r="V97" s="49"/>
      <c r="W97" s="49"/>
      <c r="X97" s="66"/>
      <c r="AB97" s="6"/>
    </row>
    <row r="98" spans="1:28" ht="46.5" customHeight="1">
      <c r="A98" s="158"/>
      <c r="B98" s="164"/>
      <c r="C98" s="59" t="s">
        <v>18</v>
      </c>
      <c r="D98" s="60" t="s">
        <v>21</v>
      </c>
      <c r="E98" s="61">
        <v>515.16666666666663</v>
      </c>
      <c r="F98" s="61">
        <v>513.25806451612902</v>
      </c>
      <c r="G98" s="61">
        <v>512.0333333333333</v>
      </c>
      <c r="H98" s="61">
        <v>512.25806451612902</v>
      </c>
      <c r="I98" s="61">
        <v>510.16129032258067</v>
      </c>
      <c r="J98" s="61">
        <v>511.96666666666664</v>
      </c>
      <c r="K98" s="61">
        <v>510.51612903225805</v>
      </c>
      <c r="L98" s="61">
        <v>512.4666666666667</v>
      </c>
      <c r="M98" s="61">
        <v>513.12903225806451</v>
      </c>
      <c r="N98" s="61">
        <v>512.70967741935488</v>
      </c>
      <c r="O98" s="61">
        <v>512.65517241379314</v>
      </c>
      <c r="P98" s="61">
        <v>513.0322580645161</v>
      </c>
      <c r="Q98" s="62"/>
      <c r="R98" s="63"/>
      <c r="S98" s="64"/>
      <c r="T98" s="65"/>
      <c r="U98" s="65"/>
      <c r="V98" s="49"/>
      <c r="W98" s="49"/>
      <c r="X98" s="66"/>
      <c r="AB98" s="6"/>
    </row>
    <row r="99" spans="1:28" s="52" customFormat="1" ht="46.5" customHeight="1">
      <c r="A99" s="158"/>
      <c r="B99" s="164"/>
      <c r="C99" s="59" t="s">
        <v>18</v>
      </c>
      <c r="D99" s="60" t="s">
        <v>22</v>
      </c>
      <c r="E99" s="61">
        <v>483.7</v>
      </c>
      <c r="F99" s="61">
        <v>482.48387096774195</v>
      </c>
      <c r="G99" s="61">
        <v>479.9</v>
      </c>
      <c r="H99" s="61">
        <v>474.09677419354841</v>
      </c>
      <c r="I99" s="61">
        <v>480.77419354838707</v>
      </c>
      <c r="J99" s="61">
        <v>487.56666666666666</v>
      </c>
      <c r="K99" s="61">
        <v>499.41935483870969</v>
      </c>
      <c r="L99" s="61">
        <v>503.1</v>
      </c>
      <c r="M99" s="61">
        <v>495.32258064516128</v>
      </c>
      <c r="N99" s="61">
        <v>501.58064516129031</v>
      </c>
      <c r="O99" s="61">
        <v>507.07142857142856</v>
      </c>
      <c r="P99" s="61">
        <v>515.74193548387098</v>
      </c>
      <c r="Q99" s="57"/>
      <c r="R99" s="58"/>
      <c r="S99" s="47"/>
      <c r="T99" s="48"/>
      <c r="U99" s="48"/>
      <c r="V99" s="49"/>
      <c r="W99" s="50"/>
      <c r="X99" s="51"/>
      <c r="Y99" s="2"/>
      <c r="Z99" s="2"/>
      <c r="AB99" s="2"/>
    </row>
    <row r="100" spans="1:28" s="52" customFormat="1" ht="46.5" customHeight="1">
      <c r="A100" s="158"/>
      <c r="B100" s="164"/>
      <c r="C100" s="59" t="s">
        <v>18</v>
      </c>
      <c r="D100" s="60" t="str">
        <f>+D71</f>
        <v>2021-22</v>
      </c>
      <c r="E100" s="61">
        <v>461.56666666666666</v>
      </c>
      <c r="F100" s="61">
        <v>442.48387096774195</v>
      </c>
      <c r="G100" s="61">
        <v>440.6</v>
      </c>
      <c r="H100" s="61">
        <v>444.61290322580646</v>
      </c>
      <c r="I100" s="61">
        <v>455.32258064516128</v>
      </c>
      <c r="J100" s="61">
        <v>460.46666666666664</v>
      </c>
      <c r="K100" s="61">
        <v>458</v>
      </c>
      <c r="L100" s="61">
        <v>459.33333333333331</v>
      </c>
      <c r="M100" s="61">
        <v>463</v>
      </c>
      <c r="N100" s="61">
        <v>462.64515999999998</v>
      </c>
      <c r="O100" s="61">
        <v>476.60714285714283</v>
      </c>
      <c r="P100" s="61">
        <v>494.74193548387098</v>
      </c>
      <c r="Q100" s="57"/>
      <c r="R100" s="58"/>
      <c r="S100" s="47"/>
      <c r="T100" s="48"/>
      <c r="U100" s="48"/>
      <c r="V100" s="49"/>
      <c r="W100" s="50"/>
      <c r="X100" s="51"/>
      <c r="Y100" s="2"/>
      <c r="Z100" s="2"/>
      <c r="AB100" s="2"/>
    </row>
    <row r="101" spans="1:28" s="72" customFormat="1" ht="46.5" customHeight="1">
      <c r="A101" s="158"/>
      <c r="B101" s="164"/>
      <c r="C101" s="59" t="s">
        <v>18</v>
      </c>
      <c r="D101" s="60" t="str">
        <f>+D72</f>
        <v>2020-21</v>
      </c>
      <c r="E101" s="61">
        <v>317.63333333333298</v>
      </c>
      <c r="F101" s="61">
        <v>284.70967741935499</v>
      </c>
      <c r="G101" s="61">
        <v>286.3</v>
      </c>
      <c r="H101" s="61">
        <v>347.93548387096803</v>
      </c>
      <c r="I101" s="61">
        <v>426.77419354838702</v>
      </c>
      <c r="J101" s="61">
        <v>445.76666666666665</v>
      </c>
      <c r="K101" s="61">
        <v>484.19354838709677</v>
      </c>
      <c r="L101" s="61">
        <v>494.6</v>
      </c>
      <c r="M101" s="61">
        <v>497.03225806451616</v>
      </c>
      <c r="N101" s="61">
        <v>497.67741935483872</v>
      </c>
      <c r="O101" s="61">
        <v>480.21428571428572</v>
      </c>
      <c r="P101" s="61">
        <v>491.03225806451616</v>
      </c>
      <c r="Q101" s="67"/>
      <c r="R101" s="68"/>
      <c r="S101" s="69"/>
      <c r="T101" s="70"/>
      <c r="U101" s="70"/>
      <c r="V101" s="49"/>
      <c r="W101" s="49"/>
      <c r="X101" s="71"/>
      <c r="Y101" s="49"/>
      <c r="Z101" s="49"/>
      <c r="AB101" s="49"/>
    </row>
    <row r="102" spans="1:28" s="72" customFormat="1" ht="46.5" customHeight="1">
      <c r="A102" s="158"/>
      <c r="B102" s="164"/>
      <c r="C102" s="59" t="s">
        <v>18</v>
      </c>
      <c r="D102" s="60" t="str">
        <f>+D73</f>
        <v>2019-20</v>
      </c>
      <c r="E102" s="61">
        <v>480</v>
      </c>
      <c r="F102" s="61">
        <v>475.25806451612902</v>
      </c>
      <c r="G102" s="61">
        <v>475.16666666666703</v>
      </c>
      <c r="H102" s="61">
        <v>475.06451612903197</v>
      </c>
      <c r="I102" s="61">
        <v>474.48387096774201</v>
      </c>
      <c r="J102" s="61">
        <v>440.33333333333297</v>
      </c>
      <c r="K102" s="61">
        <v>430</v>
      </c>
      <c r="L102" s="61">
        <v>428.63333333333298</v>
      </c>
      <c r="M102" s="61">
        <v>429.12903225806502</v>
      </c>
      <c r="N102" s="61">
        <v>437.16129032258101</v>
      </c>
      <c r="O102" s="61">
        <v>458.34482758620697</v>
      </c>
      <c r="P102" s="61">
        <v>456.87096774193498</v>
      </c>
      <c r="Q102" s="67"/>
      <c r="R102" s="68"/>
      <c r="S102" s="69"/>
      <c r="T102" s="70"/>
      <c r="U102" s="70"/>
      <c r="V102" s="49"/>
      <c r="W102" s="49"/>
      <c r="X102" s="71"/>
      <c r="Y102" s="6"/>
      <c r="Z102" s="6"/>
    </row>
    <row r="103" spans="1:28" s="94" customFormat="1" ht="46.5" customHeight="1">
      <c r="A103" s="158"/>
      <c r="B103" s="164"/>
      <c r="C103" s="59" t="s">
        <v>18</v>
      </c>
      <c r="D103" s="60" t="s">
        <v>26</v>
      </c>
      <c r="E103" s="61">
        <v>483.83333333333297</v>
      </c>
      <c r="F103" s="61">
        <v>453.12903225806502</v>
      </c>
      <c r="G103" s="61">
        <v>423.7</v>
      </c>
      <c r="H103" s="61">
        <v>421.29032258064501</v>
      </c>
      <c r="I103" s="61">
        <v>433.70967741935499</v>
      </c>
      <c r="J103" s="61">
        <v>439.33333333333297</v>
      </c>
      <c r="K103" s="61">
        <v>439.96774193548401</v>
      </c>
      <c r="L103" s="61">
        <v>442.9</v>
      </c>
      <c r="M103" s="61">
        <v>449.70967741935499</v>
      </c>
      <c r="N103" s="61">
        <v>454.03225806451599</v>
      </c>
      <c r="O103" s="61">
        <v>470</v>
      </c>
      <c r="P103" s="61">
        <v>477</v>
      </c>
      <c r="Q103" s="92"/>
      <c r="R103" s="93"/>
      <c r="S103" s="69"/>
      <c r="T103" s="70"/>
      <c r="U103" s="70"/>
      <c r="V103" s="49"/>
      <c r="W103" s="49"/>
      <c r="X103" s="71"/>
      <c r="Y103" s="27"/>
      <c r="Z103" s="27"/>
    </row>
    <row r="104" spans="1:28" s="72" customFormat="1" ht="46.5" customHeight="1">
      <c r="A104" s="158"/>
      <c r="B104" s="164"/>
      <c r="C104" s="59" t="s">
        <v>18</v>
      </c>
      <c r="D104" s="60" t="s">
        <v>27</v>
      </c>
      <c r="E104" s="61">
        <v>373.433333333333</v>
      </c>
      <c r="F104" s="61">
        <v>364.03225806451599</v>
      </c>
      <c r="G104" s="61">
        <v>372.566666666667</v>
      </c>
      <c r="H104" s="61">
        <v>381.45161290322602</v>
      </c>
      <c r="I104" s="61">
        <v>423.54838709677398</v>
      </c>
      <c r="J104" s="61">
        <v>453.13333333333298</v>
      </c>
      <c r="K104" s="61">
        <v>444.38709677419399</v>
      </c>
      <c r="L104" s="61">
        <v>459.23333333333301</v>
      </c>
      <c r="M104" s="61">
        <v>460.74193548387098</v>
      </c>
      <c r="N104" s="61">
        <v>479.322580645161</v>
      </c>
      <c r="O104" s="61">
        <v>491.92857142857099</v>
      </c>
      <c r="P104" s="61">
        <v>478.93548387096803</v>
      </c>
      <c r="Q104" s="73"/>
      <c r="R104" s="69"/>
      <c r="S104" s="69"/>
      <c r="T104" s="70"/>
      <c r="U104" s="70"/>
      <c r="V104" s="49"/>
      <c r="W104" s="49"/>
      <c r="X104" s="71"/>
      <c r="Y104" s="6"/>
      <c r="Z104" s="6"/>
    </row>
    <row r="105" spans="1:28" s="72" customFormat="1" ht="46.5" customHeight="1">
      <c r="A105" s="158"/>
      <c r="B105" s="164"/>
      <c r="C105" s="59" t="s">
        <v>18</v>
      </c>
      <c r="D105" s="60" t="s">
        <v>28</v>
      </c>
      <c r="E105" s="61">
        <v>387.23333333333301</v>
      </c>
      <c r="F105" s="61">
        <v>393.74193548387098</v>
      </c>
      <c r="G105" s="61">
        <v>392.23333333333301</v>
      </c>
      <c r="H105" s="61">
        <v>401.16129032258101</v>
      </c>
      <c r="I105" s="61">
        <v>405.322580645161</v>
      </c>
      <c r="J105" s="61">
        <v>399.7</v>
      </c>
      <c r="K105" s="61">
        <v>400.12903225806502</v>
      </c>
      <c r="L105" s="61">
        <v>392.66666666666703</v>
      </c>
      <c r="M105" s="61">
        <v>380.38709677419399</v>
      </c>
      <c r="N105" s="61">
        <v>379.09677419354801</v>
      </c>
      <c r="O105" s="61">
        <v>380.53571428571399</v>
      </c>
      <c r="P105" s="61">
        <v>382.90322580645199</v>
      </c>
      <c r="Q105" s="73"/>
      <c r="R105" s="69"/>
      <c r="S105" s="69"/>
      <c r="T105" s="70"/>
      <c r="U105" s="70"/>
      <c r="V105" s="49"/>
      <c r="W105" s="49"/>
      <c r="X105" s="71"/>
      <c r="Y105" s="6"/>
      <c r="Z105" s="6"/>
    </row>
    <row r="106" spans="1:28" s="72" customFormat="1" ht="46.35" customHeight="1">
      <c r="A106" s="158"/>
      <c r="B106" s="164"/>
      <c r="C106" s="59" t="s">
        <v>18</v>
      </c>
      <c r="D106" s="60" t="s">
        <v>29</v>
      </c>
      <c r="E106" s="76">
        <v>470.46666666666698</v>
      </c>
      <c r="F106" s="76">
        <v>468.51612903225799</v>
      </c>
      <c r="G106" s="76">
        <v>463.96666666666698</v>
      </c>
      <c r="H106" s="76">
        <v>463.03225806451599</v>
      </c>
      <c r="I106" s="76">
        <v>464.38709677419399</v>
      </c>
      <c r="J106" s="76">
        <v>450.23333333333301</v>
      </c>
      <c r="K106" s="76">
        <v>440</v>
      </c>
      <c r="L106" s="76">
        <v>442.2</v>
      </c>
      <c r="M106" s="76">
        <v>438.25806451612902</v>
      </c>
      <c r="N106" s="76">
        <v>415.51612903225799</v>
      </c>
      <c r="O106" s="76">
        <v>397.241379310345</v>
      </c>
      <c r="P106" s="76">
        <v>386.93548387096803</v>
      </c>
      <c r="Q106" s="73"/>
      <c r="R106" s="69"/>
      <c r="S106" s="69"/>
      <c r="T106" s="70"/>
      <c r="U106" s="70"/>
      <c r="V106" s="49"/>
      <c r="W106" s="49"/>
      <c r="X106" s="71"/>
      <c r="Y106" s="6"/>
      <c r="Z106" s="6"/>
    </row>
    <row r="107" spans="1:28" s="72" customFormat="1" ht="61.5" customHeight="1">
      <c r="A107" s="158"/>
      <c r="B107" s="164"/>
      <c r="C107" s="59" t="s">
        <v>18</v>
      </c>
      <c r="D107" s="60" t="s">
        <v>30</v>
      </c>
      <c r="E107" s="61">
        <v>411.46666666666698</v>
      </c>
      <c r="F107" s="61">
        <v>403.12903225806502</v>
      </c>
      <c r="G107" s="61">
        <v>404.8</v>
      </c>
      <c r="H107" s="61">
        <v>407.09677419354801</v>
      </c>
      <c r="I107" s="61">
        <v>407.22580645161298</v>
      </c>
      <c r="J107" s="61">
        <v>407.66666666666703</v>
      </c>
      <c r="K107" s="61">
        <v>409.452</v>
      </c>
      <c r="L107" s="61">
        <v>421.76666666666699</v>
      </c>
      <c r="M107" s="61">
        <v>468.38709677419399</v>
      </c>
      <c r="N107" s="61">
        <v>472.83870967741899</v>
      </c>
      <c r="O107" s="61">
        <v>469.53571428571399</v>
      </c>
      <c r="P107" s="61">
        <v>469.64516129032302</v>
      </c>
      <c r="Q107" s="73"/>
      <c r="R107" s="69"/>
      <c r="S107" s="69"/>
      <c r="T107" s="70"/>
      <c r="U107" s="70"/>
      <c r="V107" s="49"/>
      <c r="W107" s="49"/>
      <c r="X107" s="71"/>
      <c r="Y107" s="6"/>
      <c r="Z107" s="6"/>
    </row>
    <row r="108" spans="1:28" s="72" customFormat="1" ht="61.5" customHeight="1">
      <c r="A108" s="158"/>
      <c r="B108" s="164"/>
      <c r="C108" s="59" t="s">
        <v>18</v>
      </c>
      <c r="D108" s="78" t="s">
        <v>31</v>
      </c>
      <c r="E108" s="61">
        <v>340.5</v>
      </c>
      <c r="F108" s="61">
        <v>334</v>
      </c>
      <c r="G108" s="61">
        <v>334.2</v>
      </c>
      <c r="H108" s="61">
        <v>332.58064516129002</v>
      </c>
      <c r="I108" s="61">
        <v>333.83870967741899</v>
      </c>
      <c r="J108" s="61">
        <v>354.86666666666702</v>
      </c>
      <c r="K108" s="61">
        <v>393.387</v>
      </c>
      <c r="L108" s="61">
        <v>398.86700000000002</v>
      </c>
      <c r="M108" s="61">
        <v>375.35500000000002</v>
      </c>
      <c r="N108" s="61">
        <v>358.548</v>
      </c>
      <c r="O108" s="61">
        <v>432.892857142857</v>
      </c>
      <c r="P108" s="61">
        <v>442.09699999999998</v>
      </c>
      <c r="Q108" s="73"/>
      <c r="R108" s="69"/>
      <c r="S108" s="69"/>
      <c r="T108" s="70"/>
      <c r="U108" s="70"/>
      <c r="V108" s="49"/>
      <c r="W108" s="49"/>
      <c r="X108" s="71"/>
      <c r="Y108" s="6"/>
      <c r="Z108" s="6"/>
    </row>
    <row r="109" spans="1:28" s="72" customFormat="1" ht="61.5" customHeight="1">
      <c r="A109" s="158"/>
      <c r="B109" s="164"/>
      <c r="C109" s="59" t="s">
        <v>18</v>
      </c>
      <c r="D109" s="60" t="s">
        <v>32</v>
      </c>
      <c r="E109" s="61">
        <v>452.566666666667</v>
      </c>
      <c r="F109" s="61">
        <v>429.58</v>
      </c>
      <c r="G109" s="61">
        <v>430.5</v>
      </c>
      <c r="H109" s="61">
        <v>417</v>
      </c>
      <c r="I109" s="61">
        <v>408.387</v>
      </c>
      <c r="J109" s="61">
        <v>404.2</v>
      </c>
      <c r="K109" s="61">
        <v>411.065</v>
      </c>
      <c r="L109" s="61">
        <v>409.56700000000001</v>
      </c>
      <c r="M109" s="61">
        <v>413.161</v>
      </c>
      <c r="N109" s="61">
        <v>399.64499999999998</v>
      </c>
      <c r="O109" s="61">
        <v>390.786</v>
      </c>
      <c r="P109" s="61">
        <v>368.25799999999998</v>
      </c>
      <c r="Q109" s="73"/>
      <c r="R109" s="69"/>
      <c r="S109" s="69"/>
      <c r="T109" s="70"/>
      <c r="U109" s="70"/>
      <c r="V109" s="49"/>
      <c r="W109" s="49"/>
      <c r="X109" s="71"/>
      <c r="Y109" s="6"/>
      <c r="Z109" s="6"/>
    </row>
    <row r="110" spans="1:28" ht="61.5" customHeight="1">
      <c r="A110" s="158"/>
      <c r="B110" s="164"/>
      <c r="C110" s="59" t="s">
        <v>18</v>
      </c>
      <c r="D110" s="60" t="s">
        <v>33</v>
      </c>
      <c r="E110" s="61">
        <v>437.73333333333301</v>
      </c>
      <c r="F110" s="61">
        <v>384.90322580645199</v>
      </c>
      <c r="G110" s="61">
        <f>11962/30</f>
        <v>398.73333333333335</v>
      </c>
      <c r="H110" s="79">
        <v>440</v>
      </c>
      <c r="I110" s="61">
        <v>437.839</v>
      </c>
      <c r="J110" s="61">
        <v>434.566666666667</v>
      </c>
      <c r="K110" s="61">
        <v>440.58064516129002</v>
      </c>
      <c r="L110" s="61">
        <f>12714/30</f>
        <v>423.8</v>
      </c>
      <c r="M110" s="61">
        <f>12920/31</f>
        <v>416.77419354838707</v>
      </c>
      <c r="N110" s="61">
        <v>411.64516129032302</v>
      </c>
      <c r="O110" s="61">
        <v>442.79310344827599</v>
      </c>
      <c r="P110" s="61">
        <f>14294/31</f>
        <v>461.09677419354841</v>
      </c>
      <c r="Q110" s="60"/>
      <c r="R110" s="47"/>
      <c r="S110" s="47"/>
      <c r="T110" s="48"/>
      <c r="U110" s="48"/>
      <c r="V110" s="49"/>
      <c r="W110" s="50"/>
      <c r="X110" s="51"/>
    </row>
    <row r="111" spans="1:28" ht="61.5" customHeight="1">
      <c r="A111" s="158"/>
      <c r="B111" s="164"/>
      <c r="C111" s="59" t="s">
        <v>18</v>
      </c>
      <c r="D111" s="60" t="s">
        <v>34</v>
      </c>
      <c r="E111" s="61">
        <v>460.5</v>
      </c>
      <c r="F111" s="61">
        <v>463.22580645161298</v>
      </c>
      <c r="G111" s="61">
        <v>445.03333333333302</v>
      </c>
      <c r="H111" s="79">
        <v>430.64516129032302</v>
      </c>
      <c r="I111" s="61">
        <v>385.25806451612902</v>
      </c>
      <c r="J111" s="61">
        <v>393.7</v>
      </c>
      <c r="K111" s="61">
        <v>447.45161290322602</v>
      </c>
      <c r="L111" s="61">
        <v>454.566666666667</v>
      </c>
      <c r="M111" s="61">
        <v>464</v>
      </c>
      <c r="N111" s="61">
        <v>458.193548387097</v>
      </c>
      <c r="O111" s="61">
        <v>464</v>
      </c>
      <c r="P111" s="61">
        <v>465.16129032258101</v>
      </c>
      <c r="Q111" s="60"/>
      <c r="R111" s="47"/>
      <c r="S111" s="47"/>
      <c r="T111" s="48"/>
      <c r="U111" s="48"/>
      <c r="V111" s="49"/>
      <c r="W111" s="50"/>
      <c r="X111" s="51"/>
    </row>
    <row r="112" spans="1:28" ht="61.5" customHeight="1">
      <c r="A112" s="158"/>
      <c r="B112" s="164"/>
      <c r="C112" s="59" t="s">
        <v>18</v>
      </c>
      <c r="D112" s="60" t="s">
        <v>35</v>
      </c>
      <c r="E112" s="61">
        <v>428.53333333333302</v>
      </c>
      <c r="F112" s="61">
        <v>431.806451612903</v>
      </c>
      <c r="G112" s="61">
        <v>431</v>
      </c>
      <c r="H112" s="79">
        <v>432.70967741935499</v>
      </c>
      <c r="I112" s="61">
        <v>443.22580645161298</v>
      </c>
      <c r="J112" s="61">
        <v>433.36666666666702</v>
      </c>
      <c r="K112" s="61">
        <v>440.193548387097</v>
      </c>
      <c r="L112" s="61">
        <v>456.03333333333302</v>
      </c>
      <c r="M112" s="61">
        <v>463.93548387096803</v>
      </c>
      <c r="N112" s="61">
        <v>470.03225806451599</v>
      </c>
      <c r="O112" s="61">
        <v>469.42857142857099</v>
      </c>
      <c r="P112" s="61">
        <v>480.06451612903197</v>
      </c>
      <c r="Q112" s="60"/>
      <c r="R112" s="47"/>
      <c r="S112" s="47"/>
      <c r="T112" s="48"/>
      <c r="U112" s="48"/>
      <c r="V112" s="49"/>
      <c r="W112" s="50"/>
      <c r="X112" s="51"/>
    </row>
    <row r="113" spans="1:28" ht="61.5" customHeight="1">
      <c r="A113" s="158"/>
      <c r="B113" s="164"/>
      <c r="C113" s="59" t="s">
        <v>18</v>
      </c>
      <c r="D113" s="60" t="s">
        <v>36</v>
      </c>
      <c r="E113" s="61">
        <v>450.3</v>
      </c>
      <c r="F113" s="61">
        <v>443.29032258064501</v>
      </c>
      <c r="G113" s="61">
        <v>443.86666666666702</v>
      </c>
      <c r="H113" s="79">
        <v>453.677419354839</v>
      </c>
      <c r="I113" s="61">
        <v>474.38709677419399</v>
      </c>
      <c r="J113" s="61">
        <v>489.3</v>
      </c>
      <c r="K113" s="61">
        <v>484</v>
      </c>
      <c r="L113" s="61">
        <v>464.066666666667</v>
      </c>
      <c r="M113" s="61">
        <v>440</v>
      </c>
      <c r="N113" s="61">
        <v>430.93548387096803</v>
      </c>
      <c r="O113" s="61">
        <v>423.42857142857099</v>
      </c>
      <c r="P113" s="61">
        <v>425.22580645161298</v>
      </c>
      <c r="Q113" s="81"/>
      <c r="R113" s="47"/>
      <c r="S113" s="47"/>
      <c r="T113" s="48"/>
      <c r="U113" s="48"/>
      <c r="V113" s="49"/>
      <c r="W113" s="50"/>
      <c r="X113" s="51"/>
    </row>
    <row r="114" spans="1:28" ht="61.5" customHeight="1">
      <c r="A114" s="158"/>
      <c r="B114" s="164"/>
      <c r="C114" s="59" t="s">
        <v>18</v>
      </c>
      <c r="D114" s="60" t="s">
        <v>37</v>
      </c>
      <c r="E114" s="85">
        <v>482.76666666666699</v>
      </c>
      <c r="F114" s="85">
        <v>484.64516129032302</v>
      </c>
      <c r="G114" s="85">
        <v>478.933333333333</v>
      </c>
      <c r="H114" s="79">
        <v>469.29032258064501</v>
      </c>
      <c r="I114" s="85">
        <v>428.54838709677398</v>
      </c>
      <c r="J114" s="85">
        <v>468.566666666667</v>
      </c>
      <c r="K114" s="85">
        <v>479.70967741935499</v>
      </c>
      <c r="L114" s="85">
        <v>480.7</v>
      </c>
      <c r="M114" s="85">
        <v>487</v>
      </c>
      <c r="N114" s="85">
        <v>488.193548387097</v>
      </c>
      <c r="O114" s="85">
        <v>448.37931034482801</v>
      </c>
      <c r="P114" s="85">
        <v>455.22580645161298</v>
      </c>
      <c r="Q114" s="46"/>
      <c r="R114" s="47"/>
      <c r="S114" s="47"/>
      <c r="T114" s="48"/>
      <c r="U114" s="48"/>
      <c r="V114" s="49"/>
      <c r="W114" s="50"/>
      <c r="X114" s="51"/>
    </row>
    <row r="115" spans="1:28" ht="61.5" customHeight="1">
      <c r="A115" s="158"/>
      <c r="B115" s="164"/>
      <c r="C115" s="59" t="s">
        <v>18</v>
      </c>
      <c r="D115" s="60" t="s">
        <v>38</v>
      </c>
      <c r="E115" s="85">
        <v>470.433333333333</v>
      </c>
      <c r="F115" s="85">
        <v>462.29032258064501</v>
      </c>
      <c r="G115" s="85">
        <v>455.5</v>
      </c>
      <c r="H115" s="79">
        <v>463.74193548387098</v>
      </c>
      <c r="I115" s="85">
        <v>470</v>
      </c>
      <c r="J115" s="85">
        <v>467.2</v>
      </c>
      <c r="K115" s="85">
        <v>475.03225806451599</v>
      </c>
      <c r="L115" s="85">
        <v>478.83333333333297</v>
      </c>
      <c r="M115" s="85">
        <v>482.06451612903197</v>
      </c>
      <c r="N115" s="85">
        <v>482.58064516129002</v>
      </c>
      <c r="O115" s="85">
        <v>478.642857142857</v>
      </c>
      <c r="P115" s="85">
        <v>485</v>
      </c>
      <c r="Q115" s="46"/>
      <c r="R115" s="47"/>
      <c r="S115" s="47"/>
      <c r="T115" s="48"/>
      <c r="U115" s="48"/>
      <c r="V115" s="49"/>
      <c r="W115" s="50"/>
      <c r="X115" s="51"/>
    </row>
    <row r="116" spans="1:28" ht="61.5" customHeight="1">
      <c r="A116" s="158"/>
      <c r="B116" s="164"/>
      <c r="C116" s="59" t="s">
        <v>18</v>
      </c>
      <c r="D116" s="60" t="s">
        <v>39</v>
      </c>
      <c r="E116" s="85">
        <v>493.73333333333301</v>
      </c>
      <c r="F116" s="85">
        <v>480.677419354839</v>
      </c>
      <c r="G116" s="85">
        <v>476.36666666666702</v>
      </c>
      <c r="H116" s="79">
        <v>481.193548387097</v>
      </c>
      <c r="I116" s="85">
        <v>485.58064516129002</v>
      </c>
      <c r="J116" s="85">
        <v>469.4</v>
      </c>
      <c r="K116" s="85">
        <v>487.25806451612902</v>
      </c>
      <c r="L116" s="85">
        <v>480.23333333333301</v>
      </c>
      <c r="M116" s="85">
        <v>483.25806451612902</v>
      </c>
      <c r="N116" s="85">
        <v>482.35483870967698</v>
      </c>
      <c r="O116" s="85">
        <v>485.357142857143</v>
      </c>
      <c r="P116" s="85">
        <v>481.87096774193498</v>
      </c>
      <c r="Q116" s="46"/>
      <c r="R116" s="47"/>
      <c r="S116" s="47"/>
      <c r="T116" s="48"/>
      <c r="U116" s="48"/>
      <c r="V116" s="49"/>
      <c r="W116" s="50"/>
      <c r="X116" s="51"/>
    </row>
    <row r="117" spans="1:28" ht="61.5" customHeight="1">
      <c r="A117" s="158"/>
      <c r="B117" s="164"/>
      <c r="C117" s="59" t="s">
        <v>18</v>
      </c>
      <c r="D117" s="60" t="s">
        <v>40</v>
      </c>
      <c r="E117" s="85">
        <v>373.2</v>
      </c>
      <c r="F117" s="85">
        <v>400</v>
      </c>
      <c r="G117" s="85">
        <v>400.83333333333297</v>
      </c>
      <c r="H117" s="79">
        <v>412</v>
      </c>
      <c r="I117" s="85">
        <v>411.2</v>
      </c>
      <c r="J117" s="85">
        <v>459</v>
      </c>
      <c r="K117" s="85">
        <v>493.51612903225799</v>
      </c>
      <c r="L117" s="85">
        <v>495.933333333333</v>
      </c>
      <c r="M117" s="85">
        <v>487.12903225806502</v>
      </c>
      <c r="N117" s="85">
        <v>493.29032258064501</v>
      </c>
      <c r="O117" s="85">
        <v>493.75</v>
      </c>
      <c r="P117" s="85">
        <v>493</v>
      </c>
      <c r="Q117" s="46"/>
      <c r="R117" s="47"/>
      <c r="S117" s="47"/>
      <c r="T117" s="48"/>
      <c r="U117" s="48"/>
      <c r="V117" s="49"/>
      <c r="W117" s="50"/>
      <c r="X117" s="51"/>
    </row>
    <row r="118" spans="1:28" ht="61.5" customHeight="1">
      <c r="A118" s="158"/>
      <c r="B118" s="164"/>
      <c r="C118" s="59" t="s">
        <v>18</v>
      </c>
      <c r="D118" s="60" t="s">
        <v>41</v>
      </c>
      <c r="E118" s="85">
        <v>491.5</v>
      </c>
      <c r="F118" s="85">
        <v>485.54838709677398</v>
      </c>
      <c r="G118" s="85">
        <v>484.3</v>
      </c>
      <c r="H118" s="79">
        <v>466.90322580645199</v>
      </c>
      <c r="I118" s="85">
        <v>477.25806451612902</v>
      </c>
      <c r="J118" s="85">
        <v>482.2</v>
      </c>
      <c r="K118" s="85">
        <v>473.74193548387098</v>
      </c>
      <c r="L118" s="85">
        <v>481.3</v>
      </c>
      <c r="M118" s="85">
        <v>481.29032258064501</v>
      </c>
      <c r="N118" s="85">
        <v>485.29032258064501</v>
      </c>
      <c r="O118" s="85">
        <v>479.03448275862098</v>
      </c>
      <c r="P118" s="85">
        <v>435.90322580645199</v>
      </c>
      <c r="Q118" s="46"/>
      <c r="R118" s="47"/>
      <c r="S118" s="47"/>
      <c r="T118" s="48"/>
      <c r="U118" s="48"/>
      <c r="V118" s="49"/>
      <c r="W118" s="50"/>
      <c r="X118" s="51"/>
    </row>
    <row r="119" spans="1:28" ht="61.5" customHeight="1">
      <c r="A119" s="158"/>
      <c r="B119" s="164"/>
      <c r="C119" s="59" t="s">
        <v>18</v>
      </c>
      <c r="D119" s="60" t="s">
        <v>42</v>
      </c>
      <c r="E119" s="85">
        <v>467</v>
      </c>
      <c r="F119" s="85">
        <v>464.83870967741899</v>
      </c>
      <c r="G119" s="85">
        <v>454.1</v>
      </c>
      <c r="H119" s="79">
        <v>465.93548387096803</v>
      </c>
      <c r="I119" s="85">
        <v>481</v>
      </c>
      <c r="J119" s="85">
        <v>477.66666666666703</v>
      </c>
      <c r="K119" s="85">
        <v>488.61290322580601</v>
      </c>
      <c r="L119" s="85">
        <v>488.46666666666698</v>
      </c>
      <c r="M119" s="85">
        <v>480.64516129032302</v>
      </c>
      <c r="N119" s="85">
        <v>481.51612903225799</v>
      </c>
      <c r="O119" s="85">
        <v>486</v>
      </c>
      <c r="P119" s="85">
        <v>495</v>
      </c>
      <c r="Q119" s="46"/>
      <c r="R119" s="47"/>
      <c r="S119" s="47"/>
      <c r="T119" s="48"/>
      <c r="U119" s="48"/>
      <c r="V119" s="49"/>
      <c r="W119" s="50"/>
      <c r="X119" s="51"/>
    </row>
    <row r="120" spans="1:28" ht="61.5" customHeight="1">
      <c r="A120" s="158"/>
      <c r="B120" s="164"/>
      <c r="C120" s="59" t="s">
        <v>18</v>
      </c>
      <c r="D120" s="60" t="s">
        <v>43</v>
      </c>
      <c r="E120" s="85">
        <v>456</v>
      </c>
      <c r="F120" s="85">
        <v>446.677419354839</v>
      </c>
      <c r="G120" s="85">
        <v>441.9</v>
      </c>
      <c r="H120" s="79">
        <v>446</v>
      </c>
      <c r="I120" s="85">
        <v>450</v>
      </c>
      <c r="J120" s="85">
        <v>460</v>
      </c>
      <c r="K120" s="85">
        <v>459.38709677419399</v>
      </c>
      <c r="L120" s="85">
        <v>461.2</v>
      </c>
      <c r="M120" s="85">
        <v>459</v>
      </c>
      <c r="N120" s="85">
        <v>459.54838709677398</v>
      </c>
      <c r="O120" s="85">
        <v>457.07142857142901</v>
      </c>
      <c r="P120" s="85">
        <v>460.87096774193498</v>
      </c>
      <c r="Q120" s="46"/>
      <c r="R120" s="47"/>
      <c r="S120" s="47"/>
      <c r="T120" s="48"/>
      <c r="U120" s="48"/>
      <c r="V120" s="49"/>
      <c r="W120" s="50"/>
      <c r="X120" s="51"/>
    </row>
    <row r="121" spans="1:28" ht="61.5" customHeight="1">
      <c r="A121" s="158"/>
      <c r="B121" s="165"/>
      <c r="C121" s="59" t="s">
        <v>18</v>
      </c>
      <c r="D121" s="60" t="s">
        <v>44</v>
      </c>
      <c r="E121" s="85">
        <v>490.5</v>
      </c>
      <c r="F121" s="85">
        <v>474.48387096774201</v>
      </c>
      <c r="G121" s="85">
        <v>468.933333333333</v>
      </c>
      <c r="H121" s="79">
        <v>471.83870967741899</v>
      </c>
      <c r="I121" s="85">
        <v>486.87096774193498</v>
      </c>
      <c r="J121" s="85">
        <v>478.83333333333297</v>
      </c>
      <c r="K121" s="85">
        <v>468.61290322580601</v>
      </c>
      <c r="L121" s="85">
        <v>443.566666666667</v>
      </c>
      <c r="M121" s="85">
        <v>437.03225806451599</v>
      </c>
      <c r="N121" s="85">
        <v>458</v>
      </c>
      <c r="O121" s="85">
        <v>467.82142857142901</v>
      </c>
      <c r="P121" s="85">
        <v>471.38709677419399</v>
      </c>
      <c r="Q121" s="46"/>
      <c r="R121" s="47"/>
      <c r="S121" s="47"/>
      <c r="T121" s="48"/>
      <c r="U121" s="48"/>
      <c r="V121" s="49"/>
      <c r="W121" s="50"/>
      <c r="X121" s="51"/>
    </row>
    <row r="122" spans="1:28" ht="61.5" customHeight="1">
      <c r="A122" s="158"/>
      <c r="B122" s="98"/>
      <c r="C122" s="100"/>
      <c r="D122" s="101"/>
      <c r="E122" s="21"/>
      <c r="F122" s="21"/>
      <c r="G122" s="21"/>
      <c r="H122" s="20"/>
      <c r="I122" s="21"/>
      <c r="J122" s="21"/>
      <c r="K122" s="21"/>
      <c r="L122" s="21"/>
      <c r="M122" s="21"/>
      <c r="N122" s="21"/>
      <c r="O122" s="21"/>
      <c r="P122" s="21"/>
      <c r="Q122" s="46"/>
      <c r="R122" s="47"/>
      <c r="S122" s="47"/>
      <c r="T122" s="48"/>
      <c r="U122" s="48"/>
      <c r="V122" s="49"/>
      <c r="W122" s="50"/>
      <c r="X122" s="51"/>
    </row>
    <row r="123" spans="1:28" s="52" customFormat="1" ht="65.099999999999994" customHeight="1">
      <c r="A123" s="158"/>
      <c r="B123" s="163" t="s">
        <v>47</v>
      </c>
      <c r="C123" s="42"/>
      <c r="D123" s="43"/>
      <c r="E123" s="44"/>
      <c r="F123" s="44"/>
      <c r="G123" s="44"/>
      <c r="H123" s="45"/>
      <c r="I123" s="44"/>
      <c r="J123" s="44"/>
      <c r="K123" s="44"/>
      <c r="L123" s="44"/>
      <c r="M123" s="44"/>
      <c r="N123" s="44"/>
      <c r="O123" s="44"/>
      <c r="P123" s="44"/>
      <c r="Q123" s="46"/>
      <c r="R123" s="47"/>
      <c r="S123" s="47"/>
      <c r="T123" s="48"/>
      <c r="U123" s="48"/>
      <c r="V123" s="49"/>
      <c r="W123" s="50"/>
      <c r="X123" s="51"/>
      <c r="Y123" s="2"/>
      <c r="Z123" s="2"/>
    </row>
    <row r="124" spans="1:28" s="52" customFormat="1">
      <c r="A124" s="158"/>
      <c r="B124" s="164"/>
      <c r="C124" s="55"/>
      <c r="D124" s="4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7"/>
      <c r="R124" s="58"/>
      <c r="S124" s="47"/>
      <c r="T124" s="48"/>
      <c r="U124" s="48"/>
      <c r="V124" s="49"/>
      <c r="W124" s="50"/>
      <c r="X124" s="51"/>
      <c r="Y124" s="2"/>
      <c r="Z124" s="2"/>
      <c r="AB124" s="2"/>
    </row>
    <row r="125" spans="1:28" ht="46.5" customHeight="1">
      <c r="A125" s="158"/>
      <c r="B125" s="164"/>
      <c r="C125" s="59" t="s">
        <v>18</v>
      </c>
      <c r="D125" s="60" t="s">
        <v>19</v>
      </c>
      <c r="E125" s="61">
        <v>275.31075581395351</v>
      </c>
      <c r="F125" s="61">
        <v>276.42779444861219</v>
      </c>
      <c r="G125" s="61">
        <v>276.68430232558143</v>
      </c>
      <c r="H125" s="61">
        <v>277.01528507126778</v>
      </c>
      <c r="I125" s="61">
        <v>278.70836459114781</v>
      </c>
      <c r="J125" s="61">
        <v>279.16792635658919</v>
      </c>
      <c r="K125" s="61">
        <v>274.83073893473369</v>
      </c>
      <c r="L125" s="61">
        <v>275.21782945736436</v>
      </c>
      <c r="M125" s="61">
        <v>275.21933608402105</v>
      </c>
      <c r="N125" s="61">
        <v>274.36365341335335</v>
      </c>
      <c r="O125" s="61">
        <v>274.25571013289039</v>
      </c>
      <c r="P125" s="61">
        <v>279.00421980495122</v>
      </c>
      <c r="Q125" s="62"/>
      <c r="R125" s="63"/>
      <c r="S125" s="64"/>
      <c r="T125" s="65"/>
      <c r="U125" s="65"/>
      <c r="V125" s="49"/>
      <c r="W125" s="49"/>
      <c r="X125" s="66"/>
      <c r="AB125" s="6"/>
    </row>
    <row r="126" spans="1:28" s="52" customFormat="1" ht="46.5" customHeight="1">
      <c r="A126" s="158"/>
      <c r="B126" s="164"/>
      <c r="C126" s="59" t="s">
        <v>18</v>
      </c>
      <c r="D126" s="60" t="s">
        <v>20</v>
      </c>
      <c r="E126" s="61">
        <v>280.3625968992248</v>
      </c>
      <c r="F126" s="61">
        <v>279.41804201050263</v>
      </c>
      <c r="G126" s="61">
        <v>274.77703488372094</v>
      </c>
      <c r="H126" s="61">
        <v>278.82154913728436</v>
      </c>
      <c r="I126" s="61">
        <v>278.94504876219059</v>
      </c>
      <c r="J126" s="61">
        <v>278.31191860465117</v>
      </c>
      <c r="K126" s="61">
        <v>277.46577269317334</v>
      </c>
      <c r="L126" s="61">
        <v>266.72441860465119</v>
      </c>
      <c r="M126" s="61">
        <v>278.64919354838707</v>
      </c>
      <c r="N126" s="61">
        <v>278.64919354838707</v>
      </c>
      <c r="O126" s="61">
        <v>278.16081810631232</v>
      </c>
      <c r="P126" s="61">
        <v>278.90322580645159</v>
      </c>
      <c r="Q126" s="57"/>
      <c r="R126" s="58"/>
      <c r="S126" s="47"/>
      <c r="T126" s="48"/>
      <c r="U126" s="48"/>
      <c r="V126" s="49"/>
      <c r="W126" s="50"/>
      <c r="X126" s="51"/>
      <c r="Y126" s="2"/>
      <c r="Z126" s="2"/>
      <c r="AB126" s="2"/>
    </row>
    <row r="127" spans="1:28" ht="46.5" customHeight="1">
      <c r="A127" s="158"/>
      <c r="B127" s="164"/>
      <c r="C127" s="59" t="s">
        <v>18</v>
      </c>
      <c r="D127" s="60" t="s">
        <v>21</v>
      </c>
      <c r="E127" s="61">
        <v>278.52810077519428</v>
      </c>
      <c r="F127" s="61">
        <v>267.37921980495162</v>
      </c>
      <c r="G127" s="61">
        <v>271.12974806201595</v>
      </c>
      <c r="H127" s="61">
        <v>274.50665791447904</v>
      </c>
      <c r="I127" s="61">
        <v>273.96774193548384</v>
      </c>
      <c r="J127" s="61">
        <v>275.23333333333335</v>
      </c>
      <c r="K127" s="61">
        <v>277.06451612903226</v>
      </c>
      <c r="L127" s="61">
        <v>277.43333333333334</v>
      </c>
      <c r="M127" s="61">
        <v>280.25806451612902</v>
      </c>
      <c r="N127" s="61">
        <v>279.87096774193549</v>
      </c>
      <c r="O127" s="61">
        <v>280.13793103448273</v>
      </c>
      <c r="P127" s="61">
        <v>279.96774193548384</v>
      </c>
      <c r="Q127" s="62"/>
      <c r="R127" s="63"/>
      <c r="S127" s="64"/>
      <c r="T127" s="65"/>
      <c r="U127" s="65"/>
      <c r="V127" s="49"/>
      <c r="W127" s="49"/>
      <c r="X127" s="66"/>
      <c r="AB127" s="6"/>
    </row>
    <row r="128" spans="1:28" s="52" customFormat="1" ht="46.5" customHeight="1">
      <c r="A128" s="158"/>
      <c r="B128" s="164"/>
      <c r="C128" s="59" t="s">
        <v>18</v>
      </c>
      <c r="D128" s="60" t="s">
        <v>22</v>
      </c>
      <c r="E128" s="61">
        <v>273.16976744186093</v>
      </c>
      <c r="F128" s="61">
        <v>260.21952363090816</v>
      </c>
      <c r="G128" s="61">
        <v>239.07955426356622</v>
      </c>
      <c r="H128" s="61">
        <v>250.80598274568678</v>
      </c>
      <c r="I128" s="61">
        <v>279.45545761440405</v>
      </c>
      <c r="J128" s="61">
        <v>279.29573643410896</v>
      </c>
      <c r="K128" s="61">
        <v>279.75131282820746</v>
      </c>
      <c r="L128" s="61">
        <v>263.43333333333334</v>
      </c>
      <c r="M128" s="61">
        <v>264.37838709677413</v>
      </c>
      <c r="N128" s="61">
        <v>269.61290322580646</v>
      </c>
      <c r="O128" s="61">
        <v>273.71428571428572</v>
      </c>
      <c r="P128" s="61">
        <v>279.87096774193549</v>
      </c>
      <c r="Q128" s="57"/>
      <c r="R128" s="58"/>
      <c r="S128" s="47"/>
      <c r="T128" s="48"/>
      <c r="U128" s="48"/>
      <c r="V128" s="49"/>
      <c r="W128" s="50"/>
      <c r="X128" s="51"/>
      <c r="Y128" s="2"/>
      <c r="Z128" s="2"/>
      <c r="AB128" s="2"/>
    </row>
    <row r="129" spans="1:28" s="52" customFormat="1" ht="46.5" customHeight="1">
      <c r="A129" s="158"/>
      <c r="B129" s="164"/>
      <c r="C129" s="59" t="s">
        <v>18</v>
      </c>
      <c r="D129" s="60" t="str">
        <f>+D100</f>
        <v>2021-22</v>
      </c>
      <c r="E129" s="61">
        <v>266.48362403100816</v>
      </c>
      <c r="F129" s="61">
        <v>268.84302325581439</v>
      </c>
      <c r="G129" s="61">
        <v>270.76996124031052</v>
      </c>
      <c r="H129" s="61">
        <v>268.14919354838759</v>
      </c>
      <c r="I129" s="61">
        <v>278.67019879970036</v>
      </c>
      <c r="J129" s="61">
        <v>277.27286821705468</v>
      </c>
      <c r="K129" s="61">
        <v>276.49362340585191</v>
      </c>
      <c r="L129" s="61">
        <v>279.76240310077566</v>
      </c>
      <c r="M129" s="61">
        <v>279.5684546136539</v>
      </c>
      <c r="N129" s="61">
        <v>280.06339084771236</v>
      </c>
      <c r="O129" s="61">
        <v>280.22674418604697</v>
      </c>
      <c r="P129" s="61">
        <v>278.87096774193549</v>
      </c>
      <c r="Q129" s="57"/>
      <c r="R129" s="58"/>
      <c r="S129" s="47"/>
      <c r="T129" s="48"/>
      <c r="U129" s="48"/>
      <c r="V129" s="49"/>
      <c r="W129" s="50"/>
      <c r="X129" s="51"/>
      <c r="Y129" s="2"/>
      <c r="Z129" s="2"/>
      <c r="AB129" s="2"/>
    </row>
    <row r="130" spans="1:28" ht="46.5" customHeight="1">
      <c r="A130" s="158"/>
      <c r="B130" s="164"/>
      <c r="C130" s="59" t="s">
        <v>18</v>
      </c>
      <c r="D130" s="60" t="str">
        <f>+D101</f>
        <v>2020-21</v>
      </c>
      <c r="E130" s="61">
        <v>220.51424418604685</v>
      </c>
      <c r="F130" s="61">
        <v>223.1964553638413</v>
      </c>
      <c r="G130" s="61">
        <v>250.86715116279112</v>
      </c>
      <c r="H130" s="61">
        <v>263.69017254313621</v>
      </c>
      <c r="I130" s="61">
        <v>280.41307201800498</v>
      </c>
      <c r="J130" s="61">
        <v>251.18100775193838</v>
      </c>
      <c r="K130" s="61">
        <v>267.43323330832749</v>
      </c>
      <c r="L130" s="61">
        <v>261.94699612403139</v>
      </c>
      <c r="M130" s="61">
        <v>280.42910727681965</v>
      </c>
      <c r="N130" s="61">
        <v>280.70967741935482</v>
      </c>
      <c r="O130" s="61">
        <v>280.71428571428572</v>
      </c>
      <c r="P130" s="61">
        <v>280.90322580645159</v>
      </c>
      <c r="Q130" s="62"/>
      <c r="R130" s="63"/>
      <c r="S130" s="64"/>
      <c r="T130" s="65"/>
      <c r="U130" s="65"/>
      <c r="V130" s="49"/>
      <c r="W130" s="49"/>
      <c r="X130" s="66"/>
      <c r="Y130" s="49"/>
      <c r="Z130" s="49"/>
      <c r="AB130" s="49"/>
    </row>
    <row r="131" spans="1:28" ht="46.5" customHeight="1">
      <c r="A131" s="158"/>
      <c r="B131" s="164"/>
      <c r="C131" s="59" t="str">
        <f>+C102</f>
        <v>Actual</v>
      </c>
      <c r="D131" s="60" t="str">
        <f>+D102</f>
        <v>2019-20</v>
      </c>
      <c r="E131" s="61">
        <v>266.01812015503901</v>
      </c>
      <c r="F131" s="61">
        <v>277.34743060765197</v>
      </c>
      <c r="G131" s="61">
        <v>276.778197674419</v>
      </c>
      <c r="H131" s="61">
        <v>269.88597149287398</v>
      </c>
      <c r="I131" s="61">
        <v>278.13706395348902</v>
      </c>
      <c r="J131" s="61">
        <v>262.3</v>
      </c>
      <c r="K131" s="61">
        <v>275</v>
      </c>
      <c r="L131" s="61">
        <v>275.933333333333</v>
      </c>
      <c r="M131" s="61">
        <v>278.38709677419399</v>
      </c>
      <c r="N131" s="61">
        <v>271.68441860465202</v>
      </c>
      <c r="O131" s="61">
        <v>277.13793103448302</v>
      </c>
      <c r="P131" s="61">
        <v>263.27651612903202</v>
      </c>
      <c r="Q131" s="62"/>
      <c r="R131" s="63"/>
      <c r="S131" s="64"/>
      <c r="T131" s="65"/>
      <c r="U131" s="65"/>
      <c r="V131" s="49"/>
      <c r="W131" s="49"/>
      <c r="X131" s="66"/>
      <c r="AB131" s="72"/>
    </row>
    <row r="132" spans="1:28" s="25" customFormat="1" ht="46.5" customHeight="1">
      <c r="A132" s="158"/>
      <c r="B132" s="164"/>
      <c r="C132" s="102" t="s">
        <v>18</v>
      </c>
      <c r="D132" s="103" t="s">
        <v>26</v>
      </c>
      <c r="E132" s="61">
        <v>259.61663333333303</v>
      </c>
      <c r="F132" s="61">
        <v>264.64303225806498</v>
      </c>
      <c r="G132" s="61">
        <v>264.40036666666703</v>
      </c>
      <c r="H132" s="61">
        <v>265.21625806451601</v>
      </c>
      <c r="I132" s="61">
        <v>251.42780645161301</v>
      </c>
      <c r="J132" s="61">
        <v>237.42826666666701</v>
      </c>
      <c r="K132" s="61">
        <v>251.70216129032301</v>
      </c>
      <c r="L132" s="61">
        <v>267.64356666666703</v>
      </c>
      <c r="M132" s="61">
        <v>267.22580645161298</v>
      </c>
      <c r="N132" s="61">
        <v>275.193548387097</v>
      </c>
      <c r="O132" s="61">
        <v>276</v>
      </c>
      <c r="P132" s="61">
        <v>276</v>
      </c>
      <c r="Q132" s="104"/>
      <c r="R132" s="105"/>
      <c r="S132" s="64"/>
      <c r="T132" s="65"/>
      <c r="U132" s="65"/>
      <c r="V132" s="49"/>
      <c r="W132" s="49"/>
      <c r="X132" s="66"/>
      <c r="Y132" s="27"/>
      <c r="Z132" s="27"/>
    </row>
    <row r="133" spans="1:28" ht="46.35" customHeight="1">
      <c r="A133" s="158"/>
      <c r="B133" s="164"/>
      <c r="C133" s="59" t="s">
        <v>18</v>
      </c>
      <c r="D133" s="60" t="s">
        <v>27</v>
      </c>
      <c r="E133" s="61">
        <v>241.566666666667</v>
      </c>
      <c r="F133" s="61">
        <v>232.22580645161301</v>
      </c>
      <c r="G133" s="61">
        <v>246.333333333333</v>
      </c>
      <c r="H133" s="61">
        <v>251.51612903225799</v>
      </c>
      <c r="I133" s="61">
        <v>258</v>
      </c>
      <c r="J133" s="61">
        <v>263.066666666667</v>
      </c>
      <c r="K133" s="61">
        <v>245.29032258064501</v>
      </c>
      <c r="L133" s="61">
        <v>250.066666666667</v>
      </c>
      <c r="M133" s="61">
        <v>255.322580645161</v>
      </c>
      <c r="N133" s="61">
        <v>261.33596774193501</v>
      </c>
      <c r="O133" s="61">
        <v>254.70099999999999</v>
      </c>
      <c r="P133" s="61">
        <v>263.16129032258101</v>
      </c>
      <c r="Q133" s="60"/>
      <c r="R133" s="64"/>
      <c r="S133" s="64"/>
      <c r="T133" s="65"/>
      <c r="U133" s="65"/>
      <c r="V133" s="49"/>
      <c r="W133" s="49"/>
      <c r="X133" s="66"/>
    </row>
    <row r="134" spans="1:28" ht="46.35" customHeight="1">
      <c r="A134" s="158"/>
      <c r="B134" s="164"/>
      <c r="C134" s="59" t="s">
        <v>18</v>
      </c>
      <c r="D134" s="60" t="s">
        <v>28</v>
      </c>
      <c r="E134" s="61">
        <v>228</v>
      </c>
      <c r="F134" s="61">
        <v>244.870967741935</v>
      </c>
      <c r="G134" s="61">
        <v>247.9</v>
      </c>
      <c r="H134" s="61">
        <v>247.51612903225799</v>
      </c>
      <c r="I134" s="61">
        <v>243.38709677419399</v>
      </c>
      <c r="J134" s="61">
        <v>244.23333333333301</v>
      </c>
      <c r="K134" s="61">
        <v>248.96774193548401</v>
      </c>
      <c r="L134" s="61">
        <v>248.666666666667</v>
      </c>
      <c r="M134" s="61">
        <v>255.129032258065</v>
      </c>
      <c r="N134" s="61">
        <v>231.41935483871001</v>
      </c>
      <c r="O134" s="61">
        <v>235.142857142857</v>
      </c>
      <c r="P134" s="61">
        <v>249.50593548387101</v>
      </c>
      <c r="Q134" s="60"/>
      <c r="R134" s="64"/>
      <c r="S134" s="64"/>
      <c r="T134" s="65"/>
      <c r="U134" s="65"/>
      <c r="V134" s="49"/>
      <c r="W134" s="49"/>
      <c r="X134" s="66"/>
    </row>
    <row r="135" spans="1:28" ht="46.35" customHeight="1">
      <c r="A135" s="158"/>
      <c r="B135" s="164"/>
      <c r="C135" s="59" t="s">
        <v>18</v>
      </c>
      <c r="D135" s="60" t="s">
        <v>29</v>
      </c>
      <c r="E135" s="76">
        <v>231.9</v>
      </c>
      <c r="F135" s="76">
        <v>234.83870967741899</v>
      </c>
      <c r="G135" s="76">
        <v>225.86666666666699</v>
      </c>
      <c r="H135" s="76">
        <v>222.41935483871001</v>
      </c>
      <c r="I135" s="76">
        <v>235.90322580645201</v>
      </c>
      <c r="J135" s="76">
        <v>234.8</v>
      </c>
      <c r="K135" s="76">
        <v>234.48400000000001</v>
      </c>
      <c r="L135" s="76">
        <v>231.00446666666701</v>
      </c>
      <c r="M135" s="76">
        <v>226.177419354839</v>
      </c>
      <c r="N135" s="76">
        <v>230.129032258065</v>
      </c>
      <c r="O135" s="76">
        <v>230.172413793103</v>
      </c>
      <c r="P135" s="76">
        <v>223.193548387097</v>
      </c>
      <c r="Q135" s="60"/>
      <c r="R135" s="64"/>
      <c r="S135" s="64"/>
      <c r="T135" s="65"/>
      <c r="U135" s="65"/>
      <c r="V135" s="49"/>
      <c r="W135" s="49"/>
      <c r="X135" s="66"/>
    </row>
    <row r="136" spans="1:28" ht="61.5" customHeight="1">
      <c r="A136" s="158"/>
      <c r="B136" s="164"/>
      <c r="C136" s="59" t="s">
        <v>18</v>
      </c>
      <c r="D136" s="60" t="s">
        <v>30</v>
      </c>
      <c r="E136" s="61">
        <v>191.4</v>
      </c>
      <c r="F136" s="61">
        <v>187.58064516128999</v>
      </c>
      <c r="G136" s="61">
        <v>179.566666666667</v>
      </c>
      <c r="H136" s="61">
        <v>171.870967741935</v>
      </c>
      <c r="I136" s="61">
        <v>184.258064516129</v>
      </c>
      <c r="J136" s="61">
        <v>181.1</v>
      </c>
      <c r="K136" s="61">
        <v>170.09700000000001</v>
      </c>
      <c r="L136" s="61">
        <v>178.73333333333301</v>
      </c>
      <c r="M136" s="61">
        <v>201.09677419354799</v>
      </c>
      <c r="N136" s="61">
        <v>217.09677419354799</v>
      </c>
      <c r="O136" s="61">
        <v>225.28571428571399</v>
      </c>
      <c r="P136" s="61">
        <v>228.45161290322599</v>
      </c>
      <c r="Q136" s="60"/>
      <c r="R136" s="64"/>
      <c r="S136" s="64"/>
      <c r="T136" s="65"/>
      <c r="U136" s="65"/>
      <c r="V136" s="49"/>
      <c r="W136" s="49"/>
      <c r="X136" s="66"/>
    </row>
    <row r="137" spans="1:28" ht="61.5" customHeight="1">
      <c r="A137" s="158"/>
      <c r="B137" s="164"/>
      <c r="C137" s="59" t="s">
        <v>18</v>
      </c>
      <c r="D137" s="78" t="s">
        <v>31</v>
      </c>
      <c r="E137" s="61">
        <v>223</v>
      </c>
      <c r="F137" s="61">
        <v>234.065</v>
      </c>
      <c r="G137" s="61">
        <v>225.34463333333301</v>
      </c>
      <c r="H137" s="61">
        <v>231.41900000000001</v>
      </c>
      <c r="I137" s="61">
        <v>220.935</v>
      </c>
      <c r="J137" s="61">
        <v>221.36699999999999</v>
      </c>
      <c r="K137" s="61">
        <v>230.51599999999999</v>
      </c>
      <c r="L137" s="61">
        <v>216.06700000000001</v>
      </c>
      <c r="M137" s="61">
        <v>225.387</v>
      </c>
      <c r="N137" s="61">
        <v>226.51599999999999</v>
      </c>
      <c r="O137" s="61">
        <v>222.42857142857099</v>
      </c>
      <c r="P137" s="61">
        <v>211.613</v>
      </c>
      <c r="Q137" s="60"/>
      <c r="R137" s="64"/>
      <c r="S137" s="64"/>
      <c r="T137" s="65"/>
      <c r="U137" s="65"/>
      <c r="V137" s="49"/>
      <c r="W137" s="49"/>
      <c r="X137" s="66"/>
    </row>
    <row r="138" spans="1:28" ht="61.5" customHeight="1">
      <c r="A138" s="158"/>
      <c r="B138" s="164"/>
      <c r="C138" s="59" t="s">
        <v>18</v>
      </c>
      <c r="D138" s="60" t="s">
        <v>32</v>
      </c>
      <c r="E138" s="61">
        <v>129.4</v>
      </c>
      <c r="F138" s="61">
        <v>130</v>
      </c>
      <c r="G138" s="61">
        <v>129</v>
      </c>
      <c r="H138" s="61">
        <v>130</v>
      </c>
      <c r="I138" s="61">
        <v>130</v>
      </c>
      <c r="J138" s="61">
        <v>131.233</v>
      </c>
      <c r="K138" s="61">
        <v>134.29</v>
      </c>
      <c r="L138" s="61">
        <v>136.767</v>
      </c>
      <c r="M138" s="61">
        <v>137</v>
      </c>
      <c r="N138" s="61">
        <v>137</v>
      </c>
      <c r="O138" s="61">
        <v>160</v>
      </c>
      <c r="P138" s="61">
        <v>204.042</v>
      </c>
      <c r="Q138" s="60"/>
      <c r="R138" s="64"/>
      <c r="S138" s="64"/>
      <c r="T138" s="65"/>
      <c r="U138" s="65"/>
      <c r="V138" s="49"/>
      <c r="W138" s="49"/>
      <c r="X138" s="66"/>
    </row>
    <row r="139" spans="1:28" ht="61.5" customHeight="1">
      <c r="A139" s="158"/>
      <c r="B139" s="164"/>
      <c r="C139" s="59" t="s">
        <v>18</v>
      </c>
      <c r="D139" s="60" t="s">
        <v>33</v>
      </c>
      <c r="E139" s="61">
        <v>185.566666666667</v>
      </c>
      <c r="F139" s="61">
        <v>187.806451612903</v>
      </c>
      <c r="G139" s="61">
        <f>5622/30</f>
        <v>187.4</v>
      </c>
      <c r="H139" s="61">
        <f>5823/31</f>
        <v>187.83870967741936</v>
      </c>
      <c r="I139" s="61">
        <v>174</v>
      </c>
      <c r="J139" s="61">
        <v>172.96666666666701</v>
      </c>
      <c r="K139" s="61">
        <v>175.38709677419399</v>
      </c>
      <c r="L139" s="61">
        <f>5432/30</f>
        <v>181.06666666666666</v>
      </c>
      <c r="M139" s="61">
        <f>5257/31</f>
        <v>169.58064516129033</v>
      </c>
      <c r="N139" s="61">
        <v>170</v>
      </c>
      <c r="O139" s="61">
        <v>162.96551724137899</v>
      </c>
      <c r="P139" s="61">
        <f>3892/31</f>
        <v>125.54838709677419</v>
      </c>
      <c r="Q139" s="60"/>
      <c r="R139" s="47"/>
      <c r="S139" s="47"/>
      <c r="T139" s="48"/>
      <c r="U139" s="48"/>
      <c r="V139" s="49"/>
      <c r="W139" s="50"/>
      <c r="X139" s="51"/>
    </row>
    <row r="140" spans="1:28" ht="61.5" customHeight="1">
      <c r="A140" s="158"/>
      <c r="B140" s="164"/>
      <c r="C140" s="59" t="s">
        <v>18</v>
      </c>
      <c r="D140" s="60" t="s">
        <v>34</v>
      </c>
      <c r="E140" s="61">
        <v>123.3</v>
      </c>
      <c r="F140" s="61">
        <v>123.58064516128999</v>
      </c>
      <c r="G140" s="61">
        <v>123.6</v>
      </c>
      <c r="H140" s="61">
        <v>123.645161290323</v>
      </c>
      <c r="I140" s="61">
        <v>148.741935483871</v>
      </c>
      <c r="J140" s="61">
        <v>171.1</v>
      </c>
      <c r="K140" s="61">
        <v>189.54838709677401</v>
      </c>
      <c r="L140" s="61">
        <v>189.5</v>
      </c>
      <c r="M140" s="61">
        <v>179.58064516128999</v>
      </c>
      <c r="N140" s="61">
        <v>177.03225806451599</v>
      </c>
      <c r="O140" s="61">
        <v>178.82142857142901</v>
      </c>
      <c r="P140" s="61">
        <v>182.90322580645201</v>
      </c>
      <c r="Q140" s="60"/>
      <c r="R140" s="47"/>
      <c r="S140" s="47"/>
      <c r="T140" s="48"/>
      <c r="U140" s="48"/>
      <c r="V140" s="49"/>
      <c r="W140" s="50"/>
      <c r="X140" s="51"/>
    </row>
    <row r="141" spans="1:28" ht="61.5" customHeight="1">
      <c r="A141" s="158"/>
      <c r="B141" s="164"/>
      <c r="C141" s="59" t="s">
        <v>18</v>
      </c>
      <c r="D141" s="60" t="s">
        <v>35</v>
      </c>
      <c r="E141" s="61">
        <v>128.4</v>
      </c>
      <c r="F141" s="61">
        <v>119.935483870968</v>
      </c>
      <c r="G141" s="61">
        <v>118.26666666666701</v>
      </c>
      <c r="H141" s="61">
        <v>117.45161290322601</v>
      </c>
      <c r="I141" s="61">
        <v>112.225806451613</v>
      </c>
      <c r="J141" s="61">
        <v>114.833333333333</v>
      </c>
      <c r="K141" s="61">
        <v>119.61290322580599</v>
      </c>
      <c r="L141" s="61">
        <v>120</v>
      </c>
      <c r="M141" s="61">
        <v>120</v>
      </c>
      <c r="N141" s="61">
        <v>121.51612903225799</v>
      </c>
      <c r="O141" s="61">
        <v>124</v>
      </c>
      <c r="P141" s="61">
        <v>123.38709677419401</v>
      </c>
      <c r="Q141" s="60"/>
      <c r="R141" s="47"/>
      <c r="S141" s="47"/>
      <c r="T141" s="48"/>
      <c r="U141" s="48"/>
      <c r="V141" s="49"/>
      <c r="W141" s="50"/>
      <c r="X141" s="51"/>
    </row>
    <row r="142" spans="1:28" ht="61.5" customHeight="1">
      <c r="A142" s="158"/>
      <c r="B142" s="164"/>
      <c r="C142" s="59" t="s">
        <v>18</v>
      </c>
      <c r="D142" s="60" t="s">
        <v>36</v>
      </c>
      <c r="E142" s="61">
        <v>140</v>
      </c>
      <c r="F142" s="61">
        <v>150.09677419354799</v>
      </c>
      <c r="G142" s="61">
        <v>160</v>
      </c>
      <c r="H142" s="61">
        <v>155.129032258065</v>
      </c>
      <c r="I142" s="61">
        <v>164.48387096774201</v>
      </c>
      <c r="J142" s="61">
        <v>162.933333333333</v>
      </c>
      <c r="K142" s="61">
        <v>161.16129032258101</v>
      </c>
      <c r="L142" s="61">
        <v>155.566666666667</v>
      </c>
      <c r="M142" s="61">
        <v>145.29032258064501</v>
      </c>
      <c r="N142" s="61">
        <v>138.64516129032299</v>
      </c>
      <c r="O142" s="61">
        <v>133.42857142857099</v>
      </c>
      <c r="P142" s="61">
        <v>131.90322580645201</v>
      </c>
      <c r="Q142" s="81"/>
      <c r="R142" s="47"/>
      <c r="S142" s="47"/>
      <c r="T142" s="48"/>
      <c r="U142" s="48"/>
      <c r="V142" s="49"/>
      <c r="W142" s="50"/>
      <c r="X142" s="51"/>
    </row>
    <row r="143" spans="1:28" ht="61.5" customHeight="1">
      <c r="A143" s="158"/>
      <c r="B143" s="164"/>
      <c r="C143" s="59" t="s">
        <v>18</v>
      </c>
      <c r="D143" s="60" t="s">
        <v>37</v>
      </c>
      <c r="E143" s="85">
        <v>172.26666666666699</v>
      </c>
      <c r="F143" s="85">
        <v>173</v>
      </c>
      <c r="G143" s="85">
        <v>172.2</v>
      </c>
      <c r="H143" s="85">
        <v>170</v>
      </c>
      <c r="I143" s="85">
        <v>163.77419354838699</v>
      </c>
      <c r="J143" s="85">
        <v>164.8</v>
      </c>
      <c r="K143" s="85">
        <v>164.741935483871</v>
      </c>
      <c r="L143" s="85">
        <v>166.933333333333</v>
      </c>
      <c r="M143" s="85">
        <v>170.51612903225799</v>
      </c>
      <c r="N143" s="85">
        <v>163.35483870967701</v>
      </c>
      <c r="O143" s="85">
        <v>154.79310344827601</v>
      </c>
      <c r="P143" s="85">
        <v>140</v>
      </c>
      <c r="Q143" s="46"/>
      <c r="R143" s="47"/>
      <c r="S143" s="47"/>
      <c r="T143" s="48"/>
      <c r="U143" s="48"/>
      <c r="V143" s="49"/>
      <c r="W143" s="50"/>
      <c r="X143" s="51"/>
    </row>
    <row r="144" spans="1:28" ht="61.5" customHeight="1">
      <c r="A144" s="158"/>
      <c r="B144" s="164"/>
      <c r="C144" s="59" t="s">
        <v>18</v>
      </c>
      <c r="D144" s="60" t="s">
        <v>38</v>
      </c>
      <c r="E144" s="85">
        <v>170</v>
      </c>
      <c r="F144" s="85">
        <v>170</v>
      </c>
      <c r="G144" s="85">
        <v>171.03333333333299</v>
      </c>
      <c r="H144" s="85">
        <v>170.22580645161301</v>
      </c>
      <c r="I144" s="85">
        <v>170.193548387097</v>
      </c>
      <c r="J144" s="85">
        <v>170.166666666667</v>
      </c>
      <c r="K144" s="85">
        <v>170.35483870967701</v>
      </c>
      <c r="L144" s="85">
        <v>170.1</v>
      </c>
      <c r="M144" s="85">
        <v>170</v>
      </c>
      <c r="N144" s="85">
        <v>170</v>
      </c>
      <c r="O144" s="85">
        <v>169.71428571428601</v>
      </c>
      <c r="P144" s="85">
        <v>172</v>
      </c>
      <c r="Q144" s="46"/>
      <c r="R144" s="47"/>
      <c r="S144" s="47"/>
      <c r="T144" s="48"/>
      <c r="U144" s="48"/>
      <c r="V144" s="49"/>
      <c r="W144" s="50"/>
      <c r="X144" s="51"/>
    </row>
    <row r="145" spans="1:28" ht="61.5" customHeight="1">
      <c r="A145" s="158"/>
      <c r="B145" s="164"/>
      <c r="C145" s="59" t="s">
        <v>18</v>
      </c>
      <c r="D145" s="60" t="s">
        <v>39</v>
      </c>
      <c r="E145" s="85">
        <v>165</v>
      </c>
      <c r="F145" s="85">
        <v>168.64516129032299</v>
      </c>
      <c r="G145" s="85">
        <v>165.8</v>
      </c>
      <c r="H145" s="85">
        <v>160.806451612903</v>
      </c>
      <c r="I145" s="85">
        <v>160.90322580645201</v>
      </c>
      <c r="J145" s="85">
        <v>160</v>
      </c>
      <c r="K145" s="85">
        <v>164.193548387097</v>
      </c>
      <c r="L145" s="85">
        <v>170</v>
      </c>
      <c r="M145" s="85">
        <v>170</v>
      </c>
      <c r="N145" s="85">
        <v>170</v>
      </c>
      <c r="O145" s="85">
        <v>165.46428571428601</v>
      </c>
      <c r="P145" s="85">
        <v>170</v>
      </c>
      <c r="Q145" s="46"/>
      <c r="R145" s="47"/>
      <c r="S145" s="47"/>
      <c r="T145" s="48"/>
      <c r="U145" s="48"/>
      <c r="V145" s="49"/>
      <c r="W145" s="50"/>
      <c r="X145" s="51"/>
    </row>
    <row r="146" spans="1:28" ht="61.5" customHeight="1">
      <c r="A146" s="158"/>
      <c r="B146" s="164"/>
      <c r="C146" s="59" t="s">
        <v>18</v>
      </c>
      <c r="D146" s="60" t="s">
        <v>40</v>
      </c>
      <c r="E146" s="85">
        <v>163.30000000000001</v>
      </c>
      <c r="F146" s="85">
        <v>165</v>
      </c>
      <c r="G146" s="85">
        <v>165</v>
      </c>
      <c r="H146" s="85">
        <v>165</v>
      </c>
      <c r="I146" s="85">
        <v>166</v>
      </c>
      <c r="J146" s="85">
        <v>170</v>
      </c>
      <c r="K146" s="85">
        <v>169.064516129032</v>
      </c>
      <c r="L146" s="85">
        <v>165</v>
      </c>
      <c r="M146" s="85">
        <v>165.09677419354799</v>
      </c>
      <c r="N146" s="85">
        <v>170</v>
      </c>
      <c r="O146" s="85">
        <v>170</v>
      </c>
      <c r="P146" s="85">
        <v>169.58064516128999</v>
      </c>
      <c r="Q146" s="46"/>
      <c r="R146" s="47"/>
      <c r="S146" s="47"/>
      <c r="T146" s="48"/>
      <c r="U146" s="48"/>
      <c r="V146" s="49"/>
      <c r="W146" s="50"/>
      <c r="X146" s="51"/>
    </row>
    <row r="147" spans="1:28" ht="61.5" customHeight="1">
      <c r="A147" s="158"/>
      <c r="B147" s="164"/>
      <c r="C147" s="59" t="s">
        <v>18</v>
      </c>
      <c r="D147" s="60" t="s">
        <v>41</v>
      </c>
      <c r="E147" s="85">
        <v>170.666666666667</v>
      </c>
      <c r="F147" s="85">
        <v>169.806451612903</v>
      </c>
      <c r="G147" s="85">
        <v>165.73333333333301</v>
      </c>
      <c r="H147" s="85">
        <v>169.83870967741899</v>
      </c>
      <c r="I147" s="85">
        <v>171.258064516129</v>
      </c>
      <c r="J147" s="85">
        <v>171.1</v>
      </c>
      <c r="K147" s="85">
        <v>164.193548387097</v>
      </c>
      <c r="L147" s="85">
        <v>153.19999999999999</v>
      </c>
      <c r="M147" s="85">
        <v>151</v>
      </c>
      <c r="N147" s="85">
        <v>151</v>
      </c>
      <c r="O147" s="85">
        <v>157.51724137931001</v>
      </c>
      <c r="P147" s="85">
        <v>165</v>
      </c>
      <c r="Q147" s="46"/>
      <c r="R147" s="47"/>
      <c r="S147" s="47"/>
      <c r="T147" s="48"/>
      <c r="U147" s="48"/>
      <c r="V147" s="49"/>
      <c r="W147" s="50"/>
      <c r="X147" s="51"/>
    </row>
    <row r="148" spans="1:28" ht="61.5" customHeight="1">
      <c r="A148" s="158"/>
      <c r="B148" s="164"/>
      <c r="C148" s="59" t="s">
        <v>18</v>
      </c>
      <c r="D148" s="60" t="s">
        <v>42</v>
      </c>
      <c r="E148" s="85">
        <v>142</v>
      </c>
      <c r="F148" s="85">
        <v>108.696</v>
      </c>
      <c r="G148" s="85">
        <v>141.03333333333299</v>
      </c>
      <c r="H148" s="85">
        <v>133.258064516129</v>
      </c>
      <c r="I148" s="85">
        <v>131</v>
      </c>
      <c r="J148" s="85">
        <v>152.19999999999999</v>
      </c>
      <c r="K148" s="85">
        <v>138.96774193548401</v>
      </c>
      <c r="L148" s="85">
        <v>150.23333333333301</v>
      </c>
      <c r="M148" s="85">
        <v>153.870967741935</v>
      </c>
      <c r="N148" s="85">
        <v>152.38709677419399</v>
      </c>
      <c r="O148" s="85">
        <v>150</v>
      </c>
      <c r="P148" s="85">
        <v>159.6</v>
      </c>
      <c r="Q148" s="46"/>
      <c r="R148" s="47"/>
      <c r="S148" s="47"/>
      <c r="T148" s="48"/>
      <c r="U148" s="48"/>
      <c r="V148" s="49"/>
      <c r="W148" s="50"/>
      <c r="X148" s="51"/>
    </row>
    <row r="149" spans="1:28" ht="61.5" customHeight="1">
      <c r="A149" s="158"/>
      <c r="B149" s="164"/>
      <c r="C149" s="59" t="s">
        <v>18</v>
      </c>
      <c r="D149" s="60" t="s">
        <v>43</v>
      </c>
      <c r="E149" s="85">
        <v>145</v>
      </c>
      <c r="F149" s="85">
        <v>145</v>
      </c>
      <c r="G149" s="85">
        <v>145</v>
      </c>
      <c r="H149" s="85">
        <v>144</v>
      </c>
      <c r="I149" s="85">
        <v>140</v>
      </c>
      <c r="J149" s="85">
        <v>134.53333333333299</v>
      </c>
      <c r="K149" s="85">
        <v>132.51612903225799</v>
      </c>
      <c r="L149" s="85">
        <v>137.4</v>
      </c>
      <c r="M149" s="85">
        <v>140</v>
      </c>
      <c r="N149" s="85">
        <v>140</v>
      </c>
      <c r="O149" s="85">
        <v>148.07142857142901</v>
      </c>
      <c r="P149" s="85">
        <v>150</v>
      </c>
      <c r="Q149" s="46"/>
      <c r="R149" s="47"/>
      <c r="S149" s="47"/>
      <c r="T149" s="48"/>
      <c r="U149" s="48"/>
      <c r="V149" s="49"/>
      <c r="W149" s="50"/>
      <c r="X149" s="51"/>
    </row>
    <row r="150" spans="1:28" ht="61.5" customHeight="1">
      <c r="A150" s="158"/>
      <c r="B150" s="164"/>
      <c r="C150" s="80" t="s">
        <v>18</v>
      </c>
      <c r="D150" s="81" t="s">
        <v>44</v>
      </c>
      <c r="E150" s="106">
        <v>152</v>
      </c>
      <c r="F150" s="106">
        <v>145</v>
      </c>
      <c r="G150" s="106">
        <v>145</v>
      </c>
      <c r="H150" s="106">
        <v>150.806451612903</v>
      </c>
      <c r="I150" s="106">
        <v>160</v>
      </c>
      <c r="J150" s="106">
        <v>164.86666666666699</v>
      </c>
      <c r="K150" s="106">
        <v>146.806451612903</v>
      </c>
      <c r="L150" s="106">
        <v>143.333333333333</v>
      </c>
      <c r="M150" s="106">
        <v>140.258064516129</v>
      </c>
      <c r="N150" s="106">
        <v>141.03225806451599</v>
      </c>
      <c r="O150" s="106">
        <v>144.892857142857</v>
      </c>
      <c r="P150" s="106">
        <v>151.129032258065</v>
      </c>
      <c r="Q150" s="46"/>
      <c r="R150" s="107"/>
      <c r="S150" s="47"/>
      <c r="T150" s="48"/>
      <c r="U150" s="48"/>
      <c r="V150" s="49"/>
      <c r="W150" s="50"/>
      <c r="X150" s="51"/>
    </row>
    <row r="151" spans="1:28" ht="61.5" customHeight="1">
      <c r="A151" s="158"/>
      <c r="B151" s="84"/>
      <c r="C151" s="59"/>
      <c r="D151" s="60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46"/>
      <c r="R151" s="47"/>
      <c r="S151" s="47"/>
      <c r="T151" s="48"/>
      <c r="U151" s="48"/>
      <c r="V151" s="49"/>
      <c r="W151" s="50"/>
      <c r="X151" s="51"/>
    </row>
    <row r="152" spans="1:28" ht="61.5" customHeight="1">
      <c r="A152" s="158"/>
      <c r="B152" s="84"/>
      <c r="C152" s="59"/>
      <c r="D152" s="60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46"/>
      <c r="R152" s="47"/>
      <c r="S152" s="47"/>
      <c r="T152" s="48"/>
      <c r="U152" s="48"/>
      <c r="V152" s="49"/>
      <c r="W152" s="50"/>
      <c r="X152" s="51"/>
    </row>
    <row r="153" spans="1:28" ht="61.5" customHeight="1">
      <c r="A153" s="158"/>
      <c r="B153" s="98"/>
      <c r="C153" s="100"/>
      <c r="D153" s="101"/>
      <c r="E153" s="21"/>
      <c r="F153" s="21"/>
      <c r="G153" s="21"/>
      <c r="H153" s="20"/>
      <c r="I153" s="21"/>
      <c r="J153" s="21"/>
      <c r="K153" s="21"/>
      <c r="L153" s="21"/>
      <c r="M153" s="21"/>
      <c r="N153" s="21"/>
      <c r="O153" s="21"/>
      <c r="P153" s="21"/>
      <c r="Q153" s="46"/>
      <c r="R153" s="47"/>
      <c r="S153" s="47"/>
      <c r="T153" s="48"/>
      <c r="U153" s="48"/>
      <c r="V153" s="49"/>
      <c r="W153" s="50"/>
      <c r="X153" s="51"/>
    </row>
    <row r="154" spans="1:28" s="109" customFormat="1" ht="65.099999999999994" customHeight="1">
      <c r="A154" s="158"/>
      <c r="B154" s="160"/>
      <c r="C154" s="42"/>
      <c r="D154" s="43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3"/>
      <c r="R154" s="91"/>
      <c r="S154" s="47"/>
      <c r="T154" s="48"/>
      <c r="U154" s="48"/>
      <c r="V154" s="49"/>
      <c r="W154" s="50"/>
      <c r="X154" s="51"/>
      <c r="Y154" s="108"/>
      <c r="Z154" s="108"/>
    </row>
    <row r="155" spans="1:28" s="52" customFormat="1">
      <c r="A155" s="158"/>
      <c r="B155" s="161"/>
      <c r="C155" s="55"/>
      <c r="D155" s="4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7"/>
      <c r="R155" s="58"/>
      <c r="S155" s="47"/>
      <c r="T155" s="48"/>
      <c r="U155" s="48"/>
      <c r="V155" s="49"/>
      <c r="W155" s="50"/>
      <c r="X155" s="51"/>
      <c r="Y155" s="2"/>
      <c r="Z155" s="2"/>
      <c r="AB155" s="2"/>
    </row>
    <row r="156" spans="1:28" ht="46.5" customHeight="1">
      <c r="A156" s="158"/>
      <c r="B156" s="161"/>
      <c r="C156" s="59"/>
      <c r="D156" s="60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2"/>
      <c r="R156" s="63"/>
      <c r="S156" s="64"/>
      <c r="T156" s="65"/>
      <c r="U156" s="65"/>
      <c r="V156" s="49"/>
      <c r="W156" s="49"/>
      <c r="X156" s="66"/>
      <c r="AB156" s="6"/>
    </row>
    <row r="157" spans="1:28" s="52" customFormat="1" ht="46.5" customHeight="1">
      <c r="A157" s="158"/>
      <c r="B157" s="161"/>
      <c r="C157" s="59"/>
      <c r="D157" s="60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57"/>
      <c r="R157" s="58"/>
      <c r="S157" s="47"/>
      <c r="T157" s="48"/>
      <c r="U157" s="48"/>
      <c r="V157" s="49"/>
      <c r="W157" s="50"/>
      <c r="X157" s="51"/>
      <c r="Y157" s="2"/>
      <c r="Z157" s="2"/>
      <c r="AB157" s="2"/>
    </row>
    <row r="158" spans="1:28" ht="46.5" customHeight="1">
      <c r="A158" s="158"/>
      <c r="B158" s="161"/>
      <c r="C158" s="59"/>
      <c r="D158" s="60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2"/>
      <c r="R158" s="63"/>
      <c r="S158" s="64"/>
      <c r="T158" s="65"/>
      <c r="U158" s="65"/>
      <c r="V158" s="49"/>
      <c r="W158" s="49"/>
      <c r="X158" s="66"/>
      <c r="AB158" s="6"/>
    </row>
    <row r="159" spans="1:28" s="52" customFormat="1" ht="46.5" customHeight="1">
      <c r="A159" s="158"/>
      <c r="B159" s="161"/>
      <c r="C159" s="59"/>
      <c r="D159" s="60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57"/>
      <c r="R159" s="58"/>
      <c r="S159" s="47"/>
      <c r="T159" s="48"/>
      <c r="U159" s="48"/>
      <c r="V159" s="49"/>
      <c r="W159" s="50"/>
      <c r="X159" s="51"/>
      <c r="Y159" s="2"/>
      <c r="Z159" s="2"/>
      <c r="AB159" s="2"/>
    </row>
    <row r="160" spans="1:28" s="52" customFormat="1" ht="46.5" customHeight="1">
      <c r="A160" s="158"/>
      <c r="B160" s="161"/>
      <c r="C160" s="59"/>
      <c r="D160" s="60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57"/>
      <c r="R160" s="58"/>
      <c r="S160" s="47"/>
      <c r="T160" s="48"/>
      <c r="U160" s="48"/>
      <c r="V160" s="49"/>
      <c r="W160" s="50"/>
      <c r="X160" s="51"/>
      <c r="Y160" s="2"/>
      <c r="Z160" s="2"/>
      <c r="AB160" s="2"/>
    </row>
    <row r="161" spans="1:28" ht="46.5" customHeight="1">
      <c r="A161" s="158"/>
      <c r="B161" s="161"/>
      <c r="C161" s="59"/>
      <c r="D161" s="60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2"/>
      <c r="R161" s="63"/>
      <c r="S161" s="64"/>
      <c r="T161" s="65"/>
      <c r="U161" s="65"/>
      <c r="V161" s="49"/>
      <c r="W161" s="49"/>
      <c r="X161" s="66"/>
      <c r="Y161" s="49"/>
      <c r="Z161" s="49"/>
      <c r="AB161" s="49"/>
    </row>
    <row r="162" spans="1:28" ht="46.5" customHeight="1">
      <c r="A162" s="158"/>
      <c r="B162" s="161"/>
      <c r="C162" s="59"/>
      <c r="D162" s="60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2"/>
      <c r="R162" s="63"/>
      <c r="S162" s="64"/>
      <c r="T162" s="65"/>
      <c r="U162" s="65"/>
      <c r="V162" s="49"/>
      <c r="W162" s="49"/>
      <c r="X162" s="66"/>
      <c r="AB162" s="72"/>
    </row>
    <row r="163" spans="1:28" s="25" customFormat="1" ht="46.5" customHeight="1">
      <c r="A163" s="158"/>
      <c r="B163" s="161"/>
      <c r="C163" s="102"/>
      <c r="D163" s="103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104"/>
      <c r="R163" s="105"/>
      <c r="S163" s="64"/>
      <c r="T163" s="65"/>
      <c r="U163" s="65"/>
      <c r="V163" s="49"/>
      <c r="W163" s="49"/>
      <c r="X163" s="66"/>
      <c r="Y163" s="27"/>
      <c r="Z163" s="27"/>
      <c r="AB163" s="111"/>
    </row>
    <row r="164" spans="1:28" ht="46.5" customHeight="1">
      <c r="A164" s="158"/>
      <c r="B164" s="161"/>
      <c r="C164" s="59"/>
      <c r="D164" s="60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0"/>
      <c r="R164" s="64"/>
      <c r="S164" s="64"/>
      <c r="T164" s="65"/>
      <c r="U164" s="65"/>
      <c r="V164" s="49"/>
      <c r="W164" s="49"/>
      <c r="X164" s="66"/>
    </row>
    <row r="165" spans="1:28" ht="46.35" customHeight="1">
      <c r="A165" s="158"/>
      <c r="B165" s="161"/>
      <c r="C165" s="59"/>
      <c r="D165" s="60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0"/>
      <c r="R165" s="64"/>
      <c r="S165" s="64"/>
      <c r="T165" s="65"/>
      <c r="U165" s="65"/>
      <c r="V165" s="49"/>
      <c r="W165" s="49"/>
      <c r="X165" s="66"/>
    </row>
    <row r="166" spans="1:28" ht="46.35" customHeight="1">
      <c r="A166" s="158"/>
      <c r="B166" s="161"/>
      <c r="C166" s="59"/>
      <c r="D166" s="60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60"/>
      <c r="R166" s="64"/>
      <c r="S166" s="64"/>
      <c r="T166" s="65"/>
      <c r="U166" s="65"/>
      <c r="V166" s="49"/>
      <c r="W166" s="49"/>
      <c r="X166" s="66"/>
    </row>
    <row r="167" spans="1:28" ht="61.5" customHeight="1">
      <c r="A167" s="158"/>
      <c r="B167" s="161"/>
      <c r="C167" s="59"/>
      <c r="D167" s="60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0"/>
      <c r="R167" s="64"/>
      <c r="S167" s="64"/>
      <c r="T167" s="65"/>
      <c r="U167" s="65"/>
      <c r="V167" s="49"/>
      <c r="W167" s="49"/>
      <c r="X167" s="66"/>
    </row>
    <row r="168" spans="1:28" ht="61.5" customHeight="1">
      <c r="A168" s="158"/>
      <c r="B168" s="161"/>
      <c r="C168" s="59"/>
      <c r="D168" s="78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0"/>
      <c r="R168" s="64"/>
      <c r="S168" s="64"/>
      <c r="T168" s="65"/>
      <c r="U168" s="65"/>
      <c r="V168" s="49"/>
      <c r="W168" s="49"/>
      <c r="X168" s="66"/>
    </row>
    <row r="169" spans="1:28" ht="61.5" customHeight="1">
      <c r="A169" s="158"/>
      <c r="B169" s="161"/>
      <c r="C169" s="59"/>
      <c r="D169" s="60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0"/>
      <c r="R169" s="64"/>
      <c r="S169" s="64"/>
      <c r="T169" s="65"/>
      <c r="U169" s="65"/>
      <c r="V169" s="49"/>
      <c r="W169" s="49"/>
      <c r="X169" s="66"/>
    </row>
    <row r="170" spans="1:28" ht="61.5" customHeight="1">
      <c r="A170" s="158"/>
      <c r="B170" s="161"/>
      <c r="C170" s="59"/>
      <c r="D170" s="60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0"/>
      <c r="R170" s="47"/>
      <c r="S170" s="47"/>
      <c r="T170" s="48"/>
      <c r="U170" s="48"/>
      <c r="V170" s="49"/>
      <c r="W170" s="50"/>
      <c r="X170" s="51"/>
    </row>
    <row r="171" spans="1:28" ht="61.5" customHeight="1">
      <c r="A171" s="158"/>
      <c r="B171" s="161"/>
      <c r="C171" s="59"/>
      <c r="D171" s="60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0"/>
      <c r="R171" s="47"/>
      <c r="S171" s="47"/>
      <c r="T171" s="48"/>
      <c r="U171" s="48"/>
      <c r="V171" s="49"/>
      <c r="W171" s="50"/>
      <c r="X171" s="51"/>
    </row>
    <row r="172" spans="1:28" ht="61.5" customHeight="1">
      <c r="A172" s="158"/>
      <c r="B172" s="161"/>
      <c r="C172" s="59"/>
      <c r="D172" s="60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0"/>
      <c r="R172" s="47"/>
      <c r="S172" s="47"/>
      <c r="T172" s="48"/>
      <c r="U172" s="48"/>
      <c r="V172" s="49"/>
      <c r="W172" s="50"/>
      <c r="X172" s="51"/>
    </row>
    <row r="173" spans="1:28" ht="61.5" customHeight="1">
      <c r="A173" s="159"/>
      <c r="B173" s="162"/>
      <c r="C173" s="80"/>
      <c r="D173" s="81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1"/>
      <c r="R173" s="47"/>
      <c r="S173" s="47"/>
      <c r="T173" s="48"/>
      <c r="U173" s="48"/>
      <c r="V173" s="49"/>
      <c r="W173" s="50"/>
      <c r="X173" s="51"/>
    </row>
    <row r="174" spans="1:28" ht="61.5" customHeight="1">
      <c r="A174" s="84"/>
      <c r="B174" s="84"/>
      <c r="C174" s="59"/>
      <c r="D174" s="60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46"/>
      <c r="R174" s="47"/>
      <c r="S174" s="47"/>
      <c r="T174" s="48"/>
      <c r="U174" s="48"/>
      <c r="V174" s="49"/>
      <c r="W174" s="50"/>
      <c r="X174" s="51"/>
    </row>
    <row r="175" spans="1:28" ht="61.5" customHeight="1">
      <c r="A175" s="84"/>
      <c r="B175" s="84"/>
      <c r="C175" s="59"/>
      <c r="D175" s="60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46"/>
      <c r="R175" s="47"/>
      <c r="S175" s="47"/>
      <c r="T175" s="48"/>
      <c r="U175" s="48"/>
      <c r="V175" s="49"/>
      <c r="W175" s="50"/>
      <c r="X175" s="51"/>
    </row>
    <row r="176" spans="1:28" ht="61.5" customHeight="1">
      <c r="A176" s="84"/>
      <c r="B176" s="84"/>
      <c r="C176" s="59"/>
      <c r="D176" s="60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46"/>
      <c r="R176" s="47"/>
      <c r="S176" s="47"/>
      <c r="T176" s="48"/>
      <c r="U176" s="48"/>
      <c r="V176" s="49"/>
      <c r="W176" s="50"/>
      <c r="X176" s="51"/>
    </row>
    <row r="177" spans="1:28" ht="61.5" customHeight="1">
      <c r="A177" s="84"/>
      <c r="B177" s="84"/>
      <c r="C177" s="59"/>
      <c r="D177" s="60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46"/>
      <c r="R177" s="47"/>
      <c r="S177" s="47"/>
      <c r="T177" s="48"/>
      <c r="U177" s="48"/>
      <c r="V177" s="49"/>
      <c r="W177" s="50"/>
      <c r="X177" s="51"/>
    </row>
    <row r="178" spans="1:28" ht="61.5" customHeight="1">
      <c r="A178" s="84"/>
      <c r="B178" s="84"/>
      <c r="C178" s="59"/>
      <c r="D178" s="60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46"/>
      <c r="R178" s="47"/>
      <c r="S178" s="47"/>
      <c r="T178" s="48"/>
      <c r="U178" s="48"/>
      <c r="V178" s="49"/>
      <c r="W178" s="50"/>
      <c r="X178" s="51"/>
    </row>
    <row r="179" spans="1:28" ht="61.5" customHeight="1">
      <c r="A179" s="84"/>
      <c r="B179" s="84"/>
      <c r="C179" s="59"/>
      <c r="D179" s="60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46"/>
      <c r="R179" s="47"/>
      <c r="S179" s="47"/>
      <c r="T179" s="48"/>
      <c r="U179" s="48"/>
      <c r="V179" s="49"/>
      <c r="W179" s="50"/>
      <c r="X179" s="51"/>
    </row>
    <row r="180" spans="1:28" ht="61.5" customHeight="1">
      <c r="A180" s="84"/>
      <c r="B180" s="84"/>
      <c r="C180" s="59"/>
      <c r="D180" s="60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46"/>
      <c r="R180" s="47"/>
      <c r="S180" s="47"/>
      <c r="T180" s="48"/>
      <c r="U180" s="48"/>
      <c r="V180" s="49"/>
      <c r="W180" s="50"/>
      <c r="X180" s="51"/>
    </row>
    <row r="181" spans="1:28" ht="61.5" customHeight="1">
      <c r="A181" s="84"/>
      <c r="B181" s="84"/>
      <c r="C181" s="59"/>
      <c r="D181" s="60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46"/>
      <c r="R181" s="47"/>
      <c r="S181" s="47"/>
      <c r="T181" s="48"/>
      <c r="U181" s="48"/>
      <c r="V181" s="49"/>
      <c r="W181" s="50"/>
      <c r="X181" s="51"/>
    </row>
    <row r="182" spans="1:28" ht="61.5" customHeight="1">
      <c r="A182" s="84"/>
      <c r="B182" s="84"/>
      <c r="C182" s="59"/>
      <c r="D182" s="60"/>
      <c r="E182" s="21"/>
      <c r="F182" s="21"/>
      <c r="G182" s="21"/>
      <c r="H182" s="20"/>
      <c r="I182" s="21"/>
      <c r="J182" s="21"/>
      <c r="K182" s="21"/>
      <c r="L182" s="21"/>
      <c r="M182" s="21"/>
      <c r="N182" s="21"/>
      <c r="O182" s="21"/>
      <c r="P182" s="21"/>
      <c r="Q182" s="46"/>
      <c r="R182" s="47"/>
      <c r="S182" s="47"/>
      <c r="T182" s="48"/>
      <c r="U182" s="48"/>
      <c r="V182" s="49"/>
      <c r="W182" s="50"/>
      <c r="X182" s="51"/>
    </row>
    <row r="183" spans="1:28" s="109" customFormat="1" ht="65.099999999999994" customHeight="1">
      <c r="A183" s="157" t="s">
        <v>48</v>
      </c>
      <c r="B183" s="163" t="s">
        <v>17</v>
      </c>
      <c r="C183" s="42"/>
      <c r="D183" s="43"/>
      <c r="E183" s="44"/>
      <c r="F183" s="44"/>
      <c r="G183" s="44"/>
      <c r="H183" s="45"/>
      <c r="I183" s="44"/>
      <c r="J183" s="44"/>
      <c r="K183" s="44"/>
      <c r="L183" s="44"/>
      <c r="M183" s="44"/>
      <c r="N183" s="44"/>
      <c r="O183" s="44"/>
      <c r="P183" s="44"/>
      <c r="Q183" s="46"/>
      <c r="R183" s="47"/>
      <c r="S183" s="47"/>
      <c r="T183" s="48"/>
      <c r="U183" s="48"/>
      <c r="V183" s="49"/>
      <c r="W183" s="50"/>
      <c r="X183" s="51"/>
      <c r="Y183" s="108"/>
      <c r="Z183" s="108"/>
    </row>
    <row r="184" spans="1:28" s="52" customFormat="1">
      <c r="A184" s="158"/>
      <c r="B184" s="164"/>
      <c r="C184" s="55"/>
      <c r="D184" s="4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114"/>
      <c r="R184" s="47"/>
      <c r="S184" s="47"/>
      <c r="T184" s="48"/>
      <c r="U184" s="48"/>
      <c r="V184" s="49"/>
      <c r="W184" s="50"/>
      <c r="X184" s="51"/>
      <c r="Y184" s="2"/>
      <c r="Z184" s="2"/>
      <c r="AB184" s="2"/>
    </row>
    <row r="185" spans="1:28" ht="46.5" customHeight="1">
      <c r="A185" s="158"/>
      <c r="B185" s="164"/>
      <c r="C185" s="59" t="s">
        <v>18</v>
      </c>
      <c r="D185" s="60" t="s">
        <v>19</v>
      </c>
      <c r="E185" s="61">
        <v>695.76</v>
      </c>
      <c r="F185" s="61">
        <v>790.63599999999997</v>
      </c>
      <c r="G185" s="61">
        <v>753.822</v>
      </c>
      <c r="H185" s="61">
        <v>682.3</v>
      </c>
      <c r="I185" s="61">
        <v>679.12699999999995</v>
      </c>
      <c r="J185" s="61">
        <v>655.05899999999997</v>
      </c>
      <c r="K185" s="61">
        <v>781.69600000000003</v>
      </c>
      <c r="L185" s="61">
        <v>750.19899999999996</v>
      </c>
      <c r="M185" s="61">
        <v>739.53600000000006</v>
      </c>
      <c r="N185" s="61">
        <v>769.46399999999994</v>
      </c>
      <c r="O185" s="61">
        <v>748.43899999999996</v>
      </c>
      <c r="P185" s="61">
        <v>834.65599999999995</v>
      </c>
      <c r="Q185" s="115"/>
      <c r="R185" s="64"/>
      <c r="S185" s="64"/>
      <c r="T185" s="65"/>
      <c r="U185" s="65"/>
      <c r="V185" s="49"/>
      <c r="W185" s="49"/>
      <c r="X185" s="66"/>
      <c r="AB185" s="6"/>
    </row>
    <row r="186" spans="1:28" s="52" customFormat="1" ht="46.5" customHeight="1">
      <c r="A186" s="158"/>
      <c r="B186" s="164"/>
      <c r="C186" s="59" t="s">
        <v>18</v>
      </c>
      <c r="D186" s="60" t="s">
        <v>20</v>
      </c>
      <c r="E186" s="61">
        <v>702.85799999999995</v>
      </c>
      <c r="F186" s="61">
        <v>755.83</v>
      </c>
      <c r="G186" s="61">
        <v>678.46</v>
      </c>
      <c r="H186" s="61">
        <v>633.68299999999999</v>
      </c>
      <c r="I186" s="61">
        <v>641.53199999999993</v>
      </c>
      <c r="J186" s="61">
        <v>657.90499999999997</v>
      </c>
      <c r="K186" s="61">
        <v>737.31299999999999</v>
      </c>
      <c r="L186" s="61">
        <v>751.18899999999996</v>
      </c>
      <c r="M186" s="61">
        <v>783.36500000000001</v>
      </c>
      <c r="N186" s="61">
        <v>715.37199999999996</v>
      </c>
      <c r="O186" s="61">
        <v>684.18899999999996</v>
      </c>
      <c r="P186" s="61">
        <v>796.30399999999997</v>
      </c>
      <c r="Q186" s="114"/>
      <c r="R186" s="47"/>
      <c r="S186" s="47"/>
      <c r="T186" s="48"/>
      <c r="U186" s="48"/>
      <c r="V186" s="49"/>
      <c r="W186" s="50"/>
      <c r="X186" s="51"/>
      <c r="Y186" s="2"/>
      <c r="Z186" s="2"/>
      <c r="AB186" s="2"/>
    </row>
    <row r="187" spans="1:28" ht="46.5" customHeight="1">
      <c r="A187" s="158"/>
      <c r="B187" s="164"/>
      <c r="C187" s="59" t="s">
        <v>18</v>
      </c>
      <c r="D187" s="60" t="s">
        <v>21</v>
      </c>
      <c r="E187" s="61">
        <v>669.48099999999999</v>
      </c>
      <c r="F187" s="61">
        <v>741.03800000000001</v>
      </c>
      <c r="G187" s="61">
        <v>747.06100000000004</v>
      </c>
      <c r="H187" s="61">
        <v>721.84799999999996</v>
      </c>
      <c r="I187" s="61">
        <v>730.07899999999995</v>
      </c>
      <c r="J187" s="61">
        <v>687.00400000000002</v>
      </c>
      <c r="K187" s="61">
        <v>764.82899999999995</v>
      </c>
      <c r="L187" s="61">
        <v>625.43900000000008</v>
      </c>
      <c r="M187" s="61">
        <v>735.31600000000003</v>
      </c>
      <c r="N187" s="61">
        <v>790.11199999999997</v>
      </c>
      <c r="O187" s="61">
        <v>744.47400000000005</v>
      </c>
      <c r="P187" s="61">
        <v>778.47299999999996</v>
      </c>
      <c r="Q187" s="115"/>
      <c r="R187" s="64"/>
      <c r="S187" s="64"/>
      <c r="T187" s="65"/>
      <c r="U187" s="65"/>
      <c r="V187" s="49"/>
      <c r="W187" s="49"/>
      <c r="X187" s="66"/>
      <c r="AB187" s="6"/>
    </row>
    <row r="188" spans="1:28" s="52" customFormat="1" ht="46.5" customHeight="1">
      <c r="A188" s="158"/>
      <c r="B188" s="164"/>
      <c r="C188" s="59" t="s">
        <v>18</v>
      </c>
      <c r="D188" s="60" t="s">
        <v>22</v>
      </c>
      <c r="E188" s="61">
        <v>652.40599999999995</v>
      </c>
      <c r="F188" s="61">
        <v>665.44900000000007</v>
      </c>
      <c r="G188" s="61">
        <v>729.33100000000002</v>
      </c>
      <c r="H188" s="61">
        <v>598.17399999999998</v>
      </c>
      <c r="I188" s="61">
        <v>556.55899999999997</v>
      </c>
      <c r="J188" s="61">
        <v>622.62199999999996</v>
      </c>
      <c r="K188" s="61">
        <v>672.51599999999996</v>
      </c>
      <c r="L188" s="61">
        <v>730.375</v>
      </c>
      <c r="M188" s="61">
        <v>675.08500000000004</v>
      </c>
      <c r="N188" s="61">
        <v>722.577</v>
      </c>
      <c r="O188" s="61">
        <v>647.41700000000003</v>
      </c>
      <c r="P188" s="61">
        <v>759.72900000000004</v>
      </c>
      <c r="Q188" s="114"/>
      <c r="R188" s="47"/>
      <c r="S188" s="47"/>
      <c r="T188" s="48"/>
      <c r="U188" s="48"/>
      <c r="V188" s="49"/>
      <c r="W188" s="50"/>
      <c r="X188" s="51"/>
      <c r="Y188" s="2"/>
      <c r="Z188" s="2"/>
      <c r="AB188" s="2"/>
    </row>
    <row r="189" spans="1:28" s="52" customFormat="1" ht="46.5" customHeight="1">
      <c r="A189" s="158"/>
      <c r="B189" s="164"/>
      <c r="C189" s="59" t="s">
        <v>18</v>
      </c>
      <c r="D189" s="60" t="s">
        <v>23</v>
      </c>
      <c r="E189" s="61">
        <v>544.00199999999995</v>
      </c>
      <c r="F189" s="61">
        <v>448.137</v>
      </c>
      <c r="G189" s="61">
        <v>584.62800000000004</v>
      </c>
      <c r="H189" s="61">
        <v>680.66499999999996</v>
      </c>
      <c r="I189" s="61">
        <v>717.81399999999996</v>
      </c>
      <c r="J189" s="61">
        <v>685.52499999999998</v>
      </c>
      <c r="K189" s="61">
        <v>719.07500000000005</v>
      </c>
      <c r="L189" s="61">
        <v>688.24699999999996</v>
      </c>
      <c r="M189" s="61">
        <v>726.37099999999998</v>
      </c>
      <c r="N189" s="61">
        <v>683.221</v>
      </c>
      <c r="O189" s="61">
        <v>656.34100000000001</v>
      </c>
      <c r="P189" s="61">
        <v>759.64300000000003</v>
      </c>
      <c r="Q189" s="114"/>
      <c r="R189" s="47"/>
      <c r="S189" s="47"/>
      <c r="T189" s="48"/>
      <c r="U189" s="48"/>
      <c r="V189" s="49"/>
      <c r="W189" s="50"/>
      <c r="X189" s="51"/>
      <c r="Y189" s="2"/>
      <c r="Z189" s="2"/>
      <c r="AB189" s="2"/>
    </row>
    <row r="190" spans="1:28" ht="46.5" customHeight="1">
      <c r="A190" s="158"/>
      <c r="B190" s="164"/>
      <c r="C190" s="59" t="s">
        <v>18</v>
      </c>
      <c r="D190" s="60" t="s">
        <v>24</v>
      </c>
      <c r="E190" s="61">
        <v>357.02300000000002</v>
      </c>
      <c r="F190" s="61">
        <v>373.43799999999999</v>
      </c>
      <c r="G190" s="61">
        <v>410.916</v>
      </c>
      <c r="H190" s="61">
        <v>522.49</v>
      </c>
      <c r="I190" s="61">
        <v>552.73500000000001</v>
      </c>
      <c r="J190" s="61">
        <v>601.82400000000007</v>
      </c>
      <c r="K190" s="61">
        <v>668.375</v>
      </c>
      <c r="L190" s="61">
        <v>646.30399999999997</v>
      </c>
      <c r="M190" s="61">
        <v>681.21799999999996</v>
      </c>
      <c r="N190" s="61">
        <v>692.93200000000002</v>
      </c>
      <c r="O190" s="61">
        <v>627.23500000000001</v>
      </c>
      <c r="P190" s="61">
        <v>733.904</v>
      </c>
      <c r="Q190" s="115"/>
      <c r="R190" s="64"/>
      <c r="S190" s="64"/>
      <c r="T190" s="65"/>
      <c r="U190" s="65"/>
      <c r="V190" s="49"/>
      <c r="W190" s="49"/>
      <c r="X190" s="66"/>
      <c r="Y190" s="49"/>
      <c r="Z190" s="49"/>
      <c r="AB190" s="49"/>
    </row>
    <row r="191" spans="1:28" ht="46.5" customHeight="1">
      <c r="A191" s="158"/>
      <c r="B191" s="164"/>
      <c r="C191" s="59" t="s">
        <v>18</v>
      </c>
      <c r="D191" s="60" t="s">
        <v>25</v>
      </c>
      <c r="E191" s="61">
        <v>588.65300000000002</v>
      </c>
      <c r="F191" s="61">
        <v>620.72900000000004</v>
      </c>
      <c r="G191" s="61">
        <v>578.18200000000002</v>
      </c>
      <c r="H191" s="61">
        <v>608.40099999999995</v>
      </c>
      <c r="I191" s="61">
        <v>633.97799999999995</v>
      </c>
      <c r="J191" s="61">
        <v>533.31799999999998</v>
      </c>
      <c r="K191" s="61">
        <v>568.47299999999996</v>
      </c>
      <c r="L191" s="61">
        <v>615.37199999999996</v>
      </c>
      <c r="M191" s="61">
        <v>636.31799999999998</v>
      </c>
      <c r="N191" s="61">
        <v>679.61099999999999</v>
      </c>
      <c r="O191" s="61">
        <v>648.81600000000003</v>
      </c>
      <c r="P191" s="61">
        <v>607.15300000000002</v>
      </c>
      <c r="Q191" s="115"/>
      <c r="R191" s="64"/>
      <c r="S191" s="64"/>
      <c r="T191" s="65"/>
      <c r="U191" s="65"/>
      <c r="V191" s="49"/>
      <c r="W191" s="49"/>
      <c r="X191" s="66"/>
      <c r="AB191" s="72"/>
    </row>
    <row r="192" spans="1:28" s="25" customFormat="1" ht="46.35" customHeight="1">
      <c r="A192" s="158"/>
      <c r="B192" s="164"/>
      <c r="C192" s="102" t="s">
        <v>18</v>
      </c>
      <c r="D192" s="103" t="s">
        <v>26</v>
      </c>
      <c r="E192" s="61">
        <v>567.87900000000002</v>
      </c>
      <c r="F192" s="61">
        <v>587.38</v>
      </c>
      <c r="G192" s="61">
        <v>523.36500000000001</v>
      </c>
      <c r="H192" s="61">
        <v>441.06700000000001</v>
      </c>
      <c r="I192" s="61">
        <v>571.702</v>
      </c>
      <c r="J192" s="61">
        <v>547.29</v>
      </c>
      <c r="K192" s="61">
        <v>611.07500000000005</v>
      </c>
      <c r="L192" s="61">
        <v>598.78700000000003</v>
      </c>
      <c r="M192" s="61">
        <v>626.22500000000002</v>
      </c>
      <c r="N192" s="61">
        <v>588.04499999999996</v>
      </c>
      <c r="O192" s="61">
        <v>578.60599999999999</v>
      </c>
      <c r="P192" s="61">
        <v>676.56500000000005</v>
      </c>
      <c r="Q192" s="116"/>
      <c r="R192" s="117"/>
      <c r="S192" s="64"/>
      <c r="T192" s="65"/>
      <c r="U192" s="65"/>
      <c r="V192" s="49"/>
      <c r="W192" s="49"/>
      <c r="X192" s="66"/>
      <c r="Y192" s="27"/>
      <c r="Z192" s="27"/>
    </row>
    <row r="193" spans="1:24" ht="46.35" customHeight="1">
      <c r="A193" s="158"/>
      <c r="B193" s="164"/>
      <c r="C193" s="59" t="s">
        <v>18</v>
      </c>
      <c r="D193" s="60" t="s">
        <v>27</v>
      </c>
      <c r="E193" s="61">
        <v>533.70299999999997</v>
      </c>
      <c r="F193" s="61">
        <v>438.75700000000001</v>
      </c>
      <c r="G193" s="61">
        <v>481.81299999999999</v>
      </c>
      <c r="H193" s="61">
        <v>528.83699999999999</v>
      </c>
      <c r="I193" s="61">
        <v>577.68399999999997</v>
      </c>
      <c r="J193" s="61">
        <v>571.15800000000002</v>
      </c>
      <c r="K193" s="61">
        <v>609.44899999999996</v>
      </c>
      <c r="L193" s="61">
        <v>513.46299999999997</v>
      </c>
      <c r="M193" s="61">
        <v>502.75700000000001</v>
      </c>
      <c r="N193" s="61">
        <v>570.03099999999995</v>
      </c>
      <c r="O193" s="61">
        <v>555.72199999999998</v>
      </c>
      <c r="P193" s="61">
        <v>621.17999999999995</v>
      </c>
      <c r="Q193" s="60"/>
      <c r="R193" s="64"/>
      <c r="S193" s="64"/>
      <c r="T193" s="65"/>
      <c r="U193" s="65"/>
      <c r="V193" s="49"/>
      <c r="W193" s="49"/>
      <c r="X193" s="66"/>
    </row>
    <row r="194" spans="1:24" ht="46.35" customHeight="1">
      <c r="A194" s="158"/>
      <c r="B194" s="164"/>
      <c r="C194" s="59" t="s">
        <v>18</v>
      </c>
      <c r="D194" s="60" t="s">
        <v>28</v>
      </c>
      <c r="E194" s="61">
        <v>635.346</v>
      </c>
      <c r="F194" s="61">
        <v>526.91999999999996</v>
      </c>
      <c r="G194" s="61">
        <v>632.45799999999997</v>
      </c>
      <c r="H194" s="61">
        <v>604.57299999999998</v>
      </c>
      <c r="I194" s="61">
        <v>571.42399999999998</v>
      </c>
      <c r="J194" s="61">
        <v>581.70899999999995</v>
      </c>
      <c r="K194" s="61">
        <v>588.16099999999994</v>
      </c>
      <c r="L194" s="61">
        <v>557.16499999999996</v>
      </c>
      <c r="M194" s="61">
        <v>579.05999999999995</v>
      </c>
      <c r="N194" s="61">
        <v>597.67700000000002</v>
      </c>
      <c r="O194" s="61">
        <v>549.40599999999995</v>
      </c>
      <c r="P194" s="61">
        <v>613.1</v>
      </c>
      <c r="Q194" s="60"/>
      <c r="R194" s="64"/>
      <c r="S194" s="64"/>
      <c r="T194" s="65"/>
      <c r="U194" s="65"/>
      <c r="V194" s="49"/>
      <c r="W194" s="49"/>
      <c r="X194" s="66"/>
    </row>
    <row r="195" spans="1:24" ht="46.35" customHeight="1">
      <c r="A195" s="158"/>
      <c r="B195" s="164"/>
      <c r="C195" s="59" t="s">
        <v>18</v>
      </c>
      <c r="D195" s="60" t="s">
        <v>29</v>
      </c>
      <c r="E195" s="76">
        <v>659.31799999999998</v>
      </c>
      <c r="F195" s="76">
        <v>638.46500000000003</v>
      </c>
      <c r="G195" s="76">
        <v>611.04999999999995</v>
      </c>
      <c r="H195" s="76">
        <v>660.02800000000002</v>
      </c>
      <c r="I195" s="76">
        <v>690.27499999999998</v>
      </c>
      <c r="J195" s="76">
        <v>616.69600000000003</v>
      </c>
      <c r="K195" s="76">
        <v>685.673</v>
      </c>
      <c r="L195" s="76">
        <v>611.38199999999995</v>
      </c>
      <c r="M195" s="76">
        <v>608.81600000000003</v>
      </c>
      <c r="N195" s="76">
        <v>631.88199999999995</v>
      </c>
      <c r="O195" s="76">
        <v>614.19299999999998</v>
      </c>
      <c r="P195" s="76">
        <v>710.02700000000004</v>
      </c>
      <c r="Q195" s="60"/>
      <c r="R195" s="64"/>
      <c r="S195" s="64"/>
      <c r="T195" s="65"/>
      <c r="U195" s="65"/>
      <c r="V195" s="49"/>
      <c r="W195" s="49"/>
      <c r="X195" s="66"/>
    </row>
    <row r="196" spans="1:24" ht="61.5" customHeight="1">
      <c r="A196" s="158"/>
      <c r="B196" s="164"/>
      <c r="C196" s="59" t="s">
        <v>18</v>
      </c>
      <c r="D196" s="60" t="s">
        <v>30</v>
      </c>
      <c r="E196" s="61">
        <v>532.23699999999997</v>
      </c>
      <c r="F196" s="61">
        <v>494.90199999999999</v>
      </c>
      <c r="G196" s="61">
        <v>354.84100000000001</v>
      </c>
      <c r="H196" s="61">
        <v>520.55899999999997</v>
      </c>
      <c r="I196" s="61">
        <v>613.22799999999995</v>
      </c>
      <c r="J196" s="61">
        <v>608.83100000000002</v>
      </c>
      <c r="K196" s="61">
        <v>594.72</v>
      </c>
      <c r="L196" s="61">
        <v>565.61800000000005</v>
      </c>
      <c r="M196" s="61">
        <v>667.50900000000001</v>
      </c>
      <c r="N196" s="61">
        <v>679.53599999999994</v>
      </c>
      <c r="O196" s="61">
        <v>574.24099999999999</v>
      </c>
      <c r="P196" s="61">
        <v>591.44399999999996</v>
      </c>
      <c r="Q196" s="60"/>
      <c r="R196" s="64"/>
      <c r="S196" s="64"/>
      <c r="T196" s="65"/>
      <c r="U196" s="65"/>
      <c r="V196" s="49"/>
      <c r="W196" s="49"/>
      <c r="X196" s="66"/>
    </row>
    <row r="197" spans="1:24" ht="61.5" customHeight="1">
      <c r="A197" s="158"/>
      <c r="B197" s="164"/>
      <c r="C197" s="59" t="s">
        <v>18</v>
      </c>
      <c r="D197" s="78" t="s">
        <v>31</v>
      </c>
      <c r="E197" s="61">
        <v>551.94000000000005</v>
      </c>
      <c r="F197" s="61">
        <v>585.16999999999996</v>
      </c>
      <c r="G197" s="61">
        <v>585.09</v>
      </c>
      <c r="H197" s="61">
        <v>595.15</v>
      </c>
      <c r="I197" s="61">
        <v>601.30999999999995</v>
      </c>
      <c r="J197" s="61">
        <v>570.17999999999995</v>
      </c>
      <c r="K197" s="61">
        <v>594.99</v>
      </c>
      <c r="L197" s="61">
        <v>588.86</v>
      </c>
      <c r="M197" s="61">
        <v>612.80999999999995</v>
      </c>
      <c r="N197" s="61">
        <v>567.51</v>
      </c>
      <c r="O197" s="61">
        <v>485.04500000000002</v>
      </c>
      <c r="P197" s="61">
        <v>554.44000000000005</v>
      </c>
      <c r="Q197" s="60"/>
      <c r="R197" s="64"/>
      <c r="S197" s="64"/>
      <c r="T197" s="65"/>
      <c r="U197" s="65"/>
      <c r="V197" s="49"/>
      <c r="W197" s="49"/>
      <c r="X197" s="66"/>
    </row>
    <row r="198" spans="1:24" ht="61.5" customHeight="1">
      <c r="A198" s="158"/>
      <c r="B198" s="164"/>
      <c r="C198" s="59" t="s">
        <v>18</v>
      </c>
      <c r="D198" s="60" t="s">
        <v>32</v>
      </c>
      <c r="E198" s="61">
        <v>602.63</v>
      </c>
      <c r="F198" s="61">
        <v>648.73099999999999</v>
      </c>
      <c r="G198" s="61">
        <v>600.80200000000002</v>
      </c>
      <c r="H198" s="61">
        <v>645.45299999999997</v>
      </c>
      <c r="I198" s="61">
        <v>642</v>
      </c>
      <c r="J198" s="61">
        <v>607.952</v>
      </c>
      <c r="K198" s="61">
        <v>624.37699999999995</v>
      </c>
      <c r="L198" s="61">
        <v>613.09500000000003</v>
      </c>
      <c r="M198" s="61">
        <v>576.32000000000005</v>
      </c>
      <c r="N198" s="61">
        <v>604.78499999999997</v>
      </c>
      <c r="O198" s="61">
        <v>527.04499999999996</v>
      </c>
      <c r="P198" s="61">
        <v>562.5</v>
      </c>
      <c r="Q198" s="60"/>
      <c r="R198" s="64"/>
      <c r="S198" s="64"/>
      <c r="T198" s="65"/>
      <c r="U198" s="65"/>
      <c r="V198" s="49"/>
      <c r="W198" s="49"/>
      <c r="X198" s="66"/>
    </row>
    <row r="199" spans="1:24" ht="61.5" customHeight="1">
      <c r="A199" s="158"/>
      <c r="B199" s="164"/>
      <c r="C199" s="59" t="s">
        <v>18</v>
      </c>
      <c r="D199" s="60" t="s">
        <v>33</v>
      </c>
      <c r="E199" s="61">
        <v>611.125</v>
      </c>
      <c r="F199" s="61">
        <v>604.54100000000005</v>
      </c>
      <c r="G199" s="61">
        <v>565.11400000000003</v>
      </c>
      <c r="H199" s="61">
        <v>613.93200000000002</v>
      </c>
      <c r="I199" s="61">
        <v>611.02499999999998</v>
      </c>
      <c r="J199" s="61">
        <v>597.91499999999996</v>
      </c>
      <c r="K199" s="61">
        <v>643.77499999999998</v>
      </c>
      <c r="L199" s="61">
        <v>584.75</v>
      </c>
      <c r="M199" s="61">
        <v>632.81500000000005</v>
      </c>
      <c r="N199" s="61">
        <v>627.89099999999996</v>
      </c>
      <c r="O199" s="61">
        <v>556.11599999999999</v>
      </c>
      <c r="P199" s="61">
        <v>648.30899999999997</v>
      </c>
      <c r="Q199" s="60"/>
      <c r="R199" s="47"/>
      <c r="S199" s="47"/>
      <c r="T199" s="48"/>
      <c r="U199" s="48"/>
      <c r="V199" s="49"/>
      <c r="W199" s="50"/>
      <c r="X199" s="51"/>
    </row>
    <row r="200" spans="1:24" ht="61.5" customHeight="1">
      <c r="A200" s="158"/>
      <c r="B200" s="164"/>
      <c r="C200" s="59" t="s">
        <v>18</v>
      </c>
      <c r="D200" s="60" t="s">
        <v>34</v>
      </c>
      <c r="E200" s="61">
        <v>677.48699999999997</v>
      </c>
      <c r="F200" s="61">
        <v>678.70100000000002</v>
      </c>
      <c r="G200" s="61">
        <v>634.51599999999996</v>
      </c>
      <c r="H200" s="61">
        <v>656.31799999999998</v>
      </c>
      <c r="I200" s="61">
        <v>659.71500000000003</v>
      </c>
      <c r="J200" s="61">
        <v>636.22799999999995</v>
      </c>
      <c r="K200" s="61">
        <v>662.38099999999997</v>
      </c>
      <c r="L200" s="61">
        <v>653.57000000000005</v>
      </c>
      <c r="M200" s="61">
        <v>628.04600000000005</v>
      </c>
      <c r="N200" s="61">
        <v>699.29499999999996</v>
      </c>
      <c r="O200" s="61">
        <v>594.76499999999999</v>
      </c>
      <c r="P200" s="61">
        <v>652.67999999999995</v>
      </c>
      <c r="Q200" s="60"/>
      <c r="R200" s="47"/>
      <c r="S200" s="47"/>
      <c r="T200" s="48"/>
      <c r="U200" s="48"/>
      <c r="V200" s="49"/>
      <c r="W200" s="50"/>
      <c r="X200" s="51"/>
    </row>
    <row r="201" spans="1:24" ht="61.5" customHeight="1">
      <c r="A201" s="158"/>
      <c r="B201" s="164"/>
      <c r="C201" s="59" t="s">
        <v>18</v>
      </c>
      <c r="D201" s="60" t="s">
        <v>35</v>
      </c>
      <c r="E201" s="61">
        <v>603.39700000000005</v>
      </c>
      <c r="F201" s="61">
        <v>639.30799999999999</v>
      </c>
      <c r="G201" s="61">
        <v>619.04200000000003</v>
      </c>
      <c r="H201" s="61">
        <v>639.88199999999995</v>
      </c>
      <c r="I201" s="61">
        <v>650.02</v>
      </c>
      <c r="J201" s="61">
        <v>581.31500000000005</v>
      </c>
      <c r="K201" s="61">
        <v>586.79200000000003</v>
      </c>
      <c r="L201" s="61">
        <v>631.22799999999995</v>
      </c>
      <c r="M201" s="61">
        <v>692.84199999999998</v>
      </c>
      <c r="N201" s="61">
        <v>709.21900000000005</v>
      </c>
      <c r="O201" s="61">
        <v>387.82100000000003</v>
      </c>
      <c r="P201" s="61">
        <v>718.16600000000005</v>
      </c>
      <c r="Q201" s="60"/>
      <c r="R201" s="47"/>
      <c r="S201" s="47"/>
      <c r="T201" s="48"/>
      <c r="U201" s="48"/>
      <c r="V201" s="49"/>
      <c r="W201" s="50"/>
      <c r="X201" s="51"/>
    </row>
    <row r="202" spans="1:24" ht="61.5" customHeight="1">
      <c r="A202" s="158"/>
      <c r="B202" s="164"/>
      <c r="C202" s="59" t="s">
        <v>18</v>
      </c>
      <c r="D202" s="60" t="s">
        <v>36</v>
      </c>
      <c r="E202" s="61">
        <v>568.72400000000005</v>
      </c>
      <c r="F202" s="61">
        <v>620.90300000000002</v>
      </c>
      <c r="G202" s="61">
        <v>548.58600000000001</v>
      </c>
      <c r="H202" s="61">
        <v>634.625</v>
      </c>
      <c r="I202" s="61">
        <v>685.49699999999996</v>
      </c>
      <c r="J202" s="61">
        <v>671.7</v>
      </c>
      <c r="K202" s="61">
        <v>643.721</v>
      </c>
      <c r="L202" s="61">
        <v>596.83600000000001</v>
      </c>
      <c r="M202" s="61">
        <v>626.85500000000002</v>
      </c>
      <c r="N202" s="61">
        <v>631.88300000000004</v>
      </c>
      <c r="O202" s="61">
        <v>576.79</v>
      </c>
      <c r="P202" s="61">
        <v>652.83299999999997</v>
      </c>
      <c r="Q202" s="81"/>
      <c r="R202" s="47"/>
      <c r="S202" s="47"/>
      <c r="T202" s="48"/>
      <c r="U202" s="48"/>
      <c r="V202" s="49"/>
      <c r="W202" s="50"/>
      <c r="X202" s="51"/>
    </row>
    <row r="203" spans="1:24" ht="61.5" customHeight="1">
      <c r="A203" s="158"/>
      <c r="B203" s="84"/>
      <c r="C203" s="59" t="s">
        <v>18</v>
      </c>
      <c r="D203" s="60" t="s">
        <v>37</v>
      </c>
      <c r="E203" s="85">
        <v>600.80499999999995</v>
      </c>
      <c r="F203" s="85">
        <v>628.43700000000001</v>
      </c>
      <c r="G203" s="85">
        <v>561.899</v>
      </c>
      <c r="H203" s="85">
        <v>528.53800000000001</v>
      </c>
      <c r="I203" s="85">
        <v>536.22299999999996</v>
      </c>
      <c r="J203" s="85">
        <v>557.74099999999999</v>
      </c>
      <c r="K203" s="85">
        <v>627.57000000000005</v>
      </c>
      <c r="L203" s="85">
        <v>627.447</v>
      </c>
      <c r="M203" s="85">
        <v>635.78099999999995</v>
      </c>
      <c r="N203" s="85">
        <v>675.82299999999998</v>
      </c>
      <c r="O203" s="85">
        <v>593.279</v>
      </c>
      <c r="P203" s="85">
        <v>655.78700000000003</v>
      </c>
      <c r="Q203" s="46"/>
      <c r="R203" s="47"/>
      <c r="S203" s="47"/>
      <c r="T203" s="48"/>
      <c r="U203" s="48"/>
      <c r="V203" s="49"/>
      <c r="W203" s="50"/>
      <c r="X203" s="51"/>
    </row>
    <row r="204" spans="1:24" ht="61.5" customHeight="1">
      <c r="A204" s="158"/>
      <c r="B204" s="84"/>
      <c r="C204" s="59" t="s">
        <v>18</v>
      </c>
      <c r="D204" s="60" t="s">
        <v>38</v>
      </c>
      <c r="E204" s="85">
        <v>547.43299999999999</v>
      </c>
      <c r="F204" s="85">
        <v>598.41899999999998</v>
      </c>
      <c r="G204" s="85">
        <v>572.94000000000005</v>
      </c>
      <c r="H204" s="85">
        <v>573.02</v>
      </c>
      <c r="I204" s="85">
        <v>512.03200000000004</v>
      </c>
      <c r="J204" s="85">
        <v>485.673</v>
      </c>
      <c r="K204" s="85">
        <v>556.77499999999998</v>
      </c>
      <c r="L204" s="85">
        <v>523.26499999999999</v>
      </c>
      <c r="M204" s="85">
        <v>550.40800000000002</v>
      </c>
      <c r="N204" s="85">
        <v>538.399</v>
      </c>
      <c r="O204" s="85">
        <v>515.28700000000003</v>
      </c>
      <c r="P204" s="85">
        <v>673.62400000000002</v>
      </c>
      <c r="Q204" s="46"/>
      <c r="R204" s="47"/>
      <c r="S204" s="47"/>
      <c r="T204" s="48"/>
      <c r="U204" s="48"/>
      <c r="V204" s="49"/>
      <c r="W204" s="50"/>
      <c r="X204" s="51"/>
    </row>
    <row r="205" spans="1:24" ht="61.5" customHeight="1">
      <c r="A205" s="158"/>
      <c r="B205" s="84"/>
      <c r="C205" s="59" t="s">
        <v>18</v>
      </c>
      <c r="D205" s="60" t="s">
        <v>39</v>
      </c>
      <c r="E205" s="85">
        <v>481.98599999999999</v>
      </c>
      <c r="F205" s="85">
        <v>545.21500000000003</v>
      </c>
      <c r="G205" s="85">
        <v>587.36300000000006</v>
      </c>
      <c r="H205" s="85">
        <v>559.70399999999995</v>
      </c>
      <c r="I205" s="85">
        <v>591.52599999999995</v>
      </c>
      <c r="J205" s="85">
        <v>562.65499999999997</v>
      </c>
      <c r="K205" s="85">
        <v>622.04700000000003</v>
      </c>
      <c r="L205" s="85">
        <v>626.00300000000004</v>
      </c>
      <c r="M205" s="85">
        <v>600.15899999999999</v>
      </c>
      <c r="N205" s="85">
        <v>593.72199999999998</v>
      </c>
      <c r="O205" s="85">
        <v>556.89700000000005</v>
      </c>
      <c r="P205" s="85">
        <v>605.92200000000003</v>
      </c>
      <c r="Q205" s="46"/>
      <c r="R205" s="47"/>
      <c r="S205" s="47"/>
      <c r="T205" s="48"/>
      <c r="U205" s="48"/>
      <c r="V205" s="49"/>
      <c r="W205" s="50"/>
      <c r="X205" s="51"/>
    </row>
    <row r="206" spans="1:24" ht="61.5" customHeight="1">
      <c r="A206" s="158"/>
      <c r="B206" s="84"/>
      <c r="C206" s="59" t="s">
        <v>18</v>
      </c>
      <c r="D206" s="60" t="s">
        <v>40</v>
      </c>
      <c r="E206" s="85">
        <v>440.1</v>
      </c>
      <c r="F206" s="85">
        <v>462.12900000000002</v>
      </c>
      <c r="G206" s="85">
        <v>429.20699999999999</v>
      </c>
      <c r="H206" s="85">
        <v>458.92899999999997</v>
      </c>
      <c r="I206" s="85">
        <v>462.80099999999999</v>
      </c>
      <c r="J206" s="85">
        <v>481.68900000000002</v>
      </c>
      <c r="K206" s="85">
        <v>476.50700000000001</v>
      </c>
      <c r="L206" s="85">
        <v>510.04700000000003</v>
      </c>
      <c r="M206" s="85">
        <v>530.69600000000003</v>
      </c>
      <c r="N206" s="85">
        <v>513.89</v>
      </c>
      <c r="O206" s="85">
        <v>462.62599999999998</v>
      </c>
      <c r="P206" s="85">
        <v>512.34699999999998</v>
      </c>
      <c r="Q206" s="46"/>
      <c r="R206" s="47"/>
      <c r="S206" s="47"/>
      <c r="T206" s="48"/>
      <c r="U206" s="48"/>
      <c r="V206" s="49"/>
      <c r="W206" s="50"/>
      <c r="X206" s="51"/>
    </row>
    <row r="207" spans="1:24" ht="61.5" customHeight="1">
      <c r="A207" s="158"/>
      <c r="B207" s="84"/>
      <c r="C207" s="59" t="s">
        <v>18</v>
      </c>
      <c r="D207" s="60" t="s">
        <v>41</v>
      </c>
      <c r="E207" s="85">
        <v>444.79700000000003</v>
      </c>
      <c r="F207" s="85">
        <v>461.80200000000002</v>
      </c>
      <c r="G207" s="85">
        <v>457.30099999999999</v>
      </c>
      <c r="H207" s="85">
        <v>489.185</v>
      </c>
      <c r="I207" s="85">
        <v>471.78800000000001</v>
      </c>
      <c r="J207" s="85">
        <v>497.89499999999998</v>
      </c>
      <c r="K207" s="85">
        <v>502.464</v>
      </c>
      <c r="L207" s="85">
        <v>453.262</v>
      </c>
      <c r="M207" s="85">
        <v>515.79399999999998</v>
      </c>
      <c r="N207" s="85">
        <v>550.78700000000003</v>
      </c>
      <c r="O207" s="85">
        <v>495.15199999999999</v>
      </c>
      <c r="P207" s="85">
        <v>461.613</v>
      </c>
      <c r="Q207" s="46"/>
      <c r="R207" s="47"/>
      <c r="S207" s="47"/>
      <c r="T207" s="48"/>
      <c r="U207" s="48"/>
      <c r="V207" s="49"/>
      <c r="W207" s="50"/>
      <c r="X207" s="51"/>
    </row>
    <row r="208" spans="1:24" ht="61.5" customHeight="1">
      <c r="A208" s="158"/>
      <c r="B208" s="84"/>
      <c r="C208" s="59" t="s">
        <v>18</v>
      </c>
      <c r="D208" s="60" t="s">
        <v>42</v>
      </c>
      <c r="E208" s="85">
        <v>424.11200000000002</v>
      </c>
      <c r="F208" s="85">
        <v>376.41699999999997</v>
      </c>
      <c r="G208" s="85">
        <v>411.12400000000002</v>
      </c>
      <c r="H208" s="85">
        <v>440.65800000000002</v>
      </c>
      <c r="I208" s="85">
        <v>438.78699999999998</v>
      </c>
      <c r="J208" s="85">
        <v>404.61799999999999</v>
      </c>
      <c r="K208" s="85">
        <v>426.76</v>
      </c>
      <c r="L208" s="85">
        <f>216.91+201.06</f>
        <v>417.97</v>
      </c>
      <c r="M208" s="85">
        <v>480.59399999999999</v>
      </c>
      <c r="N208" s="85">
        <v>482.36500000000001</v>
      </c>
      <c r="O208" s="85">
        <v>432.35399999999998</v>
      </c>
      <c r="P208" s="85">
        <v>478.13200000000001</v>
      </c>
      <c r="Q208" s="46"/>
      <c r="R208" s="47"/>
      <c r="S208" s="47"/>
      <c r="T208" s="48"/>
      <c r="U208" s="48"/>
      <c r="V208" s="49"/>
      <c r="W208" s="50"/>
      <c r="X208" s="51"/>
    </row>
    <row r="209" spans="1:28" ht="61.5" customHeight="1">
      <c r="A209" s="158"/>
      <c r="B209" s="84"/>
      <c r="C209" s="59" t="s">
        <v>18</v>
      </c>
      <c r="D209" s="60" t="s">
        <v>43</v>
      </c>
      <c r="E209" s="85">
        <v>387.685</v>
      </c>
      <c r="F209" s="85">
        <v>369.03399999999999</v>
      </c>
      <c r="G209" s="85">
        <v>366.483</v>
      </c>
      <c r="H209" s="85">
        <v>399.04599999999999</v>
      </c>
      <c r="I209" s="85">
        <v>382.48</v>
      </c>
      <c r="J209" s="85">
        <v>430.94400000000002</v>
      </c>
      <c r="K209" s="85">
        <v>450.83199999999999</v>
      </c>
      <c r="L209" s="85">
        <v>422.024</v>
      </c>
      <c r="M209" s="85">
        <v>492.20400000000001</v>
      </c>
      <c r="N209" s="85">
        <v>468.625</v>
      </c>
      <c r="O209" s="85">
        <v>417.26600000000002</v>
      </c>
      <c r="P209" s="85">
        <v>465.09100000000001</v>
      </c>
      <c r="Q209" s="46"/>
      <c r="R209" s="47"/>
      <c r="S209" s="47"/>
      <c r="T209" s="48"/>
      <c r="U209" s="48"/>
      <c r="V209" s="49"/>
      <c r="W209" s="50"/>
      <c r="X209" s="51"/>
    </row>
    <row r="210" spans="1:28" ht="61.5" customHeight="1">
      <c r="A210" s="158"/>
      <c r="B210" s="84"/>
      <c r="C210" s="59" t="s">
        <v>18</v>
      </c>
      <c r="D210" s="60" t="s">
        <v>44</v>
      </c>
      <c r="E210" s="85">
        <v>356.55200000000002</v>
      </c>
      <c r="F210" s="85">
        <v>358.7</v>
      </c>
      <c r="G210" s="85">
        <v>369.63600000000002</v>
      </c>
      <c r="H210" s="85">
        <v>394.40199999999999</v>
      </c>
      <c r="I210" s="85">
        <v>377.75200000000001</v>
      </c>
      <c r="J210" s="85">
        <v>372.43700000000001</v>
      </c>
      <c r="K210" s="85">
        <v>388.21499999999997</v>
      </c>
      <c r="L210" s="85">
        <v>391.31700000000001</v>
      </c>
      <c r="M210" s="85">
        <v>409.47500000000002</v>
      </c>
      <c r="N210" s="85">
        <v>426.8</v>
      </c>
      <c r="O210" s="85">
        <v>365.13799999999998</v>
      </c>
      <c r="P210" s="85">
        <v>428.82100000000003</v>
      </c>
      <c r="Q210" s="46"/>
      <c r="R210" s="47"/>
      <c r="S210" s="47"/>
      <c r="T210" s="48"/>
      <c r="U210" s="48"/>
      <c r="V210" s="49"/>
      <c r="W210" s="50"/>
      <c r="X210" s="51"/>
    </row>
    <row r="211" spans="1:28" ht="61.5" customHeight="1">
      <c r="A211" s="158"/>
      <c r="B211" s="84"/>
      <c r="C211" s="59"/>
      <c r="D211" s="60"/>
      <c r="E211" s="21"/>
      <c r="F211" s="21"/>
      <c r="G211" s="21"/>
      <c r="H211" s="20"/>
      <c r="I211" s="21"/>
      <c r="J211" s="21"/>
      <c r="K211" s="21"/>
      <c r="L211" s="21"/>
      <c r="M211" s="21"/>
      <c r="N211" s="21"/>
      <c r="O211" s="21"/>
      <c r="P211" s="21"/>
      <c r="Q211" s="46"/>
      <c r="R211" s="47"/>
      <c r="S211" s="47"/>
      <c r="T211" s="48"/>
      <c r="U211" s="48"/>
      <c r="V211" s="49"/>
      <c r="W211" s="50"/>
      <c r="X211" s="51"/>
    </row>
    <row r="212" spans="1:28" s="109" customFormat="1" ht="65.099999999999994" customHeight="1">
      <c r="A212" s="158"/>
      <c r="B212" s="163" t="s">
        <v>45</v>
      </c>
      <c r="C212" s="42"/>
      <c r="D212" s="43"/>
      <c r="E212" s="44"/>
      <c r="F212" s="44"/>
      <c r="G212" s="44"/>
      <c r="H212" s="45"/>
      <c r="I212" s="44"/>
      <c r="J212" s="44"/>
      <c r="K212" s="44"/>
      <c r="L212" s="44"/>
      <c r="M212" s="44"/>
      <c r="N212" s="44"/>
      <c r="O212" s="44"/>
      <c r="P212" s="44"/>
      <c r="Q212" s="43"/>
      <c r="R212" s="91"/>
      <c r="S212" s="47"/>
      <c r="T212" s="48"/>
      <c r="U212" s="48"/>
      <c r="V212" s="49"/>
      <c r="W212" s="50"/>
      <c r="X212" s="51"/>
      <c r="Y212" s="108"/>
      <c r="Z212" s="108"/>
    </row>
    <row r="213" spans="1:28" s="52" customFormat="1">
      <c r="A213" s="158"/>
      <c r="B213" s="164"/>
      <c r="C213" s="55"/>
      <c r="D213" s="4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114"/>
      <c r="R213" s="47"/>
      <c r="S213" s="47"/>
      <c r="T213" s="48"/>
      <c r="U213" s="48"/>
      <c r="V213" s="49"/>
      <c r="W213" s="50"/>
      <c r="X213" s="51"/>
      <c r="Y213" s="2"/>
      <c r="Z213" s="2"/>
      <c r="AB213" s="2"/>
    </row>
    <row r="214" spans="1:28" ht="46.5" customHeight="1">
      <c r="A214" s="158"/>
      <c r="B214" s="164"/>
      <c r="C214" s="59" t="s">
        <v>18</v>
      </c>
      <c r="D214" s="60" t="s">
        <v>19</v>
      </c>
      <c r="E214" s="61">
        <v>318.26300000000003</v>
      </c>
      <c r="F214" s="61">
        <v>289.91700000000003</v>
      </c>
      <c r="G214" s="61">
        <v>262.38</v>
      </c>
      <c r="H214" s="61">
        <v>321.10000000000002</v>
      </c>
      <c r="I214" s="61">
        <v>293.29500000000002</v>
      </c>
      <c r="J214" s="61">
        <v>286.74700000000001</v>
      </c>
      <c r="K214" s="61">
        <v>260.29300000000001</v>
      </c>
      <c r="L214" s="61">
        <v>269.20600000000002</v>
      </c>
      <c r="M214" s="61">
        <v>288.55700000000002</v>
      </c>
      <c r="N214" s="61">
        <v>288.31200000000001</v>
      </c>
      <c r="O214" s="61">
        <v>274.48700000000002</v>
      </c>
      <c r="P214" s="61">
        <v>311.02800000000002</v>
      </c>
      <c r="Q214" s="115"/>
      <c r="R214" s="64"/>
      <c r="S214" s="64"/>
      <c r="T214" s="65"/>
      <c r="U214" s="65"/>
      <c r="V214" s="49"/>
      <c r="W214" s="49"/>
      <c r="X214" s="66"/>
      <c r="AB214" s="6"/>
    </row>
    <row r="215" spans="1:28" s="52" customFormat="1" ht="46.5" customHeight="1">
      <c r="A215" s="158"/>
      <c r="B215" s="164"/>
      <c r="C215" s="59" t="s">
        <v>18</v>
      </c>
      <c r="D215" s="60" t="s">
        <v>20</v>
      </c>
      <c r="E215" s="61">
        <v>284.738</v>
      </c>
      <c r="F215" s="61">
        <v>300.709</v>
      </c>
      <c r="G215" s="61">
        <v>310.03399999999999</v>
      </c>
      <c r="H215" s="61">
        <v>340.26499999999999</v>
      </c>
      <c r="I215" s="61">
        <v>322.74099999999999</v>
      </c>
      <c r="J215" s="61">
        <v>280.01099999999997</v>
      </c>
      <c r="K215" s="61">
        <v>300.00700000000001</v>
      </c>
      <c r="L215" s="61">
        <v>302.86199999999997</v>
      </c>
      <c r="M215" s="61">
        <v>280.05100000000004</v>
      </c>
      <c r="N215" s="61">
        <v>310.32499999999999</v>
      </c>
      <c r="O215" s="61">
        <v>291.16399999999999</v>
      </c>
      <c r="P215" s="61">
        <v>332.87099999999998</v>
      </c>
      <c r="Q215" s="114"/>
      <c r="R215" s="47"/>
      <c r="S215" s="47"/>
      <c r="T215" s="48"/>
      <c r="U215" s="48"/>
      <c r="V215" s="49"/>
      <c r="W215" s="50"/>
      <c r="X215" s="51"/>
      <c r="Y215" s="2"/>
      <c r="Z215" s="2"/>
      <c r="AB215" s="2"/>
    </row>
    <row r="216" spans="1:28" ht="46.5" customHeight="1">
      <c r="A216" s="158"/>
      <c r="B216" s="164"/>
      <c r="C216" s="59" t="s">
        <v>18</v>
      </c>
      <c r="D216" s="60" t="s">
        <v>21</v>
      </c>
      <c r="E216" s="61">
        <v>334.07299999999998</v>
      </c>
      <c r="F216" s="61">
        <v>347.49200000000002</v>
      </c>
      <c r="G216" s="61">
        <v>326.16399999999999</v>
      </c>
      <c r="H216" s="61">
        <v>330.91800000000001</v>
      </c>
      <c r="I216" s="61">
        <v>304.39299999999997</v>
      </c>
      <c r="J216" s="61">
        <v>313.56</v>
      </c>
      <c r="K216" s="61">
        <v>325.07799999999997</v>
      </c>
      <c r="L216" s="61">
        <v>334.94</v>
      </c>
      <c r="M216" s="61">
        <v>334.15899999999999</v>
      </c>
      <c r="N216" s="61">
        <v>326.53300000000002</v>
      </c>
      <c r="O216" s="61">
        <v>312.01100000000002</v>
      </c>
      <c r="P216" s="61">
        <v>273.76</v>
      </c>
      <c r="Q216" s="115"/>
      <c r="R216" s="64"/>
      <c r="S216" s="64"/>
      <c r="T216" s="65"/>
      <c r="U216" s="65"/>
      <c r="V216" s="49"/>
      <c r="W216" s="49"/>
      <c r="X216" s="66"/>
      <c r="AB216" s="6"/>
    </row>
    <row r="217" spans="1:28" s="52" customFormat="1" ht="46.5" customHeight="1">
      <c r="A217" s="158"/>
      <c r="B217" s="164"/>
      <c r="C217" s="59" t="s">
        <v>18</v>
      </c>
      <c r="D217" s="60" t="s">
        <v>22</v>
      </c>
      <c r="E217" s="61">
        <v>335.72300000000001</v>
      </c>
      <c r="F217" s="61">
        <v>325.73099999999999</v>
      </c>
      <c r="G217" s="61">
        <v>292.23700000000002</v>
      </c>
      <c r="H217" s="61">
        <v>284.435</v>
      </c>
      <c r="I217" s="61">
        <v>313.61</v>
      </c>
      <c r="J217" s="61">
        <v>313.41000000000003</v>
      </c>
      <c r="K217" s="61">
        <v>316.61799999999999</v>
      </c>
      <c r="L217" s="61">
        <v>330.93099999999998</v>
      </c>
      <c r="M217" s="61">
        <v>262.113</v>
      </c>
      <c r="N217" s="61">
        <v>339.31200000000001</v>
      </c>
      <c r="O217" s="61">
        <v>301.39300000000003</v>
      </c>
      <c r="P217" s="61">
        <v>362.392</v>
      </c>
      <c r="Q217" s="114"/>
      <c r="R217" s="47"/>
      <c r="S217" s="47"/>
      <c r="T217" s="48"/>
      <c r="U217" s="48"/>
      <c r="V217" s="49"/>
      <c r="W217" s="50"/>
      <c r="X217" s="51"/>
      <c r="Y217" s="2"/>
      <c r="Z217" s="2"/>
      <c r="AB217" s="2"/>
    </row>
    <row r="218" spans="1:28" s="52" customFormat="1" ht="46.5" customHeight="1">
      <c r="A218" s="158"/>
      <c r="B218" s="164"/>
      <c r="C218" s="59" t="s">
        <v>18</v>
      </c>
      <c r="D218" s="60" t="str">
        <f>+D189</f>
        <v>2021-22</v>
      </c>
      <c r="E218" s="61">
        <v>300.86</v>
      </c>
      <c r="F218" s="61">
        <v>297.06099999999998</v>
      </c>
      <c r="G218" s="61">
        <v>234.63200000000001</v>
      </c>
      <c r="H218" s="61">
        <v>302.40899999999999</v>
      </c>
      <c r="I218" s="61">
        <v>285.00599999999997</v>
      </c>
      <c r="J218" s="61">
        <v>262.19</v>
      </c>
      <c r="K218" s="61">
        <v>286.71800000000002</v>
      </c>
      <c r="L218" s="61">
        <v>289.85500000000002</v>
      </c>
      <c r="M218" s="61">
        <v>311.12299999999999</v>
      </c>
      <c r="N218" s="61">
        <v>314.89400000000001</v>
      </c>
      <c r="O218" s="61">
        <v>240.64</v>
      </c>
      <c r="P218" s="61">
        <v>338.7</v>
      </c>
      <c r="Q218" s="114"/>
      <c r="R218" s="47"/>
      <c r="S218" s="47"/>
      <c r="T218" s="48"/>
      <c r="U218" s="48"/>
      <c r="V218" s="49"/>
      <c r="W218" s="50"/>
      <c r="X218" s="51"/>
      <c r="Y218" s="2"/>
      <c r="Z218" s="2"/>
      <c r="AB218" s="2"/>
    </row>
    <row r="219" spans="1:28" ht="46.5" customHeight="1">
      <c r="A219" s="158"/>
      <c r="B219" s="164"/>
      <c r="C219" s="59" t="s">
        <v>18</v>
      </c>
      <c r="D219" s="60" t="str">
        <f>+D190</f>
        <v>2020-21</v>
      </c>
      <c r="E219" s="61">
        <v>167.06700000000001</v>
      </c>
      <c r="F219" s="61">
        <v>186.494</v>
      </c>
      <c r="G219" s="61">
        <v>197.75700000000001</v>
      </c>
      <c r="H219" s="61">
        <v>284.20399999999995</v>
      </c>
      <c r="I219" s="61">
        <v>306.048</v>
      </c>
      <c r="J219" s="61">
        <v>301.89800000000002</v>
      </c>
      <c r="K219" s="61">
        <v>315.45000000000005</v>
      </c>
      <c r="L219" s="61">
        <v>317.67399999999998</v>
      </c>
      <c r="M219" s="61">
        <v>314.52700000000004</v>
      </c>
      <c r="N219" s="61">
        <v>329.94499999999999</v>
      </c>
      <c r="O219" s="61">
        <v>284.84800000000001</v>
      </c>
      <c r="P219" s="61">
        <v>317.221</v>
      </c>
      <c r="Q219" s="115"/>
      <c r="R219" s="64"/>
      <c r="S219" s="64"/>
      <c r="T219" s="65"/>
      <c r="U219" s="65"/>
      <c r="V219" s="49"/>
      <c r="W219" s="49"/>
      <c r="X219" s="66"/>
      <c r="Y219" s="49"/>
      <c r="Z219" s="49"/>
      <c r="AB219" s="49"/>
    </row>
    <row r="220" spans="1:28" ht="46.5" customHeight="1">
      <c r="A220" s="158"/>
      <c r="B220" s="164"/>
      <c r="C220" s="59" t="str">
        <f>+C191</f>
        <v>Actual</v>
      </c>
      <c r="D220" s="60" t="str">
        <f>+D191</f>
        <v>2019-20</v>
      </c>
      <c r="E220" s="61">
        <v>242.648</v>
      </c>
      <c r="F220" s="61">
        <v>267.31900000000002</v>
      </c>
      <c r="G220" s="61">
        <v>270.68200000000002</v>
      </c>
      <c r="H220" s="61">
        <v>308.55900000000003</v>
      </c>
      <c r="I220" s="61">
        <v>283.24</v>
      </c>
      <c r="J220" s="61">
        <v>215.97900000000001</v>
      </c>
      <c r="K220" s="61">
        <v>251.84800000000001</v>
      </c>
      <c r="L220" s="61">
        <v>296.95</v>
      </c>
      <c r="M220" s="61">
        <v>309.88400000000001</v>
      </c>
      <c r="N220" s="61">
        <v>304.041</v>
      </c>
      <c r="O220" s="61">
        <v>272.70699999999999</v>
      </c>
      <c r="P220" s="61">
        <v>275.33199999999999</v>
      </c>
      <c r="Q220" s="115"/>
      <c r="R220" s="64"/>
      <c r="S220" s="64"/>
      <c r="T220" s="65"/>
      <c r="U220" s="65"/>
      <c r="V220" s="49"/>
      <c r="W220" s="49"/>
      <c r="X220" s="66"/>
      <c r="AB220" s="72"/>
    </row>
    <row r="221" spans="1:28" s="25" customFormat="1" ht="46.5" customHeight="1">
      <c r="A221" s="158"/>
      <c r="B221" s="164"/>
      <c r="C221" s="102" t="s">
        <v>18</v>
      </c>
      <c r="D221" s="103" t="s">
        <v>26</v>
      </c>
      <c r="E221" s="61">
        <v>280.267</v>
      </c>
      <c r="F221" s="61">
        <v>286.53199999999998</v>
      </c>
      <c r="G221" s="61">
        <v>278.74299999999999</v>
      </c>
      <c r="H221" s="61">
        <v>258.334</v>
      </c>
      <c r="I221" s="61">
        <v>293.91199999999998</v>
      </c>
      <c r="J221" s="61">
        <v>272.53699999999998</v>
      </c>
      <c r="K221" s="61">
        <v>308.3</v>
      </c>
      <c r="L221" s="61">
        <v>283.25200000000001</v>
      </c>
      <c r="M221" s="61">
        <v>283.303</v>
      </c>
      <c r="N221" s="61">
        <v>250.41</v>
      </c>
      <c r="O221" s="61">
        <v>262.99099999999999</v>
      </c>
      <c r="P221" s="61">
        <v>315.06099999999998</v>
      </c>
      <c r="Q221" s="116"/>
      <c r="R221" s="117"/>
      <c r="S221" s="64"/>
      <c r="T221" s="65"/>
      <c r="U221" s="65"/>
      <c r="V221" s="49"/>
      <c r="W221" s="49"/>
      <c r="X221" s="66"/>
      <c r="Y221" s="27"/>
      <c r="Z221" s="27"/>
    </row>
    <row r="222" spans="1:28" ht="46.35" customHeight="1">
      <c r="A222" s="158"/>
      <c r="B222" s="164"/>
      <c r="C222" s="59" t="s">
        <v>18</v>
      </c>
      <c r="D222" s="60" t="s">
        <v>27</v>
      </c>
      <c r="E222" s="61">
        <v>188.96</v>
      </c>
      <c r="F222" s="61">
        <v>212.26300000000001</v>
      </c>
      <c r="G222" s="61">
        <v>245.49600000000001</v>
      </c>
      <c r="H222" s="61">
        <v>281.71699999999998</v>
      </c>
      <c r="I222" s="61">
        <v>292.07900000000001</v>
      </c>
      <c r="J222" s="61">
        <v>268.87099999999998</v>
      </c>
      <c r="K222" s="61">
        <v>274.452</v>
      </c>
      <c r="L222" s="61">
        <v>291.30700000000002</v>
      </c>
      <c r="M222" s="61">
        <v>277.84100000000001</v>
      </c>
      <c r="N222" s="61">
        <v>239.28</v>
      </c>
      <c r="O222" s="61">
        <v>268.17</v>
      </c>
      <c r="P222" s="61">
        <v>314.66699999999997</v>
      </c>
      <c r="Q222" s="60"/>
      <c r="R222" s="64"/>
      <c r="S222" s="64"/>
      <c r="T222" s="65"/>
      <c r="U222" s="65"/>
      <c r="V222" s="49"/>
      <c r="W222" s="49"/>
      <c r="X222" s="66"/>
    </row>
    <row r="223" spans="1:28" ht="46.35" customHeight="1">
      <c r="A223" s="158"/>
      <c r="B223" s="164"/>
      <c r="C223" s="59" t="s">
        <v>18</v>
      </c>
      <c r="D223" s="60" t="s">
        <v>28</v>
      </c>
      <c r="E223" s="61">
        <v>284.94299999999998</v>
      </c>
      <c r="F223" s="61">
        <v>276.77300000000002</v>
      </c>
      <c r="G223" s="61">
        <v>295.548</v>
      </c>
      <c r="H223" s="61">
        <v>266.5</v>
      </c>
      <c r="I223" s="61">
        <v>241.52600000000001</v>
      </c>
      <c r="J223" s="61">
        <v>238.119</v>
      </c>
      <c r="K223" s="61">
        <v>287.19400000000002</v>
      </c>
      <c r="L223" s="61">
        <v>278.58699999999999</v>
      </c>
      <c r="M223" s="61">
        <v>296.17899999999997</v>
      </c>
      <c r="N223" s="61">
        <v>304.28100000000001</v>
      </c>
      <c r="O223" s="61">
        <v>236.755</v>
      </c>
      <c r="P223" s="61">
        <v>160.56200000000001</v>
      </c>
      <c r="Q223" s="60"/>
      <c r="R223" s="64"/>
      <c r="S223" s="64"/>
      <c r="T223" s="65"/>
      <c r="U223" s="65"/>
      <c r="V223" s="49"/>
      <c r="W223" s="49"/>
      <c r="X223" s="66"/>
    </row>
    <row r="224" spans="1:28" ht="46.35" customHeight="1">
      <c r="A224" s="158"/>
      <c r="B224" s="164"/>
      <c r="C224" s="59" t="s">
        <v>18</v>
      </c>
      <c r="D224" s="60" t="s">
        <v>29</v>
      </c>
      <c r="E224" s="76">
        <v>268.18200000000002</v>
      </c>
      <c r="F224" s="76">
        <v>251.471</v>
      </c>
      <c r="G224" s="76">
        <v>247.7</v>
      </c>
      <c r="H224" s="76">
        <v>236.77199999999999</v>
      </c>
      <c r="I224" s="76">
        <v>171.898</v>
      </c>
      <c r="J224" s="76">
        <v>204.77699999999999</v>
      </c>
      <c r="K224" s="76">
        <v>230.06800000000001</v>
      </c>
      <c r="L224" s="76">
        <v>289.80399999999997</v>
      </c>
      <c r="M224" s="76">
        <v>302.89</v>
      </c>
      <c r="N224" s="76">
        <v>248.40799999999999</v>
      </c>
      <c r="O224" s="76">
        <v>235.51900000000001</v>
      </c>
      <c r="P224" s="76">
        <v>292.51</v>
      </c>
      <c r="Q224" s="60"/>
      <c r="R224" s="64"/>
      <c r="S224" s="64"/>
      <c r="T224" s="65"/>
      <c r="U224" s="65"/>
      <c r="V224" s="49"/>
      <c r="W224" s="49"/>
      <c r="X224" s="66"/>
    </row>
    <row r="225" spans="1:24" ht="61.5" customHeight="1">
      <c r="A225" s="158"/>
      <c r="B225" s="164"/>
      <c r="C225" s="59" t="s">
        <v>18</v>
      </c>
      <c r="D225" s="60" t="s">
        <v>30</v>
      </c>
      <c r="E225" s="61">
        <v>207.06800000000001</v>
      </c>
      <c r="F225" s="61">
        <v>257.43400000000003</v>
      </c>
      <c r="G225" s="61">
        <v>256.65699999999998</v>
      </c>
      <c r="H225" s="61">
        <v>269.536</v>
      </c>
      <c r="I225" s="61">
        <v>262.63299999999998</v>
      </c>
      <c r="J225" s="61">
        <v>268.68400000000003</v>
      </c>
      <c r="K225" s="61">
        <v>272.53300000000002</v>
      </c>
      <c r="L225" s="61">
        <v>277.50799999999998</v>
      </c>
      <c r="M225" s="61">
        <v>270.10300000000001</v>
      </c>
      <c r="N225" s="61">
        <v>264.36500000000001</v>
      </c>
      <c r="O225" s="61">
        <v>271.83300000000003</v>
      </c>
      <c r="P225" s="61">
        <v>292.06400000000002</v>
      </c>
      <c r="Q225" s="60"/>
      <c r="R225" s="64"/>
      <c r="S225" s="64"/>
      <c r="T225" s="65"/>
      <c r="U225" s="65"/>
      <c r="V225" s="49"/>
      <c r="W225" s="49"/>
      <c r="X225" s="66"/>
    </row>
    <row r="226" spans="1:24" ht="61.5" customHeight="1">
      <c r="A226" s="158"/>
      <c r="B226" s="164"/>
      <c r="C226" s="59" t="s">
        <v>18</v>
      </c>
      <c r="D226" s="78" t="s">
        <v>31</v>
      </c>
      <c r="E226" s="61">
        <v>280.98500000000001</v>
      </c>
      <c r="F226" s="61">
        <v>250.77500000000001</v>
      </c>
      <c r="G226" s="61">
        <v>255.994</v>
      </c>
      <c r="H226" s="61">
        <v>277.32900000000001</v>
      </c>
      <c r="I226" s="61">
        <v>254.31399999999999</v>
      </c>
      <c r="J226" s="61">
        <v>282.464</v>
      </c>
      <c r="K226" s="61">
        <v>234.232</v>
      </c>
      <c r="L226" s="61">
        <v>264.01</v>
      </c>
      <c r="M226" s="61">
        <v>297.33600000000001</v>
      </c>
      <c r="N226" s="61">
        <v>302.29199999999997</v>
      </c>
      <c r="O226" s="61">
        <v>208.21799999999999</v>
      </c>
      <c r="P226" s="61">
        <v>206.077</v>
      </c>
      <c r="Q226" s="60"/>
      <c r="R226" s="64"/>
      <c r="S226" s="64"/>
      <c r="T226" s="65"/>
      <c r="U226" s="65"/>
      <c r="V226" s="49"/>
      <c r="W226" s="49"/>
      <c r="X226" s="66"/>
    </row>
    <row r="227" spans="1:24" ht="61.5" customHeight="1">
      <c r="A227" s="158"/>
      <c r="B227" s="164"/>
      <c r="C227" s="59" t="s">
        <v>18</v>
      </c>
      <c r="D227" s="60" t="s">
        <v>32</v>
      </c>
      <c r="E227" s="61">
        <v>257.10599999999999</v>
      </c>
      <c r="F227" s="61">
        <v>238.238</v>
      </c>
      <c r="G227" s="61">
        <v>266.89100000000002</v>
      </c>
      <c r="H227" s="61">
        <v>258.63900000000001</v>
      </c>
      <c r="I227" s="61">
        <v>265.65699999999998</v>
      </c>
      <c r="J227" s="61">
        <v>256.68299999999999</v>
      </c>
      <c r="K227" s="61">
        <v>284.57</v>
      </c>
      <c r="L227" s="61">
        <v>271.13799999999998</v>
      </c>
      <c r="M227" s="61">
        <v>222.68600000000001</v>
      </c>
      <c r="N227" s="61">
        <v>295.21699999999998</v>
      </c>
      <c r="O227" s="61">
        <v>276.31200000000001</v>
      </c>
      <c r="P227" s="61">
        <v>304.02199999999999</v>
      </c>
      <c r="Q227" s="60"/>
      <c r="R227" s="64"/>
      <c r="S227" s="64"/>
      <c r="T227" s="65"/>
      <c r="U227" s="65"/>
      <c r="V227" s="49"/>
      <c r="W227" s="49"/>
      <c r="X227" s="66"/>
    </row>
    <row r="228" spans="1:24" ht="61.5" customHeight="1">
      <c r="A228" s="158"/>
      <c r="B228" s="164"/>
      <c r="C228" s="59" t="s">
        <v>18</v>
      </c>
      <c r="D228" s="60" t="s">
        <v>33</v>
      </c>
      <c r="E228" s="61">
        <v>260.46600000000001</v>
      </c>
      <c r="F228" s="61">
        <v>258.57100000000003</v>
      </c>
      <c r="G228" s="61">
        <v>227.876</v>
      </c>
      <c r="H228" s="61">
        <v>215.571</v>
      </c>
      <c r="I228" s="61">
        <v>194.833</v>
      </c>
      <c r="J228" s="61">
        <v>198.48</v>
      </c>
      <c r="K228" s="61">
        <v>246.65899999999999</v>
      </c>
      <c r="L228" s="61">
        <v>224.91399999999999</v>
      </c>
      <c r="M228" s="61">
        <v>274.70299999999997</v>
      </c>
      <c r="N228" s="61">
        <v>248.643</v>
      </c>
      <c r="O228" s="61">
        <v>228.95099999999999</v>
      </c>
      <c r="P228" s="61">
        <v>266.03800000000001</v>
      </c>
      <c r="Q228" s="60"/>
      <c r="R228" s="47"/>
      <c r="S228" s="47"/>
      <c r="T228" s="48"/>
      <c r="U228" s="48"/>
      <c r="V228" s="49"/>
      <c r="W228" s="50"/>
      <c r="X228" s="51"/>
    </row>
    <row r="229" spans="1:24" ht="61.5" customHeight="1">
      <c r="A229" s="158"/>
      <c r="B229" s="164"/>
      <c r="C229" s="59" t="s">
        <v>18</v>
      </c>
      <c r="D229" s="60" t="s">
        <v>34</v>
      </c>
      <c r="E229" s="61">
        <v>237.33099999999999</v>
      </c>
      <c r="F229" s="61">
        <v>233.96799999999999</v>
      </c>
      <c r="G229" s="61">
        <v>225.886</v>
      </c>
      <c r="H229" s="61">
        <v>225.078</v>
      </c>
      <c r="I229" s="61">
        <v>239.71199999999999</v>
      </c>
      <c r="J229" s="61">
        <v>205.53100000000001</v>
      </c>
      <c r="K229" s="61">
        <v>282.99</v>
      </c>
      <c r="L229" s="61">
        <v>271.09199999999998</v>
      </c>
      <c r="M229" s="61">
        <v>264.17500000000001</v>
      </c>
      <c r="N229" s="61">
        <v>265.27699999999999</v>
      </c>
      <c r="O229" s="61">
        <v>200.86799999999999</v>
      </c>
      <c r="P229" s="61">
        <v>263.30399999999997</v>
      </c>
      <c r="Q229" s="60"/>
      <c r="R229" s="47"/>
      <c r="S229" s="47"/>
      <c r="T229" s="48"/>
      <c r="U229" s="48"/>
      <c r="V229" s="49"/>
      <c r="W229" s="50"/>
      <c r="X229" s="51"/>
    </row>
    <row r="230" spans="1:24" ht="61.5" customHeight="1">
      <c r="A230" s="158"/>
      <c r="B230" s="164"/>
      <c r="C230" s="59" t="s">
        <v>18</v>
      </c>
      <c r="D230" s="60" t="s">
        <v>35</v>
      </c>
      <c r="E230" s="61">
        <v>208.596</v>
      </c>
      <c r="F230" s="61">
        <v>229.89500000000001</v>
      </c>
      <c r="G230" s="61">
        <v>251.79599999999999</v>
      </c>
      <c r="H230" s="61">
        <v>227.91300000000001</v>
      </c>
      <c r="I230" s="61">
        <v>261.596</v>
      </c>
      <c r="J230" s="61">
        <v>218.29499999999999</v>
      </c>
      <c r="K230" s="61">
        <v>251.72399999999999</v>
      </c>
      <c r="L230" s="61">
        <v>211.238</v>
      </c>
      <c r="M230" s="61">
        <v>249.42500000000001</v>
      </c>
      <c r="N230" s="61">
        <v>253.83699999999999</v>
      </c>
      <c r="O230" s="61">
        <v>243.37100000000001</v>
      </c>
      <c r="P230" s="61">
        <v>253.38800000000001</v>
      </c>
      <c r="Q230" s="60"/>
      <c r="R230" s="47"/>
      <c r="S230" s="47"/>
      <c r="T230" s="48"/>
      <c r="U230" s="48"/>
      <c r="V230" s="49"/>
      <c r="W230" s="50"/>
      <c r="X230" s="51"/>
    </row>
    <row r="231" spans="1:24" ht="61.5" customHeight="1">
      <c r="A231" s="158"/>
      <c r="B231" s="164"/>
      <c r="C231" s="59" t="s">
        <v>18</v>
      </c>
      <c r="D231" s="60" t="s">
        <v>36</v>
      </c>
      <c r="E231" s="61">
        <v>246.6</v>
      </c>
      <c r="F231" s="61">
        <v>261.58800000000002</v>
      </c>
      <c r="G231" s="61">
        <v>214.238</v>
      </c>
      <c r="H231" s="61">
        <v>193.00299999999999</v>
      </c>
      <c r="I231" s="61">
        <v>251.20099999999999</v>
      </c>
      <c r="J231" s="61">
        <v>218.779</v>
      </c>
      <c r="K231" s="61">
        <v>253.523</v>
      </c>
      <c r="L231" s="61">
        <v>212.77699999999999</v>
      </c>
      <c r="M231" s="61">
        <v>218.60499999999999</v>
      </c>
      <c r="N231" s="61">
        <v>232.809</v>
      </c>
      <c r="O231" s="61">
        <v>215.69</v>
      </c>
      <c r="P231" s="61">
        <v>246.851</v>
      </c>
      <c r="Q231" s="81"/>
      <c r="R231" s="47"/>
      <c r="S231" s="47"/>
      <c r="T231" s="48"/>
      <c r="U231" s="48"/>
      <c r="V231" s="49"/>
      <c r="W231" s="50"/>
      <c r="X231" s="51"/>
    </row>
    <row r="232" spans="1:24" ht="61.5" customHeight="1">
      <c r="A232" s="158"/>
      <c r="B232" s="84"/>
      <c r="C232" s="59" t="s">
        <v>18</v>
      </c>
      <c r="D232" s="60" t="s">
        <v>37</v>
      </c>
      <c r="E232" s="85">
        <v>268.07400000000001</v>
      </c>
      <c r="F232" s="85">
        <v>257.90300000000002</v>
      </c>
      <c r="G232" s="85">
        <v>258.005</v>
      </c>
      <c r="H232" s="85">
        <v>194.59200000000001</v>
      </c>
      <c r="I232" s="85">
        <v>202.809</v>
      </c>
      <c r="J232" s="85">
        <v>185.64099999999999</v>
      </c>
      <c r="K232" s="85">
        <v>236.57300000000001</v>
      </c>
      <c r="L232" s="85">
        <v>238.01400000000001</v>
      </c>
      <c r="M232" s="85">
        <v>212.5</v>
      </c>
      <c r="N232" s="85">
        <v>276.08999999999997</v>
      </c>
      <c r="O232" s="85">
        <v>254.851</v>
      </c>
      <c r="P232" s="85">
        <v>255.59100000000001</v>
      </c>
      <c r="Q232" s="46"/>
      <c r="R232" s="47"/>
      <c r="S232" s="47"/>
      <c r="T232" s="48"/>
      <c r="U232" s="48"/>
      <c r="V232" s="49"/>
      <c r="W232" s="50"/>
      <c r="X232" s="51"/>
    </row>
    <row r="233" spans="1:24" ht="61.5" customHeight="1">
      <c r="A233" s="158"/>
      <c r="B233" s="84"/>
      <c r="C233" s="59" t="s">
        <v>18</v>
      </c>
      <c r="D233" s="60" t="s">
        <v>38</v>
      </c>
      <c r="E233" s="85">
        <v>191.61</v>
      </c>
      <c r="F233" s="85">
        <v>228.886</v>
      </c>
      <c r="G233" s="85">
        <v>207.685</v>
      </c>
      <c r="H233" s="85">
        <v>170.17400000000001</v>
      </c>
      <c r="I233" s="85">
        <v>127.718</v>
      </c>
      <c r="J233" s="85">
        <v>142.86000000000001</v>
      </c>
      <c r="K233" s="85">
        <v>230.76</v>
      </c>
      <c r="L233" s="85">
        <v>234.976</v>
      </c>
      <c r="M233" s="85">
        <v>260.464</v>
      </c>
      <c r="N233" s="85">
        <v>257.44299999999998</v>
      </c>
      <c r="O233" s="85">
        <v>237.32900000000001</v>
      </c>
      <c r="P233" s="85">
        <v>279.31700000000001</v>
      </c>
      <c r="Q233" s="46"/>
      <c r="R233" s="47"/>
      <c r="S233" s="47"/>
      <c r="T233" s="48"/>
      <c r="U233" s="48"/>
      <c r="V233" s="49"/>
      <c r="W233" s="50"/>
      <c r="X233" s="51"/>
    </row>
    <row r="234" spans="1:24" ht="61.5" customHeight="1">
      <c r="A234" s="158"/>
      <c r="B234" s="84"/>
      <c r="C234" s="59" t="s">
        <v>18</v>
      </c>
      <c r="D234" s="60" t="s">
        <v>39</v>
      </c>
      <c r="E234" s="85">
        <v>223.31700000000001</v>
      </c>
      <c r="F234" s="85">
        <v>240.38800000000001</v>
      </c>
      <c r="G234" s="85">
        <v>189.15899999999999</v>
      </c>
      <c r="H234" s="85">
        <v>192.02099999999999</v>
      </c>
      <c r="I234" s="85">
        <v>195.64599999999999</v>
      </c>
      <c r="J234" s="85">
        <v>171.86</v>
      </c>
      <c r="K234" s="85">
        <v>224.67400000000001</v>
      </c>
      <c r="L234" s="85">
        <v>214.43899999999999</v>
      </c>
      <c r="M234" s="85">
        <v>232.07900000000001</v>
      </c>
      <c r="N234" s="85">
        <v>215.39599999999999</v>
      </c>
      <c r="O234" s="85">
        <v>206.71</v>
      </c>
      <c r="P234" s="85">
        <v>221.66900000000001</v>
      </c>
      <c r="Q234" s="46"/>
      <c r="R234" s="47"/>
      <c r="S234" s="47"/>
      <c r="T234" s="48"/>
      <c r="U234" s="48"/>
      <c r="V234" s="49"/>
      <c r="W234" s="50"/>
      <c r="X234" s="51"/>
    </row>
    <row r="235" spans="1:24" ht="61.5" customHeight="1">
      <c r="A235" s="158"/>
      <c r="B235" s="84"/>
      <c r="C235" s="59" t="s">
        <v>18</v>
      </c>
      <c r="D235" s="60" t="s">
        <v>40</v>
      </c>
      <c r="E235" s="85">
        <v>194.566</v>
      </c>
      <c r="F235" s="85">
        <v>214.202</v>
      </c>
      <c r="G235" s="85">
        <v>227.50399999999999</v>
      </c>
      <c r="H235" s="85">
        <v>218.47</v>
      </c>
      <c r="I235" s="85">
        <v>235.078</v>
      </c>
      <c r="J235" s="85">
        <v>211.52</v>
      </c>
      <c r="K235" s="85">
        <v>229.34800000000001</v>
      </c>
      <c r="L235" s="85">
        <v>234.29300000000001</v>
      </c>
      <c r="M235" s="85">
        <v>246.44200000000001</v>
      </c>
      <c r="N235" s="85">
        <v>248.08199999999999</v>
      </c>
      <c r="O235" s="85">
        <v>218.035</v>
      </c>
      <c r="P235" s="85">
        <v>250.02699999999999</v>
      </c>
      <c r="Q235" s="46"/>
      <c r="R235" s="47"/>
      <c r="S235" s="47"/>
      <c r="T235" s="48"/>
      <c r="U235" s="48"/>
      <c r="V235" s="49"/>
      <c r="W235" s="50"/>
      <c r="X235" s="51"/>
    </row>
    <row r="236" spans="1:24" ht="61.5" customHeight="1">
      <c r="A236" s="158"/>
      <c r="B236" s="84"/>
      <c r="C236" s="59" t="s">
        <v>18</v>
      </c>
      <c r="D236" s="60" t="s">
        <v>41</v>
      </c>
      <c r="E236" s="85">
        <v>223.042</v>
      </c>
      <c r="F236" s="85">
        <v>246.15199999999999</v>
      </c>
      <c r="G236" s="85">
        <v>204.08</v>
      </c>
      <c r="H236" s="85">
        <v>185.41499999999999</v>
      </c>
      <c r="I236" s="85">
        <v>178.83699999999999</v>
      </c>
      <c r="J236" s="85">
        <v>228.274</v>
      </c>
      <c r="K236" s="85">
        <v>213.00700000000001</v>
      </c>
      <c r="L236" s="85">
        <v>223.23500000000001</v>
      </c>
      <c r="M236" s="85">
        <v>240.15299999999999</v>
      </c>
      <c r="N236" s="85">
        <v>245.827</v>
      </c>
      <c r="O236" s="85">
        <v>240.43799999999999</v>
      </c>
      <c r="P236" s="85">
        <v>211.774</v>
      </c>
      <c r="Q236" s="46"/>
      <c r="R236" s="47"/>
      <c r="S236" s="47"/>
      <c r="T236" s="48"/>
      <c r="U236" s="48"/>
      <c r="V236" s="49"/>
      <c r="W236" s="50"/>
      <c r="X236" s="51"/>
    </row>
    <row r="237" spans="1:24" ht="61.5" customHeight="1">
      <c r="A237" s="158"/>
      <c r="B237" s="84"/>
      <c r="C237" s="59" t="s">
        <v>18</v>
      </c>
      <c r="D237" s="60" t="s">
        <v>42</v>
      </c>
      <c r="E237" s="85">
        <v>205.56100000000001</v>
      </c>
      <c r="F237" s="85">
        <v>226.822</v>
      </c>
      <c r="G237" s="85">
        <v>198.5</v>
      </c>
      <c r="H237" s="85">
        <v>193.51300000000001</v>
      </c>
      <c r="I237" s="85">
        <v>203.23400000000001</v>
      </c>
      <c r="J237" s="85">
        <v>160.22200000000001</v>
      </c>
      <c r="K237" s="85">
        <v>219.74199999999999</v>
      </c>
      <c r="L237" s="85">
        <v>216.36600000000001</v>
      </c>
      <c r="M237" s="85">
        <v>209.44</v>
      </c>
      <c r="N237" s="85">
        <v>230.566</v>
      </c>
      <c r="O237" s="85">
        <v>223.13399999999999</v>
      </c>
      <c r="P237" s="85">
        <v>269.35199999999998</v>
      </c>
      <c r="Q237" s="46"/>
      <c r="R237" s="47"/>
      <c r="S237" s="47"/>
      <c r="T237" s="48"/>
      <c r="U237" s="48"/>
      <c r="V237" s="49"/>
      <c r="W237" s="50"/>
      <c r="X237" s="51"/>
    </row>
    <row r="238" spans="1:24" ht="61.5" customHeight="1">
      <c r="A238" s="158"/>
      <c r="B238" s="84"/>
      <c r="C238" s="59" t="s">
        <v>18</v>
      </c>
      <c r="D238" s="60" t="s">
        <v>43</v>
      </c>
      <c r="E238" s="85">
        <v>203.876</v>
      </c>
      <c r="F238" s="85">
        <v>197.06800000000001</v>
      </c>
      <c r="G238" s="85">
        <v>189.07400000000001</v>
      </c>
      <c r="H238" s="85">
        <v>202.3</v>
      </c>
      <c r="I238" s="85">
        <v>192.30600000000001</v>
      </c>
      <c r="J238" s="85">
        <v>198.12799999999999</v>
      </c>
      <c r="K238" s="85">
        <v>210.50200000000001</v>
      </c>
      <c r="L238" s="85">
        <v>205.625</v>
      </c>
      <c r="M238" s="85">
        <v>208.52699999999999</v>
      </c>
      <c r="N238" s="85">
        <v>230.148</v>
      </c>
      <c r="O238" s="85">
        <v>213.744</v>
      </c>
      <c r="P238" s="85">
        <v>235.07599999999999</v>
      </c>
      <c r="Q238" s="46"/>
      <c r="R238" s="47"/>
      <c r="S238" s="47"/>
      <c r="T238" s="48"/>
      <c r="U238" s="48"/>
      <c r="V238" s="49"/>
      <c r="W238" s="50"/>
      <c r="X238" s="51"/>
    </row>
    <row r="239" spans="1:24" ht="61.5" customHeight="1">
      <c r="A239" s="158"/>
      <c r="B239" s="84"/>
      <c r="C239" s="59" t="s">
        <v>18</v>
      </c>
      <c r="D239" s="60" t="s">
        <v>44</v>
      </c>
      <c r="E239" s="85">
        <v>184.886</v>
      </c>
      <c r="F239" s="85">
        <v>206.46799999999999</v>
      </c>
      <c r="G239" s="85">
        <v>147.12200000000001</v>
      </c>
      <c r="H239" s="85">
        <v>178.613</v>
      </c>
      <c r="I239" s="85">
        <v>198.006</v>
      </c>
      <c r="J239" s="85">
        <v>161.42099999999999</v>
      </c>
      <c r="K239" s="85">
        <v>198.114</v>
      </c>
      <c r="L239" s="85">
        <v>179.631</v>
      </c>
      <c r="M239" s="85">
        <v>228.04</v>
      </c>
      <c r="N239" s="85">
        <v>225.18899999999999</v>
      </c>
      <c r="O239" s="85">
        <v>195.595</v>
      </c>
      <c r="P239" s="85">
        <v>220.49600000000001</v>
      </c>
      <c r="Q239" s="46"/>
      <c r="R239" s="47"/>
      <c r="S239" s="47"/>
      <c r="T239" s="48"/>
      <c r="U239" s="48"/>
      <c r="V239" s="49"/>
      <c r="W239" s="50"/>
      <c r="X239" s="51"/>
    </row>
    <row r="240" spans="1:24" ht="61.5" customHeight="1">
      <c r="A240" s="158"/>
      <c r="B240" s="84"/>
      <c r="C240" s="59"/>
      <c r="D240" s="60"/>
      <c r="E240" s="21"/>
      <c r="F240" s="21"/>
      <c r="G240" s="21"/>
      <c r="H240" s="20"/>
      <c r="I240" s="21"/>
      <c r="J240" s="21"/>
      <c r="K240" s="21"/>
      <c r="L240" s="21"/>
      <c r="M240" s="21"/>
      <c r="N240" s="21"/>
      <c r="O240" s="21"/>
      <c r="P240" s="21"/>
      <c r="Q240" s="46"/>
      <c r="R240" s="47"/>
      <c r="S240" s="47"/>
      <c r="T240" s="48"/>
      <c r="U240" s="48"/>
      <c r="V240" s="49"/>
      <c r="W240" s="50"/>
      <c r="X240" s="51"/>
    </row>
    <row r="241" spans="1:28" s="109" customFormat="1" ht="65.099999999999994" customHeight="1">
      <c r="A241" s="158"/>
      <c r="B241" s="163" t="s">
        <v>49</v>
      </c>
      <c r="C241" s="42"/>
      <c r="D241" s="43"/>
      <c r="E241" s="44"/>
      <c r="F241" s="44"/>
      <c r="G241" s="44"/>
      <c r="H241" s="45"/>
      <c r="I241" s="44"/>
      <c r="J241" s="44"/>
      <c r="K241" s="44"/>
      <c r="L241" s="44"/>
      <c r="M241" s="44"/>
      <c r="N241" s="44"/>
      <c r="O241" s="44"/>
      <c r="P241" s="44"/>
      <c r="Q241" s="43"/>
      <c r="R241" s="91"/>
      <c r="S241" s="47"/>
      <c r="T241" s="48"/>
      <c r="U241" s="48"/>
      <c r="V241" s="49"/>
      <c r="W241" s="50"/>
      <c r="X241" s="51"/>
      <c r="Y241" s="108"/>
      <c r="Z241" s="108"/>
    </row>
    <row r="242" spans="1:28" s="52" customFormat="1">
      <c r="A242" s="158"/>
      <c r="B242" s="164"/>
      <c r="C242" s="55"/>
      <c r="D242" s="4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114"/>
      <c r="R242" s="47"/>
      <c r="S242" s="47"/>
      <c r="T242" s="48"/>
      <c r="U242" s="48"/>
      <c r="V242" s="49"/>
      <c r="W242" s="50"/>
      <c r="X242" s="51"/>
      <c r="Y242" s="2"/>
      <c r="Z242" s="2"/>
      <c r="AB242" s="2"/>
    </row>
    <row r="243" spans="1:28" ht="46.5" customHeight="1">
      <c r="A243" s="158"/>
      <c r="B243" s="164"/>
      <c r="C243" s="59" t="s">
        <v>18</v>
      </c>
      <c r="D243" s="60" t="s">
        <v>19</v>
      </c>
      <c r="E243" s="61">
        <v>586.79200000000003</v>
      </c>
      <c r="F243" s="61">
        <v>611.86300000000006</v>
      </c>
      <c r="G243" s="61">
        <v>590.82600000000002</v>
      </c>
      <c r="H243" s="61">
        <v>501.03899999999999</v>
      </c>
      <c r="I243" s="61">
        <v>634.21</v>
      </c>
      <c r="J243" s="61">
        <v>561.5329999999999</v>
      </c>
      <c r="K243" s="61">
        <v>611.07300000000009</v>
      </c>
      <c r="L243" s="61">
        <v>526.40100000000007</v>
      </c>
      <c r="M243" s="61">
        <v>615.82300000000009</v>
      </c>
      <c r="N243" s="61">
        <v>607.952</v>
      </c>
      <c r="O243" s="61">
        <v>544.53399999999999</v>
      </c>
      <c r="P243" s="61">
        <v>644.14099999999996</v>
      </c>
      <c r="Q243" s="115"/>
      <c r="R243" s="64"/>
      <c r="S243" s="64"/>
      <c r="T243" s="65"/>
      <c r="U243" s="65"/>
      <c r="V243" s="49"/>
      <c r="W243" s="49"/>
      <c r="X243" s="66"/>
      <c r="AB243" s="6"/>
    </row>
    <row r="244" spans="1:28" s="52" customFormat="1" ht="46.5" customHeight="1">
      <c r="A244" s="158"/>
      <c r="B244" s="164"/>
      <c r="C244" s="59" t="s">
        <v>18</v>
      </c>
      <c r="D244" s="60" t="s">
        <v>20</v>
      </c>
      <c r="E244" s="61">
        <v>579.03499999999997</v>
      </c>
      <c r="F244" s="61">
        <v>500.14699999999999</v>
      </c>
      <c r="G244" s="61">
        <v>558.70399999999995</v>
      </c>
      <c r="H244" s="61">
        <v>520.03099999999995</v>
      </c>
      <c r="I244" s="61">
        <v>587.13499999999999</v>
      </c>
      <c r="J244" s="61">
        <v>598.14200000000005</v>
      </c>
      <c r="K244" s="61">
        <v>593.86599999999999</v>
      </c>
      <c r="L244" s="61">
        <v>505.89499999999998</v>
      </c>
      <c r="M244" s="61">
        <v>578.94299999999998</v>
      </c>
      <c r="N244" s="61">
        <v>578.17700000000002</v>
      </c>
      <c r="O244" s="61">
        <v>505.72</v>
      </c>
      <c r="P244" s="61">
        <v>607.38699999999994</v>
      </c>
      <c r="Q244" s="114"/>
      <c r="R244" s="47"/>
      <c r="S244" s="47"/>
      <c r="T244" s="48"/>
      <c r="U244" s="48"/>
      <c r="V244" s="49"/>
      <c r="W244" s="50"/>
      <c r="X244" s="51"/>
      <c r="Y244" s="2"/>
      <c r="Z244" s="2"/>
      <c r="AB244" s="2"/>
    </row>
    <row r="245" spans="1:28" ht="46.5" customHeight="1">
      <c r="A245" s="158"/>
      <c r="B245" s="164"/>
      <c r="C245" s="59" t="s">
        <v>18</v>
      </c>
      <c r="D245" s="60" t="s">
        <v>21</v>
      </c>
      <c r="E245" s="61">
        <v>605.88400000000001</v>
      </c>
      <c r="F245" s="61">
        <v>612.73</v>
      </c>
      <c r="G245" s="61">
        <v>529.97699999999998</v>
      </c>
      <c r="H245" s="61">
        <v>624.91600000000005</v>
      </c>
      <c r="I245" s="61">
        <v>604.07999999999993</v>
      </c>
      <c r="J245" s="61">
        <v>538.55899999999997</v>
      </c>
      <c r="K245" s="61">
        <v>603.64499999999998</v>
      </c>
      <c r="L245" s="61">
        <v>610.03399999999999</v>
      </c>
      <c r="M245" s="61">
        <v>601.81899999999996</v>
      </c>
      <c r="N245" s="61">
        <v>642.81700000000001</v>
      </c>
      <c r="O245" s="61">
        <v>560.91100000000006</v>
      </c>
      <c r="P245" s="61">
        <v>625.41599999999994</v>
      </c>
      <c r="Q245" s="115"/>
      <c r="R245" s="64"/>
      <c r="S245" s="64"/>
      <c r="T245" s="65"/>
      <c r="U245" s="65"/>
      <c r="V245" s="49"/>
      <c r="W245" s="49"/>
      <c r="X245" s="66"/>
      <c r="AB245" s="6"/>
    </row>
    <row r="246" spans="1:28" s="52" customFormat="1" ht="46.5" customHeight="1">
      <c r="A246" s="158"/>
      <c r="B246" s="164"/>
      <c r="C246" s="59" t="s">
        <v>18</v>
      </c>
      <c r="D246" s="60" t="s">
        <v>22</v>
      </c>
      <c r="E246" s="61">
        <v>575.26099999999997</v>
      </c>
      <c r="F246" s="61">
        <v>612.74099999999999</v>
      </c>
      <c r="G246" s="61">
        <v>589.4369999999999</v>
      </c>
      <c r="H246" s="61">
        <v>582.101</v>
      </c>
      <c r="I246" s="61">
        <v>551.64200000000005</v>
      </c>
      <c r="J246" s="61">
        <v>581.18499999999995</v>
      </c>
      <c r="K246" s="61">
        <v>616.56700000000001</v>
      </c>
      <c r="L246" s="61">
        <v>594.178</v>
      </c>
      <c r="M246" s="61">
        <v>631.26800000000003</v>
      </c>
      <c r="N246" s="61">
        <v>533.46</v>
      </c>
      <c r="O246" s="61">
        <v>512.23299999999995</v>
      </c>
      <c r="P246" s="61">
        <v>631.93000000000006</v>
      </c>
      <c r="Q246" s="114"/>
      <c r="R246" s="47"/>
      <c r="S246" s="47"/>
      <c r="T246" s="48"/>
      <c r="U246" s="48"/>
      <c r="V246" s="49"/>
      <c r="W246" s="50"/>
      <c r="X246" s="51"/>
      <c r="Y246" s="2"/>
      <c r="Z246" s="2"/>
      <c r="AB246" s="2"/>
    </row>
    <row r="247" spans="1:28" s="52" customFormat="1" ht="46.5" customHeight="1">
      <c r="A247" s="158"/>
      <c r="B247" s="164"/>
      <c r="C247" s="59" t="s">
        <v>18</v>
      </c>
      <c r="D247" s="60" t="s">
        <v>23</v>
      </c>
      <c r="E247" s="61">
        <v>552.97299999999996</v>
      </c>
      <c r="F247" s="61">
        <v>598.98400000000004</v>
      </c>
      <c r="G247" s="61">
        <v>472.25900000000001</v>
      </c>
      <c r="H247" s="61">
        <v>650.98500000000001</v>
      </c>
      <c r="I247" s="61">
        <v>604.58299999999997</v>
      </c>
      <c r="J247" s="61">
        <v>538.37800000000004</v>
      </c>
      <c r="K247" s="61">
        <v>560.00099999999998</v>
      </c>
      <c r="L247" s="61">
        <v>610.14400000000001</v>
      </c>
      <c r="M247" s="61">
        <v>620.12099999999998</v>
      </c>
      <c r="N247" s="61">
        <v>606.70600000000002</v>
      </c>
      <c r="O247" s="61">
        <v>556.37900000000002</v>
      </c>
      <c r="P247" s="61">
        <v>637.02099999999996</v>
      </c>
      <c r="Q247" s="114"/>
      <c r="R247" s="47"/>
      <c r="S247" s="47"/>
      <c r="T247" s="48"/>
      <c r="U247" s="48"/>
      <c r="V247" s="49"/>
      <c r="W247" s="50"/>
      <c r="X247" s="51"/>
      <c r="Y247" s="2"/>
      <c r="Z247" s="2"/>
      <c r="AB247" s="2"/>
    </row>
    <row r="248" spans="1:28" ht="46.5" customHeight="1">
      <c r="A248" s="158"/>
      <c r="B248" s="164"/>
      <c r="C248" s="59" t="s">
        <v>18</v>
      </c>
      <c r="D248" s="60" t="str">
        <f>+D219</f>
        <v>2020-21</v>
      </c>
      <c r="E248" s="61">
        <v>263.98</v>
      </c>
      <c r="F248" s="61">
        <v>274.16300000000001</v>
      </c>
      <c r="G248" s="61">
        <v>349.24400000000003</v>
      </c>
      <c r="H248" s="61">
        <v>513.51499999999999</v>
      </c>
      <c r="I248" s="61">
        <v>572.75599999999997</v>
      </c>
      <c r="J248" s="61">
        <v>535.83400000000006</v>
      </c>
      <c r="K248" s="61">
        <v>622.19899999999996</v>
      </c>
      <c r="L248" s="61">
        <v>621.84900000000005</v>
      </c>
      <c r="M248" s="61">
        <v>636.64499999999998</v>
      </c>
      <c r="N248" s="61">
        <v>630.82299999999998</v>
      </c>
      <c r="O248" s="61">
        <v>577.76200000000006</v>
      </c>
      <c r="P248" s="61">
        <v>628.99900000000002</v>
      </c>
      <c r="Q248" s="115"/>
      <c r="R248" s="64"/>
      <c r="S248" s="64"/>
      <c r="T248" s="65"/>
      <c r="U248" s="65"/>
      <c r="V248" s="49"/>
      <c r="W248" s="49"/>
      <c r="X248" s="66"/>
      <c r="Y248" s="49"/>
      <c r="Z248" s="49"/>
      <c r="AB248" s="49"/>
    </row>
    <row r="249" spans="1:28" ht="46.5" customHeight="1">
      <c r="A249" s="158"/>
      <c r="B249" s="164"/>
      <c r="C249" s="59" t="str">
        <f>+C220</f>
        <v>Actual</v>
      </c>
      <c r="D249" s="60" t="str">
        <f>+D220</f>
        <v>2019-20</v>
      </c>
      <c r="E249" s="61">
        <v>461.89800000000002</v>
      </c>
      <c r="F249" s="61">
        <v>486.50200000000001</v>
      </c>
      <c r="G249" s="61">
        <v>543.47400000000005</v>
      </c>
      <c r="H249" s="61">
        <v>546.29</v>
      </c>
      <c r="I249" s="61">
        <v>424.82499999999999</v>
      </c>
      <c r="J249" s="61">
        <v>490.04300000000001</v>
      </c>
      <c r="K249" s="61">
        <v>485.32100000000003</v>
      </c>
      <c r="L249" s="61">
        <v>511.12700000000001</v>
      </c>
      <c r="M249" s="61">
        <v>506.02499999999998</v>
      </c>
      <c r="N249" s="61">
        <v>521.91099999999994</v>
      </c>
      <c r="O249" s="61">
        <v>517.81600000000003</v>
      </c>
      <c r="P249" s="61">
        <v>524.46400000000006</v>
      </c>
      <c r="Q249" s="115"/>
      <c r="R249" s="64"/>
      <c r="S249" s="64"/>
      <c r="T249" s="65"/>
      <c r="U249" s="65"/>
      <c r="V249" s="49"/>
      <c r="W249" s="49"/>
      <c r="X249" s="66"/>
      <c r="AB249" s="72"/>
    </row>
    <row r="250" spans="1:28" s="25" customFormat="1" ht="46.5" customHeight="1">
      <c r="A250" s="158"/>
      <c r="B250" s="164"/>
      <c r="C250" s="102" t="s">
        <v>18</v>
      </c>
      <c r="D250" s="103" t="s">
        <v>26</v>
      </c>
      <c r="E250" s="61">
        <v>476.32900000000001</v>
      </c>
      <c r="F250" s="61">
        <v>566.46199999999999</v>
      </c>
      <c r="G250" s="61">
        <v>518.66899999999998</v>
      </c>
      <c r="H250" s="61">
        <v>560.71</v>
      </c>
      <c r="I250" s="61">
        <v>512.04399999999998</v>
      </c>
      <c r="J250" s="61">
        <v>462.87700000000001</v>
      </c>
      <c r="K250" s="61">
        <v>473.964</v>
      </c>
      <c r="L250" s="61">
        <v>526.29600000000005</v>
      </c>
      <c r="M250" s="61">
        <v>537.68100000000004</v>
      </c>
      <c r="N250" s="61">
        <v>596.37900000000002</v>
      </c>
      <c r="O250" s="61">
        <v>533.07500000000005</v>
      </c>
      <c r="P250" s="61">
        <v>549.08500000000004</v>
      </c>
      <c r="Q250" s="116"/>
      <c r="R250" s="117"/>
      <c r="S250" s="64"/>
      <c r="T250" s="65"/>
      <c r="U250" s="65"/>
      <c r="V250" s="49"/>
      <c r="W250" s="49"/>
      <c r="X250" s="66"/>
      <c r="Y250" s="27"/>
      <c r="Z250" s="27"/>
    </row>
    <row r="251" spans="1:28" ht="46.5" customHeight="1">
      <c r="A251" s="158"/>
      <c r="B251" s="164"/>
      <c r="C251" s="59" t="s">
        <v>18</v>
      </c>
      <c r="D251" s="60" t="s">
        <v>27</v>
      </c>
      <c r="E251" s="61">
        <v>483.91899999999998</v>
      </c>
      <c r="F251" s="61">
        <v>282.483</v>
      </c>
      <c r="G251" s="61">
        <v>387.38200000000001</v>
      </c>
      <c r="H251" s="61">
        <v>478.13400000000001</v>
      </c>
      <c r="I251" s="61">
        <v>505.08800000000002</v>
      </c>
      <c r="J251" s="61">
        <v>406.76400000000001</v>
      </c>
      <c r="K251" s="61">
        <v>482.30599999999998</v>
      </c>
      <c r="L251" s="61">
        <v>448.39400000000001</v>
      </c>
      <c r="M251" s="61">
        <v>484.392</v>
      </c>
      <c r="N251" s="61">
        <v>449.60599999999999</v>
      </c>
      <c r="O251" s="61">
        <v>417.10899999999998</v>
      </c>
      <c r="P251" s="61">
        <v>479.45400000000001</v>
      </c>
      <c r="Q251" s="60"/>
      <c r="R251" s="64"/>
      <c r="S251" s="64"/>
      <c r="T251" s="65"/>
      <c r="U251" s="65"/>
      <c r="V251" s="49"/>
      <c r="W251" s="49"/>
      <c r="X251" s="66"/>
    </row>
    <row r="252" spans="1:28" ht="46.35" customHeight="1">
      <c r="A252" s="158"/>
      <c r="B252" s="164"/>
      <c r="C252" s="59" t="s">
        <v>18</v>
      </c>
      <c r="D252" s="60" t="s">
        <v>28</v>
      </c>
      <c r="E252" s="61">
        <v>356.22500000000002</v>
      </c>
      <c r="F252" s="61">
        <v>435.82600000000002</v>
      </c>
      <c r="G252" s="61">
        <v>390.84300000000002</v>
      </c>
      <c r="H252" s="61">
        <v>403.07</v>
      </c>
      <c r="I252" s="61">
        <v>435.846</v>
      </c>
      <c r="J252" s="61">
        <v>420.39</v>
      </c>
      <c r="K252" s="61">
        <v>407.71600000000001</v>
      </c>
      <c r="L252" s="61">
        <v>486.56099999999998</v>
      </c>
      <c r="M252" s="61">
        <v>463.59199999999998</v>
      </c>
      <c r="N252" s="61">
        <v>511.45</v>
      </c>
      <c r="O252" s="61">
        <v>443.30500000000001</v>
      </c>
      <c r="P252" s="61">
        <v>514.84500000000003</v>
      </c>
      <c r="Q252" s="60"/>
      <c r="R252" s="64"/>
      <c r="S252" s="64"/>
      <c r="T252" s="65"/>
      <c r="U252" s="65"/>
      <c r="V252" s="49"/>
      <c r="W252" s="49"/>
      <c r="X252" s="66"/>
    </row>
    <row r="253" spans="1:28" ht="46.35" customHeight="1">
      <c r="A253" s="158"/>
      <c r="B253" s="164"/>
      <c r="C253" s="59" t="s">
        <v>18</v>
      </c>
      <c r="D253" s="60" t="s">
        <v>29</v>
      </c>
      <c r="E253" s="76">
        <v>423.678</v>
      </c>
      <c r="F253" s="76">
        <v>375.57799999999997</v>
      </c>
      <c r="G253" s="76">
        <v>437.44</v>
      </c>
      <c r="H253" s="76">
        <v>434.08100000000002</v>
      </c>
      <c r="I253" s="76">
        <v>368.096</v>
      </c>
      <c r="J253" s="76">
        <v>460.56599999999997</v>
      </c>
      <c r="K253" s="76">
        <v>470.53500000000003</v>
      </c>
      <c r="L253" s="76">
        <v>462.51299999999998</v>
      </c>
      <c r="M253" s="76">
        <v>341.23500000000001</v>
      </c>
      <c r="N253" s="76">
        <v>360.88299999999998</v>
      </c>
      <c r="O253" s="76">
        <v>378.28899999999999</v>
      </c>
      <c r="P253" s="76">
        <v>422.51299999999998</v>
      </c>
      <c r="Q253" s="60"/>
      <c r="R253" s="64"/>
      <c r="S253" s="64"/>
      <c r="T253" s="65"/>
      <c r="U253" s="65"/>
      <c r="V253" s="49"/>
      <c r="W253" s="49"/>
      <c r="X253" s="66"/>
    </row>
    <row r="254" spans="1:28" ht="61.5" customHeight="1">
      <c r="A254" s="158"/>
      <c r="B254" s="164"/>
      <c r="C254" s="59" t="s">
        <v>18</v>
      </c>
      <c r="D254" s="60" t="s">
        <v>30</v>
      </c>
      <c r="E254" s="61">
        <v>409.3</v>
      </c>
      <c r="F254" s="61">
        <v>376.36799999999999</v>
      </c>
      <c r="G254" s="61">
        <v>313.83499999999998</v>
      </c>
      <c r="H254" s="61">
        <v>399.62099999999998</v>
      </c>
      <c r="I254" s="61">
        <v>352.24299999999999</v>
      </c>
      <c r="J254" s="61">
        <v>425.19400000000002</v>
      </c>
      <c r="K254" s="61">
        <v>410.654</v>
      </c>
      <c r="L254" s="61">
        <v>414.70800000000003</v>
      </c>
      <c r="M254" s="61">
        <v>432.98700000000002</v>
      </c>
      <c r="N254" s="61">
        <v>475.09</v>
      </c>
      <c r="O254" s="61">
        <v>398.76</v>
      </c>
      <c r="P254" s="61">
        <v>481.42099999999999</v>
      </c>
      <c r="Q254" s="60"/>
      <c r="R254" s="64"/>
      <c r="S254" s="64"/>
      <c r="T254" s="65"/>
      <c r="U254" s="65"/>
      <c r="V254" s="49"/>
      <c r="W254" s="49"/>
      <c r="X254" s="66"/>
    </row>
    <row r="255" spans="1:28" ht="61.5" customHeight="1">
      <c r="A255" s="158"/>
      <c r="B255" s="164"/>
      <c r="C255" s="59" t="s">
        <v>18</v>
      </c>
      <c r="D255" s="78" t="s">
        <v>31</v>
      </c>
      <c r="E255" s="61">
        <v>300.916</v>
      </c>
      <c r="F255" s="61">
        <v>313.48099999999999</v>
      </c>
      <c r="G255" s="61">
        <v>278.57</v>
      </c>
      <c r="H255" s="61">
        <v>293.267</v>
      </c>
      <c r="I255" s="61">
        <v>302.54000000000002</v>
      </c>
      <c r="J255" s="61">
        <v>307.142</v>
      </c>
      <c r="K255" s="61">
        <v>333.46800000000002</v>
      </c>
      <c r="L255" s="61">
        <v>336.21899999999999</v>
      </c>
      <c r="M255" s="61">
        <v>316.69600000000003</v>
      </c>
      <c r="N255" s="61">
        <v>336.73500000000001</v>
      </c>
      <c r="O255" s="61">
        <f>34.424+146.703+134.861</f>
        <v>315.988</v>
      </c>
      <c r="P255" s="61">
        <v>327.863</v>
      </c>
      <c r="Q255" s="60"/>
      <c r="R255" s="64"/>
      <c r="S255" s="64"/>
      <c r="T255" s="65"/>
      <c r="U255" s="65"/>
      <c r="V255" s="49"/>
      <c r="W255" s="49"/>
      <c r="X255" s="66"/>
    </row>
    <row r="256" spans="1:28" ht="61.5" customHeight="1">
      <c r="A256" s="158"/>
      <c r="B256" s="164"/>
      <c r="C256" s="59" t="s">
        <v>18</v>
      </c>
      <c r="D256" s="60" t="s">
        <v>32</v>
      </c>
      <c r="E256" s="61">
        <v>291.87400000000002</v>
      </c>
      <c r="F256" s="61">
        <v>301.41300000000001</v>
      </c>
      <c r="G256" s="61">
        <v>312.88</v>
      </c>
      <c r="H256" s="61">
        <v>316.30200000000002</v>
      </c>
      <c r="I256" s="61">
        <v>264.238</v>
      </c>
      <c r="J256" s="61">
        <v>277.08800000000002</v>
      </c>
      <c r="K256" s="61">
        <v>316.96300000000002</v>
      </c>
      <c r="L256" s="61">
        <v>306.44</v>
      </c>
      <c r="M256" s="61">
        <v>315.05599999999998</v>
      </c>
      <c r="N256" s="61">
        <v>322.16699999999997</v>
      </c>
      <c r="O256" s="61">
        <v>273.39699999999999</v>
      </c>
      <c r="P256" s="61">
        <v>319.52999999999997</v>
      </c>
      <c r="Q256" s="60"/>
      <c r="R256" s="64"/>
      <c r="S256" s="64"/>
      <c r="T256" s="65"/>
      <c r="U256" s="65"/>
      <c r="V256" s="49"/>
      <c r="W256" s="49"/>
      <c r="X256" s="66"/>
    </row>
    <row r="257" spans="1:28" ht="61.5" customHeight="1">
      <c r="A257" s="158"/>
      <c r="B257" s="164"/>
      <c r="C257" s="59" t="s">
        <v>18</v>
      </c>
      <c r="D257" s="60" t="s">
        <v>33</v>
      </c>
      <c r="E257" s="61">
        <v>282.42599999999999</v>
      </c>
      <c r="F257" s="61">
        <v>284.41399999999999</v>
      </c>
      <c r="G257" s="61">
        <v>244.714</v>
      </c>
      <c r="H257" s="61">
        <v>280.65300000000002</v>
      </c>
      <c r="I257" s="61">
        <v>289.56400000000002</v>
      </c>
      <c r="J257" s="61">
        <v>263.58999999999997</v>
      </c>
      <c r="K257" s="61">
        <v>288.93700000000001</v>
      </c>
      <c r="L257" s="61">
        <f>134.082+166.524</f>
        <v>300.60599999999999</v>
      </c>
      <c r="M257" s="61">
        <v>321.88</v>
      </c>
      <c r="N257" s="61">
        <v>292.38799999999998</v>
      </c>
      <c r="O257" s="61">
        <v>289.02300000000002</v>
      </c>
      <c r="P257" s="61">
        <v>313.57900000000001</v>
      </c>
      <c r="Q257" s="60"/>
      <c r="R257" s="47"/>
      <c r="S257" s="47"/>
      <c r="T257" s="48"/>
      <c r="U257" s="48"/>
      <c r="V257" s="49"/>
      <c r="W257" s="50"/>
      <c r="X257" s="51"/>
    </row>
    <row r="258" spans="1:28" ht="61.5" customHeight="1">
      <c r="A258" s="158"/>
      <c r="B258" s="164"/>
      <c r="C258" s="59" t="s">
        <v>18</v>
      </c>
      <c r="D258" s="60" t="s">
        <v>34</v>
      </c>
      <c r="E258" s="61">
        <v>289.762</v>
      </c>
      <c r="F258" s="61">
        <v>285.976</v>
      </c>
      <c r="G258" s="61">
        <v>260.322</v>
      </c>
      <c r="H258" s="61">
        <v>259.23899999999998</v>
      </c>
      <c r="I258" s="61">
        <v>300.38799999999998</v>
      </c>
      <c r="J258" s="61">
        <v>293.64800000000002</v>
      </c>
      <c r="K258" s="61">
        <v>308.041</v>
      </c>
      <c r="L258" s="61">
        <v>300.08499999999998</v>
      </c>
      <c r="M258" s="61">
        <v>269.577</v>
      </c>
      <c r="N258" s="61">
        <v>248.01300000000001</v>
      </c>
      <c r="O258" s="61">
        <v>231.75700000000001</v>
      </c>
      <c r="P258" s="61">
        <v>314.19400000000002</v>
      </c>
      <c r="Q258" s="60"/>
      <c r="R258" s="47"/>
      <c r="S258" s="47"/>
      <c r="T258" s="48"/>
      <c r="U258" s="48"/>
      <c r="V258" s="49"/>
      <c r="W258" s="50"/>
      <c r="X258" s="51"/>
    </row>
    <row r="259" spans="1:28" ht="61.5" customHeight="1">
      <c r="A259" s="158"/>
      <c r="B259" s="164"/>
      <c r="C259" s="59" t="s">
        <v>18</v>
      </c>
      <c r="D259" s="60" t="s">
        <v>35</v>
      </c>
      <c r="E259" s="61">
        <v>273.74400000000003</v>
      </c>
      <c r="F259" s="61">
        <v>244.48</v>
      </c>
      <c r="G259" s="61">
        <v>280.654</v>
      </c>
      <c r="H259" s="61">
        <v>290.976</v>
      </c>
      <c r="I259" s="61">
        <v>270.31799999999998</v>
      </c>
      <c r="J259" s="61">
        <v>281.89</v>
      </c>
      <c r="K259" s="61">
        <v>270.52800000000002</v>
      </c>
      <c r="L259" s="61">
        <v>280.36799999999999</v>
      </c>
      <c r="M259" s="61">
        <v>308.86599999999999</v>
      </c>
      <c r="N259" s="61">
        <v>307.298</v>
      </c>
      <c r="O259" s="61">
        <v>263.66500000000002</v>
      </c>
      <c r="P259" s="61">
        <v>318.24200000000002</v>
      </c>
      <c r="Q259" s="60"/>
      <c r="R259" s="47"/>
      <c r="S259" s="47"/>
      <c r="T259" s="48"/>
      <c r="U259" s="48"/>
      <c r="V259" s="49"/>
      <c r="W259" s="50"/>
      <c r="X259" s="51"/>
    </row>
    <row r="260" spans="1:28" ht="61.5" customHeight="1">
      <c r="A260" s="158"/>
      <c r="B260" s="164"/>
      <c r="C260" s="59" t="s">
        <v>18</v>
      </c>
      <c r="D260" s="60" t="s">
        <v>36</v>
      </c>
      <c r="E260" s="61">
        <v>276.80599999999998</v>
      </c>
      <c r="F260" s="61">
        <v>244.66800000000001</v>
      </c>
      <c r="G260" s="61">
        <v>268.16699999999997</v>
      </c>
      <c r="H260" s="61">
        <v>291.13600000000002</v>
      </c>
      <c r="I260" s="61">
        <v>277.08699999999999</v>
      </c>
      <c r="J260" s="61">
        <v>257.08300000000003</v>
      </c>
      <c r="K260" s="61">
        <v>300.95600000000002</v>
      </c>
      <c r="L260" s="61">
        <v>266.56599999999997</v>
      </c>
      <c r="M260" s="61">
        <v>268.65899999999999</v>
      </c>
      <c r="N260" s="61">
        <v>267.96300000000002</v>
      </c>
      <c r="O260" s="61">
        <v>241.42500000000001</v>
      </c>
      <c r="P260" s="61">
        <v>269.24299999999999</v>
      </c>
      <c r="Q260" s="81"/>
      <c r="R260" s="47"/>
      <c r="S260" s="47"/>
      <c r="T260" s="48"/>
      <c r="U260" s="48"/>
      <c r="V260" s="49"/>
      <c r="W260" s="50"/>
      <c r="X260" s="51"/>
    </row>
    <row r="261" spans="1:28" ht="61.5" customHeight="1">
      <c r="A261" s="158"/>
      <c r="B261" s="84"/>
      <c r="C261" s="59" t="s">
        <v>18</v>
      </c>
      <c r="D261" s="60" t="s">
        <v>37</v>
      </c>
      <c r="E261" s="85">
        <v>227.43899999999999</v>
      </c>
      <c r="F261" s="85">
        <v>283.06</v>
      </c>
      <c r="G261" s="85">
        <v>302.38799999999998</v>
      </c>
      <c r="H261" s="85">
        <v>305.00599999999997</v>
      </c>
      <c r="I261" s="85">
        <v>280.25400000000002</v>
      </c>
      <c r="J261" s="85">
        <v>262.77100000000002</v>
      </c>
      <c r="K261" s="85">
        <v>306.91500000000002</v>
      </c>
      <c r="L261" s="85">
        <v>301.149</v>
      </c>
      <c r="M261" s="85">
        <v>303.04399999999998</v>
      </c>
      <c r="N261" s="85">
        <v>294.32900000000001</v>
      </c>
      <c r="O261" s="85">
        <v>284.55700000000002</v>
      </c>
      <c r="P261" s="85">
        <v>294.58100000000002</v>
      </c>
      <c r="Q261" s="46"/>
      <c r="R261" s="47"/>
      <c r="S261" s="47"/>
      <c r="T261" s="48"/>
      <c r="U261" s="48"/>
      <c r="V261" s="49"/>
      <c r="W261" s="50"/>
      <c r="X261" s="51"/>
    </row>
    <row r="262" spans="1:28" ht="61.5" customHeight="1">
      <c r="A262" s="158"/>
      <c r="B262" s="84"/>
      <c r="C262" s="59" t="s">
        <v>18</v>
      </c>
      <c r="D262" s="60" t="s">
        <v>38</v>
      </c>
      <c r="E262" s="85">
        <v>234.02199999999999</v>
      </c>
      <c r="F262" s="85">
        <v>247.43700000000001</v>
      </c>
      <c r="G262" s="85">
        <v>224.67500000000001</v>
      </c>
      <c r="H262" s="85">
        <v>232.15100000000001</v>
      </c>
      <c r="I262" s="85">
        <v>263.43900000000002</v>
      </c>
      <c r="J262" s="85">
        <v>259.161</v>
      </c>
      <c r="K262" s="85">
        <v>293.38200000000001</v>
      </c>
      <c r="L262" s="85">
        <v>272.31200000000001</v>
      </c>
      <c r="M262" s="85">
        <v>301.62400000000002</v>
      </c>
      <c r="N262" s="85">
        <v>269.91000000000003</v>
      </c>
      <c r="O262" s="85">
        <v>224.94499999999999</v>
      </c>
      <c r="P262" s="85">
        <v>244.964</v>
      </c>
      <c r="Q262" s="46"/>
      <c r="R262" s="47"/>
      <c r="S262" s="47"/>
      <c r="T262" s="48"/>
      <c r="U262" s="48"/>
      <c r="V262" s="49"/>
      <c r="W262" s="50"/>
      <c r="X262" s="51"/>
    </row>
    <row r="263" spans="1:28" ht="61.5" customHeight="1">
      <c r="A263" s="158"/>
      <c r="B263" s="84"/>
      <c r="C263" s="59" t="s">
        <v>18</v>
      </c>
      <c r="D263" s="60" t="s">
        <v>39</v>
      </c>
      <c r="E263" s="85">
        <v>207.03299999999999</v>
      </c>
      <c r="F263" s="85">
        <v>192.43199999999999</v>
      </c>
      <c r="G263" s="85">
        <v>176.74</v>
      </c>
      <c r="H263" s="85">
        <v>191.34200000000001</v>
      </c>
      <c r="I263" s="85">
        <v>156.13</v>
      </c>
      <c r="J263" s="85">
        <v>165.148</v>
      </c>
      <c r="K263" s="85">
        <v>227.19399999999999</v>
      </c>
      <c r="L263" s="85">
        <v>225.96799999999999</v>
      </c>
      <c r="M263" s="85">
        <v>240.16399999999999</v>
      </c>
      <c r="N263" s="85">
        <v>263.86700000000002</v>
      </c>
      <c r="O263" s="85">
        <v>250.34100000000001</v>
      </c>
      <c r="P263" s="85">
        <v>268.255</v>
      </c>
      <c r="Q263" s="46"/>
      <c r="R263" s="47"/>
      <c r="S263" s="47"/>
      <c r="T263" s="48"/>
      <c r="U263" s="48"/>
      <c r="V263" s="49"/>
      <c r="W263" s="50"/>
      <c r="X263" s="51"/>
    </row>
    <row r="264" spans="1:28" ht="61.5" customHeight="1">
      <c r="A264" s="158"/>
      <c r="B264" s="84"/>
      <c r="C264" s="59" t="s">
        <v>18</v>
      </c>
      <c r="D264" s="60" t="s">
        <v>40</v>
      </c>
      <c r="E264" s="85">
        <v>125.624</v>
      </c>
      <c r="F264" s="85">
        <v>213.983</v>
      </c>
      <c r="G264" s="85">
        <v>176.22900000000001</v>
      </c>
      <c r="H264" s="85">
        <v>161.499</v>
      </c>
      <c r="I264" s="85">
        <v>188.39500000000001</v>
      </c>
      <c r="J264" s="85">
        <v>207.55799999999999</v>
      </c>
      <c r="K264" s="85">
        <v>204.91800000000001</v>
      </c>
      <c r="L264" s="85">
        <v>248.25299999999999</v>
      </c>
      <c r="M264" s="85">
        <v>232.47300000000001</v>
      </c>
      <c r="N264" s="85">
        <v>206.48400000000001</v>
      </c>
      <c r="O264" s="85">
        <v>195.45699999999999</v>
      </c>
      <c r="P264" s="85">
        <v>240.61799999999999</v>
      </c>
      <c r="Q264" s="46"/>
      <c r="R264" s="47"/>
      <c r="S264" s="47"/>
      <c r="T264" s="48"/>
      <c r="U264" s="48"/>
      <c r="V264" s="49"/>
      <c r="W264" s="50"/>
      <c r="X264" s="51"/>
    </row>
    <row r="265" spans="1:28" ht="61.5" customHeight="1">
      <c r="A265" s="158"/>
      <c r="B265" s="84"/>
      <c r="C265" s="59" t="s">
        <v>18</v>
      </c>
      <c r="D265" s="60" t="s">
        <v>41</v>
      </c>
      <c r="E265" s="85">
        <v>216.876</v>
      </c>
      <c r="F265" s="85">
        <v>230.053</v>
      </c>
      <c r="G265" s="85">
        <v>219.80199999999999</v>
      </c>
      <c r="H265" s="85">
        <v>189.41</v>
      </c>
      <c r="I265" s="85">
        <v>233.47900000000001</v>
      </c>
      <c r="J265" s="85">
        <v>211.26499999999999</v>
      </c>
      <c r="K265" s="85">
        <v>202.69900000000001</v>
      </c>
      <c r="L265" s="85">
        <v>236.035</v>
      </c>
      <c r="M265" s="85">
        <v>202.625</v>
      </c>
      <c r="N265" s="85">
        <v>251.44300000000001</v>
      </c>
      <c r="O265" s="85">
        <v>217.917</v>
      </c>
      <c r="P265" s="85">
        <v>213.03100000000001</v>
      </c>
      <c r="Q265" s="46"/>
      <c r="R265" s="47"/>
      <c r="S265" s="47"/>
      <c r="T265" s="48"/>
      <c r="U265" s="48"/>
      <c r="V265" s="49"/>
      <c r="W265" s="50"/>
      <c r="X265" s="51"/>
    </row>
    <row r="266" spans="1:28" ht="61.5" customHeight="1">
      <c r="A266" s="158"/>
      <c r="B266" s="84"/>
      <c r="C266" s="59" t="s">
        <v>18</v>
      </c>
      <c r="D266" s="60" t="s">
        <v>42</v>
      </c>
      <c r="E266" s="85">
        <v>211.768</v>
      </c>
      <c r="F266" s="85">
        <v>228.04400000000001</v>
      </c>
      <c r="G266" s="85">
        <v>178.267</v>
      </c>
      <c r="H266" s="85">
        <v>205.84200000000001</v>
      </c>
      <c r="I266" s="85">
        <v>167.94200000000001</v>
      </c>
      <c r="J266" s="85">
        <v>178.74299999999999</v>
      </c>
      <c r="K266" s="85">
        <v>213.92099999999999</v>
      </c>
      <c r="L266" s="85">
        <v>155.351</v>
      </c>
      <c r="M266" s="85">
        <v>166.03800000000001</v>
      </c>
      <c r="N266" s="85">
        <v>248.631</v>
      </c>
      <c r="O266" s="85">
        <v>214.13800000000001</v>
      </c>
      <c r="P266" s="85">
        <v>227.75299999999999</v>
      </c>
      <c r="Q266" s="46"/>
      <c r="R266" s="47"/>
      <c r="S266" s="47"/>
      <c r="T266" s="48"/>
      <c r="U266" s="48"/>
      <c r="V266" s="49"/>
      <c r="W266" s="50"/>
      <c r="X266" s="51"/>
    </row>
    <row r="267" spans="1:28" ht="61.5" customHeight="1">
      <c r="A267" s="158"/>
      <c r="B267" s="84"/>
      <c r="C267" s="59" t="s">
        <v>18</v>
      </c>
      <c r="D267" s="60" t="s">
        <v>43</v>
      </c>
      <c r="E267" s="85">
        <v>144.87899999999999</v>
      </c>
      <c r="F267" s="85">
        <v>193.53399999999999</v>
      </c>
      <c r="G267" s="85">
        <v>174.81299999999999</v>
      </c>
      <c r="H267" s="85">
        <v>163.17400000000001</v>
      </c>
      <c r="I267" s="85">
        <v>187.02199999999999</v>
      </c>
      <c r="J267" s="85">
        <v>194.58699999999999</v>
      </c>
      <c r="K267" s="85">
        <v>165.096</v>
      </c>
      <c r="L267" s="85">
        <v>186.999</v>
      </c>
      <c r="M267" s="85">
        <v>252.72200000000001</v>
      </c>
      <c r="N267" s="85">
        <v>223.86199999999999</v>
      </c>
      <c r="O267" s="85">
        <v>217.02199999999999</v>
      </c>
      <c r="P267" s="85">
        <v>213.779</v>
      </c>
      <c r="Q267" s="46"/>
      <c r="R267" s="47"/>
      <c r="S267" s="47"/>
      <c r="T267" s="48"/>
      <c r="U267" s="48"/>
      <c r="V267" s="49"/>
      <c r="W267" s="50"/>
      <c r="X267" s="51"/>
    </row>
    <row r="268" spans="1:28" ht="61.5" customHeight="1">
      <c r="A268" s="158"/>
      <c r="B268" s="84"/>
      <c r="C268" s="59" t="s">
        <v>18</v>
      </c>
      <c r="D268" s="60" t="s">
        <v>44</v>
      </c>
      <c r="E268" s="85">
        <v>187.50800000000001</v>
      </c>
      <c r="F268" s="85">
        <v>201.53800000000001</v>
      </c>
      <c r="G268" s="85">
        <v>170.874</v>
      </c>
      <c r="H268" s="85">
        <v>156.56399999999999</v>
      </c>
      <c r="I268" s="85">
        <v>181.95599999999999</v>
      </c>
      <c r="J268" s="85">
        <v>165.41900000000001</v>
      </c>
      <c r="K268" s="85">
        <v>189.511</v>
      </c>
      <c r="L268" s="85">
        <v>174.85599999999999</v>
      </c>
      <c r="M268" s="85">
        <v>178.256</v>
      </c>
      <c r="N268" s="85">
        <v>211.07400000000001</v>
      </c>
      <c r="O268" s="85">
        <v>186.64699999999999</v>
      </c>
      <c r="P268" s="85">
        <v>187.459</v>
      </c>
      <c r="Q268" s="46"/>
      <c r="R268" s="47"/>
      <c r="S268" s="47"/>
      <c r="T268" s="48"/>
      <c r="U268" s="48"/>
      <c r="V268" s="49"/>
      <c r="W268" s="50"/>
      <c r="X268" s="51"/>
    </row>
    <row r="269" spans="1:28" ht="61.5" customHeight="1">
      <c r="A269" s="158"/>
      <c r="B269" s="84"/>
      <c r="C269" s="59"/>
      <c r="D269" s="60"/>
      <c r="E269" s="21"/>
      <c r="F269" s="21"/>
      <c r="G269" s="21"/>
      <c r="H269" s="20"/>
      <c r="I269" s="21"/>
      <c r="J269" s="21"/>
      <c r="K269" s="21"/>
      <c r="L269" s="21"/>
      <c r="M269" s="21"/>
      <c r="N269" s="21"/>
      <c r="O269" s="21"/>
      <c r="P269" s="21"/>
      <c r="Q269" s="46"/>
      <c r="R269" s="47"/>
      <c r="S269" s="47"/>
      <c r="T269" s="48"/>
      <c r="U269" s="48"/>
      <c r="V269" s="49"/>
      <c r="W269" s="50"/>
      <c r="X269" s="51"/>
    </row>
    <row r="270" spans="1:28" s="109" customFormat="1" ht="65.099999999999994" customHeight="1">
      <c r="A270" s="158"/>
      <c r="B270" s="163" t="s">
        <v>46</v>
      </c>
      <c r="C270" s="42"/>
      <c r="D270" s="43"/>
      <c r="E270" s="44"/>
      <c r="F270" s="44"/>
      <c r="G270" s="44"/>
      <c r="H270" s="45"/>
      <c r="I270" s="44"/>
      <c r="J270" s="44"/>
      <c r="K270" s="44"/>
      <c r="L270" s="44"/>
      <c r="M270" s="44"/>
      <c r="N270" s="44"/>
      <c r="O270" s="44"/>
      <c r="P270" s="44"/>
      <c r="Q270" s="43"/>
      <c r="R270" s="91"/>
      <c r="S270" s="47"/>
      <c r="T270" s="48"/>
      <c r="U270" s="48"/>
      <c r="V270" s="49"/>
      <c r="W270" s="50"/>
      <c r="X270" s="51"/>
      <c r="Y270" s="108"/>
      <c r="Z270" s="108"/>
    </row>
    <row r="271" spans="1:28" s="52" customFormat="1">
      <c r="A271" s="158"/>
      <c r="B271" s="164"/>
      <c r="C271" s="55"/>
      <c r="D271" s="4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114"/>
      <c r="R271" s="47"/>
      <c r="S271" s="47"/>
      <c r="T271" s="48"/>
      <c r="U271" s="48"/>
      <c r="V271" s="49"/>
      <c r="W271" s="50"/>
      <c r="X271" s="51"/>
      <c r="Y271" s="2"/>
      <c r="Z271" s="2"/>
      <c r="AB271" s="2"/>
    </row>
    <row r="272" spans="1:28" ht="46.5" customHeight="1">
      <c r="A272" s="158"/>
      <c r="B272" s="164"/>
      <c r="C272" s="59" t="s">
        <v>18</v>
      </c>
      <c r="D272" s="60" t="s">
        <v>19</v>
      </c>
      <c r="E272" s="61">
        <v>452.60500000000002</v>
      </c>
      <c r="F272" s="61">
        <v>593.31399999999996</v>
      </c>
      <c r="G272" s="61">
        <v>518.38800000000003</v>
      </c>
      <c r="H272" s="61">
        <v>509.62099999999998</v>
      </c>
      <c r="I272" s="61">
        <v>476.04500000000002</v>
      </c>
      <c r="J272" s="61">
        <v>466.62599999999998</v>
      </c>
      <c r="K272" s="61">
        <v>501.07799999999997</v>
      </c>
      <c r="L272" s="61">
        <v>527.48099999999999</v>
      </c>
      <c r="M272" s="61">
        <v>565.702</v>
      </c>
      <c r="N272" s="61">
        <v>602.46799999999996</v>
      </c>
      <c r="O272" s="61">
        <v>538.07500000000005</v>
      </c>
      <c r="P272" s="61">
        <v>602.55799999999999</v>
      </c>
      <c r="Q272" s="115"/>
      <c r="R272" s="64"/>
      <c r="S272" s="64"/>
      <c r="T272" s="65"/>
      <c r="U272" s="65"/>
      <c r="V272" s="49"/>
      <c r="W272" s="49"/>
      <c r="X272" s="66"/>
      <c r="AB272" s="6"/>
    </row>
    <row r="273" spans="1:28" s="52" customFormat="1" ht="46.5" customHeight="1">
      <c r="A273" s="158"/>
      <c r="B273" s="164"/>
      <c r="C273" s="59" t="s">
        <v>18</v>
      </c>
      <c r="D273" s="60" t="s">
        <v>20</v>
      </c>
      <c r="E273" s="61">
        <v>538.98400000000004</v>
      </c>
      <c r="F273" s="61">
        <v>468.202</v>
      </c>
      <c r="G273" s="61">
        <v>520.93399999999997</v>
      </c>
      <c r="H273" s="61">
        <v>558.05799999999999</v>
      </c>
      <c r="I273" s="61">
        <v>511.54899999999998</v>
      </c>
      <c r="J273" s="61">
        <v>528.18600000000004</v>
      </c>
      <c r="K273" s="61">
        <v>552.53800000000001</v>
      </c>
      <c r="L273" s="61">
        <v>483.45800000000003</v>
      </c>
      <c r="M273" s="61">
        <v>495.21199999999999</v>
      </c>
      <c r="N273" s="61">
        <v>587.19000000000005</v>
      </c>
      <c r="O273" s="61">
        <v>513.40599999999995</v>
      </c>
      <c r="P273" s="61">
        <v>592.75800000000004</v>
      </c>
      <c r="Q273" s="114"/>
      <c r="R273" s="47"/>
      <c r="S273" s="47"/>
      <c r="T273" s="48"/>
      <c r="U273" s="48"/>
      <c r="V273" s="49"/>
      <c r="W273" s="50"/>
      <c r="X273" s="51"/>
      <c r="Y273" s="2"/>
      <c r="Z273" s="2"/>
      <c r="AB273" s="2"/>
    </row>
    <row r="274" spans="1:28" ht="46.5" customHeight="1">
      <c r="A274" s="158"/>
      <c r="B274" s="164"/>
      <c r="C274" s="59" t="s">
        <v>18</v>
      </c>
      <c r="D274" s="60" t="s">
        <v>21</v>
      </c>
      <c r="E274" s="61">
        <v>469.24599999999998</v>
      </c>
      <c r="F274" s="61">
        <v>501.255</v>
      </c>
      <c r="G274" s="61">
        <v>515.58900000000006</v>
      </c>
      <c r="H274" s="61">
        <v>551.73199999999997</v>
      </c>
      <c r="I274" s="61">
        <v>511.10599999999999</v>
      </c>
      <c r="J274" s="61">
        <v>517.84500000000003</v>
      </c>
      <c r="K274" s="61">
        <v>456.21899999999999</v>
      </c>
      <c r="L274" s="61">
        <v>542.94299999999998</v>
      </c>
      <c r="M274" s="61">
        <v>575.10699999999997</v>
      </c>
      <c r="N274" s="61">
        <v>590.04100000000005</v>
      </c>
      <c r="O274" s="61">
        <v>540.14599999999996</v>
      </c>
      <c r="P274" s="61">
        <v>590.99099999999999</v>
      </c>
      <c r="Q274" s="115"/>
      <c r="R274" s="64"/>
      <c r="S274" s="64"/>
      <c r="T274" s="65"/>
      <c r="U274" s="65"/>
      <c r="V274" s="49"/>
      <c r="W274" s="49"/>
      <c r="X274" s="66"/>
      <c r="AB274" s="6"/>
    </row>
    <row r="275" spans="1:28" s="52" customFormat="1" ht="46.5" customHeight="1">
      <c r="A275" s="158"/>
      <c r="B275" s="164"/>
      <c r="C275" s="59" t="s">
        <v>18</v>
      </c>
      <c r="D275" s="60" t="s">
        <v>22</v>
      </c>
      <c r="E275" s="61">
        <v>538.178</v>
      </c>
      <c r="F275" s="61">
        <v>466.20699999999999</v>
      </c>
      <c r="G275" s="61">
        <v>547.31600000000003</v>
      </c>
      <c r="H275" s="61">
        <v>564.08799999999997</v>
      </c>
      <c r="I275" s="61">
        <v>485.91800000000001</v>
      </c>
      <c r="J275" s="61">
        <v>517.47699999999998</v>
      </c>
      <c r="K275" s="61">
        <v>551.85900000000004</v>
      </c>
      <c r="L275" s="61">
        <v>474.49200000000002</v>
      </c>
      <c r="M275" s="61">
        <v>559.20899999999995</v>
      </c>
      <c r="N275" s="61">
        <v>565.58000000000004</v>
      </c>
      <c r="O275" s="61">
        <v>507.71100000000001</v>
      </c>
      <c r="P275" s="61">
        <v>580.29999999999995</v>
      </c>
      <c r="Q275" s="114"/>
      <c r="R275" s="47"/>
      <c r="S275" s="47"/>
      <c r="T275" s="48"/>
      <c r="U275" s="48"/>
      <c r="V275" s="49"/>
      <c r="W275" s="50"/>
      <c r="X275" s="51"/>
      <c r="Y275" s="2"/>
      <c r="Z275" s="2"/>
      <c r="AB275" s="2"/>
    </row>
    <row r="276" spans="1:28" s="52" customFormat="1" ht="46.5" customHeight="1">
      <c r="A276" s="158"/>
      <c r="B276" s="164"/>
      <c r="C276" s="59" t="s">
        <v>18</v>
      </c>
      <c r="D276" s="60" t="str">
        <f>+D247</f>
        <v>2021-22</v>
      </c>
      <c r="E276" s="61">
        <v>421.84500000000003</v>
      </c>
      <c r="F276" s="61">
        <v>494.61</v>
      </c>
      <c r="G276" s="61">
        <v>456.07799999999997</v>
      </c>
      <c r="H276" s="61">
        <v>485.41899999999998</v>
      </c>
      <c r="I276" s="61">
        <v>553.94100000000003</v>
      </c>
      <c r="J276" s="61">
        <v>460.24900000000002</v>
      </c>
      <c r="K276" s="61">
        <v>547.82799999999997</v>
      </c>
      <c r="L276" s="61">
        <v>536.69899999999996</v>
      </c>
      <c r="M276" s="61">
        <v>543.46799999999996</v>
      </c>
      <c r="N276" s="61">
        <v>552.53200000000004</v>
      </c>
      <c r="O276" s="61">
        <v>504.68799999999999</v>
      </c>
      <c r="P276" s="61">
        <v>563.971</v>
      </c>
      <c r="Q276" s="114"/>
      <c r="R276" s="47"/>
      <c r="S276" s="47"/>
      <c r="T276" s="48"/>
      <c r="U276" s="48"/>
      <c r="V276" s="49"/>
      <c r="W276" s="50"/>
      <c r="X276" s="51"/>
      <c r="Y276" s="2"/>
      <c r="Z276" s="2"/>
      <c r="AB276" s="2"/>
    </row>
    <row r="277" spans="1:28" ht="46.5" customHeight="1">
      <c r="A277" s="158"/>
      <c r="B277" s="164"/>
      <c r="C277" s="59" t="s">
        <v>18</v>
      </c>
      <c r="D277" s="60" t="str">
        <f>+D248</f>
        <v>2020-21</v>
      </c>
      <c r="E277" s="61">
        <v>300.42599999999999</v>
      </c>
      <c r="F277" s="61">
        <v>281.04399999999998</v>
      </c>
      <c r="G277" s="61">
        <v>312.24</v>
      </c>
      <c r="H277" s="61">
        <v>394.94299999999998</v>
      </c>
      <c r="I277" s="61">
        <v>437.86599999999999</v>
      </c>
      <c r="J277" s="61">
        <v>426.28500000000003</v>
      </c>
      <c r="K277" s="61">
        <v>443.017</v>
      </c>
      <c r="L277" s="61">
        <v>434.70600000000002</v>
      </c>
      <c r="M277" s="61">
        <v>477.767</v>
      </c>
      <c r="N277" s="61">
        <v>478.28699999999998</v>
      </c>
      <c r="O277" s="61">
        <v>446.108</v>
      </c>
      <c r="P277" s="61">
        <v>557.77700000000004</v>
      </c>
      <c r="Q277" s="115"/>
      <c r="R277" s="64"/>
      <c r="S277" s="64"/>
      <c r="T277" s="65"/>
      <c r="U277" s="65"/>
      <c r="V277" s="49"/>
      <c r="W277" s="49"/>
      <c r="X277" s="66"/>
      <c r="Y277" s="49"/>
      <c r="Z277" s="49"/>
      <c r="AB277" s="49"/>
    </row>
    <row r="278" spans="1:28" ht="46.5" customHeight="1">
      <c r="A278" s="158"/>
      <c r="B278" s="164"/>
      <c r="C278" s="59" t="str">
        <f>+C249</f>
        <v>Actual</v>
      </c>
      <c r="D278" s="60" t="str">
        <f>+D249</f>
        <v>2019-20</v>
      </c>
      <c r="E278" s="61">
        <v>441.83800000000002</v>
      </c>
      <c r="F278" s="61">
        <v>467.053</v>
      </c>
      <c r="G278" s="61">
        <v>480.24700000000001</v>
      </c>
      <c r="H278" s="61">
        <v>536.66</v>
      </c>
      <c r="I278" s="61">
        <v>478.52699999999999</v>
      </c>
      <c r="J278" s="61">
        <v>508.34500000000003</v>
      </c>
      <c r="K278" s="61">
        <v>475.84399999999999</v>
      </c>
      <c r="L278" s="61">
        <v>424.21499999999997</v>
      </c>
      <c r="M278" s="61">
        <v>471.28399999999999</v>
      </c>
      <c r="N278" s="61">
        <v>471.02100000000002</v>
      </c>
      <c r="O278" s="61">
        <v>453.67</v>
      </c>
      <c r="P278" s="61">
        <v>472.245</v>
      </c>
      <c r="Q278" s="115"/>
      <c r="R278" s="64"/>
      <c r="S278" s="64"/>
      <c r="T278" s="65"/>
      <c r="U278" s="65"/>
      <c r="V278" s="49"/>
      <c r="W278" s="49"/>
      <c r="X278" s="66"/>
      <c r="AB278" s="72"/>
    </row>
    <row r="279" spans="1:28" s="25" customFormat="1" ht="46.5" customHeight="1">
      <c r="A279" s="158"/>
      <c r="B279" s="164"/>
      <c r="C279" s="102" t="s">
        <v>18</v>
      </c>
      <c r="D279" s="103" t="s">
        <v>26</v>
      </c>
      <c r="E279" s="61">
        <v>481.05500000000001</v>
      </c>
      <c r="F279" s="61">
        <v>506.471</v>
      </c>
      <c r="G279" s="61">
        <v>471.95800000000003</v>
      </c>
      <c r="H279" s="61">
        <v>444.94600000000003</v>
      </c>
      <c r="I279" s="61">
        <v>553.41999999999996</v>
      </c>
      <c r="J279" s="61">
        <v>487.47800000000001</v>
      </c>
      <c r="K279" s="61">
        <v>456.31700000000001</v>
      </c>
      <c r="L279" s="61">
        <v>493.28</v>
      </c>
      <c r="M279" s="61">
        <v>475.23099999999999</v>
      </c>
      <c r="N279" s="61">
        <v>493.39100000000002</v>
      </c>
      <c r="O279" s="61">
        <v>492.72</v>
      </c>
      <c r="P279" s="61">
        <v>513.83299999999997</v>
      </c>
      <c r="Q279" s="116"/>
      <c r="R279" s="117"/>
      <c r="S279" s="64"/>
      <c r="T279" s="65"/>
      <c r="U279" s="65"/>
      <c r="V279" s="49"/>
      <c r="W279" s="49"/>
      <c r="X279" s="66"/>
      <c r="Y279" s="27"/>
      <c r="Z279" s="27"/>
    </row>
    <row r="280" spans="1:28" ht="46.35" customHeight="1">
      <c r="A280" s="158"/>
      <c r="B280" s="164"/>
      <c r="C280" s="59" t="s">
        <v>18</v>
      </c>
      <c r="D280" s="60" t="s">
        <v>27</v>
      </c>
      <c r="E280" s="61">
        <v>440.51</v>
      </c>
      <c r="F280" s="61">
        <v>490.74200000000002</v>
      </c>
      <c r="G280" s="61">
        <v>454.64499999999998</v>
      </c>
      <c r="H280" s="61">
        <v>429.221</v>
      </c>
      <c r="I280" s="61">
        <v>426.12099999999998</v>
      </c>
      <c r="J280" s="61">
        <v>468.90699999999998</v>
      </c>
      <c r="K280" s="61">
        <v>476.54300000000001</v>
      </c>
      <c r="L280" s="61">
        <v>462.25</v>
      </c>
      <c r="M280" s="61">
        <v>473.12200000000001</v>
      </c>
      <c r="N280" s="61">
        <v>543.79600000000005</v>
      </c>
      <c r="O280" s="61">
        <v>455.86900000000003</v>
      </c>
      <c r="P280" s="61">
        <v>485.06099999999998</v>
      </c>
      <c r="Q280" s="60"/>
      <c r="R280" s="64"/>
      <c r="S280" s="64"/>
      <c r="T280" s="65"/>
      <c r="U280" s="65"/>
      <c r="V280" s="49"/>
      <c r="W280" s="49"/>
      <c r="X280" s="66"/>
    </row>
    <row r="281" spans="1:28" ht="46.35" customHeight="1">
      <c r="A281" s="158"/>
      <c r="B281" s="164"/>
      <c r="C281" s="59" t="s">
        <v>18</v>
      </c>
      <c r="D281" s="60" t="s">
        <v>28</v>
      </c>
      <c r="E281" s="61">
        <v>377.38400000000001</v>
      </c>
      <c r="F281" s="61">
        <v>435.18599999999998</v>
      </c>
      <c r="G281" s="61">
        <v>378.76799999999997</v>
      </c>
      <c r="H281" s="61">
        <v>353.32299999999998</v>
      </c>
      <c r="I281" s="61">
        <v>428.99099999999999</v>
      </c>
      <c r="J281" s="61">
        <v>375.21199999999999</v>
      </c>
      <c r="K281" s="61">
        <v>428.25799999999998</v>
      </c>
      <c r="L281" s="61">
        <v>308.10300000000001</v>
      </c>
      <c r="M281" s="61">
        <v>415.92200000000003</v>
      </c>
      <c r="N281" s="61">
        <v>458.65600000000001</v>
      </c>
      <c r="O281" s="61">
        <v>390.01900000000001</v>
      </c>
      <c r="P281" s="61">
        <v>460.55</v>
      </c>
      <c r="Q281" s="60"/>
      <c r="R281" s="64"/>
      <c r="S281" s="64"/>
      <c r="T281" s="65"/>
      <c r="U281" s="65"/>
      <c r="V281" s="49"/>
      <c r="W281" s="49"/>
      <c r="X281" s="66"/>
    </row>
    <row r="282" spans="1:28" ht="46.35" customHeight="1">
      <c r="A282" s="158"/>
      <c r="B282" s="164"/>
      <c r="C282" s="59" t="s">
        <v>18</v>
      </c>
      <c r="D282" s="60" t="s">
        <v>29</v>
      </c>
      <c r="E282" s="76">
        <v>404.08100000000002</v>
      </c>
      <c r="F282" s="76">
        <v>428.411</v>
      </c>
      <c r="G282" s="76">
        <v>430.25799999999998</v>
      </c>
      <c r="H282" s="76">
        <v>433.67899999999997</v>
      </c>
      <c r="I282" s="76">
        <v>401.22300000000001</v>
      </c>
      <c r="J282" s="76">
        <v>369.56799999999998</v>
      </c>
      <c r="K282" s="76">
        <v>375.57499999999999</v>
      </c>
      <c r="L282" s="76">
        <v>367.40300000000002</v>
      </c>
      <c r="M282" s="76">
        <v>373.38200000000001</v>
      </c>
      <c r="N282" s="76">
        <v>382.53800000000001</v>
      </c>
      <c r="O282" s="76">
        <v>351.77100000000002</v>
      </c>
      <c r="P282" s="76">
        <v>377.14</v>
      </c>
      <c r="Q282" s="60"/>
      <c r="R282" s="64"/>
      <c r="S282" s="64"/>
      <c r="T282" s="65"/>
      <c r="U282" s="65"/>
      <c r="V282" s="49"/>
      <c r="W282" s="49"/>
      <c r="X282" s="66"/>
    </row>
    <row r="283" spans="1:28" ht="61.5" customHeight="1">
      <c r="A283" s="158"/>
      <c r="B283" s="164"/>
      <c r="C283" s="59" t="s">
        <v>18</v>
      </c>
      <c r="D283" s="60" t="s">
        <v>30</v>
      </c>
      <c r="E283" s="61">
        <v>429.03800000000001</v>
      </c>
      <c r="F283" s="61">
        <v>444.03199999999998</v>
      </c>
      <c r="G283" s="61">
        <v>441.28</v>
      </c>
      <c r="H283" s="61">
        <v>429.23</v>
      </c>
      <c r="I283" s="61">
        <v>429.54700000000003</v>
      </c>
      <c r="J283" s="61">
        <v>394.75599999999997</v>
      </c>
      <c r="K283" s="61">
        <v>441.17500000000001</v>
      </c>
      <c r="L283" s="61">
        <v>423.67500000000001</v>
      </c>
      <c r="M283" s="61">
        <v>340.24799999999999</v>
      </c>
      <c r="N283" s="61">
        <v>385.447</v>
      </c>
      <c r="O283" s="61">
        <v>426.68900000000002</v>
      </c>
      <c r="P283" s="61">
        <v>476.524</v>
      </c>
      <c r="Q283" s="60"/>
      <c r="R283" s="64"/>
      <c r="S283" s="64"/>
      <c r="T283" s="65"/>
      <c r="U283" s="65"/>
      <c r="V283" s="49"/>
      <c r="W283" s="49"/>
      <c r="X283" s="66"/>
    </row>
    <row r="284" spans="1:28" ht="61.5" customHeight="1">
      <c r="A284" s="158"/>
      <c r="B284" s="164"/>
      <c r="C284" s="59" t="s">
        <v>18</v>
      </c>
      <c r="D284" s="78" t="s">
        <v>31</v>
      </c>
      <c r="E284" s="61">
        <v>374.22800000000001</v>
      </c>
      <c r="F284" s="61">
        <v>390.50299999999999</v>
      </c>
      <c r="G284" s="61">
        <v>340.178</v>
      </c>
      <c r="H284" s="61">
        <v>388.154</v>
      </c>
      <c r="I284" s="61">
        <v>347.87599999999998</v>
      </c>
      <c r="J284" s="61">
        <v>382.34800000000001</v>
      </c>
      <c r="K284" s="61">
        <v>412.13799999999998</v>
      </c>
      <c r="L284" s="61">
        <v>385.43700000000001</v>
      </c>
      <c r="M284" s="61">
        <v>401.44099999999997</v>
      </c>
      <c r="N284" s="61">
        <v>396.54399999999998</v>
      </c>
      <c r="O284" s="61">
        <v>374.64100000000002</v>
      </c>
      <c r="P284" s="61">
        <v>470.31</v>
      </c>
      <c r="Q284" s="60"/>
      <c r="R284" s="64"/>
      <c r="S284" s="64"/>
      <c r="T284" s="65"/>
      <c r="U284" s="65"/>
      <c r="V284" s="49"/>
      <c r="W284" s="49"/>
      <c r="X284" s="66"/>
    </row>
    <row r="285" spans="1:28" ht="61.5" customHeight="1">
      <c r="A285" s="158"/>
      <c r="B285" s="164"/>
      <c r="C285" s="59" t="s">
        <v>18</v>
      </c>
      <c r="D285" s="60" t="s">
        <v>32</v>
      </c>
      <c r="E285" s="61">
        <v>400.13</v>
      </c>
      <c r="F285" s="61">
        <v>400.58</v>
      </c>
      <c r="G285" s="61">
        <v>381.33499999999998</v>
      </c>
      <c r="H285" s="61">
        <v>380.24599999999998</v>
      </c>
      <c r="I285" s="61">
        <v>428.06900000000002</v>
      </c>
      <c r="J285" s="61">
        <v>409.87599999999998</v>
      </c>
      <c r="K285" s="61">
        <v>441.26400000000001</v>
      </c>
      <c r="L285" s="61">
        <v>416.024</v>
      </c>
      <c r="M285" s="61">
        <v>391.875</v>
      </c>
      <c r="N285" s="61">
        <v>421.43</v>
      </c>
      <c r="O285" s="61">
        <v>376.77</v>
      </c>
      <c r="P285" s="61">
        <v>400.08499999999998</v>
      </c>
      <c r="Q285" s="60"/>
      <c r="R285" s="64"/>
      <c r="S285" s="64"/>
      <c r="T285" s="65"/>
      <c r="U285" s="65"/>
      <c r="V285" s="49"/>
      <c r="W285" s="49"/>
      <c r="X285" s="66"/>
    </row>
    <row r="286" spans="1:28" ht="61.5" customHeight="1">
      <c r="A286" s="158"/>
      <c r="B286" s="164"/>
      <c r="C286" s="59" t="s">
        <v>18</v>
      </c>
      <c r="D286" s="60" t="s">
        <v>33</v>
      </c>
      <c r="E286" s="61">
        <v>417.36099999999999</v>
      </c>
      <c r="F286" s="61">
        <v>371.834</v>
      </c>
      <c r="G286" s="61">
        <v>341.97199999999998</v>
      </c>
      <c r="H286" s="61">
        <v>360.02600000000001</v>
      </c>
      <c r="I286" s="61">
        <v>369.99700000000001</v>
      </c>
      <c r="J286" s="61">
        <v>344.74</v>
      </c>
      <c r="K286" s="61">
        <v>380.20400000000001</v>
      </c>
      <c r="L286" s="61">
        <v>385.40899999999999</v>
      </c>
      <c r="M286" s="61">
        <v>380.42399999999998</v>
      </c>
      <c r="N286" s="61">
        <v>402.47</v>
      </c>
      <c r="O286" s="61">
        <v>415.02499999999998</v>
      </c>
      <c r="P286" s="61">
        <v>433.72399999999999</v>
      </c>
      <c r="Q286" s="60"/>
      <c r="R286" s="47"/>
      <c r="S286" s="47"/>
      <c r="T286" s="48"/>
      <c r="U286" s="48"/>
      <c r="V286" s="49"/>
      <c r="W286" s="50"/>
      <c r="X286" s="51"/>
    </row>
    <row r="287" spans="1:28" ht="61.5" customHeight="1">
      <c r="A287" s="158"/>
      <c r="B287" s="164"/>
      <c r="C287" s="59" t="s">
        <v>18</v>
      </c>
      <c r="D287" s="60" t="s">
        <v>34</v>
      </c>
      <c r="E287" s="61">
        <v>340.05799999999999</v>
      </c>
      <c r="F287" s="61">
        <v>352.75799999999998</v>
      </c>
      <c r="G287" s="61">
        <v>335.33499999999998</v>
      </c>
      <c r="H287" s="61">
        <v>344.79300000000001</v>
      </c>
      <c r="I287" s="61">
        <v>266.87099999999998</v>
      </c>
      <c r="J287" s="61">
        <v>338.24200000000002</v>
      </c>
      <c r="K287" s="61">
        <v>375.37200000000001</v>
      </c>
      <c r="L287" s="61">
        <v>375.00200000000001</v>
      </c>
      <c r="M287" s="61">
        <v>391.18700000000001</v>
      </c>
      <c r="N287" s="61">
        <v>391.428</v>
      </c>
      <c r="O287" s="61">
        <v>334.23</v>
      </c>
      <c r="P287" s="61">
        <v>345.24299999999999</v>
      </c>
      <c r="Q287" s="60"/>
      <c r="R287" s="47"/>
      <c r="S287" s="47"/>
      <c r="T287" s="48"/>
      <c r="U287" s="48"/>
      <c r="V287" s="49"/>
      <c r="W287" s="50"/>
      <c r="X287" s="51"/>
    </row>
    <row r="288" spans="1:28" ht="61.5" customHeight="1">
      <c r="A288" s="158"/>
      <c r="B288" s="164"/>
      <c r="C288" s="59" t="s">
        <v>18</v>
      </c>
      <c r="D288" s="60" t="s">
        <v>35</v>
      </c>
      <c r="E288" s="61">
        <v>349.22199999999998</v>
      </c>
      <c r="F288" s="61">
        <v>373.41300000000001</v>
      </c>
      <c r="G288" s="61">
        <v>379.762</v>
      </c>
      <c r="H288" s="61">
        <v>406.221</v>
      </c>
      <c r="I288" s="61">
        <v>392.93599999999998</v>
      </c>
      <c r="J288" s="61">
        <v>356.02800000000002</v>
      </c>
      <c r="K288" s="61">
        <v>409.43900000000002</v>
      </c>
      <c r="L288" s="61">
        <v>385.77199999999999</v>
      </c>
      <c r="M288" s="61">
        <v>395.233</v>
      </c>
      <c r="N288" s="61">
        <v>369.48500000000001</v>
      </c>
      <c r="O288" s="61">
        <v>345.34300000000002</v>
      </c>
      <c r="P288" s="61">
        <v>381.971</v>
      </c>
      <c r="Q288" s="60"/>
      <c r="R288" s="47"/>
      <c r="S288" s="47"/>
      <c r="T288" s="48"/>
      <c r="U288" s="48"/>
      <c r="V288" s="49"/>
      <c r="W288" s="50"/>
      <c r="X288" s="51"/>
    </row>
    <row r="289" spans="1:28" ht="61.5" customHeight="1">
      <c r="A289" s="158"/>
      <c r="B289" s="164"/>
      <c r="C289" s="59" t="s">
        <v>18</v>
      </c>
      <c r="D289" s="60" t="s">
        <v>36</v>
      </c>
      <c r="E289" s="61">
        <v>353.86500000000001</v>
      </c>
      <c r="F289" s="61">
        <v>332.67099999999999</v>
      </c>
      <c r="G289" s="61">
        <v>320.20699999999999</v>
      </c>
      <c r="H289" s="61">
        <v>362.45499999999998</v>
      </c>
      <c r="I289" s="61">
        <v>405.22</v>
      </c>
      <c r="J289" s="61">
        <v>391.76</v>
      </c>
      <c r="K289" s="61">
        <v>413.24599999999998</v>
      </c>
      <c r="L289" s="61">
        <v>368.46499999999997</v>
      </c>
      <c r="M289" s="61">
        <v>371.61700000000002</v>
      </c>
      <c r="N289" s="61">
        <v>384.51400000000001</v>
      </c>
      <c r="O289" s="61">
        <v>344.66500000000002</v>
      </c>
      <c r="P289" s="61">
        <v>397.322</v>
      </c>
      <c r="Q289" s="81"/>
      <c r="R289" s="47"/>
      <c r="S289" s="47"/>
      <c r="T289" s="48"/>
      <c r="U289" s="48"/>
      <c r="V289" s="49"/>
      <c r="W289" s="50"/>
      <c r="X289" s="51"/>
    </row>
    <row r="290" spans="1:28" ht="61.5" customHeight="1">
      <c r="A290" s="158"/>
      <c r="B290" s="84"/>
      <c r="C290" s="59" t="s">
        <v>18</v>
      </c>
      <c r="D290" s="60" t="s">
        <v>37</v>
      </c>
      <c r="E290" s="85">
        <v>462.642</v>
      </c>
      <c r="F290" s="85">
        <v>483.39299999999997</v>
      </c>
      <c r="G290" s="85">
        <v>379.05700000000002</v>
      </c>
      <c r="H290" s="85">
        <v>424.08199999999999</v>
      </c>
      <c r="I290" s="85">
        <v>403.03</v>
      </c>
      <c r="J290" s="85">
        <v>413.27600000000001</v>
      </c>
      <c r="K290" s="85">
        <v>424.64400000000001</v>
      </c>
      <c r="L290" s="85">
        <v>430.029</v>
      </c>
      <c r="M290" s="85">
        <v>455.00200000000001</v>
      </c>
      <c r="N290" s="85">
        <v>399.92</v>
      </c>
      <c r="O290" s="85">
        <v>405.43200000000002</v>
      </c>
      <c r="P290" s="85">
        <v>433.40499999999997</v>
      </c>
      <c r="Q290" s="46"/>
      <c r="R290" s="47"/>
      <c r="S290" s="47"/>
      <c r="T290" s="48"/>
      <c r="U290" s="48"/>
      <c r="V290" s="49"/>
      <c r="W290" s="50"/>
      <c r="X290" s="51"/>
    </row>
    <row r="291" spans="1:28" ht="61.5" customHeight="1">
      <c r="A291" s="158"/>
      <c r="B291" s="84"/>
      <c r="C291" s="59" t="s">
        <v>18</v>
      </c>
      <c r="D291" s="60" t="s">
        <v>38</v>
      </c>
      <c r="E291" s="85">
        <v>437.15199999999999</v>
      </c>
      <c r="F291" s="85">
        <v>386.53800000000001</v>
      </c>
      <c r="G291" s="85">
        <v>371.9</v>
      </c>
      <c r="H291" s="85">
        <v>383.94299999999998</v>
      </c>
      <c r="I291" s="85">
        <v>424.47699999999998</v>
      </c>
      <c r="J291" s="85">
        <v>424.66300000000001</v>
      </c>
      <c r="K291" s="85">
        <v>450.57900000000001</v>
      </c>
      <c r="L291" s="85">
        <v>466.255</v>
      </c>
      <c r="M291" s="85">
        <v>474.25200000000001</v>
      </c>
      <c r="N291" s="85">
        <v>450.47399999999999</v>
      </c>
      <c r="O291" s="85">
        <v>404.73200000000003</v>
      </c>
      <c r="P291" s="85">
        <v>485.00099999999998</v>
      </c>
      <c r="Q291" s="46"/>
      <c r="R291" s="47"/>
      <c r="S291" s="47"/>
      <c r="T291" s="48"/>
      <c r="U291" s="48"/>
      <c r="V291" s="49"/>
      <c r="W291" s="50"/>
      <c r="X291" s="51"/>
    </row>
    <row r="292" spans="1:28" ht="61.5" customHeight="1">
      <c r="A292" s="158"/>
      <c r="B292" s="84"/>
      <c r="C292" s="59" t="s">
        <v>18</v>
      </c>
      <c r="D292" s="60" t="s">
        <v>39</v>
      </c>
      <c r="E292" s="85">
        <v>443.66199999999998</v>
      </c>
      <c r="F292" s="85">
        <v>445.84800000000001</v>
      </c>
      <c r="G292" s="85">
        <v>387.12700000000001</v>
      </c>
      <c r="H292" s="85">
        <v>474.18799999999999</v>
      </c>
      <c r="I292" s="85">
        <v>429.33100000000002</v>
      </c>
      <c r="J292" s="85">
        <v>435.209</v>
      </c>
      <c r="K292" s="85">
        <v>493.03199999999998</v>
      </c>
      <c r="L292" s="86">
        <v>464.78500000000003</v>
      </c>
      <c r="M292" s="85">
        <v>456.42200000000003</v>
      </c>
      <c r="N292" s="85">
        <v>470.86799999999999</v>
      </c>
      <c r="O292" s="85">
        <v>398.99200000000002</v>
      </c>
      <c r="P292" s="85">
        <v>449.08</v>
      </c>
      <c r="Q292" s="46"/>
      <c r="R292" s="47"/>
      <c r="S292" s="47"/>
      <c r="T292" s="48"/>
      <c r="U292" s="48"/>
      <c r="V292" s="49"/>
      <c r="W292" s="50"/>
      <c r="X292" s="51"/>
    </row>
    <row r="293" spans="1:28" ht="61.5" customHeight="1">
      <c r="A293" s="158"/>
      <c r="B293" s="84"/>
      <c r="C293" s="59" t="s">
        <v>18</v>
      </c>
      <c r="D293" s="60" t="s">
        <v>40</v>
      </c>
      <c r="E293" s="85">
        <v>303.45</v>
      </c>
      <c r="F293" s="85">
        <v>379.26799999999997</v>
      </c>
      <c r="G293" s="85">
        <v>366.82499999999999</v>
      </c>
      <c r="H293" s="85">
        <v>395.01400000000001</v>
      </c>
      <c r="I293" s="85">
        <v>366.98099999999999</v>
      </c>
      <c r="J293" s="85">
        <v>387.84199999999998</v>
      </c>
      <c r="K293" s="85">
        <v>433.72199999999998</v>
      </c>
      <c r="L293" s="85">
        <v>419.54599999999999</v>
      </c>
      <c r="M293" s="85">
        <v>385.637</v>
      </c>
      <c r="N293" s="85">
        <v>407.05399999999997</v>
      </c>
      <c r="O293" s="85">
        <v>374.541</v>
      </c>
      <c r="P293" s="85">
        <v>471.32100000000003</v>
      </c>
      <c r="Q293" s="46"/>
      <c r="R293" s="47"/>
      <c r="S293" s="47"/>
      <c r="T293" s="48"/>
      <c r="U293" s="48"/>
      <c r="V293" s="49"/>
      <c r="W293" s="50"/>
      <c r="X293" s="51"/>
    </row>
    <row r="294" spans="1:28" ht="61.5" customHeight="1">
      <c r="A294" s="158"/>
      <c r="B294" s="84"/>
      <c r="C294" s="59" t="s">
        <v>18</v>
      </c>
      <c r="D294" s="60" t="s">
        <v>41</v>
      </c>
      <c r="E294" s="85">
        <v>359.774</v>
      </c>
      <c r="F294" s="85">
        <v>368.358</v>
      </c>
      <c r="G294" s="85">
        <v>368.59699999999998</v>
      </c>
      <c r="H294" s="85">
        <v>382.529</v>
      </c>
      <c r="I294" s="85">
        <v>387.416</v>
      </c>
      <c r="J294" s="85">
        <v>402.00099999999998</v>
      </c>
      <c r="K294" s="85">
        <v>413.61399999999998</v>
      </c>
      <c r="L294" s="85">
        <v>397.67899999999997</v>
      </c>
      <c r="M294" s="85">
        <v>426.13299999999998</v>
      </c>
      <c r="N294" s="85">
        <v>410.39699999999999</v>
      </c>
      <c r="O294" s="85">
        <v>403.255</v>
      </c>
      <c r="P294" s="85">
        <v>384.49200000000002</v>
      </c>
      <c r="Q294" s="46"/>
      <c r="R294" s="47"/>
      <c r="S294" s="47"/>
      <c r="T294" s="48"/>
      <c r="U294" s="48"/>
      <c r="V294" s="49"/>
      <c r="W294" s="50"/>
      <c r="X294" s="51"/>
    </row>
    <row r="295" spans="1:28" ht="61.5" customHeight="1">
      <c r="A295" s="158"/>
      <c r="B295" s="84"/>
      <c r="C295" s="59" t="s">
        <v>18</v>
      </c>
      <c r="D295" s="60" t="s">
        <v>42</v>
      </c>
      <c r="E295" s="85">
        <v>375.41899999999998</v>
      </c>
      <c r="F295" s="85">
        <v>363.43299999999999</v>
      </c>
      <c r="G295" s="85">
        <v>370.73</v>
      </c>
      <c r="H295" s="85">
        <v>417.90899999999999</v>
      </c>
      <c r="I295" s="85">
        <v>404.11799999999999</v>
      </c>
      <c r="J295" s="85">
        <v>418.125</v>
      </c>
      <c r="K295" s="85">
        <v>400.90300000000002</v>
      </c>
      <c r="L295" s="85">
        <v>396.21199999999999</v>
      </c>
      <c r="M295" s="85">
        <v>383.75900000000001</v>
      </c>
      <c r="N295" s="85">
        <v>368.78100000000001</v>
      </c>
      <c r="O295" s="85">
        <v>371.63200000000001</v>
      </c>
      <c r="P295" s="85">
        <v>411.358</v>
      </c>
      <c r="Q295" s="46"/>
      <c r="R295" s="47"/>
      <c r="S295" s="47"/>
      <c r="T295" s="48"/>
      <c r="U295" s="48"/>
      <c r="V295" s="49"/>
      <c r="W295" s="50"/>
      <c r="X295" s="51"/>
    </row>
    <row r="296" spans="1:28" ht="61.5" customHeight="1">
      <c r="A296" s="158"/>
      <c r="B296" s="84"/>
      <c r="C296" s="59" t="s">
        <v>18</v>
      </c>
      <c r="D296" s="60" t="s">
        <v>43</v>
      </c>
      <c r="E296" s="85">
        <v>365.81900000000002</v>
      </c>
      <c r="F296" s="85">
        <v>367.43400000000003</v>
      </c>
      <c r="G296" s="85">
        <v>364.10700000000003</v>
      </c>
      <c r="H296" s="85">
        <v>380.29399999999998</v>
      </c>
      <c r="I296" s="85">
        <v>350.52800000000002</v>
      </c>
      <c r="J296" s="85">
        <v>354.28</v>
      </c>
      <c r="K296" s="85">
        <v>371.38099999999997</v>
      </c>
      <c r="L296" s="85">
        <v>360.12200000000001</v>
      </c>
      <c r="M296" s="85">
        <v>357.89100000000002</v>
      </c>
      <c r="N296" s="85">
        <v>368.87</v>
      </c>
      <c r="O296" s="85">
        <v>336.61399999999998</v>
      </c>
      <c r="P296" s="85">
        <v>398.79</v>
      </c>
      <c r="Q296" s="46"/>
      <c r="R296" s="47"/>
      <c r="S296" s="47"/>
      <c r="T296" s="48"/>
      <c r="U296" s="48"/>
      <c r="V296" s="49"/>
      <c r="W296" s="50"/>
      <c r="X296" s="51"/>
    </row>
    <row r="297" spans="1:28" ht="61.5" customHeight="1">
      <c r="A297" s="158"/>
      <c r="B297" s="84"/>
      <c r="C297" s="59" t="s">
        <v>18</v>
      </c>
      <c r="D297" s="60" t="s">
        <v>44</v>
      </c>
      <c r="E297" s="85">
        <v>398.88299999999998</v>
      </c>
      <c r="F297" s="85">
        <v>387.37</v>
      </c>
      <c r="G297" s="85">
        <v>375.28699999999998</v>
      </c>
      <c r="H297" s="85">
        <v>408.74700000000001</v>
      </c>
      <c r="I297" s="85">
        <v>401.53899999999999</v>
      </c>
      <c r="J297" s="85">
        <v>370.47399999999999</v>
      </c>
      <c r="K297" s="85">
        <v>383.52600000000001</v>
      </c>
      <c r="L297" s="85">
        <v>355.649</v>
      </c>
      <c r="M297" s="85">
        <v>342.77</v>
      </c>
      <c r="N297" s="85">
        <v>423.74</v>
      </c>
      <c r="O297" s="85">
        <v>358.92899999999997</v>
      </c>
      <c r="P297" s="85">
        <v>374.51900000000001</v>
      </c>
      <c r="Q297" s="46"/>
      <c r="R297" s="47"/>
      <c r="S297" s="47"/>
      <c r="T297" s="48"/>
      <c r="U297" s="48"/>
      <c r="V297" s="49"/>
      <c r="W297" s="50"/>
      <c r="X297" s="51"/>
    </row>
    <row r="298" spans="1:28" ht="61.5" customHeight="1">
      <c r="A298" s="158"/>
      <c r="B298" s="84"/>
      <c r="C298" s="59"/>
      <c r="D298" s="60"/>
      <c r="E298" s="21"/>
      <c r="F298" s="21"/>
      <c r="G298" s="21"/>
      <c r="H298" s="20"/>
      <c r="I298" s="21"/>
      <c r="J298" s="21"/>
      <c r="K298" s="21"/>
      <c r="L298" s="21"/>
      <c r="M298" s="21"/>
      <c r="N298" s="21"/>
      <c r="O298" s="21"/>
      <c r="P298" s="21"/>
      <c r="Q298" s="46"/>
      <c r="R298" s="47"/>
      <c r="S298" s="47"/>
      <c r="T298" s="48"/>
      <c r="U298" s="48"/>
      <c r="V298" s="49"/>
      <c r="W298" s="50"/>
      <c r="X298" s="51"/>
    </row>
    <row r="299" spans="1:28" s="109" customFormat="1" ht="65.099999999999994" customHeight="1">
      <c r="A299" s="158"/>
      <c r="B299" s="163" t="s">
        <v>47</v>
      </c>
      <c r="C299" s="42"/>
      <c r="D299" s="43"/>
      <c r="E299" s="44"/>
      <c r="F299" s="44"/>
      <c r="G299" s="44"/>
      <c r="H299" s="45"/>
      <c r="I299" s="44"/>
      <c r="J299" s="44"/>
      <c r="K299" s="44"/>
      <c r="L299" s="44"/>
      <c r="M299" s="44"/>
      <c r="N299" s="44"/>
      <c r="O299" s="44"/>
      <c r="P299" s="44"/>
      <c r="Q299" s="43"/>
      <c r="R299" s="91"/>
      <c r="S299" s="47"/>
      <c r="T299" s="48"/>
      <c r="U299" s="48"/>
      <c r="V299" s="49"/>
      <c r="W299" s="50"/>
      <c r="X299" s="51"/>
      <c r="Y299" s="108"/>
      <c r="Z299" s="108"/>
    </row>
    <row r="300" spans="1:28" s="1" customFormat="1" ht="63">
      <c r="A300" s="158"/>
      <c r="B300" s="164"/>
      <c r="C300" s="55"/>
      <c r="D300" s="4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118"/>
      <c r="R300" s="119"/>
      <c r="S300" s="119"/>
      <c r="T300" s="120"/>
      <c r="U300" s="120"/>
      <c r="V300" s="50"/>
      <c r="W300" s="50"/>
      <c r="X300" s="121"/>
      <c r="Y300" s="122"/>
      <c r="Z300" s="122"/>
      <c r="AB300" s="122"/>
    </row>
    <row r="301" spans="1:28" s="72" customFormat="1" ht="46.5" customHeight="1">
      <c r="A301" s="158"/>
      <c r="B301" s="164"/>
      <c r="C301" s="59" t="s">
        <v>18</v>
      </c>
      <c r="D301" s="60" t="s">
        <v>19</v>
      </c>
      <c r="E301" s="61">
        <v>321.83</v>
      </c>
      <c r="F301" s="61">
        <v>355.30599999999998</v>
      </c>
      <c r="G301" s="61">
        <v>376.274</v>
      </c>
      <c r="H301" s="61">
        <v>397.96</v>
      </c>
      <c r="I301" s="61">
        <v>383.17899999999997</v>
      </c>
      <c r="J301" s="61">
        <v>374.78399999999999</v>
      </c>
      <c r="K301" s="61">
        <v>301.44799999999998</v>
      </c>
      <c r="L301" s="61">
        <v>366.20600000000002</v>
      </c>
      <c r="M301" s="61">
        <v>360.71300000000002</v>
      </c>
      <c r="N301" s="61">
        <v>366.58</v>
      </c>
      <c r="O301" s="61">
        <v>314.846</v>
      </c>
      <c r="P301" s="61">
        <v>379.82799999999997</v>
      </c>
      <c r="Q301" s="123"/>
      <c r="R301" s="69"/>
      <c r="S301" s="69"/>
      <c r="T301" s="70"/>
      <c r="U301" s="70"/>
      <c r="V301" s="49"/>
      <c r="W301" s="49"/>
      <c r="X301" s="71"/>
      <c r="Y301" s="124"/>
      <c r="Z301" s="124"/>
      <c r="AB301" s="124"/>
    </row>
    <row r="302" spans="1:28" s="1" customFormat="1" ht="46.5" customHeight="1">
      <c r="A302" s="158"/>
      <c r="B302" s="164"/>
      <c r="C302" s="59" t="s">
        <v>18</v>
      </c>
      <c r="D302" s="60" t="s">
        <v>20</v>
      </c>
      <c r="E302" s="61">
        <v>364.11200000000002</v>
      </c>
      <c r="F302" s="61">
        <v>343.87700000000001</v>
      </c>
      <c r="G302" s="61">
        <v>260.73700000000002</v>
      </c>
      <c r="H302" s="61">
        <v>393.03300000000002</v>
      </c>
      <c r="I302" s="61">
        <v>367.89100000000002</v>
      </c>
      <c r="J302" s="61">
        <v>370.42700000000002</v>
      </c>
      <c r="K302" s="61">
        <v>372.85700000000003</v>
      </c>
      <c r="L302" s="61">
        <v>24.407</v>
      </c>
      <c r="M302" s="61">
        <v>361.60399999999998</v>
      </c>
      <c r="N302" s="61">
        <v>369.25</v>
      </c>
      <c r="O302" s="61">
        <v>342.49900000000002</v>
      </c>
      <c r="P302" s="61">
        <v>413.14499999999998</v>
      </c>
      <c r="Q302" s="118"/>
      <c r="R302" s="119"/>
      <c r="S302" s="119"/>
      <c r="T302" s="120"/>
      <c r="U302" s="120"/>
      <c r="V302" s="50"/>
      <c r="W302" s="50"/>
      <c r="X302" s="121"/>
      <c r="Y302" s="122"/>
      <c r="Z302" s="122"/>
      <c r="AB302" s="122"/>
    </row>
    <row r="303" spans="1:28" s="72" customFormat="1" ht="46.5" customHeight="1">
      <c r="A303" s="158"/>
      <c r="B303" s="164"/>
      <c r="C303" s="59" t="s">
        <v>18</v>
      </c>
      <c r="D303" s="60" t="s">
        <v>21</v>
      </c>
      <c r="E303" s="61">
        <v>384.17</v>
      </c>
      <c r="F303" s="61">
        <v>311.56799999999998</v>
      </c>
      <c r="G303" s="61">
        <v>329.87</v>
      </c>
      <c r="H303" s="61">
        <v>386.98500000000001</v>
      </c>
      <c r="I303" s="61">
        <v>373.27300000000002</v>
      </c>
      <c r="J303" s="61">
        <v>373.82600000000002</v>
      </c>
      <c r="K303" s="61">
        <v>395.45100000000002</v>
      </c>
      <c r="L303" s="61">
        <v>372.411</v>
      </c>
      <c r="M303" s="61">
        <v>378.63900000000001</v>
      </c>
      <c r="N303" s="61">
        <v>359.39800000000002</v>
      </c>
      <c r="O303" s="61">
        <v>372.56200000000001</v>
      </c>
      <c r="P303" s="61">
        <v>360.25700000000001</v>
      </c>
      <c r="Q303" s="123"/>
      <c r="R303" s="69"/>
      <c r="S303" s="69"/>
      <c r="T303" s="70"/>
      <c r="U303" s="70"/>
      <c r="V303" s="49"/>
      <c r="W303" s="49"/>
      <c r="X303" s="71"/>
      <c r="Y303" s="124"/>
      <c r="Z303" s="124"/>
      <c r="AB303" s="124"/>
    </row>
    <row r="304" spans="1:28" s="1" customFormat="1" ht="46.5" customHeight="1">
      <c r="A304" s="158"/>
      <c r="B304" s="164"/>
      <c r="C304" s="59" t="s">
        <v>18</v>
      </c>
      <c r="D304" s="60" t="s">
        <v>22</v>
      </c>
      <c r="E304" s="61">
        <v>377.81400000000002</v>
      </c>
      <c r="F304" s="61">
        <v>344.91899999999998</v>
      </c>
      <c r="G304" s="61">
        <v>302.74599999999998</v>
      </c>
      <c r="H304" s="61">
        <v>372.041</v>
      </c>
      <c r="I304" s="61">
        <v>375.00400000000002</v>
      </c>
      <c r="J304" s="61">
        <v>355.04899999999998</v>
      </c>
      <c r="K304" s="61">
        <v>382.02499999999998</v>
      </c>
      <c r="L304" s="61">
        <v>365.65600000000001</v>
      </c>
      <c r="M304" s="61">
        <v>395.536</v>
      </c>
      <c r="N304" s="61">
        <v>391.97699999999998</v>
      </c>
      <c r="O304" s="61">
        <v>349.38900000000001</v>
      </c>
      <c r="P304" s="61">
        <v>384.34800000000001</v>
      </c>
      <c r="Q304" s="118"/>
      <c r="R304" s="119"/>
      <c r="S304" s="119"/>
      <c r="T304" s="120"/>
      <c r="U304" s="120"/>
      <c r="V304" s="50"/>
      <c r="W304" s="50"/>
      <c r="X304" s="121"/>
      <c r="Y304" s="122"/>
      <c r="Z304" s="122"/>
      <c r="AB304" s="122"/>
    </row>
    <row r="305" spans="1:28" s="1" customFormat="1" ht="46.5" customHeight="1">
      <c r="A305" s="158"/>
      <c r="B305" s="164"/>
      <c r="C305" s="59" t="s">
        <v>18</v>
      </c>
      <c r="D305" s="60" t="str">
        <f>+D276</f>
        <v>2021-22</v>
      </c>
      <c r="E305" s="61">
        <v>273.488</v>
      </c>
      <c r="F305" s="61">
        <v>243.43600000000001</v>
      </c>
      <c r="G305" s="61">
        <v>376.03199999999998</v>
      </c>
      <c r="H305" s="61">
        <v>375.86599999999999</v>
      </c>
      <c r="I305" s="61">
        <v>372.17700000000002</v>
      </c>
      <c r="J305" s="61">
        <v>349.45299999999997</v>
      </c>
      <c r="K305" s="61">
        <v>372.81</v>
      </c>
      <c r="L305" s="61">
        <v>360.41500000000002</v>
      </c>
      <c r="M305" s="61">
        <v>390.76900000000001</v>
      </c>
      <c r="N305" s="61">
        <v>395.03699999999998</v>
      </c>
      <c r="O305" s="61">
        <v>361.024</v>
      </c>
      <c r="P305" s="61">
        <v>407.32400000000001</v>
      </c>
      <c r="Q305" s="118"/>
      <c r="R305" s="119"/>
      <c r="S305" s="119"/>
      <c r="T305" s="120"/>
      <c r="U305" s="120"/>
      <c r="V305" s="50"/>
      <c r="W305" s="50"/>
      <c r="X305" s="121"/>
      <c r="Y305" s="122"/>
      <c r="Z305" s="122"/>
      <c r="AB305" s="122"/>
    </row>
    <row r="306" spans="1:28" ht="46.5" customHeight="1">
      <c r="A306" s="158"/>
      <c r="B306" s="164"/>
      <c r="C306" s="59" t="s">
        <v>18</v>
      </c>
      <c r="D306" s="60" t="str">
        <f>+D277</f>
        <v>2020-21</v>
      </c>
      <c r="E306" s="61">
        <v>235.24700000000001</v>
      </c>
      <c r="F306" s="61">
        <v>239.81700000000001</v>
      </c>
      <c r="G306" s="61">
        <v>268.50599999999997</v>
      </c>
      <c r="H306" s="61">
        <v>298.32</v>
      </c>
      <c r="I306" s="61">
        <v>285.32900000000001</v>
      </c>
      <c r="J306" s="61">
        <v>216.96100000000001</v>
      </c>
      <c r="K306" s="61">
        <v>293.94900000000001</v>
      </c>
      <c r="L306" s="61">
        <v>320.06599999999997</v>
      </c>
      <c r="M306" s="61">
        <v>356.60199999999998</v>
      </c>
      <c r="N306" s="61">
        <v>377.99299999999999</v>
      </c>
      <c r="O306" s="61">
        <v>344.47300000000001</v>
      </c>
      <c r="P306" s="61">
        <v>400.91899999999998</v>
      </c>
      <c r="Q306" s="115"/>
      <c r="R306" s="64"/>
      <c r="S306" s="64"/>
      <c r="T306" s="65"/>
      <c r="U306" s="65"/>
      <c r="V306" s="49"/>
      <c r="W306" s="49"/>
      <c r="X306" s="66"/>
      <c r="Y306" s="49"/>
      <c r="Z306" s="49"/>
      <c r="AB306" s="49"/>
    </row>
    <row r="307" spans="1:28" ht="46.5" customHeight="1">
      <c r="A307" s="158"/>
      <c r="B307" s="164"/>
      <c r="C307" s="59" t="str">
        <f>+C278</f>
        <v>Actual</v>
      </c>
      <c r="D307" s="59" t="str">
        <f>+D278</f>
        <v>2019-20</v>
      </c>
      <c r="E307" s="61">
        <v>138.36099999999999</v>
      </c>
      <c r="F307" s="61">
        <v>354.42</v>
      </c>
      <c r="G307" s="61">
        <v>326.65600000000001</v>
      </c>
      <c r="H307" s="61">
        <v>343.57299999999998</v>
      </c>
      <c r="I307" s="61">
        <v>335.875</v>
      </c>
      <c r="J307" s="61">
        <v>248.691</v>
      </c>
      <c r="K307" s="61">
        <v>276.29199999999997</v>
      </c>
      <c r="L307" s="61">
        <v>310.92700000000002</v>
      </c>
      <c r="M307" s="61">
        <v>366.65100000000001</v>
      </c>
      <c r="N307" s="61">
        <v>347.065</v>
      </c>
      <c r="O307" s="61">
        <v>341.35399999999998</v>
      </c>
      <c r="P307" s="61">
        <v>323.21800000000002</v>
      </c>
      <c r="Q307" s="115"/>
      <c r="R307" s="64"/>
      <c r="S307" s="64"/>
      <c r="T307" s="65"/>
      <c r="U307" s="65"/>
      <c r="V307" s="49"/>
      <c r="W307" s="49"/>
      <c r="X307" s="66"/>
    </row>
    <row r="308" spans="1:28" s="25" customFormat="1" ht="46.35" customHeight="1">
      <c r="A308" s="158"/>
      <c r="B308" s="164"/>
      <c r="C308" s="102" t="s">
        <v>18</v>
      </c>
      <c r="D308" s="103" t="s">
        <v>26</v>
      </c>
      <c r="E308" s="61">
        <v>257.82100000000003</v>
      </c>
      <c r="F308" s="61">
        <v>315.01</v>
      </c>
      <c r="G308" s="61">
        <v>295.5</v>
      </c>
      <c r="H308" s="61">
        <v>286.59199999999998</v>
      </c>
      <c r="I308" s="61">
        <v>143.62</v>
      </c>
      <c r="J308" s="61">
        <v>58.781999999999996</v>
      </c>
      <c r="K308" s="61">
        <v>256.791</v>
      </c>
      <c r="L308" s="61">
        <v>329.01600000000002</v>
      </c>
      <c r="M308" s="61">
        <v>335.09800000000001</v>
      </c>
      <c r="N308" s="61">
        <v>340.50900000000001</v>
      </c>
      <c r="O308" s="61">
        <v>311.45800000000003</v>
      </c>
      <c r="P308" s="61">
        <v>336.68200000000002</v>
      </c>
      <c r="Q308" s="116"/>
      <c r="R308" s="117"/>
      <c r="S308" s="64"/>
      <c r="T308" s="65"/>
      <c r="U308" s="65"/>
      <c r="V308" s="49"/>
      <c r="W308" s="49"/>
      <c r="X308" s="66"/>
      <c r="Y308" s="27"/>
      <c r="Z308" s="27"/>
    </row>
    <row r="309" spans="1:28" ht="46.35" customHeight="1">
      <c r="A309" s="158"/>
      <c r="B309" s="164"/>
      <c r="C309" s="59" t="s">
        <v>18</v>
      </c>
      <c r="D309" s="60" t="s">
        <v>27</v>
      </c>
      <c r="E309" s="61">
        <v>258.02100000000002</v>
      </c>
      <c r="F309" s="61">
        <v>221.90700000000001</v>
      </c>
      <c r="G309" s="61">
        <v>248.98500000000001</v>
      </c>
      <c r="H309" s="61">
        <v>300.21499999999997</v>
      </c>
      <c r="I309" s="61">
        <v>145.06200000000001</v>
      </c>
      <c r="J309" s="61">
        <v>53.844999999999999</v>
      </c>
      <c r="K309" s="61">
        <v>270.005</v>
      </c>
      <c r="L309" s="61">
        <v>246.315</v>
      </c>
      <c r="M309" s="61">
        <v>265.5</v>
      </c>
      <c r="N309" s="61">
        <v>300.01900000000001</v>
      </c>
      <c r="O309" s="61">
        <v>275.26</v>
      </c>
      <c r="P309" s="61">
        <v>300.05</v>
      </c>
      <c r="Q309" s="60"/>
      <c r="R309" s="64"/>
      <c r="S309" s="64"/>
      <c r="T309" s="65"/>
      <c r="U309" s="65"/>
      <c r="V309" s="49"/>
      <c r="W309" s="49"/>
      <c r="X309" s="66"/>
    </row>
    <row r="310" spans="1:28" ht="46.35" customHeight="1">
      <c r="A310" s="158"/>
      <c r="B310" s="164"/>
      <c r="C310" s="59" t="s">
        <v>18</v>
      </c>
      <c r="D310" s="60" t="s">
        <v>28</v>
      </c>
      <c r="E310" s="61">
        <v>236.96700000000001</v>
      </c>
      <c r="F310" s="61">
        <v>200.10599999999999</v>
      </c>
      <c r="G310" s="61">
        <v>226.113</v>
      </c>
      <c r="H310" s="61">
        <v>275.60000000000002</v>
      </c>
      <c r="I310" s="61">
        <v>290.01</v>
      </c>
      <c r="J310" s="61">
        <v>291.01</v>
      </c>
      <c r="K310" s="61">
        <v>283.00299999999999</v>
      </c>
      <c r="L310" s="61">
        <v>256.97199999999998</v>
      </c>
      <c r="M310" s="61">
        <v>268.584</v>
      </c>
      <c r="N310" s="61">
        <v>261.47800000000001</v>
      </c>
      <c r="O310" s="61">
        <v>235.005</v>
      </c>
      <c r="P310" s="61">
        <v>247.44</v>
      </c>
      <c r="Q310" s="60"/>
      <c r="R310" s="64"/>
      <c r="S310" s="64"/>
      <c r="T310" s="65"/>
      <c r="U310" s="65"/>
      <c r="V310" s="49"/>
      <c r="W310" s="49"/>
      <c r="X310" s="66"/>
    </row>
    <row r="311" spans="1:28" ht="46.35" customHeight="1">
      <c r="A311" s="158"/>
      <c r="B311" s="164"/>
      <c r="C311" s="59" t="s">
        <v>18</v>
      </c>
      <c r="D311" s="60" t="s">
        <v>29</v>
      </c>
      <c r="E311" s="76">
        <v>177.27799999999999</v>
      </c>
      <c r="F311" s="76">
        <v>176.845</v>
      </c>
      <c r="G311" s="76">
        <v>181.58500000000001</v>
      </c>
      <c r="H311" s="76">
        <v>149.26</v>
      </c>
      <c r="I311" s="76">
        <v>157.22999999999999</v>
      </c>
      <c r="J311" s="76">
        <v>166.61099999999999</v>
      </c>
      <c r="K311" s="76">
        <v>185.3</v>
      </c>
      <c r="L311" s="76">
        <v>189.5</v>
      </c>
      <c r="M311" s="76">
        <v>174.2</v>
      </c>
      <c r="N311" s="76">
        <v>210.501</v>
      </c>
      <c r="O311" s="76">
        <v>195.5</v>
      </c>
      <c r="P311" s="76">
        <v>226.01</v>
      </c>
      <c r="Q311" s="60"/>
      <c r="R311" s="64"/>
      <c r="S311" s="64"/>
      <c r="T311" s="65"/>
      <c r="U311" s="65"/>
      <c r="V311" s="49"/>
      <c r="W311" s="49"/>
      <c r="X311" s="66"/>
    </row>
    <row r="312" spans="1:28" ht="61.5" customHeight="1">
      <c r="A312" s="158"/>
      <c r="B312" s="164"/>
      <c r="C312" s="59" t="s">
        <v>18</v>
      </c>
      <c r="D312" s="60" t="s">
        <v>30</v>
      </c>
      <c r="E312" s="61">
        <v>2.8580000000000001</v>
      </c>
      <c r="F312" s="61">
        <v>0</v>
      </c>
      <c r="G312" s="61">
        <v>0</v>
      </c>
      <c r="H312" s="61">
        <v>0</v>
      </c>
      <c r="I312" s="61">
        <v>0</v>
      </c>
      <c r="J312" s="61">
        <v>15.343</v>
      </c>
      <c r="K312" s="61">
        <v>0</v>
      </c>
      <c r="L312" s="61">
        <v>29.864999999999998</v>
      </c>
      <c r="M312" s="61">
        <v>157.33500000000001</v>
      </c>
      <c r="N312" s="61">
        <v>176.96172000000001</v>
      </c>
      <c r="O312" s="61">
        <v>138.62082000000001</v>
      </c>
      <c r="P312" s="61">
        <v>137.44457999999997</v>
      </c>
      <c r="Q312" s="60"/>
      <c r="R312" s="64"/>
      <c r="S312" s="64"/>
      <c r="T312" s="65"/>
      <c r="U312" s="65"/>
      <c r="V312" s="49"/>
      <c r="W312" s="49"/>
      <c r="X312" s="66"/>
    </row>
    <row r="313" spans="1:28" ht="61.5" customHeight="1">
      <c r="A313" s="158"/>
      <c r="B313" s="164"/>
      <c r="C313" s="59" t="s">
        <v>18</v>
      </c>
      <c r="D313" s="78" t="s">
        <v>31</v>
      </c>
      <c r="E313" s="61">
        <v>8.1649999999999991</v>
      </c>
      <c r="F313" s="61">
        <v>7.7830000000000004</v>
      </c>
      <c r="G313" s="61">
        <v>12.398</v>
      </c>
      <c r="H313" s="61">
        <v>20.228000000000002</v>
      </c>
      <c r="I313" s="61">
        <v>23.802</v>
      </c>
      <c r="J313" s="61">
        <v>17.997</v>
      </c>
      <c r="K313" s="61">
        <v>0</v>
      </c>
      <c r="L313" s="61">
        <v>14.778</v>
      </c>
      <c r="M313" s="61">
        <v>6.1040000000000001</v>
      </c>
      <c r="N313" s="61">
        <v>0</v>
      </c>
      <c r="O313" s="61">
        <v>2.2320000000000002</v>
      </c>
      <c r="P313" s="61">
        <v>0</v>
      </c>
      <c r="Q313" s="60"/>
      <c r="R313" s="64"/>
      <c r="S313" s="64"/>
      <c r="T313" s="65"/>
      <c r="U313" s="65"/>
      <c r="V313" s="49"/>
      <c r="W313" s="49"/>
      <c r="X313" s="66"/>
    </row>
    <row r="314" spans="1:28" ht="61.5" customHeight="1">
      <c r="A314" s="158"/>
      <c r="B314" s="165"/>
      <c r="C314" s="80" t="s">
        <v>18</v>
      </c>
      <c r="D314" s="81" t="s">
        <v>32</v>
      </c>
      <c r="E314" s="82">
        <v>0</v>
      </c>
      <c r="F314" s="82">
        <v>0</v>
      </c>
      <c r="G314" s="82">
        <v>0</v>
      </c>
      <c r="H314" s="82">
        <v>0</v>
      </c>
      <c r="I314" s="82">
        <v>0</v>
      </c>
      <c r="J314" s="82">
        <v>0</v>
      </c>
      <c r="K314" s="82">
        <v>0</v>
      </c>
      <c r="L314" s="82">
        <v>0</v>
      </c>
      <c r="M314" s="82">
        <v>0</v>
      </c>
      <c r="N314" s="82">
        <v>0</v>
      </c>
      <c r="O314" s="82">
        <v>0.6</v>
      </c>
      <c r="P314" s="82">
        <v>0.96</v>
      </c>
      <c r="Q314" s="60"/>
      <c r="R314" s="64"/>
      <c r="S314" s="64"/>
      <c r="T314" s="65"/>
      <c r="U314" s="65"/>
      <c r="V314" s="49"/>
      <c r="W314" s="49"/>
      <c r="X314" s="66"/>
    </row>
    <row r="315" spans="1:28" ht="61.5" customHeight="1">
      <c r="A315" s="158"/>
      <c r="B315" s="84"/>
      <c r="C315" s="59" t="s">
        <v>18</v>
      </c>
      <c r="D315" s="60" t="s">
        <v>33</v>
      </c>
      <c r="E315" s="61">
        <v>0</v>
      </c>
      <c r="F315" s="61">
        <v>0</v>
      </c>
      <c r="G315" s="61">
        <v>0</v>
      </c>
      <c r="H315" s="61">
        <v>0</v>
      </c>
      <c r="I315" s="61">
        <v>0</v>
      </c>
      <c r="J315" s="61">
        <v>0</v>
      </c>
      <c r="K315" s="61">
        <v>0</v>
      </c>
      <c r="L315" s="61">
        <v>0</v>
      </c>
      <c r="M315" s="61">
        <v>0</v>
      </c>
      <c r="N315" s="61"/>
      <c r="O315" s="61"/>
      <c r="P315" s="61"/>
      <c r="Q315" s="46"/>
      <c r="R315" s="47"/>
      <c r="S315" s="47"/>
      <c r="T315" s="48"/>
      <c r="U315" s="48"/>
      <c r="V315" s="49"/>
      <c r="W315" s="50"/>
      <c r="X315" s="51"/>
    </row>
    <row r="316" spans="1:28" ht="61.5" customHeight="1">
      <c r="A316" s="158"/>
      <c r="B316" s="84"/>
      <c r="C316" s="59"/>
      <c r="D316" s="60"/>
      <c r="E316" s="21"/>
      <c r="F316" s="21"/>
      <c r="G316" s="21"/>
      <c r="H316" s="20"/>
      <c r="I316" s="21"/>
      <c r="J316" s="21"/>
      <c r="K316" s="21"/>
      <c r="L316" s="21"/>
      <c r="M316" s="21"/>
      <c r="N316" s="21"/>
      <c r="O316" s="21"/>
      <c r="P316" s="21"/>
      <c r="Q316" s="46"/>
      <c r="R316" s="47"/>
      <c r="S316" s="47"/>
      <c r="T316" s="48"/>
      <c r="U316" s="48"/>
      <c r="V316" s="49"/>
      <c r="W316" s="50"/>
      <c r="X316" s="51"/>
    </row>
    <row r="317" spans="1:28" s="109" customFormat="1" ht="65.099999999999994" customHeight="1">
      <c r="A317" s="158"/>
      <c r="B317" s="160"/>
      <c r="C317" s="42"/>
      <c r="D317" s="43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3"/>
      <c r="R317" s="91"/>
      <c r="S317" s="47"/>
      <c r="T317" s="48"/>
      <c r="U317" s="48"/>
      <c r="V317" s="49"/>
      <c r="W317" s="50"/>
      <c r="X317" s="51"/>
      <c r="Y317" s="108"/>
      <c r="Z317" s="108"/>
      <c r="AB317" s="51"/>
    </row>
    <row r="318" spans="1:28" s="1" customFormat="1" ht="49.5" customHeight="1">
      <c r="A318" s="158"/>
      <c r="B318" s="161"/>
      <c r="C318" s="55"/>
      <c r="D318" s="4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118"/>
      <c r="R318" s="119"/>
      <c r="S318" s="119"/>
      <c r="T318" s="120"/>
      <c r="U318" s="120"/>
      <c r="V318" s="50"/>
      <c r="W318" s="50"/>
      <c r="X318" s="121"/>
      <c r="Y318" s="122"/>
      <c r="Z318" s="122"/>
      <c r="AB318" s="122"/>
    </row>
    <row r="319" spans="1:28" s="72" customFormat="1" ht="49.5" customHeight="1">
      <c r="A319" s="158"/>
      <c r="B319" s="161"/>
      <c r="C319" s="59"/>
      <c r="D319" s="60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123"/>
      <c r="R319" s="69"/>
      <c r="S319" s="69"/>
      <c r="T319" s="70"/>
      <c r="U319" s="70"/>
      <c r="V319" s="49"/>
      <c r="W319" s="49"/>
      <c r="X319" s="71"/>
      <c r="Y319" s="124"/>
      <c r="Z319" s="124"/>
      <c r="AB319" s="124"/>
    </row>
    <row r="320" spans="1:28" s="1" customFormat="1" ht="49.5" customHeight="1">
      <c r="A320" s="158"/>
      <c r="B320" s="161"/>
      <c r="C320" s="59"/>
      <c r="D320" s="60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118"/>
      <c r="R320" s="119"/>
      <c r="S320" s="119"/>
      <c r="T320" s="120"/>
      <c r="U320" s="120"/>
      <c r="V320" s="50"/>
      <c r="W320" s="50"/>
      <c r="X320" s="121"/>
      <c r="Y320" s="122"/>
      <c r="Z320" s="122"/>
      <c r="AB320" s="122"/>
    </row>
    <row r="321" spans="1:28" s="72" customFormat="1" ht="46.35" customHeight="1">
      <c r="A321" s="158"/>
      <c r="B321" s="161"/>
      <c r="C321" s="59"/>
      <c r="D321" s="60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123"/>
      <c r="R321" s="69"/>
      <c r="S321" s="69"/>
      <c r="T321" s="70"/>
      <c r="U321" s="70"/>
      <c r="V321" s="49"/>
      <c r="W321" s="49"/>
      <c r="X321" s="71"/>
      <c r="Y321" s="124"/>
      <c r="Z321" s="124"/>
      <c r="AB321" s="124"/>
    </row>
    <row r="322" spans="1:28" s="1" customFormat="1" ht="46.35" customHeight="1">
      <c r="A322" s="158"/>
      <c r="B322" s="161"/>
      <c r="C322" s="59"/>
      <c r="D322" s="60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118"/>
      <c r="R322" s="119"/>
      <c r="S322" s="119"/>
      <c r="T322" s="120"/>
      <c r="U322" s="120"/>
      <c r="V322" s="50"/>
      <c r="W322" s="50"/>
      <c r="X322" s="121"/>
      <c r="Y322" s="122"/>
      <c r="Z322" s="122"/>
      <c r="AB322" s="122"/>
    </row>
    <row r="323" spans="1:28" s="1" customFormat="1" ht="46.35" customHeight="1">
      <c r="A323" s="158"/>
      <c r="B323" s="161"/>
      <c r="C323" s="59"/>
      <c r="D323" s="60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118"/>
      <c r="R323" s="119"/>
      <c r="S323" s="119"/>
      <c r="T323" s="120"/>
      <c r="U323" s="120"/>
      <c r="V323" s="50"/>
      <c r="W323" s="50"/>
      <c r="X323" s="121"/>
      <c r="Y323" s="122"/>
      <c r="Z323" s="122"/>
      <c r="AB323" s="122"/>
    </row>
    <row r="324" spans="1:28" ht="46.35" customHeight="1">
      <c r="A324" s="158"/>
      <c r="B324" s="161"/>
      <c r="C324" s="59"/>
      <c r="D324" s="60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115"/>
      <c r="R324" s="64"/>
      <c r="S324" s="64"/>
      <c r="T324" s="65"/>
      <c r="U324" s="65"/>
      <c r="V324" s="49"/>
      <c r="W324" s="49"/>
      <c r="X324" s="66"/>
      <c r="Y324" s="49"/>
      <c r="Z324" s="49"/>
      <c r="AB324" s="49"/>
    </row>
    <row r="325" spans="1:28" ht="46.35" customHeight="1">
      <c r="A325" s="158"/>
      <c r="B325" s="161"/>
      <c r="C325" s="59"/>
      <c r="D325" s="59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115"/>
      <c r="R325" s="64"/>
      <c r="S325" s="64"/>
      <c r="T325" s="65"/>
      <c r="U325" s="65"/>
      <c r="V325" s="49"/>
      <c r="W325" s="49"/>
      <c r="X325" s="66"/>
      <c r="AB325" s="66"/>
    </row>
    <row r="326" spans="1:28" s="25" customFormat="1" ht="46.35" customHeight="1">
      <c r="A326" s="158"/>
      <c r="B326" s="161"/>
      <c r="C326" s="102"/>
      <c r="D326" s="103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116"/>
      <c r="R326" s="117"/>
      <c r="S326" s="64"/>
      <c r="T326" s="65"/>
      <c r="U326" s="65"/>
      <c r="V326" s="49"/>
      <c r="W326" s="49"/>
      <c r="X326" s="66"/>
      <c r="Y326" s="27"/>
      <c r="Z326" s="27"/>
      <c r="AB326" s="111"/>
    </row>
    <row r="327" spans="1:28" ht="46.35" customHeight="1">
      <c r="A327" s="158"/>
      <c r="B327" s="161"/>
      <c r="C327" s="59"/>
      <c r="D327" s="60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0"/>
      <c r="R327" s="64"/>
      <c r="S327" s="64"/>
      <c r="T327" s="65"/>
      <c r="U327" s="65"/>
      <c r="V327" s="49"/>
      <c r="W327" s="49"/>
      <c r="X327" s="66"/>
    </row>
    <row r="328" spans="1:28" ht="46.35" customHeight="1">
      <c r="A328" s="158"/>
      <c r="B328" s="161"/>
      <c r="C328" s="59"/>
      <c r="D328" s="60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0"/>
      <c r="R328" s="64"/>
      <c r="S328" s="64"/>
      <c r="T328" s="65"/>
      <c r="U328" s="65"/>
      <c r="V328" s="49"/>
      <c r="W328" s="49"/>
      <c r="X328" s="66"/>
    </row>
    <row r="329" spans="1:28" ht="46.35" customHeight="1">
      <c r="A329" s="158"/>
      <c r="B329" s="161"/>
      <c r="C329" s="59"/>
      <c r="D329" s="60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60"/>
      <c r="R329" s="64"/>
      <c r="S329" s="64"/>
      <c r="T329" s="65"/>
      <c r="U329" s="65"/>
      <c r="V329" s="49"/>
      <c r="W329" s="49"/>
      <c r="X329" s="66"/>
    </row>
    <row r="330" spans="1:28" s="127" customFormat="1" ht="61.5" customHeight="1">
      <c r="A330" s="158"/>
      <c r="B330" s="161"/>
      <c r="C330" s="59"/>
      <c r="D330" s="64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0"/>
      <c r="R330" s="64"/>
      <c r="S330" s="64"/>
      <c r="T330" s="65"/>
      <c r="U330" s="65"/>
      <c r="V330" s="49"/>
      <c r="W330" s="49"/>
      <c r="X330" s="66"/>
      <c r="Y330" s="126"/>
      <c r="Z330" s="126"/>
    </row>
    <row r="331" spans="1:28" ht="61.5" customHeight="1">
      <c r="A331" s="158"/>
      <c r="B331" s="161"/>
      <c r="C331" s="59"/>
      <c r="D331" s="78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0"/>
      <c r="R331" s="64"/>
      <c r="S331" s="64"/>
      <c r="T331" s="65"/>
      <c r="U331" s="65"/>
      <c r="V331" s="49"/>
      <c r="W331" s="49"/>
      <c r="X331" s="66"/>
    </row>
    <row r="332" spans="1:28" ht="61.5" customHeight="1">
      <c r="A332" s="158"/>
      <c r="B332" s="161"/>
      <c r="C332" s="59"/>
      <c r="D332" s="60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0"/>
      <c r="R332" s="64"/>
      <c r="S332" s="64"/>
      <c r="T332" s="65"/>
      <c r="U332" s="65"/>
      <c r="V332" s="49"/>
      <c r="W332" s="49"/>
      <c r="X332" s="66"/>
    </row>
    <row r="333" spans="1:28" ht="61.5" customHeight="1">
      <c r="A333" s="158"/>
      <c r="B333" s="161"/>
      <c r="C333" s="59"/>
      <c r="D333" s="60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0"/>
      <c r="R333" s="47"/>
      <c r="S333" s="47"/>
      <c r="T333" s="48"/>
      <c r="U333" s="48"/>
      <c r="V333" s="49"/>
      <c r="W333" s="50"/>
      <c r="X333" s="51"/>
    </row>
    <row r="334" spans="1:28" ht="61.5" customHeight="1">
      <c r="A334" s="158"/>
      <c r="B334" s="161"/>
      <c r="C334" s="59"/>
      <c r="D334" s="60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0"/>
      <c r="R334" s="47"/>
      <c r="S334" s="47"/>
      <c r="T334" s="48"/>
      <c r="U334" s="48"/>
      <c r="V334" s="49"/>
      <c r="W334" s="50"/>
      <c r="X334" s="51"/>
    </row>
    <row r="335" spans="1:28" ht="61.5" customHeight="1">
      <c r="A335" s="158"/>
      <c r="B335" s="161"/>
      <c r="C335" s="59"/>
      <c r="D335" s="60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0"/>
      <c r="R335" s="47"/>
      <c r="S335" s="47"/>
      <c r="T335" s="48"/>
      <c r="U335" s="48"/>
      <c r="V335" s="49"/>
      <c r="W335" s="50"/>
      <c r="X335" s="51"/>
    </row>
    <row r="336" spans="1:28" ht="61.5" customHeight="1">
      <c r="A336" s="159"/>
      <c r="B336" s="162"/>
      <c r="C336" s="80"/>
      <c r="D336" s="81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1"/>
      <c r="R336" s="47"/>
      <c r="S336" s="47"/>
      <c r="T336" s="48"/>
      <c r="U336" s="48"/>
      <c r="V336" s="49"/>
      <c r="W336" s="50"/>
      <c r="X336" s="51"/>
    </row>
    <row r="337" spans="1:31" ht="61.5" customHeight="1">
      <c r="A337" s="84"/>
      <c r="B337" s="84"/>
      <c r="C337" s="59"/>
      <c r="D337" s="60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46"/>
      <c r="R337" s="47"/>
      <c r="S337" s="47"/>
      <c r="T337" s="48"/>
      <c r="U337" s="48"/>
      <c r="V337" s="49"/>
      <c r="W337" s="50"/>
      <c r="X337" s="51"/>
    </row>
    <row r="338" spans="1:31" ht="61.5" customHeight="1">
      <c r="A338" s="84"/>
      <c r="B338" s="84"/>
      <c r="C338" s="59"/>
      <c r="D338" s="60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46"/>
      <c r="R338" s="47"/>
      <c r="S338" s="47"/>
      <c r="T338" s="48"/>
      <c r="U338" s="48"/>
      <c r="V338" s="49"/>
      <c r="W338" s="50"/>
      <c r="X338" s="51"/>
    </row>
    <row r="339" spans="1:31" ht="61.5" customHeight="1">
      <c r="A339" s="84"/>
      <c r="B339" s="84"/>
      <c r="C339" s="59"/>
      <c r="D339" s="60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46"/>
      <c r="R339" s="47"/>
      <c r="S339" s="47"/>
      <c r="T339" s="48"/>
      <c r="U339" s="48"/>
      <c r="V339" s="49"/>
      <c r="W339" s="50"/>
      <c r="X339" s="51"/>
    </row>
    <row r="340" spans="1:31" ht="61.5" customHeight="1">
      <c r="A340" s="84"/>
      <c r="B340" s="84"/>
      <c r="C340" s="59"/>
      <c r="D340" s="60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46"/>
      <c r="R340" s="47"/>
      <c r="S340" s="47"/>
      <c r="T340" s="48"/>
      <c r="U340" s="48"/>
      <c r="V340" s="49"/>
      <c r="W340" s="50"/>
      <c r="X340" s="51"/>
    </row>
    <row r="341" spans="1:31" ht="61.5" customHeight="1">
      <c r="A341" s="84"/>
      <c r="B341" s="84"/>
      <c r="C341" s="59"/>
      <c r="D341" s="60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46"/>
      <c r="R341" s="47"/>
      <c r="S341" s="47"/>
      <c r="T341" s="48"/>
      <c r="U341" s="48"/>
      <c r="V341" s="49"/>
      <c r="W341" s="50"/>
      <c r="X341" s="51"/>
    </row>
    <row r="342" spans="1:31" ht="61.5" customHeight="1">
      <c r="A342" s="84"/>
      <c r="B342" s="84"/>
      <c r="C342" s="59"/>
      <c r="D342" s="60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46"/>
      <c r="R342" s="47"/>
      <c r="S342" s="47"/>
      <c r="T342" s="48"/>
      <c r="U342" s="48"/>
      <c r="V342" s="49"/>
      <c r="W342" s="50"/>
      <c r="X342" s="51"/>
    </row>
    <row r="343" spans="1:31" ht="61.5" customHeight="1">
      <c r="A343" s="84"/>
      <c r="B343" s="84"/>
      <c r="C343" s="59"/>
      <c r="D343" s="60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46"/>
      <c r="R343" s="47"/>
      <c r="S343" s="47"/>
      <c r="T343" s="48"/>
      <c r="U343" s="48"/>
      <c r="V343" s="49"/>
      <c r="W343" s="50"/>
      <c r="X343" s="51"/>
    </row>
    <row r="344" spans="1:31" ht="61.5" customHeight="1">
      <c r="A344" s="84"/>
      <c r="B344" s="84"/>
      <c r="C344" s="59"/>
      <c r="D344" s="60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46"/>
      <c r="R344" s="47"/>
      <c r="S344" s="47"/>
      <c r="T344" s="48"/>
      <c r="U344" s="48"/>
      <c r="V344" s="49"/>
      <c r="W344" s="50"/>
      <c r="X344" s="51"/>
    </row>
    <row r="345" spans="1:31" ht="61.5" customHeight="1">
      <c r="A345" s="84"/>
      <c r="B345" s="84"/>
      <c r="C345" s="59"/>
      <c r="D345" s="60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46"/>
      <c r="R345" s="47"/>
      <c r="S345" s="47"/>
      <c r="T345" s="48"/>
      <c r="U345" s="48"/>
      <c r="V345" s="49"/>
      <c r="W345" s="50"/>
      <c r="X345" s="51"/>
    </row>
    <row r="346" spans="1:31" ht="61.5" customHeight="1">
      <c r="A346" s="84"/>
      <c r="B346" s="84"/>
      <c r="C346" s="100"/>
      <c r="D346" s="101"/>
      <c r="E346" s="21"/>
      <c r="F346" s="21"/>
      <c r="G346" s="21"/>
      <c r="H346" s="20"/>
      <c r="I346" s="21"/>
      <c r="J346" s="21"/>
      <c r="K346" s="21"/>
      <c r="L346" s="21"/>
      <c r="M346" s="21"/>
      <c r="N346" s="21"/>
      <c r="O346" s="21"/>
      <c r="P346" s="21"/>
      <c r="Q346" s="46"/>
      <c r="R346" s="47"/>
      <c r="S346" s="47"/>
      <c r="T346" s="48"/>
      <c r="U346" s="48"/>
      <c r="V346" s="49"/>
      <c r="W346" s="50"/>
      <c r="X346" s="51"/>
    </row>
    <row r="347" spans="1:31" s="109" customFormat="1" ht="65.099999999999994" customHeight="1">
      <c r="A347" s="157" t="s">
        <v>50</v>
      </c>
      <c r="B347" s="163" t="s">
        <v>17</v>
      </c>
      <c r="C347" s="42"/>
      <c r="D347" s="43"/>
      <c r="E347" s="44"/>
      <c r="F347" s="44"/>
      <c r="G347" s="44"/>
      <c r="H347" s="45"/>
      <c r="I347" s="44"/>
      <c r="J347" s="44"/>
      <c r="K347" s="44"/>
      <c r="L347" s="44"/>
      <c r="M347" s="44"/>
      <c r="N347" s="44"/>
      <c r="O347" s="44"/>
      <c r="P347" s="44"/>
      <c r="Q347" s="46"/>
      <c r="R347" s="47"/>
      <c r="S347" s="47"/>
      <c r="T347" s="48"/>
      <c r="U347" s="48"/>
      <c r="V347" s="49"/>
      <c r="W347" s="49"/>
      <c r="X347" s="51"/>
      <c r="Y347" s="128"/>
      <c r="Z347" s="2"/>
    </row>
    <row r="348" spans="1:31" s="52" customFormat="1">
      <c r="A348" s="158"/>
      <c r="B348" s="164"/>
      <c r="C348" s="55"/>
      <c r="D348" s="4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114"/>
      <c r="R348" s="47"/>
      <c r="S348" s="47"/>
      <c r="T348" s="48"/>
      <c r="U348" s="48"/>
      <c r="V348" s="49"/>
      <c r="W348" s="49"/>
      <c r="X348" s="51"/>
      <c r="Y348" s="2"/>
      <c r="Z348" s="2"/>
      <c r="AB348" s="2"/>
      <c r="AD348" s="129"/>
      <c r="AE348" s="129"/>
    </row>
    <row r="349" spans="1:31" s="52" customFormat="1">
      <c r="A349" s="158"/>
      <c r="B349" s="164"/>
      <c r="C349" s="59" t="s">
        <v>18</v>
      </c>
      <c r="D349" s="60" t="s">
        <v>19</v>
      </c>
      <c r="E349" s="61">
        <v>468.66899999999998</v>
      </c>
      <c r="F349" s="61">
        <v>538.47</v>
      </c>
      <c r="G349" s="61">
        <v>523.02200000000005</v>
      </c>
      <c r="H349" s="61">
        <v>489.40800000000002</v>
      </c>
      <c r="I349" s="61">
        <v>455.59399999999999</v>
      </c>
      <c r="J349" s="61">
        <v>466.64699999999999</v>
      </c>
      <c r="K349" s="61">
        <v>530.67100000000005</v>
      </c>
      <c r="L349" s="61">
        <v>512.08100000000002</v>
      </c>
      <c r="M349" s="61">
        <v>489.786</v>
      </c>
      <c r="N349" s="61">
        <v>515.35299999999995</v>
      </c>
      <c r="O349" s="61">
        <v>492.09500000000003</v>
      </c>
      <c r="P349" s="61">
        <v>559.77</v>
      </c>
      <c r="Q349" s="114"/>
      <c r="R349" s="47"/>
      <c r="S349" s="47"/>
      <c r="T349" s="48"/>
      <c r="U349" s="48"/>
      <c r="V349" s="49"/>
      <c r="W349" s="49"/>
      <c r="X349" s="51"/>
      <c r="Y349" s="2"/>
      <c r="Z349" s="2"/>
      <c r="AB349" s="2"/>
      <c r="AD349" s="129"/>
      <c r="AE349" s="129"/>
    </row>
    <row r="350" spans="1:31" s="52" customFormat="1">
      <c r="A350" s="158"/>
      <c r="B350" s="164"/>
      <c r="C350" s="59" t="s">
        <v>18</v>
      </c>
      <c r="D350" s="60" t="s">
        <v>20</v>
      </c>
      <c r="E350" s="61">
        <v>468.13600000000002</v>
      </c>
      <c r="F350" s="61">
        <v>508.03800000000001</v>
      </c>
      <c r="G350" s="61">
        <v>483.834</v>
      </c>
      <c r="H350" s="61">
        <v>471.197</v>
      </c>
      <c r="I350" s="61">
        <v>469.43400000000003</v>
      </c>
      <c r="J350" s="61">
        <v>432.78500000000003</v>
      </c>
      <c r="K350" s="61">
        <v>490.24900000000002</v>
      </c>
      <c r="L350" s="61">
        <v>486.34199999999998</v>
      </c>
      <c r="M350" s="61">
        <v>555.57100000000003</v>
      </c>
      <c r="N350" s="61">
        <v>506.71199999999999</v>
      </c>
      <c r="O350" s="61">
        <v>469.19900000000001</v>
      </c>
      <c r="P350" s="61">
        <v>538.30399999999997</v>
      </c>
      <c r="Q350" s="114"/>
      <c r="R350" s="47"/>
      <c r="S350" s="47"/>
      <c r="T350" s="48"/>
      <c r="U350" s="48"/>
      <c r="V350" s="49"/>
      <c r="W350" s="49"/>
      <c r="X350" s="51"/>
      <c r="Y350" s="2"/>
      <c r="Z350" s="2"/>
      <c r="AB350" s="2"/>
      <c r="AD350" s="129"/>
      <c r="AE350" s="129"/>
    </row>
    <row r="351" spans="1:31" ht="46.35" customHeight="1">
      <c r="A351" s="158"/>
      <c r="B351" s="164"/>
      <c r="C351" s="59" t="s">
        <v>18</v>
      </c>
      <c r="D351" s="60" t="s">
        <v>21</v>
      </c>
      <c r="E351" s="61">
        <v>473.05500000000001</v>
      </c>
      <c r="F351" s="61">
        <v>510.149</v>
      </c>
      <c r="G351" s="61">
        <v>521.70600000000002</v>
      </c>
      <c r="H351" s="61">
        <v>509.69099999999997</v>
      </c>
      <c r="I351" s="61">
        <v>482.12200000000001</v>
      </c>
      <c r="J351" s="61">
        <v>486.233</v>
      </c>
      <c r="K351" s="61">
        <v>500.24200000000002</v>
      </c>
      <c r="L351" s="61">
        <v>410.05900000000003</v>
      </c>
      <c r="M351" s="61">
        <v>485.553</v>
      </c>
      <c r="N351" s="61">
        <v>540.23900000000003</v>
      </c>
      <c r="O351" s="61">
        <v>521.38300000000004</v>
      </c>
      <c r="P351" s="61">
        <v>544.85799999999995</v>
      </c>
      <c r="Q351" s="115"/>
      <c r="R351" s="64"/>
      <c r="S351" s="64"/>
      <c r="T351" s="65"/>
      <c r="U351" s="65"/>
      <c r="V351" s="49"/>
      <c r="W351" s="49"/>
      <c r="X351" s="66"/>
      <c r="AB351" s="6"/>
      <c r="AD351" s="130"/>
      <c r="AE351" s="130"/>
    </row>
    <row r="352" spans="1:31" s="52" customFormat="1" ht="46.35" customHeight="1">
      <c r="A352" s="158"/>
      <c r="B352" s="164"/>
      <c r="C352" s="59" t="s">
        <v>18</v>
      </c>
      <c r="D352" s="60" t="s">
        <v>22</v>
      </c>
      <c r="E352" s="61">
        <v>414.29700000000003</v>
      </c>
      <c r="F352" s="61">
        <v>441.3</v>
      </c>
      <c r="G352" s="61">
        <v>440.78699999999998</v>
      </c>
      <c r="H352" s="61">
        <v>372.34699999999998</v>
      </c>
      <c r="I352" s="61">
        <v>388.28300000000002</v>
      </c>
      <c r="J352" s="61">
        <v>390.81200000000001</v>
      </c>
      <c r="K352" s="61">
        <v>431.93400000000003</v>
      </c>
      <c r="L352" s="61">
        <v>505.76100000000002</v>
      </c>
      <c r="M352" s="61">
        <v>478.88800000000003</v>
      </c>
      <c r="N352" s="61">
        <v>554.33399999999995</v>
      </c>
      <c r="O352" s="61">
        <v>457.44200000000001</v>
      </c>
      <c r="P352" s="61">
        <v>545.75199999999995</v>
      </c>
      <c r="Q352" s="114"/>
      <c r="R352" s="47"/>
      <c r="S352" s="47"/>
      <c r="T352" s="48"/>
      <c r="U352" s="48"/>
      <c r="V352" s="49"/>
      <c r="W352" s="49"/>
      <c r="X352" s="51"/>
      <c r="Y352" s="2"/>
      <c r="Z352" s="2"/>
      <c r="AB352" s="2"/>
      <c r="AD352" s="129"/>
      <c r="AE352" s="129"/>
    </row>
    <row r="353" spans="1:31" s="52" customFormat="1" ht="46.35" customHeight="1">
      <c r="A353" s="158"/>
      <c r="B353" s="164"/>
      <c r="C353" s="59" t="s">
        <v>18</v>
      </c>
      <c r="D353" s="60" t="s">
        <v>23</v>
      </c>
      <c r="E353" s="61">
        <v>389.01799999999997</v>
      </c>
      <c r="F353" s="61">
        <v>341.04899999999998</v>
      </c>
      <c r="G353" s="61">
        <v>393.024</v>
      </c>
      <c r="H353" s="61">
        <v>452.529</v>
      </c>
      <c r="I353" s="61">
        <v>485.524</v>
      </c>
      <c r="J353" s="61">
        <v>462.387</v>
      </c>
      <c r="K353" s="61">
        <v>485.51499999999999</v>
      </c>
      <c r="L353" s="61">
        <v>440.36900000000003</v>
      </c>
      <c r="M353" s="61">
        <v>488.68299999999999</v>
      </c>
      <c r="N353" s="61">
        <v>454.44600000000003</v>
      </c>
      <c r="O353" s="61">
        <v>415.68799999999999</v>
      </c>
      <c r="P353" s="61">
        <v>477.298</v>
      </c>
      <c r="Q353" s="114"/>
      <c r="R353" s="47"/>
      <c r="S353" s="47"/>
      <c r="T353" s="48"/>
      <c r="U353" s="48"/>
      <c r="V353" s="49"/>
      <c r="W353" s="49"/>
      <c r="X353" s="51"/>
      <c r="Y353" s="2"/>
      <c r="Z353" s="2"/>
      <c r="AB353" s="2"/>
      <c r="AD353" s="129"/>
      <c r="AE353" s="12"/>
    </row>
    <row r="354" spans="1:31" ht="46.35" customHeight="1">
      <c r="A354" s="158"/>
      <c r="B354" s="164"/>
      <c r="C354" s="59" t="s">
        <v>18</v>
      </c>
      <c r="D354" s="60" t="s">
        <v>24</v>
      </c>
      <c r="E354" s="61">
        <v>236.28299999999999</v>
      </c>
      <c r="F354" s="61">
        <v>243.483</v>
      </c>
      <c r="G354" s="61">
        <v>248.65299999999999</v>
      </c>
      <c r="H354" s="61">
        <v>332.142</v>
      </c>
      <c r="I354" s="61">
        <v>353.53800000000001</v>
      </c>
      <c r="J354" s="61">
        <v>395.72899999999998</v>
      </c>
      <c r="K354" s="61">
        <v>463.05700000000002</v>
      </c>
      <c r="L354" s="61">
        <v>419.02</v>
      </c>
      <c r="M354" s="61">
        <v>460.35</v>
      </c>
      <c r="N354" s="61">
        <v>482.5</v>
      </c>
      <c r="O354" s="61">
        <v>445.762</v>
      </c>
      <c r="P354" s="61">
        <v>519.81899999999996</v>
      </c>
      <c r="Q354" s="115"/>
      <c r="R354" s="64"/>
      <c r="S354" s="64"/>
      <c r="T354" s="65"/>
      <c r="U354" s="65"/>
      <c r="V354" s="49"/>
      <c r="W354" s="49"/>
      <c r="X354" s="66"/>
      <c r="Y354" s="49"/>
      <c r="Z354" s="49"/>
      <c r="AB354" s="49"/>
      <c r="AD354" s="129"/>
      <c r="AE354" s="11"/>
    </row>
    <row r="355" spans="1:31" ht="46.35" customHeight="1">
      <c r="A355" s="158"/>
      <c r="B355" s="164"/>
      <c r="C355" s="59" t="s">
        <v>18</v>
      </c>
      <c r="D355" s="59" t="s">
        <v>25</v>
      </c>
      <c r="E355" s="61">
        <v>391.29199999999997</v>
      </c>
      <c r="F355" s="61">
        <v>407.399</v>
      </c>
      <c r="G355" s="61">
        <v>390.69600000000003</v>
      </c>
      <c r="H355" s="61">
        <v>397.43</v>
      </c>
      <c r="I355" s="61">
        <v>409.88299999999998</v>
      </c>
      <c r="J355" s="61">
        <v>351.90800000000002</v>
      </c>
      <c r="K355" s="61">
        <v>383.29300000000001</v>
      </c>
      <c r="L355" s="61">
        <v>397.06599999999997</v>
      </c>
      <c r="M355" s="61">
        <v>420.726</v>
      </c>
      <c r="N355" s="61">
        <v>427.30599999999998</v>
      </c>
      <c r="O355" s="61">
        <v>421.62700000000001</v>
      </c>
      <c r="P355" s="61">
        <v>419.81</v>
      </c>
      <c r="Q355" s="115"/>
      <c r="R355" s="64"/>
      <c r="S355" s="64"/>
      <c r="T355" s="65"/>
      <c r="U355" s="65"/>
      <c r="V355" s="49"/>
      <c r="W355" s="49"/>
      <c r="X355" s="66"/>
      <c r="AD355" s="129"/>
      <c r="AE355" s="11"/>
    </row>
    <row r="356" spans="1:31" s="25" customFormat="1" ht="46.35" customHeight="1">
      <c r="A356" s="158"/>
      <c r="B356" s="164"/>
      <c r="C356" s="102" t="s">
        <v>18</v>
      </c>
      <c r="D356" s="103" t="s">
        <v>26</v>
      </c>
      <c r="E356" s="61">
        <v>368.26799999999997</v>
      </c>
      <c r="F356" s="61">
        <v>395.03699999999998</v>
      </c>
      <c r="G356" s="61">
        <v>341.12200000000001</v>
      </c>
      <c r="H356" s="61">
        <v>284.56400000000002</v>
      </c>
      <c r="I356" s="61">
        <v>401.58</v>
      </c>
      <c r="J356" s="61">
        <v>390.66699999999997</v>
      </c>
      <c r="K356" s="61">
        <v>436.11</v>
      </c>
      <c r="L356" s="61">
        <v>426.80900000000003</v>
      </c>
      <c r="M356" s="61">
        <v>443.85700000000003</v>
      </c>
      <c r="N356" s="61">
        <v>405.81400000000002</v>
      </c>
      <c r="O356" s="61">
        <v>391.459</v>
      </c>
      <c r="P356" s="61">
        <v>466.22800000000001</v>
      </c>
      <c r="Q356" s="116"/>
      <c r="R356" s="117"/>
      <c r="S356" s="64"/>
      <c r="T356" s="65"/>
      <c r="U356" s="65"/>
      <c r="V356" s="49"/>
      <c r="W356" s="49"/>
      <c r="X356" s="66"/>
      <c r="Y356" s="27"/>
      <c r="Z356" s="27"/>
      <c r="AD356" s="129"/>
      <c r="AE356" s="22"/>
    </row>
    <row r="357" spans="1:31" ht="46.35" customHeight="1">
      <c r="A357" s="158"/>
      <c r="B357" s="164"/>
      <c r="C357" s="59" t="s">
        <v>18</v>
      </c>
      <c r="D357" s="60" t="s">
        <v>27</v>
      </c>
      <c r="E357" s="61">
        <v>353.32299999999998</v>
      </c>
      <c r="F357" s="61">
        <v>314.50700000000001</v>
      </c>
      <c r="G357" s="61">
        <v>316.03300000000002</v>
      </c>
      <c r="H357" s="61">
        <v>345.745</v>
      </c>
      <c r="I357" s="61">
        <v>379.54399999999998</v>
      </c>
      <c r="J357" s="61">
        <v>381.57900000000001</v>
      </c>
      <c r="K357" s="61">
        <v>402.17899999999997</v>
      </c>
      <c r="L357" s="61">
        <v>350.18900000000002</v>
      </c>
      <c r="M357" s="61">
        <v>320.79399999999998</v>
      </c>
      <c r="N357" s="61">
        <v>362.95699999999999</v>
      </c>
      <c r="O357" s="61">
        <v>352.25400000000002</v>
      </c>
      <c r="P357" s="61">
        <v>400.952</v>
      </c>
      <c r="Q357" s="60"/>
      <c r="R357" s="64"/>
      <c r="S357" s="64"/>
      <c r="T357" s="65"/>
      <c r="U357" s="65"/>
      <c r="V357" s="49"/>
      <c r="W357" s="49"/>
      <c r="X357" s="66"/>
      <c r="AD357" s="129"/>
      <c r="AE357" s="11"/>
    </row>
    <row r="358" spans="1:31" ht="46.35" customHeight="1">
      <c r="A358" s="158"/>
      <c r="B358" s="164"/>
      <c r="C358" s="59" t="s">
        <v>18</v>
      </c>
      <c r="D358" s="60" t="s">
        <v>28</v>
      </c>
      <c r="E358" s="61">
        <v>449.10300000000001</v>
      </c>
      <c r="F358" s="61">
        <v>384.709</v>
      </c>
      <c r="G358" s="61">
        <v>448.452</v>
      </c>
      <c r="H358" s="61">
        <v>443.61700000000002</v>
      </c>
      <c r="I358" s="61">
        <v>425.375</v>
      </c>
      <c r="J358" s="61">
        <v>410.51600000000002</v>
      </c>
      <c r="K358" s="61">
        <v>412.32400000000001</v>
      </c>
      <c r="L358" s="61">
        <v>388.10199999999998</v>
      </c>
      <c r="M358" s="61">
        <v>408.56</v>
      </c>
      <c r="N358" s="61">
        <v>438.06700000000001</v>
      </c>
      <c r="O358" s="61">
        <v>392.23</v>
      </c>
      <c r="P358" s="61">
        <v>440.02499999999998</v>
      </c>
      <c r="Q358" s="60"/>
      <c r="R358" s="64"/>
      <c r="S358" s="64"/>
      <c r="T358" s="65"/>
      <c r="U358" s="65"/>
      <c r="V358" s="49"/>
      <c r="W358" s="49"/>
      <c r="X358" s="66"/>
      <c r="AD358" s="129"/>
      <c r="AE358" s="11"/>
    </row>
    <row r="359" spans="1:31" ht="46.35" customHeight="1">
      <c r="A359" s="158"/>
      <c r="B359" s="164"/>
      <c r="C359" s="59" t="s">
        <v>18</v>
      </c>
      <c r="D359" s="60" t="s">
        <v>29</v>
      </c>
      <c r="E359" s="76">
        <v>445.01600000000002</v>
      </c>
      <c r="F359" s="76">
        <v>459.55399999999997</v>
      </c>
      <c r="G359" s="76">
        <v>424.00799999999998</v>
      </c>
      <c r="H359" s="76">
        <v>447.56099999999998</v>
      </c>
      <c r="I359" s="76">
        <v>447.86900000000003</v>
      </c>
      <c r="J359" s="76">
        <v>416.73</v>
      </c>
      <c r="K359" s="76">
        <v>469.67899999999997</v>
      </c>
      <c r="L359" s="76">
        <v>421.38499999999999</v>
      </c>
      <c r="M359" s="76">
        <v>412.57100000000003</v>
      </c>
      <c r="N359" s="76">
        <v>453.30900000000003</v>
      </c>
      <c r="O359" s="76">
        <v>437.27</v>
      </c>
      <c r="P359" s="76">
        <v>482.17500000000001</v>
      </c>
      <c r="Q359" s="60"/>
      <c r="R359" s="64"/>
      <c r="S359" s="64"/>
      <c r="T359" s="65"/>
      <c r="U359" s="65"/>
      <c r="V359" s="49"/>
      <c r="W359" s="49"/>
      <c r="X359" s="66"/>
      <c r="AD359" s="129"/>
      <c r="AE359" s="11"/>
    </row>
    <row r="360" spans="1:31" ht="61.5" customHeight="1">
      <c r="A360" s="158"/>
      <c r="B360" s="164"/>
      <c r="C360" s="59" t="s">
        <v>18</v>
      </c>
      <c r="D360" s="60" t="s">
        <v>30</v>
      </c>
      <c r="E360" s="61">
        <v>415.01900000000001</v>
      </c>
      <c r="F360" s="61">
        <v>416.49299999999999</v>
      </c>
      <c r="G360" s="61">
        <v>260.02800000000002</v>
      </c>
      <c r="H360" s="61">
        <v>390.06799999999998</v>
      </c>
      <c r="I360" s="61">
        <v>458.18700000000001</v>
      </c>
      <c r="J360" s="61">
        <v>457.02</v>
      </c>
      <c r="K360" s="61">
        <v>447.02800000000002</v>
      </c>
      <c r="L360" s="61">
        <v>406.64</v>
      </c>
      <c r="M360" s="61">
        <v>466.05399999999997</v>
      </c>
      <c r="N360" s="61">
        <v>481.40699999999998</v>
      </c>
      <c r="O360" s="61">
        <v>412.04500000000002</v>
      </c>
      <c r="P360" s="61">
        <v>462.26900000000001</v>
      </c>
      <c r="Q360" s="60"/>
      <c r="R360" s="64"/>
      <c r="S360" s="64"/>
      <c r="T360" s="65"/>
      <c r="U360" s="65"/>
      <c r="V360" s="49"/>
      <c r="W360" s="49"/>
      <c r="X360" s="66"/>
      <c r="AD360" s="129"/>
      <c r="AE360" s="11"/>
    </row>
    <row r="361" spans="1:31" ht="61.5" customHeight="1">
      <c r="A361" s="158"/>
      <c r="B361" s="164"/>
      <c r="C361" s="59" t="s">
        <v>18</v>
      </c>
      <c r="D361" s="78" t="s">
        <v>31</v>
      </c>
      <c r="E361" s="61">
        <v>451.22300000000001</v>
      </c>
      <c r="F361" s="61">
        <v>463.51799999999997</v>
      </c>
      <c r="G361" s="61">
        <v>447.09</v>
      </c>
      <c r="H361" s="61">
        <v>466.41300000000001</v>
      </c>
      <c r="I361" s="61">
        <v>451.00700000000001</v>
      </c>
      <c r="J361" s="61">
        <v>450.255</v>
      </c>
      <c r="K361" s="61">
        <v>447.00200000000001</v>
      </c>
      <c r="L361" s="61">
        <v>448.59899999999999</v>
      </c>
      <c r="M361" s="61">
        <v>455.185</v>
      </c>
      <c r="N361" s="61">
        <v>437.62400000000002</v>
      </c>
      <c r="O361" s="61">
        <v>405.99700000000001</v>
      </c>
      <c r="P361" s="61">
        <v>453.16399999999999</v>
      </c>
      <c r="Q361" s="60"/>
      <c r="R361" s="64"/>
      <c r="S361" s="64"/>
      <c r="T361" s="65"/>
      <c r="U361" s="65"/>
      <c r="V361" s="49"/>
      <c r="W361" s="49"/>
      <c r="X361" s="66"/>
      <c r="AD361" s="129"/>
      <c r="AE361" s="11"/>
    </row>
    <row r="362" spans="1:31" ht="61.5" customHeight="1">
      <c r="A362" s="158"/>
      <c r="B362" s="164"/>
      <c r="C362" s="59" t="s">
        <v>18</v>
      </c>
      <c r="D362" s="60" t="s">
        <v>32</v>
      </c>
      <c r="E362" s="61">
        <v>438.173</v>
      </c>
      <c r="F362" s="61">
        <v>463.12299999999999</v>
      </c>
      <c r="G362" s="61">
        <v>442.95299999999997</v>
      </c>
      <c r="H362" s="61">
        <v>456.887</v>
      </c>
      <c r="I362" s="61">
        <v>460.19900000000001</v>
      </c>
      <c r="J362" s="61">
        <v>427.61900000000003</v>
      </c>
      <c r="K362" s="61">
        <v>441.79</v>
      </c>
      <c r="L362" s="61">
        <v>435.72199999999998</v>
      </c>
      <c r="M362" s="61">
        <v>415.44</v>
      </c>
      <c r="N362" s="61">
        <v>420.36500000000001</v>
      </c>
      <c r="O362" s="61">
        <v>360.05200000000002</v>
      </c>
      <c r="P362" s="61">
        <v>443.92500000000001</v>
      </c>
      <c r="Q362" s="60"/>
      <c r="R362" s="64"/>
      <c r="S362" s="64"/>
      <c r="T362" s="65"/>
      <c r="U362" s="65"/>
      <c r="V362" s="49"/>
      <c r="W362" s="49"/>
      <c r="X362" s="66"/>
      <c r="AD362" s="129"/>
      <c r="AE362" s="11"/>
    </row>
    <row r="363" spans="1:31" ht="61.5" customHeight="1">
      <c r="A363" s="158"/>
      <c r="B363" s="164"/>
      <c r="C363" s="59" t="s">
        <v>18</v>
      </c>
      <c r="D363" s="60" t="s">
        <v>33</v>
      </c>
      <c r="E363" s="61">
        <v>453.63900000000001</v>
      </c>
      <c r="F363" s="61">
        <v>433.41699999999997</v>
      </c>
      <c r="G363" s="61">
        <v>397.63200000000001</v>
      </c>
      <c r="H363" s="61">
        <v>424.44299999999998</v>
      </c>
      <c r="I363" s="61">
        <v>420.48500000000001</v>
      </c>
      <c r="J363" s="61">
        <v>414.59800000000001</v>
      </c>
      <c r="K363" s="61">
        <v>430.44</v>
      </c>
      <c r="L363" s="61">
        <v>409.24599999999998</v>
      </c>
      <c r="M363" s="61">
        <v>442.589</v>
      </c>
      <c r="N363" s="61">
        <v>419.27699999999999</v>
      </c>
      <c r="O363" s="61">
        <v>412.78</v>
      </c>
      <c r="P363" s="61">
        <v>467.17399999999998</v>
      </c>
      <c r="Q363" s="60"/>
      <c r="R363" s="47"/>
      <c r="S363" s="47"/>
      <c r="T363" s="48"/>
      <c r="U363" s="48"/>
      <c r="V363" s="49"/>
      <c r="W363" s="50"/>
      <c r="X363" s="51"/>
      <c r="AD363" s="51"/>
    </row>
    <row r="364" spans="1:31" ht="61.5" customHeight="1">
      <c r="A364" s="158"/>
      <c r="B364" s="164"/>
      <c r="C364" s="59" t="s">
        <v>18</v>
      </c>
      <c r="D364" s="60" t="s">
        <v>34</v>
      </c>
      <c r="E364" s="61">
        <v>471.26499999999999</v>
      </c>
      <c r="F364" s="61">
        <v>468.05</v>
      </c>
      <c r="G364" s="61">
        <v>455.887</v>
      </c>
      <c r="H364" s="61">
        <v>468.23200000000003</v>
      </c>
      <c r="I364" s="61">
        <v>500.04199999999997</v>
      </c>
      <c r="J364" s="61">
        <v>454.77199999999999</v>
      </c>
      <c r="K364" s="61">
        <v>494.03</v>
      </c>
      <c r="L364" s="61">
        <v>486.67099999999999</v>
      </c>
      <c r="M364" s="61">
        <v>477.19</v>
      </c>
      <c r="N364" s="61">
        <v>500.13</v>
      </c>
      <c r="O364" s="61">
        <v>427.50200000000001</v>
      </c>
      <c r="P364" s="61">
        <v>504.08100000000002</v>
      </c>
      <c r="Q364" s="60"/>
      <c r="R364" s="47"/>
      <c r="S364" s="47"/>
      <c r="T364" s="48"/>
      <c r="U364" s="48"/>
      <c r="V364" s="49"/>
      <c r="W364" s="50"/>
      <c r="X364" s="51"/>
      <c r="AD364" s="51"/>
    </row>
    <row r="365" spans="1:31" ht="61.5" customHeight="1">
      <c r="A365" s="158"/>
      <c r="B365" s="164"/>
      <c r="C365" s="59" t="s">
        <v>18</v>
      </c>
      <c r="D365" s="60" t="s">
        <v>35</v>
      </c>
      <c r="E365" s="61">
        <v>432.08100000000002</v>
      </c>
      <c r="F365" s="61">
        <v>431.685</v>
      </c>
      <c r="G365" s="61">
        <v>416.06900000000002</v>
      </c>
      <c r="H365" s="61">
        <v>465.03</v>
      </c>
      <c r="I365" s="61">
        <v>478.08</v>
      </c>
      <c r="J365" s="61">
        <v>453.58199999999999</v>
      </c>
      <c r="K365" s="61">
        <v>488.154</v>
      </c>
      <c r="L365" s="61">
        <v>463.86500000000001</v>
      </c>
      <c r="M365" s="61">
        <v>491.79300000000001</v>
      </c>
      <c r="N365" s="61">
        <v>500.084</v>
      </c>
      <c r="O365" s="61">
        <v>246.386</v>
      </c>
      <c r="P365" s="61">
        <v>503.19299999999998</v>
      </c>
      <c r="Q365" s="60"/>
      <c r="R365" s="47"/>
      <c r="S365" s="47"/>
      <c r="T365" s="48"/>
      <c r="U365" s="48"/>
      <c r="V365" s="49"/>
      <c r="W365" s="50"/>
      <c r="X365" s="51"/>
      <c r="AD365" s="51"/>
    </row>
    <row r="366" spans="1:31" ht="61.5" customHeight="1">
      <c r="A366" s="158"/>
      <c r="B366" s="164"/>
      <c r="C366" s="59" t="s">
        <v>18</v>
      </c>
      <c r="D366" s="60" t="s">
        <v>36</v>
      </c>
      <c r="E366" s="61">
        <v>412.37099999999998</v>
      </c>
      <c r="F366" s="61">
        <v>416.63499999999999</v>
      </c>
      <c r="G366" s="61">
        <v>409.20800000000003</v>
      </c>
      <c r="H366" s="61">
        <v>464.05</v>
      </c>
      <c r="I366" s="61">
        <v>488.72500000000002</v>
      </c>
      <c r="J366" s="61">
        <v>473.90699999999998</v>
      </c>
      <c r="K366" s="61">
        <v>478.798</v>
      </c>
      <c r="L366" s="61">
        <v>444.26</v>
      </c>
      <c r="M366" s="61">
        <v>449.202</v>
      </c>
      <c r="N366" s="61">
        <v>466.452</v>
      </c>
      <c r="O366" s="61">
        <v>415.68299999999999</v>
      </c>
      <c r="P366" s="61">
        <v>467.88900000000001</v>
      </c>
      <c r="Q366" s="81"/>
      <c r="R366" s="47"/>
      <c r="S366" s="47"/>
      <c r="T366" s="48"/>
      <c r="U366" s="48"/>
      <c r="V366" s="49"/>
      <c r="W366" s="50"/>
      <c r="X366" s="51"/>
      <c r="AD366" s="51"/>
    </row>
    <row r="367" spans="1:31" ht="61.5" customHeight="1">
      <c r="A367" s="158"/>
      <c r="B367" s="164"/>
      <c r="C367" s="59" t="s">
        <v>18</v>
      </c>
      <c r="D367" s="60" t="s">
        <v>37</v>
      </c>
      <c r="E367" s="85">
        <v>438.80799999999999</v>
      </c>
      <c r="F367" s="85">
        <v>443.298</v>
      </c>
      <c r="G367" s="85">
        <v>385.96600000000001</v>
      </c>
      <c r="H367" s="85">
        <v>366.584</v>
      </c>
      <c r="I367" s="85">
        <v>407.76499999999999</v>
      </c>
      <c r="J367" s="85">
        <v>410.36700000000002</v>
      </c>
      <c r="K367" s="85">
        <v>466.97500000000002</v>
      </c>
      <c r="L367" s="85">
        <v>469.62099999999998</v>
      </c>
      <c r="M367" s="85">
        <v>488.50599999999997</v>
      </c>
      <c r="N367" s="85">
        <v>491.35899999999998</v>
      </c>
      <c r="O367" s="85">
        <v>443.71499999999997</v>
      </c>
      <c r="P367" s="85">
        <v>454.70600000000002</v>
      </c>
      <c r="Q367" s="46"/>
      <c r="R367" s="47"/>
      <c r="S367" s="47"/>
      <c r="T367" s="48"/>
      <c r="U367" s="48"/>
      <c r="V367" s="49"/>
      <c r="W367" s="50"/>
      <c r="X367" s="51"/>
      <c r="AD367" s="51"/>
    </row>
    <row r="368" spans="1:31" ht="61.5" customHeight="1">
      <c r="A368" s="158"/>
      <c r="B368" s="164"/>
      <c r="C368" s="59" t="s">
        <v>18</v>
      </c>
      <c r="D368" s="60" t="s">
        <v>38</v>
      </c>
      <c r="E368" s="85">
        <v>402.07799999999997</v>
      </c>
      <c r="F368" s="85">
        <v>431.35700000000003</v>
      </c>
      <c r="G368" s="85">
        <v>433.459</v>
      </c>
      <c r="H368" s="85">
        <v>429.50599999999997</v>
      </c>
      <c r="I368" s="85">
        <v>380.93799999999999</v>
      </c>
      <c r="J368" s="85">
        <v>344.36700000000002</v>
      </c>
      <c r="K368" s="85">
        <v>387.20800000000003</v>
      </c>
      <c r="L368" s="85">
        <v>378.17899999999997</v>
      </c>
      <c r="M368" s="85">
        <v>395.06799999999998</v>
      </c>
      <c r="N368" s="85">
        <v>387.49900000000002</v>
      </c>
      <c r="O368" s="85">
        <v>362.33800000000002</v>
      </c>
      <c r="P368" s="85">
        <v>484.77600000000001</v>
      </c>
      <c r="Q368" s="46"/>
      <c r="R368" s="47"/>
      <c r="S368" s="47"/>
      <c r="T368" s="48"/>
      <c r="U368" s="48"/>
      <c r="V368" s="49"/>
      <c r="W368" s="50"/>
      <c r="X368" s="51"/>
      <c r="AD368" s="51"/>
    </row>
    <row r="369" spans="1:30" ht="61.5" customHeight="1">
      <c r="A369" s="158"/>
      <c r="B369" s="164"/>
      <c r="C369" s="59" t="s">
        <v>18</v>
      </c>
      <c r="D369" s="60" t="s">
        <v>39</v>
      </c>
      <c r="E369" s="85">
        <v>396.858</v>
      </c>
      <c r="F369" s="85">
        <v>426.39600000000002</v>
      </c>
      <c r="G369" s="85">
        <v>442.10300000000001</v>
      </c>
      <c r="H369" s="85">
        <v>447.8</v>
      </c>
      <c r="I369" s="85">
        <v>441.98399999999998</v>
      </c>
      <c r="J369" s="85">
        <v>429.56400000000002</v>
      </c>
      <c r="K369" s="85">
        <v>445.38</v>
      </c>
      <c r="L369" s="86">
        <v>442.315</v>
      </c>
      <c r="M369" s="85">
        <v>465.08600000000001</v>
      </c>
      <c r="N369" s="85">
        <v>431.01100000000002</v>
      </c>
      <c r="O369" s="85">
        <v>384.24799999999999</v>
      </c>
      <c r="P369" s="85">
        <v>425.524</v>
      </c>
      <c r="Q369" s="46"/>
      <c r="R369" s="47"/>
      <c r="S369" s="47"/>
      <c r="T369" s="48"/>
      <c r="U369" s="48"/>
      <c r="V369" s="49"/>
      <c r="W369" s="50"/>
      <c r="X369" s="51"/>
      <c r="AD369" s="51"/>
    </row>
    <row r="370" spans="1:30" ht="61.5" customHeight="1">
      <c r="A370" s="158"/>
      <c r="B370" s="164"/>
      <c r="C370" s="59" t="s">
        <v>18</v>
      </c>
      <c r="D370" s="60" t="s">
        <v>40</v>
      </c>
      <c r="E370" s="85">
        <v>321.20499999999998</v>
      </c>
      <c r="F370" s="85">
        <v>340.52199999999999</v>
      </c>
      <c r="G370" s="85">
        <v>338.72</v>
      </c>
      <c r="H370" s="85">
        <v>358.05500000000001</v>
      </c>
      <c r="I370" s="85">
        <v>338.44299999999998</v>
      </c>
      <c r="J370" s="85">
        <v>375.589</v>
      </c>
      <c r="K370" s="85">
        <v>388.57</v>
      </c>
      <c r="L370" s="85">
        <v>408.77199999999999</v>
      </c>
      <c r="M370" s="85">
        <v>416.28300000000002</v>
      </c>
      <c r="N370" s="85">
        <v>422.702</v>
      </c>
      <c r="O370" s="85">
        <v>381.31700000000001</v>
      </c>
      <c r="P370" s="85">
        <v>421.00099999999998</v>
      </c>
      <c r="Q370" s="46"/>
      <c r="R370" s="47"/>
      <c r="S370" s="47"/>
      <c r="T370" s="48"/>
      <c r="U370" s="48"/>
      <c r="V370" s="49"/>
      <c r="W370" s="50"/>
      <c r="X370" s="51"/>
      <c r="AD370" s="51"/>
    </row>
    <row r="371" spans="1:30" ht="61.5" customHeight="1">
      <c r="A371" s="158"/>
      <c r="B371" s="164"/>
      <c r="C371" s="59" t="s">
        <v>18</v>
      </c>
      <c r="D371" s="60" t="s">
        <v>41</v>
      </c>
      <c r="E371" s="85">
        <v>401.54700000000003</v>
      </c>
      <c r="F371" s="85">
        <v>424.613</v>
      </c>
      <c r="G371" s="85">
        <v>389.94200000000001</v>
      </c>
      <c r="H371" s="85">
        <v>432.64499999999998</v>
      </c>
      <c r="I371" s="85">
        <v>419.399</v>
      </c>
      <c r="J371" s="85">
        <v>419.62200000000001</v>
      </c>
      <c r="K371" s="85">
        <v>435.14</v>
      </c>
      <c r="L371" s="85">
        <v>410.49700000000001</v>
      </c>
      <c r="M371" s="85">
        <v>437.07100000000003</v>
      </c>
      <c r="N371" s="85">
        <v>432.95600000000002</v>
      </c>
      <c r="O371" s="85">
        <v>395.221</v>
      </c>
      <c r="P371" s="85">
        <v>333.00799999999998</v>
      </c>
      <c r="Q371" s="46"/>
      <c r="R371" s="47"/>
      <c r="S371" s="47"/>
      <c r="T371" s="48"/>
      <c r="U371" s="48"/>
      <c r="V371" s="49"/>
      <c r="W371" s="50"/>
      <c r="X371" s="51"/>
      <c r="AD371" s="51"/>
    </row>
    <row r="372" spans="1:30" ht="61.5" customHeight="1">
      <c r="A372" s="158"/>
      <c r="B372" s="164"/>
      <c r="C372" s="59" t="s">
        <v>18</v>
      </c>
      <c r="D372" s="60" t="s">
        <v>42</v>
      </c>
      <c r="E372" s="85">
        <v>349.74700000000001</v>
      </c>
      <c r="F372" s="85">
        <v>320.64100000000002</v>
      </c>
      <c r="G372" s="85">
        <v>348.97199999999998</v>
      </c>
      <c r="H372" s="85">
        <v>368.58499999999998</v>
      </c>
      <c r="I372" s="85">
        <v>363.02800000000002</v>
      </c>
      <c r="J372" s="85">
        <v>357.04300000000001</v>
      </c>
      <c r="K372" s="85">
        <v>361.60199999999998</v>
      </c>
      <c r="L372" s="85">
        <v>360.11</v>
      </c>
      <c r="M372" s="85">
        <v>399.05200000000002</v>
      </c>
      <c r="N372" s="85">
        <v>397.40600000000001</v>
      </c>
      <c r="O372" s="85">
        <v>364.22699999999998</v>
      </c>
      <c r="P372" s="85">
        <v>418.233</v>
      </c>
      <c r="Q372" s="46"/>
      <c r="R372" s="47"/>
      <c r="S372" s="47"/>
      <c r="T372" s="48"/>
      <c r="U372" s="48"/>
      <c r="V372" s="49"/>
      <c r="W372" s="50"/>
      <c r="X372" s="51"/>
      <c r="AD372" s="51"/>
    </row>
    <row r="373" spans="1:30" ht="61.5" customHeight="1">
      <c r="A373" s="158"/>
      <c r="B373" s="164"/>
      <c r="C373" s="59" t="s">
        <v>18</v>
      </c>
      <c r="D373" s="60" t="s">
        <v>43</v>
      </c>
      <c r="E373" s="85">
        <v>297.892</v>
      </c>
      <c r="F373" s="85">
        <v>295.42700000000002</v>
      </c>
      <c r="G373" s="85">
        <v>323.51799999999997</v>
      </c>
      <c r="H373" s="85">
        <v>355.01600000000002</v>
      </c>
      <c r="I373" s="85">
        <v>344.04399999999998</v>
      </c>
      <c r="J373" s="85">
        <v>347.38900000000001</v>
      </c>
      <c r="K373" s="85">
        <v>360.17399999999998</v>
      </c>
      <c r="L373" s="85">
        <v>349.78500000000003</v>
      </c>
      <c r="M373" s="85">
        <v>374.61</v>
      </c>
      <c r="N373" s="85">
        <v>377.03</v>
      </c>
      <c r="O373" s="85">
        <v>336.23500000000001</v>
      </c>
      <c r="P373" s="85">
        <v>371.87599999999998</v>
      </c>
      <c r="Q373" s="46"/>
      <c r="R373" s="47"/>
      <c r="S373" s="47"/>
      <c r="T373" s="48"/>
      <c r="U373" s="48"/>
      <c r="V373" s="49"/>
      <c r="W373" s="50"/>
      <c r="X373" s="51"/>
      <c r="AD373" s="51"/>
    </row>
    <row r="374" spans="1:30" ht="61.5" customHeight="1">
      <c r="A374" s="158"/>
      <c r="B374" s="165"/>
      <c r="C374" s="59" t="s">
        <v>18</v>
      </c>
      <c r="D374" s="60" t="s">
        <v>44</v>
      </c>
      <c r="E374" s="85">
        <v>338.42899999999997</v>
      </c>
      <c r="F374" s="85">
        <v>356.423</v>
      </c>
      <c r="G374" s="85">
        <v>341.30700000000002</v>
      </c>
      <c r="H374" s="85">
        <v>365.25700000000001</v>
      </c>
      <c r="I374" s="85">
        <v>367.75</v>
      </c>
      <c r="J374" s="85">
        <v>365.209</v>
      </c>
      <c r="K374" s="85">
        <v>360.05099999999999</v>
      </c>
      <c r="L374" s="85">
        <v>332.52699999999999</v>
      </c>
      <c r="M374" s="85">
        <v>310.14699999999999</v>
      </c>
      <c r="N374" s="85">
        <v>319.35899999999998</v>
      </c>
      <c r="O374" s="85">
        <v>292.70499999999998</v>
      </c>
      <c r="P374" s="85">
        <v>323.70699999999999</v>
      </c>
      <c r="Q374" s="46"/>
      <c r="R374" s="47"/>
      <c r="S374" s="47"/>
      <c r="T374" s="48"/>
      <c r="U374" s="48"/>
      <c r="V374" s="49"/>
      <c r="W374" s="50"/>
      <c r="X374" s="51"/>
      <c r="AD374" s="51"/>
    </row>
    <row r="375" spans="1:30" ht="61.5" customHeight="1">
      <c r="A375" s="158"/>
      <c r="B375" s="98"/>
      <c r="C375" s="100"/>
      <c r="D375" s="101"/>
      <c r="E375" s="21"/>
      <c r="F375" s="21"/>
      <c r="G375" s="21"/>
      <c r="H375" s="20"/>
      <c r="I375" s="21"/>
      <c r="J375" s="21"/>
      <c r="K375" s="21"/>
      <c r="L375" s="21"/>
      <c r="M375" s="21"/>
      <c r="N375" s="21"/>
      <c r="O375" s="21"/>
      <c r="P375" s="21"/>
      <c r="Q375" s="46"/>
      <c r="R375" s="47"/>
      <c r="S375" s="47"/>
      <c r="T375" s="48"/>
      <c r="U375" s="48"/>
      <c r="V375" s="49"/>
      <c r="W375" s="50"/>
      <c r="X375" s="51"/>
      <c r="AD375" s="51"/>
    </row>
    <row r="376" spans="1:30" s="109" customFormat="1" ht="65.099999999999994" customHeight="1">
      <c r="A376" s="158"/>
      <c r="B376" s="163" t="s">
        <v>45</v>
      </c>
      <c r="C376" s="42"/>
      <c r="D376" s="43"/>
      <c r="E376" s="44"/>
      <c r="F376" s="44"/>
      <c r="G376" s="44"/>
      <c r="H376" s="45"/>
      <c r="I376" s="44"/>
      <c r="J376" s="44"/>
      <c r="K376" s="44"/>
      <c r="L376" s="44"/>
      <c r="M376" s="44"/>
      <c r="N376" s="44"/>
      <c r="O376" s="44"/>
      <c r="P376" s="44"/>
      <c r="Q376" s="43"/>
      <c r="R376" s="91"/>
      <c r="S376" s="47"/>
      <c r="T376" s="48"/>
      <c r="U376" s="48"/>
      <c r="V376" s="49"/>
      <c r="W376" s="49"/>
      <c r="X376" s="51"/>
      <c r="Y376" s="128"/>
      <c r="Z376" s="2"/>
    </row>
    <row r="377" spans="1:30" s="52" customFormat="1">
      <c r="A377" s="158"/>
      <c r="B377" s="164"/>
      <c r="C377" s="55"/>
      <c r="D377" s="4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114"/>
      <c r="R377" s="47"/>
      <c r="S377" s="47"/>
      <c r="T377" s="48"/>
      <c r="U377" s="48"/>
      <c r="V377" s="49"/>
      <c r="W377" s="49"/>
      <c r="X377" s="51"/>
      <c r="Y377" s="2"/>
      <c r="Z377" s="2"/>
      <c r="AB377" s="2"/>
    </row>
    <row r="378" spans="1:30" s="52" customFormat="1">
      <c r="A378" s="158"/>
      <c r="B378" s="164"/>
      <c r="C378" s="59" t="s">
        <v>18</v>
      </c>
      <c r="D378" s="60" t="s">
        <v>19</v>
      </c>
      <c r="E378" s="61">
        <v>208.01400000000001</v>
      </c>
      <c r="F378" s="61">
        <v>187.65799999999999</v>
      </c>
      <c r="G378" s="61">
        <v>183.02</v>
      </c>
      <c r="H378" s="61">
        <v>214.12299999999999</v>
      </c>
      <c r="I378" s="61">
        <v>198.43</v>
      </c>
      <c r="J378" s="61">
        <v>192.761</v>
      </c>
      <c r="K378" s="61">
        <v>175.25700000000001</v>
      </c>
      <c r="L378" s="61">
        <v>187.04300000000001</v>
      </c>
      <c r="M378" s="61">
        <v>210.792</v>
      </c>
      <c r="N378" s="61">
        <v>213.36500000000001</v>
      </c>
      <c r="O378" s="61">
        <v>193.999</v>
      </c>
      <c r="P378" s="61">
        <v>209.26300000000001</v>
      </c>
      <c r="Q378" s="114"/>
      <c r="R378" s="47"/>
      <c r="S378" s="47"/>
      <c r="T378" s="48"/>
      <c r="U378" s="48"/>
      <c r="V378" s="49"/>
      <c r="W378" s="49"/>
      <c r="X378" s="51"/>
      <c r="Y378" s="2"/>
      <c r="Z378" s="2"/>
      <c r="AB378" s="2"/>
    </row>
    <row r="379" spans="1:30" s="52" customFormat="1">
      <c r="A379" s="158"/>
      <c r="B379" s="164"/>
      <c r="C379" s="59" t="s">
        <v>18</v>
      </c>
      <c r="D379" s="60" t="s">
        <v>20</v>
      </c>
      <c r="E379" s="61">
        <v>191.12200000000001</v>
      </c>
      <c r="F379" s="61">
        <v>207.15100000000001</v>
      </c>
      <c r="G379" s="61">
        <v>223.86</v>
      </c>
      <c r="H379" s="61">
        <v>217.60300000000001</v>
      </c>
      <c r="I379" s="61">
        <v>226.10400000000001</v>
      </c>
      <c r="J379" s="61">
        <v>194.392</v>
      </c>
      <c r="K379" s="61">
        <v>212.292</v>
      </c>
      <c r="L379" s="61">
        <v>208.87200000000001</v>
      </c>
      <c r="M379" s="61">
        <v>186.88300000000001</v>
      </c>
      <c r="N379" s="61">
        <v>215.81299999999999</v>
      </c>
      <c r="O379" s="61">
        <v>189.482</v>
      </c>
      <c r="P379" s="61">
        <v>230.01900000000001</v>
      </c>
      <c r="Q379" s="114"/>
      <c r="R379" s="47"/>
      <c r="S379" s="47"/>
      <c r="T379" s="48"/>
      <c r="U379" s="48"/>
      <c r="V379" s="49"/>
      <c r="W379" s="49"/>
      <c r="X379" s="51"/>
      <c r="Y379" s="2"/>
      <c r="Z379" s="2"/>
      <c r="AB379" s="2"/>
    </row>
    <row r="380" spans="1:30" ht="46.35" customHeight="1">
      <c r="A380" s="158"/>
      <c r="B380" s="164"/>
      <c r="C380" s="59" t="s">
        <v>18</v>
      </c>
      <c r="D380" s="60" t="s">
        <v>21</v>
      </c>
      <c r="E380" s="61">
        <v>220.88300000000001</v>
      </c>
      <c r="F380" s="61">
        <v>218.58699999999999</v>
      </c>
      <c r="G380" s="61">
        <v>217.184</v>
      </c>
      <c r="H380" s="61">
        <v>223.11199999999999</v>
      </c>
      <c r="I380" s="61">
        <v>213.13</v>
      </c>
      <c r="J380" s="61">
        <v>203.94800000000001</v>
      </c>
      <c r="K380" s="61">
        <v>203.55600000000001</v>
      </c>
      <c r="L380" s="61">
        <v>222.01499999999999</v>
      </c>
      <c r="M380" s="61">
        <v>231.309</v>
      </c>
      <c r="N380" s="61">
        <v>224.084</v>
      </c>
      <c r="O380" s="61">
        <v>207.12799999999999</v>
      </c>
      <c r="P380" s="61">
        <v>185.072</v>
      </c>
      <c r="Q380" s="115"/>
      <c r="R380" s="64"/>
      <c r="S380" s="64"/>
      <c r="T380" s="65"/>
      <c r="U380" s="65"/>
      <c r="V380" s="49"/>
      <c r="W380" s="49"/>
      <c r="X380" s="66"/>
      <c r="AB380" s="6"/>
    </row>
    <row r="381" spans="1:30" s="52" customFormat="1" ht="46.35" customHeight="1">
      <c r="A381" s="158"/>
      <c r="B381" s="164"/>
      <c r="C381" s="59" t="s">
        <v>18</v>
      </c>
      <c r="D381" s="60" t="s">
        <v>22</v>
      </c>
      <c r="E381" s="61">
        <v>219.90299999999999</v>
      </c>
      <c r="F381" s="61">
        <v>235.18299999999999</v>
      </c>
      <c r="G381" s="61">
        <v>203.46299999999999</v>
      </c>
      <c r="H381" s="61">
        <v>181.04</v>
      </c>
      <c r="I381" s="61">
        <v>225.16399999999999</v>
      </c>
      <c r="J381" s="61">
        <v>215.51900000000001</v>
      </c>
      <c r="K381" s="61">
        <v>217.97300000000001</v>
      </c>
      <c r="L381" s="61">
        <v>213.18799999999999</v>
      </c>
      <c r="M381" s="61">
        <v>184.25299999999999</v>
      </c>
      <c r="N381" s="61">
        <v>228.32300000000001</v>
      </c>
      <c r="O381" s="61">
        <v>203.59299999999999</v>
      </c>
      <c r="P381" s="61">
        <v>240.07300000000001</v>
      </c>
      <c r="Q381" s="114"/>
      <c r="R381" s="47"/>
      <c r="S381" s="47"/>
      <c r="T381" s="48"/>
      <c r="U381" s="48"/>
      <c r="V381" s="49"/>
      <c r="W381" s="49"/>
      <c r="X381" s="51"/>
      <c r="Y381" s="2"/>
      <c r="Z381" s="2"/>
      <c r="AB381" s="2"/>
    </row>
    <row r="382" spans="1:30" s="52" customFormat="1" ht="46.35" customHeight="1">
      <c r="A382" s="158"/>
      <c r="B382" s="164"/>
      <c r="C382" s="59" t="s">
        <v>18</v>
      </c>
      <c r="D382" s="60" t="str">
        <f>+D353</f>
        <v>2021-22</v>
      </c>
      <c r="E382" s="61">
        <v>214.01499999999999</v>
      </c>
      <c r="F382" s="61">
        <v>209.61099999999999</v>
      </c>
      <c r="G382" s="61">
        <v>167.10900000000001</v>
      </c>
      <c r="H382" s="61">
        <v>204.99100000000001</v>
      </c>
      <c r="I382" s="61">
        <v>188.17</v>
      </c>
      <c r="J382" s="61">
        <v>195.376</v>
      </c>
      <c r="K382" s="61">
        <v>209.60300000000001</v>
      </c>
      <c r="L382" s="61">
        <v>203.47399999999999</v>
      </c>
      <c r="M382" s="61">
        <v>215.07</v>
      </c>
      <c r="N382" s="61">
        <v>223.071</v>
      </c>
      <c r="O382" s="61">
        <v>173.273</v>
      </c>
      <c r="P382" s="61">
        <v>235.01400000000001</v>
      </c>
      <c r="Q382" s="114"/>
      <c r="R382" s="47"/>
      <c r="S382" s="47"/>
      <c r="T382" s="48"/>
      <c r="U382" s="48"/>
      <c r="V382" s="49"/>
      <c r="W382" s="49"/>
      <c r="X382" s="51"/>
      <c r="Y382" s="2"/>
      <c r="Z382" s="2"/>
      <c r="AB382" s="2"/>
    </row>
    <row r="383" spans="1:30" ht="46.35" customHeight="1">
      <c r="A383" s="158"/>
      <c r="B383" s="164"/>
      <c r="C383" s="59" t="s">
        <v>18</v>
      </c>
      <c r="D383" s="60" t="str">
        <f>+D354</f>
        <v>2020-21</v>
      </c>
      <c r="E383" s="61">
        <v>119.017</v>
      </c>
      <c r="F383" s="61">
        <v>120.157</v>
      </c>
      <c r="G383" s="61">
        <v>137.71899999999999</v>
      </c>
      <c r="H383" s="61">
        <v>190.03100000000001</v>
      </c>
      <c r="I383" s="61">
        <v>214.06700000000001</v>
      </c>
      <c r="J383" s="61">
        <v>206.53899999999999</v>
      </c>
      <c r="K383" s="61">
        <v>218.09200000000001</v>
      </c>
      <c r="L383" s="61">
        <v>213.131</v>
      </c>
      <c r="M383" s="61">
        <v>215.65799999999999</v>
      </c>
      <c r="N383" s="61">
        <v>220.11600000000001</v>
      </c>
      <c r="O383" s="61">
        <v>200.071</v>
      </c>
      <c r="P383" s="61">
        <v>216.66399999999999</v>
      </c>
      <c r="Q383" s="115"/>
      <c r="R383" s="64"/>
      <c r="S383" s="64"/>
      <c r="T383" s="65"/>
      <c r="U383" s="65"/>
      <c r="V383" s="49"/>
      <c r="W383" s="49"/>
      <c r="X383" s="66"/>
      <c r="Y383" s="49"/>
      <c r="Z383" s="49"/>
      <c r="AB383" s="49"/>
    </row>
    <row r="384" spans="1:30" ht="46.35" customHeight="1">
      <c r="A384" s="158"/>
      <c r="B384" s="164"/>
      <c r="C384" s="59" t="str">
        <f>+C355</f>
        <v>Actual</v>
      </c>
      <c r="D384" s="59" t="str">
        <f>+D355</f>
        <v>2019-20</v>
      </c>
      <c r="E384" s="61">
        <v>178.89</v>
      </c>
      <c r="F384" s="61">
        <v>206.881</v>
      </c>
      <c r="G384" s="61">
        <v>193.09100000000001</v>
      </c>
      <c r="H384" s="61">
        <v>217.65</v>
      </c>
      <c r="I384" s="61">
        <v>213.60499999999999</v>
      </c>
      <c r="J384" s="61">
        <v>167.48099999999999</v>
      </c>
      <c r="K384" s="61">
        <v>175.16499999999999</v>
      </c>
      <c r="L384" s="61">
        <v>208.07</v>
      </c>
      <c r="M384" s="61">
        <v>225.53700000000001</v>
      </c>
      <c r="N384" s="61">
        <v>217.06200000000001</v>
      </c>
      <c r="O384" s="61">
        <v>206.625</v>
      </c>
      <c r="P384" s="61">
        <v>193.22900000000001</v>
      </c>
      <c r="Q384" s="115"/>
      <c r="R384" s="64"/>
      <c r="S384" s="64"/>
      <c r="T384" s="65"/>
      <c r="U384" s="65"/>
      <c r="V384" s="49"/>
      <c r="W384" s="49"/>
      <c r="X384" s="66"/>
    </row>
    <row r="385" spans="1:26" s="25" customFormat="1" ht="46.35" customHeight="1">
      <c r="A385" s="158"/>
      <c r="B385" s="164"/>
      <c r="C385" s="102" t="s">
        <v>18</v>
      </c>
      <c r="D385" s="103" t="s">
        <v>26</v>
      </c>
      <c r="E385" s="61">
        <v>192.55</v>
      </c>
      <c r="F385" s="61">
        <v>211.41499999999999</v>
      </c>
      <c r="G385" s="61">
        <v>217</v>
      </c>
      <c r="H385" s="61">
        <v>212.88</v>
      </c>
      <c r="I385" s="61">
        <v>213.37799999999999</v>
      </c>
      <c r="J385" s="61">
        <v>187.536</v>
      </c>
      <c r="K385" s="61">
        <v>225.143</v>
      </c>
      <c r="L385" s="61">
        <v>217.04599999999999</v>
      </c>
      <c r="M385" s="61">
        <v>218.28</v>
      </c>
      <c r="N385" s="61">
        <v>207.31</v>
      </c>
      <c r="O385" s="61">
        <v>193.25</v>
      </c>
      <c r="P385" s="61">
        <v>219.28</v>
      </c>
      <c r="Q385" s="116"/>
      <c r="R385" s="117"/>
      <c r="S385" s="64"/>
      <c r="T385" s="65"/>
      <c r="U385" s="65"/>
      <c r="V385" s="49"/>
      <c r="W385" s="49"/>
      <c r="X385" s="66"/>
      <c r="Y385" s="27"/>
      <c r="Z385" s="27"/>
    </row>
    <row r="386" spans="1:26" ht="46.35" customHeight="1">
      <c r="A386" s="158"/>
      <c r="B386" s="164"/>
      <c r="C386" s="59" t="s">
        <v>18</v>
      </c>
      <c r="D386" s="60" t="s">
        <v>27</v>
      </c>
      <c r="E386" s="61">
        <v>137.68</v>
      </c>
      <c r="F386" s="61">
        <v>138.4</v>
      </c>
      <c r="G386" s="61">
        <v>175.04300000000001</v>
      </c>
      <c r="H386" s="61">
        <v>205.40100000000001</v>
      </c>
      <c r="I386" s="61">
        <v>211.77600000000001</v>
      </c>
      <c r="J386" s="61">
        <v>201.93</v>
      </c>
      <c r="K386" s="61">
        <v>202.28700000000001</v>
      </c>
      <c r="L386" s="61">
        <v>194.26</v>
      </c>
      <c r="M386" s="61">
        <v>196.16</v>
      </c>
      <c r="N386" s="61">
        <v>185.55500000000001</v>
      </c>
      <c r="O386" s="61">
        <v>205.505</v>
      </c>
      <c r="P386" s="61">
        <v>228.185</v>
      </c>
      <c r="Q386" s="60"/>
      <c r="R386" s="64"/>
      <c r="S386" s="64"/>
      <c r="T386" s="65"/>
      <c r="U386" s="65"/>
      <c r="V386" s="49"/>
      <c r="W386" s="49"/>
      <c r="X386" s="66"/>
    </row>
    <row r="387" spans="1:26" ht="46.35" customHeight="1">
      <c r="A387" s="158"/>
      <c r="B387" s="164"/>
      <c r="C387" s="59" t="s">
        <v>18</v>
      </c>
      <c r="D387" s="60" t="s">
        <v>28</v>
      </c>
      <c r="E387" s="61">
        <v>204.43</v>
      </c>
      <c r="F387" s="61">
        <v>190.06700000000001</v>
      </c>
      <c r="G387" s="61">
        <v>206.86600000000001</v>
      </c>
      <c r="H387" s="61">
        <v>204.73599999999999</v>
      </c>
      <c r="I387" s="61">
        <v>198.143</v>
      </c>
      <c r="J387" s="61">
        <v>197.09</v>
      </c>
      <c r="K387" s="61">
        <v>206.10499999999999</v>
      </c>
      <c r="L387" s="61">
        <v>200.05799999999999</v>
      </c>
      <c r="M387" s="61">
        <v>202.363</v>
      </c>
      <c r="N387" s="61">
        <v>212.07499999999999</v>
      </c>
      <c r="O387" s="61">
        <v>160.34</v>
      </c>
      <c r="P387" s="61">
        <v>135.733</v>
      </c>
      <c r="Q387" s="60"/>
      <c r="R387" s="64"/>
      <c r="S387" s="64"/>
      <c r="T387" s="65"/>
      <c r="U387" s="65"/>
      <c r="V387" s="49"/>
      <c r="W387" s="49"/>
      <c r="X387" s="66"/>
    </row>
    <row r="388" spans="1:26" ht="46.35" customHeight="1">
      <c r="A388" s="158"/>
      <c r="B388" s="164"/>
      <c r="C388" s="59" t="s">
        <v>18</v>
      </c>
      <c r="D388" s="60" t="s">
        <v>29</v>
      </c>
      <c r="E388" s="76">
        <v>196.53700000000001</v>
      </c>
      <c r="F388" s="76">
        <v>170.185</v>
      </c>
      <c r="G388" s="76">
        <v>184.989</v>
      </c>
      <c r="H388" s="76">
        <v>186.10499999999999</v>
      </c>
      <c r="I388" s="76">
        <v>145.02699999999999</v>
      </c>
      <c r="J388" s="76">
        <v>148.47999999999999</v>
      </c>
      <c r="K388" s="76">
        <v>158.08600000000001</v>
      </c>
      <c r="L388" s="76">
        <v>200.38300000000001</v>
      </c>
      <c r="M388" s="76">
        <v>210.69499999999999</v>
      </c>
      <c r="N388" s="76">
        <v>178.57</v>
      </c>
      <c r="O388" s="76">
        <v>175.42599999999999</v>
      </c>
      <c r="P388" s="76">
        <v>216.01499999999999</v>
      </c>
      <c r="Q388" s="60"/>
      <c r="R388" s="64"/>
      <c r="S388" s="64"/>
      <c r="T388" s="65"/>
      <c r="U388" s="65"/>
      <c r="V388" s="49"/>
      <c r="W388" s="49"/>
      <c r="X388" s="66"/>
    </row>
    <row r="389" spans="1:26" ht="61.5" customHeight="1">
      <c r="A389" s="158"/>
      <c r="B389" s="164"/>
      <c r="C389" s="59" t="s">
        <v>18</v>
      </c>
      <c r="D389" s="60" t="s">
        <v>30</v>
      </c>
      <c r="E389" s="61">
        <v>151.53200000000001</v>
      </c>
      <c r="F389" s="61">
        <v>183.208</v>
      </c>
      <c r="G389" s="61">
        <v>185.00700000000001</v>
      </c>
      <c r="H389" s="61">
        <v>200.08199999999999</v>
      </c>
      <c r="I389" s="61">
        <v>194.78700000000001</v>
      </c>
      <c r="J389" s="61">
        <v>191.268</v>
      </c>
      <c r="K389" s="61">
        <v>195.01400000000001</v>
      </c>
      <c r="L389" s="61">
        <v>195.96700000000001</v>
      </c>
      <c r="M389" s="61">
        <v>196.517</v>
      </c>
      <c r="N389" s="61">
        <v>197.059</v>
      </c>
      <c r="O389" s="61">
        <v>197.10599999999999</v>
      </c>
      <c r="P389" s="61">
        <v>209.16</v>
      </c>
      <c r="Q389" s="60"/>
      <c r="R389" s="64"/>
      <c r="S389" s="64"/>
      <c r="T389" s="65"/>
      <c r="U389" s="65"/>
      <c r="V389" s="49"/>
      <c r="W389" s="49"/>
      <c r="X389" s="66"/>
    </row>
    <row r="390" spans="1:26" ht="61.5" customHeight="1">
      <c r="A390" s="158"/>
      <c r="B390" s="164"/>
      <c r="C390" s="59" t="s">
        <v>18</v>
      </c>
      <c r="D390" s="78" t="s">
        <v>31</v>
      </c>
      <c r="E390" s="61">
        <v>192.17500000000001</v>
      </c>
      <c r="F390" s="61">
        <v>183.05500000000001</v>
      </c>
      <c r="G390" s="61">
        <v>188.358</v>
      </c>
      <c r="H390" s="61">
        <v>195.00399999999999</v>
      </c>
      <c r="I390" s="61">
        <v>190.05799999999999</v>
      </c>
      <c r="J390" s="61">
        <v>187.8</v>
      </c>
      <c r="K390" s="61">
        <v>181.142</v>
      </c>
      <c r="L390" s="61">
        <v>185.024</v>
      </c>
      <c r="M390" s="61">
        <v>199.74799999999999</v>
      </c>
      <c r="N390" s="61">
        <v>198.33699999999999</v>
      </c>
      <c r="O390" s="61">
        <v>149.84100000000001</v>
      </c>
      <c r="P390" s="61">
        <v>140.14400000000001</v>
      </c>
      <c r="Q390" s="60"/>
      <c r="R390" s="64"/>
      <c r="S390" s="64"/>
      <c r="T390" s="65"/>
      <c r="U390" s="65"/>
      <c r="V390" s="49"/>
      <c r="W390" s="49"/>
      <c r="X390" s="66"/>
    </row>
    <row r="391" spans="1:26" ht="61.5" customHeight="1">
      <c r="A391" s="158"/>
      <c r="B391" s="164"/>
      <c r="C391" s="59" t="s">
        <v>18</v>
      </c>
      <c r="D391" s="60" t="s">
        <v>32</v>
      </c>
      <c r="E391" s="61">
        <v>185.09200000000001</v>
      </c>
      <c r="F391" s="61">
        <v>164.80699999999999</v>
      </c>
      <c r="G391" s="61">
        <v>185.03700000000001</v>
      </c>
      <c r="H391" s="61">
        <v>182.309</v>
      </c>
      <c r="I391" s="61">
        <v>192.95599999999999</v>
      </c>
      <c r="J391" s="61">
        <v>186.04900000000001</v>
      </c>
      <c r="K391" s="61">
        <v>198.661</v>
      </c>
      <c r="L391" s="61">
        <v>190.446</v>
      </c>
      <c r="M391" s="61">
        <v>161.27199999999999</v>
      </c>
      <c r="N391" s="61">
        <v>204.02</v>
      </c>
      <c r="O391" s="61">
        <v>190.32900000000001</v>
      </c>
      <c r="P391" s="61">
        <v>200.536</v>
      </c>
      <c r="Q391" s="60"/>
      <c r="R391" s="64"/>
      <c r="S391" s="64"/>
      <c r="T391" s="65"/>
      <c r="U391" s="65"/>
      <c r="V391" s="49"/>
      <c r="W391" s="49"/>
      <c r="X391" s="66"/>
    </row>
    <row r="392" spans="1:26" ht="61.5" customHeight="1">
      <c r="A392" s="158"/>
      <c r="B392" s="164"/>
      <c r="C392" s="59" t="s">
        <v>18</v>
      </c>
      <c r="D392" s="60" t="s">
        <v>33</v>
      </c>
      <c r="E392" s="61">
        <v>181.505</v>
      </c>
      <c r="F392" s="61">
        <v>184.73099999999999</v>
      </c>
      <c r="G392" s="61">
        <v>171.268</v>
      </c>
      <c r="H392" s="61">
        <v>172.59100000000001</v>
      </c>
      <c r="I392" s="61">
        <v>160.31</v>
      </c>
      <c r="J392" s="61">
        <v>152.667</v>
      </c>
      <c r="K392" s="61">
        <v>168.61099999999999</v>
      </c>
      <c r="L392" s="61">
        <v>158.09700000000001</v>
      </c>
      <c r="M392" s="61">
        <v>190.488</v>
      </c>
      <c r="N392" s="61">
        <v>190.011</v>
      </c>
      <c r="O392" s="61">
        <v>170.99199999999999</v>
      </c>
      <c r="P392" s="61">
        <v>198.02799999999999</v>
      </c>
      <c r="Q392" s="60"/>
      <c r="R392" s="47"/>
      <c r="S392" s="47"/>
      <c r="T392" s="48"/>
      <c r="U392" s="48"/>
      <c r="V392" s="49"/>
      <c r="W392" s="50"/>
      <c r="X392" s="51"/>
    </row>
    <row r="393" spans="1:26" ht="61.5" customHeight="1">
      <c r="A393" s="158"/>
      <c r="B393" s="164"/>
      <c r="C393" s="59" t="s">
        <v>18</v>
      </c>
      <c r="D393" s="60" t="s">
        <v>34</v>
      </c>
      <c r="E393" s="61">
        <v>178.01</v>
      </c>
      <c r="F393" s="61">
        <v>177.233</v>
      </c>
      <c r="G393" s="61">
        <v>166.57300000000001</v>
      </c>
      <c r="H393" s="61">
        <v>173.39</v>
      </c>
      <c r="I393" s="61">
        <v>181.107</v>
      </c>
      <c r="J393" s="61">
        <v>159.54300000000001</v>
      </c>
      <c r="K393" s="61">
        <v>198.46700000000001</v>
      </c>
      <c r="L393" s="61">
        <v>190.05199999999999</v>
      </c>
      <c r="M393" s="61">
        <v>195.012</v>
      </c>
      <c r="N393" s="61">
        <v>186.065</v>
      </c>
      <c r="O393" s="61">
        <v>136.34700000000001</v>
      </c>
      <c r="P393" s="61">
        <v>200.91200000000001</v>
      </c>
      <c r="Q393" s="60"/>
      <c r="R393" s="47"/>
      <c r="S393" s="47"/>
      <c r="T393" s="48"/>
      <c r="U393" s="48"/>
      <c r="V393" s="49"/>
      <c r="W393" s="50"/>
      <c r="X393" s="51"/>
    </row>
    <row r="394" spans="1:26" ht="61.5" customHeight="1">
      <c r="A394" s="158"/>
      <c r="B394" s="164"/>
      <c r="C394" s="59" t="s">
        <v>18</v>
      </c>
      <c r="D394" s="60" t="s">
        <v>35</v>
      </c>
      <c r="E394" s="61">
        <v>153.50200000000001</v>
      </c>
      <c r="F394" s="61">
        <v>176.14400000000001</v>
      </c>
      <c r="G394" s="61">
        <v>185.70699999999999</v>
      </c>
      <c r="H394" s="61">
        <v>184.32</v>
      </c>
      <c r="I394" s="61">
        <v>191.02199999999999</v>
      </c>
      <c r="J394" s="61">
        <v>172.12</v>
      </c>
      <c r="K394" s="61">
        <v>187.834</v>
      </c>
      <c r="L394" s="61">
        <v>179.249</v>
      </c>
      <c r="M394" s="61">
        <v>192.774</v>
      </c>
      <c r="N394" s="61">
        <v>187.39</v>
      </c>
      <c r="O394" s="61">
        <v>171.863</v>
      </c>
      <c r="P394" s="61">
        <v>192.02799999999999</v>
      </c>
      <c r="Q394" s="60"/>
      <c r="R394" s="47"/>
      <c r="S394" s="47"/>
      <c r="T394" s="48"/>
      <c r="U394" s="48"/>
      <c r="V394" s="49"/>
      <c r="W394" s="50"/>
      <c r="X394" s="51"/>
    </row>
    <row r="395" spans="1:26" ht="61.5" customHeight="1">
      <c r="A395" s="158"/>
      <c r="B395" s="164"/>
      <c r="C395" s="59" t="s">
        <v>18</v>
      </c>
      <c r="D395" s="60" t="s">
        <v>36</v>
      </c>
      <c r="E395" s="61">
        <v>182.14099999999999</v>
      </c>
      <c r="F395" s="61">
        <v>184.535</v>
      </c>
      <c r="G395" s="61">
        <v>176.804</v>
      </c>
      <c r="H395" s="61">
        <v>166.83500000000001</v>
      </c>
      <c r="I395" s="61">
        <v>187.56</v>
      </c>
      <c r="J395" s="61">
        <v>185.012</v>
      </c>
      <c r="K395" s="61">
        <v>190.803</v>
      </c>
      <c r="L395" s="61">
        <v>165.4</v>
      </c>
      <c r="M395" s="61">
        <v>168.01</v>
      </c>
      <c r="N395" s="61">
        <v>174.262</v>
      </c>
      <c r="O395" s="61">
        <v>154.4</v>
      </c>
      <c r="P395" s="61">
        <v>175.36500000000001</v>
      </c>
      <c r="Q395" s="81"/>
      <c r="R395" s="47"/>
      <c r="S395" s="47"/>
      <c r="T395" s="48"/>
      <c r="U395" s="48"/>
      <c r="V395" s="49"/>
      <c r="W395" s="50"/>
      <c r="X395" s="51"/>
    </row>
    <row r="396" spans="1:26" ht="61.5" customHeight="1">
      <c r="A396" s="158"/>
      <c r="B396" s="164"/>
      <c r="C396" s="59" t="s">
        <v>18</v>
      </c>
      <c r="D396" s="60" t="s">
        <v>37</v>
      </c>
      <c r="E396" s="85">
        <v>196.03899999999999</v>
      </c>
      <c r="F396" s="85">
        <v>193.00200000000001</v>
      </c>
      <c r="G396" s="85">
        <v>191.03</v>
      </c>
      <c r="H396" s="85">
        <v>172.00700000000001</v>
      </c>
      <c r="I396" s="85">
        <v>174.113</v>
      </c>
      <c r="J396" s="85">
        <v>169.411</v>
      </c>
      <c r="K396" s="85">
        <v>172.41900000000001</v>
      </c>
      <c r="L396" s="85">
        <v>185.00200000000001</v>
      </c>
      <c r="M396" s="85">
        <v>167.036</v>
      </c>
      <c r="N396" s="85">
        <v>190.00700000000001</v>
      </c>
      <c r="O396" s="85">
        <v>180.251</v>
      </c>
      <c r="P396" s="85">
        <v>196.00399999999999</v>
      </c>
      <c r="Q396" s="46"/>
      <c r="R396" s="47"/>
      <c r="S396" s="47"/>
      <c r="T396" s="48"/>
      <c r="U396" s="48"/>
      <c r="V396" s="49"/>
      <c r="W396" s="50"/>
      <c r="X396" s="51"/>
    </row>
    <row r="397" spans="1:26" ht="61.5" customHeight="1">
      <c r="A397" s="158"/>
      <c r="B397" s="164"/>
      <c r="C397" s="59" t="s">
        <v>18</v>
      </c>
      <c r="D397" s="60" t="s">
        <v>38</v>
      </c>
      <c r="E397" s="85">
        <v>138.321</v>
      </c>
      <c r="F397" s="85">
        <v>173.31399999999999</v>
      </c>
      <c r="G397" s="85">
        <v>167.02</v>
      </c>
      <c r="H397" s="85">
        <v>143.43</v>
      </c>
      <c r="I397" s="85">
        <v>124.002</v>
      </c>
      <c r="J397" s="85">
        <v>132.50200000000001</v>
      </c>
      <c r="K397" s="85">
        <v>189.00399999999999</v>
      </c>
      <c r="L397" s="85">
        <v>194.11699999999999</v>
      </c>
      <c r="M397" s="85">
        <v>198.09</v>
      </c>
      <c r="N397" s="85">
        <v>191.001</v>
      </c>
      <c r="O397" s="85">
        <v>193.5</v>
      </c>
      <c r="P397" s="85">
        <v>219.5</v>
      </c>
      <c r="Q397" s="46"/>
      <c r="R397" s="47"/>
      <c r="S397" s="47"/>
      <c r="T397" s="48"/>
      <c r="U397" s="48"/>
      <c r="V397" s="49"/>
      <c r="W397" s="50"/>
      <c r="X397" s="51"/>
    </row>
    <row r="398" spans="1:26" ht="61.5" customHeight="1">
      <c r="A398" s="158"/>
      <c r="B398" s="164"/>
      <c r="C398" s="59" t="s">
        <v>18</v>
      </c>
      <c r="D398" s="60" t="s">
        <v>39</v>
      </c>
      <c r="E398" s="85">
        <v>166.34399999999999</v>
      </c>
      <c r="F398" s="85">
        <v>174.1</v>
      </c>
      <c r="G398" s="85">
        <v>142.00299999999999</v>
      </c>
      <c r="H398" s="85">
        <v>141.05500000000001</v>
      </c>
      <c r="I398" s="85">
        <v>159.63999999999999</v>
      </c>
      <c r="J398" s="85">
        <v>156.15299999999999</v>
      </c>
      <c r="K398" s="85">
        <v>166.262</v>
      </c>
      <c r="L398" s="85">
        <v>170.50700000000001</v>
      </c>
      <c r="M398" s="85">
        <v>176.12</v>
      </c>
      <c r="N398" s="85">
        <v>174.119</v>
      </c>
      <c r="O398" s="85">
        <v>161.678</v>
      </c>
      <c r="P398" s="85">
        <v>165.02199999999999</v>
      </c>
      <c r="Q398" s="46"/>
      <c r="R398" s="47"/>
      <c r="S398" s="47"/>
      <c r="T398" s="48"/>
      <c r="U398" s="48"/>
      <c r="V398" s="49"/>
      <c r="W398" s="50"/>
      <c r="X398" s="51"/>
    </row>
    <row r="399" spans="1:26" ht="61.5" customHeight="1">
      <c r="A399" s="158"/>
      <c r="B399" s="164"/>
      <c r="C399" s="59" t="s">
        <v>18</v>
      </c>
      <c r="D399" s="60" t="s">
        <v>40</v>
      </c>
      <c r="E399" s="85">
        <v>131.50200000000001</v>
      </c>
      <c r="F399" s="85">
        <v>150.06899999999999</v>
      </c>
      <c r="G399" s="85">
        <v>157.18100000000001</v>
      </c>
      <c r="H399" s="85">
        <v>163.006</v>
      </c>
      <c r="I399" s="85">
        <v>162.01599999999999</v>
      </c>
      <c r="J399" s="85">
        <v>167.00700000000001</v>
      </c>
      <c r="K399" s="85">
        <v>180.11</v>
      </c>
      <c r="L399" s="85">
        <v>181.08799999999999</v>
      </c>
      <c r="M399" s="85">
        <v>185.107</v>
      </c>
      <c r="N399" s="85">
        <v>186.14699999999999</v>
      </c>
      <c r="O399" s="85">
        <v>171.619</v>
      </c>
      <c r="P399" s="85">
        <v>182.06800000000001</v>
      </c>
      <c r="Q399" s="46"/>
      <c r="R399" s="47"/>
      <c r="S399" s="47"/>
      <c r="T399" s="48"/>
      <c r="U399" s="48"/>
      <c r="V399" s="49"/>
      <c r="W399" s="50"/>
      <c r="X399" s="51"/>
    </row>
    <row r="400" spans="1:26" ht="61.5" customHeight="1">
      <c r="A400" s="158"/>
      <c r="B400" s="164"/>
      <c r="C400" s="59" t="s">
        <v>18</v>
      </c>
      <c r="D400" s="60" t="s">
        <v>41</v>
      </c>
      <c r="E400" s="85">
        <v>169.458</v>
      </c>
      <c r="F400" s="85">
        <v>170.53399999999999</v>
      </c>
      <c r="G400" s="85">
        <v>147.80099999999999</v>
      </c>
      <c r="H400" s="85">
        <v>135.41999999999999</v>
      </c>
      <c r="I400" s="85">
        <v>136.16200000000001</v>
      </c>
      <c r="J400" s="85">
        <v>183.05600000000001</v>
      </c>
      <c r="K400" s="85">
        <v>180.041</v>
      </c>
      <c r="L400" s="85">
        <v>170.494</v>
      </c>
      <c r="M400" s="85">
        <v>181.00200000000001</v>
      </c>
      <c r="N400" s="85">
        <v>190.50299999999999</v>
      </c>
      <c r="O400" s="85">
        <v>172.57</v>
      </c>
      <c r="P400" s="85">
        <v>145.24</v>
      </c>
      <c r="Q400" s="46"/>
      <c r="R400" s="47"/>
      <c r="S400" s="47"/>
      <c r="T400" s="48"/>
      <c r="U400" s="48"/>
      <c r="V400" s="49"/>
      <c r="W400" s="50"/>
      <c r="X400" s="51"/>
    </row>
    <row r="401" spans="1:28" ht="61.5" customHeight="1">
      <c r="A401" s="158"/>
      <c r="B401" s="164"/>
      <c r="C401" s="59" t="s">
        <v>18</v>
      </c>
      <c r="D401" s="60" t="s">
        <v>42</v>
      </c>
      <c r="E401" s="85">
        <v>147.309</v>
      </c>
      <c r="F401" s="85">
        <v>163.06299999999999</v>
      </c>
      <c r="G401" s="85">
        <v>145.446</v>
      </c>
      <c r="H401" s="85">
        <v>134.38</v>
      </c>
      <c r="I401" s="85">
        <v>156.00800000000001</v>
      </c>
      <c r="J401" s="85">
        <v>134.52099999999999</v>
      </c>
      <c r="K401" s="85">
        <v>173.608</v>
      </c>
      <c r="L401" s="85">
        <v>167.047</v>
      </c>
      <c r="M401" s="85">
        <v>179.06899999999999</v>
      </c>
      <c r="N401" s="85">
        <v>180.09399999999999</v>
      </c>
      <c r="O401" s="85">
        <v>171.38800000000001</v>
      </c>
      <c r="P401" s="85">
        <v>188.21600000000001</v>
      </c>
      <c r="Q401" s="46"/>
      <c r="R401" s="47"/>
      <c r="S401" s="47"/>
      <c r="T401" s="48"/>
      <c r="U401" s="48"/>
      <c r="V401" s="49"/>
      <c r="W401" s="50"/>
      <c r="X401" s="51"/>
    </row>
    <row r="402" spans="1:28" ht="61.5" customHeight="1">
      <c r="A402" s="158"/>
      <c r="B402" s="164"/>
      <c r="C402" s="59" t="s">
        <v>18</v>
      </c>
      <c r="D402" s="60" t="s">
        <v>43</v>
      </c>
      <c r="E402" s="85">
        <v>158.029</v>
      </c>
      <c r="F402" s="85">
        <v>161.03200000000001</v>
      </c>
      <c r="G402" s="85">
        <v>143.643</v>
      </c>
      <c r="H402" s="85">
        <v>157.00399999999999</v>
      </c>
      <c r="I402" s="85">
        <v>150.01</v>
      </c>
      <c r="J402" s="85">
        <v>146.11099999999999</v>
      </c>
      <c r="K402" s="85">
        <v>147.00700000000001</v>
      </c>
      <c r="L402" s="85">
        <v>142.453</v>
      </c>
      <c r="M402" s="85">
        <v>146.09700000000001</v>
      </c>
      <c r="N402" s="85">
        <v>163.12100000000001</v>
      </c>
      <c r="O402" s="85">
        <v>155.214</v>
      </c>
      <c r="P402" s="85">
        <v>173.51300000000001</v>
      </c>
      <c r="Q402" s="46"/>
      <c r="R402" s="47"/>
      <c r="S402" s="47"/>
      <c r="T402" s="48"/>
      <c r="U402" s="48"/>
      <c r="V402" s="49"/>
      <c r="W402" s="50"/>
      <c r="X402" s="51"/>
    </row>
    <row r="403" spans="1:28" ht="61.5" customHeight="1">
      <c r="A403" s="158"/>
      <c r="B403" s="165"/>
      <c r="C403" s="59" t="s">
        <v>18</v>
      </c>
      <c r="D403" s="60" t="s">
        <v>44</v>
      </c>
      <c r="E403" s="85">
        <v>141.35400000000001</v>
      </c>
      <c r="F403" s="85">
        <v>153.12200000000001</v>
      </c>
      <c r="G403" s="85">
        <v>113.018</v>
      </c>
      <c r="H403" s="85">
        <v>143.256</v>
      </c>
      <c r="I403" s="85">
        <v>156.005</v>
      </c>
      <c r="J403" s="85">
        <v>144.00299999999999</v>
      </c>
      <c r="K403" s="85">
        <v>149.036</v>
      </c>
      <c r="L403" s="85">
        <v>140.482</v>
      </c>
      <c r="M403" s="85">
        <v>162.114</v>
      </c>
      <c r="N403" s="85">
        <v>161.09</v>
      </c>
      <c r="O403" s="85">
        <v>147.012</v>
      </c>
      <c r="P403" s="85">
        <v>165.13800000000001</v>
      </c>
      <c r="Q403" s="46"/>
      <c r="R403" s="47"/>
      <c r="S403" s="47"/>
      <c r="T403" s="48"/>
      <c r="U403" s="48"/>
      <c r="V403" s="49"/>
      <c r="W403" s="50"/>
      <c r="X403" s="51"/>
    </row>
    <row r="404" spans="1:28" ht="61.5" customHeight="1">
      <c r="A404" s="158"/>
      <c r="B404" s="98"/>
      <c r="C404" s="100"/>
      <c r="D404" s="101"/>
      <c r="E404" s="21"/>
      <c r="F404" s="21"/>
      <c r="G404" s="21"/>
      <c r="H404" s="20"/>
      <c r="I404" s="21"/>
      <c r="J404" s="21"/>
      <c r="K404" s="21"/>
      <c r="L404" s="21"/>
      <c r="M404" s="21"/>
      <c r="N404" s="21"/>
      <c r="O404" s="21"/>
      <c r="P404" s="21"/>
      <c r="Q404" s="46"/>
      <c r="R404" s="47"/>
      <c r="S404" s="47"/>
      <c r="T404" s="48"/>
      <c r="U404" s="48"/>
      <c r="V404" s="49"/>
      <c r="W404" s="50"/>
      <c r="X404" s="51"/>
    </row>
    <row r="405" spans="1:28" s="109" customFormat="1" ht="65.099999999999994" customHeight="1">
      <c r="A405" s="158"/>
      <c r="B405" s="163" t="s">
        <v>49</v>
      </c>
      <c r="C405" s="42"/>
      <c r="D405" s="43"/>
      <c r="E405" s="44"/>
      <c r="F405" s="44"/>
      <c r="G405" s="44"/>
      <c r="H405" s="45"/>
      <c r="I405" s="44"/>
      <c r="J405" s="44"/>
      <c r="K405" s="44"/>
      <c r="L405" s="44"/>
      <c r="M405" s="44"/>
      <c r="N405" s="44"/>
      <c r="O405" s="44"/>
      <c r="P405" s="44"/>
      <c r="Q405" s="43"/>
      <c r="R405" s="91"/>
      <c r="S405" s="47"/>
      <c r="T405" s="48"/>
      <c r="U405" s="48"/>
      <c r="V405" s="49"/>
      <c r="W405" s="49"/>
      <c r="X405" s="51"/>
      <c r="Y405" s="108"/>
      <c r="Z405" s="108"/>
    </row>
    <row r="406" spans="1:28" s="52" customFormat="1">
      <c r="A406" s="158"/>
      <c r="B406" s="164"/>
      <c r="C406" s="55"/>
      <c r="D406" s="4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114"/>
      <c r="R406" s="47"/>
      <c r="S406" s="47"/>
      <c r="T406" s="48"/>
      <c r="U406" s="48"/>
      <c r="V406" s="49"/>
      <c r="W406" s="49"/>
      <c r="X406" s="51"/>
      <c r="Y406" s="2"/>
      <c r="Z406" s="2"/>
      <c r="AB406" s="2"/>
    </row>
    <row r="407" spans="1:28" s="52" customFormat="1">
      <c r="A407" s="158"/>
      <c r="B407" s="164"/>
      <c r="C407" s="59" t="s">
        <v>18</v>
      </c>
      <c r="D407" s="60" t="s">
        <v>19</v>
      </c>
      <c r="E407" s="61">
        <v>360.01600000000002</v>
      </c>
      <c r="F407" s="61">
        <v>375.03</v>
      </c>
      <c r="G407" s="61">
        <v>356.12799999999999</v>
      </c>
      <c r="H407" s="61">
        <v>308.44400000000002</v>
      </c>
      <c r="I407" s="61">
        <v>387.339</v>
      </c>
      <c r="J407" s="61">
        <v>362.53500000000003</v>
      </c>
      <c r="K407" s="61">
        <v>375.33300000000003</v>
      </c>
      <c r="L407" s="61">
        <v>330.05399999999997</v>
      </c>
      <c r="M407" s="61">
        <v>375.56</v>
      </c>
      <c r="N407" s="61">
        <v>362.96800000000002</v>
      </c>
      <c r="O407" s="61">
        <v>335.00799999999998</v>
      </c>
      <c r="P407" s="61">
        <v>388.32499999999999</v>
      </c>
      <c r="Q407" s="114"/>
      <c r="R407" s="47"/>
      <c r="S407" s="47"/>
      <c r="T407" s="48"/>
      <c r="U407" s="48"/>
      <c r="V407" s="49"/>
      <c r="W407" s="49"/>
      <c r="X407" s="51"/>
      <c r="Y407" s="2"/>
      <c r="Z407" s="2"/>
      <c r="AB407" s="2"/>
    </row>
    <row r="408" spans="1:28" s="52" customFormat="1">
      <c r="A408" s="158"/>
      <c r="B408" s="164"/>
      <c r="C408" s="59" t="s">
        <v>18</v>
      </c>
      <c r="D408" s="60" t="s">
        <v>20</v>
      </c>
      <c r="E408" s="61">
        <v>383.3</v>
      </c>
      <c r="F408" s="61">
        <v>343.92200000000003</v>
      </c>
      <c r="G408" s="61">
        <v>377.79199999999997</v>
      </c>
      <c r="H408" s="61">
        <v>356.53199999999998</v>
      </c>
      <c r="I408" s="61">
        <v>375.02800000000002</v>
      </c>
      <c r="J408" s="61">
        <v>362.279</v>
      </c>
      <c r="K408" s="61">
        <v>361.53</v>
      </c>
      <c r="L408" s="61">
        <v>325.30599999999998</v>
      </c>
      <c r="M408" s="61">
        <v>382.21100000000001</v>
      </c>
      <c r="N408" s="61">
        <v>368.14499999999998</v>
      </c>
      <c r="O408" s="61">
        <v>327.32900000000001</v>
      </c>
      <c r="P408" s="61">
        <v>376.19900000000001</v>
      </c>
      <c r="Q408" s="114"/>
      <c r="R408" s="47"/>
      <c r="S408" s="47"/>
      <c r="T408" s="48"/>
      <c r="U408" s="48"/>
      <c r="V408" s="49"/>
      <c r="W408" s="49"/>
      <c r="X408" s="51"/>
      <c r="Y408" s="2"/>
      <c r="Z408" s="2"/>
      <c r="AB408" s="2"/>
    </row>
    <row r="409" spans="1:28" ht="46.35" customHeight="1">
      <c r="A409" s="158"/>
      <c r="B409" s="164"/>
      <c r="C409" s="59" t="s">
        <v>18</v>
      </c>
      <c r="D409" s="60" t="s">
        <v>21</v>
      </c>
      <c r="E409" s="61">
        <v>373.48399999999998</v>
      </c>
      <c r="F409" s="61">
        <v>394.12099999999998</v>
      </c>
      <c r="G409" s="61">
        <v>345.20299999999997</v>
      </c>
      <c r="H409" s="61">
        <v>391.07100000000003</v>
      </c>
      <c r="I409" s="61">
        <v>375.83699999999999</v>
      </c>
      <c r="J409" s="61">
        <v>332.46600000000001</v>
      </c>
      <c r="K409" s="61">
        <v>387.08</v>
      </c>
      <c r="L409" s="61">
        <v>360.19900000000001</v>
      </c>
      <c r="M409" s="61">
        <v>357.34699999999998</v>
      </c>
      <c r="N409" s="61">
        <v>400.40800000000002</v>
      </c>
      <c r="O409" s="61">
        <v>365.09199999999998</v>
      </c>
      <c r="P409" s="61">
        <v>411.95</v>
      </c>
      <c r="Q409" s="115"/>
      <c r="R409" s="64"/>
      <c r="S409" s="64"/>
      <c r="T409" s="65"/>
      <c r="U409" s="65"/>
      <c r="V409" s="49"/>
      <c r="W409" s="49"/>
      <c r="X409" s="66"/>
      <c r="AB409" s="6"/>
    </row>
    <row r="410" spans="1:28" s="52" customFormat="1" ht="46.35" customHeight="1">
      <c r="A410" s="158"/>
      <c r="B410" s="164"/>
      <c r="C410" s="59" t="s">
        <v>18</v>
      </c>
      <c r="D410" s="60" t="s">
        <v>22</v>
      </c>
      <c r="E410" s="61">
        <v>370.01799999999997</v>
      </c>
      <c r="F410" s="61">
        <v>378.12099999999998</v>
      </c>
      <c r="G410" s="61">
        <v>335.89499999999998</v>
      </c>
      <c r="H410" s="61">
        <v>351.43200000000002</v>
      </c>
      <c r="I410" s="61">
        <v>341.32600000000002</v>
      </c>
      <c r="J410" s="61">
        <v>351.73599999999999</v>
      </c>
      <c r="K410" s="61">
        <v>355.77499999999998</v>
      </c>
      <c r="L410" s="61">
        <v>356.101</v>
      </c>
      <c r="M410" s="61">
        <v>384.41199999999998</v>
      </c>
      <c r="N410" s="61">
        <v>363.47300000000001</v>
      </c>
      <c r="O410" s="61">
        <v>322.10700000000003</v>
      </c>
      <c r="P410" s="61">
        <v>400.10300000000001</v>
      </c>
      <c r="Q410" s="114"/>
      <c r="R410" s="47"/>
      <c r="S410" s="47"/>
      <c r="T410" s="48"/>
      <c r="U410" s="48"/>
      <c r="V410" s="49"/>
      <c r="W410" s="49"/>
      <c r="X410" s="51"/>
      <c r="Y410" s="2"/>
      <c r="Z410" s="2"/>
      <c r="AB410" s="2"/>
    </row>
    <row r="411" spans="1:28" s="52" customFormat="1" ht="46.35" customHeight="1">
      <c r="A411" s="158"/>
      <c r="B411" s="164"/>
      <c r="C411" s="59" t="s">
        <v>18</v>
      </c>
      <c r="D411" s="60" t="str">
        <f>+D382</f>
        <v>2021-22</v>
      </c>
      <c r="E411" s="61">
        <v>330.245</v>
      </c>
      <c r="F411" s="61">
        <v>362.84500000000003</v>
      </c>
      <c r="G411" s="61">
        <v>282.70600000000002</v>
      </c>
      <c r="H411" s="61">
        <v>390.02699999999999</v>
      </c>
      <c r="I411" s="61">
        <v>380.10899999999998</v>
      </c>
      <c r="J411" s="61">
        <v>355.346</v>
      </c>
      <c r="K411" s="61">
        <v>362.17</v>
      </c>
      <c r="L411" s="61">
        <v>370.04899999999998</v>
      </c>
      <c r="M411" s="61">
        <v>378.21300000000002</v>
      </c>
      <c r="N411" s="61">
        <v>361.49900000000002</v>
      </c>
      <c r="O411" s="61">
        <v>354.58100000000002</v>
      </c>
      <c r="P411" s="61">
        <v>409.226</v>
      </c>
      <c r="Q411" s="114"/>
      <c r="R411" s="47"/>
      <c r="S411" s="47"/>
      <c r="T411" s="48"/>
      <c r="U411" s="48"/>
      <c r="V411" s="49"/>
      <c r="W411" s="49"/>
      <c r="X411" s="51"/>
      <c r="Y411" s="2"/>
      <c r="Z411" s="2"/>
      <c r="AB411" s="2"/>
    </row>
    <row r="412" spans="1:28" ht="46.35" customHeight="1">
      <c r="A412" s="158"/>
      <c r="B412" s="164"/>
      <c r="C412" s="59" t="s">
        <v>18</v>
      </c>
      <c r="D412" s="60" t="str">
        <f>+D383</f>
        <v>2020-21</v>
      </c>
      <c r="E412" s="61">
        <v>165.65100000000001</v>
      </c>
      <c r="F412" s="61">
        <v>166.23500000000001</v>
      </c>
      <c r="G412" s="61">
        <v>199.01900000000001</v>
      </c>
      <c r="H412" s="61">
        <v>309.65300000000002</v>
      </c>
      <c r="I412" s="61">
        <v>333.84</v>
      </c>
      <c r="J412" s="61">
        <v>324.20699999999999</v>
      </c>
      <c r="K412" s="61">
        <v>386.63</v>
      </c>
      <c r="L412" s="61">
        <v>378.15499999999997</v>
      </c>
      <c r="M412" s="61">
        <v>406.39699999999999</v>
      </c>
      <c r="N412" s="61">
        <v>394.64600000000002</v>
      </c>
      <c r="O412" s="61">
        <v>365.61700000000002</v>
      </c>
      <c r="P412" s="61">
        <v>400.666</v>
      </c>
      <c r="Q412" s="115"/>
      <c r="R412" s="64"/>
      <c r="S412" s="64"/>
      <c r="T412" s="65"/>
      <c r="U412" s="65"/>
      <c r="V412" s="49"/>
      <c r="W412" s="49"/>
      <c r="X412" s="66"/>
      <c r="Y412" s="49"/>
      <c r="Z412" s="49"/>
      <c r="AB412" s="49"/>
    </row>
    <row r="413" spans="1:28" ht="46.35" customHeight="1">
      <c r="A413" s="158"/>
      <c r="B413" s="164"/>
      <c r="C413" s="59" t="str">
        <f>+C384</f>
        <v>Actual</v>
      </c>
      <c r="D413" s="59" t="str">
        <f>+D384</f>
        <v>2019-20</v>
      </c>
      <c r="E413" s="61">
        <v>297.04899999999998</v>
      </c>
      <c r="F413" s="61">
        <v>308.45299999999997</v>
      </c>
      <c r="G413" s="61">
        <v>339.05</v>
      </c>
      <c r="H413" s="61">
        <v>312.17399999999998</v>
      </c>
      <c r="I413" s="61">
        <v>243.61099999999999</v>
      </c>
      <c r="J413" s="61">
        <v>267.35700000000003</v>
      </c>
      <c r="K413" s="61">
        <v>288.79000000000002</v>
      </c>
      <c r="L413" s="61">
        <v>315.61500000000001</v>
      </c>
      <c r="M413" s="61">
        <v>308.536</v>
      </c>
      <c r="N413" s="61">
        <v>323.36200000000002</v>
      </c>
      <c r="O413" s="61">
        <v>312.00400000000002</v>
      </c>
      <c r="P413" s="61">
        <v>308.68700000000001</v>
      </c>
      <c r="Q413" s="115"/>
      <c r="R413" s="64"/>
      <c r="S413" s="64"/>
      <c r="T413" s="65"/>
      <c r="U413" s="65"/>
      <c r="V413" s="49"/>
      <c r="W413" s="49"/>
      <c r="X413" s="66"/>
    </row>
    <row r="414" spans="1:28" s="25" customFormat="1" ht="46.35" customHeight="1">
      <c r="A414" s="158"/>
      <c r="B414" s="164"/>
      <c r="C414" s="102" t="s">
        <v>18</v>
      </c>
      <c r="D414" s="103" t="s">
        <v>26</v>
      </c>
      <c r="E414" s="61">
        <v>295.97800000000001</v>
      </c>
      <c r="F414" s="61">
        <v>336.822</v>
      </c>
      <c r="G414" s="61">
        <v>299.435</v>
      </c>
      <c r="H414" s="61">
        <v>338.12599999999998</v>
      </c>
      <c r="I414" s="61">
        <v>314.54000000000002</v>
      </c>
      <c r="J414" s="61">
        <v>282.71499999999997</v>
      </c>
      <c r="K414" s="61">
        <v>289.16199999999998</v>
      </c>
      <c r="L414" s="61">
        <v>318.584</v>
      </c>
      <c r="M414" s="61">
        <v>335.51400000000001</v>
      </c>
      <c r="N414" s="61">
        <v>362.65199999999999</v>
      </c>
      <c r="O414" s="61">
        <v>318.36799999999999</v>
      </c>
      <c r="P414" s="61">
        <v>344.61099999999999</v>
      </c>
      <c r="Q414" s="116"/>
      <c r="R414" s="117"/>
      <c r="S414" s="64"/>
      <c r="T414" s="65"/>
      <c r="U414" s="65"/>
      <c r="V414" s="49"/>
      <c r="W414" s="49"/>
      <c r="X414" s="66"/>
      <c r="Y414" s="27"/>
      <c r="Z414" s="27"/>
    </row>
    <row r="415" spans="1:28" ht="46.35" customHeight="1">
      <c r="A415" s="158"/>
      <c r="B415" s="164"/>
      <c r="C415" s="59" t="s">
        <v>18</v>
      </c>
      <c r="D415" s="60" t="s">
        <v>27</v>
      </c>
      <c r="E415" s="61">
        <v>300.166</v>
      </c>
      <c r="F415" s="61">
        <v>172.30099999999999</v>
      </c>
      <c r="G415" s="61">
        <v>255.50299999999999</v>
      </c>
      <c r="H415" s="61">
        <v>285.625</v>
      </c>
      <c r="I415" s="61">
        <v>303.68</v>
      </c>
      <c r="J415" s="61">
        <v>248.66900000000001</v>
      </c>
      <c r="K415" s="61">
        <v>310.36399999999998</v>
      </c>
      <c r="L415" s="61">
        <v>292.197</v>
      </c>
      <c r="M415" s="61">
        <v>306.38799999999998</v>
      </c>
      <c r="N415" s="61">
        <v>275.41699999999997</v>
      </c>
      <c r="O415" s="61">
        <v>264.77199999999999</v>
      </c>
      <c r="P415" s="61">
        <v>304.31599999999997</v>
      </c>
      <c r="Q415" s="60"/>
      <c r="R415" s="64"/>
      <c r="S415" s="64"/>
      <c r="T415" s="65"/>
      <c r="U415" s="65"/>
      <c r="V415" s="49"/>
      <c r="W415" s="49"/>
      <c r="X415" s="66"/>
    </row>
    <row r="416" spans="1:28" ht="46.35" customHeight="1">
      <c r="A416" s="158"/>
      <c r="B416" s="164"/>
      <c r="C416" s="59" t="s">
        <v>18</v>
      </c>
      <c r="D416" s="60" t="s">
        <v>28</v>
      </c>
      <c r="E416" s="61">
        <v>208.53200000000001</v>
      </c>
      <c r="F416" s="61">
        <v>251.51900000000001</v>
      </c>
      <c r="G416" s="61">
        <v>230.10499999999999</v>
      </c>
      <c r="H416" s="61">
        <v>231.97200000000001</v>
      </c>
      <c r="I416" s="61">
        <v>244.01</v>
      </c>
      <c r="J416" s="61">
        <v>233.72800000000001</v>
      </c>
      <c r="K416" s="61">
        <v>238.44</v>
      </c>
      <c r="L416" s="61">
        <v>284.08699999999999</v>
      </c>
      <c r="M416" s="61">
        <v>277.90199999999999</v>
      </c>
      <c r="N416" s="61">
        <v>310.423</v>
      </c>
      <c r="O416" s="61">
        <v>271.11599999999999</v>
      </c>
      <c r="P416" s="61">
        <v>312.11399999999998</v>
      </c>
      <c r="Q416" s="60"/>
      <c r="R416" s="64"/>
      <c r="S416" s="64"/>
      <c r="T416" s="65"/>
      <c r="U416" s="65"/>
      <c r="V416" s="49"/>
      <c r="W416" s="49"/>
      <c r="X416" s="66"/>
    </row>
    <row r="417" spans="1:24" ht="46.35" customHeight="1">
      <c r="A417" s="158"/>
      <c r="B417" s="164"/>
      <c r="C417" s="59" t="s">
        <v>18</v>
      </c>
      <c r="D417" s="60" t="s">
        <v>29</v>
      </c>
      <c r="E417" s="76">
        <v>267.80500000000001</v>
      </c>
      <c r="F417" s="76">
        <v>241.02</v>
      </c>
      <c r="G417" s="76">
        <v>265.61500000000001</v>
      </c>
      <c r="H417" s="76">
        <v>256.04599999999999</v>
      </c>
      <c r="I417" s="76">
        <v>224.8</v>
      </c>
      <c r="J417" s="76">
        <v>274.048</v>
      </c>
      <c r="K417" s="76">
        <v>284.33600000000001</v>
      </c>
      <c r="L417" s="76">
        <v>277.048</v>
      </c>
      <c r="M417" s="76">
        <v>213.596</v>
      </c>
      <c r="N417" s="76">
        <v>230.1</v>
      </c>
      <c r="O417" s="76">
        <v>238.465</v>
      </c>
      <c r="P417" s="76">
        <v>269.298</v>
      </c>
      <c r="Q417" s="60"/>
      <c r="R417" s="64"/>
      <c r="S417" s="64"/>
      <c r="T417" s="65"/>
      <c r="U417" s="65"/>
      <c r="V417" s="49"/>
      <c r="W417" s="49"/>
      <c r="X417" s="66"/>
    </row>
    <row r="418" spans="1:24" ht="61.5" customHeight="1">
      <c r="A418" s="158"/>
      <c r="B418" s="164"/>
      <c r="C418" s="59" t="s">
        <v>18</v>
      </c>
      <c r="D418" s="60" t="s">
        <v>30</v>
      </c>
      <c r="E418" s="61">
        <v>267.01</v>
      </c>
      <c r="F418" s="61">
        <v>270.05200000000002</v>
      </c>
      <c r="G418" s="61">
        <v>205.01</v>
      </c>
      <c r="H418" s="61">
        <v>260.02</v>
      </c>
      <c r="I418" s="61">
        <v>240.05</v>
      </c>
      <c r="J418" s="61">
        <v>258.01</v>
      </c>
      <c r="K418" s="61">
        <v>253.01</v>
      </c>
      <c r="L418" s="61">
        <v>268.05</v>
      </c>
      <c r="M418" s="61">
        <v>270.10000000000002</v>
      </c>
      <c r="N418" s="61">
        <v>300.10500000000002</v>
      </c>
      <c r="O418" s="61">
        <v>255.05</v>
      </c>
      <c r="P418" s="61">
        <v>310.30200000000002</v>
      </c>
      <c r="Q418" s="60"/>
      <c r="R418" s="64"/>
      <c r="S418" s="64"/>
      <c r="T418" s="65"/>
      <c r="U418" s="65"/>
      <c r="V418" s="49"/>
      <c r="W418" s="49"/>
      <c r="X418" s="66"/>
    </row>
    <row r="419" spans="1:24" ht="61.5" customHeight="1">
      <c r="A419" s="158"/>
      <c r="B419" s="164"/>
      <c r="C419" s="59" t="s">
        <v>18</v>
      </c>
      <c r="D419" s="78" t="s">
        <v>31</v>
      </c>
      <c r="E419" s="61">
        <v>193.102</v>
      </c>
      <c r="F419" s="61">
        <v>201.02</v>
      </c>
      <c r="G419" s="61">
        <v>185.71</v>
      </c>
      <c r="H419" s="61">
        <v>200.01</v>
      </c>
      <c r="I419" s="61">
        <v>198.01</v>
      </c>
      <c r="J419" s="61">
        <v>200.00899999999999</v>
      </c>
      <c r="K419" s="61">
        <v>232.779</v>
      </c>
      <c r="L419" s="61">
        <v>228.58500000000001</v>
      </c>
      <c r="M419" s="61">
        <v>225.01</v>
      </c>
      <c r="N419" s="61">
        <v>239.01</v>
      </c>
      <c r="O419" s="61">
        <v>210.05</v>
      </c>
      <c r="P419" s="61">
        <v>225.02699999999999</v>
      </c>
      <c r="Q419" s="60"/>
      <c r="R419" s="64"/>
      <c r="S419" s="64"/>
      <c r="T419" s="65"/>
      <c r="U419" s="65"/>
      <c r="V419" s="49"/>
      <c r="W419" s="49"/>
      <c r="X419" s="66"/>
    </row>
    <row r="420" spans="1:24" ht="61.5" customHeight="1">
      <c r="A420" s="158"/>
      <c r="B420" s="164"/>
      <c r="C420" s="59" t="s">
        <v>18</v>
      </c>
      <c r="D420" s="60" t="s">
        <v>32</v>
      </c>
      <c r="E420" s="61">
        <v>187.08500000000001</v>
      </c>
      <c r="F420" s="61">
        <v>198.029</v>
      </c>
      <c r="G420" s="61">
        <v>192.273</v>
      </c>
      <c r="H420" s="61">
        <v>198.012</v>
      </c>
      <c r="I420" s="61">
        <v>195.12799999999999</v>
      </c>
      <c r="J420" s="61">
        <v>190.05</v>
      </c>
      <c r="K420" s="61">
        <v>200.01</v>
      </c>
      <c r="L420" s="61">
        <v>198.05099999999999</v>
      </c>
      <c r="M420" s="61">
        <v>202.15</v>
      </c>
      <c r="N420" s="61">
        <v>209.01300000000001</v>
      </c>
      <c r="O420" s="61">
        <v>186.02</v>
      </c>
      <c r="P420" s="61">
        <v>210.00299999999999</v>
      </c>
      <c r="Q420" s="60"/>
      <c r="R420" s="64"/>
      <c r="S420" s="64"/>
      <c r="T420" s="65"/>
      <c r="U420" s="65"/>
      <c r="V420" s="49"/>
      <c r="W420" s="49"/>
      <c r="X420" s="66"/>
    </row>
    <row r="421" spans="1:24" ht="61.5" customHeight="1">
      <c r="A421" s="158"/>
      <c r="B421" s="164"/>
      <c r="C421" s="59" t="s">
        <v>18</v>
      </c>
      <c r="D421" s="60" t="s">
        <v>33</v>
      </c>
      <c r="E421" s="61">
        <v>184.66300000000001</v>
      </c>
      <c r="F421" s="61">
        <v>200.07900000000001</v>
      </c>
      <c r="G421" s="61">
        <v>185.00200000000001</v>
      </c>
      <c r="H421" s="61">
        <v>177.19</v>
      </c>
      <c r="I421" s="61">
        <v>181.554</v>
      </c>
      <c r="J421" s="61">
        <v>172.57400000000001</v>
      </c>
      <c r="K421" s="61">
        <v>188.501</v>
      </c>
      <c r="L421" s="61">
        <v>200.05199999999999</v>
      </c>
      <c r="M421" s="61">
        <v>208.012</v>
      </c>
      <c r="N421" s="61">
        <v>205.005</v>
      </c>
      <c r="O421" s="61">
        <v>195.15600000000001</v>
      </c>
      <c r="P421" s="61">
        <v>211.22399999999999</v>
      </c>
      <c r="Q421" s="60"/>
      <c r="R421" s="47"/>
      <c r="S421" s="47"/>
      <c r="T421" s="48"/>
      <c r="U421" s="48"/>
      <c r="V421" s="49"/>
      <c r="W421" s="50"/>
      <c r="X421" s="51"/>
    </row>
    <row r="422" spans="1:24" ht="61.5" customHeight="1">
      <c r="A422" s="158"/>
      <c r="B422" s="164"/>
      <c r="C422" s="59" t="s">
        <v>18</v>
      </c>
      <c r="D422" s="60" t="s">
        <v>34</v>
      </c>
      <c r="E422" s="61">
        <v>192.11099999999999</v>
      </c>
      <c r="F422" s="61">
        <v>188.13499999999999</v>
      </c>
      <c r="G422" s="61">
        <v>176.03</v>
      </c>
      <c r="H422" s="61">
        <v>170.923</v>
      </c>
      <c r="I422" s="61">
        <v>207.31899999999999</v>
      </c>
      <c r="J422" s="61">
        <v>201.01</v>
      </c>
      <c r="K422" s="61">
        <v>204.04</v>
      </c>
      <c r="L422" s="61">
        <v>200.029</v>
      </c>
      <c r="M422" s="61">
        <v>198.00700000000001</v>
      </c>
      <c r="N422" s="61">
        <v>190.40899999999999</v>
      </c>
      <c r="O422" s="61">
        <v>172.25299999999999</v>
      </c>
      <c r="P422" s="61">
        <v>203.035</v>
      </c>
      <c r="Q422" s="60"/>
      <c r="R422" s="47"/>
      <c r="S422" s="47"/>
      <c r="T422" s="48"/>
      <c r="U422" s="48"/>
      <c r="V422" s="49"/>
      <c r="W422" s="50"/>
      <c r="X422" s="51"/>
    </row>
    <row r="423" spans="1:24" ht="61.5" customHeight="1">
      <c r="A423" s="158"/>
      <c r="B423" s="164"/>
      <c r="C423" s="59" t="s">
        <v>18</v>
      </c>
      <c r="D423" s="60" t="s">
        <v>35</v>
      </c>
      <c r="E423" s="61">
        <v>179.40100000000001</v>
      </c>
      <c r="F423" s="61">
        <v>167.268</v>
      </c>
      <c r="G423" s="61">
        <v>187.56800000000001</v>
      </c>
      <c r="H423" s="61">
        <v>190.053</v>
      </c>
      <c r="I423" s="61">
        <v>176.893</v>
      </c>
      <c r="J423" s="61">
        <v>190.02600000000001</v>
      </c>
      <c r="K423" s="61">
        <v>187.11099999999999</v>
      </c>
      <c r="L423" s="61">
        <v>194.49700000000001</v>
      </c>
      <c r="M423" s="61">
        <v>202.12299999999999</v>
      </c>
      <c r="N423" s="61">
        <v>203.71100000000001</v>
      </c>
      <c r="O423" s="61">
        <v>182.077</v>
      </c>
      <c r="P423" s="61">
        <v>207.107</v>
      </c>
      <c r="Q423" s="60"/>
      <c r="R423" s="47"/>
      <c r="S423" s="47"/>
      <c r="T423" s="48"/>
      <c r="U423" s="48"/>
      <c r="V423" s="49"/>
      <c r="W423" s="50"/>
      <c r="X423" s="51"/>
    </row>
    <row r="424" spans="1:24" ht="61.5" customHeight="1">
      <c r="A424" s="158"/>
      <c r="B424" s="164"/>
      <c r="C424" s="59" t="s">
        <v>18</v>
      </c>
      <c r="D424" s="60" t="s">
        <v>36</v>
      </c>
      <c r="E424" s="61">
        <v>179.334</v>
      </c>
      <c r="F424" s="61">
        <v>180.10499999999999</v>
      </c>
      <c r="G424" s="61">
        <v>184.32499999999999</v>
      </c>
      <c r="H424" s="61">
        <v>195.03100000000001</v>
      </c>
      <c r="I424" s="61">
        <v>190.12200000000001</v>
      </c>
      <c r="J424" s="61">
        <v>187.036</v>
      </c>
      <c r="K424" s="61">
        <v>201.619</v>
      </c>
      <c r="L424" s="61">
        <v>180.744</v>
      </c>
      <c r="M424" s="61">
        <v>174.89400000000001</v>
      </c>
      <c r="N424" s="61">
        <v>178.691</v>
      </c>
      <c r="O424" s="61">
        <v>163.00200000000001</v>
      </c>
      <c r="P424" s="61">
        <v>185.11199999999999</v>
      </c>
      <c r="Q424" s="81"/>
      <c r="R424" s="47"/>
      <c r="S424" s="47"/>
      <c r="T424" s="48"/>
      <c r="U424" s="48"/>
      <c r="V424" s="49"/>
      <c r="W424" s="50"/>
      <c r="X424" s="51"/>
    </row>
    <row r="425" spans="1:24" ht="61.5" customHeight="1">
      <c r="A425" s="158"/>
      <c r="B425" s="164"/>
      <c r="C425" s="59" t="s">
        <v>18</v>
      </c>
      <c r="D425" s="60" t="s">
        <v>37</v>
      </c>
      <c r="E425" s="85">
        <v>147.19999999999999</v>
      </c>
      <c r="F425" s="85">
        <v>168.80199999999999</v>
      </c>
      <c r="G425" s="85">
        <v>187.56100000000001</v>
      </c>
      <c r="H425" s="85">
        <v>191.34700000000001</v>
      </c>
      <c r="I425" s="85">
        <v>178.643</v>
      </c>
      <c r="J425" s="85">
        <v>184.53200000000001</v>
      </c>
      <c r="K425" s="85">
        <v>201.566</v>
      </c>
      <c r="L425" s="85">
        <v>192.798</v>
      </c>
      <c r="M425" s="85">
        <v>195.083</v>
      </c>
      <c r="N425" s="85">
        <v>200.09700000000001</v>
      </c>
      <c r="O425" s="85">
        <v>186.72</v>
      </c>
      <c r="P425" s="85">
        <v>195.06100000000001</v>
      </c>
      <c r="Q425" s="46"/>
      <c r="R425" s="47"/>
      <c r="S425" s="47"/>
      <c r="T425" s="48"/>
      <c r="U425" s="48"/>
      <c r="V425" s="49"/>
      <c r="W425" s="50"/>
      <c r="X425" s="51"/>
    </row>
    <row r="426" spans="1:24" ht="61.5" customHeight="1">
      <c r="A426" s="158"/>
      <c r="B426" s="164"/>
      <c r="C426" s="59" t="s">
        <v>18</v>
      </c>
      <c r="D426" s="60" t="s">
        <v>38</v>
      </c>
      <c r="E426" s="85">
        <v>146.09399999999999</v>
      </c>
      <c r="F426" s="85">
        <v>187.035</v>
      </c>
      <c r="G426" s="85">
        <v>176.78399999999999</v>
      </c>
      <c r="H426" s="85">
        <v>176.21700000000001</v>
      </c>
      <c r="I426" s="85">
        <v>176.846</v>
      </c>
      <c r="J426" s="85">
        <v>180.38300000000001</v>
      </c>
      <c r="K426" s="85">
        <v>196.458</v>
      </c>
      <c r="L426" s="85">
        <v>189.23</v>
      </c>
      <c r="M426" s="85">
        <v>193.09800000000001</v>
      </c>
      <c r="N426" s="85">
        <v>181.28899999999999</v>
      </c>
      <c r="O426" s="85">
        <v>165.321</v>
      </c>
      <c r="P426" s="85">
        <v>155.18100000000001</v>
      </c>
      <c r="Q426" s="46"/>
      <c r="R426" s="47"/>
      <c r="S426" s="47"/>
      <c r="T426" s="48"/>
      <c r="U426" s="48"/>
      <c r="V426" s="49"/>
      <c r="W426" s="50"/>
      <c r="X426" s="51"/>
    </row>
    <row r="427" spans="1:24" ht="61.5" customHeight="1">
      <c r="A427" s="158"/>
      <c r="B427" s="164"/>
      <c r="C427" s="59" t="s">
        <v>18</v>
      </c>
      <c r="D427" s="60" t="s">
        <v>39</v>
      </c>
      <c r="E427" s="85">
        <v>130.94</v>
      </c>
      <c r="F427" s="85">
        <v>122.21</v>
      </c>
      <c r="G427" s="85">
        <v>117.80200000000001</v>
      </c>
      <c r="H427" s="85">
        <v>115.006</v>
      </c>
      <c r="I427" s="85">
        <v>117.32299999999999</v>
      </c>
      <c r="J427" s="85">
        <v>124.20399999999999</v>
      </c>
      <c r="K427" s="85">
        <v>172.97499999999999</v>
      </c>
      <c r="L427" s="85">
        <v>164.697</v>
      </c>
      <c r="M427" s="85">
        <v>170.22300000000001</v>
      </c>
      <c r="N427" s="85">
        <v>182.89699999999999</v>
      </c>
      <c r="O427" s="85">
        <v>168.93899999999999</v>
      </c>
      <c r="P427" s="85">
        <v>190.85599999999999</v>
      </c>
      <c r="Q427" s="46"/>
      <c r="R427" s="47"/>
      <c r="S427" s="47"/>
      <c r="T427" s="48"/>
      <c r="U427" s="48"/>
      <c r="V427" s="49"/>
      <c r="W427" s="50"/>
      <c r="X427" s="51"/>
    </row>
    <row r="428" spans="1:24" ht="61.5" customHeight="1">
      <c r="A428" s="158"/>
      <c r="B428" s="164"/>
      <c r="C428" s="59" t="s">
        <v>18</v>
      </c>
      <c r="D428" s="60" t="s">
        <v>40</v>
      </c>
      <c r="E428" s="85">
        <v>101.557</v>
      </c>
      <c r="F428" s="85">
        <v>129.55600000000001</v>
      </c>
      <c r="G428" s="85">
        <v>122.901</v>
      </c>
      <c r="H428" s="85">
        <v>133.06800000000001</v>
      </c>
      <c r="I428" s="85">
        <v>125.563</v>
      </c>
      <c r="J428" s="85">
        <v>140.95500000000001</v>
      </c>
      <c r="K428" s="85">
        <v>150.41499999999999</v>
      </c>
      <c r="L428" s="85">
        <v>152.58099999999999</v>
      </c>
      <c r="M428" s="85">
        <v>164.62700000000001</v>
      </c>
      <c r="N428" s="85">
        <v>160.81700000000001</v>
      </c>
      <c r="O428" s="85">
        <v>143.136</v>
      </c>
      <c r="P428" s="85">
        <v>165.56800000000001</v>
      </c>
      <c r="Q428" s="46"/>
      <c r="R428" s="47"/>
      <c r="S428" s="47"/>
      <c r="T428" s="48"/>
      <c r="U428" s="48"/>
      <c r="V428" s="49"/>
      <c r="W428" s="50"/>
      <c r="X428" s="51"/>
    </row>
    <row r="429" spans="1:24" ht="61.5" customHeight="1">
      <c r="A429" s="158"/>
      <c r="B429" s="164"/>
      <c r="C429" s="59" t="s">
        <v>18</v>
      </c>
      <c r="D429" s="60" t="s">
        <v>41</v>
      </c>
      <c r="E429" s="85">
        <v>139.554</v>
      </c>
      <c r="F429" s="85">
        <v>136.548</v>
      </c>
      <c r="G429" s="85">
        <v>137.07300000000001</v>
      </c>
      <c r="H429" s="85">
        <v>148.096</v>
      </c>
      <c r="I429" s="85">
        <v>154.571</v>
      </c>
      <c r="J429" s="85">
        <v>147.602</v>
      </c>
      <c r="K429" s="85">
        <v>153.83799999999999</v>
      </c>
      <c r="L429" s="85">
        <v>135.65600000000001</v>
      </c>
      <c r="M429" s="85">
        <v>157.54</v>
      </c>
      <c r="N429" s="85">
        <v>156.05000000000001</v>
      </c>
      <c r="O429" s="85">
        <v>136.167</v>
      </c>
      <c r="P429" s="85">
        <v>124.139</v>
      </c>
      <c r="Q429" s="46"/>
      <c r="R429" s="47"/>
      <c r="S429" s="47"/>
      <c r="T429" s="48"/>
      <c r="U429" s="48"/>
      <c r="V429" s="49"/>
      <c r="W429" s="50"/>
      <c r="X429" s="51"/>
    </row>
    <row r="430" spans="1:24" ht="61.5" customHeight="1">
      <c r="A430" s="158"/>
      <c r="B430" s="164"/>
      <c r="C430" s="59" t="s">
        <v>18</v>
      </c>
      <c r="D430" s="60" t="s">
        <v>42</v>
      </c>
      <c r="E430" s="85">
        <v>124.672</v>
      </c>
      <c r="F430" s="85">
        <v>150.07</v>
      </c>
      <c r="G430" s="85">
        <v>134.01</v>
      </c>
      <c r="H430" s="85">
        <v>133.58799999999999</v>
      </c>
      <c r="I430" s="85">
        <v>132.47499999999999</v>
      </c>
      <c r="J430" s="85">
        <v>126.12</v>
      </c>
      <c r="K430" s="85">
        <v>130.006</v>
      </c>
      <c r="L430" s="85">
        <v>120.00700000000001</v>
      </c>
      <c r="M430" s="85">
        <v>137.209</v>
      </c>
      <c r="N430" s="85">
        <v>156.02500000000001</v>
      </c>
      <c r="O430" s="85">
        <v>143.506</v>
      </c>
      <c r="P430" s="85">
        <v>157.517</v>
      </c>
      <c r="Q430" s="46"/>
      <c r="R430" s="47"/>
      <c r="S430" s="47"/>
      <c r="T430" s="48"/>
      <c r="U430" s="48"/>
      <c r="V430" s="49"/>
      <c r="W430" s="50"/>
      <c r="X430" s="51"/>
    </row>
    <row r="431" spans="1:24" ht="61.5" customHeight="1">
      <c r="A431" s="158"/>
      <c r="B431" s="164"/>
      <c r="C431" s="59" t="s">
        <v>18</v>
      </c>
      <c r="D431" s="60" t="s">
        <v>43</v>
      </c>
      <c r="E431" s="85">
        <v>115.06</v>
      </c>
      <c r="F431" s="85">
        <v>120.206</v>
      </c>
      <c r="G431" s="85">
        <v>107.768</v>
      </c>
      <c r="H431" s="85">
        <v>112.17</v>
      </c>
      <c r="I431" s="85">
        <v>112.29300000000001</v>
      </c>
      <c r="J431" s="85">
        <v>106.224</v>
      </c>
      <c r="K431" s="85">
        <v>111.096</v>
      </c>
      <c r="L431" s="85">
        <v>123.146</v>
      </c>
      <c r="M431" s="85">
        <v>143.023</v>
      </c>
      <c r="N431" s="85">
        <v>136.148</v>
      </c>
      <c r="O431" s="85">
        <v>134.40199999999999</v>
      </c>
      <c r="P431" s="85">
        <v>145.63399999999999</v>
      </c>
      <c r="Q431" s="46"/>
      <c r="R431" s="47"/>
      <c r="S431" s="47"/>
      <c r="T431" s="48"/>
      <c r="U431" s="48"/>
      <c r="V431" s="49"/>
      <c r="W431" s="50"/>
      <c r="X431" s="51"/>
    </row>
    <row r="432" spans="1:24" ht="61.5" customHeight="1">
      <c r="A432" s="158"/>
      <c r="B432" s="165"/>
      <c r="C432" s="59" t="s">
        <v>18</v>
      </c>
      <c r="D432" s="60" t="s">
        <v>44</v>
      </c>
      <c r="E432" s="85">
        <v>115.05</v>
      </c>
      <c r="F432" s="85">
        <v>120.11199999999999</v>
      </c>
      <c r="G432" s="85">
        <v>120.212</v>
      </c>
      <c r="H432" s="85">
        <v>112.02</v>
      </c>
      <c r="I432" s="85">
        <v>121.58799999999999</v>
      </c>
      <c r="J432" s="85">
        <v>117.006</v>
      </c>
      <c r="K432" s="85">
        <v>122.11</v>
      </c>
      <c r="L432" s="85">
        <v>113.02500000000001</v>
      </c>
      <c r="M432" s="85">
        <v>111.544</v>
      </c>
      <c r="N432" s="85">
        <v>125.00700000000001</v>
      </c>
      <c r="O432" s="85">
        <v>110.096</v>
      </c>
      <c r="P432" s="85">
        <v>109.354</v>
      </c>
      <c r="Q432" s="46"/>
      <c r="R432" s="47"/>
      <c r="S432" s="47"/>
      <c r="T432" s="48"/>
      <c r="U432" s="48"/>
      <c r="V432" s="49"/>
      <c r="W432" s="50"/>
      <c r="X432" s="51"/>
    </row>
    <row r="433" spans="1:28" ht="61.5" customHeight="1">
      <c r="A433" s="158"/>
      <c r="B433" s="98"/>
      <c r="C433" s="59"/>
      <c r="D433" s="60"/>
      <c r="E433" s="21"/>
      <c r="F433" s="21"/>
      <c r="G433" s="21"/>
      <c r="H433" s="20"/>
      <c r="I433" s="21"/>
      <c r="J433" s="21"/>
      <c r="K433" s="21"/>
      <c r="L433" s="21"/>
      <c r="M433" s="21"/>
      <c r="N433" s="21"/>
      <c r="O433" s="21"/>
      <c r="P433" s="21"/>
      <c r="Q433" s="46"/>
      <c r="R433" s="47"/>
      <c r="S433" s="47"/>
      <c r="T433" s="48"/>
      <c r="U433" s="48"/>
      <c r="V433" s="49"/>
      <c r="W433" s="50"/>
      <c r="X433" s="51"/>
    </row>
    <row r="434" spans="1:28" s="109" customFormat="1" ht="65.099999999999994" customHeight="1">
      <c r="A434" s="158"/>
      <c r="B434" s="163" t="s">
        <v>46</v>
      </c>
      <c r="C434" s="42"/>
      <c r="D434" s="43"/>
      <c r="E434" s="44"/>
      <c r="F434" s="44"/>
      <c r="G434" s="44"/>
      <c r="H434" s="45"/>
      <c r="I434" s="44"/>
      <c r="J434" s="44"/>
      <c r="K434" s="44"/>
      <c r="L434" s="44"/>
      <c r="M434" s="44"/>
      <c r="N434" s="44"/>
      <c r="O434" s="44"/>
      <c r="P434" s="44"/>
      <c r="Q434" s="114"/>
      <c r="R434" s="91"/>
      <c r="S434" s="47"/>
      <c r="T434" s="48"/>
      <c r="U434" s="48"/>
      <c r="V434" s="49"/>
      <c r="W434" s="49"/>
      <c r="X434" s="51"/>
      <c r="Y434" s="108"/>
      <c r="Z434" s="108"/>
    </row>
    <row r="435" spans="1:28" s="52" customFormat="1">
      <c r="A435" s="158"/>
      <c r="B435" s="164"/>
      <c r="C435" s="55"/>
      <c r="D435" s="4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114"/>
      <c r="R435" s="47"/>
      <c r="S435" s="47"/>
      <c r="T435" s="48"/>
      <c r="U435" s="48"/>
      <c r="V435" s="49"/>
      <c r="W435" s="49"/>
      <c r="X435" s="51"/>
      <c r="Y435" s="2"/>
      <c r="Z435" s="2"/>
      <c r="AB435" s="2"/>
    </row>
    <row r="436" spans="1:28" s="52" customFormat="1">
      <c r="A436" s="158"/>
      <c r="B436" s="164"/>
      <c r="C436" s="59" t="s">
        <v>18</v>
      </c>
      <c r="D436" s="60" t="s">
        <v>19</v>
      </c>
      <c r="E436" s="61">
        <v>348.27100000000002</v>
      </c>
      <c r="F436" s="61">
        <v>453.07799999999997</v>
      </c>
      <c r="G436" s="61">
        <v>383.23399999999998</v>
      </c>
      <c r="H436" s="61">
        <v>381.00200000000001</v>
      </c>
      <c r="I436" s="61">
        <v>342.4</v>
      </c>
      <c r="J436" s="61">
        <v>340.209</v>
      </c>
      <c r="K436" s="61">
        <v>383.69</v>
      </c>
      <c r="L436" s="61">
        <v>407.58800000000002</v>
      </c>
      <c r="M436" s="61">
        <v>434.49799999999999</v>
      </c>
      <c r="N436" s="61">
        <v>469.2</v>
      </c>
      <c r="O436" s="61">
        <v>414.02100000000002</v>
      </c>
      <c r="P436" s="61">
        <v>494.09199999999998</v>
      </c>
      <c r="Q436" s="114"/>
      <c r="R436" s="47"/>
      <c r="S436" s="47"/>
      <c r="T436" s="48"/>
      <c r="U436" s="48"/>
      <c r="V436" s="49"/>
      <c r="W436" s="49"/>
      <c r="X436" s="51"/>
      <c r="Y436" s="2"/>
      <c r="Z436" s="2"/>
      <c r="AB436" s="2"/>
    </row>
    <row r="437" spans="1:28" s="52" customFormat="1">
      <c r="A437" s="158"/>
      <c r="B437" s="164"/>
      <c r="C437" s="59" t="s">
        <v>18</v>
      </c>
      <c r="D437" s="60" t="s">
        <v>20</v>
      </c>
      <c r="E437" s="61">
        <v>407.51400000000001</v>
      </c>
      <c r="F437" s="61">
        <v>419.23</v>
      </c>
      <c r="G437" s="61">
        <v>413.38600000000002</v>
      </c>
      <c r="H437" s="61">
        <v>428.75</v>
      </c>
      <c r="I437" s="61">
        <v>416.56200000000001</v>
      </c>
      <c r="J437" s="61">
        <v>391.73</v>
      </c>
      <c r="K437" s="61">
        <v>395.58600000000001</v>
      </c>
      <c r="L437" s="61">
        <v>363.53699999999998</v>
      </c>
      <c r="M437" s="61">
        <v>381.78800000000001</v>
      </c>
      <c r="N437" s="61">
        <v>468.01</v>
      </c>
      <c r="O437" s="61">
        <v>410.32900000000001</v>
      </c>
      <c r="P437" s="61">
        <v>463.697</v>
      </c>
      <c r="Q437" s="114"/>
      <c r="R437" s="47"/>
      <c r="S437" s="47"/>
      <c r="T437" s="48"/>
      <c r="U437" s="48"/>
      <c r="V437" s="49"/>
      <c r="W437" s="49"/>
      <c r="X437" s="51"/>
      <c r="Y437" s="2"/>
      <c r="Z437" s="2"/>
      <c r="AB437" s="2"/>
    </row>
    <row r="438" spans="1:28" ht="46.35" customHeight="1">
      <c r="A438" s="158"/>
      <c r="B438" s="164"/>
      <c r="C438" s="59" t="s">
        <v>18</v>
      </c>
      <c r="D438" s="60" t="s">
        <v>21</v>
      </c>
      <c r="E438" s="61">
        <v>364.61700000000002</v>
      </c>
      <c r="F438" s="61">
        <v>386.73</v>
      </c>
      <c r="G438" s="61">
        <v>379.42500000000001</v>
      </c>
      <c r="H438" s="61">
        <v>401.05200000000002</v>
      </c>
      <c r="I438" s="61">
        <v>388.95600000000002</v>
      </c>
      <c r="J438" s="61">
        <v>376.51</v>
      </c>
      <c r="K438" s="61">
        <v>360.87099999999998</v>
      </c>
      <c r="L438" s="61">
        <v>395.00400000000002</v>
      </c>
      <c r="M438" s="61">
        <v>426.71699999999998</v>
      </c>
      <c r="N438" s="61">
        <v>418.01299999999998</v>
      </c>
      <c r="O438" s="61">
        <v>389.79700000000003</v>
      </c>
      <c r="P438" s="61">
        <v>437.83699999999999</v>
      </c>
      <c r="Q438" s="114"/>
      <c r="R438" s="64"/>
      <c r="S438" s="64"/>
      <c r="T438" s="65"/>
      <c r="U438" s="65"/>
      <c r="V438" s="49"/>
      <c r="W438" s="49"/>
      <c r="X438" s="66"/>
      <c r="AB438" s="6"/>
    </row>
    <row r="439" spans="1:28" s="52" customFormat="1" ht="46.35" customHeight="1">
      <c r="A439" s="158"/>
      <c r="B439" s="164"/>
      <c r="C439" s="59" t="s">
        <v>18</v>
      </c>
      <c r="D439" s="60" t="s">
        <v>22</v>
      </c>
      <c r="E439" s="61">
        <v>367.07499999999999</v>
      </c>
      <c r="F439" s="61">
        <v>365.01400000000001</v>
      </c>
      <c r="G439" s="61">
        <v>356.84699999999998</v>
      </c>
      <c r="H439" s="61">
        <v>351.87</v>
      </c>
      <c r="I439" s="61">
        <v>338.36799999999999</v>
      </c>
      <c r="J439" s="61">
        <v>375.97399999999999</v>
      </c>
      <c r="K439" s="61">
        <v>391.32299999999998</v>
      </c>
      <c r="L439" s="61">
        <v>357.49400000000003</v>
      </c>
      <c r="M439" s="61">
        <v>381.88499999999999</v>
      </c>
      <c r="N439" s="61">
        <v>413.66899999999998</v>
      </c>
      <c r="O439" s="61">
        <v>381.25900000000001</v>
      </c>
      <c r="P439" s="61">
        <v>436.15100000000001</v>
      </c>
      <c r="Q439" s="114"/>
      <c r="R439" s="47"/>
      <c r="S439" s="47"/>
      <c r="T439" s="48"/>
      <c r="U439" s="48"/>
      <c r="V439" s="49"/>
      <c r="W439" s="49"/>
      <c r="X439" s="51"/>
      <c r="Y439" s="2"/>
      <c r="Z439" s="2"/>
      <c r="AB439" s="2"/>
    </row>
    <row r="440" spans="1:28" s="52" customFormat="1" ht="46.35" customHeight="1">
      <c r="A440" s="158"/>
      <c r="B440" s="164"/>
      <c r="C440" s="59" t="s">
        <v>18</v>
      </c>
      <c r="D440" s="60" t="str">
        <f>+D411</f>
        <v>2021-22</v>
      </c>
      <c r="E440" s="61">
        <v>327.64999999999998</v>
      </c>
      <c r="F440" s="61">
        <v>364.49</v>
      </c>
      <c r="G440" s="61">
        <v>332.69799999999998</v>
      </c>
      <c r="H440" s="61">
        <v>343.54599999999999</v>
      </c>
      <c r="I440" s="61">
        <v>379.07</v>
      </c>
      <c r="J440" s="61">
        <v>324.863</v>
      </c>
      <c r="K440" s="61">
        <v>359.09500000000003</v>
      </c>
      <c r="L440" s="61">
        <v>354.76799999999997</v>
      </c>
      <c r="M440" s="61">
        <v>348.72800000000001</v>
      </c>
      <c r="N440" s="61">
        <v>365.50200000000001</v>
      </c>
      <c r="O440" s="61">
        <v>354.25700000000001</v>
      </c>
      <c r="P440" s="61">
        <v>410.13299999999998</v>
      </c>
      <c r="Q440" s="114"/>
      <c r="R440" s="47"/>
      <c r="S440" s="47"/>
      <c r="T440" s="48"/>
      <c r="U440" s="48"/>
      <c r="V440" s="49"/>
      <c r="W440" s="49"/>
      <c r="X440" s="51"/>
      <c r="Y440" s="2"/>
      <c r="Z440" s="2"/>
      <c r="AB440" s="2"/>
    </row>
    <row r="441" spans="1:28" ht="46.35" customHeight="1">
      <c r="A441" s="158"/>
      <c r="B441" s="164"/>
      <c r="C441" s="59" t="s">
        <v>18</v>
      </c>
      <c r="D441" s="60" t="str">
        <f>+D412</f>
        <v>2020-21</v>
      </c>
      <c r="E441" s="61">
        <v>199.09800000000001</v>
      </c>
      <c r="F441" s="61">
        <v>169.16800000000001</v>
      </c>
      <c r="G441" s="61">
        <v>209.93199999999999</v>
      </c>
      <c r="H441" s="61">
        <v>303.05200000000002</v>
      </c>
      <c r="I441" s="61">
        <v>329.44</v>
      </c>
      <c r="J441" s="61">
        <v>344.66300000000001</v>
      </c>
      <c r="K441" s="61">
        <v>387.85599999999999</v>
      </c>
      <c r="L441" s="61">
        <v>381.07600000000002</v>
      </c>
      <c r="M441" s="61">
        <v>390.10700000000003</v>
      </c>
      <c r="N441" s="61">
        <v>378.00900000000001</v>
      </c>
      <c r="O441" s="61">
        <v>313.11900000000003</v>
      </c>
      <c r="P441" s="61">
        <v>381.04300000000001</v>
      </c>
      <c r="Q441" s="114"/>
      <c r="R441" s="64"/>
      <c r="S441" s="64"/>
      <c r="T441" s="65"/>
      <c r="U441" s="65"/>
      <c r="V441" s="49"/>
      <c r="W441" s="49"/>
      <c r="X441" s="66"/>
      <c r="Y441" s="49"/>
      <c r="Z441" s="49"/>
      <c r="AB441" s="49"/>
    </row>
    <row r="442" spans="1:28" ht="46.35" customHeight="1">
      <c r="A442" s="158"/>
      <c r="B442" s="164"/>
      <c r="C442" s="59" t="str">
        <f>+C413</f>
        <v>Actual</v>
      </c>
      <c r="D442" s="59" t="str">
        <f>+D413</f>
        <v>2019-20</v>
      </c>
      <c r="E442" s="61">
        <v>361.61900000000003</v>
      </c>
      <c r="F442" s="61">
        <v>355.01</v>
      </c>
      <c r="G442" s="61">
        <v>360.02300000000002</v>
      </c>
      <c r="H442" s="61">
        <v>370.089</v>
      </c>
      <c r="I442" s="61">
        <v>321.26900000000001</v>
      </c>
      <c r="J442" s="61">
        <v>307.51900000000001</v>
      </c>
      <c r="K442" s="61">
        <v>313.017</v>
      </c>
      <c r="L442" s="61">
        <v>304.05399999999997</v>
      </c>
      <c r="M442" s="61">
        <v>319.05</v>
      </c>
      <c r="N442" s="61">
        <v>357.012</v>
      </c>
      <c r="O442" s="61">
        <v>356.43200000000002</v>
      </c>
      <c r="P442" s="61">
        <v>361.041</v>
      </c>
      <c r="Q442" s="114"/>
      <c r="R442" s="64"/>
      <c r="S442" s="64"/>
      <c r="T442" s="65"/>
      <c r="U442" s="65"/>
      <c r="V442" s="49"/>
      <c r="W442" s="49"/>
      <c r="X442" s="66"/>
    </row>
    <row r="443" spans="1:28" s="25" customFormat="1" ht="46.35" customHeight="1">
      <c r="A443" s="158"/>
      <c r="B443" s="164"/>
      <c r="C443" s="102" t="s">
        <v>18</v>
      </c>
      <c r="D443" s="103" t="s">
        <v>26</v>
      </c>
      <c r="E443" s="61">
        <v>334.57400000000001</v>
      </c>
      <c r="F443" s="61">
        <v>358.06599999999997</v>
      </c>
      <c r="G443" s="61">
        <v>338.97</v>
      </c>
      <c r="H443" s="61">
        <v>328.423</v>
      </c>
      <c r="I443" s="61">
        <v>360.04599999999999</v>
      </c>
      <c r="J443" s="61">
        <v>341.113</v>
      </c>
      <c r="K443" s="61">
        <v>342.31299999999999</v>
      </c>
      <c r="L443" s="61">
        <v>358.11500000000001</v>
      </c>
      <c r="M443" s="61">
        <v>365.08800000000002</v>
      </c>
      <c r="N443" s="61">
        <v>351.83600000000001</v>
      </c>
      <c r="O443" s="61">
        <v>348.697</v>
      </c>
      <c r="P443" s="61">
        <v>382.02699999999999</v>
      </c>
      <c r="Q443" s="114"/>
      <c r="R443" s="117"/>
      <c r="S443" s="64"/>
      <c r="T443" s="65"/>
      <c r="U443" s="65"/>
      <c r="V443" s="49"/>
      <c r="W443" s="49"/>
      <c r="X443" s="66"/>
      <c r="Y443" s="27"/>
      <c r="Z443" s="27"/>
    </row>
    <row r="444" spans="1:28" ht="46.35" customHeight="1">
      <c r="A444" s="158"/>
      <c r="B444" s="164"/>
      <c r="C444" s="59" t="s">
        <v>18</v>
      </c>
      <c r="D444" s="60" t="s">
        <v>27</v>
      </c>
      <c r="E444" s="61">
        <v>295.846</v>
      </c>
      <c r="F444" s="61">
        <v>320.02199999999999</v>
      </c>
      <c r="G444" s="61">
        <v>291.10300000000001</v>
      </c>
      <c r="H444" s="61">
        <v>303.67099999999999</v>
      </c>
      <c r="I444" s="61">
        <v>317.02800000000002</v>
      </c>
      <c r="J444" s="61">
        <v>360.84300000000002</v>
      </c>
      <c r="K444" s="61">
        <v>367.05900000000003</v>
      </c>
      <c r="L444" s="61">
        <v>347.06299999999999</v>
      </c>
      <c r="M444" s="61">
        <v>346.63099999999997</v>
      </c>
      <c r="N444" s="61">
        <v>393.65300000000002</v>
      </c>
      <c r="O444" s="61">
        <v>342.75799999999998</v>
      </c>
      <c r="P444" s="61">
        <v>360.00400000000002</v>
      </c>
      <c r="Q444" s="114"/>
      <c r="R444" s="64"/>
      <c r="S444" s="64"/>
      <c r="T444" s="65"/>
      <c r="U444" s="65"/>
      <c r="V444" s="49"/>
      <c r="W444" s="49"/>
      <c r="X444" s="66"/>
    </row>
    <row r="445" spans="1:28" ht="46.35" customHeight="1">
      <c r="A445" s="158"/>
      <c r="B445" s="164"/>
      <c r="C445" s="59" t="s">
        <v>18</v>
      </c>
      <c r="D445" s="60" t="s">
        <v>28</v>
      </c>
      <c r="E445" s="61">
        <v>284.709</v>
      </c>
      <c r="F445" s="61">
        <v>310.27100000000002</v>
      </c>
      <c r="G445" s="61">
        <v>265.60500000000002</v>
      </c>
      <c r="H445" s="61">
        <v>244.67</v>
      </c>
      <c r="I445" s="61">
        <v>306.88900000000001</v>
      </c>
      <c r="J445" s="61">
        <v>268.233</v>
      </c>
      <c r="K445" s="61">
        <v>305.041</v>
      </c>
      <c r="L445" s="61">
        <v>233.417</v>
      </c>
      <c r="M445" s="61">
        <v>292.64299999999997</v>
      </c>
      <c r="N445" s="61">
        <v>308.93799999999999</v>
      </c>
      <c r="O445" s="61">
        <v>275.88799999999998</v>
      </c>
      <c r="P445" s="61">
        <v>313.63200000000001</v>
      </c>
      <c r="Q445" s="114"/>
      <c r="R445" s="64"/>
      <c r="S445" s="64"/>
      <c r="T445" s="65"/>
      <c r="U445" s="65"/>
      <c r="V445" s="49"/>
      <c r="W445" s="49"/>
      <c r="X445" s="66"/>
    </row>
    <row r="446" spans="1:28" ht="46.35" customHeight="1">
      <c r="A446" s="158"/>
      <c r="B446" s="164"/>
      <c r="C446" s="59" t="s">
        <v>18</v>
      </c>
      <c r="D446" s="60" t="s">
        <v>29</v>
      </c>
      <c r="E446" s="76">
        <v>330.85</v>
      </c>
      <c r="F446" s="76">
        <v>360.00400000000002</v>
      </c>
      <c r="G446" s="76">
        <v>334.24</v>
      </c>
      <c r="H446" s="76">
        <v>320.06400000000002</v>
      </c>
      <c r="I446" s="76">
        <v>309.05599999999998</v>
      </c>
      <c r="J446" s="76">
        <v>287.78899999999999</v>
      </c>
      <c r="K446" s="76">
        <v>294.50900000000001</v>
      </c>
      <c r="L446" s="76">
        <v>290.18</v>
      </c>
      <c r="M446" s="76">
        <v>298.53199999999998</v>
      </c>
      <c r="N446" s="76">
        <v>307.38900000000001</v>
      </c>
      <c r="O446" s="76">
        <v>272.70999999999998</v>
      </c>
      <c r="P446" s="76">
        <v>294.68099999999998</v>
      </c>
      <c r="Q446" s="114"/>
      <c r="R446" s="64"/>
      <c r="S446" s="64"/>
      <c r="T446" s="65"/>
      <c r="U446" s="65"/>
      <c r="V446" s="49"/>
      <c r="W446" s="49"/>
      <c r="X446" s="66"/>
    </row>
    <row r="447" spans="1:28" ht="61.5" customHeight="1">
      <c r="A447" s="158"/>
      <c r="B447" s="164"/>
      <c r="C447" s="59" t="s">
        <v>18</v>
      </c>
      <c r="D447" s="60" t="s">
        <v>30</v>
      </c>
      <c r="E447" s="61">
        <v>364.36500000000001</v>
      </c>
      <c r="F447" s="61">
        <v>363.67899999999997</v>
      </c>
      <c r="G447" s="61">
        <v>366.35399999999998</v>
      </c>
      <c r="H447" s="61">
        <v>353.04899999999998</v>
      </c>
      <c r="I447" s="61">
        <v>357.81</v>
      </c>
      <c r="J447" s="61">
        <v>345.32499999999999</v>
      </c>
      <c r="K447" s="61">
        <v>357.279</v>
      </c>
      <c r="L447" s="61">
        <v>354.02300000000002</v>
      </c>
      <c r="M447" s="61">
        <v>353.76900000000001</v>
      </c>
      <c r="N447" s="61">
        <v>320.39800000000002</v>
      </c>
      <c r="O447" s="61">
        <v>340.05700000000002</v>
      </c>
      <c r="P447" s="61">
        <v>377.16300000000001</v>
      </c>
      <c r="Q447" s="114"/>
      <c r="R447" s="64"/>
      <c r="S447" s="64"/>
      <c r="T447" s="65"/>
      <c r="U447" s="65"/>
      <c r="V447" s="49"/>
      <c r="W447" s="49"/>
      <c r="X447" s="66"/>
    </row>
    <row r="448" spans="1:28" ht="61.5" customHeight="1">
      <c r="A448" s="158"/>
      <c r="B448" s="164"/>
      <c r="C448" s="59" t="s">
        <v>18</v>
      </c>
      <c r="D448" s="78" t="s">
        <v>31</v>
      </c>
      <c r="E448" s="61">
        <v>303.31400000000002</v>
      </c>
      <c r="F448" s="61">
        <v>341.36599999999999</v>
      </c>
      <c r="G448" s="61">
        <v>295.15100000000001</v>
      </c>
      <c r="H448" s="61">
        <v>336.82499999999999</v>
      </c>
      <c r="I448" s="61">
        <v>321.40499999999997</v>
      </c>
      <c r="J448" s="61">
        <v>345.04700000000003</v>
      </c>
      <c r="K448" s="61">
        <v>365.09800000000001</v>
      </c>
      <c r="L448" s="61">
        <v>351.06700000000001</v>
      </c>
      <c r="M448" s="61">
        <v>343.05099999999999</v>
      </c>
      <c r="N448" s="61">
        <v>361.096</v>
      </c>
      <c r="O448" s="61">
        <v>334.33199999999999</v>
      </c>
      <c r="P448" s="61">
        <v>402.34100000000001</v>
      </c>
      <c r="Q448" s="114"/>
      <c r="R448" s="64"/>
      <c r="S448" s="64"/>
      <c r="T448" s="65"/>
      <c r="U448" s="65"/>
      <c r="V448" s="49"/>
      <c r="W448" s="49"/>
      <c r="X448" s="66"/>
    </row>
    <row r="449" spans="1:26" ht="61.5" customHeight="1">
      <c r="A449" s="158"/>
      <c r="B449" s="164"/>
      <c r="C449" s="59" t="s">
        <v>18</v>
      </c>
      <c r="D449" s="60" t="s">
        <v>32</v>
      </c>
      <c r="E449" s="61">
        <v>349.93599999999998</v>
      </c>
      <c r="F449" s="61">
        <v>340.10500000000002</v>
      </c>
      <c r="G449" s="61">
        <v>341.56900000000002</v>
      </c>
      <c r="H449" s="61">
        <v>332.041</v>
      </c>
      <c r="I449" s="61">
        <v>352.10599999999999</v>
      </c>
      <c r="J449" s="61">
        <v>343.58199999999999</v>
      </c>
      <c r="K449" s="61">
        <v>357.39100000000002</v>
      </c>
      <c r="L449" s="61">
        <v>343.21699999999998</v>
      </c>
      <c r="M449" s="61">
        <v>350.78300000000002</v>
      </c>
      <c r="N449" s="61">
        <v>364.399</v>
      </c>
      <c r="O449" s="61">
        <v>309.07</v>
      </c>
      <c r="P449" s="61">
        <v>342.04500000000002</v>
      </c>
      <c r="Q449" s="114"/>
      <c r="R449" s="64"/>
      <c r="S449" s="64"/>
      <c r="T449" s="65"/>
      <c r="U449" s="65"/>
      <c r="V449" s="49"/>
      <c r="W449" s="49"/>
      <c r="X449" s="66"/>
    </row>
    <row r="450" spans="1:26" ht="61.5" customHeight="1">
      <c r="A450" s="158"/>
      <c r="B450" s="164"/>
      <c r="C450" s="59" t="s">
        <v>18</v>
      </c>
      <c r="D450" s="60" t="s">
        <v>33</v>
      </c>
      <c r="E450" s="61">
        <v>340.8</v>
      </c>
      <c r="F450" s="61">
        <v>330.87200000000001</v>
      </c>
      <c r="G450" s="61">
        <v>340.38</v>
      </c>
      <c r="H450" s="61">
        <v>318.26400000000001</v>
      </c>
      <c r="I450" s="61">
        <v>331.98599999999999</v>
      </c>
      <c r="J450" s="61">
        <v>331.22399999999999</v>
      </c>
      <c r="K450" s="61">
        <v>350.02</v>
      </c>
      <c r="L450" s="61">
        <v>343.02199999999999</v>
      </c>
      <c r="M450" s="61">
        <v>331.49599999999998</v>
      </c>
      <c r="N450" s="61">
        <v>312.04199999999997</v>
      </c>
      <c r="O450" s="61">
        <v>322.05599999999998</v>
      </c>
      <c r="P450" s="61">
        <v>360.101</v>
      </c>
      <c r="Q450" s="114"/>
      <c r="R450" s="47"/>
      <c r="S450" s="47"/>
      <c r="T450" s="48"/>
      <c r="U450" s="48"/>
      <c r="V450" s="49"/>
      <c r="W450" s="50"/>
      <c r="X450" s="51"/>
    </row>
    <row r="451" spans="1:26" ht="61.5" customHeight="1">
      <c r="A451" s="158"/>
      <c r="B451" s="164"/>
      <c r="C451" s="59" t="s">
        <v>18</v>
      </c>
      <c r="D451" s="60" t="s">
        <v>34</v>
      </c>
      <c r="E451" s="61">
        <v>330.01</v>
      </c>
      <c r="F451" s="61">
        <v>340.43400000000003</v>
      </c>
      <c r="G451" s="61">
        <v>328.52499999999998</v>
      </c>
      <c r="H451" s="61">
        <v>315.92</v>
      </c>
      <c r="I451" s="61">
        <v>236.58199999999999</v>
      </c>
      <c r="J451" s="61">
        <v>320.01</v>
      </c>
      <c r="K451" s="61">
        <v>369.11799999999999</v>
      </c>
      <c r="L451" s="61">
        <v>393.80500000000001</v>
      </c>
      <c r="M451" s="61">
        <v>399.048</v>
      </c>
      <c r="N451" s="61">
        <v>368.08</v>
      </c>
      <c r="O451" s="61">
        <v>330.20499999999998</v>
      </c>
      <c r="P451" s="61">
        <v>376.02300000000002</v>
      </c>
      <c r="Q451" s="114"/>
      <c r="R451" s="47"/>
      <c r="S451" s="47"/>
      <c r="T451" s="48"/>
      <c r="U451" s="48"/>
      <c r="V451" s="49"/>
      <c r="W451" s="50"/>
      <c r="X451" s="51"/>
    </row>
    <row r="452" spans="1:26" ht="61.5" customHeight="1">
      <c r="A452" s="158"/>
      <c r="B452" s="164"/>
      <c r="C452" s="59" t="s">
        <v>18</v>
      </c>
      <c r="D452" s="60" t="s">
        <v>35</v>
      </c>
      <c r="E452" s="61">
        <v>332.50099999999998</v>
      </c>
      <c r="F452" s="61">
        <v>331.14</v>
      </c>
      <c r="G452" s="61">
        <v>325.012</v>
      </c>
      <c r="H452" s="61">
        <v>350.07600000000002</v>
      </c>
      <c r="I452" s="61">
        <v>340.01499999999999</v>
      </c>
      <c r="J452" s="61">
        <v>327.85199999999998</v>
      </c>
      <c r="K452" s="61">
        <v>345.47800000000001</v>
      </c>
      <c r="L452" s="61">
        <v>337.36799999999999</v>
      </c>
      <c r="M452" s="61">
        <v>352.29300000000001</v>
      </c>
      <c r="N452" s="61">
        <v>342.005</v>
      </c>
      <c r="O452" s="61">
        <v>314.81799999999998</v>
      </c>
      <c r="P452" s="61">
        <v>367.01</v>
      </c>
      <c r="Q452" s="114"/>
      <c r="R452" s="47"/>
      <c r="S452" s="47"/>
      <c r="T452" s="48"/>
      <c r="U452" s="48"/>
      <c r="V452" s="49"/>
      <c r="W452" s="50"/>
      <c r="X452" s="51"/>
    </row>
    <row r="453" spans="1:26" ht="61.5" customHeight="1">
      <c r="A453" s="158"/>
      <c r="B453" s="164"/>
      <c r="C453" s="59" t="s">
        <v>18</v>
      </c>
      <c r="D453" s="60" t="s">
        <v>36</v>
      </c>
      <c r="E453" s="61">
        <v>330.48899999999998</v>
      </c>
      <c r="F453" s="61">
        <v>308.19</v>
      </c>
      <c r="G453" s="61">
        <v>290.11900000000003</v>
      </c>
      <c r="H453" s="61">
        <v>334.077</v>
      </c>
      <c r="I453" s="61">
        <v>385.00299999999999</v>
      </c>
      <c r="J453" s="61">
        <v>377.18400000000003</v>
      </c>
      <c r="K453" s="61">
        <v>374.03899999999999</v>
      </c>
      <c r="L453" s="61">
        <v>314.50799999999998</v>
      </c>
      <c r="M453" s="61">
        <v>328.01299999999998</v>
      </c>
      <c r="N453" s="61">
        <v>332.25599999999997</v>
      </c>
      <c r="O453" s="61">
        <v>300.02</v>
      </c>
      <c r="P453" s="61">
        <v>347.09399999999999</v>
      </c>
      <c r="Q453" s="114"/>
      <c r="R453" s="47"/>
      <c r="S453" s="47"/>
      <c r="T453" s="48"/>
      <c r="U453" s="48"/>
      <c r="V453" s="49"/>
      <c r="W453" s="50"/>
      <c r="X453" s="51"/>
    </row>
    <row r="454" spans="1:26" ht="61.5" customHeight="1">
      <c r="A454" s="158"/>
      <c r="B454" s="164"/>
      <c r="C454" s="59" t="s">
        <v>18</v>
      </c>
      <c r="D454" s="60" t="s">
        <v>37</v>
      </c>
      <c r="E454" s="85">
        <v>402.03699999999998</v>
      </c>
      <c r="F454" s="85">
        <v>416.76100000000002</v>
      </c>
      <c r="G454" s="85">
        <v>360.01499999999999</v>
      </c>
      <c r="H454" s="85">
        <v>381.92</v>
      </c>
      <c r="I454" s="85">
        <v>355.09399999999999</v>
      </c>
      <c r="J454" s="85">
        <v>385.88499999999999</v>
      </c>
      <c r="K454" s="85">
        <v>400.05099999999999</v>
      </c>
      <c r="L454" s="85">
        <v>390.065</v>
      </c>
      <c r="M454" s="85">
        <v>410.13200000000001</v>
      </c>
      <c r="N454" s="85">
        <v>375.09399999999999</v>
      </c>
      <c r="O454" s="85">
        <v>367.80500000000001</v>
      </c>
      <c r="P454" s="85">
        <v>413.1</v>
      </c>
      <c r="Q454" s="114"/>
      <c r="R454" s="47"/>
      <c r="S454" s="47"/>
      <c r="T454" s="48"/>
      <c r="U454" s="48"/>
      <c r="V454" s="49"/>
      <c r="W454" s="50"/>
      <c r="X454" s="51"/>
    </row>
    <row r="455" spans="1:26" ht="61.5" customHeight="1">
      <c r="A455" s="158"/>
      <c r="B455" s="164"/>
      <c r="C455" s="59" t="s">
        <v>18</v>
      </c>
      <c r="D455" s="60" t="s">
        <v>38</v>
      </c>
      <c r="E455" s="85">
        <v>372.06799999999998</v>
      </c>
      <c r="F455" s="85">
        <v>337.21800000000002</v>
      </c>
      <c r="G455" s="85">
        <v>331.036</v>
      </c>
      <c r="H455" s="85">
        <v>338.07100000000003</v>
      </c>
      <c r="I455" s="85">
        <v>380.03100000000001</v>
      </c>
      <c r="J455" s="85">
        <v>382.72800000000001</v>
      </c>
      <c r="K455" s="85">
        <v>410.517</v>
      </c>
      <c r="L455" s="85">
        <v>407.15600000000001</v>
      </c>
      <c r="M455" s="85">
        <v>422</v>
      </c>
      <c r="N455" s="85">
        <v>404.036</v>
      </c>
      <c r="O455" s="85">
        <v>367.29399999999998</v>
      </c>
      <c r="P455" s="85">
        <v>436.06700000000001</v>
      </c>
      <c r="Q455" s="114"/>
      <c r="R455" s="47"/>
      <c r="S455" s="47"/>
      <c r="T455" s="48"/>
      <c r="U455" s="48"/>
      <c r="V455" s="49"/>
      <c r="W455" s="50"/>
      <c r="X455" s="51"/>
    </row>
    <row r="456" spans="1:26" ht="61.5" customHeight="1">
      <c r="A456" s="158"/>
      <c r="B456" s="164"/>
      <c r="C456" s="59" t="s">
        <v>18</v>
      </c>
      <c r="D456" s="60" t="s">
        <v>39</v>
      </c>
      <c r="E456" s="85">
        <v>400.036</v>
      </c>
      <c r="F456" s="85">
        <v>400.34100000000001</v>
      </c>
      <c r="G456" s="85">
        <v>352.37799999999999</v>
      </c>
      <c r="H456" s="85">
        <v>405.21499999999997</v>
      </c>
      <c r="I456" s="85">
        <v>393.30799999999999</v>
      </c>
      <c r="J456" s="85">
        <v>382.11099999999999</v>
      </c>
      <c r="K456" s="85">
        <v>415.05099999999999</v>
      </c>
      <c r="L456" s="85">
        <v>390.03199999999998</v>
      </c>
      <c r="M456" s="85">
        <v>387.90199999999999</v>
      </c>
      <c r="N456" s="85">
        <v>410.01900000000001</v>
      </c>
      <c r="O456" s="85">
        <v>367.02199999999999</v>
      </c>
      <c r="P456" s="85">
        <v>403.10199999999998</v>
      </c>
      <c r="Q456" s="114"/>
      <c r="R456" s="47"/>
      <c r="S456" s="47"/>
      <c r="T456" s="48"/>
      <c r="U456" s="48"/>
      <c r="V456" s="49"/>
      <c r="W456" s="50"/>
      <c r="X456" s="51"/>
    </row>
    <row r="457" spans="1:26" ht="61.5" customHeight="1">
      <c r="A457" s="158"/>
      <c r="B457" s="164"/>
      <c r="C457" s="59" t="s">
        <v>18</v>
      </c>
      <c r="D457" s="60" t="s">
        <v>40</v>
      </c>
      <c r="E457" s="85">
        <v>263.53100000000001</v>
      </c>
      <c r="F457" s="85">
        <v>312.03899999999999</v>
      </c>
      <c r="G457" s="85">
        <v>311.05</v>
      </c>
      <c r="H457" s="85">
        <v>328.23899999999998</v>
      </c>
      <c r="I457" s="85">
        <v>306.10300000000001</v>
      </c>
      <c r="J457" s="85">
        <v>345.101</v>
      </c>
      <c r="K457" s="85">
        <v>365.06299999999999</v>
      </c>
      <c r="L457" s="85">
        <v>358.03399999999999</v>
      </c>
      <c r="M457" s="85">
        <v>353.202</v>
      </c>
      <c r="N457" s="85">
        <v>400.00599999999997</v>
      </c>
      <c r="O457" s="85">
        <v>356.322</v>
      </c>
      <c r="P457" s="85">
        <v>433.10300000000001</v>
      </c>
      <c r="Q457" s="114"/>
      <c r="R457" s="47"/>
      <c r="S457" s="47"/>
      <c r="T457" s="48"/>
      <c r="U457" s="48"/>
      <c r="V457" s="49"/>
      <c r="W457" s="50"/>
      <c r="X457" s="51"/>
    </row>
    <row r="458" spans="1:26" ht="61.5" customHeight="1">
      <c r="A458" s="158"/>
      <c r="B458" s="164"/>
      <c r="C458" s="59" t="s">
        <v>18</v>
      </c>
      <c r="D458" s="60" t="s">
        <v>41</v>
      </c>
      <c r="E458" s="85">
        <v>328.49</v>
      </c>
      <c r="F458" s="85">
        <v>336.06200000000001</v>
      </c>
      <c r="G458" s="85">
        <v>330.04300000000001</v>
      </c>
      <c r="H458" s="85">
        <v>331.08600000000001</v>
      </c>
      <c r="I458" s="85">
        <v>350.03199999999998</v>
      </c>
      <c r="J458" s="85">
        <v>351.66699999999997</v>
      </c>
      <c r="K458" s="85">
        <v>355.577</v>
      </c>
      <c r="L458" s="85">
        <v>349.65</v>
      </c>
      <c r="M458" s="85">
        <v>365.04199999999997</v>
      </c>
      <c r="N458" s="85">
        <v>354.00400000000002</v>
      </c>
      <c r="O458" s="85">
        <v>332.12</v>
      </c>
      <c r="P458" s="85">
        <v>324.16800000000001</v>
      </c>
      <c r="Q458" s="114"/>
      <c r="R458" s="47"/>
      <c r="S458" s="47"/>
      <c r="T458" s="48"/>
      <c r="U458" s="48"/>
      <c r="V458" s="49"/>
      <c r="W458" s="50"/>
      <c r="X458" s="51"/>
    </row>
    <row r="459" spans="1:26" ht="61.5" customHeight="1">
      <c r="A459" s="158"/>
      <c r="B459" s="164"/>
      <c r="C459" s="59" t="s">
        <v>18</v>
      </c>
      <c r="D459" s="60" t="s">
        <v>42</v>
      </c>
      <c r="E459" s="85">
        <v>327.077</v>
      </c>
      <c r="F459" s="85">
        <v>317.77300000000002</v>
      </c>
      <c r="G459" s="85">
        <v>319.59399999999999</v>
      </c>
      <c r="H459" s="85">
        <v>349.30500000000001</v>
      </c>
      <c r="I459" s="85">
        <v>354.11500000000001</v>
      </c>
      <c r="J459" s="85">
        <v>350.02</v>
      </c>
      <c r="K459" s="85">
        <v>358.33600000000001</v>
      </c>
      <c r="L459" s="85">
        <v>343.346</v>
      </c>
      <c r="M459" s="85">
        <v>337.45299999999997</v>
      </c>
      <c r="N459" s="85">
        <v>330.03699999999998</v>
      </c>
      <c r="O459" s="85">
        <v>323.04399999999998</v>
      </c>
      <c r="P459" s="85">
        <v>375.57</v>
      </c>
      <c r="Q459" s="114"/>
      <c r="R459" s="47"/>
      <c r="S459" s="47"/>
      <c r="T459" s="48"/>
      <c r="U459" s="48"/>
      <c r="V459" s="49"/>
      <c r="W459" s="50"/>
      <c r="X459" s="51"/>
    </row>
    <row r="460" spans="1:26" ht="61.5" customHeight="1">
      <c r="A460" s="158"/>
      <c r="B460" s="164"/>
      <c r="C460" s="59" t="s">
        <v>18</v>
      </c>
      <c r="D460" s="60" t="s">
        <v>43</v>
      </c>
      <c r="E460" s="85">
        <v>314.58499999999998</v>
      </c>
      <c r="F460" s="85">
        <v>315.02199999999999</v>
      </c>
      <c r="G460" s="85">
        <v>310.14800000000002</v>
      </c>
      <c r="H460" s="85">
        <v>327.18099999999998</v>
      </c>
      <c r="I460" s="85">
        <v>319.03100000000001</v>
      </c>
      <c r="J460" s="85">
        <v>319.41399999999999</v>
      </c>
      <c r="K460" s="85">
        <v>325.23599999999999</v>
      </c>
      <c r="L460" s="85">
        <v>330.27</v>
      </c>
      <c r="M460" s="85">
        <v>323.66199999999998</v>
      </c>
      <c r="N460" s="85">
        <v>338.19099999999997</v>
      </c>
      <c r="O460" s="85">
        <v>310.60300000000001</v>
      </c>
      <c r="P460" s="85">
        <v>350.64699999999999</v>
      </c>
      <c r="Q460" s="114"/>
      <c r="R460" s="47"/>
      <c r="S460" s="47"/>
      <c r="T460" s="48"/>
      <c r="U460" s="48"/>
      <c r="V460" s="49"/>
      <c r="W460" s="50"/>
      <c r="X460" s="51"/>
    </row>
    <row r="461" spans="1:26" ht="61.5" customHeight="1">
      <c r="A461" s="158"/>
      <c r="B461" s="164"/>
      <c r="C461" s="80" t="s">
        <v>18</v>
      </c>
      <c r="D461" s="81" t="s">
        <v>44</v>
      </c>
      <c r="E461" s="106">
        <v>347.49599999999998</v>
      </c>
      <c r="F461" s="106">
        <v>341.34100000000001</v>
      </c>
      <c r="G461" s="106">
        <v>333.50200000000001</v>
      </c>
      <c r="H461" s="106">
        <v>347.67099999999999</v>
      </c>
      <c r="I461" s="106">
        <v>350.27300000000002</v>
      </c>
      <c r="J461" s="106">
        <v>322.11799999999999</v>
      </c>
      <c r="K461" s="106">
        <v>328.649</v>
      </c>
      <c r="L461" s="106">
        <v>304.93</v>
      </c>
      <c r="M461" s="106">
        <v>298.55099999999999</v>
      </c>
      <c r="N461" s="106">
        <v>350.25</v>
      </c>
      <c r="O461" s="106">
        <v>312.02999999999997</v>
      </c>
      <c r="P461" s="106">
        <v>319.5</v>
      </c>
      <c r="Q461" s="114"/>
      <c r="R461" s="107"/>
      <c r="S461" s="47"/>
      <c r="T461" s="48"/>
      <c r="U461" s="48"/>
      <c r="V461" s="49"/>
      <c r="W461" s="50"/>
      <c r="X461" s="51"/>
    </row>
    <row r="462" spans="1:26" ht="61.5" customHeight="1">
      <c r="A462" s="158"/>
      <c r="B462" s="84"/>
      <c r="C462" s="131"/>
      <c r="D462" s="60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114"/>
      <c r="R462" s="47"/>
      <c r="S462" s="47"/>
      <c r="T462" s="48"/>
      <c r="U462" s="48"/>
      <c r="V462" s="49"/>
      <c r="W462" s="50"/>
      <c r="X462" s="51"/>
    </row>
    <row r="463" spans="1:26" ht="61.5" customHeight="1">
      <c r="A463" s="158"/>
      <c r="B463" s="98"/>
      <c r="C463" s="132"/>
      <c r="D463" s="101"/>
      <c r="E463" s="21"/>
      <c r="F463" s="21"/>
      <c r="G463" s="21"/>
      <c r="H463" s="20"/>
      <c r="I463" s="21"/>
      <c r="J463" s="21"/>
      <c r="K463" s="21"/>
      <c r="L463" s="21"/>
      <c r="M463" s="21"/>
      <c r="N463" s="21"/>
      <c r="O463" s="21"/>
      <c r="P463" s="21"/>
      <c r="Q463" s="114"/>
      <c r="R463" s="47"/>
      <c r="S463" s="47"/>
      <c r="T463" s="48"/>
      <c r="U463" s="48"/>
      <c r="V463" s="49"/>
      <c r="W463" s="50"/>
      <c r="X463" s="51"/>
    </row>
    <row r="464" spans="1:26" s="109" customFormat="1" ht="65.099999999999994" customHeight="1">
      <c r="A464" s="158"/>
      <c r="B464" s="163" t="s">
        <v>47</v>
      </c>
      <c r="C464" s="42"/>
      <c r="D464" s="43"/>
      <c r="E464" s="44"/>
      <c r="F464" s="44"/>
      <c r="G464" s="44"/>
      <c r="H464" s="45"/>
      <c r="I464" s="44"/>
      <c r="J464" s="44"/>
      <c r="K464" s="44"/>
      <c r="L464" s="44"/>
      <c r="M464" s="44"/>
      <c r="N464" s="44"/>
      <c r="O464" s="44"/>
      <c r="P464" s="44"/>
      <c r="Q464" s="43"/>
      <c r="R464" s="91"/>
      <c r="S464" s="47"/>
      <c r="T464" s="48"/>
      <c r="U464" s="48"/>
      <c r="V464" s="49"/>
      <c r="W464" s="49"/>
      <c r="X464" s="51"/>
      <c r="Y464" s="108"/>
      <c r="Z464" s="108"/>
    </row>
    <row r="465" spans="1:28" s="52" customFormat="1">
      <c r="A465" s="158"/>
      <c r="B465" s="164"/>
      <c r="C465" s="55"/>
      <c r="D465" s="4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114"/>
      <c r="R465" s="47"/>
      <c r="S465" s="47"/>
      <c r="T465" s="48"/>
      <c r="U465" s="48"/>
      <c r="V465" s="49"/>
      <c r="W465" s="49"/>
      <c r="X465" s="51"/>
      <c r="Y465" s="2"/>
      <c r="Z465" s="2"/>
      <c r="AB465" s="2"/>
    </row>
    <row r="466" spans="1:28" s="52" customFormat="1">
      <c r="A466" s="158"/>
      <c r="B466" s="164"/>
      <c r="C466" s="59" t="s">
        <v>18</v>
      </c>
      <c r="D466" s="60" t="s">
        <v>19</v>
      </c>
      <c r="E466" s="61">
        <v>226.12559999999993</v>
      </c>
      <c r="F466" s="61">
        <v>255.73090000000002</v>
      </c>
      <c r="G466" s="61">
        <v>261.48989999999998</v>
      </c>
      <c r="H466" s="61">
        <v>268.14230000000003</v>
      </c>
      <c r="I466" s="61">
        <v>253.2636</v>
      </c>
      <c r="J466" s="61">
        <v>243.29740000000001</v>
      </c>
      <c r="K466" s="61">
        <v>202.96209999999996</v>
      </c>
      <c r="L466" s="61">
        <v>244.14819999999997</v>
      </c>
      <c r="M466" s="61">
        <v>251.56099999999998</v>
      </c>
      <c r="N466" s="61">
        <v>244.85139999999998</v>
      </c>
      <c r="O466" s="61">
        <v>196.5753</v>
      </c>
      <c r="P466" s="61">
        <v>251.87170000000003</v>
      </c>
      <c r="Q466" s="114"/>
      <c r="R466" s="47"/>
      <c r="S466" s="47"/>
      <c r="T466" s="48"/>
      <c r="U466" s="48"/>
      <c r="V466" s="49"/>
      <c r="W466" s="49"/>
      <c r="X466" s="51"/>
      <c r="Y466" s="2"/>
      <c r="Z466" s="2"/>
      <c r="AB466" s="2"/>
    </row>
    <row r="467" spans="1:28" s="52" customFormat="1">
      <c r="A467" s="158"/>
      <c r="B467" s="164"/>
      <c r="C467" s="59" t="s">
        <v>18</v>
      </c>
      <c r="D467" s="60" t="s">
        <v>20</v>
      </c>
      <c r="E467" s="61">
        <v>236.13399999999999</v>
      </c>
      <c r="F467" s="61">
        <v>209.17159999999961</v>
      </c>
      <c r="G467" s="61">
        <v>167.35149999999999</v>
      </c>
      <c r="H467" s="61">
        <v>250.03379999999999</v>
      </c>
      <c r="I467" s="61">
        <v>245.40189999999998</v>
      </c>
      <c r="J467" s="61">
        <v>245.76979999999998</v>
      </c>
      <c r="K467" s="61">
        <v>237.88629999999998</v>
      </c>
      <c r="L467" s="61">
        <v>8.2464999999999993</v>
      </c>
      <c r="M467" s="61">
        <v>257.29090000000002</v>
      </c>
      <c r="N467" s="61">
        <v>261.84540000000004</v>
      </c>
      <c r="O467" s="61">
        <v>239.624</v>
      </c>
      <c r="P467" s="61">
        <v>263.83100000000002</v>
      </c>
      <c r="Q467" s="114"/>
      <c r="R467" s="47"/>
      <c r="S467" s="47"/>
      <c r="T467" s="48"/>
      <c r="U467" s="48"/>
      <c r="V467" s="49"/>
      <c r="W467" s="49"/>
      <c r="X467" s="51"/>
      <c r="Y467" s="2"/>
      <c r="Z467" s="2"/>
      <c r="AB467" s="2"/>
    </row>
    <row r="468" spans="1:28" ht="46.35" customHeight="1">
      <c r="A468" s="158"/>
      <c r="B468" s="164"/>
      <c r="C468" s="59" t="s">
        <v>18</v>
      </c>
      <c r="D468" s="60" t="s">
        <v>21</v>
      </c>
      <c r="E468" s="61">
        <v>231.70500000000001</v>
      </c>
      <c r="F468" s="61">
        <v>186.32489999999999</v>
      </c>
      <c r="G468" s="61">
        <v>213.36099999999999</v>
      </c>
      <c r="H468" s="61">
        <v>245.255</v>
      </c>
      <c r="I468" s="61">
        <v>240.285</v>
      </c>
      <c r="J468" s="61">
        <v>229.12</v>
      </c>
      <c r="K468" s="61">
        <v>243.316</v>
      </c>
      <c r="L468" s="61">
        <v>206.09399999999999</v>
      </c>
      <c r="M468" s="61">
        <v>228.21299999999999</v>
      </c>
      <c r="N468" s="61">
        <v>232.52500000000001</v>
      </c>
      <c r="O468" s="61">
        <v>230.19900000000001</v>
      </c>
      <c r="P468" s="61">
        <v>234.881</v>
      </c>
      <c r="Q468" s="115"/>
      <c r="R468" s="64"/>
      <c r="S468" s="64"/>
      <c r="T468" s="65"/>
      <c r="U468" s="65"/>
      <c r="V468" s="49"/>
      <c r="W468" s="49"/>
      <c r="X468" s="66"/>
      <c r="AB468" s="6"/>
    </row>
    <row r="469" spans="1:28" s="52" customFormat="1" ht="46.35" customHeight="1">
      <c r="A469" s="158"/>
      <c r="B469" s="164"/>
      <c r="C469" s="59" t="s">
        <v>18</v>
      </c>
      <c r="D469" s="60" t="s">
        <v>22</v>
      </c>
      <c r="E469" s="61">
        <v>211.029</v>
      </c>
      <c r="F469" s="61">
        <v>195.17260000000002</v>
      </c>
      <c r="G469" s="61">
        <v>159.46899999999999</v>
      </c>
      <c r="H469" s="61">
        <v>216.36500000000001</v>
      </c>
      <c r="I469" s="61">
        <v>222.77600000000001</v>
      </c>
      <c r="J469" s="61">
        <v>204.83199999999999</v>
      </c>
      <c r="K469" s="61">
        <v>220.767</v>
      </c>
      <c r="L469" s="61">
        <v>218.316</v>
      </c>
      <c r="M469" s="61">
        <v>240.40509999999998</v>
      </c>
      <c r="N469" s="61">
        <v>240.23</v>
      </c>
      <c r="O469" s="61">
        <v>220.059</v>
      </c>
      <c r="P469" s="61">
        <v>242.69499999999999</v>
      </c>
      <c r="Q469" s="114"/>
      <c r="R469" s="47"/>
      <c r="S469" s="47"/>
      <c r="T469" s="48"/>
      <c r="U469" s="48"/>
      <c r="V469" s="49"/>
      <c r="W469" s="49"/>
      <c r="X469" s="51"/>
      <c r="Y469" s="2"/>
      <c r="Z469" s="2"/>
      <c r="AB469" s="2"/>
    </row>
    <row r="470" spans="1:28" s="52" customFormat="1" ht="46.35" customHeight="1">
      <c r="A470" s="158"/>
      <c r="B470" s="164"/>
      <c r="C470" s="59" t="s">
        <v>18</v>
      </c>
      <c r="D470" s="60" t="str">
        <f>+D440</f>
        <v>2021-22</v>
      </c>
      <c r="E470" s="61">
        <v>109.815</v>
      </c>
      <c r="F470" s="61">
        <v>103.4666</v>
      </c>
      <c r="G470" s="61">
        <v>206.93700000000001</v>
      </c>
      <c r="H470" s="61">
        <v>200.202</v>
      </c>
      <c r="I470" s="61">
        <v>220.172</v>
      </c>
      <c r="J470" s="61">
        <v>213.01499999999999</v>
      </c>
      <c r="K470" s="61">
        <v>232.65199999999999</v>
      </c>
      <c r="L470" s="61">
        <v>207.01900000000001</v>
      </c>
      <c r="M470" s="61">
        <v>230.30600000000001</v>
      </c>
      <c r="N470" s="61">
        <v>235.11699999999999</v>
      </c>
      <c r="O470" s="61">
        <v>210.22900000000001</v>
      </c>
      <c r="P470" s="61">
        <v>237.85499999999999</v>
      </c>
      <c r="Q470" s="114"/>
      <c r="R470" s="47"/>
      <c r="S470" s="47"/>
      <c r="T470" s="48"/>
      <c r="U470" s="48"/>
      <c r="V470" s="49"/>
      <c r="W470" s="49"/>
      <c r="X470" s="51"/>
      <c r="Y470" s="2"/>
      <c r="Z470" s="2"/>
      <c r="AB470" s="2"/>
    </row>
    <row r="471" spans="1:28" ht="46.35" customHeight="1">
      <c r="A471" s="158"/>
      <c r="B471" s="164"/>
      <c r="C471" s="59" t="s">
        <v>18</v>
      </c>
      <c r="D471" s="60" t="str">
        <f>+D441</f>
        <v>2020-21</v>
      </c>
      <c r="E471" s="61">
        <v>143.76599999999999</v>
      </c>
      <c r="F471" s="61">
        <v>152.13200000000001</v>
      </c>
      <c r="G471" s="61">
        <v>167.381</v>
      </c>
      <c r="H471" s="61">
        <v>190.559</v>
      </c>
      <c r="I471" s="61">
        <v>195.518</v>
      </c>
      <c r="J471" s="61">
        <v>107.327</v>
      </c>
      <c r="K471" s="61">
        <v>125.039</v>
      </c>
      <c r="L471" s="61">
        <v>154.255</v>
      </c>
      <c r="M471" s="61">
        <v>198.815</v>
      </c>
      <c r="N471" s="61">
        <v>221.321</v>
      </c>
      <c r="O471" s="61">
        <v>198.51400000000001</v>
      </c>
      <c r="P471" s="61">
        <v>238.17099999999999</v>
      </c>
      <c r="Q471" s="115"/>
      <c r="R471" s="64"/>
      <c r="S471" s="64"/>
      <c r="T471" s="65"/>
      <c r="U471" s="65"/>
      <c r="V471" s="49"/>
      <c r="W471" s="49"/>
      <c r="X471" s="66"/>
      <c r="Y471" s="49"/>
      <c r="Z471" s="49"/>
      <c r="AB471" s="49"/>
    </row>
    <row r="472" spans="1:28" ht="46.35" customHeight="1">
      <c r="A472" s="158"/>
      <c r="B472" s="164"/>
      <c r="C472" s="59" t="str">
        <f>+C442</f>
        <v>Actual</v>
      </c>
      <c r="D472" s="59" t="str">
        <f>+D442</f>
        <v>2019-20</v>
      </c>
      <c r="E472" s="61">
        <v>80.956999999999994</v>
      </c>
      <c r="F472" s="61">
        <v>235.82900000000001</v>
      </c>
      <c r="G472" s="61">
        <v>216.57400000000001</v>
      </c>
      <c r="H472" s="61">
        <v>225.92</v>
      </c>
      <c r="I472" s="61">
        <v>229.309</v>
      </c>
      <c r="J472" s="61">
        <v>166.018</v>
      </c>
      <c r="K472" s="61">
        <v>194.89400000000001</v>
      </c>
      <c r="L472" s="61">
        <v>211.077</v>
      </c>
      <c r="M472" s="61">
        <v>250.30500000000001</v>
      </c>
      <c r="N472" s="61">
        <v>240.31100000000001</v>
      </c>
      <c r="O472" s="61">
        <v>234.64699999999999</v>
      </c>
      <c r="P472" s="61">
        <v>219.2099</v>
      </c>
      <c r="Q472" s="115"/>
      <c r="R472" s="64"/>
      <c r="S472" s="64"/>
      <c r="T472" s="65"/>
      <c r="U472" s="65"/>
      <c r="V472" s="49"/>
      <c r="W472" s="49"/>
      <c r="X472" s="66"/>
    </row>
    <row r="473" spans="1:28" s="25" customFormat="1" ht="46.35" customHeight="1">
      <c r="A473" s="158"/>
      <c r="B473" s="164"/>
      <c r="C473" s="102" t="s">
        <v>18</v>
      </c>
      <c r="D473" s="103" t="s">
        <v>26</v>
      </c>
      <c r="E473" s="61">
        <v>161.345</v>
      </c>
      <c r="F473" s="61">
        <v>206.232</v>
      </c>
      <c r="G473" s="61">
        <v>208.75399999999999</v>
      </c>
      <c r="H473" s="61">
        <v>200.292</v>
      </c>
      <c r="I473" s="61">
        <v>93.603999999999999</v>
      </c>
      <c r="J473" s="61">
        <v>25.861999999999998</v>
      </c>
      <c r="K473" s="61">
        <v>165.989</v>
      </c>
      <c r="L473" s="61">
        <v>223.315</v>
      </c>
      <c r="M473" s="61">
        <v>235.72399999999999</v>
      </c>
      <c r="N473" s="61">
        <v>230.49299999999999</v>
      </c>
      <c r="O473" s="61">
        <v>215.51300000000001</v>
      </c>
      <c r="P473" s="61">
        <v>233.22499999999999</v>
      </c>
      <c r="Q473" s="116"/>
      <c r="R473" s="117"/>
      <c r="S473" s="64"/>
      <c r="T473" s="65"/>
      <c r="U473" s="65"/>
      <c r="V473" s="49"/>
      <c r="W473" s="49"/>
      <c r="X473" s="66"/>
      <c r="Y473" s="27"/>
      <c r="Z473" s="27"/>
    </row>
    <row r="474" spans="1:28" ht="46.35" customHeight="1">
      <c r="A474" s="158"/>
      <c r="B474" s="164"/>
      <c r="C474" s="59" t="s">
        <v>18</v>
      </c>
      <c r="D474" s="60" t="s">
        <v>27</v>
      </c>
      <c r="E474" s="61">
        <v>158.45699999999999</v>
      </c>
      <c r="F474" s="61">
        <v>140.501</v>
      </c>
      <c r="G474" s="61">
        <v>158.60300000000001</v>
      </c>
      <c r="H474" s="61">
        <v>168.053</v>
      </c>
      <c r="I474" s="61">
        <v>180.04599999999999</v>
      </c>
      <c r="J474" s="61">
        <v>186.48599999999999</v>
      </c>
      <c r="K474" s="61">
        <v>175.75800000000001</v>
      </c>
      <c r="L474" s="61">
        <v>156.20599999999999</v>
      </c>
      <c r="M474" s="61">
        <v>170.18100000000001</v>
      </c>
      <c r="N474" s="61">
        <v>190.80199999999999</v>
      </c>
      <c r="O474" s="61">
        <v>178.95699999999999</v>
      </c>
      <c r="P474" s="61">
        <v>190.84100000000001</v>
      </c>
      <c r="Q474" s="60"/>
      <c r="R474" s="64"/>
      <c r="S474" s="64"/>
      <c r="T474" s="65"/>
      <c r="U474" s="65"/>
      <c r="V474" s="49"/>
      <c r="W474" s="49"/>
      <c r="X474" s="66"/>
    </row>
    <row r="475" spans="1:28" ht="46.35" customHeight="1">
      <c r="A475" s="158"/>
      <c r="B475" s="164"/>
      <c r="C475" s="59" t="s">
        <v>18</v>
      </c>
      <c r="D475" s="60" t="s">
        <v>28</v>
      </c>
      <c r="E475" s="61">
        <v>140.07300000000001</v>
      </c>
      <c r="F475" s="61">
        <v>133.41999999999999</v>
      </c>
      <c r="G475" s="61">
        <v>142.249</v>
      </c>
      <c r="H475" s="61">
        <v>156.51400000000001</v>
      </c>
      <c r="I475" s="61">
        <v>150.04400000000001</v>
      </c>
      <c r="J475" s="61">
        <v>145.67500000000001</v>
      </c>
      <c r="K475" s="61">
        <v>159.22399999999999</v>
      </c>
      <c r="L475" s="61">
        <v>125.78</v>
      </c>
      <c r="M475" s="61">
        <v>175.96</v>
      </c>
      <c r="N475" s="61">
        <v>170.017</v>
      </c>
      <c r="O475" s="61">
        <v>150.74</v>
      </c>
      <c r="P475" s="61">
        <v>160.06100000000001</v>
      </c>
      <c r="Q475" s="60"/>
      <c r="R475" s="64"/>
      <c r="S475" s="64"/>
      <c r="T475" s="65"/>
      <c r="U475" s="65"/>
      <c r="V475" s="49"/>
      <c r="W475" s="49"/>
      <c r="X475" s="66"/>
    </row>
    <row r="476" spans="1:28" ht="46.35" customHeight="1">
      <c r="A476" s="158"/>
      <c r="B476" s="164"/>
      <c r="C476" s="59" t="s">
        <v>18</v>
      </c>
      <c r="D476" s="60" t="s">
        <v>29</v>
      </c>
      <c r="E476" s="76">
        <v>111.41200000000001</v>
      </c>
      <c r="F476" s="76">
        <v>111.014</v>
      </c>
      <c r="G476" s="76">
        <v>115.11199999999999</v>
      </c>
      <c r="H476" s="76">
        <v>114.005</v>
      </c>
      <c r="I476" s="76">
        <v>115.998</v>
      </c>
      <c r="J476" s="76">
        <v>117.282</v>
      </c>
      <c r="K476" s="76">
        <v>117.16800000000001</v>
      </c>
      <c r="L476" s="76">
        <v>121.17400000000001</v>
      </c>
      <c r="M476" s="76">
        <v>114.288</v>
      </c>
      <c r="N476" s="76">
        <v>125.011</v>
      </c>
      <c r="O476" s="76">
        <v>128.00700000000001</v>
      </c>
      <c r="P476" s="76">
        <v>140.1</v>
      </c>
      <c r="Q476" s="60"/>
      <c r="R476" s="64"/>
      <c r="S476" s="64"/>
      <c r="T476" s="65"/>
      <c r="U476" s="65"/>
      <c r="V476" s="49"/>
      <c r="W476" s="49"/>
      <c r="X476" s="66"/>
    </row>
    <row r="477" spans="1:28" ht="61.5" customHeight="1">
      <c r="A477" s="158"/>
      <c r="B477" s="164"/>
      <c r="C477" s="59" t="s">
        <v>18</v>
      </c>
      <c r="D477" s="60" t="s">
        <v>30</v>
      </c>
      <c r="E477" s="61">
        <v>17.161999999999999</v>
      </c>
      <c r="F477" s="61">
        <v>18.170999999999999</v>
      </c>
      <c r="G477" s="61">
        <v>17.372</v>
      </c>
      <c r="H477" s="61">
        <v>17.78</v>
      </c>
      <c r="I477" s="61">
        <v>17.346</v>
      </c>
      <c r="J477" s="61">
        <v>16.526</v>
      </c>
      <c r="K477" s="61">
        <v>18.001000000000001</v>
      </c>
      <c r="L477" s="61">
        <v>17.468</v>
      </c>
      <c r="M477" s="61">
        <v>89.466999999999999</v>
      </c>
      <c r="N477" s="61">
        <v>113.72</v>
      </c>
      <c r="O477" s="61">
        <v>104.98399999999999</v>
      </c>
      <c r="P477" s="61">
        <v>117.995</v>
      </c>
      <c r="Q477" s="60"/>
      <c r="R477" s="64"/>
      <c r="S477" s="64"/>
      <c r="T477" s="65"/>
      <c r="U477" s="65"/>
      <c r="V477" s="49"/>
      <c r="W477" s="49"/>
      <c r="X477" s="66"/>
    </row>
    <row r="478" spans="1:28" ht="61.5" customHeight="1">
      <c r="A478" s="158"/>
      <c r="B478" s="164"/>
      <c r="C478" s="59" t="s">
        <v>18</v>
      </c>
      <c r="D478" s="78" t="s">
        <v>31</v>
      </c>
      <c r="E478" s="61">
        <v>19.004999999999999</v>
      </c>
      <c r="F478" s="61">
        <v>19.797999999999998</v>
      </c>
      <c r="G478" s="61">
        <v>19.664000000000001</v>
      </c>
      <c r="H478" s="61">
        <v>19.661000000000001</v>
      </c>
      <c r="I478" s="61">
        <v>18.503</v>
      </c>
      <c r="J478" s="61">
        <v>12.901</v>
      </c>
      <c r="K478" s="61">
        <v>16.306000000000001</v>
      </c>
      <c r="L478" s="61">
        <v>19.102</v>
      </c>
      <c r="M478" s="61">
        <v>20.216000000000001</v>
      </c>
      <c r="N478" s="61">
        <v>19.55</v>
      </c>
      <c r="O478" s="61">
        <v>15.429</v>
      </c>
      <c r="P478" s="61">
        <v>19.504000000000001</v>
      </c>
      <c r="Q478" s="60"/>
      <c r="R478" s="64"/>
      <c r="S478" s="64"/>
      <c r="T478" s="65"/>
      <c r="U478" s="65"/>
      <c r="V478" s="49"/>
      <c r="W478" s="49"/>
      <c r="X478" s="66"/>
    </row>
    <row r="479" spans="1:28" ht="61.5" customHeight="1">
      <c r="A479" s="158"/>
      <c r="B479" s="164"/>
      <c r="C479" s="59" t="s">
        <v>18</v>
      </c>
      <c r="D479" s="60" t="s">
        <v>32</v>
      </c>
      <c r="E479" s="61">
        <v>17.088999999999999</v>
      </c>
      <c r="F479" s="61">
        <v>18.553000000000001</v>
      </c>
      <c r="G479" s="61">
        <v>20.196999999999999</v>
      </c>
      <c r="H479" s="61">
        <v>20.933</v>
      </c>
      <c r="I479" s="61">
        <v>18.251999999999999</v>
      </c>
      <c r="J479" s="61">
        <v>19.343</v>
      </c>
      <c r="K479" s="61">
        <v>21.053999999999998</v>
      </c>
      <c r="L479" s="61">
        <v>19.074999999999999</v>
      </c>
      <c r="M479" s="61">
        <v>19.100000000000001</v>
      </c>
      <c r="N479" s="61">
        <v>20.148</v>
      </c>
      <c r="O479" s="61">
        <v>17.204000000000001</v>
      </c>
      <c r="P479" s="61">
        <v>21.085999999999999</v>
      </c>
      <c r="Q479" s="60"/>
      <c r="R479" s="64"/>
      <c r="S479" s="64"/>
      <c r="T479" s="65"/>
      <c r="U479" s="65"/>
      <c r="V479" s="49"/>
      <c r="W479" s="49"/>
      <c r="X479" s="66"/>
    </row>
    <row r="480" spans="1:28" ht="61.5" customHeight="1">
      <c r="A480" s="158"/>
      <c r="B480" s="164"/>
      <c r="C480" s="59" t="s">
        <v>18</v>
      </c>
      <c r="D480" s="60" t="s">
        <v>33</v>
      </c>
      <c r="E480" s="61">
        <v>44.555</v>
      </c>
      <c r="F480" s="61">
        <v>47.598999999999997</v>
      </c>
      <c r="G480" s="61">
        <v>41.511000000000003</v>
      </c>
      <c r="H480" s="61">
        <v>32.664999999999999</v>
      </c>
      <c r="I480" s="61">
        <v>26.035</v>
      </c>
      <c r="J480" s="61">
        <v>32.673999999999999</v>
      </c>
      <c r="K480" s="61">
        <v>39.655000000000001</v>
      </c>
      <c r="L480" s="61">
        <v>40.131</v>
      </c>
      <c r="M480" s="61">
        <v>40.164000000000001</v>
      </c>
      <c r="N480" s="61">
        <v>41.005000000000003</v>
      </c>
      <c r="O480" s="61">
        <v>40.106000000000002</v>
      </c>
      <c r="P480" s="61">
        <v>25.100999999999999</v>
      </c>
      <c r="Q480" s="60"/>
      <c r="R480" s="47"/>
      <c r="S480" s="47"/>
      <c r="T480" s="48"/>
      <c r="U480" s="48"/>
      <c r="V480" s="49"/>
      <c r="W480" s="50"/>
      <c r="X480" s="51"/>
    </row>
    <row r="481" spans="1:31" ht="61.5" customHeight="1">
      <c r="A481" s="158"/>
      <c r="B481" s="164"/>
      <c r="C481" s="59" t="s">
        <v>18</v>
      </c>
      <c r="D481" s="60" t="s">
        <v>34</v>
      </c>
      <c r="E481" s="61">
        <v>44.301000000000002</v>
      </c>
      <c r="F481" s="61">
        <v>43.002000000000002</v>
      </c>
      <c r="G481" s="61">
        <v>39.887</v>
      </c>
      <c r="H481" s="61">
        <v>40.006999999999998</v>
      </c>
      <c r="I481" s="61">
        <v>41.003999999999998</v>
      </c>
      <c r="J481" s="61">
        <v>35.006</v>
      </c>
      <c r="K481" s="61">
        <v>45.008000000000003</v>
      </c>
      <c r="L481" s="61">
        <v>40.545000000000002</v>
      </c>
      <c r="M481" s="61">
        <v>38.417999999999999</v>
      </c>
      <c r="N481" s="61">
        <v>40.850999999999999</v>
      </c>
      <c r="O481" s="61">
        <v>40.052</v>
      </c>
      <c r="P481" s="61">
        <v>47.213999999999999</v>
      </c>
      <c r="Q481" s="60"/>
      <c r="R481" s="47"/>
      <c r="S481" s="47"/>
      <c r="T481" s="48"/>
      <c r="U481" s="48"/>
      <c r="V481" s="49"/>
      <c r="W481" s="50"/>
      <c r="X481" s="51"/>
    </row>
    <row r="482" spans="1:31" ht="61.5" customHeight="1">
      <c r="A482" s="158"/>
      <c r="B482" s="164"/>
      <c r="C482" s="59" t="s">
        <v>18</v>
      </c>
      <c r="D482" s="60" t="s">
        <v>35</v>
      </c>
      <c r="E482" s="61">
        <v>45.012</v>
      </c>
      <c r="F482" s="61">
        <v>38.000999999999998</v>
      </c>
      <c r="G482" s="61">
        <v>36.487000000000002</v>
      </c>
      <c r="H482" s="61">
        <v>28.954999999999998</v>
      </c>
      <c r="I482" s="61">
        <v>35.378</v>
      </c>
      <c r="J482" s="61">
        <v>38.304000000000002</v>
      </c>
      <c r="K482" s="61">
        <v>42.436</v>
      </c>
      <c r="L482" s="61">
        <v>44.505000000000003</v>
      </c>
      <c r="M482" s="61">
        <v>48.003999999999998</v>
      </c>
      <c r="N482" s="61">
        <v>49.829000000000001</v>
      </c>
      <c r="O482" s="61">
        <v>45.101999999999997</v>
      </c>
      <c r="P482" s="61">
        <v>50.12</v>
      </c>
      <c r="Q482" s="60"/>
      <c r="R482" s="47"/>
      <c r="S482" s="47"/>
      <c r="T482" s="48"/>
      <c r="U482" s="48"/>
      <c r="V482" s="49"/>
      <c r="W482" s="50"/>
      <c r="X482" s="51"/>
    </row>
    <row r="483" spans="1:31" ht="61.5" customHeight="1">
      <c r="A483" s="158"/>
      <c r="B483" s="164"/>
      <c r="C483" s="59" t="s">
        <v>18</v>
      </c>
      <c r="D483" s="60" t="s">
        <v>36</v>
      </c>
      <c r="E483" s="61">
        <v>43.899000000000001</v>
      </c>
      <c r="F483" s="61">
        <v>48.927</v>
      </c>
      <c r="G483" s="61">
        <v>64.004999999999995</v>
      </c>
      <c r="H483" s="61">
        <v>56.036999999999999</v>
      </c>
      <c r="I483" s="61">
        <v>63.387999999999998</v>
      </c>
      <c r="J483" s="61">
        <v>49.402000000000001</v>
      </c>
      <c r="K483" s="61">
        <v>49.863</v>
      </c>
      <c r="L483" s="61">
        <v>44.725000000000001</v>
      </c>
      <c r="M483" s="61">
        <v>44.412999999999997</v>
      </c>
      <c r="N483" s="61">
        <v>51.051000000000002</v>
      </c>
      <c r="O483" s="61">
        <v>40.670999999999999</v>
      </c>
      <c r="P483" s="61">
        <v>41.718000000000004</v>
      </c>
      <c r="Q483" s="81"/>
      <c r="R483" s="47"/>
      <c r="S483" s="47"/>
      <c r="T483" s="48"/>
      <c r="U483" s="48"/>
      <c r="V483" s="49"/>
      <c r="W483" s="50"/>
      <c r="X483" s="51"/>
    </row>
    <row r="484" spans="1:31" ht="61.5" customHeight="1">
      <c r="A484" s="158"/>
      <c r="B484" s="164"/>
      <c r="C484" s="59" t="s">
        <v>18</v>
      </c>
      <c r="D484" s="60" t="s">
        <v>37</v>
      </c>
      <c r="E484" s="85">
        <v>68.001000000000005</v>
      </c>
      <c r="F484" s="85">
        <v>59.005000000000003</v>
      </c>
      <c r="G484" s="85">
        <v>53.5</v>
      </c>
      <c r="H484" s="85">
        <v>56.000999999999998</v>
      </c>
      <c r="I484" s="85">
        <v>52.000999999999998</v>
      </c>
      <c r="J484" s="85">
        <v>49.378</v>
      </c>
      <c r="K484" s="85">
        <v>56.442</v>
      </c>
      <c r="L484" s="85">
        <v>55.271000000000001</v>
      </c>
      <c r="M484" s="85">
        <v>50.795000000000002</v>
      </c>
      <c r="N484" s="85">
        <v>57.162999999999997</v>
      </c>
      <c r="O484" s="85">
        <v>40.631999999999998</v>
      </c>
      <c r="P484" s="85">
        <v>41.610999999999997</v>
      </c>
      <c r="Q484" s="46"/>
      <c r="R484" s="47"/>
      <c r="S484" s="47"/>
      <c r="T484" s="48"/>
      <c r="U484" s="48"/>
      <c r="V484" s="49"/>
      <c r="W484" s="50"/>
      <c r="X484" s="51"/>
    </row>
    <row r="485" spans="1:31" ht="61.5" customHeight="1">
      <c r="A485" s="158"/>
      <c r="B485" s="164"/>
      <c r="C485" s="59" t="s">
        <v>18</v>
      </c>
      <c r="D485" s="60" t="s">
        <v>38</v>
      </c>
      <c r="E485" s="85">
        <v>59.347000000000001</v>
      </c>
      <c r="F485" s="85">
        <v>65.653999999999996</v>
      </c>
      <c r="G485" s="85">
        <v>64.007000000000005</v>
      </c>
      <c r="H485" s="85">
        <v>63.052</v>
      </c>
      <c r="I485" s="85">
        <v>59.103999999999999</v>
      </c>
      <c r="J485" s="85">
        <v>68.156000000000006</v>
      </c>
      <c r="K485" s="85">
        <v>64.111999999999995</v>
      </c>
      <c r="L485" s="85">
        <v>68.075000000000003</v>
      </c>
      <c r="M485" s="85">
        <v>71.013000000000005</v>
      </c>
      <c r="N485" s="85">
        <v>61.801000000000002</v>
      </c>
      <c r="O485" s="85">
        <v>57.841999999999999</v>
      </c>
      <c r="P485" s="85">
        <v>73.099999999999994</v>
      </c>
      <c r="Q485" s="46"/>
      <c r="R485" s="47"/>
      <c r="S485" s="47"/>
      <c r="T485" s="48"/>
      <c r="U485" s="48"/>
      <c r="V485" s="49"/>
      <c r="W485" s="50"/>
      <c r="X485" s="51"/>
    </row>
    <row r="486" spans="1:31" ht="61.5" customHeight="1">
      <c r="A486" s="158"/>
      <c r="B486" s="164"/>
      <c r="C486" s="59" t="s">
        <v>18</v>
      </c>
      <c r="D486" s="60" t="s">
        <v>39</v>
      </c>
      <c r="E486" s="85">
        <v>68.188999999999993</v>
      </c>
      <c r="F486" s="85">
        <v>70.004999999999995</v>
      </c>
      <c r="G486" s="85">
        <v>65.004999999999995</v>
      </c>
      <c r="H486" s="85">
        <v>65.033000000000001</v>
      </c>
      <c r="I486" s="85">
        <v>58.009</v>
      </c>
      <c r="J486" s="85">
        <v>60.164999999999999</v>
      </c>
      <c r="K486" s="85">
        <v>62.006999999999998</v>
      </c>
      <c r="L486" s="85">
        <v>64.006</v>
      </c>
      <c r="M486" s="85">
        <v>68.427999999999997</v>
      </c>
      <c r="N486" s="85">
        <v>74.015000000000001</v>
      </c>
      <c r="O486" s="85">
        <v>57.1</v>
      </c>
      <c r="P486" s="85">
        <v>70.003</v>
      </c>
      <c r="Q486" s="46"/>
      <c r="R486" s="47"/>
      <c r="S486" s="47"/>
      <c r="T486" s="48"/>
      <c r="U486" s="48"/>
      <c r="V486" s="49"/>
      <c r="W486" s="50"/>
      <c r="X486" s="51"/>
    </row>
    <row r="487" spans="1:31" ht="61.5" customHeight="1">
      <c r="A487" s="158"/>
      <c r="B487" s="164"/>
      <c r="C487" s="59" t="s">
        <v>18</v>
      </c>
      <c r="D487" s="60" t="s">
        <v>40</v>
      </c>
      <c r="E487" s="85">
        <v>40.637</v>
      </c>
      <c r="F487" s="85">
        <v>41.100999999999999</v>
      </c>
      <c r="G487" s="85">
        <v>30.260999999999999</v>
      </c>
      <c r="H487" s="85">
        <v>53.011000000000003</v>
      </c>
      <c r="I487" s="85">
        <v>60.506999999999998</v>
      </c>
      <c r="J487" s="85">
        <v>59</v>
      </c>
      <c r="K487" s="85">
        <v>64.509</v>
      </c>
      <c r="L487" s="85">
        <v>61.005000000000003</v>
      </c>
      <c r="M487" s="85">
        <v>65.165999999999997</v>
      </c>
      <c r="N487" s="85">
        <v>74.004999999999995</v>
      </c>
      <c r="O487" s="85">
        <v>70.010999999999996</v>
      </c>
      <c r="P487" s="85">
        <v>65.003</v>
      </c>
      <c r="Q487" s="46"/>
      <c r="R487" s="47"/>
      <c r="S487" s="47"/>
      <c r="T487" s="48"/>
      <c r="U487" s="48"/>
      <c r="V487" s="49"/>
      <c r="W487" s="50"/>
      <c r="X487" s="51"/>
    </row>
    <row r="488" spans="1:31" ht="61.5" customHeight="1">
      <c r="A488" s="158"/>
      <c r="B488" s="164"/>
      <c r="C488" s="59" t="s">
        <v>18</v>
      </c>
      <c r="D488" s="60" t="s">
        <v>41</v>
      </c>
      <c r="E488" s="85">
        <v>58.003</v>
      </c>
      <c r="F488" s="85">
        <v>53.451999999999998</v>
      </c>
      <c r="G488" s="85">
        <v>42.003999999999998</v>
      </c>
      <c r="H488" s="85">
        <v>53.005000000000003</v>
      </c>
      <c r="I488" s="85">
        <v>68.408000000000001</v>
      </c>
      <c r="J488" s="85">
        <v>54.011000000000003</v>
      </c>
      <c r="K488" s="85">
        <v>48.051000000000002</v>
      </c>
      <c r="L488" s="85">
        <v>46.002000000000002</v>
      </c>
      <c r="M488" s="85">
        <v>53.011000000000003</v>
      </c>
      <c r="N488" s="85">
        <v>58.5</v>
      </c>
      <c r="O488" s="85">
        <v>52.005000000000003</v>
      </c>
      <c r="P488" s="85">
        <v>55.006999999999998</v>
      </c>
      <c r="Q488" s="46"/>
      <c r="R488" s="47"/>
      <c r="S488" s="47"/>
      <c r="T488" s="48"/>
      <c r="U488" s="48"/>
      <c r="V488" s="49"/>
      <c r="W488" s="50"/>
      <c r="X488" s="51"/>
    </row>
    <row r="489" spans="1:31" ht="61.5" customHeight="1">
      <c r="A489" s="158"/>
      <c r="B489" s="164"/>
      <c r="C489" s="59" t="s">
        <v>18</v>
      </c>
      <c r="D489" s="60" t="s">
        <v>42</v>
      </c>
      <c r="E489" s="85">
        <v>47.616999999999997</v>
      </c>
      <c r="F489" s="85">
        <v>63.042999999999999</v>
      </c>
      <c r="G489" s="85">
        <v>55.005000000000003</v>
      </c>
      <c r="H489" s="85">
        <v>52.564999999999998</v>
      </c>
      <c r="I489" s="85">
        <v>53.726999999999997</v>
      </c>
      <c r="J489" s="85">
        <v>54.005000000000003</v>
      </c>
      <c r="K489" s="85">
        <v>52.000999999999998</v>
      </c>
      <c r="L489" s="85">
        <v>53.158999999999999</v>
      </c>
      <c r="M489" s="85">
        <v>61.067</v>
      </c>
      <c r="N489" s="85">
        <v>64.001000000000005</v>
      </c>
      <c r="O489" s="85">
        <v>54.009</v>
      </c>
      <c r="P489" s="85">
        <v>60.5</v>
      </c>
      <c r="Q489" s="46"/>
      <c r="R489" s="47"/>
      <c r="S489" s="47"/>
      <c r="T489" s="48"/>
      <c r="U489" s="48"/>
      <c r="V489" s="49"/>
      <c r="W489" s="50"/>
      <c r="X489" s="51"/>
    </row>
    <row r="490" spans="1:31" ht="61.5" customHeight="1">
      <c r="A490" s="158"/>
      <c r="B490" s="164"/>
      <c r="C490" s="59" t="s">
        <v>18</v>
      </c>
      <c r="D490" s="60" t="s">
        <v>43</v>
      </c>
      <c r="E490" s="85">
        <v>60.844000000000001</v>
      </c>
      <c r="F490" s="85">
        <v>61.088999999999999</v>
      </c>
      <c r="G490" s="85">
        <v>55.082000000000001</v>
      </c>
      <c r="H490" s="85">
        <v>57.322000000000003</v>
      </c>
      <c r="I490" s="85">
        <v>56.176000000000002</v>
      </c>
      <c r="J490" s="85">
        <v>52.744</v>
      </c>
      <c r="K490" s="85">
        <v>54.57</v>
      </c>
      <c r="L490" s="85">
        <v>55.481000000000002</v>
      </c>
      <c r="M490" s="85">
        <v>48.656999999999996</v>
      </c>
      <c r="N490" s="85">
        <v>67.628</v>
      </c>
      <c r="O490" s="85">
        <v>55.743000000000002</v>
      </c>
      <c r="P490" s="85">
        <v>62.308</v>
      </c>
      <c r="Q490" s="46"/>
      <c r="R490" s="47"/>
      <c r="S490" s="47"/>
      <c r="T490" s="48"/>
      <c r="U490" s="48"/>
      <c r="V490" s="49"/>
      <c r="W490" s="50"/>
      <c r="X490" s="51"/>
    </row>
    <row r="491" spans="1:31" ht="61.5" customHeight="1">
      <c r="A491" s="158"/>
      <c r="B491" s="165"/>
      <c r="C491" s="59" t="s">
        <v>18</v>
      </c>
      <c r="D491" s="60" t="s">
        <v>44</v>
      </c>
      <c r="E491" s="85">
        <v>49.276000000000003</v>
      </c>
      <c r="F491" s="85">
        <v>45.853000000000002</v>
      </c>
      <c r="G491" s="85">
        <v>50.008000000000003</v>
      </c>
      <c r="H491" s="85">
        <v>61.198999999999998</v>
      </c>
      <c r="I491" s="85">
        <v>68.34</v>
      </c>
      <c r="J491" s="85">
        <v>66.697000000000003</v>
      </c>
      <c r="K491" s="85">
        <v>67.152000000000001</v>
      </c>
      <c r="L491" s="85">
        <v>60.000999999999998</v>
      </c>
      <c r="M491" s="85">
        <v>59.996000000000002</v>
      </c>
      <c r="N491" s="85">
        <v>63.015999999999998</v>
      </c>
      <c r="O491" s="85">
        <v>60.005000000000003</v>
      </c>
      <c r="P491" s="85">
        <v>65.105000000000004</v>
      </c>
      <c r="Q491" s="46"/>
      <c r="R491" s="47"/>
      <c r="S491" s="47"/>
      <c r="T491" s="48"/>
      <c r="U491" s="48"/>
      <c r="V491" s="49"/>
      <c r="W491" s="50"/>
      <c r="X491" s="51"/>
    </row>
    <row r="492" spans="1:31" ht="61.5" customHeight="1">
      <c r="A492" s="158"/>
      <c r="B492" s="98"/>
      <c r="C492" s="100"/>
      <c r="D492" s="101"/>
      <c r="E492" s="21"/>
      <c r="F492" s="21"/>
      <c r="G492" s="21"/>
      <c r="H492" s="20"/>
      <c r="I492" s="21"/>
      <c r="J492" s="21"/>
      <c r="K492" s="21"/>
      <c r="L492" s="21"/>
      <c r="M492" s="21"/>
      <c r="N492" s="21"/>
      <c r="O492" s="21"/>
      <c r="P492" s="21"/>
      <c r="Q492" s="46"/>
      <c r="R492" s="47"/>
      <c r="S492" s="47"/>
      <c r="T492" s="48"/>
      <c r="U492" s="48"/>
      <c r="V492" s="49"/>
      <c r="W492" s="50"/>
      <c r="X492" s="51"/>
    </row>
    <row r="493" spans="1:31" s="109" customFormat="1" ht="65.099999999999994" customHeight="1">
      <c r="A493" s="158"/>
      <c r="B493" s="160"/>
      <c r="C493" s="42"/>
      <c r="D493" s="43"/>
      <c r="E493" s="44"/>
      <c r="F493" s="44"/>
      <c r="G493" s="44"/>
      <c r="H493" s="45"/>
      <c r="I493" s="44"/>
      <c r="J493" s="44"/>
      <c r="K493" s="44"/>
      <c r="L493" s="44"/>
      <c r="M493" s="44"/>
      <c r="N493" s="44"/>
      <c r="O493" s="44"/>
      <c r="P493" s="44"/>
      <c r="Q493" s="43"/>
      <c r="R493" s="91"/>
      <c r="S493" s="47"/>
      <c r="T493" s="48"/>
      <c r="U493" s="48"/>
      <c r="V493" s="49"/>
      <c r="W493" s="49"/>
      <c r="X493" s="51"/>
      <c r="Y493" s="108"/>
      <c r="Z493" s="108"/>
    </row>
    <row r="494" spans="1:31" s="52" customFormat="1">
      <c r="A494" s="158"/>
      <c r="B494" s="161"/>
      <c r="C494" s="55"/>
      <c r="D494" s="4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46"/>
      <c r="R494" s="47"/>
      <c r="S494" s="47"/>
      <c r="T494" s="48"/>
      <c r="U494" s="48"/>
      <c r="V494" s="49"/>
      <c r="W494" s="49"/>
      <c r="X494" s="51"/>
      <c r="Y494" s="2"/>
      <c r="Z494" s="2"/>
      <c r="AB494" s="2"/>
      <c r="AD494" s="129"/>
      <c r="AE494" s="129"/>
    </row>
    <row r="495" spans="1:31" s="52" customFormat="1">
      <c r="A495" s="158"/>
      <c r="B495" s="161"/>
      <c r="C495" s="59"/>
      <c r="D495" s="60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46"/>
      <c r="R495" s="47"/>
      <c r="S495" s="47"/>
      <c r="T495" s="48"/>
      <c r="U495" s="48"/>
      <c r="V495" s="49"/>
      <c r="W495" s="49"/>
      <c r="X495" s="51"/>
      <c r="Y495" s="2"/>
      <c r="Z495" s="2"/>
      <c r="AB495" s="2"/>
      <c r="AD495" s="129"/>
      <c r="AE495" s="129"/>
    </row>
    <row r="496" spans="1:31" s="52" customFormat="1">
      <c r="A496" s="158"/>
      <c r="B496" s="161"/>
      <c r="C496" s="59"/>
      <c r="D496" s="60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46"/>
      <c r="R496" s="47"/>
      <c r="S496" s="47"/>
      <c r="T496" s="48"/>
      <c r="U496" s="48"/>
      <c r="V496" s="49"/>
      <c r="W496" s="49"/>
      <c r="X496" s="51"/>
      <c r="Y496" s="2"/>
      <c r="Z496" s="2"/>
      <c r="AB496" s="2"/>
      <c r="AD496" s="129"/>
      <c r="AE496" s="129"/>
    </row>
    <row r="497" spans="1:31" ht="46.35" customHeight="1">
      <c r="A497" s="158"/>
      <c r="B497" s="161"/>
      <c r="C497" s="59"/>
      <c r="D497" s="60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0"/>
      <c r="R497" s="64"/>
      <c r="S497" s="64"/>
      <c r="T497" s="65"/>
      <c r="U497" s="65"/>
      <c r="V497" s="49"/>
      <c r="W497" s="49"/>
      <c r="X497" s="66"/>
      <c r="AB497" s="6"/>
      <c r="AD497" s="130"/>
      <c r="AE497" s="130"/>
    </row>
    <row r="498" spans="1:31" s="52" customFormat="1" ht="46.35" customHeight="1">
      <c r="A498" s="158"/>
      <c r="B498" s="161"/>
      <c r="C498" s="59"/>
      <c r="D498" s="60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46"/>
      <c r="R498" s="47"/>
      <c r="S498" s="47"/>
      <c r="T498" s="48"/>
      <c r="U498" s="48"/>
      <c r="V498" s="49"/>
      <c r="W498" s="49"/>
      <c r="X498" s="51"/>
      <c r="Y498" s="2"/>
      <c r="Z498" s="2"/>
      <c r="AB498" s="2"/>
      <c r="AD498" s="129"/>
      <c r="AE498" s="129"/>
    </row>
    <row r="499" spans="1:31" s="52" customFormat="1" ht="46.35" customHeight="1">
      <c r="A499" s="158"/>
      <c r="B499" s="161"/>
      <c r="C499" s="59"/>
      <c r="D499" s="60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46"/>
      <c r="R499" s="47"/>
      <c r="S499" s="47"/>
      <c r="T499" s="48"/>
      <c r="U499" s="48"/>
      <c r="V499" s="49"/>
      <c r="W499" s="49"/>
      <c r="X499" s="51"/>
      <c r="Y499" s="2"/>
      <c r="Z499" s="2"/>
      <c r="AB499" s="2"/>
      <c r="AD499" s="129"/>
      <c r="AE499" s="12"/>
    </row>
    <row r="500" spans="1:31" ht="46.35" customHeight="1">
      <c r="A500" s="158"/>
      <c r="B500" s="161"/>
      <c r="C500" s="59"/>
      <c r="D500" s="60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0"/>
      <c r="R500" s="64"/>
      <c r="S500" s="64"/>
      <c r="T500" s="65"/>
      <c r="U500" s="65"/>
      <c r="V500" s="49"/>
      <c r="W500" s="49"/>
      <c r="X500" s="66"/>
      <c r="Y500" s="49"/>
      <c r="Z500" s="49"/>
      <c r="AB500" s="49"/>
      <c r="AD500" s="129"/>
      <c r="AE500" s="11"/>
    </row>
    <row r="501" spans="1:31" ht="46.35" customHeight="1">
      <c r="A501" s="158"/>
      <c r="B501" s="161"/>
      <c r="C501" s="59"/>
      <c r="D501" s="59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0"/>
      <c r="R501" s="64"/>
      <c r="S501" s="64"/>
      <c r="T501" s="65"/>
      <c r="U501" s="65"/>
      <c r="V501" s="49"/>
      <c r="W501" s="49"/>
      <c r="X501" s="66"/>
      <c r="AD501" s="129"/>
      <c r="AE501" s="11"/>
    </row>
    <row r="502" spans="1:31" s="25" customFormat="1" ht="46.35" customHeight="1">
      <c r="A502" s="158"/>
      <c r="B502" s="161"/>
      <c r="C502" s="102"/>
      <c r="D502" s="103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133"/>
      <c r="R502" s="117"/>
      <c r="S502" s="64"/>
      <c r="T502" s="65"/>
      <c r="U502" s="65"/>
      <c r="V502" s="49"/>
      <c r="W502" s="49"/>
      <c r="X502" s="66"/>
      <c r="Y502" s="27"/>
      <c r="Z502" s="27"/>
      <c r="AD502" s="129"/>
      <c r="AE502" s="22"/>
    </row>
    <row r="503" spans="1:31" ht="46.35" customHeight="1">
      <c r="A503" s="158"/>
      <c r="B503" s="161"/>
      <c r="C503" s="59"/>
      <c r="D503" s="60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0"/>
      <c r="R503" s="64"/>
      <c r="S503" s="64"/>
      <c r="T503" s="65"/>
      <c r="U503" s="65"/>
      <c r="V503" s="49"/>
      <c r="W503" s="49"/>
      <c r="X503" s="66"/>
      <c r="AD503" s="129"/>
      <c r="AE503" s="11"/>
    </row>
    <row r="504" spans="1:31" ht="46.35" customHeight="1">
      <c r="A504" s="158"/>
      <c r="B504" s="161"/>
      <c r="C504" s="59"/>
      <c r="D504" s="60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0"/>
      <c r="R504" s="64"/>
      <c r="S504" s="64"/>
      <c r="T504" s="65"/>
      <c r="U504" s="65"/>
      <c r="V504" s="49"/>
      <c r="W504" s="49"/>
      <c r="X504" s="66"/>
      <c r="AD504" s="129"/>
      <c r="AE504" s="11"/>
    </row>
    <row r="505" spans="1:31" ht="46.35" customHeight="1">
      <c r="A505" s="158"/>
      <c r="B505" s="161"/>
      <c r="C505" s="59"/>
      <c r="D505" s="60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60"/>
      <c r="R505" s="64"/>
      <c r="S505" s="64"/>
      <c r="T505" s="65"/>
      <c r="U505" s="65"/>
      <c r="V505" s="49"/>
      <c r="W505" s="49"/>
      <c r="X505" s="66"/>
      <c r="AD505" s="129"/>
      <c r="AE505" s="11"/>
    </row>
    <row r="506" spans="1:31" ht="61.5" customHeight="1">
      <c r="A506" s="158"/>
      <c r="B506" s="161"/>
      <c r="C506" s="59"/>
      <c r="D506" s="60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0"/>
      <c r="R506" s="64"/>
      <c r="S506" s="64"/>
      <c r="T506" s="65"/>
      <c r="U506" s="65"/>
      <c r="V506" s="49"/>
      <c r="W506" s="49"/>
      <c r="X506" s="66"/>
      <c r="AD506" s="129"/>
      <c r="AE506" s="11"/>
    </row>
    <row r="507" spans="1:31" ht="61.5" customHeight="1">
      <c r="A507" s="158"/>
      <c r="B507" s="161"/>
      <c r="C507" s="59"/>
      <c r="D507" s="78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0"/>
      <c r="R507" s="64"/>
      <c r="S507" s="64"/>
      <c r="T507" s="65"/>
      <c r="U507" s="65"/>
      <c r="V507" s="49"/>
      <c r="W507" s="49"/>
      <c r="X507" s="66"/>
      <c r="AD507" s="129"/>
      <c r="AE507" s="11"/>
    </row>
    <row r="508" spans="1:31" ht="61.5" customHeight="1">
      <c r="A508" s="158"/>
      <c r="B508" s="162"/>
      <c r="C508" s="80"/>
      <c r="D508" s="8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0"/>
      <c r="R508" s="64"/>
      <c r="S508" s="64"/>
      <c r="T508" s="65"/>
      <c r="U508" s="65"/>
      <c r="V508" s="49"/>
      <c r="W508" s="49"/>
      <c r="X508" s="66"/>
      <c r="AD508" s="129"/>
      <c r="AE508" s="11"/>
    </row>
    <row r="509" spans="1:31" ht="61.5" customHeight="1">
      <c r="A509" s="158"/>
      <c r="B509" s="110"/>
      <c r="C509" s="59"/>
      <c r="D509" s="60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0"/>
      <c r="R509" s="47"/>
      <c r="S509" s="47"/>
      <c r="T509" s="48"/>
      <c r="U509" s="48"/>
      <c r="V509" s="49"/>
      <c r="W509" s="50"/>
      <c r="X509" s="51"/>
    </row>
    <row r="510" spans="1:31" ht="61.5" customHeight="1">
      <c r="A510" s="158"/>
      <c r="B510" s="110"/>
      <c r="C510" s="59"/>
      <c r="D510" s="60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0"/>
      <c r="R510" s="47"/>
      <c r="S510" s="47"/>
      <c r="T510" s="48"/>
      <c r="U510" s="48"/>
      <c r="V510" s="49"/>
      <c r="W510" s="50"/>
      <c r="X510" s="51"/>
    </row>
    <row r="511" spans="1:31" ht="61.5" customHeight="1">
      <c r="A511" s="158"/>
      <c r="B511" s="110"/>
      <c r="C511" s="59"/>
      <c r="D511" s="60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0"/>
      <c r="R511" s="47"/>
      <c r="S511" s="47"/>
      <c r="T511" s="48"/>
      <c r="U511" s="48"/>
      <c r="V511" s="49"/>
      <c r="W511" s="50"/>
      <c r="X511" s="51"/>
    </row>
    <row r="512" spans="1:31" ht="61.5" customHeight="1">
      <c r="A512" s="159"/>
      <c r="B512" s="113"/>
      <c r="C512" s="80"/>
      <c r="D512" s="81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1"/>
      <c r="R512" s="47"/>
      <c r="S512" s="47"/>
      <c r="T512" s="48"/>
      <c r="U512" s="48"/>
      <c r="V512" s="49"/>
      <c r="W512" s="50"/>
      <c r="X512" s="51"/>
    </row>
    <row r="513" spans="1:28" ht="61.5" customHeight="1">
      <c r="A513" s="134"/>
      <c r="B513" s="84"/>
      <c r="C513" s="59"/>
      <c r="D513" s="60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46"/>
      <c r="R513" s="47"/>
      <c r="S513" s="47"/>
      <c r="T513" s="48"/>
      <c r="U513" s="48"/>
      <c r="V513" s="49"/>
      <c r="W513" s="50"/>
      <c r="X513" s="51"/>
    </row>
    <row r="514" spans="1:28" ht="61.5" customHeight="1">
      <c r="A514" s="134"/>
      <c r="B514" s="84"/>
      <c r="C514" s="59"/>
      <c r="D514" s="60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46"/>
      <c r="R514" s="47"/>
      <c r="S514" s="47"/>
      <c r="T514" s="48"/>
      <c r="U514" s="48"/>
      <c r="V514" s="49"/>
      <c r="W514" s="50"/>
      <c r="X514" s="51"/>
    </row>
    <row r="515" spans="1:28" ht="61.5" customHeight="1">
      <c r="A515" s="134"/>
      <c r="B515" s="84"/>
      <c r="C515" s="59"/>
      <c r="D515" s="60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46"/>
      <c r="R515" s="47"/>
      <c r="S515" s="47"/>
      <c r="T515" s="48"/>
      <c r="U515" s="48"/>
      <c r="V515" s="49"/>
      <c r="W515" s="50"/>
      <c r="X515" s="51"/>
    </row>
    <row r="516" spans="1:28" ht="61.5" customHeight="1">
      <c r="A516" s="134"/>
      <c r="B516" s="84"/>
      <c r="C516" s="59"/>
      <c r="D516" s="60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46"/>
      <c r="R516" s="47"/>
      <c r="S516" s="47"/>
      <c r="T516" s="48"/>
      <c r="U516" s="48"/>
      <c r="V516" s="49"/>
      <c r="W516" s="50"/>
      <c r="X516" s="51"/>
    </row>
    <row r="517" spans="1:28" ht="61.5" customHeight="1">
      <c r="A517" s="134"/>
      <c r="B517" s="84"/>
      <c r="C517" s="59"/>
      <c r="D517" s="60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46"/>
      <c r="R517" s="47"/>
      <c r="S517" s="47"/>
      <c r="T517" s="48"/>
      <c r="U517" s="48"/>
      <c r="V517" s="49"/>
      <c r="W517" s="50"/>
      <c r="X517" s="51"/>
    </row>
    <row r="518" spans="1:28" ht="61.5" customHeight="1">
      <c r="A518" s="134"/>
      <c r="B518" s="84"/>
      <c r="C518" s="59"/>
      <c r="D518" s="60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46"/>
      <c r="R518" s="47"/>
      <c r="S518" s="47"/>
      <c r="T518" s="48"/>
      <c r="U518" s="48"/>
      <c r="V518" s="49"/>
      <c r="W518" s="50"/>
      <c r="X518" s="51"/>
    </row>
    <row r="519" spans="1:28" ht="61.5" customHeight="1">
      <c r="A519" s="134"/>
      <c r="B519" s="84"/>
      <c r="C519" s="59"/>
      <c r="D519" s="60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46"/>
      <c r="R519" s="47"/>
      <c r="S519" s="47"/>
      <c r="T519" s="48"/>
      <c r="U519" s="48"/>
      <c r="V519" s="49"/>
      <c r="W519" s="50"/>
      <c r="X519" s="51"/>
    </row>
    <row r="520" spans="1:28" ht="61.5" customHeight="1">
      <c r="A520" s="134"/>
      <c r="B520" s="125"/>
      <c r="C520" s="80"/>
      <c r="D520" s="81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46"/>
      <c r="R520" s="107"/>
      <c r="S520" s="47"/>
      <c r="T520" s="48"/>
      <c r="U520" s="48"/>
      <c r="V520" s="49"/>
      <c r="W520" s="50"/>
      <c r="X520" s="51"/>
    </row>
    <row r="521" spans="1:28" ht="61.5" customHeight="1">
      <c r="A521" s="134"/>
      <c r="C521" s="59"/>
      <c r="D521" s="135"/>
      <c r="E521" s="21"/>
      <c r="F521" s="21"/>
      <c r="G521" s="21"/>
      <c r="H521" s="20"/>
      <c r="I521" s="21"/>
      <c r="J521" s="21"/>
      <c r="K521" s="21"/>
      <c r="L521" s="21"/>
      <c r="M521" s="21"/>
      <c r="N521" s="21"/>
      <c r="O521" s="21"/>
      <c r="P521" s="21"/>
      <c r="Q521" s="46"/>
      <c r="R521" s="47"/>
      <c r="S521" s="47"/>
      <c r="T521" s="48"/>
      <c r="U521" s="48"/>
      <c r="V521" s="49"/>
      <c r="W521" s="50"/>
      <c r="X521" s="51"/>
    </row>
    <row r="522" spans="1:28" s="109" customFormat="1" ht="65.099999999999994" customHeight="1">
      <c r="A522" s="157" t="s">
        <v>50</v>
      </c>
      <c r="B522" s="163" t="s">
        <v>51</v>
      </c>
      <c r="C522" s="42"/>
      <c r="D522" s="43"/>
      <c r="E522" s="44"/>
      <c r="F522" s="44"/>
      <c r="G522" s="44"/>
      <c r="H522" s="45"/>
      <c r="I522" s="44"/>
      <c r="J522" s="44"/>
      <c r="K522" s="44"/>
      <c r="L522" s="44"/>
      <c r="M522" s="44"/>
      <c r="N522" s="44"/>
      <c r="O522" s="44"/>
      <c r="P522" s="44"/>
      <c r="Q522" s="43"/>
      <c r="R522" s="91"/>
      <c r="S522" s="47"/>
      <c r="T522" s="48"/>
      <c r="U522" s="48"/>
      <c r="V522" s="49"/>
      <c r="W522" s="50"/>
      <c r="X522" s="51"/>
      <c r="Y522" s="108"/>
      <c r="Z522" s="108"/>
    </row>
    <row r="523" spans="1:28" s="52" customFormat="1">
      <c r="A523" s="158"/>
      <c r="B523" s="164"/>
      <c r="C523" s="55"/>
      <c r="D523" s="4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114"/>
      <c r="R523" s="47"/>
      <c r="S523" s="47"/>
      <c r="T523" s="48"/>
      <c r="U523" s="48"/>
      <c r="V523" s="49"/>
      <c r="W523" s="50"/>
      <c r="X523" s="51"/>
      <c r="Y523" s="2"/>
      <c r="Z523" s="2"/>
      <c r="AB523" s="2"/>
    </row>
    <row r="524" spans="1:28" s="52" customFormat="1">
      <c r="A524" s="158"/>
      <c r="B524" s="164"/>
      <c r="C524" s="136"/>
      <c r="D524" s="73"/>
      <c r="E524" s="56">
        <v>0</v>
      </c>
      <c r="F524" s="56">
        <v>0</v>
      </c>
      <c r="G524" s="56">
        <v>0</v>
      </c>
      <c r="H524" s="56">
        <v>0</v>
      </c>
      <c r="I524" s="56">
        <v>0</v>
      </c>
      <c r="J524" s="56">
        <v>0</v>
      </c>
      <c r="K524" s="56">
        <v>0</v>
      </c>
      <c r="L524" s="56">
        <v>0</v>
      </c>
      <c r="M524" s="56">
        <v>0</v>
      </c>
      <c r="N524" s="56">
        <v>0</v>
      </c>
      <c r="O524" s="56">
        <v>0</v>
      </c>
      <c r="P524" s="56">
        <v>0</v>
      </c>
      <c r="Q524" s="114"/>
      <c r="R524" s="47"/>
      <c r="S524" s="47"/>
      <c r="T524" s="48"/>
      <c r="U524" s="48"/>
      <c r="V524" s="49"/>
      <c r="W524" s="50"/>
      <c r="X524" s="51"/>
      <c r="Y524" s="2"/>
      <c r="Z524" s="2"/>
      <c r="AB524" s="2"/>
    </row>
    <row r="525" spans="1:28" s="52" customFormat="1">
      <c r="A525" s="158"/>
      <c r="B525" s="164"/>
      <c r="C525" s="59"/>
      <c r="D525" s="60"/>
      <c r="E525" s="61">
        <v>0</v>
      </c>
      <c r="F525" s="61">
        <v>0</v>
      </c>
      <c r="G525" s="61">
        <v>0</v>
      </c>
      <c r="H525" s="61">
        <v>0</v>
      </c>
      <c r="I525" s="61">
        <v>0</v>
      </c>
      <c r="J525" s="61">
        <v>0</v>
      </c>
      <c r="K525" s="61">
        <v>0</v>
      </c>
      <c r="L525" s="61">
        <v>0</v>
      </c>
      <c r="M525" s="61">
        <v>0</v>
      </c>
      <c r="N525" s="61">
        <v>0</v>
      </c>
      <c r="O525" s="61">
        <v>0</v>
      </c>
      <c r="P525" s="61">
        <v>0</v>
      </c>
      <c r="Q525" s="114"/>
      <c r="R525" s="47"/>
      <c r="S525" s="47"/>
      <c r="T525" s="48"/>
      <c r="U525" s="48"/>
      <c r="V525" s="49"/>
      <c r="W525" s="50"/>
      <c r="X525" s="51"/>
      <c r="Y525" s="2"/>
      <c r="Z525" s="2"/>
      <c r="AB525" s="2"/>
    </row>
    <row r="526" spans="1:28" ht="46.35" customHeight="1">
      <c r="A526" s="158"/>
      <c r="B526" s="164"/>
      <c r="C526" s="59"/>
      <c r="D526" s="60"/>
      <c r="E526" s="61">
        <v>0</v>
      </c>
      <c r="F526" s="61">
        <v>0</v>
      </c>
      <c r="G526" s="61">
        <v>0</v>
      </c>
      <c r="H526" s="61">
        <v>0</v>
      </c>
      <c r="I526" s="61">
        <v>0</v>
      </c>
      <c r="J526" s="61">
        <v>0</v>
      </c>
      <c r="K526" s="61">
        <v>0</v>
      </c>
      <c r="L526" s="61">
        <v>0</v>
      </c>
      <c r="M526" s="61">
        <v>0</v>
      </c>
      <c r="N526" s="61">
        <v>0</v>
      </c>
      <c r="O526" s="61">
        <v>0</v>
      </c>
      <c r="P526" s="61">
        <v>0</v>
      </c>
      <c r="Q526" s="115"/>
      <c r="R526" s="64"/>
      <c r="S526" s="64"/>
      <c r="T526" s="65"/>
      <c r="U526" s="65"/>
      <c r="V526" s="49"/>
      <c r="W526" s="49"/>
      <c r="X526" s="66"/>
      <c r="AB526" s="6"/>
    </row>
    <row r="527" spans="1:28" s="52" customFormat="1" ht="46.35" customHeight="1">
      <c r="A527" s="158"/>
      <c r="B527" s="164"/>
      <c r="C527" s="59"/>
      <c r="D527" s="60"/>
      <c r="E527" s="61">
        <v>0</v>
      </c>
      <c r="F527" s="61">
        <v>0</v>
      </c>
      <c r="G527" s="61">
        <v>0</v>
      </c>
      <c r="H527" s="61">
        <v>0</v>
      </c>
      <c r="I527" s="61">
        <v>0</v>
      </c>
      <c r="J527" s="61">
        <v>0</v>
      </c>
      <c r="K527" s="61">
        <v>0</v>
      </c>
      <c r="L527" s="61">
        <v>0</v>
      </c>
      <c r="M527" s="61">
        <v>0</v>
      </c>
      <c r="N527" s="61">
        <v>0</v>
      </c>
      <c r="O527" s="61">
        <v>0</v>
      </c>
      <c r="P527" s="61">
        <v>0</v>
      </c>
      <c r="Q527" s="114"/>
      <c r="R527" s="47"/>
      <c r="S527" s="47"/>
      <c r="T527" s="48"/>
      <c r="U527" s="48"/>
      <c r="V527" s="49"/>
      <c r="W527" s="50"/>
      <c r="X527" s="51"/>
      <c r="Y527" s="2"/>
      <c r="Z527" s="2"/>
      <c r="AB527" s="2"/>
    </row>
    <row r="528" spans="1:28" s="52" customFormat="1" ht="46.35" customHeight="1">
      <c r="A528" s="158"/>
      <c r="B528" s="164"/>
      <c r="C528" s="59"/>
      <c r="D528" s="59"/>
      <c r="E528" s="61">
        <v>0</v>
      </c>
      <c r="F528" s="61">
        <v>0</v>
      </c>
      <c r="G528" s="61">
        <v>0</v>
      </c>
      <c r="H528" s="61">
        <v>0</v>
      </c>
      <c r="I528" s="61">
        <v>0</v>
      </c>
      <c r="J528" s="61">
        <v>0</v>
      </c>
      <c r="K528" s="61">
        <v>0</v>
      </c>
      <c r="L528" s="61">
        <v>0</v>
      </c>
      <c r="M528" s="61">
        <v>0</v>
      </c>
      <c r="N528" s="61">
        <v>0</v>
      </c>
      <c r="O528" s="61">
        <v>0</v>
      </c>
      <c r="P528" s="61">
        <v>0</v>
      </c>
      <c r="Q528" s="114"/>
      <c r="R528" s="47"/>
      <c r="S528" s="47"/>
      <c r="T528" s="48"/>
      <c r="U528" s="48"/>
      <c r="V528" s="49"/>
      <c r="W528" s="50"/>
      <c r="X528" s="51"/>
      <c r="Y528" s="2"/>
      <c r="Z528" s="2"/>
      <c r="AB528" s="2"/>
    </row>
    <row r="529" spans="1:28" ht="46.35" customHeight="1">
      <c r="A529" s="158"/>
      <c r="B529" s="164"/>
      <c r="C529" s="59"/>
      <c r="D529" s="59"/>
      <c r="E529" s="61">
        <v>0</v>
      </c>
      <c r="F529" s="61">
        <v>0</v>
      </c>
      <c r="G529" s="61">
        <v>0</v>
      </c>
      <c r="H529" s="61">
        <v>0</v>
      </c>
      <c r="I529" s="61">
        <v>0</v>
      </c>
      <c r="J529" s="61">
        <v>0</v>
      </c>
      <c r="K529" s="61">
        <v>0</v>
      </c>
      <c r="L529" s="61">
        <v>0</v>
      </c>
      <c r="M529" s="61">
        <v>0</v>
      </c>
      <c r="N529" s="61">
        <v>0</v>
      </c>
      <c r="O529" s="61">
        <v>0</v>
      </c>
      <c r="P529" s="61">
        <v>0</v>
      </c>
      <c r="Q529" s="115"/>
      <c r="R529" s="64"/>
      <c r="S529" s="64"/>
      <c r="T529" s="65"/>
      <c r="U529" s="65"/>
      <c r="V529" s="49"/>
      <c r="W529" s="49"/>
      <c r="X529" s="66"/>
      <c r="Y529" s="49"/>
      <c r="Z529" s="49"/>
      <c r="AB529" s="49"/>
    </row>
    <row r="530" spans="1:28" ht="46.35" customHeight="1">
      <c r="A530" s="158"/>
      <c r="B530" s="164"/>
      <c r="C530" s="59"/>
      <c r="D530" s="59"/>
      <c r="E530" s="61">
        <v>0</v>
      </c>
      <c r="F530" s="61">
        <v>0</v>
      </c>
      <c r="G530" s="61">
        <v>0</v>
      </c>
      <c r="H530" s="61">
        <v>0</v>
      </c>
      <c r="I530" s="61">
        <v>0</v>
      </c>
      <c r="J530" s="61">
        <v>0</v>
      </c>
      <c r="K530" s="61">
        <v>0</v>
      </c>
      <c r="L530" s="61">
        <v>0</v>
      </c>
      <c r="M530" s="61">
        <v>0</v>
      </c>
      <c r="N530" s="61">
        <v>0</v>
      </c>
      <c r="O530" s="61">
        <v>0</v>
      </c>
      <c r="P530" s="61">
        <v>0</v>
      </c>
      <c r="Q530" s="115"/>
      <c r="R530" s="64"/>
      <c r="S530" s="64"/>
      <c r="T530" s="65"/>
      <c r="U530" s="65"/>
      <c r="V530" s="49"/>
      <c r="W530" s="49"/>
      <c r="X530" s="66"/>
    </row>
    <row r="531" spans="1:28" s="25" customFormat="1" ht="46.35" customHeight="1">
      <c r="A531" s="158"/>
      <c r="B531" s="164"/>
      <c r="C531" s="102"/>
      <c r="D531" s="103"/>
      <c r="E531" s="61">
        <v>0</v>
      </c>
      <c r="F531" s="61">
        <v>0</v>
      </c>
      <c r="G531" s="61">
        <v>0</v>
      </c>
      <c r="H531" s="61">
        <v>0</v>
      </c>
      <c r="I531" s="61">
        <v>0</v>
      </c>
      <c r="J531" s="61">
        <v>0</v>
      </c>
      <c r="K531" s="61">
        <v>0</v>
      </c>
      <c r="L531" s="61">
        <v>0</v>
      </c>
      <c r="M531" s="61">
        <v>0</v>
      </c>
      <c r="N531" s="61">
        <v>0</v>
      </c>
      <c r="O531" s="61">
        <v>0</v>
      </c>
      <c r="P531" s="61">
        <v>0</v>
      </c>
      <c r="Q531" s="116"/>
      <c r="R531" s="117"/>
      <c r="S531" s="64"/>
      <c r="T531" s="65"/>
      <c r="U531" s="65"/>
      <c r="V531" s="49"/>
      <c r="W531" s="49"/>
      <c r="X531" s="66"/>
      <c r="Y531" s="27"/>
      <c r="Z531" s="27"/>
    </row>
    <row r="532" spans="1:28" ht="46.35" customHeight="1">
      <c r="A532" s="158"/>
      <c r="B532" s="164"/>
      <c r="C532" s="59" t="s">
        <v>18</v>
      </c>
      <c r="D532" s="60" t="s">
        <v>27</v>
      </c>
      <c r="E532" s="61">
        <v>0</v>
      </c>
      <c r="F532" s="61">
        <v>0</v>
      </c>
      <c r="G532" s="61">
        <v>0</v>
      </c>
      <c r="H532" s="61">
        <v>0</v>
      </c>
      <c r="I532" s="61">
        <v>0</v>
      </c>
      <c r="J532" s="61">
        <v>0</v>
      </c>
      <c r="K532" s="61">
        <v>0</v>
      </c>
      <c r="L532" s="61">
        <v>0</v>
      </c>
      <c r="M532" s="61">
        <v>0</v>
      </c>
      <c r="N532" s="61">
        <v>0</v>
      </c>
      <c r="O532" s="61">
        <v>0</v>
      </c>
      <c r="P532" s="61">
        <v>0</v>
      </c>
      <c r="Q532" s="60"/>
      <c r="R532" s="64"/>
      <c r="S532" s="64"/>
      <c r="T532" s="65"/>
      <c r="U532" s="65"/>
      <c r="V532" s="49"/>
      <c r="W532" s="49"/>
      <c r="X532" s="66"/>
    </row>
    <row r="533" spans="1:28" ht="46.35" customHeight="1">
      <c r="A533" s="158"/>
      <c r="B533" s="164"/>
      <c r="C533" s="59" t="s">
        <v>18</v>
      </c>
      <c r="D533" s="60" t="s">
        <v>28</v>
      </c>
      <c r="E533" s="61">
        <v>0</v>
      </c>
      <c r="F533" s="61">
        <v>7.0410000000000004</v>
      </c>
      <c r="G533" s="61">
        <v>9.4049999999999994</v>
      </c>
      <c r="H533" s="61">
        <v>1.3560000000000001</v>
      </c>
      <c r="I533" s="61">
        <v>3.7429999999999999</v>
      </c>
      <c r="J533" s="61">
        <v>7.82</v>
      </c>
      <c r="K533" s="61">
        <v>7.54</v>
      </c>
      <c r="L533" s="61">
        <v>3.71</v>
      </c>
      <c r="M533" s="61">
        <v>6.7489999999999997</v>
      </c>
      <c r="N533" s="61">
        <v>5.7510000000000003</v>
      </c>
      <c r="O533" s="61">
        <v>0</v>
      </c>
      <c r="P533" s="61">
        <v>0</v>
      </c>
      <c r="Q533" s="60"/>
      <c r="R533" s="64"/>
      <c r="S533" s="64"/>
      <c r="T533" s="65"/>
      <c r="U533" s="65"/>
      <c r="V533" s="49"/>
      <c r="W533" s="49"/>
      <c r="X533" s="66"/>
    </row>
    <row r="534" spans="1:28" ht="46.35" customHeight="1">
      <c r="A534" s="158"/>
      <c r="B534" s="164"/>
      <c r="C534" s="59" t="s">
        <v>18</v>
      </c>
      <c r="D534" s="60" t="s">
        <v>29</v>
      </c>
      <c r="E534" s="76">
        <v>5.0739999999999998</v>
      </c>
      <c r="F534" s="76">
        <v>0</v>
      </c>
      <c r="G534" s="76">
        <v>8.2650000000000006</v>
      </c>
      <c r="H534" s="76">
        <v>8.8339999999999996</v>
      </c>
      <c r="I534" s="76">
        <v>7.68</v>
      </c>
      <c r="J534" s="76">
        <v>5.718</v>
      </c>
      <c r="K534" s="76">
        <v>0</v>
      </c>
      <c r="L534" s="76">
        <v>4.3689999999999998</v>
      </c>
      <c r="M534" s="76">
        <v>9.4149999999999991</v>
      </c>
      <c r="N534" s="76">
        <v>10.983000000000001</v>
      </c>
      <c r="O534" s="76">
        <v>0.41899999999999998</v>
      </c>
      <c r="P534" s="76">
        <v>0</v>
      </c>
      <c r="Q534" s="60"/>
      <c r="R534" s="64"/>
      <c r="S534" s="64"/>
      <c r="T534" s="65"/>
      <c r="U534" s="65"/>
      <c r="V534" s="49"/>
      <c r="W534" s="49"/>
      <c r="X534" s="66"/>
    </row>
    <row r="535" spans="1:28" ht="61.5" customHeight="1">
      <c r="A535" s="158"/>
      <c r="B535" s="164"/>
      <c r="C535" s="59" t="s">
        <v>18</v>
      </c>
      <c r="D535" s="60" t="s">
        <v>30</v>
      </c>
      <c r="E535" s="61">
        <v>10.539</v>
      </c>
      <c r="F535" s="61">
        <v>9.3390000000000004</v>
      </c>
      <c r="G535" s="61">
        <v>6.8710000000000004</v>
      </c>
      <c r="H535" s="61">
        <v>7.8710000000000004</v>
      </c>
      <c r="I535" s="61">
        <v>3.5339999999999998</v>
      </c>
      <c r="J535" s="61">
        <v>4.484</v>
      </c>
      <c r="K535" s="61">
        <v>0</v>
      </c>
      <c r="L535" s="61">
        <v>0</v>
      </c>
      <c r="M535" s="61">
        <v>0</v>
      </c>
      <c r="N535" s="61">
        <v>4.7220000000000004</v>
      </c>
      <c r="O535" s="61">
        <v>9.6839999999999993</v>
      </c>
      <c r="P535" s="61">
        <v>10.638999999999999</v>
      </c>
      <c r="Q535" s="60"/>
      <c r="R535" s="64"/>
      <c r="S535" s="64"/>
      <c r="T535" s="65"/>
      <c r="U535" s="65"/>
      <c r="V535" s="49"/>
      <c r="W535" s="49"/>
      <c r="X535" s="66"/>
    </row>
    <row r="536" spans="1:28" ht="61.5" customHeight="1">
      <c r="A536" s="158"/>
      <c r="B536" s="164"/>
      <c r="C536" s="59" t="s">
        <v>18</v>
      </c>
      <c r="D536" s="78" t="s">
        <v>31</v>
      </c>
      <c r="E536" s="61">
        <v>1.157</v>
      </c>
      <c r="F536" s="61">
        <v>0</v>
      </c>
      <c r="G536" s="61">
        <v>0</v>
      </c>
      <c r="H536" s="61">
        <v>0</v>
      </c>
      <c r="I536" s="61">
        <v>5.3630000000000004</v>
      </c>
      <c r="J536" s="61">
        <v>0</v>
      </c>
      <c r="K536" s="61">
        <v>0</v>
      </c>
      <c r="L536" s="61">
        <v>0</v>
      </c>
      <c r="M536" s="61">
        <v>0</v>
      </c>
      <c r="N536" s="61">
        <v>0</v>
      </c>
      <c r="O536" s="61">
        <v>3.895</v>
      </c>
      <c r="P536" s="61">
        <v>10.914999999999999</v>
      </c>
      <c r="Q536" s="60"/>
      <c r="R536" s="64"/>
      <c r="S536" s="64"/>
      <c r="T536" s="65"/>
      <c r="U536" s="65"/>
      <c r="V536" s="49"/>
      <c r="W536" s="49"/>
      <c r="X536" s="66"/>
    </row>
    <row r="537" spans="1:28" ht="61.5" customHeight="1">
      <c r="A537" s="158"/>
      <c r="B537" s="164"/>
      <c r="C537" s="59" t="s">
        <v>18</v>
      </c>
      <c r="D537" s="60" t="s">
        <v>32</v>
      </c>
      <c r="E537" s="61">
        <v>10.547000000000001</v>
      </c>
      <c r="F537" s="61">
        <v>12.157999999999999</v>
      </c>
      <c r="G537" s="61">
        <v>11.676</v>
      </c>
      <c r="H537" s="61">
        <v>9.8320000000000007</v>
      </c>
      <c r="I537" s="61">
        <v>3.9630000000000001</v>
      </c>
      <c r="J537" s="61">
        <v>9.8160000000000007</v>
      </c>
      <c r="K537" s="61">
        <v>7.87</v>
      </c>
      <c r="L537" s="61">
        <v>0</v>
      </c>
      <c r="M537" s="61">
        <v>0</v>
      </c>
      <c r="N537" s="61">
        <v>8.5109999999999992</v>
      </c>
      <c r="O537" s="61">
        <v>8.7479999999999993</v>
      </c>
      <c r="P537" s="61">
        <v>11.016999999999999</v>
      </c>
      <c r="Q537" s="60"/>
      <c r="R537" s="64"/>
      <c r="S537" s="64"/>
      <c r="T537" s="65"/>
      <c r="U537" s="65"/>
      <c r="V537" s="49"/>
      <c r="W537" s="49"/>
      <c r="X537" s="66"/>
    </row>
    <row r="538" spans="1:28" ht="61.5" customHeight="1">
      <c r="A538" s="158"/>
      <c r="B538" s="164"/>
      <c r="C538" s="59" t="s">
        <v>18</v>
      </c>
      <c r="D538" s="60" t="s">
        <v>33</v>
      </c>
      <c r="E538" s="61">
        <v>11.631</v>
      </c>
      <c r="F538" s="61">
        <v>10.884</v>
      </c>
      <c r="G538" s="61">
        <v>10.244</v>
      </c>
      <c r="H538" s="61">
        <v>9.9979999999999993</v>
      </c>
      <c r="I538" s="61">
        <v>8.9339999999999993</v>
      </c>
      <c r="J538" s="61">
        <v>8.3130000000000006</v>
      </c>
      <c r="K538" s="61">
        <v>5.452</v>
      </c>
      <c r="L538" s="61">
        <v>13.057</v>
      </c>
      <c r="M538" s="61">
        <v>12.342000000000001</v>
      </c>
      <c r="N538" s="61">
        <v>2.871</v>
      </c>
      <c r="O538" s="61">
        <v>10.936999999999999</v>
      </c>
      <c r="P538" s="61">
        <v>13.381</v>
      </c>
      <c r="Q538" s="60"/>
      <c r="R538" s="47"/>
      <c r="S538" s="47"/>
      <c r="T538" s="48"/>
      <c r="U538" s="48"/>
      <c r="V538" s="49"/>
      <c r="W538" s="50"/>
      <c r="X538" s="51"/>
    </row>
    <row r="539" spans="1:28" ht="61.5" customHeight="1">
      <c r="A539" s="158"/>
      <c r="B539" s="164"/>
      <c r="C539" s="59" t="s">
        <v>18</v>
      </c>
      <c r="D539" s="60" t="s">
        <v>34</v>
      </c>
      <c r="E539" s="61">
        <v>12.263</v>
      </c>
      <c r="F539" s="61">
        <v>10.428000000000001</v>
      </c>
      <c r="G539" s="61">
        <v>10.97</v>
      </c>
      <c r="H539" s="61">
        <v>11.989000000000001</v>
      </c>
      <c r="I539" s="61">
        <v>11.615</v>
      </c>
      <c r="J539" s="61">
        <v>10.585000000000001</v>
      </c>
      <c r="K539" s="61">
        <v>13</v>
      </c>
      <c r="L539" s="61">
        <v>9.9250000000000007</v>
      </c>
      <c r="M539" s="61">
        <v>10.378</v>
      </c>
      <c r="N539" s="61">
        <v>10.893000000000001</v>
      </c>
      <c r="O539" s="61">
        <v>8.0419999999999998</v>
      </c>
      <c r="P539" s="61">
        <v>10.654999999999999</v>
      </c>
      <c r="Q539" s="60"/>
      <c r="R539" s="47"/>
      <c r="S539" s="47"/>
      <c r="T539" s="48"/>
      <c r="U539" s="48"/>
      <c r="V539" s="49"/>
      <c r="W539" s="50"/>
      <c r="X539" s="51"/>
    </row>
    <row r="540" spans="1:28" ht="61.5" customHeight="1">
      <c r="A540" s="158"/>
      <c r="B540" s="164"/>
      <c r="C540" s="59" t="s">
        <v>18</v>
      </c>
      <c r="D540" s="60" t="s">
        <v>35</v>
      </c>
      <c r="E540" s="61">
        <v>7.7670000000000003</v>
      </c>
      <c r="F540" s="61">
        <v>9.6150000000000002</v>
      </c>
      <c r="G540" s="61">
        <v>9.0259999999999998</v>
      </c>
      <c r="H540" s="61">
        <v>10.551</v>
      </c>
      <c r="I540" s="61">
        <v>9.5060000000000002</v>
      </c>
      <c r="J540" s="61">
        <v>10.278</v>
      </c>
      <c r="K540" s="61">
        <v>9.234</v>
      </c>
      <c r="L540" s="61">
        <v>11.46</v>
      </c>
      <c r="M540" s="61">
        <v>14.019</v>
      </c>
      <c r="N540" s="61">
        <v>11.746</v>
      </c>
      <c r="O540" s="61">
        <v>11.002000000000001</v>
      </c>
      <c r="P540" s="61">
        <v>11.766</v>
      </c>
      <c r="Q540" s="60"/>
      <c r="R540" s="47"/>
      <c r="S540" s="47"/>
      <c r="T540" s="48"/>
      <c r="U540" s="48"/>
      <c r="V540" s="49"/>
      <c r="W540" s="50"/>
      <c r="X540" s="51"/>
    </row>
    <row r="541" spans="1:28" ht="61.5" customHeight="1">
      <c r="A541" s="158"/>
      <c r="B541" s="164"/>
      <c r="C541" s="59" t="s">
        <v>18</v>
      </c>
      <c r="D541" s="60" t="s">
        <v>36</v>
      </c>
      <c r="E541" s="61">
        <v>19.408000000000001</v>
      </c>
      <c r="F541" s="61">
        <v>20.283999999999999</v>
      </c>
      <c r="G541" s="61">
        <v>16.481000000000002</v>
      </c>
      <c r="H541" s="61">
        <v>13.407</v>
      </c>
      <c r="I541" s="61">
        <v>11.519</v>
      </c>
      <c r="J541" s="61">
        <v>8.5169999999999995</v>
      </c>
      <c r="K541" s="61">
        <v>7.415</v>
      </c>
      <c r="L541" s="61">
        <v>6.9829999999999997</v>
      </c>
      <c r="M541" s="61">
        <v>2</v>
      </c>
      <c r="N541" s="61">
        <v>3.048</v>
      </c>
      <c r="O541" s="61">
        <v>7.0490000000000004</v>
      </c>
      <c r="P541" s="61">
        <v>9.0120000000000005</v>
      </c>
      <c r="Q541" s="81"/>
      <c r="R541" s="47"/>
      <c r="S541" s="47"/>
      <c r="T541" s="48"/>
      <c r="U541" s="48"/>
      <c r="V541" s="49"/>
      <c r="W541" s="50"/>
      <c r="X541" s="51"/>
    </row>
    <row r="542" spans="1:28" ht="61.5" customHeight="1">
      <c r="A542" s="158"/>
      <c r="B542" s="164"/>
      <c r="C542" s="59" t="s">
        <v>18</v>
      </c>
      <c r="D542" s="64" t="s">
        <v>37</v>
      </c>
      <c r="E542" s="85">
        <v>18.084</v>
      </c>
      <c r="F542" s="85">
        <v>21.873999999999999</v>
      </c>
      <c r="G542" s="85">
        <v>18.507999999999999</v>
      </c>
      <c r="H542" s="85">
        <v>14.597</v>
      </c>
      <c r="I542" s="85">
        <v>14.663</v>
      </c>
      <c r="J542" s="85">
        <v>15.446999999999999</v>
      </c>
      <c r="K542" s="85">
        <v>19.488</v>
      </c>
      <c r="L542" s="85">
        <v>17.809999999999999</v>
      </c>
      <c r="M542" s="85">
        <v>20.974</v>
      </c>
      <c r="N542" s="85">
        <v>21.032</v>
      </c>
      <c r="O542" s="85">
        <v>16.527999999999999</v>
      </c>
      <c r="P542" s="85">
        <v>18.599</v>
      </c>
      <c r="Q542" s="46"/>
      <c r="R542" s="47"/>
      <c r="S542" s="47"/>
      <c r="T542" s="48"/>
      <c r="U542" s="48"/>
      <c r="V542" s="49"/>
      <c r="W542" s="50"/>
      <c r="X542" s="51"/>
    </row>
    <row r="543" spans="1:28" ht="61.5" customHeight="1">
      <c r="A543" s="158"/>
      <c r="B543" s="164"/>
      <c r="C543" s="59" t="s">
        <v>18</v>
      </c>
      <c r="D543" s="60" t="s">
        <v>38</v>
      </c>
      <c r="E543" s="85">
        <v>14.917</v>
      </c>
      <c r="F543" s="85">
        <v>22.146999999999998</v>
      </c>
      <c r="G543" s="85">
        <v>22.425000000000001</v>
      </c>
      <c r="H543" s="85">
        <v>15.679</v>
      </c>
      <c r="I543" s="85">
        <v>20.177</v>
      </c>
      <c r="J543" s="85">
        <v>20.774999999999999</v>
      </c>
      <c r="K543" s="85">
        <v>20.815999999999999</v>
      </c>
      <c r="L543" s="85">
        <v>18.706</v>
      </c>
      <c r="M543" s="85">
        <v>21.29</v>
      </c>
      <c r="N543" s="85">
        <v>19.608000000000001</v>
      </c>
      <c r="O543" s="85">
        <v>18.850000000000001</v>
      </c>
      <c r="P543" s="85">
        <v>22.585000000000001</v>
      </c>
      <c r="Q543" s="46"/>
      <c r="R543" s="47"/>
      <c r="S543" s="47"/>
      <c r="T543" s="48"/>
      <c r="U543" s="48"/>
      <c r="V543" s="49"/>
      <c r="W543" s="50"/>
      <c r="X543" s="51"/>
    </row>
    <row r="544" spans="1:28" ht="61.5" customHeight="1">
      <c r="A544" s="158"/>
      <c r="B544" s="164"/>
      <c r="C544" s="59" t="s">
        <v>18</v>
      </c>
      <c r="D544" s="60" t="s">
        <v>39</v>
      </c>
      <c r="E544" s="85">
        <v>18.873999999999999</v>
      </c>
      <c r="F544" s="85">
        <v>18.34</v>
      </c>
      <c r="G544" s="85">
        <v>17.09</v>
      </c>
      <c r="H544" s="85">
        <v>16.306999999999999</v>
      </c>
      <c r="I544" s="85">
        <v>14.916</v>
      </c>
      <c r="J544" s="85">
        <v>15.26</v>
      </c>
      <c r="K544" s="85">
        <v>15.523999999999999</v>
      </c>
      <c r="L544" s="85">
        <v>15.087999999999999</v>
      </c>
      <c r="M544" s="85">
        <v>16.599</v>
      </c>
      <c r="N544" s="85">
        <v>18.547999999999998</v>
      </c>
      <c r="O544" s="85">
        <v>18.173999999999999</v>
      </c>
      <c r="P544" s="85">
        <v>20.399000000000001</v>
      </c>
      <c r="Q544" s="46"/>
      <c r="R544" s="47"/>
      <c r="S544" s="47"/>
      <c r="T544" s="48"/>
      <c r="U544" s="48"/>
      <c r="V544" s="49"/>
      <c r="W544" s="50"/>
      <c r="X544" s="51"/>
    </row>
    <row r="545" spans="1:37" ht="61.5" customHeight="1">
      <c r="A545" s="158"/>
      <c r="B545" s="164"/>
      <c r="C545" s="59" t="s">
        <v>18</v>
      </c>
      <c r="D545" s="60" t="s">
        <v>40</v>
      </c>
      <c r="E545" s="85">
        <v>13.946999999999999</v>
      </c>
      <c r="F545" s="85">
        <v>16.007000000000001</v>
      </c>
      <c r="G545" s="85">
        <v>15.000999999999999</v>
      </c>
      <c r="H545" s="85">
        <v>15.968999999999999</v>
      </c>
      <c r="I545" s="85">
        <v>15.792999999999999</v>
      </c>
      <c r="J545" s="85">
        <v>0</v>
      </c>
      <c r="K545" s="85">
        <v>11.115</v>
      </c>
      <c r="L545" s="85">
        <v>15.616</v>
      </c>
      <c r="M545" s="85">
        <v>16.734999999999999</v>
      </c>
      <c r="N545" s="85">
        <v>15.666</v>
      </c>
      <c r="O545" s="85">
        <v>14.602</v>
      </c>
      <c r="P545" s="85">
        <v>17.474</v>
      </c>
      <c r="Q545" s="46"/>
      <c r="R545" s="47"/>
      <c r="S545" s="47"/>
      <c r="T545" s="48"/>
      <c r="U545" s="48"/>
      <c r="V545" s="49"/>
      <c r="W545" s="50"/>
      <c r="X545" s="51"/>
    </row>
    <row r="546" spans="1:37" ht="61.5" customHeight="1">
      <c r="A546" s="158"/>
      <c r="B546" s="164"/>
      <c r="C546" s="59" t="s">
        <v>18</v>
      </c>
      <c r="D546" s="60" t="s">
        <v>41</v>
      </c>
      <c r="E546" s="85">
        <v>15.536</v>
      </c>
      <c r="F546" s="85">
        <v>16.670999999999999</v>
      </c>
      <c r="G546" s="85">
        <v>15.256</v>
      </c>
      <c r="H546" s="85">
        <v>15.923</v>
      </c>
      <c r="I546" s="85">
        <v>14.641</v>
      </c>
      <c r="J546" s="85">
        <v>13.013</v>
      </c>
      <c r="K546" s="85">
        <v>14.228999999999999</v>
      </c>
      <c r="L546" s="85">
        <v>14.901999999999999</v>
      </c>
      <c r="M546" s="85">
        <v>14.821</v>
      </c>
      <c r="N546" s="85">
        <v>16.084</v>
      </c>
      <c r="O546" s="85">
        <v>15.391</v>
      </c>
      <c r="P546" s="85">
        <v>6.5860000000000003</v>
      </c>
      <c r="Q546" s="46"/>
      <c r="R546" s="47"/>
      <c r="S546" s="47"/>
      <c r="T546" s="48"/>
      <c r="U546" s="48"/>
      <c r="V546" s="49"/>
      <c r="W546" s="50"/>
      <c r="X546" s="51"/>
    </row>
    <row r="547" spans="1:37" ht="61.5" customHeight="1">
      <c r="A547" s="158"/>
      <c r="B547" s="164"/>
      <c r="C547" s="59" t="s">
        <v>18</v>
      </c>
      <c r="D547" s="60" t="s">
        <v>42</v>
      </c>
      <c r="E547" s="85">
        <v>9.2050000000000001</v>
      </c>
      <c r="F547" s="85">
        <v>14.772</v>
      </c>
      <c r="G547" s="85">
        <v>13.218</v>
      </c>
      <c r="H547" s="85">
        <v>9.1720000000000006</v>
      </c>
      <c r="I547" s="85">
        <v>13.5</v>
      </c>
      <c r="J547" s="85">
        <v>12.496</v>
      </c>
      <c r="K547" s="85">
        <v>13.313000000000001</v>
      </c>
      <c r="L547" s="85">
        <v>9.8179999999999996</v>
      </c>
      <c r="M547" s="85">
        <v>15.65</v>
      </c>
      <c r="N547" s="85">
        <v>15.831</v>
      </c>
      <c r="O547" s="85">
        <v>14.547000000000001</v>
      </c>
      <c r="P547" s="85">
        <v>15.853999999999999</v>
      </c>
      <c r="Q547" s="46"/>
      <c r="R547" s="47"/>
      <c r="S547" s="47"/>
      <c r="T547" s="48"/>
      <c r="U547" s="48"/>
      <c r="V547" s="49"/>
      <c r="W547" s="50"/>
      <c r="X547" s="51"/>
    </row>
    <row r="548" spans="1:37" ht="61.5" customHeight="1">
      <c r="A548" s="158"/>
      <c r="B548" s="164"/>
      <c r="C548" s="59" t="s">
        <v>18</v>
      </c>
      <c r="D548" s="60" t="s">
        <v>43</v>
      </c>
      <c r="E548" s="85">
        <v>14.334</v>
      </c>
      <c r="F548" s="85">
        <v>14.239000000000001</v>
      </c>
      <c r="G548" s="85">
        <v>13.343</v>
      </c>
      <c r="H548" s="85">
        <v>14.625</v>
      </c>
      <c r="I548" s="85">
        <v>14.814</v>
      </c>
      <c r="J548" s="85">
        <v>13.935</v>
      </c>
      <c r="K548" s="85">
        <v>15.177</v>
      </c>
      <c r="L548" s="85">
        <v>14.38</v>
      </c>
      <c r="M548" s="85">
        <v>15.327999999999999</v>
      </c>
      <c r="N548" s="85">
        <v>15.2</v>
      </c>
      <c r="O548" s="85">
        <v>13.973000000000001</v>
      </c>
      <c r="P548" s="85">
        <v>14.757</v>
      </c>
      <c r="Q548" s="46"/>
      <c r="R548" s="47"/>
      <c r="S548" s="47"/>
      <c r="T548" s="48"/>
      <c r="U548" s="48"/>
      <c r="V548" s="49"/>
      <c r="W548" s="50"/>
      <c r="X548" s="51"/>
    </row>
    <row r="549" spans="1:37" ht="61.5" customHeight="1">
      <c r="A549" s="158"/>
      <c r="B549" s="164"/>
      <c r="C549" s="59" t="s">
        <v>18</v>
      </c>
      <c r="D549" s="60" t="s">
        <v>44</v>
      </c>
      <c r="E549" s="85">
        <v>14.75</v>
      </c>
      <c r="F549" s="85">
        <v>15.17</v>
      </c>
      <c r="G549" s="85">
        <v>14.464</v>
      </c>
      <c r="H549" s="85">
        <v>13.637</v>
      </c>
      <c r="I549" s="85">
        <v>13.837999999999999</v>
      </c>
      <c r="J549" s="85">
        <v>13.127000000000001</v>
      </c>
      <c r="K549" s="85">
        <v>14.682</v>
      </c>
      <c r="L549" s="85">
        <v>14.693</v>
      </c>
      <c r="M549" s="85">
        <v>14.971</v>
      </c>
      <c r="N549" s="85">
        <v>15.597</v>
      </c>
      <c r="O549" s="85">
        <v>13.724</v>
      </c>
      <c r="P549" s="85">
        <v>15.55</v>
      </c>
      <c r="Q549" s="46"/>
      <c r="R549" s="47"/>
      <c r="S549" s="47"/>
      <c r="T549" s="48"/>
      <c r="U549" s="48"/>
      <c r="V549" s="49"/>
      <c r="W549" s="50"/>
      <c r="X549" s="51"/>
    </row>
    <row r="550" spans="1:37" ht="61.5" customHeight="1">
      <c r="A550" s="158"/>
      <c r="C550" s="100"/>
      <c r="D550" s="135"/>
      <c r="E550" s="21"/>
      <c r="F550" s="21"/>
      <c r="G550" s="21"/>
      <c r="H550" s="20"/>
      <c r="I550" s="21"/>
      <c r="J550" s="21"/>
      <c r="K550" s="21"/>
      <c r="L550" s="21"/>
      <c r="M550" s="21"/>
      <c r="N550" s="21"/>
      <c r="O550" s="21"/>
      <c r="P550" s="21"/>
      <c r="Q550" s="46"/>
      <c r="R550" s="47"/>
      <c r="S550" s="47"/>
      <c r="T550" s="48"/>
      <c r="U550" s="48"/>
      <c r="V550" s="49"/>
      <c r="W550" s="50"/>
      <c r="X550" s="51"/>
    </row>
    <row r="551" spans="1:37" s="109" customFormat="1" ht="65.099999999999994" customHeight="1">
      <c r="A551" s="158"/>
      <c r="B551" s="160"/>
      <c r="C551" s="42"/>
      <c r="D551" s="43"/>
      <c r="E551" s="44"/>
      <c r="F551" s="44"/>
      <c r="G551" s="44"/>
      <c r="H551" s="45"/>
      <c r="I551" s="44"/>
      <c r="J551" s="44"/>
      <c r="K551" s="44"/>
      <c r="L551" s="44"/>
      <c r="M551" s="44"/>
      <c r="N551" s="44"/>
      <c r="O551" s="44"/>
      <c r="P551" s="44"/>
      <c r="Q551" s="43"/>
      <c r="R551" s="91"/>
      <c r="S551" s="47"/>
      <c r="T551" s="48"/>
      <c r="U551" s="48"/>
      <c r="V551" s="49"/>
      <c r="W551" s="50"/>
      <c r="X551" s="51"/>
      <c r="Y551" s="108"/>
      <c r="Z551" s="108"/>
    </row>
    <row r="552" spans="1:37" s="52" customFormat="1">
      <c r="A552" s="158"/>
      <c r="B552" s="161"/>
      <c r="C552" s="55"/>
      <c r="D552" s="4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46"/>
      <c r="R552" s="47"/>
      <c r="S552" s="64"/>
      <c r="T552" s="48"/>
      <c r="U552" s="48"/>
      <c r="V552" s="49"/>
      <c r="W552" s="50"/>
      <c r="X552" s="51"/>
      <c r="Y552" s="2"/>
      <c r="Z552" s="2"/>
      <c r="AB552" s="2"/>
      <c r="AC552" s="51"/>
      <c r="AI552" s="66"/>
      <c r="AK552" s="51"/>
    </row>
    <row r="553" spans="1:37" s="52" customFormat="1">
      <c r="A553" s="158"/>
      <c r="B553" s="161"/>
      <c r="C553" s="59"/>
      <c r="D553" s="60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46"/>
      <c r="R553" s="47"/>
      <c r="S553" s="64"/>
      <c r="T553" s="48"/>
      <c r="U553" s="48"/>
      <c r="V553" s="49"/>
      <c r="W553" s="50"/>
      <c r="X553" s="51"/>
      <c r="Y553" s="2"/>
      <c r="Z553" s="2"/>
      <c r="AB553" s="2"/>
      <c r="AC553" s="51"/>
      <c r="AI553" s="66"/>
      <c r="AK553" s="51"/>
    </row>
    <row r="554" spans="1:37" s="52" customFormat="1">
      <c r="A554" s="158"/>
      <c r="B554" s="161"/>
      <c r="C554" s="59"/>
      <c r="D554" s="60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46"/>
      <c r="R554" s="47"/>
      <c r="S554" s="64"/>
      <c r="T554" s="48"/>
      <c r="U554" s="48"/>
      <c r="V554" s="49"/>
      <c r="W554" s="50"/>
      <c r="X554" s="51"/>
      <c r="Y554" s="2"/>
      <c r="Z554" s="2"/>
      <c r="AB554" s="2"/>
      <c r="AC554" s="51"/>
      <c r="AI554" s="66"/>
      <c r="AK554" s="51"/>
    </row>
    <row r="555" spans="1:37">
      <c r="A555" s="158"/>
      <c r="B555" s="161"/>
      <c r="C555" s="59"/>
      <c r="D555" s="60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0"/>
      <c r="R555" s="64"/>
      <c r="S555" s="64"/>
      <c r="T555" s="65"/>
      <c r="U555" s="65"/>
      <c r="V555" s="49"/>
      <c r="W555" s="49"/>
      <c r="X555" s="66"/>
      <c r="AB555" s="6"/>
      <c r="AC555" s="66"/>
      <c r="AI555" s="66"/>
      <c r="AK555" s="66"/>
    </row>
    <row r="556" spans="1:37" s="52" customFormat="1">
      <c r="A556" s="158"/>
      <c r="B556" s="161"/>
      <c r="C556" s="59"/>
      <c r="D556" s="60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46"/>
      <c r="R556" s="47"/>
      <c r="S556" s="64"/>
      <c r="T556" s="48"/>
      <c r="U556" s="48"/>
      <c r="V556" s="49"/>
      <c r="W556" s="50"/>
      <c r="X556" s="51"/>
      <c r="Y556" s="2"/>
      <c r="Z556" s="2"/>
      <c r="AB556" s="2"/>
      <c r="AC556" s="51"/>
      <c r="AI556" s="66"/>
      <c r="AK556" s="51"/>
    </row>
    <row r="557" spans="1:37" s="52" customFormat="1" ht="46.15" customHeight="1">
      <c r="A557" s="158"/>
      <c r="B557" s="161"/>
      <c r="C557" s="59"/>
      <c r="D557" s="59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46"/>
      <c r="R557" s="47"/>
      <c r="S557" s="64"/>
      <c r="T557" s="48"/>
      <c r="U557" s="48"/>
      <c r="V557" s="49"/>
      <c r="W557" s="50"/>
      <c r="X557" s="51"/>
      <c r="Y557" s="2"/>
      <c r="Z557" s="2"/>
      <c r="AB557" s="2"/>
      <c r="AC557" s="51"/>
      <c r="AI557" s="66"/>
      <c r="AK557" s="51"/>
    </row>
    <row r="558" spans="1:37" ht="46.15" customHeight="1">
      <c r="A558" s="158"/>
      <c r="B558" s="161"/>
      <c r="C558" s="59"/>
      <c r="D558" s="60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0"/>
      <c r="R558" s="64"/>
      <c r="S558" s="64"/>
      <c r="T558" s="65"/>
      <c r="U558" s="65"/>
      <c r="V558" s="49"/>
      <c r="W558" s="49"/>
      <c r="X558" s="66"/>
      <c r="Y558" s="49"/>
      <c r="Z558" s="49"/>
      <c r="AB558" s="49"/>
      <c r="AC558" s="66"/>
      <c r="AI558" s="66"/>
      <c r="AK558" s="66"/>
    </row>
    <row r="559" spans="1:37" ht="46.15" customHeight="1">
      <c r="A559" s="158"/>
      <c r="B559" s="161"/>
      <c r="C559" s="59"/>
      <c r="D559" s="59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0"/>
      <c r="R559" s="64"/>
      <c r="S559" s="64"/>
      <c r="T559" s="65"/>
      <c r="U559" s="65"/>
      <c r="V559" s="49"/>
      <c r="W559" s="49"/>
      <c r="X559" s="66"/>
      <c r="Y559" s="137"/>
      <c r="AB559" s="66"/>
      <c r="AC559" s="66"/>
      <c r="AI559" s="66"/>
      <c r="AK559" s="66"/>
    </row>
    <row r="560" spans="1:37" s="25" customFormat="1" ht="46.15" customHeight="1">
      <c r="A560" s="158"/>
      <c r="B560" s="161"/>
      <c r="C560" s="102"/>
      <c r="D560" s="103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133"/>
      <c r="R560" s="117"/>
      <c r="S560" s="64"/>
      <c r="T560" s="65"/>
      <c r="U560" s="65"/>
      <c r="V560" s="49"/>
      <c r="W560" s="49"/>
      <c r="X560" s="66"/>
      <c r="Y560" s="137"/>
      <c r="Z560" s="27"/>
      <c r="AB560" s="111"/>
      <c r="AC560" s="111"/>
      <c r="AI560" s="66"/>
      <c r="AK560" s="66"/>
    </row>
    <row r="561" spans="1:37" ht="46.15" customHeight="1">
      <c r="A561" s="158"/>
      <c r="B561" s="161"/>
      <c r="C561" s="59"/>
      <c r="D561" s="60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0"/>
      <c r="R561" s="64"/>
      <c r="S561" s="64"/>
      <c r="T561" s="65"/>
      <c r="U561" s="65"/>
      <c r="V561" s="49"/>
      <c r="W561" s="49"/>
      <c r="X561" s="66"/>
      <c r="Y561" s="137"/>
      <c r="AB561" s="66"/>
      <c r="AC561" s="66"/>
      <c r="AI561" s="66"/>
      <c r="AK561" s="66"/>
    </row>
    <row r="562" spans="1:37" ht="46.15" customHeight="1">
      <c r="A562" s="158"/>
      <c r="B562" s="161"/>
      <c r="C562" s="59"/>
      <c r="D562" s="60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0"/>
      <c r="R562" s="64"/>
      <c r="S562" s="64"/>
      <c r="T562" s="65"/>
      <c r="U562" s="65"/>
      <c r="V562" s="49"/>
      <c r="W562" s="49"/>
      <c r="X562" s="66"/>
      <c r="Y562" s="137"/>
      <c r="AB562" s="66"/>
      <c r="AC562" s="66"/>
      <c r="AI562" s="66"/>
      <c r="AK562" s="66"/>
    </row>
    <row r="563" spans="1:37" ht="46.15" customHeight="1">
      <c r="A563" s="158"/>
      <c r="B563" s="161"/>
      <c r="C563" s="59"/>
      <c r="D563" s="60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60"/>
      <c r="R563" s="64"/>
      <c r="S563" s="64"/>
      <c r="T563" s="65"/>
      <c r="U563" s="65"/>
      <c r="V563" s="49"/>
      <c r="W563" s="49"/>
      <c r="X563" s="66"/>
      <c r="Y563" s="137"/>
      <c r="AB563" s="66"/>
      <c r="AC563" s="66"/>
      <c r="AI563" s="66"/>
      <c r="AK563" s="66"/>
    </row>
    <row r="564" spans="1:37" ht="61.5" customHeight="1">
      <c r="A564" s="158"/>
      <c r="B564" s="161"/>
      <c r="C564" s="59"/>
      <c r="D564" s="60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0"/>
      <c r="R564" s="64"/>
      <c r="S564" s="64"/>
      <c r="T564" s="65"/>
      <c r="U564" s="65"/>
      <c r="V564" s="49"/>
      <c r="W564" s="49"/>
      <c r="X564" s="66"/>
      <c r="Y564" s="137"/>
      <c r="AB564" s="66"/>
      <c r="AC564" s="66"/>
      <c r="AI564" s="66"/>
      <c r="AK564" s="66"/>
    </row>
    <row r="565" spans="1:37" ht="61.5" customHeight="1">
      <c r="A565" s="158"/>
      <c r="B565" s="161"/>
      <c r="C565" s="59"/>
      <c r="D565" s="78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0"/>
      <c r="R565" s="64"/>
      <c r="S565" s="64"/>
      <c r="T565" s="65"/>
      <c r="U565" s="65"/>
      <c r="V565" s="49"/>
      <c r="W565" s="49"/>
      <c r="X565" s="66"/>
      <c r="Y565" s="137"/>
      <c r="AB565" s="66"/>
      <c r="AC565" s="66"/>
      <c r="AI565" s="66"/>
      <c r="AK565" s="66"/>
    </row>
    <row r="566" spans="1:37" ht="61.5" customHeight="1">
      <c r="A566" s="158"/>
      <c r="B566" s="162"/>
      <c r="C566" s="59"/>
      <c r="D566" s="60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0"/>
      <c r="R566" s="64"/>
      <c r="S566" s="64"/>
      <c r="T566" s="65"/>
      <c r="U566" s="65"/>
      <c r="V566" s="49"/>
      <c r="W566" s="49"/>
      <c r="X566" s="66"/>
      <c r="Y566" s="137"/>
      <c r="AB566" s="66"/>
      <c r="AC566" s="66"/>
      <c r="AI566" s="66"/>
      <c r="AK566" s="66"/>
    </row>
    <row r="567" spans="1:37" ht="61.5" customHeight="1">
      <c r="A567" s="158"/>
      <c r="B567" s="110"/>
      <c r="C567" s="59"/>
      <c r="D567" s="60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0"/>
      <c r="R567" s="64"/>
      <c r="S567" s="47"/>
      <c r="T567" s="48"/>
      <c r="U567" s="48"/>
      <c r="V567" s="49"/>
      <c r="W567" s="50"/>
      <c r="X567" s="51"/>
      <c r="Y567" s="138"/>
      <c r="AB567" s="66"/>
      <c r="AC567" s="51"/>
      <c r="AI567" s="66"/>
      <c r="AK567" s="51"/>
    </row>
    <row r="568" spans="1:37" ht="61.5" customHeight="1">
      <c r="A568" s="158"/>
      <c r="B568" s="110"/>
      <c r="C568" s="59"/>
      <c r="D568" s="60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0"/>
      <c r="R568" s="64"/>
      <c r="S568" s="47"/>
      <c r="T568" s="48"/>
      <c r="U568" s="48"/>
      <c r="V568" s="49"/>
      <c r="W568" s="50"/>
      <c r="X568" s="51"/>
      <c r="Y568" s="138"/>
      <c r="AB568" s="66"/>
      <c r="AC568" s="51"/>
      <c r="AI568" s="66"/>
      <c r="AK568" s="51"/>
    </row>
    <row r="569" spans="1:37" ht="61.5" customHeight="1">
      <c r="A569" s="158"/>
      <c r="B569" s="110"/>
      <c r="C569" s="59"/>
      <c r="D569" s="60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0"/>
      <c r="R569" s="47"/>
      <c r="S569" s="47"/>
      <c r="T569" s="48"/>
      <c r="U569" s="48"/>
      <c r="V569" s="49"/>
      <c r="W569" s="50"/>
      <c r="X569" s="51"/>
      <c r="Y569" s="138"/>
      <c r="AB569" s="66"/>
      <c r="AC569" s="51"/>
      <c r="AI569" s="66"/>
      <c r="AK569" s="51"/>
    </row>
    <row r="570" spans="1:37" ht="61.5" customHeight="1">
      <c r="A570" s="159"/>
      <c r="B570" s="110"/>
      <c r="C570" s="59"/>
      <c r="D570" s="60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81"/>
      <c r="R570" s="47"/>
      <c r="S570" s="47"/>
      <c r="T570" s="48"/>
      <c r="U570" s="48"/>
      <c r="V570" s="49"/>
      <c r="W570" s="50"/>
      <c r="X570" s="51"/>
      <c r="Y570" s="138"/>
      <c r="AB570" s="66"/>
      <c r="AC570" s="51"/>
      <c r="AI570" s="66"/>
      <c r="AK570" s="51"/>
    </row>
    <row r="571" spans="1:37" ht="61.5" customHeight="1">
      <c r="A571" s="84"/>
      <c r="B571" s="84"/>
      <c r="C571" s="59"/>
      <c r="D571" s="60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46"/>
      <c r="R571" s="47"/>
      <c r="S571" s="47"/>
      <c r="T571" s="48"/>
      <c r="U571" s="48"/>
      <c r="V571" s="49"/>
      <c r="W571" s="50"/>
      <c r="X571" s="51"/>
      <c r="Y571" s="138"/>
      <c r="AI571" s="66"/>
      <c r="AK571" s="51"/>
    </row>
    <row r="572" spans="1:37" ht="61.5" customHeight="1">
      <c r="A572" s="84"/>
      <c r="B572" s="84"/>
      <c r="C572" s="59"/>
      <c r="D572" s="60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46"/>
      <c r="R572" s="47"/>
      <c r="S572" s="47"/>
      <c r="T572" s="48"/>
      <c r="U572" s="48"/>
      <c r="V572" s="49"/>
      <c r="W572" s="50"/>
      <c r="X572" s="51"/>
      <c r="Y572" s="138"/>
      <c r="AI572" s="66"/>
      <c r="AK572" s="51"/>
    </row>
    <row r="573" spans="1:37" ht="61.5" customHeight="1">
      <c r="A573" s="84"/>
      <c r="B573" s="84"/>
      <c r="C573" s="59"/>
      <c r="D573" s="60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46"/>
      <c r="R573" s="47"/>
      <c r="S573" s="47"/>
      <c r="T573" s="48"/>
      <c r="U573" s="48"/>
      <c r="V573" s="49"/>
      <c r="W573" s="50"/>
      <c r="X573" s="51"/>
      <c r="Y573" s="138"/>
      <c r="AI573" s="66"/>
      <c r="AK573" s="51"/>
    </row>
    <row r="574" spans="1:37" ht="61.5" customHeight="1">
      <c r="A574" s="84"/>
      <c r="B574" s="84"/>
      <c r="C574" s="59"/>
      <c r="D574" s="60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46"/>
      <c r="R574" s="47"/>
      <c r="S574" s="47"/>
      <c r="T574" s="48"/>
      <c r="U574" s="48"/>
      <c r="V574" s="49"/>
      <c r="W574" s="50"/>
      <c r="X574" s="51"/>
      <c r="Y574" s="138"/>
      <c r="AI574" s="66"/>
      <c r="AK574" s="51"/>
    </row>
    <row r="575" spans="1:37" ht="61.5" customHeight="1">
      <c r="A575" s="84"/>
      <c r="B575" s="84"/>
      <c r="C575" s="59"/>
      <c r="D575" s="60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46"/>
      <c r="R575" s="47"/>
      <c r="S575" s="47"/>
      <c r="T575" s="48"/>
      <c r="U575" s="48"/>
      <c r="V575" s="49"/>
      <c r="W575" s="50"/>
      <c r="X575" s="51"/>
      <c r="Y575" s="138"/>
      <c r="AI575" s="66"/>
      <c r="AK575" s="51"/>
    </row>
    <row r="576" spans="1:37" ht="61.5" customHeight="1">
      <c r="A576" s="84"/>
      <c r="B576" s="84"/>
      <c r="C576" s="59"/>
      <c r="D576" s="60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46"/>
      <c r="R576" s="47"/>
      <c r="S576" s="47"/>
      <c r="T576" s="48"/>
      <c r="U576" s="48"/>
      <c r="V576" s="49"/>
      <c r="W576" s="50"/>
      <c r="X576" s="51"/>
      <c r="Y576" s="138"/>
      <c r="AI576" s="66"/>
      <c r="AK576" s="51"/>
    </row>
    <row r="577" spans="1:37" ht="61.5" customHeight="1">
      <c r="A577" s="84"/>
      <c r="B577" s="84"/>
      <c r="C577" s="59"/>
      <c r="D577" s="60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46"/>
      <c r="R577" s="47"/>
      <c r="S577" s="47"/>
      <c r="T577" s="48"/>
      <c r="U577" s="48"/>
      <c r="V577" s="49"/>
      <c r="W577" s="50"/>
      <c r="X577" s="51"/>
      <c r="Y577" s="138"/>
      <c r="AI577" s="66"/>
      <c r="AK577" s="51"/>
    </row>
    <row r="578" spans="1:37" ht="61.5" customHeight="1">
      <c r="A578" s="84"/>
      <c r="B578" s="84"/>
      <c r="C578" s="59"/>
      <c r="D578" s="60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46"/>
      <c r="R578" s="47"/>
      <c r="S578" s="47"/>
      <c r="T578" s="48"/>
      <c r="U578" s="48"/>
      <c r="V578" s="49"/>
      <c r="W578" s="50"/>
      <c r="X578" s="51"/>
      <c r="Y578" s="138"/>
      <c r="AI578" s="66"/>
      <c r="AK578" s="51"/>
    </row>
    <row r="579" spans="1:37" ht="61.5" customHeight="1">
      <c r="A579" s="84"/>
      <c r="B579" s="98"/>
      <c r="C579" s="100"/>
      <c r="D579" s="101"/>
      <c r="E579" s="21"/>
      <c r="F579" s="21"/>
      <c r="G579" s="21"/>
      <c r="H579" s="20"/>
      <c r="I579" s="21"/>
      <c r="J579" s="21"/>
      <c r="K579" s="21"/>
      <c r="L579" s="21"/>
      <c r="M579" s="21"/>
      <c r="N579" s="21"/>
      <c r="O579" s="21"/>
      <c r="P579" s="21"/>
      <c r="Q579" s="46"/>
      <c r="R579" s="47"/>
      <c r="S579" s="47"/>
      <c r="T579" s="48"/>
      <c r="U579" s="48"/>
      <c r="V579" s="49"/>
      <c r="W579" s="50"/>
      <c r="X579" s="51"/>
      <c r="Y579" s="138"/>
      <c r="AI579" s="66"/>
      <c r="AK579" s="51"/>
    </row>
    <row r="580" spans="1:37" s="109" customFormat="1" ht="65.099999999999994" customHeight="1">
      <c r="A580" s="157" t="s">
        <v>52</v>
      </c>
      <c r="B580" s="163" t="s">
        <v>17</v>
      </c>
      <c r="C580" s="42"/>
      <c r="D580" s="43"/>
      <c r="E580" s="44"/>
      <c r="F580" s="44"/>
      <c r="G580" s="44"/>
      <c r="H580" s="45"/>
      <c r="I580" s="44"/>
      <c r="J580" s="44"/>
      <c r="K580" s="44"/>
      <c r="L580" s="44"/>
      <c r="M580" s="44"/>
      <c r="N580" s="44"/>
      <c r="O580" s="44"/>
      <c r="P580" s="44"/>
      <c r="Q580" s="46"/>
      <c r="R580" s="47"/>
      <c r="S580" s="47"/>
      <c r="T580" s="48"/>
      <c r="U580" s="48"/>
      <c r="V580" s="49"/>
      <c r="W580" s="50"/>
      <c r="X580" s="51"/>
      <c r="Y580" s="138"/>
      <c r="Z580" s="108"/>
      <c r="AI580" s="66"/>
      <c r="AK580" s="51"/>
    </row>
    <row r="581" spans="1:37" s="52" customFormat="1">
      <c r="A581" s="158"/>
      <c r="B581" s="164"/>
      <c r="C581" s="55"/>
      <c r="D581" s="4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114"/>
      <c r="R581" s="47"/>
      <c r="S581" s="64"/>
      <c r="T581" s="48"/>
      <c r="U581" s="48"/>
      <c r="V581" s="49"/>
      <c r="W581" s="50"/>
      <c r="X581" s="51"/>
      <c r="Y581" s="2"/>
      <c r="Z581" s="2"/>
      <c r="AB581" s="2"/>
    </row>
    <row r="582" spans="1:37" s="52" customFormat="1">
      <c r="A582" s="158"/>
      <c r="B582" s="164"/>
      <c r="C582" s="59" t="s">
        <v>18</v>
      </c>
      <c r="D582" s="60" t="s">
        <v>19</v>
      </c>
      <c r="E582" s="61">
        <v>448.67099999999999</v>
      </c>
      <c r="F582" s="61">
        <v>529.40300000000002</v>
      </c>
      <c r="G582" s="61">
        <v>504.29300000000001</v>
      </c>
      <c r="H582" s="61">
        <v>471.06400000000002</v>
      </c>
      <c r="I582" s="61">
        <v>431.77500000000003</v>
      </c>
      <c r="J582" s="61">
        <v>447.56100000000004</v>
      </c>
      <c r="K582" s="61">
        <v>506.25399999999996</v>
      </c>
      <c r="L582" s="61">
        <v>490.40700000000004</v>
      </c>
      <c r="M582" s="61">
        <v>460.12600000000003</v>
      </c>
      <c r="N582" s="61">
        <v>483.197</v>
      </c>
      <c r="O582" s="61">
        <v>469.23199999999997</v>
      </c>
      <c r="P582" s="61">
        <v>536.63599999999997</v>
      </c>
      <c r="Q582" s="114"/>
      <c r="R582" s="47"/>
      <c r="S582" s="64"/>
      <c r="T582" s="48"/>
      <c r="U582" s="48"/>
      <c r="V582" s="49"/>
      <c r="W582" s="50"/>
      <c r="X582" s="51"/>
      <c r="Y582" s="2"/>
      <c r="Z582" s="2"/>
      <c r="AB582" s="2"/>
    </row>
    <row r="583" spans="1:37" s="52" customFormat="1">
      <c r="A583" s="158"/>
      <c r="B583" s="164"/>
      <c r="C583" s="59" t="s">
        <v>18</v>
      </c>
      <c r="D583" s="60" t="s">
        <v>20</v>
      </c>
      <c r="E583" s="61">
        <v>448.298</v>
      </c>
      <c r="F583" s="61">
        <v>488.27</v>
      </c>
      <c r="G583" s="61">
        <v>463.85</v>
      </c>
      <c r="H583" s="61">
        <v>452.92899999999997</v>
      </c>
      <c r="I583" s="61">
        <v>452.9</v>
      </c>
      <c r="J583" s="61">
        <v>405.42099999999999</v>
      </c>
      <c r="K583" s="61">
        <v>470.62599999999998</v>
      </c>
      <c r="L583" s="61">
        <v>472.74</v>
      </c>
      <c r="M583" s="61">
        <v>536.62900000000002</v>
      </c>
      <c r="N583" s="61">
        <v>491.39</v>
      </c>
      <c r="O583" s="61">
        <v>458.75</v>
      </c>
      <c r="P583" s="61">
        <v>516.428</v>
      </c>
      <c r="Q583" s="114"/>
      <c r="R583" s="47"/>
      <c r="S583" s="64"/>
      <c r="T583" s="48"/>
      <c r="U583" s="48"/>
      <c r="V583" s="49"/>
      <c r="W583" s="50"/>
      <c r="X583" s="51"/>
      <c r="Y583" s="2"/>
      <c r="Z583" s="2"/>
      <c r="AB583" s="2"/>
    </row>
    <row r="584" spans="1:37">
      <c r="A584" s="158"/>
      <c r="B584" s="164"/>
      <c r="C584" s="59" t="s">
        <v>18</v>
      </c>
      <c r="D584" s="60" t="s">
        <v>21</v>
      </c>
      <c r="E584" s="61">
        <v>441.66300000000001</v>
      </c>
      <c r="F584" s="61">
        <v>470.99099999999999</v>
      </c>
      <c r="G584" s="61">
        <v>495.25400000000002</v>
      </c>
      <c r="H584" s="61">
        <v>482.57299999999998</v>
      </c>
      <c r="I584" s="61">
        <v>462.03099999999995</v>
      </c>
      <c r="J584" s="61">
        <v>462.745</v>
      </c>
      <c r="K584" s="61">
        <v>481.59799999999996</v>
      </c>
      <c r="L584" s="61">
        <v>391.12900000000002</v>
      </c>
      <c r="M584" s="61">
        <v>460.98500000000001</v>
      </c>
      <c r="N584" s="61">
        <v>510.26400000000001</v>
      </c>
      <c r="O584" s="61">
        <v>493.565</v>
      </c>
      <c r="P584" s="61">
        <v>521.76900000000001</v>
      </c>
      <c r="Q584" s="115"/>
      <c r="R584" s="64"/>
      <c r="S584" s="64"/>
      <c r="T584" s="65"/>
      <c r="U584" s="65"/>
      <c r="V584" s="49"/>
      <c r="W584" s="49"/>
      <c r="X584" s="66"/>
      <c r="AB584" s="6"/>
    </row>
    <row r="585" spans="1:37" s="52" customFormat="1">
      <c r="A585" s="158"/>
      <c r="B585" s="164"/>
      <c r="C585" s="59" t="s">
        <v>18</v>
      </c>
      <c r="D585" s="60" t="s">
        <v>22</v>
      </c>
      <c r="E585" s="61">
        <v>388.08500000000004</v>
      </c>
      <c r="F585" s="61">
        <v>411.90300000000002</v>
      </c>
      <c r="G585" s="61">
        <v>410.36900000000003</v>
      </c>
      <c r="H585" s="61">
        <v>364.24599999999998</v>
      </c>
      <c r="I585" s="61">
        <v>377.50400000000002</v>
      </c>
      <c r="J585" s="61">
        <v>381.37699999999995</v>
      </c>
      <c r="K585" s="61">
        <v>413.01900000000001</v>
      </c>
      <c r="L585" s="61">
        <v>485.03499999999997</v>
      </c>
      <c r="M585" s="61">
        <v>463.78209205215381</v>
      </c>
      <c r="N585" s="61">
        <v>532.77700000000004</v>
      </c>
      <c r="O585" s="61">
        <v>434.84900000000005</v>
      </c>
      <c r="P585" s="61">
        <v>518.48699999999997</v>
      </c>
      <c r="Q585" s="114"/>
      <c r="R585" s="47"/>
      <c r="S585" s="64"/>
      <c r="T585" s="48"/>
      <c r="U585" s="48"/>
      <c r="V585" s="49"/>
      <c r="W585" s="50"/>
      <c r="X585" s="51"/>
      <c r="Y585" s="2"/>
      <c r="Z585" s="2"/>
      <c r="AB585" s="2"/>
    </row>
    <row r="586" spans="1:37" s="52" customFormat="1" ht="46.15" customHeight="1">
      <c r="A586" s="158"/>
      <c r="B586" s="164"/>
      <c r="C586" s="59" t="s">
        <v>18</v>
      </c>
      <c r="D586" s="60" t="s">
        <v>23</v>
      </c>
      <c r="E586" s="61">
        <v>351.53500000000003</v>
      </c>
      <c r="F586" s="61">
        <v>301.589</v>
      </c>
      <c r="G586" s="61">
        <v>369.392</v>
      </c>
      <c r="H586" s="61">
        <v>424.399</v>
      </c>
      <c r="I586" s="61">
        <v>427.10599999999999</v>
      </c>
      <c r="J586" s="61">
        <v>419.07100000000003</v>
      </c>
      <c r="K586" s="61">
        <v>445.97500000000002</v>
      </c>
      <c r="L586" s="61">
        <v>413.50099999999998</v>
      </c>
      <c r="M586" s="61">
        <v>449.26299999999998</v>
      </c>
      <c r="N586" s="61">
        <v>428.279</v>
      </c>
      <c r="O586" s="61">
        <v>391.88299999999998</v>
      </c>
      <c r="P586" s="61">
        <v>453.57100000000003</v>
      </c>
      <c r="Q586" s="114"/>
      <c r="R586" s="47"/>
      <c r="S586" s="64"/>
      <c r="T586" s="48"/>
      <c r="U586" s="48"/>
      <c r="V586" s="49"/>
      <c r="W586" s="50"/>
      <c r="X586" s="51"/>
      <c r="Y586" s="2"/>
      <c r="Z586" s="2"/>
      <c r="AB586" s="2"/>
    </row>
    <row r="587" spans="1:37" ht="46.15" customHeight="1">
      <c r="A587" s="158"/>
      <c r="B587" s="164"/>
      <c r="C587" s="59" t="s">
        <v>18</v>
      </c>
      <c r="D587" s="60" t="s">
        <v>24</v>
      </c>
      <c r="E587" s="61">
        <v>222.84100000000001</v>
      </c>
      <c r="F587" s="61">
        <v>230.039569</v>
      </c>
      <c r="G587" s="61">
        <v>234.155</v>
      </c>
      <c r="H587" s="61">
        <v>316.59266700000001</v>
      </c>
      <c r="I587" s="61">
        <v>330.97</v>
      </c>
      <c r="J587" s="61">
        <v>364.15300000000002</v>
      </c>
      <c r="K587" s="61">
        <v>428.03199999999998</v>
      </c>
      <c r="L587" s="61">
        <v>380.76600000000002</v>
      </c>
      <c r="M587" s="61">
        <v>412.64699999999999</v>
      </c>
      <c r="N587" s="61">
        <v>439.43599999999998</v>
      </c>
      <c r="O587" s="61">
        <v>405.09199999999998</v>
      </c>
      <c r="P587" s="61">
        <v>478.98199999999997</v>
      </c>
      <c r="Q587" s="115"/>
      <c r="R587" s="64"/>
      <c r="S587" s="64"/>
      <c r="T587" s="65"/>
      <c r="U587" s="65"/>
      <c r="V587" s="49"/>
      <c r="W587" s="49"/>
      <c r="X587" s="66"/>
      <c r="Y587" s="49"/>
      <c r="Z587" s="49"/>
      <c r="AB587" s="49"/>
    </row>
    <row r="588" spans="1:37" ht="46.15" customHeight="1">
      <c r="A588" s="158"/>
      <c r="B588" s="164"/>
      <c r="C588" s="59" t="s">
        <v>18</v>
      </c>
      <c r="D588" s="59" t="s">
        <v>25</v>
      </c>
      <c r="E588" s="61">
        <v>355.15600000000001</v>
      </c>
      <c r="F588" s="61">
        <v>376.68599999999998</v>
      </c>
      <c r="G588" s="61">
        <v>360.53699999999998</v>
      </c>
      <c r="H588" s="61">
        <v>369.94499999999999</v>
      </c>
      <c r="I588" s="61">
        <v>377.30200000000002</v>
      </c>
      <c r="J588" s="61">
        <v>319.71100000000001</v>
      </c>
      <c r="K588" s="61">
        <v>354.017</v>
      </c>
      <c r="L588" s="61">
        <v>372.62799999999999</v>
      </c>
      <c r="M588" s="61">
        <v>398.50299999999999</v>
      </c>
      <c r="N588" s="61">
        <v>405.26600000000002</v>
      </c>
      <c r="O588" s="61">
        <v>405.95299999999997</v>
      </c>
      <c r="P588" s="61">
        <v>401.18200000000002</v>
      </c>
      <c r="Q588" s="115"/>
      <c r="R588" s="64"/>
      <c r="S588" s="64"/>
      <c r="T588" s="65"/>
      <c r="U588" s="65"/>
      <c r="V588" s="49"/>
      <c r="W588" s="49"/>
      <c r="X588" s="66"/>
    </row>
    <row r="589" spans="1:37" s="25" customFormat="1" ht="45.75" customHeight="1">
      <c r="A589" s="158"/>
      <c r="B589" s="164"/>
      <c r="C589" s="102" t="s">
        <v>18</v>
      </c>
      <c r="D589" s="103" t="s">
        <v>26</v>
      </c>
      <c r="E589" s="61">
        <v>343.25099999999998</v>
      </c>
      <c r="F589" s="61">
        <v>377.09399999999999</v>
      </c>
      <c r="G589" s="61">
        <v>311.55</v>
      </c>
      <c r="H589" s="61">
        <v>257.577</v>
      </c>
      <c r="I589" s="61">
        <v>382.14949999999999</v>
      </c>
      <c r="J589" s="61">
        <v>374.49900000000002</v>
      </c>
      <c r="K589" s="61">
        <v>414.54399999999998</v>
      </c>
      <c r="L589" s="61">
        <v>400.94299999999998</v>
      </c>
      <c r="M589" s="61">
        <v>409.62900000000002</v>
      </c>
      <c r="N589" s="61">
        <v>376.73500000000001</v>
      </c>
      <c r="O589" s="61">
        <v>362.60599999999999</v>
      </c>
      <c r="P589" s="61">
        <v>436.67500000000001</v>
      </c>
      <c r="Q589" s="116"/>
      <c r="R589" s="117"/>
      <c r="S589" s="64"/>
      <c r="T589" s="65"/>
      <c r="U589" s="65"/>
      <c r="V589" s="49"/>
      <c r="W589" s="49"/>
      <c r="X589" s="66"/>
      <c r="Y589" s="27"/>
      <c r="Z589" s="27"/>
    </row>
    <row r="590" spans="1:37" ht="46.15" customHeight="1">
      <c r="A590" s="158"/>
      <c r="B590" s="164"/>
      <c r="C590" s="59" t="s">
        <v>18</v>
      </c>
      <c r="D590" s="60" t="s">
        <v>27</v>
      </c>
      <c r="E590" s="61">
        <v>320.66399999999999</v>
      </c>
      <c r="F590" s="61">
        <v>290.798</v>
      </c>
      <c r="G590" s="61">
        <v>296.029</v>
      </c>
      <c r="H590" s="61">
        <v>334.55599999999998</v>
      </c>
      <c r="I590" s="61">
        <v>364.65100000000001</v>
      </c>
      <c r="J590" s="61">
        <v>365.79199999999997</v>
      </c>
      <c r="K590" s="61">
        <v>388.221</v>
      </c>
      <c r="L590" s="61">
        <v>332.19200000000001</v>
      </c>
      <c r="M590" s="61">
        <v>303.46100000000001</v>
      </c>
      <c r="N590" s="61">
        <v>347.36799999999999</v>
      </c>
      <c r="O590" s="61">
        <v>338.06400000000002</v>
      </c>
      <c r="P590" s="61">
        <v>390.072</v>
      </c>
      <c r="Q590" s="60"/>
      <c r="R590" s="64"/>
      <c r="S590" s="64"/>
      <c r="T590" s="65"/>
      <c r="U590" s="65"/>
      <c r="V590" s="49"/>
      <c r="W590" s="49"/>
      <c r="X590" s="66"/>
    </row>
    <row r="591" spans="1:37" ht="46.15" customHeight="1">
      <c r="A591" s="158"/>
      <c r="B591" s="164"/>
      <c r="C591" s="59" t="s">
        <v>18</v>
      </c>
      <c r="D591" s="60" t="s">
        <v>28</v>
      </c>
      <c r="E591" s="61">
        <v>433.90899999999999</v>
      </c>
      <c r="F591" s="61">
        <v>364.63099999999997</v>
      </c>
      <c r="G591" s="61">
        <v>421.32299999999998</v>
      </c>
      <c r="H591" s="61">
        <v>416.416</v>
      </c>
      <c r="I591" s="61">
        <v>402.82600000000002</v>
      </c>
      <c r="J591" s="61">
        <v>388.596</v>
      </c>
      <c r="K591" s="61">
        <v>388.84100000000001</v>
      </c>
      <c r="L591" s="61">
        <v>360.71600000000001</v>
      </c>
      <c r="M591" s="61">
        <v>374.98500000000001</v>
      </c>
      <c r="N591" s="61">
        <v>407.23899999999998</v>
      </c>
      <c r="O591" s="61">
        <v>367.05200000000002</v>
      </c>
      <c r="P591" s="61">
        <v>410.28300000000002</v>
      </c>
      <c r="Q591" s="60"/>
      <c r="R591" s="64"/>
      <c r="S591" s="64"/>
      <c r="T591" s="65"/>
      <c r="U591" s="65"/>
      <c r="V591" s="49"/>
      <c r="W591" s="49"/>
      <c r="X591" s="66"/>
    </row>
    <row r="592" spans="1:37" ht="42.75" customHeight="1">
      <c r="A592" s="158"/>
      <c r="B592" s="164"/>
      <c r="C592" s="59" t="s">
        <v>18</v>
      </c>
      <c r="D592" s="60" t="s">
        <v>29</v>
      </c>
      <c r="E592" s="76">
        <v>423.53500000000003</v>
      </c>
      <c r="F592" s="76">
        <v>427.75099999999998</v>
      </c>
      <c r="G592" s="76">
        <v>391.733</v>
      </c>
      <c r="H592" s="76">
        <v>414.55599999999998</v>
      </c>
      <c r="I592" s="76">
        <v>418.18299999999999</v>
      </c>
      <c r="J592" s="76">
        <v>382.87400000000002</v>
      </c>
      <c r="K592" s="76">
        <v>454.43599999999998</v>
      </c>
      <c r="L592" s="76">
        <v>402.11500000000001</v>
      </c>
      <c r="M592" s="76">
        <v>393.77600000000001</v>
      </c>
      <c r="N592" s="76">
        <v>442.06</v>
      </c>
      <c r="O592" s="76">
        <v>434.68</v>
      </c>
      <c r="P592" s="76">
        <v>472.59</v>
      </c>
      <c r="Q592" s="60"/>
      <c r="R592" s="64"/>
      <c r="S592" s="64"/>
      <c r="T592" s="65"/>
      <c r="U592" s="65"/>
      <c r="V592" s="49"/>
      <c r="W592" s="49"/>
      <c r="X592" s="66"/>
    </row>
    <row r="593" spans="1:24" ht="61.5" customHeight="1">
      <c r="A593" s="158"/>
      <c r="B593" s="164"/>
      <c r="C593" s="59" t="s">
        <v>18</v>
      </c>
      <c r="D593" s="60" t="s">
        <v>30</v>
      </c>
      <c r="E593" s="61">
        <v>399.11200000000002</v>
      </c>
      <c r="F593" s="61">
        <v>394.13499999999999</v>
      </c>
      <c r="G593" s="61">
        <v>238.828</v>
      </c>
      <c r="H593" s="61">
        <v>369.49599999999998</v>
      </c>
      <c r="I593" s="61">
        <v>428.31700000000001</v>
      </c>
      <c r="J593" s="61">
        <v>431.80799999999999</v>
      </c>
      <c r="K593" s="61">
        <v>423.31799999999998</v>
      </c>
      <c r="L593" s="61">
        <v>388.40300000000002</v>
      </c>
      <c r="M593" s="61">
        <v>452.19799999999998</v>
      </c>
      <c r="N593" s="61">
        <v>470.48599999999999</v>
      </c>
      <c r="O593" s="61">
        <v>385.16930000000002</v>
      </c>
      <c r="P593" s="61">
        <v>425.279</v>
      </c>
      <c r="Q593" s="60"/>
      <c r="R593" s="64"/>
      <c r="S593" s="64"/>
      <c r="T593" s="65"/>
      <c r="U593" s="65"/>
      <c r="V593" s="49"/>
      <c r="W593" s="49"/>
      <c r="X593" s="66"/>
    </row>
    <row r="594" spans="1:24" ht="61.5" customHeight="1">
      <c r="A594" s="158"/>
      <c r="B594" s="164"/>
      <c r="C594" s="59" t="s">
        <v>18</v>
      </c>
      <c r="D594" s="78" t="s">
        <v>31</v>
      </c>
      <c r="E594" s="61">
        <v>431.51600000000002</v>
      </c>
      <c r="F594" s="61">
        <v>448.31900000000002</v>
      </c>
      <c r="G594" s="61">
        <v>425.31299999999999</v>
      </c>
      <c r="H594" s="61">
        <v>443.017</v>
      </c>
      <c r="I594" s="61">
        <v>428.39400000000001</v>
      </c>
      <c r="J594" s="61">
        <v>430.99900000000002</v>
      </c>
      <c r="K594" s="61">
        <v>420.863</v>
      </c>
      <c r="L594" s="61">
        <v>431.87099999999998</v>
      </c>
      <c r="M594" s="61">
        <v>432.94299999999998</v>
      </c>
      <c r="N594" s="61">
        <v>419.846</v>
      </c>
      <c r="O594" s="61">
        <v>386.43200000000002</v>
      </c>
      <c r="P594" s="61">
        <v>436.53500000000003</v>
      </c>
      <c r="Q594" s="60"/>
      <c r="R594" s="64"/>
      <c r="S594" s="64"/>
      <c r="T594" s="65"/>
      <c r="U594" s="65"/>
      <c r="V594" s="49"/>
      <c r="W594" s="49"/>
      <c r="X594" s="66"/>
    </row>
    <row r="595" spans="1:24" ht="61.5" customHeight="1">
      <c r="A595" s="158"/>
      <c r="B595" s="164"/>
      <c r="C595" s="59" t="s">
        <v>18</v>
      </c>
      <c r="D595" s="60" t="s">
        <v>32</v>
      </c>
      <c r="E595" s="61">
        <v>418.13200000000001</v>
      </c>
      <c r="F595" s="61">
        <v>445.38200000000001</v>
      </c>
      <c r="G595" s="61">
        <v>424.75299999999999</v>
      </c>
      <c r="H595" s="61">
        <v>440.916</v>
      </c>
      <c r="I595" s="61">
        <v>446.54199999999997</v>
      </c>
      <c r="J595" s="61">
        <v>417.46100000000001</v>
      </c>
      <c r="K595" s="61">
        <v>420.83499999999998</v>
      </c>
      <c r="L595" s="61">
        <v>420.03100000000001</v>
      </c>
      <c r="M595" s="61">
        <v>399.57900000000001</v>
      </c>
      <c r="N595" s="61">
        <v>410.67</v>
      </c>
      <c r="O595" s="61">
        <v>343.827</v>
      </c>
      <c r="P595" s="61">
        <v>423.15100000000001</v>
      </c>
      <c r="Q595" s="60"/>
      <c r="R595" s="64"/>
      <c r="S595" s="64"/>
      <c r="T595" s="65"/>
      <c r="U595" s="65"/>
      <c r="V595" s="49"/>
      <c r="W595" s="49"/>
      <c r="X595" s="66"/>
    </row>
    <row r="596" spans="1:24" ht="61.5" customHeight="1">
      <c r="A596" s="158"/>
      <c r="B596" s="164"/>
      <c r="C596" s="59" t="s">
        <v>18</v>
      </c>
      <c r="D596" s="60" t="s">
        <v>33</v>
      </c>
      <c r="E596" s="61">
        <v>415.45</v>
      </c>
      <c r="F596" s="61">
        <v>396.9</v>
      </c>
      <c r="G596" s="61">
        <v>372.31099999999998</v>
      </c>
      <c r="H596" s="61">
        <v>407.69</v>
      </c>
      <c r="I596" s="61">
        <v>405.03399999999999</v>
      </c>
      <c r="J596" s="61">
        <v>401.15499999999997</v>
      </c>
      <c r="K596" s="61">
        <v>419.34699999999998</v>
      </c>
      <c r="L596" s="61">
        <v>397.863</v>
      </c>
      <c r="M596" s="61">
        <v>426.19400000000002</v>
      </c>
      <c r="N596" s="61">
        <v>406.642</v>
      </c>
      <c r="O596" s="61">
        <v>397.69400000000002</v>
      </c>
      <c r="P596" s="61">
        <v>454.80599999999998</v>
      </c>
      <c r="Q596" s="60"/>
      <c r="R596" s="47"/>
      <c r="S596" s="47"/>
      <c r="T596" s="48"/>
      <c r="U596" s="48"/>
      <c r="V596" s="49"/>
      <c r="W596" s="50"/>
      <c r="X596" s="51"/>
    </row>
    <row r="597" spans="1:24" ht="61.5" customHeight="1">
      <c r="A597" s="158"/>
      <c r="B597" s="164"/>
      <c r="C597" s="59" t="s">
        <v>18</v>
      </c>
      <c r="D597" s="60" t="s">
        <v>34</v>
      </c>
      <c r="E597" s="61">
        <v>445.16300000000001</v>
      </c>
      <c r="F597" s="61">
        <v>440.68799999999999</v>
      </c>
      <c r="G597" s="61">
        <v>426.29199999999997</v>
      </c>
      <c r="H597" s="61">
        <v>429.67599999999999</v>
      </c>
      <c r="I597" s="61">
        <v>459.91199999999998</v>
      </c>
      <c r="J597" s="61">
        <v>424.43299999999999</v>
      </c>
      <c r="K597" s="61">
        <v>460.14100000000002</v>
      </c>
      <c r="L597" s="61">
        <v>452.67599999999999</v>
      </c>
      <c r="M597" s="61">
        <v>442.20699999999999</v>
      </c>
      <c r="N597" s="61">
        <v>473.79199999999997</v>
      </c>
      <c r="O597" s="61">
        <v>404.36399999999998</v>
      </c>
      <c r="P597" s="61">
        <v>469.30500000000001</v>
      </c>
      <c r="Q597" s="60"/>
      <c r="R597" s="47"/>
      <c r="S597" s="47"/>
      <c r="T597" s="48"/>
      <c r="U597" s="48"/>
      <c r="V597" s="49"/>
      <c r="W597" s="50"/>
      <c r="X597" s="51"/>
    </row>
    <row r="598" spans="1:24" ht="61.5" customHeight="1">
      <c r="A598" s="158"/>
      <c r="B598" s="164"/>
      <c r="C598" s="59" t="s">
        <v>18</v>
      </c>
      <c r="D598" s="60" t="s">
        <v>35</v>
      </c>
      <c r="E598" s="61">
        <v>422.858</v>
      </c>
      <c r="F598" s="61">
        <v>418.53300000000002</v>
      </c>
      <c r="G598" s="61">
        <v>403.58100000000002</v>
      </c>
      <c r="H598" s="61">
        <v>440.53</v>
      </c>
      <c r="I598" s="61">
        <v>452.29</v>
      </c>
      <c r="J598" s="61">
        <v>420.52199999999999</v>
      </c>
      <c r="K598" s="61">
        <v>462.82499999999999</v>
      </c>
      <c r="L598" s="61">
        <v>441.488</v>
      </c>
      <c r="M598" s="61">
        <v>464.77100000000002</v>
      </c>
      <c r="N598" s="61">
        <v>471.26600000000002</v>
      </c>
      <c r="O598" s="61">
        <v>229.98500000000001</v>
      </c>
      <c r="P598" s="61">
        <v>480.44</v>
      </c>
      <c r="Q598" s="60"/>
      <c r="R598" s="47"/>
      <c r="S598" s="47"/>
      <c r="T598" s="48"/>
      <c r="U598" s="48"/>
      <c r="V598" s="49"/>
      <c r="W598" s="50"/>
      <c r="X598" s="51"/>
    </row>
    <row r="599" spans="1:24" ht="61.5" customHeight="1">
      <c r="A599" s="158"/>
      <c r="B599" s="164"/>
      <c r="C599" s="59" t="s">
        <v>18</v>
      </c>
      <c r="D599" s="60" t="s">
        <v>36</v>
      </c>
      <c r="E599" s="61">
        <v>398.79199999999997</v>
      </c>
      <c r="F599" s="61">
        <v>406.11399999999998</v>
      </c>
      <c r="G599" s="61">
        <v>401.75299999999999</v>
      </c>
      <c r="H599" s="61">
        <v>444.70600000000002</v>
      </c>
      <c r="I599" s="61">
        <v>461.70499999999998</v>
      </c>
      <c r="J599" s="61">
        <v>442.74400000000003</v>
      </c>
      <c r="K599" s="61">
        <v>452.61200000000002</v>
      </c>
      <c r="L599" s="61">
        <v>428.315</v>
      </c>
      <c r="M599" s="61">
        <v>433.34300000000002</v>
      </c>
      <c r="N599" s="61">
        <v>444.95699999999999</v>
      </c>
      <c r="O599" s="61">
        <v>405.351</v>
      </c>
      <c r="P599" s="61">
        <v>463.15300000000002</v>
      </c>
      <c r="Q599" s="81"/>
      <c r="R599" s="47"/>
      <c r="S599" s="47"/>
      <c r="T599" s="48"/>
      <c r="U599" s="48"/>
      <c r="V599" s="49"/>
      <c r="W599" s="50"/>
      <c r="X599" s="51"/>
    </row>
    <row r="600" spans="1:24" ht="61.5" customHeight="1">
      <c r="A600" s="158"/>
      <c r="B600" s="164"/>
      <c r="C600" s="59" t="s">
        <v>18</v>
      </c>
      <c r="D600" s="60" t="s">
        <v>37</v>
      </c>
      <c r="E600" s="85">
        <v>423.83100000000002</v>
      </c>
      <c r="F600" s="85">
        <v>421.82</v>
      </c>
      <c r="G600" s="85">
        <v>377.68400000000003</v>
      </c>
      <c r="H600" s="85">
        <v>350.47</v>
      </c>
      <c r="I600" s="85">
        <v>400.54700000000003</v>
      </c>
      <c r="J600" s="85">
        <v>396.90199999999999</v>
      </c>
      <c r="K600" s="85">
        <v>449.40199999999999</v>
      </c>
      <c r="L600" s="85">
        <v>452.00200000000001</v>
      </c>
      <c r="M600" s="85">
        <v>459.41500000000002</v>
      </c>
      <c r="N600" s="85">
        <v>458.60500000000002</v>
      </c>
      <c r="O600" s="85">
        <v>411.05</v>
      </c>
      <c r="P600" s="85">
        <v>452.91699999999997</v>
      </c>
      <c r="Q600" s="46"/>
      <c r="R600" s="47"/>
      <c r="S600" s="47"/>
      <c r="T600" s="48"/>
      <c r="U600" s="48"/>
      <c r="V600" s="49"/>
      <c r="W600" s="50"/>
      <c r="X600" s="51"/>
    </row>
    <row r="601" spans="1:24" ht="61.5" customHeight="1">
      <c r="A601" s="158"/>
      <c r="B601" s="164"/>
      <c r="C601" s="59" t="s">
        <v>18</v>
      </c>
      <c r="D601" s="60" t="s">
        <v>38</v>
      </c>
      <c r="E601" s="85">
        <v>406.08199999999999</v>
      </c>
      <c r="F601" s="85">
        <v>426.12700000000001</v>
      </c>
      <c r="G601" s="85">
        <v>424.01799999999997</v>
      </c>
      <c r="H601" s="85">
        <v>428.714</v>
      </c>
      <c r="I601" s="85">
        <v>370.32299999999998</v>
      </c>
      <c r="J601" s="85">
        <v>350.61799999999999</v>
      </c>
      <c r="K601" s="85">
        <v>389.13799999999998</v>
      </c>
      <c r="L601" s="85">
        <v>383.53699999999998</v>
      </c>
      <c r="M601" s="85">
        <v>399.27800000000002</v>
      </c>
      <c r="N601" s="85">
        <v>384.91899999999998</v>
      </c>
      <c r="O601" s="85">
        <v>356.27199999999999</v>
      </c>
      <c r="P601" s="85">
        <v>479.39600000000002</v>
      </c>
      <c r="Q601" s="46"/>
      <c r="R601" s="47"/>
      <c r="S601" s="47"/>
      <c r="T601" s="48"/>
      <c r="U601" s="48"/>
      <c r="V601" s="49"/>
      <c r="W601" s="50"/>
      <c r="X601" s="51"/>
    </row>
    <row r="602" spans="1:24" ht="61.5" customHeight="1">
      <c r="A602" s="158"/>
      <c r="B602" s="164"/>
      <c r="C602" s="59" t="s">
        <v>18</v>
      </c>
      <c r="D602" s="60" t="s">
        <v>39</v>
      </c>
      <c r="E602" s="85">
        <v>387.351</v>
      </c>
      <c r="F602" s="85">
        <v>401.45</v>
      </c>
      <c r="G602" s="85">
        <v>416.44400000000002</v>
      </c>
      <c r="H602" s="85">
        <v>430.28800000000001</v>
      </c>
      <c r="I602" s="85">
        <v>426.23700000000002</v>
      </c>
      <c r="J602" s="85">
        <v>424.98099999999999</v>
      </c>
      <c r="K602" s="85">
        <v>440.80099999999999</v>
      </c>
      <c r="L602" s="85">
        <v>435.75099999999998</v>
      </c>
      <c r="M602" s="85">
        <v>450.30099999999999</v>
      </c>
      <c r="N602" s="85">
        <v>430.596</v>
      </c>
      <c r="O602" s="85">
        <v>382.75099999999998</v>
      </c>
      <c r="P602" s="85">
        <v>426.71699999999998</v>
      </c>
      <c r="Q602" s="46"/>
      <c r="R602" s="47"/>
      <c r="S602" s="47"/>
      <c r="T602" s="48"/>
      <c r="U602" s="48"/>
      <c r="V602" s="49"/>
      <c r="W602" s="50"/>
      <c r="X602" s="51"/>
    </row>
    <row r="603" spans="1:24" ht="61.5" customHeight="1">
      <c r="A603" s="158"/>
      <c r="B603" s="164"/>
      <c r="C603" s="59" t="s">
        <v>18</v>
      </c>
      <c r="D603" s="60" t="s">
        <v>40</v>
      </c>
      <c r="E603" s="85">
        <v>324.75</v>
      </c>
      <c r="F603" s="85">
        <v>349.15300000000002</v>
      </c>
      <c r="G603" s="85">
        <v>351.43900000000002</v>
      </c>
      <c r="H603" s="85">
        <v>361.93900000000002</v>
      </c>
      <c r="I603" s="85">
        <v>338.822</v>
      </c>
      <c r="J603" s="85">
        <v>382.53500000000003</v>
      </c>
      <c r="K603" s="85">
        <v>395.21199999999999</v>
      </c>
      <c r="L603" s="85">
        <v>412.43099999999998</v>
      </c>
      <c r="M603" s="85">
        <v>424.245</v>
      </c>
      <c r="N603" s="85">
        <v>430.02699999999999</v>
      </c>
      <c r="O603" s="85">
        <v>389.24200000000002</v>
      </c>
      <c r="P603" s="85">
        <v>421.93700000000001</v>
      </c>
      <c r="Q603" s="46"/>
      <c r="R603" s="47"/>
      <c r="S603" s="47"/>
      <c r="T603" s="48"/>
      <c r="U603" s="48"/>
      <c r="V603" s="49"/>
      <c r="W603" s="50"/>
      <c r="X603" s="51"/>
    </row>
    <row r="604" spans="1:24" ht="61.5" customHeight="1">
      <c r="A604" s="158"/>
      <c r="B604" s="164"/>
      <c r="C604" s="59" t="s">
        <v>18</v>
      </c>
      <c r="D604" s="60" t="s">
        <v>41</v>
      </c>
      <c r="E604" s="85">
        <v>376.334</v>
      </c>
      <c r="F604" s="85">
        <v>389.03399999999999</v>
      </c>
      <c r="G604" s="85">
        <v>361.178</v>
      </c>
      <c r="H604" s="85">
        <v>406.51299999999998</v>
      </c>
      <c r="I604" s="85">
        <v>390.30799999999999</v>
      </c>
      <c r="J604" s="85">
        <v>409.67599999999999</v>
      </c>
      <c r="K604" s="85">
        <v>425.52800000000002</v>
      </c>
      <c r="L604" s="85">
        <v>389.09100000000001</v>
      </c>
      <c r="M604" s="85">
        <v>428.93900000000002</v>
      </c>
      <c r="N604" s="85">
        <v>429.97</v>
      </c>
      <c r="O604" s="85">
        <v>398.745</v>
      </c>
      <c r="P604" s="85">
        <v>337.608</v>
      </c>
      <c r="Q604" s="46"/>
      <c r="R604" s="47"/>
      <c r="S604" s="47"/>
      <c r="T604" s="48"/>
      <c r="U604" s="48"/>
      <c r="V604" s="49"/>
      <c r="W604" s="50"/>
      <c r="X604" s="51"/>
    </row>
    <row r="605" spans="1:24" ht="61.5" customHeight="1">
      <c r="A605" s="158"/>
      <c r="B605" s="164"/>
      <c r="C605" s="59" t="s">
        <v>18</v>
      </c>
      <c r="D605" s="60" t="s">
        <v>42</v>
      </c>
      <c r="E605" s="85">
        <v>321.23899999999998</v>
      </c>
      <c r="F605" s="85">
        <v>305.77199999999999</v>
      </c>
      <c r="G605" s="85">
        <v>338.13099999999997</v>
      </c>
      <c r="H605" s="85">
        <v>352.36399999999998</v>
      </c>
      <c r="I605" s="85">
        <v>350.24400000000003</v>
      </c>
      <c r="J605" s="85">
        <v>356.86599999999999</v>
      </c>
      <c r="K605" s="85">
        <v>350.03699999999998</v>
      </c>
      <c r="L605" s="85">
        <f>178.3+168.148</f>
        <v>346.44799999999998</v>
      </c>
      <c r="M605" s="85">
        <v>381.05799999999999</v>
      </c>
      <c r="N605" s="85">
        <v>383.41500000000002</v>
      </c>
      <c r="O605" s="85">
        <v>352.27800000000002</v>
      </c>
      <c r="P605" s="85">
        <v>395.37299999999999</v>
      </c>
      <c r="Q605" s="46"/>
      <c r="R605" s="47"/>
      <c r="S605" s="47"/>
      <c r="T605" s="48"/>
      <c r="U605" s="48"/>
      <c r="V605" s="49"/>
      <c r="W605" s="50"/>
      <c r="X605" s="51"/>
    </row>
    <row r="606" spans="1:24" ht="61.5" customHeight="1">
      <c r="A606" s="158"/>
      <c r="B606" s="164"/>
      <c r="C606" s="59" t="s">
        <v>18</v>
      </c>
      <c r="D606" s="60" t="s">
        <v>43</v>
      </c>
      <c r="E606" s="85">
        <v>289.72500000000002</v>
      </c>
      <c r="F606" s="85">
        <v>288.185</v>
      </c>
      <c r="G606" s="85">
        <v>310.01600000000002</v>
      </c>
      <c r="H606" s="85">
        <v>336.96800000000002</v>
      </c>
      <c r="I606" s="85">
        <v>339.83600000000001</v>
      </c>
      <c r="J606" s="85">
        <v>331.61500000000001</v>
      </c>
      <c r="K606" s="85">
        <v>353.17899999999997</v>
      </c>
      <c r="L606" s="85">
        <v>341.512</v>
      </c>
      <c r="M606" s="85">
        <v>350.62099999999998</v>
      </c>
      <c r="N606" s="85">
        <v>361.51799999999997</v>
      </c>
      <c r="O606" s="85">
        <v>313.80500000000001</v>
      </c>
      <c r="P606" s="85">
        <v>349.89400000000001</v>
      </c>
      <c r="Q606" s="46"/>
      <c r="R606" s="47"/>
      <c r="S606" s="47"/>
      <c r="T606" s="48"/>
      <c r="U606" s="48"/>
      <c r="V606" s="49"/>
      <c r="W606" s="50"/>
      <c r="X606" s="51"/>
    </row>
    <row r="607" spans="1:24" ht="61.5" customHeight="1">
      <c r="A607" s="158"/>
      <c r="B607" s="164"/>
      <c r="C607" s="80" t="s">
        <v>18</v>
      </c>
      <c r="D607" s="81" t="s">
        <v>44</v>
      </c>
      <c r="E607" s="106">
        <v>313.29000000000002</v>
      </c>
      <c r="F607" s="106">
        <v>337.01299999999998</v>
      </c>
      <c r="G607" s="106">
        <v>334.97</v>
      </c>
      <c r="H607" s="106">
        <v>344.08300000000003</v>
      </c>
      <c r="I607" s="106">
        <v>340.52499999999998</v>
      </c>
      <c r="J607" s="106">
        <v>333.37799999999999</v>
      </c>
      <c r="K607" s="106">
        <v>310.01400000000001</v>
      </c>
      <c r="L607" s="106">
        <v>317.584</v>
      </c>
      <c r="M607" s="106">
        <v>298.42200000000003</v>
      </c>
      <c r="N607" s="106">
        <v>307.02300000000002</v>
      </c>
      <c r="O607" s="106">
        <v>284.245</v>
      </c>
      <c r="P607" s="106">
        <v>315.95299999999997</v>
      </c>
      <c r="Q607" s="46"/>
      <c r="R607" s="107"/>
      <c r="S607" s="47"/>
      <c r="T607" s="48"/>
      <c r="U607" s="48"/>
      <c r="V607" s="49"/>
      <c r="W607" s="50"/>
      <c r="X607" s="51"/>
    </row>
    <row r="608" spans="1:24" ht="61.5" customHeight="1">
      <c r="A608" s="158"/>
      <c r="B608" s="84"/>
      <c r="C608" s="131"/>
      <c r="D608" s="60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46"/>
      <c r="R608" s="47"/>
      <c r="S608" s="47"/>
      <c r="T608" s="48"/>
      <c r="U608" s="48"/>
      <c r="V608" s="49"/>
      <c r="W608" s="50"/>
      <c r="X608" s="51"/>
    </row>
    <row r="609" spans="1:28" ht="61.5" customHeight="1">
      <c r="A609" s="158"/>
      <c r="B609" s="84"/>
      <c r="C609" s="131"/>
      <c r="D609" s="60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46"/>
      <c r="R609" s="47"/>
      <c r="S609" s="47"/>
      <c r="T609" s="48"/>
      <c r="U609" s="48"/>
      <c r="V609" s="49"/>
      <c r="W609" s="50"/>
      <c r="X609" s="51"/>
    </row>
    <row r="610" spans="1:28" ht="61.5" customHeight="1">
      <c r="A610" s="158"/>
      <c r="B610" s="98"/>
      <c r="C610" s="132"/>
      <c r="D610" s="101"/>
      <c r="E610" s="21"/>
      <c r="F610" s="21"/>
      <c r="G610" s="21"/>
      <c r="H610" s="20"/>
      <c r="I610" s="21"/>
      <c r="J610" s="21"/>
      <c r="K610" s="21"/>
      <c r="L610" s="21"/>
      <c r="M610" s="21"/>
      <c r="N610" s="21"/>
      <c r="O610" s="21"/>
      <c r="P610" s="21"/>
      <c r="Q610" s="46"/>
      <c r="R610" s="47"/>
      <c r="S610" s="47"/>
      <c r="T610" s="48"/>
      <c r="U610" s="48"/>
      <c r="V610" s="49"/>
      <c r="W610" s="50"/>
      <c r="X610" s="51"/>
    </row>
    <row r="611" spans="1:28" s="109" customFormat="1" ht="65.099999999999994" customHeight="1">
      <c r="A611" s="158"/>
      <c r="B611" s="163" t="s">
        <v>45</v>
      </c>
      <c r="C611" s="42"/>
      <c r="D611" s="43"/>
      <c r="E611" s="44"/>
      <c r="F611" s="44"/>
      <c r="G611" s="44"/>
      <c r="H611" s="45"/>
      <c r="I611" s="44"/>
      <c r="J611" s="44"/>
      <c r="K611" s="44"/>
      <c r="L611" s="44"/>
      <c r="M611" s="44"/>
      <c r="N611" s="44"/>
      <c r="O611" s="44"/>
      <c r="P611" s="44"/>
      <c r="Q611" s="43"/>
      <c r="R611" s="91"/>
      <c r="S611" s="47"/>
      <c r="T611" s="48"/>
      <c r="U611" s="48"/>
      <c r="V611" s="49"/>
      <c r="W611" s="50"/>
      <c r="X611" s="51"/>
      <c r="Y611" s="108"/>
      <c r="Z611" s="108"/>
    </row>
    <row r="612" spans="1:28" s="52" customFormat="1">
      <c r="A612" s="158"/>
      <c r="B612" s="164"/>
      <c r="C612" s="55"/>
      <c r="D612" s="4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114"/>
      <c r="R612" s="47"/>
      <c r="S612" s="64"/>
      <c r="T612" s="48"/>
      <c r="U612" s="48"/>
      <c r="V612" s="49"/>
      <c r="W612" s="50"/>
      <c r="X612" s="51"/>
      <c r="Y612" s="2"/>
      <c r="Z612" s="2"/>
      <c r="AB612" s="2"/>
    </row>
    <row r="613" spans="1:28" s="52" customFormat="1">
      <c r="A613" s="158"/>
      <c r="B613" s="164"/>
      <c r="C613" s="59" t="s">
        <v>18</v>
      </c>
      <c r="D613" s="60" t="s">
        <v>19</v>
      </c>
      <c r="E613" s="61">
        <v>187.251</v>
      </c>
      <c r="F613" s="61">
        <v>171.03</v>
      </c>
      <c r="G613" s="61">
        <v>169.94</v>
      </c>
      <c r="H613" s="61">
        <v>199.898</v>
      </c>
      <c r="I613" s="61">
        <v>185.60900000000001</v>
      </c>
      <c r="J613" s="61">
        <v>181.04</v>
      </c>
      <c r="K613" s="61">
        <v>161.03100000000001</v>
      </c>
      <c r="L613" s="61">
        <v>173.38499999999999</v>
      </c>
      <c r="M613" s="61">
        <v>195.28</v>
      </c>
      <c r="N613" s="61">
        <v>195.16399999999999</v>
      </c>
      <c r="O613" s="61">
        <v>174.71100000000001</v>
      </c>
      <c r="P613" s="61">
        <v>190.739</v>
      </c>
      <c r="Q613" s="114"/>
      <c r="R613" s="47"/>
      <c r="S613" s="64"/>
      <c r="T613" s="48"/>
      <c r="U613" s="48"/>
      <c r="V613" s="49"/>
      <c r="W613" s="50"/>
      <c r="X613" s="51"/>
      <c r="Y613" s="2"/>
      <c r="Z613" s="2"/>
      <c r="AB613" s="2"/>
    </row>
    <row r="614" spans="1:28" s="52" customFormat="1" ht="46.5" customHeight="1">
      <c r="A614" s="158"/>
      <c r="B614" s="164"/>
      <c r="C614" s="59" t="s">
        <v>18</v>
      </c>
      <c r="D614" s="60" t="s">
        <v>20</v>
      </c>
      <c r="E614" s="61">
        <v>169.52</v>
      </c>
      <c r="F614" s="61">
        <v>177.01599999999999</v>
      </c>
      <c r="G614" s="61">
        <v>201.81100000000001</v>
      </c>
      <c r="H614" s="61">
        <v>193.613</v>
      </c>
      <c r="I614" s="61">
        <v>204.22300000000001</v>
      </c>
      <c r="J614" s="61">
        <v>181.79300000000001</v>
      </c>
      <c r="K614" s="61">
        <v>192.34899999999999</v>
      </c>
      <c r="L614" s="61">
        <v>189.297</v>
      </c>
      <c r="M614" s="61">
        <v>171.01599999999999</v>
      </c>
      <c r="N614" s="61">
        <v>200.02699999999999</v>
      </c>
      <c r="O614" s="61">
        <v>176.42099999999999</v>
      </c>
      <c r="P614" s="61">
        <v>205.15899999999999</v>
      </c>
      <c r="Q614" s="114"/>
      <c r="R614" s="47"/>
      <c r="S614" s="64"/>
      <c r="T614" s="48"/>
      <c r="U614" s="48"/>
      <c r="V614" s="49"/>
      <c r="W614" s="50"/>
      <c r="X614" s="51"/>
      <c r="Y614" s="2"/>
      <c r="Z614" s="2"/>
      <c r="AB614" s="2"/>
    </row>
    <row r="615" spans="1:28" ht="46.5" customHeight="1">
      <c r="A615" s="158"/>
      <c r="B615" s="164"/>
      <c r="C615" s="59" t="s">
        <v>18</v>
      </c>
      <c r="D615" s="60" t="s">
        <v>21</v>
      </c>
      <c r="E615" s="61">
        <v>197.00200000000001</v>
      </c>
      <c r="F615" s="61">
        <v>198.47</v>
      </c>
      <c r="G615" s="61">
        <v>193.499</v>
      </c>
      <c r="H615" s="61">
        <v>196.73400000000001</v>
      </c>
      <c r="I615" s="61">
        <v>190.77600000000001</v>
      </c>
      <c r="J615" s="61">
        <v>188.45599999999999</v>
      </c>
      <c r="K615" s="61">
        <v>179.22499999999999</v>
      </c>
      <c r="L615" s="61">
        <v>203.15199999999999</v>
      </c>
      <c r="M615" s="61">
        <v>202.91499999999999</v>
      </c>
      <c r="N615" s="61">
        <v>201.572</v>
      </c>
      <c r="O615" s="61">
        <v>185.12299999999999</v>
      </c>
      <c r="P615" s="61">
        <v>167.874</v>
      </c>
      <c r="Q615" s="115"/>
      <c r="R615" s="64"/>
      <c r="S615" s="64"/>
      <c r="T615" s="65"/>
      <c r="U615" s="65"/>
      <c r="V615" s="49"/>
      <c r="W615" s="49"/>
      <c r="X615" s="66"/>
      <c r="AB615" s="6"/>
    </row>
    <row r="616" spans="1:28" s="52" customFormat="1" ht="46.5" customHeight="1">
      <c r="A616" s="158"/>
      <c r="B616" s="164"/>
      <c r="C616" s="59" t="s">
        <v>18</v>
      </c>
      <c r="D616" s="60" t="s">
        <v>22</v>
      </c>
      <c r="E616" s="61">
        <v>192.28899999999999</v>
      </c>
      <c r="F616" s="61">
        <v>214.22200000000001</v>
      </c>
      <c r="G616" s="61">
        <v>180.01300000000001</v>
      </c>
      <c r="H616" s="61">
        <v>162.26</v>
      </c>
      <c r="I616" s="61">
        <v>195.21799999999999</v>
      </c>
      <c r="J616" s="61">
        <v>196.95400000000001</v>
      </c>
      <c r="K616" s="61">
        <v>192.465</v>
      </c>
      <c r="L616" s="61">
        <v>185.62</v>
      </c>
      <c r="M616" s="61">
        <v>168.298</v>
      </c>
      <c r="N616" s="61">
        <v>211.02799999999999</v>
      </c>
      <c r="O616" s="61">
        <v>181.29900000000001</v>
      </c>
      <c r="P616" s="61">
        <v>215.55099999999999</v>
      </c>
      <c r="Q616" s="114"/>
      <c r="R616" s="47"/>
      <c r="S616" s="64"/>
      <c r="T616" s="48"/>
      <c r="U616" s="48"/>
      <c r="V616" s="49"/>
      <c r="W616" s="50"/>
      <c r="X616" s="51"/>
      <c r="Y616" s="2"/>
      <c r="Z616" s="2"/>
      <c r="AB616" s="2"/>
    </row>
    <row r="617" spans="1:28" s="52" customFormat="1" ht="46.15" customHeight="1">
      <c r="A617" s="158"/>
      <c r="B617" s="164"/>
      <c r="C617" s="59" t="s">
        <v>18</v>
      </c>
      <c r="D617" s="60" t="str">
        <f>+D586</f>
        <v>2021-22</v>
      </c>
      <c r="E617" s="61">
        <v>189.55099999999999</v>
      </c>
      <c r="F617" s="61">
        <v>182.39500000000001</v>
      </c>
      <c r="G617" s="61">
        <v>157.12</v>
      </c>
      <c r="H617" s="61">
        <v>187.19200000000001</v>
      </c>
      <c r="I617" s="61">
        <v>173.065</v>
      </c>
      <c r="J617" s="61">
        <v>182.42699999999999</v>
      </c>
      <c r="K617" s="61">
        <v>193.58099999999999</v>
      </c>
      <c r="L617" s="61">
        <v>188.36</v>
      </c>
      <c r="M617" s="61">
        <v>197.84299999999999</v>
      </c>
      <c r="N617" s="61">
        <v>204.18100000000001</v>
      </c>
      <c r="O617" s="61">
        <v>156.4829</v>
      </c>
      <c r="P617" s="61">
        <v>218.4015</v>
      </c>
      <c r="Q617" s="114"/>
      <c r="R617" s="47"/>
      <c r="S617" s="64"/>
      <c r="T617" s="48"/>
      <c r="U617" s="48"/>
      <c r="V617" s="49"/>
      <c r="W617" s="50"/>
      <c r="X617" s="51"/>
      <c r="Y617" s="2"/>
      <c r="Z617" s="2"/>
      <c r="AB617" s="2"/>
    </row>
    <row r="618" spans="1:28" ht="46.15" customHeight="1">
      <c r="A618" s="158"/>
      <c r="B618" s="164"/>
      <c r="C618" s="59" t="s">
        <v>18</v>
      </c>
      <c r="D618" s="60" t="str">
        <f>+D587</f>
        <v>2020-21</v>
      </c>
      <c r="E618" s="61">
        <v>112.54600000000001</v>
      </c>
      <c r="F618" s="61">
        <v>109.07299999999999</v>
      </c>
      <c r="G618" s="61">
        <v>128.03200000000001</v>
      </c>
      <c r="H618" s="61">
        <v>173.93100000000001</v>
      </c>
      <c r="I618" s="61">
        <v>194.423</v>
      </c>
      <c r="J618" s="61">
        <v>188.375</v>
      </c>
      <c r="K618" s="61">
        <v>201.21700000000001</v>
      </c>
      <c r="L618" s="61">
        <v>194.96100000000001</v>
      </c>
      <c r="M618" s="61">
        <v>198.446</v>
      </c>
      <c r="N618" s="61">
        <v>201.529</v>
      </c>
      <c r="O618" s="61">
        <v>182.749</v>
      </c>
      <c r="P618" s="61">
        <v>200.56399999999999</v>
      </c>
      <c r="Q618" s="115"/>
      <c r="R618" s="64"/>
      <c r="S618" s="64"/>
      <c r="T618" s="65"/>
      <c r="U618" s="65"/>
      <c r="V618" s="49"/>
      <c r="W618" s="49"/>
      <c r="X618" s="66"/>
      <c r="Y618" s="49"/>
      <c r="Z618" s="49"/>
      <c r="AB618" s="49"/>
    </row>
    <row r="619" spans="1:28" ht="46.15" customHeight="1">
      <c r="A619" s="158"/>
      <c r="B619" s="164"/>
      <c r="C619" s="64" t="str">
        <f>+C588</f>
        <v>Actual</v>
      </c>
      <c r="D619" s="64" t="str">
        <f>+D588</f>
        <v>2019-20</v>
      </c>
      <c r="E619" s="61">
        <v>159.15899999999999</v>
      </c>
      <c r="F619" s="61">
        <v>185.25</v>
      </c>
      <c r="G619" s="61">
        <v>176.471</v>
      </c>
      <c r="H619" s="61">
        <v>197.23</v>
      </c>
      <c r="I619" s="61">
        <v>190.62100000000001</v>
      </c>
      <c r="J619" s="61">
        <v>154.14099999999999</v>
      </c>
      <c r="K619" s="61">
        <v>160.65299999999999</v>
      </c>
      <c r="L619" s="61">
        <v>183.76</v>
      </c>
      <c r="M619" s="61">
        <v>203.74299999999999</v>
      </c>
      <c r="N619" s="61">
        <v>199.67400000000001</v>
      </c>
      <c r="O619" s="61">
        <v>197.40299999999999</v>
      </c>
      <c r="P619" s="61">
        <v>185.73500000000001</v>
      </c>
      <c r="Q619" s="115"/>
      <c r="R619" s="64"/>
      <c r="S619" s="64"/>
      <c r="T619" s="139"/>
      <c r="U619" s="65"/>
      <c r="V619" s="49"/>
      <c r="W619" s="49"/>
      <c r="X619" s="66"/>
    </row>
    <row r="620" spans="1:28" s="25" customFormat="1" ht="46.15" customHeight="1">
      <c r="A620" s="158"/>
      <c r="B620" s="164"/>
      <c r="C620" s="102" t="s">
        <v>18</v>
      </c>
      <c r="D620" s="103" t="s">
        <v>26</v>
      </c>
      <c r="E620" s="61">
        <v>164.84700000000001</v>
      </c>
      <c r="F620" s="61">
        <v>192.21600000000001</v>
      </c>
      <c r="G620" s="61">
        <v>191.536</v>
      </c>
      <c r="H620" s="61">
        <v>184.61099999999999</v>
      </c>
      <c r="I620" s="61">
        <v>186.03299999999999</v>
      </c>
      <c r="J620" s="61">
        <v>160.58099999999999</v>
      </c>
      <c r="K620" s="61">
        <v>199.12700000000001</v>
      </c>
      <c r="L620" s="61">
        <v>192.762</v>
      </c>
      <c r="M620" s="61">
        <v>191.30199999999999</v>
      </c>
      <c r="N620" s="61">
        <v>176.226</v>
      </c>
      <c r="O620" s="61">
        <v>177.03100000000001</v>
      </c>
      <c r="P620" s="61">
        <v>203.69200000000001</v>
      </c>
      <c r="Q620" s="116"/>
      <c r="R620" s="117"/>
      <c r="S620" s="64"/>
      <c r="T620" s="139"/>
      <c r="U620" s="65"/>
      <c r="V620" s="49"/>
      <c r="W620" s="49"/>
      <c r="X620" s="66"/>
      <c r="Y620" s="27"/>
      <c r="Z620" s="27"/>
    </row>
    <row r="621" spans="1:28" ht="46.15" customHeight="1">
      <c r="A621" s="158"/>
      <c r="B621" s="164"/>
      <c r="C621" s="59" t="s">
        <v>18</v>
      </c>
      <c r="D621" s="60" t="s">
        <v>27</v>
      </c>
      <c r="E621" s="61">
        <v>129.64599999999999</v>
      </c>
      <c r="F621" s="61">
        <v>131.15899999999999</v>
      </c>
      <c r="G621" s="61">
        <v>160.62</v>
      </c>
      <c r="H621" s="61">
        <v>189.30699999999999</v>
      </c>
      <c r="I621" s="61">
        <v>190.10499999999999</v>
      </c>
      <c r="J621" s="61">
        <v>168.898</v>
      </c>
      <c r="K621" s="61">
        <v>184.56800000000001</v>
      </c>
      <c r="L621" s="61">
        <v>168.80199999999999</v>
      </c>
      <c r="M621" s="61">
        <v>176.548</v>
      </c>
      <c r="N621" s="61">
        <v>166.04900000000001</v>
      </c>
      <c r="O621" s="61">
        <v>180.28100000000001</v>
      </c>
      <c r="P621" s="61">
        <v>196.13</v>
      </c>
      <c r="Q621" s="60"/>
      <c r="R621" s="64"/>
      <c r="S621" s="64"/>
      <c r="T621" s="65"/>
      <c r="U621" s="65"/>
      <c r="V621" s="49"/>
      <c r="W621" s="49"/>
      <c r="X621" s="66"/>
    </row>
    <row r="622" spans="1:28" ht="46.15" customHeight="1">
      <c r="A622" s="158"/>
      <c r="B622" s="164"/>
      <c r="C622" s="59" t="s">
        <v>18</v>
      </c>
      <c r="D622" s="60" t="s">
        <v>28</v>
      </c>
      <c r="E622" s="61">
        <v>179.30600000000001</v>
      </c>
      <c r="F622" s="61">
        <v>164.13200000000001</v>
      </c>
      <c r="G622" s="61">
        <v>178.03200000000001</v>
      </c>
      <c r="H622" s="61">
        <v>178.762</v>
      </c>
      <c r="I622" s="61">
        <v>177.17</v>
      </c>
      <c r="J622" s="61">
        <v>165.22499999999999</v>
      </c>
      <c r="K622" s="61">
        <v>180.19499999999999</v>
      </c>
      <c r="L622" s="61">
        <v>167.577</v>
      </c>
      <c r="M622" s="61">
        <v>181.565</v>
      </c>
      <c r="N622" s="61">
        <v>194.13300000000001</v>
      </c>
      <c r="O622" s="61">
        <v>146.505</v>
      </c>
      <c r="P622" s="61">
        <v>128.61000000000001</v>
      </c>
      <c r="Q622" s="60"/>
      <c r="R622" s="64"/>
      <c r="S622" s="64"/>
      <c r="T622" s="65"/>
      <c r="U622" s="65"/>
      <c r="V622" s="49"/>
      <c r="W622" s="49"/>
      <c r="X622" s="66"/>
    </row>
    <row r="623" spans="1:28" ht="46.15" customHeight="1">
      <c r="A623" s="158"/>
      <c r="B623" s="164"/>
      <c r="C623" s="59" t="s">
        <v>18</v>
      </c>
      <c r="D623" s="64" t="s">
        <v>29</v>
      </c>
      <c r="E623" s="76">
        <v>177.05600000000001</v>
      </c>
      <c r="F623" s="76">
        <v>144.602</v>
      </c>
      <c r="G623" s="76">
        <v>164.03200000000001</v>
      </c>
      <c r="H623" s="76">
        <v>167.66499999999999</v>
      </c>
      <c r="I623" s="76">
        <v>135.62299999999999</v>
      </c>
      <c r="J623" s="76">
        <v>140.00200000000001</v>
      </c>
      <c r="K623" s="76">
        <v>149.74</v>
      </c>
      <c r="L623" s="76">
        <v>185.214</v>
      </c>
      <c r="M623" s="76">
        <v>190.95500000000001</v>
      </c>
      <c r="N623" s="76">
        <v>169.71899999999999</v>
      </c>
      <c r="O623" s="76">
        <v>162.42500000000001</v>
      </c>
      <c r="P623" s="76">
        <v>188.05199999999999</v>
      </c>
      <c r="Q623" s="60"/>
      <c r="R623" s="64"/>
      <c r="S623" s="64"/>
      <c r="T623" s="65"/>
      <c r="U623" s="65"/>
      <c r="V623" s="49"/>
      <c r="W623" s="49"/>
      <c r="X623" s="66"/>
    </row>
    <row r="624" spans="1:28" ht="61.5" customHeight="1">
      <c r="A624" s="158"/>
      <c r="B624" s="164"/>
      <c r="C624" s="59" t="s">
        <v>18</v>
      </c>
      <c r="D624" s="64" t="s">
        <v>30</v>
      </c>
      <c r="E624" s="61">
        <v>143.078</v>
      </c>
      <c r="F624" s="61">
        <v>167.304</v>
      </c>
      <c r="G624" s="61">
        <v>161.83199999999999</v>
      </c>
      <c r="H624" s="61">
        <v>178.56800000000001</v>
      </c>
      <c r="I624" s="61">
        <v>174.37</v>
      </c>
      <c r="J624" s="61">
        <v>169.00399999999999</v>
      </c>
      <c r="K624" s="61">
        <v>171.251</v>
      </c>
      <c r="L624" s="61">
        <v>169.702</v>
      </c>
      <c r="M624" s="61">
        <v>181.303</v>
      </c>
      <c r="N624" s="61">
        <v>178.58</v>
      </c>
      <c r="O624" s="61">
        <v>178.12200000000001</v>
      </c>
      <c r="P624" s="61">
        <v>190.09299999999999</v>
      </c>
      <c r="Q624" s="60"/>
      <c r="R624" s="64"/>
      <c r="S624" s="64"/>
      <c r="T624" s="65"/>
      <c r="U624" s="65"/>
      <c r="V624" s="49"/>
      <c r="W624" s="49"/>
      <c r="X624" s="66"/>
    </row>
    <row r="625" spans="1:26" ht="61.5" customHeight="1">
      <c r="A625" s="158"/>
      <c r="B625" s="164"/>
      <c r="C625" s="59" t="s">
        <v>18</v>
      </c>
      <c r="D625" s="78" t="s">
        <v>31</v>
      </c>
      <c r="E625" s="61">
        <v>176.096</v>
      </c>
      <c r="F625" s="61">
        <v>167.09399999999999</v>
      </c>
      <c r="G625" s="61">
        <v>175.08</v>
      </c>
      <c r="H625" s="61">
        <v>175.03899999999999</v>
      </c>
      <c r="I625" s="61">
        <v>174.34899999999999</v>
      </c>
      <c r="J625" s="61">
        <v>174.05500000000001</v>
      </c>
      <c r="K625" s="61">
        <v>165.042</v>
      </c>
      <c r="L625" s="61">
        <v>167.803</v>
      </c>
      <c r="M625" s="61">
        <v>181.22900000000001</v>
      </c>
      <c r="N625" s="61">
        <v>185.018</v>
      </c>
      <c r="O625" s="61">
        <v>143.41200000000001</v>
      </c>
      <c r="P625" s="61">
        <v>139.00899999999999</v>
      </c>
      <c r="Q625" s="60"/>
      <c r="R625" s="64"/>
      <c r="S625" s="64"/>
      <c r="T625" s="65"/>
      <c r="U625" s="65"/>
      <c r="V625" s="49"/>
      <c r="W625" s="49"/>
      <c r="X625" s="66"/>
    </row>
    <row r="626" spans="1:26" ht="61.5" customHeight="1">
      <c r="A626" s="158"/>
      <c r="B626" s="164"/>
      <c r="C626" s="59" t="s">
        <v>18</v>
      </c>
      <c r="D626" s="60" t="s">
        <v>32</v>
      </c>
      <c r="E626" s="61">
        <v>166.613</v>
      </c>
      <c r="F626" s="61">
        <v>147.81700000000001</v>
      </c>
      <c r="G626" s="61">
        <v>166.82</v>
      </c>
      <c r="H626" s="61">
        <v>165.38</v>
      </c>
      <c r="I626" s="61">
        <v>174.29499999999999</v>
      </c>
      <c r="J626" s="61">
        <v>162.685</v>
      </c>
      <c r="K626" s="61">
        <v>180.005</v>
      </c>
      <c r="L626" s="61">
        <v>172.66399999999999</v>
      </c>
      <c r="M626" s="61">
        <v>147.31100000000001</v>
      </c>
      <c r="N626" s="61">
        <v>186.57300000000001</v>
      </c>
      <c r="O626" s="61">
        <v>174.29599999999999</v>
      </c>
      <c r="P626" s="61">
        <v>189.00299999999999</v>
      </c>
      <c r="Q626" s="60"/>
      <c r="R626" s="64"/>
      <c r="S626" s="64"/>
      <c r="T626" s="65"/>
      <c r="U626" s="65"/>
      <c r="V626" s="49"/>
      <c r="W626" s="49"/>
      <c r="X626" s="66"/>
    </row>
    <row r="627" spans="1:26" ht="61.5" customHeight="1">
      <c r="A627" s="158"/>
      <c r="B627" s="164"/>
      <c r="C627" s="59" t="s">
        <v>18</v>
      </c>
      <c r="D627" s="60" t="s">
        <v>33</v>
      </c>
      <c r="E627" s="61">
        <v>164.68100000000001</v>
      </c>
      <c r="F627" s="61">
        <v>169.00800000000001</v>
      </c>
      <c r="G627" s="61">
        <v>154.68299999999999</v>
      </c>
      <c r="H627" s="61">
        <v>156.5</v>
      </c>
      <c r="I627" s="61">
        <v>150.53800000000001</v>
      </c>
      <c r="J627" s="61">
        <v>143.20699999999999</v>
      </c>
      <c r="K627" s="61">
        <v>152.73099999999999</v>
      </c>
      <c r="L627" s="61">
        <v>140.66900000000001</v>
      </c>
      <c r="M627" s="61">
        <v>174.78899999999999</v>
      </c>
      <c r="N627" s="61">
        <v>170.36</v>
      </c>
      <c r="O627" s="61">
        <v>155.41</v>
      </c>
      <c r="P627" s="61">
        <v>181.673</v>
      </c>
      <c r="Q627" s="60"/>
      <c r="R627" s="47"/>
      <c r="S627" s="47"/>
      <c r="T627" s="48"/>
      <c r="U627" s="48"/>
      <c r="V627" s="49"/>
      <c r="W627" s="50"/>
      <c r="X627" s="51"/>
    </row>
    <row r="628" spans="1:26" ht="61.5" customHeight="1">
      <c r="A628" s="158"/>
      <c r="B628" s="164"/>
      <c r="C628" s="59" t="s">
        <v>18</v>
      </c>
      <c r="D628" s="60" t="s">
        <v>34</v>
      </c>
      <c r="E628" s="61">
        <v>161.298</v>
      </c>
      <c r="F628" s="61">
        <v>154.44</v>
      </c>
      <c r="G628" s="61">
        <v>151.72200000000001</v>
      </c>
      <c r="H628" s="61">
        <v>159.83199999999999</v>
      </c>
      <c r="I628" s="61">
        <v>168.37700000000001</v>
      </c>
      <c r="J628" s="61">
        <v>148.398</v>
      </c>
      <c r="K628" s="61">
        <v>179.221</v>
      </c>
      <c r="L628" s="61">
        <v>174.751</v>
      </c>
      <c r="M628" s="61">
        <v>178.12299999999999</v>
      </c>
      <c r="N628" s="61">
        <v>172.941</v>
      </c>
      <c r="O628" s="61">
        <v>124.786</v>
      </c>
      <c r="P628" s="61">
        <v>187.38399999999999</v>
      </c>
      <c r="Q628" s="60"/>
      <c r="R628" s="47"/>
      <c r="S628" s="47"/>
      <c r="T628" s="48"/>
      <c r="U628" s="48"/>
      <c r="V628" s="49"/>
      <c r="W628" s="50"/>
      <c r="X628" s="51"/>
    </row>
    <row r="629" spans="1:26" ht="61.5" customHeight="1">
      <c r="A629" s="158"/>
      <c r="B629" s="164"/>
      <c r="C629" s="59" t="s">
        <v>18</v>
      </c>
      <c r="D629" s="60" t="s">
        <v>35</v>
      </c>
      <c r="E629" s="61">
        <v>141.20500000000001</v>
      </c>
      <c r="F629" s="61">
        <v>163.857</v>
      </c>
      <c r="G629" s="61">
        <v>159.292</v>
      </c>
      <c r="H629" s="61">
        <v>168.51499999999999</v>
      </c>
      <c r="I629" s="61">
        <v>173.01400000000001</v>
      </c>
      <c r="J629" s="61">
        <v>153.86799999999999</v>
      </c>
      <c r="K629" s="61">
        <v>171.30199999999999</v>
      </c>
      <c r="L629" s="61">
        <v>160.39099999999999</v>
      </c>
      <c r="M629" s="61">
        <v>176.066</v>
      </c>
      <c r="N629" s="61">
        <v>168.75800000000001</v>
      </c>
      <c r="O629" s="61">
        <v>155.19999999999999</v>
      </c>
      <c r="P629" s="61">
        <v>174.74100000000001</v>
      </c>
      <c r="Q629" s="60"/>
      <c r="R629" s="47"/>
      <c r="S629" s="47"/>
      <c r="T629" s="48"/>
      <c r="U629" s="48"/>
      <c r="V629" s="49"/>
      <c r="W629" s="50"/>
      <c r="X629" s="51"/>
    </row>
    <row r="630" spans="1:26" ht="61.5" customHeight="1">
      <c r="A630" s="158"/>
      <c r="B630" s="164"/>
      <c r="C630" s="59" t="s">
        <v>18</v>
      </c>
      <c r="D630" s="64" t="s">
        <v>36</v>
      </c>
      <c r="E630" s="61">
        <v>152.24199999999999</v>
      </c>
      <c r="F630" s="61">
        <v>155.96700000000001</v>
      </c>
      <c r="G630" s="61">
        <v>156.54900000000001</v>
      </c>
      <c r="H630" s="61">
        <v>149.291</v>
      </c>
      <c r="I630" s="61">
        <v>164.202</v>
      </c>
      <c r="J630" s="61">
        <v>162.483</v>
      </c>
      <c r="K630" s="61">
        <v>166.33199999999999</v>
      </c>
      <c r="L630" s="61">
        <v>150.88999999999999</v>
      </c>
      <c r="M630" s="61">
        <v>155.596</v>
      </c>
      <c r="N630" s="61">
        <v>164.3</v>
      </c>
      <c r="O630" s="61">
        <v>145.852</v>
      </c>
      <c r="P630" s="61">
        <v>163.13300000000001</v>
      </c>
      <c r="Q630" s="81"/>
      <c r="R630" s="47"/>
      <c r="S630" s="47"/>
      <c r="T630" s="48"/>
      <c r="U630" s="48"/>
      <c r="V630" s="49"/>
      <c r="W630" s="50"/>
      <c r="X630" s="51"/>
    </row>
    <row r="631" spans="1:26" ht="61.5" customHeight="1">
      <c r="A631" s="158"/>
      <c r="B631" s="164"/>
      <c r="C631" s="59" t="s">
        <v>18</v>
      </c>
      <c r="D631" s="60" t="s">
        <v>37</v>
      </c>
      <c r="E631" s="85">
        <v>169.066</v>
      </c>
      <c r="F631" s="85">
        <v>171.386</v>
      </c>
      <c r="G631" s="85">
        <v>168.721</v>
      </c>
      <c r="H631" s="85">
        <v>151.012</v>
      </c>
      <c r="I631" s="85">
        <v>156.23500000000001</v>
      </c>
      <c r="J631" s="85">
        <v>154.21899999999999</v>
      </c>
      <c r="K631" s="85">
        <v>154.875</v>
      </c>
      <c r="L631" s="85">
        <v>163.93799999999999</v>
      </c>
      <c r="M631" s="85">
        <v>143.24700000000001</v>
      </c>
      <c r="N631" s="85">
        <v>157.55099999999999</v>
      </c>
      <c r="O631" s="85">
        <v>157.339</v>
      </c>
      <c r="P631" s="85">
        <v>166.81800000000001</v>
      </c>
      <c r="Q631" s="46"/>
      <c r="R631" s="47"/>
      <c r="S631" s="47"/>
      <c r="T631" s="48"/>
      <c r="U631" s="48"/>
      <c r="V631" s="49"/>
      <c r="W631" s="50"/>
      <c r="X631" s="51"/>
    </row>
    <row r="632" spans="1:26" ht="61.5" customHeight="1">
      <c r="A632" s="158"/>
      <c r="B632" s="164"/>
      <c r="C632" s="59" t="s">
        <v>18</v>
      </c>
      <c r="D632" s="60" t="s">
        <v>38</v>
      </c>
      <c r="E632" s="85">
        <v>129.779</v>
      </c>
      <c r="F632" s="85">
        <v>163.51900000000001</v>
      </c>
      <c r="G632" s="85">
        <v>157.56399999999999</v>
      </c>
      <c r="H632" s="85">
        <v>134.81899999999999</v>
      </c>
      <c r="I632" s="85">
        <v>117.057</v>
      </c>
      <c r="J632" s="85">
        <v>120.75700000000001</v>
      </c>
      <c r="K632" s="85">
        <v>169.548</v>
      </c>
      <c r="L632" s="85">
        <v>173.14500000000001</v>
      </c>
      <c r="M632" s="85">
        <v>178.858</v>
      </c>
      <c r="N632" s="85">
        <v>168.18899999999999</v>
      </c>
      <c r="O632" s="85">
        <v>167.583</v>
      </c>
      <c r="P632" s="85">
        <v>188.01</v>
      </c>
      <c r="Q632" s="46"/>
      <c r="R632" s="47"/>
      <c r="S632" s="47"/>
      <c r="T632" s="48"/>
      <c r="U632" s="48"/>
      <c r="V632" s="49"/>
      <c r="W632" s="50"/>
      <c r="X632" s="51"/>
    </row>
    <row r="633" spans="1:26" ht="61.5" customHeight="1">
      <c r="A633" s="158"/>
      <c r="B633" s="164"/>
      <c r="C633" s="59" t="s">
        <v>18</v>
      </c>
      <c r="D633" s="60" t="s">
        <v>39</v>
      </c>
      <c r="E633" s="85">
        <v>143.654</v>
      </c>
      <c r="F633" s="85">
        <v>155.73500000000001</v>
      </c>
      <c r="G633" s="85">
        <v>124.816</v>
      </c>
      <c r="H633" s="85">
        <v>128.45699999999999</v>
      </c>
      <c r="I633" s="85">
        <v>150.19399999999999</v>
      </c>
      <c r="J633" s="85">
        <v>147.071</v>
      </c>
      <c r="K633" s="85">
        <v>155.495</v>
      </c>
      <c r="L633" s="85">
        <v>160.358</v>
      </c>
      <c r="M633" s="85">
        <v>163.26</v>
      </c>
      <c r="N633" s="85">
        <v>163.51900000000001</v>
      </c>
      <c r="O633" s="85">
        <v>151.572</v>
      </c>
      <c r="P633" s="85">
        <v>156.732</v>
      </c>
      <c r="Q633" s="46"/>
      <c r="R633" s="47"/>
      <c r="S633" s="47"/>
      <c r="T633" s="48"/>
      <c r="U633" s="48"/>
      <c r="V633" s="49"/>
      <c r="W633" s="50"/>
      <c r="X633" s="51"/>
    </row>
    <row r="634" spans="1:26" ht="61.5" customHeight="1">
      <c r="A634" s="158"/>
      <c r="B634" s="164"/>
      <c r="C634" s="59" t="s">
        <v>18</v>
      </c>
      <c r="D634" s="60" t="s">
        <v>40</v>
      </c>
      <c r="E634" s="85">
        <v>119.345</v>
      </c>
      <c r="F634" s="85">
        <v>135.64400000000001</v>
      </c>
      <c r="G634" s="85">
        <v>137.81200000000001</v>
      </c>
      <c r="H634" s="85">
        <v>143.078</v>
      </c>
      <c r="I634" s="85">
        <v>145.11500000000001</v>
      </c>
      <c r="J634" s="85">
        <v>149.78899999999999</v>
      </c>
      <c r="K634" s="85">
        <v>163.40799999999999</v>
      </c>
      <c r="L634" s="85">
        <v>164.203</v>
      </c>
      <c r="M634" s="85">
        <v>164.334</v>
      </c>
      <c r="N634" s="85">
        <v>170.298</v>
      </c>
      <c r="O634" s="85">
        <v>154.589</v>
      </c>
      <c r="P634" s="85">
        <v>158.80500000000001</v>
      </c>
      <c r="Q634" s="46"/>
      <c r="R634" s="47"/>
      <c r="S634" s="47"/>
      <c r="T634" s="48"/>
      <c r="U634" s="48"/>
      <c r="V634" s="49"/>
      <c r="W634" s="50"/>
      <c r="X634" s="51"/>
    </row>
    <row r="635" spans="1:26" ht="61.5" customHeight="1">
      <c r="A635" s="158"/>
      <c r="B635" s="164"/>
      <c r="C635" s="59" t="s">
        <v>18</v>
      </c>
      <c r="D635" s="60" t="s">
        <v>41</v>
      </c>
      <c r="E635" s="85">
        <v>143.761</v>
      </c>
      <c r="F635" s="85">
        <v>142.45099999999999</v>
      </c>
      <c r="G635" s="85">
        <v>127.908</v>
      </c>
      <c r="H635" s="85">
        <v>122.56699999999999</v>
      </c>
      <c r="I635" s="85">
        <v>124.00700000000001</v>
      </c>
      <c r="J635" s="85">
        <v>161.852</v>
      </c>
      <c r="K635" s="85">
        <v>162.001</v>
      </c>
      <c r="L635" s="85">
        <v>153.51599999999999</v>
      </c>
      <c r="M635" s="85">
        <v>162.02199999999999</v>
      </c>
      <c r="N635" s="85">
        <v>172.51900000000001</v>
      </c>
      <c r="O635" s="85">
        <v>157.03100000000001</v>
      </c>
      <c r="P635" s="85">
        <v>128.94499999999999</v>
      </c>
      <c r="Q635" s="46"/>
      <c r="R635" s="47"/>
      <c r="S635" s="47"/>
      <c r="T635" s="48"/>
      <c r="U635" s="48"/>
      <c r="V635" s="49"/>
      <c r="W635" s="50"/>
      <c r="X635" s="51"/>
    </row>
    <row r="636" spans="1:26" ht="61.5" customHeight="1">
      <c r="A636" s="158"/>
      <c r="B636" s="164"/>
      <c r="C636" s="59" t="s">
        <v>18</v>
      </c>
      <c r="D636" s="60" t="s">
        <v>42</v>
      </c>
      <c r="E636" s="85">
        <v>130.006</v>
      </c>
      <c r="F636" s="85">
        <v>143.07</v>
      </c>
      <c r="G636" s="85">
        <v>129.197</v>
      </c>
      <c r="H636" s="85">
        <v>120.128</v>
      </c>
      <c r="I636" s="85">
        <v>141.55000000000001</v>
      </c>
      <c r="J636" s="85">
        <v>122.92</v>
      </c>
      <c r="K636" s="85">
        <v>153.005</v>
      </c>
      <c r="L636" s="85">
        <v>145.22</v>
      </c>
      <c r="M636" s="85">
        <v>155.03800000000001</v>
      </c>
      <c r="N636" s="85">
        <v>160.42099999999999</v>
      </c>
      <c r="O636" s="85">
        <v>152.05099999999999</v>
      </c>
      <c r="P636" s="85">
        <v>155.28800000000001</v>
      </c>
      <c r="Q636" s="46"/>
      <c r="R636" s="47"/>
      <c r="S636" s="47"/>
      <c r="T636" s="48"/>
      <c r="U636" s="48"/>
      <c r="V636" s="49"/>
      <c r="W636" s="50"/>
      <c r="X636" s="51"/>
    </row>
    <row r="637" spans="1:26" ht="61.5" customHeight="1">
      <c r="A637" s="158"/>
      <c r="B637" s="164"/>
      <c r="C637" s="59" t="s">
        <v>18</v>
      </c>
      <c r="D637" s="60" t="s">
        <v>43</v>
      </c>
      <c r="E637" s="85">
        <v>144.017</v>
      </c>
      <c r="F637" s="85">
        <v>146.755</v>
      </c>
      <c r="G637" s="85">
        <v>128.12799999999999</v>
      </c>
      <c r="H637" s="85">
        <v>141.166</v>
      </c>
      <c r="I637" s="85">
        <v>134.33600000000001</v>
      </c>
      <c r="J637" s="85">
        <v>132.72499999999999</v>
      </c>
      <c r="K637" s="85">
        <v>136.17699999999999</v>
      </c>
      <c r="L637" s="85">
        <v>128.137</v>
      </c>
      <c r="M637" s="85">
        <v>127.51600000000001</v>
      </c>
      <c r="N637" s="85">
        <v>148.34399999999999</v>
      </c>
      <c r="O637" s="85">
        <v>142.19399999999999</v>
      </c>
      <c r="P637" s="85">
        <v>158.04900000000001</v>
      </c>
      <c r="Q637" s="46"/>
      <c r="R637" s="47"/>
      <c r="S637" s="47"/>
      <c r="T637" s="48"/>
      <c r="U637" s="48"/>
      <c r="V637" s="49"/>
      <c r="W637" s="50"/>
      <c r="X637" s="51"/>
    </row>
    <row r="638" spans="1:26" ht="61.5" customHeight="1">
      <c r="A638" s="158"/>
      <c r="B638" s="165"/>
      <c r="C638" s="59" t="s">
        <v>18</v>
      </c>
      <c r="D638" s="60" t="s">
        <v>44</v>
      </c>
      <c r="E638" s="85">
        <v>128.61799999999999</v>
      </c>
      <c r="F638" s="85">
        <v>139.072</v>
      </c>
      <c r="G638" s="85">
        <v>100.712</v>
      </c>
      <c r="H638" s="85">
        <v>124.517</v>
      </c>
      <c r="I638" s="85">
        <v>141.078</v>
      </c>
      <c r="J638" s="85">
        <v>127.077</v>
      </c>
      <c r="K638" s="85">
        <v>135.13200000000001</v>
      </c>
      <c r="L638" s="85">
        <v>125.125</v>
      </c>
      <c r="M638" s="85">
        <v>144.30600000000001</v>
      </c>
      <c r="N638" s="85">
        <v>145.03800000000001</v>
      </c>
      <c r="O638" s="85">
        <v>136.01</v>
      </c>
      <c r="P638" s="85">
        <v>146.071</v>
      </c>
      <c r="Q638" s="46"/>
      <c r="R638" s="47"/>
      <c r="S638" s="47"/>
      <c r="T638" s="48"/>
      <c r="U638" s="48"/>
      <c r="V638" s="49"/>
      <c r="W638" s="50"/>
      <c r="X638" s="51"/>
    </row>
    <row r="639" spans="1:26" ht="61.5" customHeight="1">
      <c r="A639" s="158"/>
      <c r="B639" s="98"/>
      <c r="C639" s="100"/>
      <c r="D639" s="101"/>
      <c r="E639" s="21"/>
      <c r="F639" s="21"/>
      <c r="G639" s="21"/>
      <c r="H639" s="20"/>
      <c r="I639" s="21"/>
      <c r="J639" s="21"/>
      <c r="K639" s="21"/>
      <c r="L639" s="21"/>
      <c r="M639" s="21"/>
      <c r="N639" s="21"/>
      <c r="O639" s="21"/>
      <c r="P639" s="21"/>
      <c r="Q639" s="46"/>
      <c r="R639" s="47"/>
      <c r="S639" s="47"/>
      <c r="T639" s="48"/>
      <c r="U639" s="48"/>
      <c r="V639" s="49"/>
      <c r="W639" s="50"/>
      <c r="X639" s="51"/>
    </row>
    <row r="640" spans="1:26" s="109" customFormat="1" ht="65.099999999999994" customHeight="1">
      <c r="A640" s="158"/>
      <c r="B640" s="163" t="s">
        <v>49</v>
      </c>
      <c r="C640" s="42"/>
      <c r="D640" s="43"/>
      <c r="E640" s="44"/>
      <c r="F640" s="44"/>
      <c r="G640" s="44"/>
      <c r="H640" s="45"/>
      <c r="I640" s="44"/>
      <c r="J640" s="44"/>
      <c r="K640" s="44"/>
      <c r="L640" s="44"/>
      <c r="M640" s="44"/>
      <c r="N640" s="44"/>
      <c r="O640" s="44"/>
      <c r="P640" s="44"/>
      <c r="Q640" s="43"/>
      <c r="R640" s="91"/>
      <c r="S640" s="47"/>
      <c r="T640" s="48"/>
      <c r="U640" s="48"/>
      <c r="V640" s="49"/>
      <c r="W640" s="50"/>
      <c r="X640" s="51"/>
      <c r="Y640" s="108"/>
      <c r="Z640" s="108"/>
    </row>
    <row r="641" spans="1:28" s="52" customFormat="1">
      <c r="A641" s="158"/>
      <c r="B641" s="164"/>
      <c r="C641" s="55"/>
      <c r="D641" s="4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114"/>
      <c r="R641" s="47"/>
      <c r="S641" s="64"/>
      <c r="T641" s="48"/>
      <c r="U641" s="48"/>
      <c r="V641" s="49"/>
      <c r="W641" s="50"/>
      <c r="X641" s="51"/>
      <c r="Y641" s="2"/>
      <c r="Z641" s="2"/>
      <c r="AB641" s="2"/>
    </row>
    <row r="642" spans="1:28" s="52" customFormat="1">
      <c r="A642" s="158"/>
      <c r="B642" s="164"/>
      <c r="C642" s="59" t="s">
        <v>18</v>
      </c>
      <c r="D642" s="60" t="s">
        <v>19</v>
      </c>
      <c r="E642" s="61">
        <v>338.12299999999999</v>
      </c>
      <c r="F642" s="61">
        <v>339.13799999999998</v>
      </c>
      <c r="G642" s="61">
        <v>332.39600000000002</v>
      </c>
      <c r="H642" s="61">
        <v>291.46100000000001</v>
      </c>
      <c r="I642" s="61">
        <v>359.78899999999999</v>
      </c>
      <c r="J642" s="61">
        <v>331.346</v>
      </c>
      <c r="K642" s="61">
        <v>350.75900000000001</v>
      </c>
      <c r="L642" s="61">
        <v>309.48500000000001</v>
      </c>
      <c r="M642" s="61">
        <v>359.19299999999998</v>
      </c>
      <c r="N642" s="61">
        <v>347.53300000000002</v>
      </c>
      <c r="O642" s="61">
        <v>317</v>
      </c>
      <c r="P642" s="61">
        <v>370.12400000000002</v>
      </c>
      <c r="Q642" s="114"/>
      <c r="R642" s="47"/>
      <c r="S642" s="64"/>
      <c r="T642" s="48"/>
      <c r="U642" s="48"/>
      <c r="V642" s="49"/>
      <c r="W642" s="50"/>
      <c r="X642" s="51"/>
      <c r="Y642" s="2"/>
      <c r="Z642" s="2"/>
      <c r="AB642" s="2"/>
    </row>
    <row r="643" spans="1:28" s="52" customFormat="1">
      <c r="A643" s="158"/>
      <c r="B643" s="164"/>
      <c r="C643" s="59" t="s">
        <v>18</v>
      </c>
      <c r="D643" s="60" t="s">
        <v>20</v>
      </c>
      <c r="E643" s="61">
        <v>341.19099999999997</v>
      </c>
      <c r="F643" s="61">
        <v>310.024</v>
      </c>
      <c r="G643" s="61">
        <v>342.96600000000001</v>
      </c>
      <c r="H643" s="61">
        <v>326.86900000000003</v>
      </c>
      <c r="I643" s="61">
        <v>354.84100000000001</v>
      </c>
      <c r="J643" s="61">
        <v>343.18600000000004</v>
      </c>
      <c r="K643" s="61">
        <v>337.51800000000003</v>
      </c>
      <c r="L643" s="61">
        <v>310.11199999999997</v>
      </c>
      <c r="M643" s="61">
        <v>359.67099999999999</v>
      </c>
      <c r="N643" s="61">
        <v>349.20400000000001</v>
      </c>
      <c r="O643" s="61">
        <v>313.14699999999999</v>
      </c>
      <c r="P643" s="61">
        <v>356.91</v>
      </c>
      <c r="Q643" s="114"/>
      <c r="R643" s="47"/>
      <c r="S643" s="64"/>
      <c r="T643" s="48"/>
      <c r="U643" s="48"/>
      <c r="V643" s="49"/>
      <c r="W643" s="50"/>
      <c r="X643" s="51"/>
      <c r="Y643" s="2"/>
      <c r="Z643" s="2"/>
      <c r="AB643" s="2"/>
    </row>
    <row r="644" spans="1:28">
      <c r="A644" s="158"/>
      <c r="B644" s="164"/>
      <c r="C644" s="59" t="s">
        <v>18</v>
      </c>
      <c r="D644" s="60" t="s">
        <v>21</v>
      </c>
      <c r="E644" s="61">
        <v>342.42099999999999</v>
      </c>
      <c r="F644" s="61">
        <v>349.91199999999998</v>
      </c>
      <c r="G644" s="61">
        <v>310.62700000000001</v>
      </c>
      <c r="H644" s="61">
        <v>370.52300000000002</v>
      </c>
      <c r="I644" s="61">
        <v>355.97899999999998</v>
      </c>
      <c r="J644" s="61">
        <v>304.15699999999998</v>
      </c>
      <c r="K644" s="61">
        <v>363.16</v>
      </c>
      <c r="L644" s="61">
        <v>345.452</v>
      </c>
      <c r="M644" s="61">
        <v>340.01299999999998</v>
      </c>
      <c r="N644" s="61">
        <v>378.55399999999997</v>
      </c>
      <c r="O644" s="61">
        <v>329.36200000000002</v>
      </c>
      <c r="P644" s="61">
        <v>371.04199999999997</v>
      </c>
      <c r="Q644" s="115"/>
      <c r="R644" s="64"/>
      <c r="S644" s="64"/>
      <c r="T644" s="65"/>
      <c r="U644" s="65"/>
      <c r="V644" s="49"/>
      <c r="W644" s="49"/>
      <c r="X644" s="66"/>
      <c r="AB644" s="6"/>
    </row>
    <row r="645" spans="1:28" s="52" customFormat="1">
      <c r="A645" s="158"/>
      <c r="B645" s="164"/>
      <c r="C645" s="59" t="s">
        <v>18</v>
      </c>
      <c r="D645" s="60" t="s">
        <v>22</v>
      </c>
      <c r="E645" s="61">
        <v>329.03699999999998</v>
      </c>
      <c r="F645" s="61">
        <v>341.46100000000001</v>
      </c>
      <c r="G645" s="61">
        <v>330.95800000000003</v>
      </c>
      <c r="H645" s="61">
        <v>327.93200000000002</v>
      </c>
      <c r="I645" s="61">
        <v>328.23500000000001</v>
      </c>
      <c r="J645" s="61">
        <v>333.49799999999999</v>
      </c>
      <c r="K645" s="61">
        <v>330.529</v>
      </c>
      <c r="L645" s="61">
        <v>339.42399999999998</v>
      </c>
      <c r="M645" s="61">
        <v>364.32</v>
      </c>
      <c r="N645" s="61">
        <v>350.41200000000003</v>
      </c>
      <c r="O645" s="61">
        <v>293.13200000000001</v>
      </c>
      <c r="P645" s="61">
        <v>370.03899999999999</v>
      </c>
      <c r="Q645" s="114"/>
      <c r="R645" s="47"/>
      <c r="S645" s="64"/>
      <c r="T645" s="48"/>
      <c r="U645" s="48"/>
      <c r="V645" s="49"/>
      <c r="W645" s="50"/>
      <c r="X645" s="51"/>
      <c r="Y645" s="2"/>
      <c r="Z645" s="2"/>
      <c r="AB645" s="2"/>
    </row>
    <row r="646" spans="1:28" s="52" customFormat="1" ht="46.15" customHeight="1">
      <c r="A646" s="158"/>
      <c r="B646" s="164"/>
      <c r="C646" s="59" t="s">
        <v>18</v>
      </c>
      <c r="D646" s="60" t="str">
        <f>+D617</f>
        <v>2021-22</v>
      </c>
      <c r="E646" s="61">
        <v>295.31099999999998</v>
      </c>
      <c r="F646" s="61">
        <v>341.721</v>
      </c>
      <c r="G646" s="61">
        <v>264.81799999999998</v>
      </c>
      <c r="H646" s="61">
        <v>363.09500000000003</v>
      </c>
      <c r="I646" s="61">
        <v>355.43299999999999</v>
      </c>
      <c r="J646" s="61">
        <v>333.06</v>
      </c>
      <c r="K646" s="61">
        <v>343.37700000000001</v>
      </c>
      <c r="L646" s="61">
        <v>330.25700000000001</v>
      </c>
      <c r="M646" s="61">
        <v>335.101</v>
      </c>
      <c r="N646" s="61">
        <v>334.37599999999998</v>
      </c>
      <c r="O646" s="61">
        <v>321.68200000000002</v>
      </c>
      <c r="P646" s="61">
        <v>369.02800000000002</v>
      </c>
      <c r="Q646" s="114"/>
      <c r="R646" s="47"/>
      <c r="S646" s="64"/>
      <c r="T646" s="48"/>
      <c r="U646" s="48"/>
      <c r="V646" s="49"/>
      <c r="W646" s="50"/>
      <c r="X646" s="51"/>
      <c r="Y646" s="2"/>
      <c r="Z646" s="2"/>
      <c r="AB646" s="2"/>
    </row>
    <row r="647" spans="1:28" ht="46.15" customHeight="1">
      <c r="A647" s="158"/>
      <c r="B647" s="164"/>
      <c r="C647" s="59" t="s">
        <v>18</v>
      </c>
      <c r="D647" s="60" t="str">
        <f>+D618</f>
        <v>2020-21</v>
      </c>
      <c r="E647" s="61">
        <v>152.14400000000001</v>
      </c>
      <c r="F647" s="61">
        <v>143.93199999999999</v>
      </c>
      <c r="G647" s="61">
        <v>178.839</v>
      </c>
      <c r="H647" s="61">
        <v>295.904</v>
      </c>
      <c r="I647" s="61">
        <v>320.75900000000001</v>
      </c>
      <c r="J647" s="61">
        <v>306.05</v>
      </c>
      <c r="K647" s="61">
        <v>354.01</v>
      </c>
      <c r="L647" s="61">
        <v>350.00599999999997</v>
      </c>
      <c r="M647" s="61">
        <v>362.38799999999998</v>
      </c>
      <c r="N647" s="61">
        <v>350.38799999999998</v>
      </c>
      <c r="O647" s="61">
        <v>324.43299999999999</v>
      </c>
      <c r="P647" s="61">
        <v>360.09399999999999</v>
      </c>
      <c r="Q647" s="115"/>
      <c r="R647" s="64"/>
      <c r="S647" s="64"/>
      <c r="T647" s="65"/>
      <c r="U647" s="65"/>
      <c r="V647" s="49"/>
      <c r="W647" s="49"/>
      <c r="X647" s="66"/>
      <c r="Y647" s="49"/>
      <c r="Z647" s="49"/>
      <c r="AB647" s="49"/>
    </row>
    <row r="648" spans="1:28" ht="46.15" customHeight="1">
      <c r="A648" s="158"/>
      <c r="B648" s="164"/>
      <c r="C648" s="64" t="str">
        <f>+C619</f>
        <v>Actual</v>
      </c>
      <c r="D648" s="64" t="str">
        <f>+D619</f>
        <v>2019-20</v>
      </c>
      <c r="E648" s="61">
        <v>281.69600000000003</v>
      </c>
      <c r="F648" s="61">
        <v>299.065</v>
      </c>
      <c r="G648" s="61">
        <v>321.01</v>
      </c>
      <c r="H648" s="61">
        <v>296.27499999999998</v>
      </c>
      <c r="I648" s="61">
        <v>236.95699999999999</v>
      </c>
      <c r="J648" s="61">
        <v>261.77800000000002</v>
      </c>
      <c r="K648" s="61">
        <v>281.58600000000001</v>
      </c>
      <c r="L648" s="61">
        <v>296.846</v>
      </c>
      <c r="M648" s="61">
        <v>304.04599999999999</v>
      </c>
      <c r="N648" s="61">
        <v>317.63900000000001</v>
      </c>
      <c r="O648" s="61">
        <v>306.51</v>
      </c>
      <c r="P648" s="61">
        <v>301.27300000000002</v>
      </c>
      <c r="Q648" s="115"/>
      <c r="R648" s="64"/>
      <c r="S648" s="64"/>
      <c r="T648" s="65"/>
      <c r="U648" s="65"/>
      <c r="V648" s="49"/>
      <c r="W648" s="49"/>
      <c r="X648" s="66"/>
    </row>
    <row r="649" spans="1:28" s="25" customFormat="1" ht="46.15" customHeight="1">
      <c r="A649" s="158"/>
      <c r="B649" s="164"/>
      <c r="C649" s="102" t="s">
        <v>18</v>
      </c>
      <c r="D649" s="103" t="s">
        <v>26</v>
      </c>
      <c r="E649" s="61">
        <v>277.25099999999998</v>
      </c>
      <c r="F649" s="61">
        <v>312.49799999999999</v>
      </c>
      <c r="G649" s="61">
        <v>276.31799999999998</v>
      </c>
      <c r="H649" s="61">
        <v>320.00900000000001</v>
      </c>
      <c r="I649" s="61">
        <v>304.86</v>
      </c>
      <c r="J649" s="61">
        <v>280.37200000000001</v>
      </c>
      <c r="K649" s="61">
        <v>289.84399999999999</v>
      </c>
      <c r="L649" s="61">
        <v>309.46800000000002</v>
      </c>
      <c r="M649" s="61">
        <v>317.45999999999998</v>
      </c>
      <c r="N649" s="61">
        <v>343.65800000000002</v>
      </c>
      <c r="O649" s="61">
        <v>302.38499999999999</v>
      </c>
      <c r="P649" s="61">
        <v>325.78699999999998</v>
      </c>
      <c r="Q649" s="116"/>
      <c r="R649" s="117"/>
      <c r="S649" s="64"/>
      <c r="T649" s="65"/>
      <c r="U649" s="65"/>
      <c r="V649" s="49"/>
      <c r="W649" s="49"/>
      <c r="X649" s="66"/>
      <c r="Y649" s="27"/>
      <c r="Z649" s="27"/>
    </row>
    <row r="650" spans="1:28" ht="46.15" customHeight="1">
      <c r="A650" s="158"/>
      <c r="B650" s="164"/>
      <c r="C650" s="59" t="s">
        <v>18</v>
      </c>
      <c r="D650" s="60" t="s">
        <v>27</v>
      </c>
      <c r="E650" s="61">
        <v>286.34199999999998</v>
      </c>
      <c r="F650" s="61">
        <v>163.40100000000001</v>
      </c>
      <c r="G650" s="61">
        <v>246.69800000000001</v>
      </c>
      <c r="H650" s="61">
        <v>277.101</v>
      </c>
      <c r="I650" s="61">
        <v>293.56799999999998</v>
      </c>
      <c r="J650" s="61">
        <v>242.88800000000001</v>
      </c>
      <c r="K650" s="61">
        <v>305.03500000000003</v>
      </c>
      <c r="L650" s="61">
        <v>278.72800000000001</v>
      </c>
      <c r="M650" s="61">
        <v>293.19600000000003</v>
      </c>
      <c r="N650" s="61">
        <v>272.26900000000001</v>
      </c>
      <c r="O650" s="61">
        <v>261.75400000000002</v>
      </c>
      <c r="P650" s="61">
        <v>297.93200000000002</v>
      </c>
      <c r="Q650" s="60"/>
      <c r="R650" s="64"/>
      <c r="S650" s="64"/>
      <c r="T650" s="65"/>
      <c r="U650" s="65"/>
      <c r="V650" s="49"/>
      <c r="W650" s="49"/>
      <c r="X650" s="66"/>
    </row>
    <row r="651" spans="1:28" ht="46.15" customHeight="1">
      <c r="A651" s="158"/>
      <c r="B651" s="164"/>
      <c r="C651" s="59" t="s">
        <v>18</v>
      </c>
      <c r="D651" s="60" t="s">
        <v>28</v>
      </c>
      <c r="E651" s="61">
        <v>196.11600000000001</v>
      </c>
      <c r="F651" s="61">
        <v>237.38300000000001</v>
      </c>
      <c r="G651" s="61">
        <v>216.524</v>
      </c>
      <c r="H651" s="61">
        <v>217.89099999999999</v>
      </c>
      <c r="I651" s="61">
        <v>229.10400000000001</v>
      </c>
      <c r="J651" s="61">
        <v>223.946</v>
      </c>
      <c r="K651" s="61">
        <v>228.286</v>
      </c>
      <c r="L651" s="61">
        <v>269.35399999999998</v>
      </c>
      <c r="M651" s="61">
        <v>260.363</v>
      </c>
      <c r="N651" s="61">
        <v>297.93400000000003</v>
      </c>
      <c r="O651" s="61">
        <v>256.79700000000003</v>
      </c>
      <c r="P651" s="61">
        <v>298.73500000000001</v>
      </c>
      <c r="Q651" s="60"/>
      <c r="R651" s="64"/>
      <c r="S651" s="64"/>
      <c r="T651" s="65"/>
      <c r="U651" s="65"/>
      <c r="V651" s="49"/>
      <c r="W651" s="49"/>
      <c r="X651" s="66"/>
    </row>
    <row r="652" spans="1:28" ht="46.15" customHeight="1">
      <c r="A652" s="158"/>
      <c r="B652" s="164"/>
      <c r="C652" s="59" t="s">
        <v>18</v>
      </c>
      <c r="D652" s="60" t="s">
        <v>29</v>
      </c>
      <c r="E652" s="76">
        <v>230.01499999999999</v>
      </c>
      <c r="F652" s="76">
        <v>210.01</v>
      </c>
      <c r="G652" s="76">
        <v>236.53200000000001</v>
      </c>
      <c r="H652" s="76">
        <v>229.227</v>
      </c>
      <c r="I652" s="76">
        <v>203.01</v>
      </c>
      <c r="J652" s="76">
        <v>241.81200000000001</v>
      </c>
      <c r="K652" s="76">
        <v>249.41200000000001</v>
      </c>
      <c r="L652" s="76">
        <v>244.381</v>
      </c>
      <c r="M652" s="76">
        <v>196.714</v>
      </c>
      <c r="N652" s="76">
        <v>216.143</v>
      </c>
      <c r="O652" s="76">
        <v>227.54</v>
      </c>
      <c r="P652" s="76">
        <v>244.40899999999999</v>
      </c>
      <c r="Q652" s="60"/>
      <c r="R652" s="64"/>
      <c r="S652" s="64"/>
      <c r="T652" s="65"/>
      <c r="U652" s="65"/>
      <c r="V652" s="49"/>
      <c r="W652" s="49"/>
      <c r="X652" s="66"/>
    </row>
    <row r="653" spans="1:28" ht="61.5" customHeight="1">
      <c r="A653" s="158"/>
      <c r="B653" s="164"/>
      <c r="C653" s="59" t="s">
        <v>18</v>
      </c>
      <c r="D653" s="60" t="s">
        <v>30</v>
      </c>
      <c r="E653" s="61">
        <v>240.15299999999999</v>
      </c>
      <c r="F653" s="61">
        <v>240.04499999999999</v>
      </c>
      <c r="G653" s="61">
        <v>190.02</v>
      </c>
      <c r="H653" s="61">
        <v>235.065</v>
      </c>
      <c r="I653" s="61">
        <v>215.1</v>
      </c>
      <c r="J653" s="61">
        <v>232.5</v>
      </c>
      <c r="K653" s="61">
        <v>232.04</v>
      </c>
      <c r="L653" s="61">
        <v>232.05</v>
      </c>
      <c r="M653" s="61">
        <v>230.05</v>
      </c>
      <c r="N653" s="61">
        <v>260.05</v>
      </c>
      <c r="O653" s="61">
        <v>220.01</v>
      </c>
      <c r="P653" s="61">
        <v>264.45</v>
      </c>
      <c r="Q653" s="60"/>
      <c r="R653" s="64"/>
      <c r="S653" s="64"/>
      <c r="T653" s="65"/>
      <c r="U653" s="65"/>
      <c r="V653" s="49"/>
      <c r="W653" s="49"/>
      <c r="X653" s="66"/>
    </row>
    <row r="654" spans="1:28" ht="61.5" customHeight="1">
      <c r="A654" s="158"/>
      <c r="B654" s="164"/>
      <c r="C654" s="59" t="s">
        <v>18</v>
      </c>
      <c r="D654" s="78" t="s">
        <v>31</v>
      </c>
      <c r="E654" s="61">
        <v>178.81</v>
      </c>
      <c r="F654" s="61">
        <v>190.57</v>
      </c>
      <c r="G654" s="61">
        <v>175.52</v>
      </c>
      <c r="H654" s="61">
        <v>188.001</v>
      </c>
      <c r="I654" s="61">
        <v>184.1</v>
      </c>
      <c r="J654" s="61">
        <v>181.20099999999999</v>
      </c>
      <c r="K654" s="61">
        <v>207.1</v>
      </c>
      <c r="L654" s="61">
        <v>205.85599999999999</v>
      </c>
      <c r="M654" s="61">
        <v>197.48500000000001</v>
      </c>
      <c r="N654" s="61">
        <v>213.05</v>
      </c>
      <c r="O654" s="61">
        <v>176.99199999999999</v>
      </c>
      <c r="P654" s="61">
        <v>192.66499999999999</v>
      </c>
      <c r="Q654" s="60"/>
      <c r="R654" s="64"/>
      <c r="S654" s="64"/>
      <c r="T654" s="65"/>
      <c r="U654" s="65"/>
      <c r="V654" s="49"/>
      <c r="W654" s="49"/>
      <c r="X654" s="66"/>
    </row>
    <row r="655" spans="1:28" ht="61.5" customHeight="1">
      <c r="A655" s="158"/>
      <c r="B655" s="164"/>
      <c r="C655" s="59" t="s">
        <v>18</v>
      </c>
      <c r="D655" s="60" t="s">
        <v>32</v>
      </c>
      <c r="E655" s="61">
        <v>174.59</v>
      </c>
      <c r="F655" s="61">
        <v>187.04499999999999</v>
      </c>
      <c r="G655" s="61">
        <v>183.2</v>
      </c>
      <c r="H655" s="61">
        <v>184.25</v>
      </c>
      <c r="I655" s="61">
        <v>183.006</v>
      </c>
      <c r="J655" s="61">
        <v>175.136</v>
      </c>
      <c r="K655" s="61">
        <v>187.011</v>
      </c>
      <c r="L655" s="61">
        <v>183.07499999999999</v>
      </c>
      <c r="M655" s="61">
        <v>190.05</v>
      </c>
      <c r="N655" s="61">
        <v>196.02799999999999</v>
      </c>
      <c r="O655" s="61">
        <v>166.03299999999999</v>
      </c>
      <c r="P655" s="61">
        <v>197.857</v>
      </c>
      <c r="Q655" s="60"/>
      <c r="R655" s="64"/>
      <c r="S655" s="64"/>
      <c r="T655" s="65"/>
      <c r="U655" s="65"/>
      <c r="V655" s="49"/>
      <c r="W655" s="49"/>
      <c r="X655" s="66"/>
    </row>
    <row r="656" spans="1:28" ht="61.5" customHeight="1">
      <c r="A656" s="158"/>
      <c r="B656" s="164"/>
      <c r="C656" s="59" t="s">
        <v>18</v>
      </c>
      <c r="D656" s="60" t="s">
        <v>33</v>
      </c>
      <c r="E656" s="61">
        <v>176.346</v>
      </c>
      <c r="F656" s="61">
        <v>189.45099999999999</v>
      </c>
      <c r="G656" s="61">
        <v>175.124</v>
      </c>
      <c r="H656" s="61">
        <v>168.602</v>
      </c>
      <c r="I656" s="61">
        <v>168.55</v>
      </c>
      <c r="J656" s="61">
        <v>159.69300000000001</v>
      </c>
      <c r="K656" s="61">
        <v>176.251</v>
      </c>
      <c r="L656" s="61">
        <v>187.10900000000001</v>
      </c>
      <c r="M656" s="61">
        <v>196.02699999999999</v>
      </c>
      <c r="N656" s="61">
        <v>188.08799999999999</v>
      </c>
      <c r="O656" s="61">
        <v>184.40799999999999</v>
      </c>
      <c r="P656" s="61">
        <v>200.56200000000001</v>
      </c>
      <c r="Q656" s="60"/>
      <c r="R656" s="47"/>
      <c r="S656" s="47"/>
      <c r="T656" s="48"/>
      <c r="U656" s="48"/>
      <c r="V656" s="49"/>
      <c r="W656" s="50"/>
      <c r="X656" s="51"/>
    </row>
    <row r="657" spans="1:28" ht="61.5" customHeight="1">
      <c r="A657" s="158"/>
      <c r="B657" s="164"/>
      <c r="C657" s="59" t="s">
        <v>18</v>
      </c>
      <c r="D657" s="60" t="s">
        <v>34</v>
      </c>
      <c r="E657" s="61">
        <v>178.78100000000001</v>
      </c>
      <c r="F657" s="61">
        <v>173.14099999999999</v>
      </c>
      <c r="G657" s="61">
        <v>163.48099999999999</v>
      </c>
      <c r="H657" s="61">
        <v>150.417</v>
      </c>
      <c r="I657" s="61">
        <v>196.023</v>
      </c>
      <c r="J657" s="61">
        <v>186.72399999999999</v>
      </c>
      <c r="K657" s="61">
        <v>194.79599999999999</v>
      </c>
      <c r="L657" s="61">
        <v>189.85</v>
      </c>
      <c r="M657" s="61">
        <v>189.05</v>
      </c>
      <c r="N657" s="61">
        <v>181.04599999999999</v>
      </c>
      <c r="O657" s="61">
        <v>164.042</v>
      </c>
      <c r="P657" s="61">
        <v>193.08799999999999</v>
      </c>
      <c r="Q657" s="60"/>
      <c r="R657" s="47"/>
      <c r="S657" s="47"/>
      <c r="T657" s="48"/>
      <c r="U657" s="48"/>
      <c r="V657" s="49"/>
      <c r="W657" s="50"/>
      <c r="X657" s="51"/>
    </row>
    <row r="658" spans="1:28" ht="61.5" customHeight="1">
      <c r="A658" s="158"/>
      <c r="B658" s="164"/>
      <c r="C658" s="59" t="s">
        <v>18</v>
      </c>
      <c r="D658" s="60" t="s">
        <v>35</v>
      </c>
      <c r="E658" s="61">
        <v>169.30500000000001</v>
      </c>
      <c r="F658" s="61">
        <v>156.34299999999999</v>
      </c>
      <c r="G658" s="61">
        <v>173.46</v>
      </c>
      <c r="H658" s="61">
        <v>179.32300000000001</v>
      </c>
      <c r="I658" s="61">
        <v>168.57400000000001</v>
      </c>
      <c r="J658" s="61">
        <v>176.69900000000001</v>
      </c>
      <c r="K658" s="61">
        <v>175.01900000000001</v>
      </c>
      <c r="L658" s="61">
        <v>182.429</v>
      </c>
      <c r="M658" s="61">
        <v>189.03200000000001</v>
      </c>
      <c r="N658" s="61">
        <v>192.54499999999999</v>
      </c>
      <c r="O658" s="61">
        <v>172.00200000000001</v>
      </c>
      <c r="P658" s="61">
        <v>193.054</v>
      </c>
      <c r="Q658" s="60"/>
      <c r="R658" s="47"/>
      <c r="S658" s="47"/>
      <c r="T658" s="48"/>
      <c r="U658" s="48"/>
      <c r="V658" s="49"/>
      <c r="W658" s="50"/>
      <c r="X658" s="51"/>
    </row>
    <row r="659" spans="1:28" ht="61.5" customHeight="1">
      <c r="A659" s="158"/>
      <c r="B659" s="164"/>
      <c r="C659" s="59" t="s">
        <v>18</v>
      </c>
      <c r="D659" s="64" t="s">
        <v>36</v>
      </c>
      <c r="E659" s="61">
        <v>169.21100000000001</v>
      </c>
      <c r="F659" s="61">
        <v>169.10300000000001</v>
      </c>
      <c r="G659" s="61">
        <v>173.39</v>
      </c>
      <c r="H659" s="61">
        <v>182.00200000000001</v>
      </c>
      <c r="I659" s="61">
        <v>182.76400000000001</v>
      </c>
      <c r="J659" s="61">
        <v>175.50399999999999</v>
      </c>
      <c r="K659" s="61">
        <v>190.61</v>
      </c>
      <c r="L659" s="61">
        <v>175.44399999999999</v>
      </c>
      <c r="M659" s="61">
        <v>165.51300000000001</v>
      </c>
      <c r="N659" s="61">
        <v>168.83500000000001</v>
      </c>
      <c r="O659" s="61">
        <v>154.90100000000001</v>
      </c>
      <c r="P659" s="61">
        <v>174.84800000000001</v>
      </c>
      <c r="Q659" s="81"/>
      <c r="R659" s="47"/>
      <c r="S659" s="47"/>
      <c r="T659" s="48"/>
      <c r="U659" s="48"/>
      <c r="V659" s="49"/>
      <c r="W659" s="50"/>
      <c r="X659" s="51"/>
    </row>
    <row r="660" spans="1:28" ht="61.5" customHeight="1">
      <c r="A660" s="158"/>
      <c r="B660" s="164"/>
      <c r="C660" s="59" t="s">
        <v>18</v>
      </c>
      <c r="D660" s="60" t="s">
        <v>37</v>
      </c>
      <c r="E660" s="85">
        <v>132.59</v>
      </c>
      <c r="F660" s="85">
        <v>155.62299999999999</v>
      </c>
      <c r="G660" s="85">
        <v>173.17400000000001</v>
      </c>
      <c r="H660" s="85">
        <v>176.108</v>
      </c>
      <c r="I660" s="85">
        <v>166.78</v>
      </c>
      <c r="J660" s="85">
        <v>175.14599999999999</v>
      </c>
      <c r="K660" s="85">
        <v>190.501</v>
      </c>
      <c r="L660" s="85">
        <v>180.834</v>
      </c>
      <c r="M660" s="85">
        <v>185.434</v>
      </c>
      <c r="N660" s="85">
        <v>192.21199999999999</v>
      </c>
      <c r="O660" s="85">
        <v>179.21700000000001</v>
      </c>
      <c r="P660" s="85">
        <v>185.21299999999999</v>
      </c>
      <c r="Q660" s="46"/>
      <c r="R660" s="47"/>
      <c r="S660" s="47"/>
      <c r="T660" s="48"/>
      <c r="U660" s="48"/>
      <c r="V660" s="49"/>
      <c r="W660" s="50"/>
      <c r="X660" s="51"/>
    </row>
    <row r="661" spans="1:28" ht="61.5" customHeight="1">
      <c r="A661" s="158"/>
      <c r="B661" s="164"/>
      <c r="C661" s="59" t="s">
        <v>18</v>
      </c>
      <c r="D661" s="60" t="s">
        <v>38</v>
      </c>
      <c r="E661" s="85">
        <v>138.88399999999999</v>
      </c>
      <c r="F661" s="85">
        <v>173.13200000000001</v>
      </c>
      <c r="G661" s="85">
        <v>164.46799999999999</v>
      </c>
      <c r="H661" s="85">
        <v>165.50200000000001</v>
      </c>
      <c r="I661" s="85">
        <v>164.12100000000001</v>
      </c>
      <c r="J661" s="85">
        <v>170.03800000000001</v>
      </c>
      <c r="K661" s="85">
        <v>179.02199999999999</v>
      </c>
      <c r="L661" s="85">
        <v>173.38900000000001</v>
      </c>
      <c r="M661" s="85">
        <v>183.26900000000001</v>
      </c>
      <c r="N661" s="85">
        <v>170.51</v>
      </c>
      <c r="O661" s="85">
        <v>157.857</v>
      </c>
      <c r="P661" s="85">
        <v>149.90600000000001</v>
      </c>
      <c r="Q661" s="46"/>
      <c r="R661" s="47"/>
      <c r="S661" s="47"/>
      <c r="T661" s="48"/>
      <c r="U661" s="48"/>
      <c r="V661" s="49"/>
      <c r="W661" s="50"/>
      <c r="X661" s="51"/>
    </row>
    <row r="662" spans="1:28" ht="61.5" customHeight="1">
      <c r="A662" s="158"/>
      <c r="B662" s="164"/>
      <c r="C662" s="59" t="s">
        <v>18</v>
      </c>
      <c r="D662" s="60" t="s">
        <v>39</v>
      </c>
      <c r="E662" s="85">
        <v>122.834</v>
      </c>
      <c r="F662" s="85">
        <v>113.45699999999999</v>
      </c>
      <c r="G662" s="85">
        <v>109.508</v>
      </c>
      <c r="H662" s="85">
        <v>106.94799999999999</v>
      </c>
      <c r="I662" s="85">
        <v>108.792</v>
      </c>
      <c r="J662" s="85">
        <v>115.84399999999999</v>
      </c>
      <c r="K662" s="85">
        <v>164.529</v>
      </c>
      <c r="L662" s="85">
        <v>154.33199999999999</v>
      </c>
      <c r="M662" s="85">
        <v>158.75800000000001</v>
      </c>
      <c r="N662" s="85">
        <v>173.97800000000001</v>
      </c>
      <c r="O662" s="85">
        <v>157.67599999999999</v>
      </c>
      <c r="P662" s="85">
        <v>174.77500000000001</v>
      </c>
      <c r="Q662" s="46"/>
      <c r="R662" s="47"/>
      <c r="S662" s="47"/>
      <c r="T662" s="48"/>
      <c r="U662" s="48"/>
      <c r="V662" s="49"/>
      <c r="W662" s="50"/>
      <c r="X662" s="51"/>
    </row>
    <row r="663" spans="1:28" ht="61.5" customHeight="1">
      <c r="A663" s="158"/>
      <c r="B663" s="164"/>
      <c r="C663" s="59" t="s">
        <v>18</v>
      </c>
      <c r="D663" s="60" t="s">
        <v>40</v>
      </c>
      <c r="E663" s="85">
        <v>95.132999999999996</v>
      </c>
      <c r="F663" s="85">
        <v>124.732</v>
      </c>
      <c r="G663" s="85">
        <v>115.652</v>
      </c>
      <c r="H663" s="85">
        <v>127.923</v>
      </c>
      <c r="I663" s="85">
        <v>119.61</v>
      </c>
      <c r="J663" s="85">
        <v>135.77000000000001</v>
      </c>
      <c r="K663" s="85">
        <v>143.76900000000001</v>
      </c>
      <c r="L663" s="85">
        <v>141.78700000000001</v>
      </c>
      <c r="M663" s="85">
        <v>155.38999999999999</v>
      </c>
      <c r="N663" s="85">
        <v>151.77699999999999</v>
      </c>
      <c r="O663" s="85">
        <v>135.38999999999999</v>
      </c>
      <c r="P663" s="85">
        <v>156.315</v>
      </c>
      <c r="Q663" s="46"/>
      <c r="R663" s="47"/>
      <c r="S663" s="47"/>
      <c r="T663" s="48"/>
      <c r="U663" s="48"/>
      <c r="V663" s="49"/>
      <c r="W663" s="50"/>
      <c r="X663" s="51"/>
    </row>
    <row r="664" spans="1:28" ht="61.5" customHeight="1">
      <c r="A664" s="158"/>
      <c r="B664" s="164"/>
      <c r="C664" s="59" t="s">
        <v>18</v>
      </c>
      <c r="D664" s="60" t="s">
        <v>41</v>
      </c>
      <c r="E664" s="85">
        <v>126.399</v>
      </c>
      <c r="F664" s="85">
        <v>119.01900000000001</v>
      </c>
      <c r="G664" s="85">
        <v>120.527</v>
      </c>
      <c r="H664" s="85">
        <v>138.00800000000001</v>
      </c>
      <c r="I664" s="85">
        <v>139.964</v>
      </c>
      <c r="J664" s="85">
        <v>134.001</v>
      </c>
      <c r="K664" s="85">
        <v>142.59</v>
      </c>
      <c r="L664" s="85">
        <v>122.547</v>
      </c>
      <c r="M664" s="85">
        <v>143.863</v>
      </c>
      <c r="N664" s="85">
        <v>144.15100000000001</v>
      </c>
      <c r="O664" s="85">
        <v>121.285</v>
      </c>
      <c r="P664" s="85">
        <v>119.449</v>
      </c>
      <c r="Q664" s="46"/>
      <c r="R664" s="47"/>
      <c r="S664" s="47"/>
      <c r="T664" s="48"/>
      <c r="U664" s="48"/>
      <c r="V664" s="49"/>
      <c r="W664" s="50"/>
      <c r="X664" s="51"/>
    </row>
    <row r="665" spans="1:28" ht="61.5" customHeight="1">
      <c r="A665" s="158"/>
      <c r="B665" s="164"/>
      <c r="C665" s="59" t="s">
        <v>18</v>
      </c>
      <c r="D665" s="60" t="s">
        <v>42</v>
      </c>
      <c r="E665" s="85">
        <v>106.605</v>
      </c>
      <c r="F665" s="85">
        <v>127.95099999999999</v>
      </c>
      <c r="G665" s="85">
        <v>119.474</v>
      </c>
      <c r="H665" s="85">
        <v>120.036</v>
      </c>
      <c r="I665" s="85">
        <v>119.355</v>
      </c>
      <c r="J665" s="85">
        <v>112.027</v>
      </c>
      <c r="K665" s="85">
        <v>116.251</v>
      </c>
      <c r="L665" s="85">
        <v>109.792</v>
      </c>
      <c r="M665" s="85">
        <v>124.53</v>
      </c>
      <c r="N665" s="85">
        <v>142.44800000000001</v>
      </c>
      <c r="O665" s="85">
        <v>132.399</v>
      </c>
      <c r="P665" s="85">
        <v>144.62100000000001</v>
      </c>
      <c r="Q665" s="46"/>
      <c r="R665" s="47"/>
      <c r="S665" s="47"/>
      <c r="T665" s="48"/>
      <c r="U665" s="48"/>
      <c r="V665" s="49"/>
      <c r="W665" s="50"/>
      <c r="X665" s="51"/>
    </row>
    <row r="666" spans="1:28" ht="61.5" customHeight="1">
      <c r="A666" s="158"/>
      <c r="B666" s="164"/>
      <c r="C666" s="59" t="s">
        <v>18</v>
      </c>
      <c r="D666" s="60" t="s">
        <v>43</v>
      </c>
      <c r="E666" s="85">
        <v>104.52500000000001</v>
      </c>
      <c r="F666" s="85">
        <v>110.584</v>
      </c>
      <c r="G666" s="85">
        <v>100.129</v>
      </c>
      <c r="H666" s="85">
        <v>100.932</v>
      </c>
      <c r="I666" s="85">
        <v>104.36</v>
      </c>
      <c r="J666" s="85">
        <v>94.706000000000003</v>
      </c>
      <c r="K666" s="85">
        <v>99.912000000000006</v>
      </c>
      <c r="L666" s="85">
        <v>111.18</v>
      </c>
      <c r="M666" s="85">
        <v>127.348</v>
      </c>
      <c r="N666" s="85">
        <v>128.095</v>
      </c>
      <c r="O666" s="85">
        <v>121.30800000000001</v>
      </c>
      <c r="P666" s="85">
        <v>131.274</v>
      </c>
      <c r="Q666" s="46"/>
      <c r="R666" s="47"/>
      <c r="S666" s="47"/>
      <c r="T666" s="48"/>
      <c r="U666" s="48"/>
      <c r="V666" s="49"/>
      <c r="W666" s="50"/>
      <c r="X666" s="51"/>
    </row>
    <row r="667" spans="1:28" ht="61.5" customHeight="1">
      <c r="A667" s="158"/>
      <c r="B667" s="165"/>
      <c r="C667" s="59" t="s">
        <v>18</v>
      </c>
      <c r="D667" s="60" t="s">
        <v>44</v>
      </c>
      <c r="E667" s="85">
        <v>98.5</v>
      </c>
      <c r="F667" s="85">
        <v>102.093</v>
      </c>
      <c r="G667" s="85">
        <v>101.124</v>
      </c>
      <c r="H667" s="85">
        <v>95.51</v>
      </c>
      <c r="I667" s="85">
        <v>107.458</v>
      </c>
      <c r="J667" s="85">
        <v>104.004</v>
      </c>
      <c r="K667" s="85">
        <v>113.157</v>
      </c>
      <c r="L667" s="85">
        <v>100.84399999999999</v>
      </c>
      <c r="M667" s="85">
        <v>100.962</v>
      </c>
      <c r="N667" s="85">
        <v>114.854</v>
      </c>
      <c r="O667" s="85">
        <v>102.48</v>
      </c>
      <c r="P667" s="85">
        <v>101.446</v>
      </c>
      <c r="Q667" s="46"/>
      <c r="R667" s="47"/>
      <c r="S667" s="47"/>
      <c r="T667" s="48"/>
      <c r="U667" s="48"/>
      <c r="V667" s="49"/>
      <c r="W667" s="50"/>
      <c r="X667" s="51"/>
    </row>
    <row r="668" spans="1:28" ht="61.5" customHeight="1">
      <c r="A668" s="158"/>
      <c r="B668" s="98"/>
      <c r="C668" s="100"/>
      <c r="D668" s="101"/>
      <c r="E668" s="21"/>
      <c r="F668" s="21"/>
      <c r="G668" s="21"/>
      <c r="H668" s="20"/>
      <c r="I668" s="21"/>
      <c r="J668" s="21"/>
      <c r="K668" s="21"/>
      <c r="L668" s="21"/>
      <c r="M668" s="21"/>
      <c r="N668" s="21"/>
      <c r="O668" s="21"/>
      <c r="P668" s="21"/>
      <c r="Q668" s="46"/>
      <c r="R668" s="47"/>
      <c r="S668" s="47"/>
      <c r="T668" s="48"/>
      <c r="U668" s="48"/>
      <c r="V668" s="49"/>
      <c r="W668" s="50"/>
      <c r="X668" s="51"/>
    </row>
    <row r="669" spans="1:28" s="109" customFormat="1" ht="65.099999999999994" customHeight="1">
      <c r="A669" s="158"/>
      <c r="B669" s="163" t="s">
        <v>46</v>
      </c>
      <c r="C669" s="42"/>
      <c r="D669" s="43"/>
      <c r="E669" s="44"/>
      <c r="F669" s="44"/>
      <c r="G669" s="44"/>
      <c r="H669" s="45"/>
      <c r="I669" s="44"/>
      <c r="J669" s="44"/>
      <c r="K669" s="44"/>
      <c r="L669" s="44"/>
      <c r="M669" s="44"/>
      <c r="N669" s="44"/>
      <c r="O669" s="44"/>
      <c r="P669" s="44"/>
      <c r="Q669" s="43"/>
      <c r="R669" s="91"/>
      <c r="S669" s="47"/>
      <c r="T669" s="48"/>
      <c r="U669" s="48"/>
      <c r="V669" s="49"/>
      <c r="W669" s="50"/>
      <c r="X669" s="51"/>
      <c r="Y669" s="108"/>
      <c r="Z669" s="108"/>
    </row>
    <row r="670" spans="1:28" s="52" customFormat="1">
      <c r="A670" s="158"/>
      <c r="B670" s="164"/>
      <c r="C670" s="55"/>
      <c r="D670" s="4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114"/>
      <c r="R670" s="47"/>
      <c r="S670" s="64"/>
      <c r="T670" s="48"/>
      <c r="U670" s="48"/>
      <c r="V670" s="49"/>
      <c r="W670" s="50"/>
      <c r="X670" s="51"/>
      <c r="Y670" s="2"/>
      <c r="Z670" s="2"/>
      <c r="AB670" s="2"/>
    </row>
    <row r="671" spans="1:28" s="52" customFormat="1">
      <c r="A671" s="158"/>
      <c r="B671" s="164"/>
      <c r="C671" s="59" t="s">
        <v>18</v>
      </c>
      <c r="D671" s="60" t="s">
        <v>19</v>
      </c>
      <c r="E671" s="61">
        <v>325.089</v>
      </c>
      <c r="F671" s="61">
        <v>406.69200000000001</v>
      </c>
      <c r="G671" s="61">
        <v>341.27300000000002</v>
      </c>
      <c r="H671" s="61">
        <v>353.93299999999999</v>
      </c>
      <c r="I671" s="61">
        <v>311.62900000000002</v>
      </c>
      <c r="J671" s="61">
        <v>299.41500000000002</v>
      </c>
      <c r="K671" s="61">
        <v>347.18099999999998</v>
      </c>
      <c r="L671" s="61">
        <v>374.21699999999998</v>
      </c>
      <c r="M671" s="61">
        <v>404.25100000000003</v>
      </c>
      <c r="N671" s="61">
        <v>440.15899999999999</v>
      </c>
      <c r="O671" s="61">
        <v>384.14800000000002</v>
      </c>
      <c r="P671" s="61">
        <v>451.38499999999999</v>
      </c>
      <c r="Q671" s="114"/>
      <c r="R671" s="47"/>
      <c r="S671" s="64"/>
      <c r="T671" s="48"/>
      <c r="U671" s="48"/>
      <c r="V671" s="49"/>
      <c r="W671" s="50"/>
      <c r="X671" s="51"/>
      <c r="Y671" s="2"/>
      <c r="Z671" s="2"/>
      <c r="AB671" s="2"/>
    </row>
    <row r="672" spans="1:28" s="52" customFormat="1">
      <c r="A672" s="158"/>
      <c r="B672" s="164"/>
      <c r="C672" s="59" t="s">
        <v>18</v>
      </c>
      <c r="D672" s="60" t="s">
        <v>20</v>
      </c>
      <c r="E672" s="61">
        <v>366.73700000000002</v>
      </c>
      <c r="F672" s="61">
        <v>370.565</v>
      </c>
      <c r="G672" s="61">
        <v>372.97699999999998</v>
      </c>
      <c r="H672" s="61">
        <v>390.904</v>
      </c>
      <c r="I672" s="61">
        <v>355.19299999999998</v>
      </c>
      <c r="J672" s="61">
        <v>356.74200000000002</v>
      </c>
      <c r="K672" s="61">
        <v>362.12599999999998</v>
      </c>
      <c r="L672" s="61">
        <v>325.25700000000001</v>
      </c>
      <c r="M672" s="61">
        <v>364.08199999999999</v>
      </c>
      <c r="N672" s="61">
        <v>438.66199999999998</v>
      </c>
      <c r="O672" s="61">
        <v>373.48700000000002</v>
      </c>
      <c r="P672" s="61">
        <v>435.6</v>
      </c>
      <c r="Q672" s="114"/>
      <c r="R672" s="47"/>
      <c r="S672" s="64"/>
      <c r="T672" s="48"/>
      <c r="U672" s="48"/>
      <c r="V672" s="49"/>
      <c r="W672" s="50"/>
      <c r="X672" s="51"/>
      <c r="Y672" s="2"/>
      <c r="Z672" s="2"/>
      <c r="AB672" s="2"/>
    </row>
    <row r="673" spans="1:28">
      <c r="A673" s="158"/>
      <c r="B673" s="164"/>
      <c r="C673" s="59" t="s">
        <v>18</v>
      </c>
      <c r="D673" s="60" t="s">
        <v>21</v>
      </c>
      <c r="E673" s="61">
        <v>316.41800000000001</v>
      </c>
      <c r="F673" s="61">
        <v>349.18100000000004</v>
      </c>
      <c r="G673" s="61">
        <v>360.06200000000001</v>
      </c>
      <c r="H673" s="61">
        <v>372.221</v>
      </c>
      <c r="I673" s="61">
        <v>340.25700000000001</v>
      </c>
      <c r="J673" s="61">
        <v>346.26499999999999</v>
      </c>
      <c r="K673" s="61">
        <v>326.726</v>
      </c>
      <c r="L673" s="61">
        <v>365.99299999999999</v>
      </c>
      <c r="M673" s="61">
        <v>393.017</v>
      </c>
      <c r="N673" s="61">
        <v>384.96199999999999</v>
      </c>
      <c r="O673" s="61">
        <v>351.38900000000001</v>
      </c>
      <c r="P673" s="61">
        <v>401.86400000000003</v>
      </c>
      <c r="Q673" s="114"/>
      <c r="R673" s="64"/>
      <c r="S673" s="64"/>
      <c r="T673" s="65"/>
      <c r="U673" s="65"/>
      <c r="V673" s="49"/>
      <c r="W673" s="49"/>
      <c r="X673" s="66"/>
      <c r="AB673" s="6"/>
    </row>
    <row r="674" spans="1:28" s="52" customFormat="1">
      <c r="A674" s="158"/>
      <c r="B674" s="164"/>
      <c r="C674" s="59" t="s">
        <v>18</v>
      </c>
      <c r="D674" s="60" t="s">
        <v>22</v>
      </c>
      <c r="E674" s="61">
        <v>324.81600000000003</v>
      </c>
      <c r="F674" s="61">
        <v>318.02800000000002</v>
      </c>
      <c r="G674" s="61">
        <v>319.40999999999997</v>
      </c>
      <c r="H674" s="61">
        <v>318.52100000000002</v>
      </c>
      <c r="I674" s="61">
        <v>304.71000000000004</v>
      </c>
      <c r="J674" s="61">
        <v>342.45800000000003</v>
      </c>
      <c r="K674" s="61">
        <v>365.12</v>
      </c>
      <c r="L674" s="61">
        <v>331.11599999999999</v>
      </c>
      <c r="M674" s="61">
        <v>364.81400000000002</v>
      </c>
      <c r="N674" s="61">
        <v>381.96300000000002</v>
      </c>
      <c r="O674" s="61">
        <v>344.44900000000001</v>
      </c>
      <c r="P674" s="61">
        <v>401.51099999999997</v>
      </c>
      <c r="Q674" s="114"/>
      <c r="R674" s="47"/>
      <c r="S674" s="64"/>
      <c r="T674" s="48"/>
      <c r="U674" s="48"/>
      <c r="V674" s="49"/>
      <c r="W674" s="50"/>
      <c r="X674" s="51"/>
      <c r="Y674" s="2"/>
      <c r="Z674" s="2"/>
      <c r="AB674" s="2"/>
    </row>
    <row r="675" spans="1:28" s="52" customFormat="1" ht="46.15" customHeight="1">
      <c r="A675" s="158"/>
      <c r="B675" s="164"/>
      <c r="C675" s="59" t="s">
        <v>18</v>
      </c>
      <c r="D675" s="60" t="str">
        <f>+D646</f>
        <v>2021-22</v>
      </c>
      <c r="E675" s="61">
        <v>276.53300000000002</v>
      </c>
      <c r="F675" s="61">
        <v>320.66199999999998</v>
      </c>
      <c r="G675" s="61">
        <v>301.61700000000002</v>
      </c>
      <c r="H675" s="61">
        <v>317.52699999999999</v>
      </c>
      <c r="I675" s="61">
        <v>347.85199999999998</v>
      </c>
      <c r="J675" s="61">
        <v>287.99799999999999</v>
      </c>
      <c r="K675" s="61">
        <v>327.67599999999999</v>
      </c>
      <c r="L675" s="61">
        <v>325.86599999999999</v>
      </c>
      <c r="M675" s="61">
        <v>302.57400000000001</v>
      </c>
      <c r="N675" s="61">
        <v>328.39100000000002</v>
      </c>
      <c r="O675" s="61">
        <v>325.23200000000003</v>
      </c>
      <c r="P675" s="61">
        <v>372.08199999999999</v>
      </c>
      <c r="Q675" s="114"/>
      <c r="R675" s="47"/>
      <c r="S675" s="64"/>
      <c r="T675" s="48"/>
      <c r="U675" s="48"/>
      <c r="V675" s="49"/>
      <c r="W675" s="50"/>
      <c r="X675" s="51"/>
      <c r="Y675" s="2"/>
      <c r="Z675" s="2"/>
      <c r="AB675" s="2"/>
    </row>
    <row r="676" spans="1:28" ht="46.15" customHeight="1">
      <c r="A676" s="158"/>
      <c r="B676" s="164"/>
      <c r="C676" s="59" t="s">
        <v>18</v>
      </c>
      <c r="D676" s="60" t="str">
        <f>+D647</f>
        <v>2020-21</v>
      </c>
      <c r="E676" s="61">
        <v>184.00800000000001</v>
      </c>
      <c r="F676" s="61">
        <v>155.452</v>
      </c>
      <c r="G676" s="61">
        <v>193.857</v>
      </c>
      <c r="H676" s="61">
        <v>271.87599999999998</v>
      </c>
      <c r="I676" s="61">
        <v>300.91300000000001</v>
      </c>
      <c r="J676" s="61">
        <v>297.017</v>
      </c>
      <c r="K676" s="61">
        <v>345.92199999999997</v>
      </c>
      <c r="L676" s="61">
        <v>336.41399999999999</v>
      </c>
      <c r="M676" s="61">
        <v>345.39800000000002</v>
      </c>
      <c r="N676" s="61">
        <v>338.46</v>
      </c>
      <c r="O676" s="61">
        <v>268.68699999999995</v>
      </c>
      <c r="P676" s="61">
        <v>343.40899999999993</v>
      </c>
      <c r="Q676" s="114"/>
      <c r="R676" s="64"/>
      <c r="S676" s="64"/>
      <c r="T676" s="65"/>
      <c r="U676" s="65"/>
      <c r="V676" s="49"/>
      <c r="W676" s="49"/>
      <c r="X676" s="66"/>
      <c r="Y676" s="49"/>
      <c r="Z676" s="49"/>
      <c r="AB676" s="49"/>
    </row>
    <row r="677" spans="1:28" ht="46.15" customHeight="1">
      <c r="A677" s="158"/>
      <c r="B677" s="164"/>
      <c r="C677" s="64" t="str">
        <f>+C648</f>
        <v>Actual</v>
      </c>
      <c r="D677" s="64" t="str">
        <f>+D648</f>
        <v>2019-20</v>
      </c>
      <c r="E677" s="61">
        <v>327.34100000000001</v>
      </c>
      <c r="F677" s="61">
        <v>312.73700000000002</v>
      </c>
      <c r="G677" s="61">
        <v>317.84300000000002</v>
      </c>
      <c r="H677" s="61">
        <v>332.80200000000002</v>
      </c>
      <c r="I677" s="61">
        <v>282.77499999999998</v>
      </c>
      <c r="J677" s="61">
        <v>278.54899999999998</v>
      </c>
      <c r="K677" s="61">
        <v>285.93400000000003</v>
      </c>
      <c r="L677" s="61">
        <v>273.93799999999999</v>
      </c>
      <c r="M677" s="61">
        <v>291.05900000000003</v>
      </c>
      <c r="N677" s="61">
        <v>321.34800000000001</v>
      </c>
      <c r="O677" s="61">
        <v>319.74299999999999</v>
      </c>
      <c r="P677" s="61">
        <v>323.30500000000001</v>
      </c>
      <c r="Q677" s="114"/>
      <c r="R677" s="64"/>
      <c r="S677" s="64"/>
      <c r="T677" s="65"/>
      <c r="U677" s="65"/>
      <c r="V677" s="49"/>
      <c r="W677" s="49"/>
      <c r="X677" s="66"/>
    </row>
    <row r="678" spans="1:28" s="25" customFormat="1" ht="46.15" customHeight="1">
      <c r="A678" s="158"/>
      <c r="B678" s="164"/>
      <c r="C678" s="102" t="s">
        <v>18</v>
      </c>
      <c r="D678" s="103" t="s">
        <v>26</v>
      </c>
      <c r="E678" s="61">
        <v>306.37799999999999</v>
      </c>
      <c r="F678" s="61">
        <v>332.87799999999999</v>
      </c>
      <c r="G678" s="61">
        <v>310.94799999999998</v>
      </c>
      <c r="H678" s="61">
        <v>300.03500000000003</v>
      </c>
      <c r="I678" s="61">
        <v>327.62099999999998</v>
      </c>
      <c r="J678" s="61">
        <v>310.82299999999998</v>
      </c>
      <c r="K678" s="61">
        <v>305.68</v>
      </c>
      <c r="L678" s="61">
        <v>328.51400000000001</v>
      </c>
      <c r="M678" s="61">
        <v>321.64400000000001</v>
      </c>
      <c r="N678" s="61">
        <v>319.77600000000001</v>
      </c>
      <c r="O678" s="61">
        <v>321.19499999999999</v>
      </c>
      <c r="P678" s="61">
        <v>347.858</v>
      </c>
      <c r="Q678" s="114"/>
      <c r="R678" s="117"/>
      <c r="S678" s="64"/>
      <c r="T678" s="65"/>
      <c r="U678" s="65"/>
      <c r="V678" s="49"/>
      <c r="W678" s="49"/>
      <c r="X678" s="66"/>
      <c r="Y678" s="27"/>
      <c r="Z678" s="27"/>
    </row>
    <row r="679" spans="1:28" ht="46.15" customHeight="1">
      <c r="A679" s="158"/>
      <c r="B679" s="164"/>
      <c r="C679" s="59" t="s">
        <v>18</v>
      </c>
      <c r="D679" s="60" t="s">
        <v>27</v>
      </c>
      <c r="E679" s="61">
        <v>272.97000000000003</v>
      </c>
      <c r="F679" s="61">
        <v>299.69299999999998</v>
      </c>
      <c r="G679" s="61">
        <v>266.36500000000001</v>
      </c>
      <c r="H679" s="61">
        <v>270.02300000000002</v>
      </c>
      <c r="I679" s="61">
        <v>293.67700000000002</v>
      </c>
      <c r="J679" s="61">
        <v>330.27499999999998</v>
      </c>
      <c r="K679" s="61">
        <v>335.995</v>
      </c>
      <c r="L679" s="61">
        <v>317.88200000000001</v>
      </c>
      <c r="M679" s="61">
        <v>307.49</v>
      </c>
      <c r="N679" s="61">
        <v>358.75599999999997</v>
      </c>
      <c r="O679" s="61">
        <v>315.221</v>
      </c>
      <c r="P679" s="61">
        <v>325.24099999999999</v>
      </c>
      <c r="Q679" s="114"/>
      <c r="R679" s="64"/>
      <c r="S679" s="64"/>
      <c r="T679" s="65"/>
      <c r="U679" s="65"/>
      <c r="V679" s="49"/>
      <c r="W679" s="49"/>
      <c r="X679" s="66"/>
    </row>
    <row r="680" spans="1:28" ht="46.15" customHeight="1">
      <c r="A680" s="158"/>
      <c r="B680" s="164"/>
      <c r="C680" s="59" t="s">
        <v>18</v>
      </c>
      <c r="D680" s="60" t="s">
        <v>28</v>
      </c>
      <c r="E680" s="61">
        <v>266.10500000000002</v>
      </c>
      <c r="F680" s="61">
        <v>290.27999999999997</v>
      </c>
      <c r="G680" s="61">
        <v>244.84800000000001</v>
      </c>
      <c r="H680" s="61">
        <v>220.34</v>
      </c>
      <c r="I680" s="61">
        <v>287.53899999999999</v>
      </c>
      <c r="J680" s="61">
        <v>249.88800000000001</v>
      </c>
      <c r="K680" s="61">
        <v>284.50400000000002</v>
      </c>
      <c r="L680" s="61">
        <v>213.45099999999999</v>
      </c>
      <c r="M680" s="61">
        <v>261.27100000000002</v>
      </c>
      <c r="N680" s="61">
        <v>287.29000000000002</v>
      </c>
      <c r="O680" s="61">
        <v>251.79599999999999</v>
      </c>
      <c r="P680" s="61">
        <v>296.42099999999999</v>
      </c>
      <c r="Q680" s="114"/>
      <c r="R680" s="64"/>
      <c r="S680" s="64"/>
      <c r="T680" s="65"/>
      <c r="U680" s="65"/>
      <c r="V680" s="49"/>
      <c r="W680" s="49"/>
      <c r="X680" s="66"/>
    </row>
    <row r="681" spans="1:28" ht="46.15" customHeight="1">
      <c r="A681" s="158"/>
      <c r="B681" s="164"/>
      <c r="C681" s="59" t="s">
        <v>18</v>
      </c>
      <c r="D681" s="60" t="s">
        <v>29</v>
      </c>
      <c r="E681" s="76">
        <v>297.745</v>
      </c>
      <c r="F681" s="76">
        <v>327.89600000000002</v>
      </c>
      <c r="G681" s="76">
        <v>303.76499999999999</v>
      </c>
      <c r="H681" s="76">
        <v>292.36900000000003</v>
      </c>
      <c r="I681" s="76">
        <v>286.02199999999999</v>
      </c>
      <c r="J681" s="76">
        <v>259.36399999999998</v>
      </c>
      <c r="K681" s="76">
        <v>267.298</v>
      </c>
      <c r="L681" s="76">
        <v>270.73599999999999</v>
      </c>
      <c r="M681" s="76">
        <v>273.327</v>
      </c>
      <c r="N681" s="76">
        <v>283.95999999999998</v>
      </c>
      <c r="O681" s="76">
        <v>254.39099999999999</v>
      </c>
      <c r="P681" s="76">
        <v>275.202</v>
      </c>
      <c r="Q681" s="114"/>
      <c r="R681" s="64"/>
      <c r="S681" s="64"/>
      <c r="T681" s="65"/>
      <c r="U681" s="65"/>
      <c r="V681" s="49"/>
      <c r="W681" s="49"/>
      <c r="X681" s="66"/>
    </row>
    <row r="682" spans="1:28" ht="61.5" customHeight="1">
      <c r="A682" s="158"/>
      <c r="B682" s="164"/>
      <c r="C682" s="59" t="s">
        <v>18</v>
      </c>
      <c r="D682" s="60" t="s">
        <v>30</v>
      </c>
      <c r="E682" s="61">
        <v>333.20299999999997</v>
      </c>
      <c r="F682" s="61">
        <v>320.14499999999998</v>
      </c>
      <c r="G682" s="61">
        <v>336.03</v>
      </c>
      <c r="H682" s="61">
        <v>317.51</v>
      </c>
      <c r="I682" s="61">
        <v>320.41500000000002</v>
      </c>
      <c r="J682" s="61">
        <v>309.38</v>
      </c>
      <c r="K682" s="61">
        <v>319.005</v>
      </c>
      <c r="L682" s="61">
        <v>319.04500000000002</v>
      </c>
      <c r="M682" s="61">
        <v>311.88400000000001</v>
      </c>
      <c r="N682" s="61">
        <v>287.98099999999999</v>
      </c>
      <c r="O682" s="61">
        <v>310.83</v>
      </c>
      <c r="P682" s="61">
        <v>345.608</v>
      </c>
      <c r="Q682" s="114"/>
      <c r="R682" s="64"/>
      <c r="S682" s="64"/>
      <c r="T682" s="65"/>
      <c r="U682" s="65"/>
      <c r="V682" s="49"/>
      <c r="W682" s="49"/>
      <c r="X682" s="66"/>
    </row>
    <row r="683" spans="1:28" ht="61.5" customHeight="1">
      <c r="A683" s="158"/>
      <c r="B683" s="164"/>
      <c r="C683" s="59" t="s">
        <v>18</v>
      </c>
      <c r="D683" s="78" t="s">
        <v>31</v>
      </c>
      <c r="E683" s="61">
        <v>280.74599999999998</v>
      </c>
      <c r="F683" s="61">
        <v>318.339</v>
      </c>
      <c r="G683" s="61">
        <v>273.721</v>
      </c>
      <c r="H683" s="61">
        <v>311.31799999999998</v>
      </c>
      <c r="I683" s="61">
        <v>295.80700000000002</v>
      </c>
      <c r="J683" s="61">
        <v>315.54000000000002</v>
      </c>
      <c r="K683" s="61">
        <v>336.91199999999998</v>
      </c>
      <c r="L683" s="61">
        <v>327.24299999999999</v>
      </c>
      <c r="M683" s="61">
        <v>315.05200000000002</v>
      </c>
      <c r="N683" s="61">
        <v>327.43599999999998</v>
      </c>
      <c r="O683" s="61">
        <v>310.452</v>
      </c>
      <c r="P683" s="61">
        <v>363.15699999999998</v>
      </c>
      <c r="Q683" s="114"/>
      <c r="R683" s="64"/>
      <c r="S683" s="64"/>
      <c r="T683" s="65"/>
      <c r="U683" s="65"/>
      <c r="V683" s="49"/>
      <c r="W683" s="49"/>
      <c r="X683" s="66"/>
    </row>
    <row r="684" spans="1:28" ht="61.5" customHeight="1">
      <c r="A684" s="158"/>
      <c r="B684" s="164"/>
      <c r="C684" s="59" t="s">
        <v>18</v>
      </c>
      <c r="D684" s="60" t="s">
        <v>32</v>
      </c>
      <c r="E684" s="61">
        <v>307.87599999999998</v>
      </c>
      <c r="F684" s="61">
        <v>298.43099999999998</v>
      </c>
      <c r="G684" s="61">
        <v>313.29700000000003</v>
      </c>
      <c r="H684" s="61">
        <v>295.14</v>
      </c>
      <c r="I684" s="61">
        <v>319.25</v>
      </c>
      <c r="J684" s="61">
        <v>315.08100000000002</v>
      </c>
      <c r="K684" s="61">
        <v>331.28</v>
      </c>
      <c r="L684" s="61">
        <v>310.49</v>
      </c>
      <c r="M684" s="61">
        <v>327.06400000000002</v>
      </c>
      <c r="N684" s="61">
        <v>337.024</v>
      </c>
      <c r="O684" s="61">
        <v>281.71300000000002</v>
      </c>
      <c r="P684" s="61">
        <v>321.83800000000002</v>
      </c>
      <c r="Q684" s="114"/>
      <c r="R684" s="64"/>
      <c r="S684" s="64"/>
      <c r="T684" s="65"/>
      <c r="U684" s="65"/>
      <c r="V684" s="49"/>
      <c r="W684" s="49"/>
      <c r="X684" s="66"/>
    </row>
    <row r="685" spans="1:28" ht="61.5" customHeight="1">
      <c r="A685" s="158"/>
      <c r="B685" s="164"/>
      <c r="C685" s="59" t="s">
        <v>18</v>
      </c>
      <c r="D685" s="60" t="s">
        <v>33</v>
      </c>
      <c r="E685" s="61">
        <v>313.45699999999999</v>
      </c>
      <c r="F685" s="61">
        <v>296.73700000000002</v>
      </c>
      <c r="G685" s="61">
        <v>309.11700000000002</v>
      </c>
      <c r="H685" s="61">
        <v>291.57100000000003</v>
      </c>
      <c r="I685" s="61">
        <v>302.53199999999998</v>
      </c>
      <c r="J685" s="61">
        <v>302.84100000000001</v>
      </c>
      <c r="K685" s="61">
        <v>321.47399999999999</v>
      </c>
      <c r="L685" s="61">
        <v>310.28500000000003</v>
      </c>
      <c r="M685" s="61">
        <v>306.10199999999998</v>
      </c>
      <c r="N685" s="61">
        <v>280.49</v>
      </c>
      <c r="O685" s="61">
        <v>292.476</v>
      </c>
      <c r="P685" s="61">
        <v>320.25400000000002</v>
      </c>
      <c r="Q685" s="114"/>
      <c r="R685" s="64"/>
      <c r="S685" s="47"/>
      <c r="T685" s="48"/>
      <c r="U685" s="48"/>
      <c r="V685" s="49"/>
      <c r="W685" s="50"/>
      <c r="X685" s="51"/>
    </row>
    <row r="686" spans="1:28" ht="61.5" customHeight="1">
      <c r="A686" s="158"/>
      <c r="B686" s="164"/>
      <c r="C686" s="59" t="s">
        <v>18</v>
      </c>
      <c r="D686" s="60" t="s">
        <v>34</v>
      </c>
      <c r="E686" s="61">
        <v>275.08100000000002</v>
      </c>
      <c r="F686" s="61">
        <v>306.74200000000002</v>
      </c>
      <c r="G686" s="61">
        <v>287.91000000000003</v>
      </c>
      <c r="H686" s="61">
        <v>284.05700000000002</v>
      </c>
      <c r="I686" s="61">
        <v>191.01599999999999</v>
      </c>
      <c r="J686" s="61">
        <v>267.89299999999997</v>
      </c>
      <c r="K686" s="61">
        <v>317.57499999999999</v>
      </c>
      <c r="L686" s="61">
        <v>345.09500000000003</v>
      </c>
      <c r="M686" s="61">
        <v>349.86399999999998</v>
      </c>
      <c r="N686" s="61">
        <v>325.62400000000002</v>
      </c>
      <c r="O686" s="61">
        <v>300.00400000000002</v>
      </c>
      <c r="P686" s="61">
        <v>340.68400000000003</v>
      </c>
      <c r="Q686" s="114"/>
      <c r="R686" s="47"/>
      <c r="S686" s="47"/>
      <c r="T686" s="48"/>
      <c r="U686" s="48"/>
      <c r="V686" s="49"/>
      <c r="W686" s="50"/>
      <c r="X686" s="51"/>
    </row>
    <row r="687" spans="1:28" ht="61.5" customHeight="1">
      <c r="A687" s="158"/>
      <c r="B687" s="164"/>
      <c r="C687" s="59" t="s">
        <v>18</v>
      </c>
      <c r="D687" s="60" t="s">
        <v>35</v>
      </c>
      <c r="E687" s="61">
        <v>304.89</v>
      </c>
      <c r="F687" s="61">
        <v>307.54199999999997</v>
      </c>
      <c r="G687" s="61">
        <v>297.01</v>
      </c>
      <c r="H687" s="61">
        <v>311.16000000000003</v>
      </c>
      <c r="I687" s="61">
        <v>305.01</v>
      </c>
      <c r="J687" s="61">
        <v>285.08199999999999</v>
      </c>
      <c r="K687" s="61">
        <v>293.786</v>
      </c>
      <c r="L687" s="61">
        <v>280.024</v>
      </c>
      <c r="M687" s="61">
        <v>310.60199999999998</v>
      </c>
      <c r="N687" s="61">
        <v>297.64499999999998</v>
      </c>
      <c r="O687" s="61">
        <v>281.76</v>
      </c>
      <c r="P687" s="61">
        <v>324.005</v>
      </c>
      <c r="Q687" s="114"/>
      <c r="R687" s="47"/>
      <c r="S687" s="47"/>
      <c r="T687" s="48"/>
      <c r="U687" s="48"/>
      <c r="V687" s="49"/>
      <c r="W687" s="50"/>
      <c r="X687" s="51"/>
    </row>
    <row r="688" spans="1:28" ht="61.5" customHeight="1">
      <c r="A688" s="158"/>
      <c r="B688" s="164"/>
      <c r="C688" s="59" t="s">
        <v>18</v>
      </c>
      <c r="D688" s="64" t="s">
        <v>36</v>
      </c>
      <c r="E688" s="61">
        <v>283.21699999999998</v>
      </c>
      <c r="F688" s="61">
        <v>270.72300000000001</v>
      </c>
      <c r="G688" s="61">
        <v>264.48599999999999</v>
      </c>
      <c r="H688" s="61">
        <v>300.03100000000001</v>
      </c>
      <c r="I688" s="61">
        <v>330.18599999999998</v>
      </c>
      <c r="J688" s="61">
        <v>335.827</v>
      </c>
      <c r="K688" s="61">
        <v>331.19600000000003</v>
      </c>
      <c r="L688" s="61">
        <v>268.55200000000002</v>
      </c>
      <c r="M688" s="61">
        <v>298</v>
      </c>
      <c r="N688" s="61">
        <v>313.29399999999998</v>
      </c>
      <c r="O688" s="61">
        <v>262.48</v>
      </c>
      <c r="P688" s="61">
        <v>319.45999999999998</v>
      </c>
      <c r="Q688" s="114"/>
      <c r="R688" s="47"/>
      <c r="S688" s="47"/>
      <c r="T688" s="48"/>
      <c r="U688" s="48"/>
      <c r="V688" s="49"/>
      <c r="W688" s="50"/>
      <c r="X688" s="51"/>
    </row>
    <row r="689" spans="1:28" ht="61.5" customHeight="1">
      <c r="A689" s="158"/>
      <c r="B689" s="164"/>
      <c r="C689" s="59" t="s">
        <v>18</v>
      </c>
      <c r="D689" s="60" t="s">
        <v>37</v>
      </c>
      <c r="E689" s="61">
        <v>335.44299999999998</v>
      </c>
      <c r="F689" s="61">
        <v>362.57799999999997</v>
      </c>
      <c r="G689" s="61">
        <v>306.01</v>
      </c>
      <c r="H689" s="61">
        <v>340.36599999999999</v>
      </c>
      <c r="I689" s="61">
        <v>325.30599999999998</v>
      </c>
      <c r="J689" s="61">
        <v>352.94</v>
      </c>
      <c r="K689" s="61">
        <v>360.13499999999999</v>
      </c>
      <c r="L689" s="61">
        <v>343.79</v>
      </c>
      <c r="M689" s="61">
        <v>370.47899999999998</v>
      </c>
      <c r="N689" s="61">
        <v>330.02100000000002</v>
      </c>
      <c r="O689" s="61">
        <v>335.767</v>
      </c>
      <c r="P689" s="61">
        <v>364.04700000000003</v>
      </c>
      <c r="Q689" s="114"/>
      <c r="R689" s="47"/>
      <c r="S689" s="47"/>
      <c r="T689" s="48"/>
      <c r="U689" s="48"/>
      <c r="V689" s="49"/>
      <c r="W689" s="50"/>
      <c r="X689" s="51"/>
    </row>
    <row r="690" spans="1:28" ht="61.5" customHeight="1">
      <c r="A690" s="158"/>
      <c r="B690" s="164"/>
      <c r="C690" s="59" t="s">
        <v>18</v>
      </c>
      <c r="D690" s="60" t="s">
        <v>38</v>
      </c>
      <c r="E690" s="61">
        <v>333.67899999999997</v>
      </c>
      <c r="F690" s="61">
        <v>305.68</v>
      </c>
      <c r="G690" s="61">
        <v>291.87700000000001</v>
      </c>
      <c r="H690" s="61">
        <v>305.10700000000003</v>
      </c>
      <c r="I690" s="61">
        <v>325.10199999999998</v>
      </c>
      <c r="J690" s="61">
        <v>335.654</v>
      </c>
      <c r="K690" s="61">
        <v>358.41</v>
      </c>
      <c r="L690" s="61">
        <v>369.6</v>
      </c>
      <c r="M690" s="61">
        <v>375.55</v>
      </c>
      <c r="N690" s="61">
        <v>349.024</v>
      </c>
      <c r="O690" s="61">
        <v>330.5</v>
      </c>
      <c r="P690" s="61">
        <v>387.166</v>
      </c>
      <c r="Q690" s="114"/>
      <c r="R690" s="47"/>
      <c r="S690" s="47"/>
      <c r="T690" s="48"/>
      <c r="U690" s="48"/>
      <c r="V690" s="49"/>
      <c r="W690" s="50"/>
      <c r="X690" s="51"/>
    </row>
    <row r="691" spans="1:28" ht="61.5" customHeight="1">
      <c r="A691" s="158"/>
      <c r="B691" s="164"/>
      <c r="C691" s="59" t="s">
        <v>18</v>
      </c>
      <c r="D691" s="60" t="s">
        <v>39</v>
      </c>
      <c r="E691" s="61">
        <v>358.83499999999998</v>
      </c>
      <c r="F691" s="61">
        <v>351.68099999999998</v>
      </c>
      <c r="G691" s="61">
        <v>308.51400000000001</v>
      </c>
      <c r="H691" s="61">
        <v>360.55</v>
      </c>
      <c r="I691" s="61">
        <v>348.65199999999999</v>
      </c>
      <c r="J691" s="61">
        <v>350.18</v>
      </c>
      <c r="K691" s="61">
        <v>386.40600000000001</v>
      </c>
      <c r="L691" s="61">
        <v>350.01799999999997</v>
      </c>
      <c r="M691" s="61">
        <v>349.42700000000002</v>
      </c>
      <c r="N691" s="61">
        <v>370.02300000000002</v>
      </c>
      <c r="O691" s="61">
        <v>330.13499999999999</v>
      </c>
      <c r="P691" s="61">
        <v>363.36</v>
      </c>
      <c r="Q691" s="114"/>
      <c r="R691" s="47"/>
      <c r="S691" s="47"/>
      <c r="T691" s="48"/>
      <c r="U691" s="48"/>
      <c r="V691" s="49"/>
      <c r="W691" s="50"/>
      <c r="X691" s="51"/>
    </row>
    <row r="692" spans="1:28" ht="61.5" customHeight="1">
      <c r="A692" s="158"/>
      <c r="B692" s="164"/>
      <c r="C692" s="59" t="s">
        <v>18</v>
      </c>
      <c r="D692" s="60" t="s">
        <v>40</v>
      </c>
      <c r="E692" s="61">
        <v>253.45500000000001</v>
      </c>
      <c r="F692" s="61">
        <v>296.12299999999999</v>
      </c>
      <c r="G692" s="61">
        <v>289.37400000000002</v>
      </c>
      <c r="H692" s="61">
        <v>313.61399999999998</v>
      </c>
      <c r="I692" s="61">
        <v>288.27</v>
      </c>
      <c r="J692" s="61">
        <v>321.07299999999998</v>
      </c>
      <c r="K692" s="61">
        <v>340.02600000000001</v>
      </c>
      <c r="L692" s="61">
        <v>337.72800000000001</v>
      </c>
      <c r="M692" s="61">
        <v>319.74900000000002</v>
      </c>
      <c r="N692" s="61">
        <v>365.94</v>
      </c>
      <c r="O692" s="61">
        <v>323.33300000000003</v>
      </c>
      <c r="P692" s="61">
        <v>386.36099999999999</v>
      </c>
      <c r="Q692" s="114"/>
      <c r="R692" s="47"/>
      <c r="S692" s="47"/>
      <c r="T692" s="48"/>
      <c r="U692" s="48"/>
      <c r="V692" s="49"/>
      <c r="W692" s="50"/>
      <c r="X692" s="51"/>
    </row>
    <row r="693" spans="1:28" ht="61.5" customHeight="1">
      <c r="A693" s="158"/>
      <c r="B693" s="164"/>
      <c r="C693" s="59" t="s">
        <v>18</v>
      </c>
      <c r="D693" s="60" t="s">
        <v>41</v>
      </c>
      <c r="E693" s="61">
        <v>286.02300000000002</v>
      </c>
      <c r="F693" s="61">
        <v>304.94499999999999</v>
      </c>
      <c r="G693" s="61">
        <v>295.09500000000003</v>
      </c>
      <c r="H693" s="61">
        <v>307.57299999999998</v>
      </c>
      <c r="I693" s="61">
        <v>312.93400000000003</v>
      </c>
      <c r="J693" s="61">
        <v>317.00799999999998</v>
      </c>
      <c r="K693" s="61">
        <v>319.33199999999999</v>
      </c>
      <c r="L693" s="61">
        <v>324.74799999999999</v>
      </c>
      <c r="M693" s="61">
        <v>342.346</v>
      </c>
      <c r="N693" s="61">
        <v>327.03300000000002</v>
      </c>
      <c r="O693" s="61">
        <v>311.12900000000002</v>
      </c>
      <c r="P693" s="61">
        <v>306.26499999999999</v>
      </c>
      <c r="Q693" s="114"/>
      <c r="R693" s="47"/>
      <c r="S693" s="47"/>
      <c r="T693" s="48"/>
      <c r="U693" s="48"/>
      <c r="V693" s="49"/>
      <c r="W693" s="50"/>
      <c r="X693" s="51"/>
    </row>
    <row r="694" spans="1:28" ht="61.5" customHeight="1">
      <c r="A694" s="158"/>
      <c r="B694" s="164"/>
      <c r="C694" s="59" t="s">
        <v>18</v>
      </c>
      <c r="D694" s="60" t="s">
        <v>42</v>
      </c>
      <c r="E694" s="61">
        <v>295.52699999999999</v>
      </c>
      <c r="F694" s="61">
        <v>271.76</v>
      </c>
      <c r="G694" s="61">
        <v>293.10300000000001</v>
      </c>
      <c r="H694" s="61">
        <v>314.7</v>
      </c>
      <c r="I694" s="61">
        <v>309.21499999999997</v>
      </c>
      <c r="J694" s="61">
        <v>309.14699999999999</v>
      </c>
      <c r="K694" s="61">
        <v>328.12400000000002</v>
      </c>
      <c r="L694" s="61">
        <v>312.46199999999999</v>
      </c>
      <c r="M694" s="61">
        <v>304.38099999999997</v>
      </c>
      <c r="N694" s="61">
        <v>293.72899999999998</v>
      </c>
      <c r="O694" s="61">
        <v>297.39499999999998</v>
      </c>
      <c r="P694" s="61">
        <v>340.51499999999999</v>
      </c>
      <c r="Q694" s="114"/>
      <c r="R694" s="47"/>
      <c r="S694" s="47"/>
      <c r="T694" s="48"/>
      <c r="U694" s="48"/>
      <c r="V694" s="49"/>
      <c r="W694" s="50"/>
      <c r="X694" s="51"/>
    </row>
    <row r="695" spans="1:28" ht="61.5" customHeight="1">
      <c r="A695" s="158"/>
      <c r="B695" s="164"/>
      <c r="C695" s="59" t="s">
        <v>18</v>
      </c>
      <c r="D695" s="60" t="s">
        <v>43</v>
      </c>
      <c r="E695" s="61">
        <v>303.19900000000001</v>
      </c>
      <c r="F695" s="61">
        <v>293.48599999999999</v>
      </c>
      <c r="G695" s="61">
        <v>281.541</v>
      </c>
      <c r="H695" s="61">
        <v>296.55599999999998</v>
      </c>
      <c r="I695" s="61">
        <v>278.38200000000001</v>
      </c>
      <c r="J695" s="61">
        <v>267.43400000000003</v>
      </c>
      <c r="K695" s="61">
        <v>287.91000000000003</v>
      </c>
      <c r="L695" s="61">
        <v>288.47300000000001</v>
      </c>
      <c r="M695" s="61">
        <v>287.97500000000002</v>
      </c>
      <c r="N695" s="61">
        <v>304.60700000000003</v>
      </c>
      <c r="O695" s="61">
        <v>286.65499999999997</v>
      </c>
      <c r="P695" s="61">
        <v>322.18400000000003</v>
      </c>
      <c r="Q695" s="114"/>
      <c r="R695" s="47"/>
      <c r="S695" s="47"/>
      <c r="T695" s="48"/>
      <c r="U695" s="48"/>
      <c r="V695" s="49"/>
      <c r="W695" s="50"/>
      <c r="X695" s="51"/>
    </row>
    <row r="696" spans="1:28" ht="61.5" customHeight="1">
      <c r="A696" s="159"/>
      <c r="B696" s="165"/>
      <c r="C696" s="59" t="s">
        <v>18</v>
      </c>
      <c r="D696" s="64" t="s">
        <v>44</v>
      </c>
      <c r="E696" s="61">
        <v>307.22300000000001</v>
      </c>
      <c r="F696" s="61">
        <v>306.53199999999998</v>
      </c>
      <c r="G696" s="61">
        <v>289.11700000000002</v>
      </c>
      <c r="H696" s="61">
        <v>297.70999999999998</v>
      </c>
      <c r="I696" s="61">
        <v>320.42</v>
      </c>
      <c r="J696" s="61">
        <v>300.05</v>
      </c>
      <c r="K696" s="61">
        <v>307.88</v>
      </c>
      <c r="L696" s="61">
        <v>290.48599999999999</v>
      </c>
      <c r="M696" s="61">
        <v>286.154</v>
      </c>
      <c r="N696" s="61">
        <v>332.77</v>
      </c>
      <c r="O696" s="61">
        <v>292.572</v>
      </c>
      <c r="P696" s="61">
        <v>303.63900000000001</v>
      </c>
      <c r="Q696" s="114"/>
      <c r="R696" s="47"/>
      <c r="S696" s="47"/>
      <c r="T696" s="48"/>
      <c r="U696" s="48"/>
      <c r="V696" s="49"/>
      <c r="W696" s="50"/>
      <c r="X696" s="51"/>
    </row>
    <row r="697" spans="1:28" ht="61.5" customHeight="1">
      <c r="A697" s="53"/>
      <c r="B697" s="140"/>
      <c r="C697" s="100"/>
      <c r="D697" s="101"/>
      <c r="E697" s="21"/>
      <c r="F697" s="21"/>
      <c r="G697" s="21"/>
      <c r="H697" s="20"/>
      <c r="I697" s="21"/>
      <c r="J697" s="21"/>
      <c r="K697" s="21"/>
      <c r="L697" s="21"/>
      <c r="M697" s="21"/>
      <c r="N697" s="21"/>
      <c r="O697" s="21"/>
      <c r="P697" s="21"/>
      <c r="Q697" s="114"/>
      <c r="R697" s="47"/>
      <c r="S697" s="47"/>
      <c r="T697" s="48"/>
      <c r="U697" s="48"/>
      <c r="V697" s="49"/>
      <c r="W697" s="50"/>
      <c r="X697" s="51"/>
    </row>
    <row r="698" spans="1:28" s="109" customFormat="1" ht="65.099999999999994" customHeight="1">
      <c r="A698" s="158" t="s">
        <v>52</v>
      </c>
      <c r="B698" s="163" t="s">
        <v>47</v>
      </c>
      <c r="C698" s="42"/>
      <c r="D698" s="43"/>
      <c r="E698" s="44"/>
      <c r="F698" s="44"/>
      <c r="G698" s="44"/>
      <c r="H698" s="45"/>
      <c r="I698" s="44"/>
      <c r="J698" s="44"/>
      <c r="K698" s="44"/>
      <c r="L698" s="44"/>
      <c r="M698" s="44"/>
      <c r="N698" s="44"/>
      <c r="O698" s="44"/>
      <c r="P698" s="44"/>
      <c r="Q698" s="114"/>
      <c r="R698" s="91"/>
      <c r="S698" s="47"/>
      <c r="T698" s="48"/>
      <c r="U698" s="48"/>
      <c r="V698" s="49"/>
      <c r="W698" s="50"/>
      <c r="X698" s="51"/>
      <c r="Y698" s="108"/>
      <c r="Z698" s="108"/>
    </row>
    <row r="699" spans="1:28" s="52" customFormat="1">
      <c r="A699" s="158"/>
      <c r="B699" s="164"/>
      <c r="C699" s="55"/>
      <c r="D699" s="4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114"/>
      <c r="R699" s="47"/>
      <c r="S699" s="64"/>
      <c r="T699" s="48"/>
      <c r="U699" s="48"/>
      <c r="V699" s="49"/>
      <c r="W699" s="50"/>
      <c r="X699" s="51"/>
      <c r="Y699" s="2"/>
      <c r="Z699" s="2"/>
      <c r="AB699" s="2"/>
    </row>
    <row r="700" spans="1:28" s="52" customFormat="1">
      <c r="A700" s="158"/>
      <c r="B700" s="164"/>
      <c r="C700" s="59" t="s">
        <v>18</v>
      </c>
      <c r="D700" s="60" t="s">
        <v>19</v>
      </c>
      <c r="E700" s="61">
        <v>207.02</v>
      </c>
      <c r="F700" s="61">
        <v>236.63800000000001</v>
      </c>
      <c r="G700" s="61">
        <v>243.453</v>
      </c>
      <c r="H700" s="61">
        <v>253.66200000000001</v>
      </c>
      <c r="I700" s="61">
        <v>237.62200000000001</v>
      </c>
      <c r="J700" s="61">
        <v>226.84700000000001</v>
      </c>
      <c r="K700" s="61">
        <v>179.20099999999999</v>
      </c>
      <c r="L700" s="61">
        <v>229.50200000000001</v>
      </c>
      <c r="M700" s="61">
        <v>234.36500000000001</v>
      </c>
      <c r="N700" s="61">
        <v>228.047</v>
      </c>
      <c r="O700" s="61">
        <v>185.01599999999999</v>
      </c>
      <c r="P700" s="61">
        <v>241.24</v>
      </c>
      <c r="Q700" s="114"/>
      <c r="R700" s="47"/>
      <c r="S700" s="64"/>
      <c r="T700" s="48"/>
      <c r="U700" s="48"/>
      <c r="V700" s="49"/>
      <c r="W700" s="50"/>
      <c r="X700" s="51"/>
      <c r="Y700" s="2"/>
      <c r="Z700" s="2"/>
      <c r="AB700" s="2"/>
    </row>
    <row r="701" spans="1:28" s="52" customFormat="1">
      <c r="A701" s="158"/>
      <c r="B701" s="164"/>
      <c r="C701" s="59" t="s">
        <v>18</v>
      </c>
      <c r="D701" s="60" t="s">
        <v>20</v>
      </c>
      <c r="E701" s="61">
        <v>220.12700000000001</v>
      </c>
      <c r="F701" s="61">
        <v>197.85400000000001</v>
      </c>
      <c r="G701" s="61">
        <v>144.18899999999999</v>
      </c>
      <c r="H701" s="61">
        <v>234.51300000000001</v>
      </c>
      <c r="I701" s="61">
        <v>231.517</v>
      </c>
      <c r="J701" s="61">
        <v>231.26900000000001</v>
      </c>
      <c r="K701" s="61">
        <v>222.13800000000001</v>
      </c>
      <c r="L701" s="61">
        <v>7.9349999999999996</v>
      </c>
      <c r="M701" s="61">
        <v>234.93</v>
      </c>
      <c r="N701" s="61">
        <v>246.04</v>
      </c>
      <c r="O701" s="61">
        <v>222.89500000000001</v>
      </c>
      <c r="P701" s="61">
        <v>243.32400000000001</v>
      </c>
      <c r="Q701" s="114"/>
      <c r="R701" s="47"/>
      <c r="S701" s="64"/>
      <c r="T701" s="48"/>
      <c r="U701" s="48"/>
      <c r="V701" s="49"/>
      <c r="W701" s="50"/>
      <c r="X701" s="51"/>
      <c r="Y701" s="2"/>
      <c r="Z701" s="2"/>
      <c r="AB701" s="2"/>
    </row>
    <row r="702" spans="1:28">
      <c r="A702" s="158"/>
      <c r="B702" s="164"/>
      <c r="C702" s="59" t="s">
        <v>18</v>
      </c>
      <c r="D702" s="60" t="s">
        <v>21</v>
      </c>
      <c r="E702" s="61">
        <v>215.53899999999999</v>
      </c>
      <c r="F702" s="61">
        <v>175.89500000000001</v>
      </c>
      <c r="G702" s="61">
        <v>187.06299999999999</v>
      </c>
      <c r="H702" s="61">
        <v>230.148</v>
      </c>
      <c r="I702" s="61">
        <v>224.642</v>
      </c>
      <c r="J702" s="61">
        <v>210.76599999999999</v>
      </c>
      <c r="K702" s="61">
        <v>223.41</v>
      </c>
      <c r="L702" s="61">
        <v>192.35300000000001</v>
      </c>
      <c r="M702" s="61">
        <v>217.66800000000001</v>
      </c>
      <c r="N702" s="61">
        <v>217.655</v>
      </c>
      <c r="O702" s="61">
        <v>214.501</v>
      </c>
      <c r="P702" s="61">
        <v>219.49799999999999</v>
      </c>
      <c r="Q702" s="115"/>
      <c r="R702" s="64"/>
      <c r="S702" s="64"/>
      <c r="T702" s="65"/>
      <c r="U702" s="65"/>
      <c r="V702" s="49"/>
      <c r="W702" s="49"/>
      <c r="X702" s="66"/>
      <c r="AB702" s="6"/>
    </row>
    <row r="703" spans="1:28" s="52" customFormat="1">
      <c r="A703" s="158"/>
      <c r="B703" s="164"/>
      <c r="C703" s="59" t="s">
        <v>18</v>
      </c>
      <c r="D703" s="60" t="s">
        <v>22</v>
      </c>
      <c r="E703" s="61">
        <v>194.708</v>
      </c>
      <c r="F703" s="61">
        <v>184.82271249999997</v>
      </c>
      <c r="G703" s="61">
        <v>139.24799999999999</v>
      </c>
      <c r="H703" s="61">
        <v>202.167</v>
      </c>
      <c r="I703" s="61">
        <v>211.857</v>
      </c>
      <c r="J703" s="61">
        <v>194.14500000000001</v>
      </c>
      <c r="K703" s="61">
        <v>210.41800000000001</v>
      </c>
      <c r="L703" s="61">
        <v>205.029</v>
      </c>
      <c r="M703" s="61">
        <v>224.02317120000004</v>
      </c>
      <c r="N703" s="61">
        <v>225.02699999999999</v>
      </c>
      <c r="O703" s="61">
        <v>205.24</v>
      </c>
      <c r="P703" s="61">
        <v>225.52099999999999</v>
      </c>
      <c r="Q703" s="114"/>
      <c r="R703" s="47"/>
      <c r="S703" s="64"/>
      <c r="T703" s="48"/>
      <c r="U703" s="48"/>
      <c r="V703" s="49"/>
      <c r="W703" s="50"/>
      <c r="X703" s="51"/>
      <c r="Y703" s="2"/>
      <c r="Z703" s="2"/>
      <c r="AB703" s="2"/>
    </row>
    <row r="704" spans="1:28" s="52" customFormat="1" ht="46.15" customHeight="1">
      <c r="A704" s="158"/>
      <c r="B704" s="164"/>
      <c r="C704" s="59" t="s">
        <v>18</v>
      </c>
      <c r="D704" s="60" t="str">
        <f>+D675</f>
        <v>2021-22</v>
      </c>
      <c r="E704" s="61">
        <v>99.858999999999995</v>
      </c>
      <c r="F704" s="61">
        <v>79.981999999999999</v>
      </c>
      <c r="G704" s="61">
        <v>195.203</v>
      </c>
      <c r="H704" s="61">
        <v>188.12299999999999</v>
      </c>
      <c r="I704" s="61">
        <v>204.22</v>
      </c>
      <c r="J704" s="61">
        <v>198.42500000000001</v>
      </c>
      <c r="K704" s="61">
        <v>211.32</v>
      </c>
      <c r="L704" s="61">
        <v>194.791</v>
      </c>
      <c r="M704" s="61">
        <v>216.68100000000001</v>
      </c>
      <c r="N704" s="61">
        <v>221.65299999999999</v>
      </c>
      <c r="O704" s="61">
        <v>197.6</v>
      </c>
      <c r="P704" s="61">
        <v>220.01</v>
      </c>
      <c r="Q704" s="114"/>
      <c r="R704" s="47"/>
      <c r="S704" s="64"/>
      <c r="T704" s="48"/>
      <c r="U704" s="48"/>
      <c r="V704" s="49"/>
      <c r="W704" s="50"/>
      <c r="X704" s="51"/>
      <c r="Y704" s="2"/>
      <c r="Z704" s="2"/>
      <c r="AB704" s="2"/>
    </row>
    <row r="705" spans="1:28" ht="46.15" customHeight="1">
      <c r="A705" s="158"/>
      <c r="B705" s="164"/>
      <c r="C705" s="59" t="s">
        <v>18</v>
      </c>
      <c r="D705" s="60" t="str">
        <f>+D676</f>
        <v>2020-21</v>
      </c>
      <c r="E705" s="61">
        <v>129.292</v>
      </c>
      <c r="F705" s="61">
        <v>134.303</v>
      </c>
      <c r="G705" s="61">
        <v>147.38200000000001</v>
      </c>
      <c r="H705" s="61">
        <v>160.929</v>
      </c>
      <c r="I705" s="61">
        <v>172.012</v>
      </c>
      <c r="J705" s="61">
        <v>83.59</v>
      </c>
      <c r="K705" s="61">
        <v>98.775000000000006</v>
      </c>
      <c r="L705" s="61">
        <v>139.62</v>
      </c>
      <c r="M705" s="61">
        <v>167.995</v>
      </c>
      <c r="N705" s="61">
        <v>201.36699999999999</v>
      </c>
      <c r="O705" s="61">
        <v>189.34399999999999</v>
      </c>
      <c r="P705" s="61">
        <v>223.05</v>
      </c>
      <c r="Q705" s="115"/>
      <c r="R705" s="64"/>
      <c r="S705" s="64"/>
      <c r="T705" s="65"/>
      <c r="U705" s="65"/>
      <c r="V705" s="49"/>
      <c r="W705" s="49"/>
      <c r="X705" s="66"/>
      <c r="Y705" s="49"/>
      <c r="Z705" s="49"/>
      <c r="AB705" s="49"/>
    </row>
    <row r="706" spans="1:28" ht="46.15" customHeight="1">
      <c r="A706" s="158"/>
      <c r="B706" s="164"/>
      <c r="C706" s="64" t="str">
        <f>+C677</f>
        <v>Actual</v>
      </c>
      <c r="D706" s="64" t="str">
        <f>+D677</f>
        <v>2019-20</v>
      </c>
      <c r="E706" s="61">
        <v>40.200000000000003</v>
      </c>
      <c r="F706" s="61">
        <v>200.04499999999999</v>
      </c>
      <c r="G706" s="61">
        <v>159.005</v>
      </c>
      <c r="H706" s="61">
        <v>186.54</v>
      </c>
      <c r="I706" s="61">
        <v>202.15</v>
      </c>
      <c r="J706" s="61">
        <v>150.01</v>
      </c>
      <c r="K706" s="61">
        <v>173.12899999999999</v>
      </c>
      <c r="L706" s="61">
        <v>175.316</v>
      </c>
      <c r="M706" s="61">
        <v>207.005</v>
      </c>
      <c r="N706" s="61">
        <v>208.345</v>
      </c>
      <c r="O706" s="61">
        <v>196.55199999999999</v>
      </c>
      <c r="P706" s="61">
        <v>183.54300000000001</v>
      </c>
      <c r="Q706" s="115"/>
      <c r="R706" s="64"/>
      <c r="S706" s="64"/>
      <c r="T706" s="65"/>
      <c r="U706" s="65"/>
      <c r="V706" s="49"/>
      <c r="W706" s="49"/>
      <c r="X706" s="66"/>
    </row>
    <row r="707" spans="1:28" s="25" customFormat="1" ht="46.15" customHeight="1">
      <c r="A707" s="158"/>
      <c r="B707" s="164"/>
      <c r="C707" s="102" t="s">
        <v>18</v>
      </c>
      <c r="D707" s="103" t="s">
        <v>26</v>
      </c>
      <c r="E707" s="61">
        <v>141.03</v>
      </c>
      <c r="F707" s="61">
        <v>179.07</v>
      </c>
      <c r="G707" s="61">
        <v>179.40100000000001</v>
      </c>
      <c r="H707" s="61">
        <v>180.84100000000001</v>
      </c>
      <c r="I707" s="61">
        <v>80.111999999999995</v>
      </c>
      <c r="J707" s="61">
        <v>2.1880000000000002</v>
      </c>
      <c r="K707" s="61">
        <v>140.07</v>
      </c>
      <c r="L707" s="61">
        <v>195.9</v>
      </c>
      <c r="M707" s="61">
        <v>204.52500000000001</v>
      </c>
      <c r="N707" s="61">
        <v>199.715</v>
      </c>
      <c r="O707" s="61">
        <v>183.86199999999999</v>
      </c>
      <c r="P707" s="61">
        <v>200.82499999999999</v>
      </c>
      <c r="Q707" s="116"/>
      <c r="R707" s="117"/>
      <c r="S707" s="64"/>
      <c r="T707" s="65"/>
      <c r="U707" s="65"/>
      <c r="V707" s="49"/>
      <c r="W707" s="49"/>
      <c r="X707" s="66"/>
      <c r="Y707" s="27"/>
      <c r="Z707" s="27"/>
    </row>
    <row r="708" spans="1:28" ht="46.15" customHeight="1">
      <c r="A708" s="158"/>
      <c r="B708" s="164"/>
      <c r="C708" s="59" t="s">
        <v>18</v>
      </c>
      <c r="D708" s="60" t="s">
        <v>27</v>
      </c>
      <c r="E708" s="61">
        <v>133.92400000000001</v>
      </c>
      <c r="F708" s="61">
        <v>122.092</v>
      </c>
      <c r="G708" s="61">
        <v>143.99</v>
      </c>
      <c r="H708" s="61">
        <v>146.02500000000001</v>
      </c>
      <c r="I708" s="61">
        <v>166.738</v>
      </c>
      <c r="J708" s="61">
        <v>147.036</v>
      </c>
      <c r="K708" s="61">
        <v>160.029</v>
      </c>
      <c r="L708" s="61">
        <v>136.874</v>
      </c>
      <c r="M708" s="61">
        <v>145.601</v>
      </c>
      <c r="N708" s="61">
        <v>169.18600000000001</v>
      </c>
      <c r="O708" s="61">
        <v>162.154</v>
      </c>
      <c r="P708" s="61">
        <v>167.821</v>
      </c>
      <c r="Q708" s="60"/>
      <c r="R708" s="64"/>
      <c r="S708" s="64"/>
      <c r="T708" s="65"/>
      <c r="U708" s="65"/>
      <c r="V708" s="49"/>
      <c r="W708" s="49"/>
      <c r="X708" s="66"/>
    </row>
    <row r="709" spans="1:28" ht="46.15" customHeight="1">
      <c r="A709" s="158"/>
      <c r="B709" s="164"/>
      <c r="C709" s="59" t="s">
        <v>18</v>
      </c>
      <c r="D709" s="60" t="s">
        <v>28</v>
      </c>
      <c r="E709" s="61">
        <v>91.234999999999999</v>
      </c>
      <c r="F709" s="61">
        <v>93.3</v>
      </c>
      <c r="G709" s="61">
        <v>109.74299999999999</v>
      </c>
      <c r="H709" s="61">
        <v>120.938</v>
      </c>
      <c r="I709" s="61">
        <v>112.58499999999999</v>
      </c>
      <c r="J709" s="61">
        <v>110.76300000000001</v>
      </c>
      <c r="K709" s="61">
        <v>120.38500000000001</v>
      </c>
      <c r="L709" s="61">
        <v>97.677999999999997</v>
      </c>
      <c r="M709" s="61">
        <v>145.53299999999999</v>
      </c>
      <c r="N709" s="61">
        <v>141.57</v>
      </c>
      <c r="O709" s="61">
        <v>127.82299999999999</v>
      </c>
      <c r="P709" s="61">
        <v>125.202</v>
      </c>
      <c r="Q709" s="60"/>
      <c r="R709" s="64"/>
      <c r="S709" s="64"/>
      <c r="T709" s="65"/>
      <c r="U709" s="65"/>
      <c r="V709" s="49"/>
      <c r="W709" s="49"/>
      <c r="X709" s="66"/>
    </row>
    <row r="710" spans="1:28" ht="46.15" customHeight="1">
      <c r="A710" s="158"/>
      <c r="B710" s="164"/>
      <c r="C710" s="59" t="s">
        <v>18</v>
      </c>
      <c r="D710" s="60" t="s">
        <v>29</v>
      </c>
      <c r="E710" s="76">
        <v>62.53</v>
      </c>
      <c r="F710" s="76">
        <v>64.67</v>
      </c>
      <c r="G710" s="76">
        <v>62.85</v>
      </c>
      <c r="H710" s="76">
        <v>60.011000000000003</v>
      </c>
      <c r="I710" s="76">
        <v>70.364000000000004</v>
      </c>
      <c r="J710" s="76">
        <v>67.7</v>
      </c>
      <c r="K710" s="76">
        <v>73.004999999999995</v>
      </c>
      <c r="L710" s="76">
        <v>83.23</v>
      </c>
      <c r="M710" s="76">
        <v>70.7</v>
      </c>
      <c r="N710" s="76">
        <v>85.149000000000001</v>
      </c>
      <c r="O710" s="76">
        <v>86.34</v>
      </c>
      <c r="P710" s="76">
        <v>84.754999999999995</v>
      </c>
      <c r="Q710" s="60"/>
      <c r="R710" s="64"/>
      <c r="S710" s="64"/>
      <c r="T710" s="65"/>
      <c r="U710" s="65"/>
      <c r="V710" s="49"/>
      <c r="W710" s="49"/>
      <c r="X710" s="66"/>
    </row>
    <row r="711" spans="1:28" ht="61.5" customHeight="1">
      <c r="A711" s="158"/>
      <c r="B711" s="164"/>
      <c r="C711" s="59" t="s">
        <v>18</v>
      </c>
      <c r="D711" s="60" t="s">
        <v>30</v>
      </c>
      <c r="E711" s="61">
        <v>0</v>
      </c>
      <c r="F711" s="61">
        <v>0</v>
      </c>
      <c r="G711" s="61">
        <v>0</v>
      </c>
      <c r="H711" s="61">
        <v>0</v>
      </c>
      <c r="I711" s="61">
        <v>0</v>
      </c>
      <c r="J711" s="61">
        <v>0.54400000000000004</v>
      </c>
      <c r="K711" s="61">
        <v>0.69699999999999995</v>
      </c>
      <c r="L711" s="61">
        <v>1.5255329999999998</v>
      </c>
      <c r="M711" s="61">
        <v>8.4089599999999987</v>
      </c>
      <c r="N711" s="61">
        <v>24.927612499999988</v>
      </c>
      <c r="O711" s="61">
        <v>44.46</v>
      </c>
      <c r="P711" s="61">
        <v>59.47</v>
      </c>
      <c r="Q711" s="60"/>
      <c r="R711" s="64"/>
      <c r="S711" s="64"/>
      <c r="T711" s="65"/>
      <c r="U711" s="65"/>
      <c r="V711" s="49"/>
      <c r="W711" s="49"/>
      <c r="X711" s="66"/>
    </row>
    <row r="712" spans="1:28" ht="61.5" customHeight="1">
      <c r="A712" s="158"/>
      <c r="B712" s="164"/>
      <c r="C712" s="59" t="s">
        <v>18</v>
      </c>
      <c r="D712" s="78" t="s">
        <v>31</v>
      </c>
      <c r="E712" s="61">
        <v>13.8</v>
      </c>
      <c r="F712" s="61">
        <v>13.5</v>
      </c>
      <c r="G712" s="61">
        <v>13.45</v>
      </c>
      <c r="H712" s="61">
        <v>11.4</v>
      </c>
      <c r="I712" s="61">
        <v>11.4</v>
      </c>
      <c r="J712" s="61">
        <v>7.15</v>
      </c>
      <c r="K712" s="61">
        <v>9.07</v>
      </c>
      <c r="L712" s="61">
        <v>11.9</v>
      </c>
      <c r="M712" s="61">
        <v>11.66</v>
      </c>
      <c r="N712" s="61">
        <v>10.050000000000001</v>
      </c>
      <c r="O712" s="61">
        <v>5.79</v>
      </c>
      <c r="P712" s="61">
        <v>7.6719999999999997</v>
      </c>
      <c r="Q712" s="60"/>
      <c r="R712" s="64"/>
      <c r="S712" s="64"/>
      <c r="T712" s="65"/>
      <c r="U712" s="65"/>
      <c r="V712" s="49"/>
      <c r="W712" s="49"/>
      <c r="X712" s="66"/>
    </row>
    <row r="713" spans="1:28" ht="61.5" customHeight="1">
      <c r="A713" s="158"/>
      <c r="B713" s="164"/>
      <c r="C713" s="59" t="s">
        <v>18</v>
      </c>
      <c r="D713" s="60" t="s">
        <v>32</v>
      </c>
      <c r="E713" s="61">
        <v>13</v>
      </c>
      <c r="F713" s="61">
        <v>15.5</v>
      </c>
      <c r="G713" s="61">
        <v>15.8</v>
      </c>
      <c r="H713" s="61">
        <v>13.85</v>
      </c>
      <c r="I713" s="61">
        <v>10.105</v>
      </c>
      <c r="J713" s="61">
        <v>10.119999999999999</v>
      </c>
      <c r="K713" s="61">
        <v>12.55</v>
      </c>
      <c r="L713" s="61">
        <v>9.3000000000000007</v>
      </c>
      <c r="M713" s="61">
        <v>7</v>
      </c>
      <c r="N713" s="61">
        <v>9.07</v>
      </c>
      <c r="O713" s="61">
        <v>8.36</v>
      </c>
      <c r="P713" s="61">
        <v>14.05</v>
      </c>
      <c r="Q713" s="60"/>
      <c r="R713" s="64"/>
      <c r="S713" s="64"/>
      <c r="T713" s="65"/>
      <c r="U713" s="65"/>
      <c r="V713" s="49"/>
      <c r="W713" s="49"/>
      <c r="X713" s="66"/>
    </row>
    <row r="714" spans="1:28" ht="61.5" customHeight="1">
      <c r="A714" s="158"/>
      <c r="B714" s="164"/>
      <c r="C714" s="59" t="s">
        <v>18</v>
      </c>
      <c r="D714" s="60" t="s">
        <v>33</v>
      </c>
      <c r="E714" s="61">
        <v>32.5</v>
      </c>
      <c r="F714" s="61">
        <v>39.805</v>
      </c>
      <c r="G714" s="61">
        <v>28</v>
      </c>
      <c r="H714" s="61">
        <v>26.7</v>
      </c>
      <c r="I714" s="61">
        <v>22.9</v>
      </c>
      <c r="J714" s="61">
        <v>26</v>
      </c>
      <c r="K714" s="61">
        <v>30.3</v>
      </c>
      <c r="L714" s="61">
        <v>26.5</v>
      </c>
      <c r="M714" s="61">
        <v>25.7</v>
      </c>
      <c r="N714" s="61">
        <v>27</v>
      </c>
      <c r="O714" s="61">
        <v>23.01</v>
      </c>
      <c r="P714" s="61">
        <v>20.7</v>
      </c>
      <c r="Q714" s="60"/>
      <c r="R714" s="47"/>
      <c r="S714" s="47"/>
      <c r="T714" s="48"/>
      <c r="U714" s="48"/>
      <c r="V714" s="49"/>
      <c r="W714" s="50"/>
      <c r="X714" s="51"/>
    </row>
    <row r="715" spans="1:28" ht="61.5" customHeight="1">
      <c r="A715" s="158"/>
      <c r="B715" s="164"/>
      <c r="C715" s="59" t="s">
        <v>18</v>
      </c>
      <c r="D715" s="60" t="s">
        <v>34</v>
      </c>
      <c r="E715" s="61">
        <v>33.51</v>
      </c>
      <c r="F715" s="61">
        <v>36.1</v>
      </c>
      <c r="G715" s="61">
        <v>30.5</v>
      </c>
      <c r="H715" s="61">
        <v>33.200000000000003</v>
      </c>
      <c r="I715" s="61">
        <v>34.6</v>
      </c>
      <c r="J715" s="61">
        <v>28.75</v>
      </c>
      <c r="K715" s="61">
        <v>35.005000000000003</v>
      </c>
      <c r="L715" s="61">
        <v>37.049999999999997</v>
      </c>
      <c r="M715" s="61">
        <v>34</v>
      </c>
      <c r="N715" s="61">
        <v>34</v>
      </c>
      <c r="O715" s="61">
        <v>35.1</v>
      </c>
      <c r="P715" s="61">
        <v>39.15</v>
      </c>
      <c r="Q715" s="60"/>
      <c r="R715" s="47"/>
      <c r="S715" s="47"/>
      <c r="T715" s="48"/>
      <c r="U715" s="48"/>
      <c r="V715" s="49"/>
      <c r="W715" s="50"/>
      <c r="X715" s="51"/>
    </row>
    <row r="716" spans="1:28" ht="61.5" customHeight="1">
      <c r="A716" s="158"/>
      <c r="B716" s="164"/>
      <c r="C716" s="59" t="s">
        <v>18</v>
      </c>
      <c r="D716" s="60" t="s">
        <v>35</v>
      </c>
      <c r="E716" s="61">
        <v>33.502000000000002</v>
      </c>
      <c r="F716" s="61">
        <v>27.3</v>
      </c>
      <c r="G716" s="61">
        <v>31.01</v>
      </c>
      <c r="H716" s="61">
        <v>22.6</v>
      </c>
      <c r="I716" s="61">
        <v>31.1</v>
      </c>
      <c r="J716" s="61">
        <v>32.5</v>
      </c>
      <c r="K716" s="61">
        <v>33.104999999999997</v>
      </c>
      <c r="L716" s="61">
        <v>34.5</v>
      </c>
      <c r="M716" s="61">
        <v>41.5</v>
      </c>
      <c r="N716" s="61">
        <v>42.02</v>
      </c>
      <c r="O716" s="61">
        <v>33.5</v>
      </c>
      <c r="P716" s="61">
        <v>37.369999999999997</v>
      </c>
      <c r="Q716" s="60"/>
      <c r="R716" s="47"/>
      <c r="S716" s="47"/>
      <c r="T716" s="48"/>
      <c r="U716" s="48"/>
      <c r="V716" s="49"/>
      <c r="W716" s="50"/>
      <c r="X716" s="51"/>
    </row>
    <row r="717" spans="1:28" ht="61.5" customHeight="1">
      <c r="A717" s="158"/>
      <c r="B717" s="164"/>
      <c r="C717" s="59" t="s">
        <v>18</v>
      </c>
      <c r="D717" s="64" t="s">
        <v>36</v>
      </c>
      <c r="E717" s="61">
        <v>31.5</v>
      </c>
      <c r="F717" s="61">
        <v>37</v>
      </c>
      <c r="G717" s="61">
        <v>36.799999999999997</v>
      </c>
      <c r="H717" s="61">
        <v>30.6</v>
      </c>
      <c r="I717" s="61">
        <v>38.011000000000003</v>
      </c>
      <c r="J717" s="61">
        <v>32.35</v>
      </c>
      <c r="K717" s="61">
        <v>35.01</v>
      </c>
      <c r="L717" s="61">
        <v>35.799999999999997</v>
      </c>
      <c r="M717" s="61">
        <v>33.055</v>
      </c>
      <c r="N717" s="61">
        <v>42.402000000000001</v>
      </c>
      <c r="O717" s="61">
        <v>30.5</v>
      </c>
      <c r="P717" s="61">
        <v>33.5</v>
      </c>
      <c r="Q717" s="81"/>
      <c r="R717" s="47"/>
      <c r="S717" s="47"/>
      <c r="T717" s="48"/>
      <c r="U717" s="48"/>
      <c r="V717" s="49"/>
      <c r="W717" s="50"/>
      <c r="X717" s="51"/>
    </row>
    <row r="718" spans="1:28" ht="61.5" customHeight="1">
      <c r="A718" s="158"/>
      <c r="B718" s="164"/>
      <c r="C718" s="59" t="s">
        <v>18</v>
      </c>
      <c r="D718" s="60" t="s">
        <v>37</v>
      </c>
      <c r="E718" s="85">
        <v>38.204999999999998</v>
      </c>
      <c r="F718" s="85">
        <v>37.01</v>
      </c>
      <c r="G718" s="85">
        <v>39.009</v>
      </c>
      <c r="H718" s="85">
        <v>40.005000000000003</v>
      </c>
      <c r="I718" s="85">
        <v>38.01</v>
      </c>
      <c r="J718" s="85">
        <v>38.049999999999997</v>
      </c>
      <c r="K718" s="85">
        <v>45.01</v>
      </c>
      <c r="L718" s="85">
        <v>42.500999999999998</v>
      </c>
      <c r="M718" s="85">
        <v>34.005000000000003</v>
      </c>
      <c r="N718" s="85">
        <v>41.505000000000003</v>
      </c>
      <c r="O718" s="85">
        <v>34.5</v>
      </c>
      <c r="P718" s="85">
        <v>30.4</v>
      </c>
      <c r="Q718" s="46"/>
      <c r="R718" s="47"/>
      <c r="S718" s="47"/>
      <c r="T718" s="48"/>
      <c r="U718" s="48"/>
      <c r="V718" s="49"/>
      <c r="W718" s="50"/>
      <c r="X718" s="51"/>
    </row>
    <row r="719" spans="1:28" ht="61.5" customHeight="1">
      <c r="A719" s="158"/>
      <c r="B719" s="164"/>
      <c r="C719" s="59" t="s">
        <v>18</v>
      </c>
      <c r="D719" s="60" t="s">
        <v>38</v>
      </c>
      <c r="E719" s="85">
        <v>36.503</v>
      </c>
      <c r="F719" s="85">
        <v>40.006</v>
      </c>
      <c r="G719" s="85">
        <v>41.01</v>
      </c>
      <c r="H719" s="85">
        <v>35.506</v>
      </c>
      <c r="I719" s="85">
        <v>39.006999999999998</v>
      </c>
      <c r="J719" s="85">
        <v>33.081000000000003</v>
      </c>
      <c r="K719" s="85">
        <v>31.603000000000002</v>
      </c>
      <c r="L719" s="85">
        <v>44.003</v>
      </c>
      <c r="M719" s="85">
        <v>44.015000000000001</v>
      </c>
      <c r="N719" s="85">
        <v>38.25</v>
      </c>
      <c r="O719" s="85">
        <v>39.270000000000003</v>
      </c>
      <c r="P719" s="85">
        <v>50.01</v>
      </c>
      <c r="Q719" s="46"/>
      <c r="R719" s="47"/>
      <c r="S719" s="47"/>
      <c r="T719" s="48"/>
      <c r="U719" s="48"/>
      <c r="V719" s="49"/>
      <c r="W719" s="50"/>
      <c r="X719" s="51"/>
    </row>
    <row r="720" spans="1:28" ht="61.5" customHeight="1">
      <c r="A720" s="158"/>
      <c r="B720" s="164"/>
      <c r="C720" s="59" t="s">
        <v>18</v>
      </c>
      <c r="D720" s="60" t="s">
        <v>39</v>
      </c>
      <c r="E720" s="85">
        <v>32</v>
      </c>
      <c r="F720" s="85">
        <v>35.21</v>
      </c>
      <c r="G720" s="85">
        <v>31.001000000000001</v>
      </c>
      <c r="H720" s="85">
        <v>32.35</v>
      </c>
      <c r="I720" s="85">
        <v>37.003999999999998</v>
      </c>
      <c r="J720" s="85">
        <v>29.105</v>
      </c>
      <c r="K720" s="85">
        <v>38.201000000000001</v>
      </c>
      <c r="L720" s="85">
        <v>38.604999999999997</v>
      </c>
      <c r="M720" s="85">
        <v>40.015999999999998</v>
      </c>
      <c r="N720" s="85">
        <v>42.005000000000003</v>
      </c>
      <c r="O720" s="85">
        <v>32.005000000000003</v>
      </c>
      <c r="P720" s="85">
        <v>46.008000000000003</v>
      </c>
      <c r="Q720" s="46"/>
      <c r="R720" s="47"/>
      <c r="S720" s="47"/>
      <c r="T720" s="48"/>
      <c r="U720" s="48"/>
      <c r="V720" s="49"/>
      <c r="W720" s="50"/>
      <c r="X720" s="51"/>
    </row>
    <row r="721" spans="1:28" ht="61.5" customHeight="1">
      <c r="A721" s="158"/>
      <c r="B721" s="164"/>
      <c r="C721" s="59" t="s">
        <v>18</v>
      </c>
      <c r="D721" s="60" t="s">
        <v>40</v>
      </c>
      <c r="E721" s="85">
        <v>21.242999999999999</v>
      </c>
      <c r="F721" s="85">
        <v>20.004999999999999</v>
      </c>
      <c r="G721" s="85">
        <v>21.015000000000001</v>
      </c>
      <c r="H721" s="85">
        <v>31.004999999999999</v>
      </c>
      <c r="I721" s="85">
        <v>35.503</v>
      </c>
      <c r="J721" s="85">
        <v>36.505000000000003</v>
      </c>
      <c r="K721" s="85">
        <v>28.009</v>
      </c>
      <c r="L721" s="85">
        <f>38.369+1.635</f>
        <v>40.003999999999998</v>
      </c>
      <c r="M721" s="85">
        <v>34.500999999999998</v>
      </c>
      <c r="N721" s="85">
        <v>35.502000000000002</v>
      </c>
      <c r="O721" s="85">
        <v>28.602</v>
      </c>
      <c r="P721" s="85">
        <v>25.001000000000001</v>
      </c>
      <c r="Q721" s="46"/>
      <c r="R721" s="47"/>
      <c r="S721" s="47"/>
      <c r="T721" s="48"/>
      <c r="U721" s="48"/>
      <c r="V721" s="49"/>
      <c r="W721" s="50"/>
      <c r="X721" s="51"/>
    </row>
    <row r="722" spans="1:28" ht="61.5" customHeight="1">
      <c r="A722" s="158"/>
      <c r="B722" s="164"/>
      <c r="C722" s="59" t="s">
        <v>18</v>
      </c>
      <c r="D722" s="60" t="s">
        <v>41</v>
      </c>
      <c r="E722" s="85">
        <v>27.007000000000001</v>
      </c>
      <c r="F722" s="85">
        <v>18.067</v>
      </c>
      <c r="G722" s="85">
        <v>20.001999999999999</v>
      </c>
      <c r="H722" s="85">
        <v>24.501000000000001</v>
      </c>
      <c r="I722" s="85">
        <v>35.01</v>
      </c>
      <c r="J722" s="85">
        <v>26.510999999999999</v>
      </c>
      <c r="K722" s="85">
        <v>24.312999999999999</v>
      </c>
      <c r="L722" s="85">
        <v>23.501000000000001</v>
      </c>
      <c r="M722" s="85">
        <v>27.004999999999999</v>
      </c>
      <c r="N722" s="85">
        <v>28.504999999999999</v>
      </c>
      <c r="O722" s="85">
        <v>25.25</v>
      </c>
      <c r="P722" s="85">
        <v>21.332999999999998</v>
      </c>
      <c r="Q722" s="46"/>
      <c r="R722" s="47"/>
      <c r="S722" s="47"/>
      <c r="T722" s="48"/>
      <c r="U722" s="48"/>
      <c r="V722" s="49"/>
      <c r="W722" s="50"/>
      <c r="X722" s="51"/>
    </row>
    <row r="723" spans="1:28" ht="61.5" customHeight="1">
      <c r="A723" s="158"/>
      <c r="B723" s="164"/>
      <c r="C723" s="59" t="s">
        <v>18</v>
      </c>
      <c r="D723" s="60" t="s">
        <v>42</v>
      </c>
      <c r="E723" s="85">
        <v>20.364000000000001</v>
      </c>
      <c r="F723" s="85">
        <v>27.077000000000002</v>
      </c>
      <c r="G723" s="85">
        <v>30.004999999999999</v>
      </c>
      <c r="H723" s="85">
        <v>18.852</v>
      </c>
      <c r="I723" s="85">
        <v>34.423999999999999</v>
      </c>
      <c r="J723" s="85">
        <v>28.501999999999999</v>
      </c>
      <c r="K723" s="85">
        <v>29.001999999999999</v>
      </c>
      <c r="L723" s="85">
        <v>25.1</v>
      </c>
      <c r="M723" s="85">
        <v>32.002000000000002</v>
      </c>
      <c r="N723" s="85">
        <f>+K723+L723+M723</f>
        <v>86.104000000000013</v>
      </c>
      <c r="O723" s="85">
        <v>32.305</v>
      </c>
      <c r="P723" s="85">
        <v>24.5</v>
      </c>
      <c r="Q723" s="46"/>
      <c r="R723" s="47"/>
      <c r="S723" s="47"/>
      <c r="T723" s="48"/>
      <c r="U723" s="48"/>
      <c r="V723" s="49"/>
      <c r="W723" s="50"/>
      <c r="X723" s="51"/>
    </row>
    <row r="724" spans="1:28" ht="61.5" customHeight="1">
      <c r="A724" s="158"/>
      <c r="B724" s="164"/>
      <c r="C724" s="59" t="s">
        <v>18</v>
      </c>
      <c r="D724" s="60" t="s">
        <v>43</v>
      </c>
      <c r="E724" s="85">
        <v>26.001000000000001</v>
      </c>
      <c r="F724" s="85">
        <v>33.381</v>
      </c>
      <c r="G724" s="85">
        <v>24.456</v>
      </c>
      <c r="H724" s="85">
        <v>29.6</v>
      </c>
      <c r="I724" s="85">
        <v>26.007000000000001</v>
      </c>
      <c r="J724" s="85">
        <v>28.023</v>
      </c>
      <c r="K724" s="85">
        <v>33.174999999999997</v>
      </c>
      <c r="L724" s="85">
        <v>30.853000000000002</v>
      </c>
      <c r="M724" s="85">
        <v>24.800999999999998</v>
      </c>
      <c r="N724" s="85">
        <v>32.167000000000002</v>
      </c>
      <c r="O724" s="85">
        <v>26.222999999999999</v>
      </c>
      <c r="P724" s="85">
        <v>30.841999999999999</v>
      </c>
      <c r="Q724" s="46"/>
      <c r="R724" s="47"/>
      <c r="S724" s="47"/>
      <c r="T724" s="48"/>
      <c r="U724" s="48"/>
      <c r="V724" s="49"/>
      <c r="W724" s="50"/>
      <c r="X724" s="51"/>
    </row>
    <row r="725" spans="1:28" ht="61.5" customHeight="1">
      <c r="A725" s="158"/>
      <c r="B725" s="164"/>
      <c r="C725" s="59" t="s">
        <v>18</v>
      </c>
      <c r="D725" s="60" t="s">
        <v>44</v>
      </c>
      <c r="E725" s="85">
        <v>24.260999999999999</v>
      </c>
      <c r="F725" s="85">
        <v>29.501000000000001</v>
      </c>
      <c r="G725" s="85">
        <v>25.02</v>
      </c>
      <c r="H725" s="85">
        <v>24.053999999999998</v>
      </c>
      <c r="I725" s="85">
        <v>30.350999999999999</v>
      </c>
      <c r="J725" s="85">
        <v>27.047999999999998</v>
      </c>
      <c r="K725" s="85">
        <v>27.6</v>
      </c>
      <c r="L725" s="85">
        <v>28.602</v>
      </c>
      <c r="M725" s="85">
        <f>26.446+0.027</f>
        <v>26.473000000000003</v>
      </c>
      <c r="N725" s="85">
        <v>26.600999999999999</v>
      </c>
      <c r="O725" s="85">
        <v>31.04</v>
      </c>
      <c r="P725" s="85">
        <v>29.010999999999999</v>
      </c>
      <c r="Q725" s="46"/>
      <c r="R725" s="47"/>
      <c r="S725" s="47"/>
      <c r="T725" s="48"/>
      <c r="U725" s="48"/>
      <c r="V725" s="49"/>
      <c r="W725" s="50"/>
      <c r="X725" s="51"/>
    </row>
    <row r="726" spans="1:28" ht="61.5" customHeight="1">
      <c r="A726" s="158"/>
      <c r="C726" s="100"/>
      <c r="D726" s="101"/>
      <c r="E726" s="21"/>
      <c r="F726" s="21"/>
      <c r="G726" s="21"/>
      <c r="H726" s="20"/>
      <c r="I726" s="21"/>
      <c r="J726" s="21"/>
      <c r="K726" s="21"/>
      <c r="L726" s="21"/>
      <c r="M726" s="21"/>
      <c r="N726" s="21"/>
      <c r="O726" s="21"/>
      <c r="P726" s="21"/>
      <c r="Q726" s="46"/>
      <c r="R726" s="47"/>
      <c r="S726" s="47"/>
      <c r="T726" s="48"/>
      <c r="U726" s="48"/>
      <c r="V726" s="49"/>
      <c r="W726" s="50"/>
      <c r="X726" s="51"/>
    </row>
    <row r="727" spans="1:28" s="109" customFormat="1" ht="65.099999999999994" customHeight="1">
      <c r="A727" s="158"/>
      <c r="B727" s="160"/>
      <c r="C727" s="42"/>
      <c r="D727" s="43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3"/>
      <c r="R727" s="91"/>
      <c r="S727" s="47"/>
      <c r="T727" s="48"/>
      <c r="U727" s="48"/>
      <c r="V727" s="49"/>
      <c r="W727" s="50"/>
      <c r="X727" s="51"/>
      <c r="Y727" s="108"/>
      <c r="Z727" s="108"/>
    </row>
    <row r="728" spans="1:28" s="52" customFormat="1">
      <c r="A728" s="158"/>
      <c r="B728" s="161"/>
      <c r="C728" s="55"/>
      <c r="D728" s="4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141"/>
      <c r="R728" s="47"/>
      <c r="S728" s="64"/>
      <c r="T728" s="48"/>
      <c r="U728" s="48"/>
      <c r="V728" s="49"/>
      <c r="W728" s="50"/>
      <c r="X728" s="51"/>
      <c r="Y728" s="2"/>
      <c r="Z728" s="2"/>
      <c r="AB728" s="2"/>
    </row>
    <row r="729" spans="1:28" s="52" customFormat="1">
      <c r="A729" s="158"/>
      <c r="B729" s="161"/>
      <c r="C729" s="59"/>
      <c r="D729" s="60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141"/>
      <c r="R729" s="47"/>
      <c r="S729" s="64"/>
      <c r="T729" s="48"/>
      <c r="U729" s="48"/>
      <c r="V729" s="49"/>
      <c r="W729" s="50"/>
      <c r="X729" s="51"/>
      <c r="Y729" s="2"/>
      <c r="Z729" s="2"/>
      <c r="AB729" s="2"/>
    </row>
    <row r="730" spans="1:28" s="52" customFormat="1">
      <c r="A730" s="158"/>
      <c r="B730" s="161"/>
      <c r="C730" s="59"/>
      <c r="D730" s="60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46"/>
      <c r="R730" s="47"/>
      <c r="S730" s="64"/>
      <c r="T730" s="48"/>
      <c r="U730" s="48"/>
      <c r="V730" s="49"/>
      <c r="W730" s="50"/>
      <c r="X730" s="51"/>
      <c r="Y730" s="2"/>
      <c r="Z730" s="2"/>
      <c r="AB730" s="2"/>
    </row>
    <row r="731" spans="1:28">
      <c r="A731" s="158"/>
      <c r="B731" s="161"/>
      <c r="C731" s="59"/>
      <c r="D731" s="60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0"/>
      <c r="R731" s="64"/>
      <c r="S731" s="64"/>
      <c r="T731" s="65"/>
      <c r="U731" s="65"/>
      <c r="V731" s="49"/>
      <c r="W731" s="49"/>
      <c r="X731" s="66"/>
      <c r="AB731" s="6"/>
    </row>
    <row r="732" spans="1:28" s="52" customFormat="1">
      <c r="A732" s="158"/>
      <c r="B732" s="161"/>
      <c r="C732" s="59"/>
      <c r="D732" s="60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46"/>
      <c r="R732" s="47"/>
      <c r="S732" s="64"/>
      <c r="T732" s="48"/>
      <c r="U732" s="48"/>
      <c r="V732" s="49"/>
      <c r="W732" s="50"/>
      <c r="X732" s="51"/>
      <c r="Y732" s="2"/>
      <c r="Z732" s="2"/>
      <c r="AB732" s="2"/>
    </row>
    <row r="733" spans="1:28" s="52" customFormat="1" ht="46.15" customHeight="1">
      <c r="A733" s="158"/>
      <c r="B733" s="161"/>
      <c r="C733" s="59"/>
      <c r="D733" s="60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46"/>
      <c r="R733" s="47"/>
      <c r="S733" s="64"/>
      <c r="T733" s="48"/>
      <c r="U733" s="48"/>
      <c r="V733" s="49"/>
      <c r="W733" s="50"/>
      <c r="X733" s="51"/>
      <c r="Y733" s="2"/>
      <c r="Z733" s="2"/>
      <c r="AB733" s="2"/>
    </row>
    <row r="734" spans="1:28" ht="46.15" customHeight="1">
      <c r="A734" s="158"/>
      <c r="B734" s="161"/>
      <c r="C734" s="59"/>
      <c r="D734" s="60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0"/>
      <c r="R734" s="64"/>
      <c r="S734" s="64"/>
      <c r="T734" s="65"/>
      <c r="U734" s="65"/>
      <c r="V734" s="49"/>
      <c r="W734" s="49"/>
      <c r="X734" s="66"/>
      <c r="Y734" s="49"/>
      <c r="Z734" s="49"/>
      <c r="AB734" s="49"/>
    </row>
    <row r="735" spans="1:28" ht="46.15" customHeight="1">
      <c r="A735" s="158"/>
      <c r="B735" s="161"/>
      <c r="C735" s="64"/>
      <c r="D735" s="64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0"/>
      <c r="R735" s="64"/>
      <c r="S735" s="64"/>
      <c r="T735" s="65"/>
      <c r="U735" s="65"/>
      <c r="V735" s="49"/>
      <c r="W735" s="49"/>
      <c r="X735" s="66"/>
    </row>
    <row r="736" spans="1:28" s="25" customFormat="1" ht="46.15" customHeight="1">
      <c r="A736" s="158"/>
      <c r="B736" s="161"/>
      <c r="C736" s="102"/>
      <c r="D736" s="103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133"/>
      <c r="R736" s="117"/>
      <c r="S736" s="64"/>
      <c r="T736" s="65"/>
      <c r="U736" s="65"/>
      <c r="V736" s="49"/>
      <c r="W736" s="49"/>
      <c r="X736" s="66"/>
      <c r="Y736" s="27"/>
      <c r="Z736" s="27"/>
    </row>
    <row r="737" spans="1:24" ht="46.15" customHeight="1">
      <c r="A737" s="158"/>
      <c r="B737" s="161"/>
      <c r="C737" s="59"/>
      <c r="D737" s="60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0"/>
      <c r="R737" s="64"/>
      <c r="S737" s="64"/>
      <c r="T737" s="65"/>
      <c r="U737" s="65"/>
      <c r="V737" s="49"/>
      <c r="W737" s="49"/>
      <c r="X737" s="66"/>
    </row>
    <row r="738" spans="1:24" ht="46.15" customHeight="1">
      <c r="A738" s="158"/>
      <c r="B738" s="161"/>
      <c r="C738" s="59"/>
      <c r="D738" s="60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0"/>
      <c r="R738" s="64"/>
      <c r="S738" s="64"/>
      <c r="T738" s="65"/>
      <c r="U738" s="65"/>
      <c r="V738" s="49"/>
      <c r="W738" s="49"/>
      <c r="X738" s="66"/>
    </row>
    <row r="739" spans="1:24" ht="46.15" customHeight="1">
      <c r="A739" s="158"/>
      <c r="B739" s="161"/>
      <c r="C739" s="59"/>
      <c r="D739" s="60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60"/>
      <c r="R739" s="64"/>
      <c r="S739" s="64"/>
      <c r="T739" s="65"/>
      <c r="U739" s="65"/>
      <c r="V739" s="49"/>
      <c r="W739" s="49"/>
      <c r="X739" s="66"/>
    </row>
    <row r="740" spans="1:24" ht="61.5" customHeight="1">
      <c r="A740" s="158"/>
      <c r="B740" s="161"/>
      <c r="C740" s="59"/>
      <c r="D740" s="60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0"/>
      <c r="R740" s="64"/>
      <c r="S740" s="64"/>
      <c r="T740" s="65"/>
      <c r="U740" s="65"/>
      <c r="V740" s="49"/>
      <c r="W740" s="49"/>
      <c r="X740" s="66"/>
    </row>
    <row r="741" spans="1:24" ht="61.5" customHeight="1">
      <c r="A741" s="158"/>
      <c r="B741" s="161"/>
      <c r="C741" s="59"/>
      <c r="D741" s="78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0"/>
      <c r="R741" s="64"/>
      <c r="S741" s="64"/>
      <c r="T741" s="65"/>
      <c r="U741" s="65"/>
      <c r="V741" s="49"/>
      <c r="W741" s="49"/>
      <c r="X741" s="66"/>
    </row>
    <row r="742" spans="1:24" ht="61.5" customHeight="1">
      <c r="A742" s="158"/>
      <c r="B742" s="162"/>
      <c r="C742" s="59"/>
      <c r="D742" s="60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0"/>
      <c r="R742" s="64"/>
      <c r="S742" s="64"/>
      <c r="T742" s="65"/>
      <c r="U742" s="65"/>
      <c r="V742" s="49"/>
      <c r="W742" s="49"/>
      <c r="X742" s="66"/>
    </row>
    <row r="743" spans="1:24" ht="61.5" customHeight="1">
      <c r="A743" s="158"/>
      <c r="B743" s="110"/>
      <c r="C743" s="59"/>
      <c r="D743" s="60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0"/>
      <c r="R743" s="47"/>
      <c r="S743" s="47"/>
      <c r="T743" s="48"/>
      <c r="U743" s="48"/>
      <c r="V743" s="49"/>
      <c r="W743" s="50"/>
      <c r="X743" s="51"/>
    </row>
    <row r="744" spans="1:24" ht="61.5" customHeight="1">
      <c r="A744" s="158"/>
      <c r="B744" s="110"/>
      <c r="C744" s="59"/>
      <c r="D744" s="60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0"/>
      <c r="R744" s="47"/>
      <c r="S744" s="47"/>
      <c r="T744" s="48"/>
      <c r="U744" s="48"/>
      <c r="V744" s="49"/>
      <c r="W744" s="50"/>
      <c r="X744" s="51"/>
    </row>
    <row r="745" spans="1:24" ht="61.5" customHeight="1">
      <c r="A745" s="158"/>
      <c r="B745" s="110"/>
      <c r="C745" s="59"/>
      <c r="D745" s="60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0"/>
      <c r="R745" s="47"/>
      <c r="S745" s="47"/>
      <c r="T745" s="48"/>
      <c r="U745" s="48"/>
      <c r="V745" s="49"/>
      <c r="W745" s="50"/>
      <c r="X745" s="51"/>
    </row>
    <row r="746" spans="1:24" ht="61.5" customHeight="1">
      <c r="A746" s="158"/>
      <c r="B746" s="110"/>
      <c r="C746" s="59"/>
      <c r="D746" s="60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81"/>
      <c r="R746" s="47"/>
      <c r="S746" s="47"/>
      <c r="T746" s="48"/>
      <c r="U746" s="48"/>
      <c r="V746" s="49"/>
      <c r="W746" s="50"/>
      <c r="X746" s="51"/>
    </row>
    <row r="747" spans="1:24" ht="61.5" customHeight="1">
      <c r="A747" s="158"/>
      <c r="B747" s="84"/>
      <c r="C747" s="59"/>
      <c r="D747" s="60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46"/>
      <c r="R747" s="47"/>
      <c r="S747" s="47"/>
      <c r="T747" s="48"/>
      <c r="U747" s="48"/>
      <c r="V747" s="49"/>
      <c r="W747" s="50"/>
      <c r="X747" s="51"/>
    </row>
    <row r="748" spans="1:24" ht="61.5" customHeight="1">
      <c r="A748" s="158"/>
      <c r="B748" s="84"/>
      <c r="C748" s="59"/>
      <c r="D748" s="60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46"/>
      <c r="R748" s="47"/>
      <c r="S748" s="47"/>
      <c r="T748" s="48"/>
      <c r="U748" s="48"/>
      <c r="V748" s="49"/>
      <c r="W748" s="50"/>
      <c r="X748" s="51"/>
    </row>
    <row r="749" spans="1:24" ht="61.5" customHeight="1">
      <c r="A749" s="158"/>
      <c r="B749" s="84"/>
      <c r="C749" s="59"/>
      <c r="D749" s="60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46"/>
      <c r="R749" s="47"/>
      <c r="S749" s="47"/>
      <c r="T749" s="48"/>
      <c r="U749" s="48"/>
      <c r="V749" s="49"/>
      <c r="W749" s="50"/>
      <c r="X749" s="51"/>
    </row>
    <row r="750" spans="1:24" ht="61.5" customHeight="1">
      <c r="A750" s="158"/>
      <c r="B750" s="84"/>
      <c r="C750" s="59"/>
      <c r="D750" s="60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46"/>
      <c r="R750" s="47"/>
      <c r="S750" s="47"/>
      <c r="T750" s="48"/>
      <c r="U750" s="48"/>
      <c r="V750" s="49"/>
      <c r="W750" s="50"/>
      <c r="X750" s="51"/>
    </row>
    <row r="751" spans="1:24" ht="61.5" customHeight="1">
      <c r="A751" s="158"/>
      <c r="B751" s="84"/>
      <c r="C751" s="59"/>
      <c r="D751" s="60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46"/>
      <c r="R751" s="47"/>
      <c r="S751" s="47"/>
      <c r="T751" s="48"/>
      <c r="U751" s="48"/>
      <c r="V751" s="49"/>
      <c r="W751" s="50"/>
      <c r="X751" s="51"/>
    </row>
    <row r="752" spans="1:24" ht="61.5" customHeight="1">
      <c r="A752" s="158"/>
      <c r="B752" s="84"/>
      <c r="C752" s="59"/>
      <c r="D752" s="60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46"/>
      <c r="R752" s="47"/>
      <c r="S752" s="47"/>
      <c r="T752" s="48"/>
      <c r="U752" s="48"/>
      <c r="V752" s="49"/>
      <c r="W752" s="50"/>
      <c r="X752" s="51"/>
    </row>
    <row r="753" spans="1:28" ht="61.5" customHeight="1">
      <c r="A753" s="158"/>
      <c r="B753" s="84"/>
      <c r="C753" s="59"/>
      <c r="D753" s="60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46"/>
      <c r="R753" s="47"/>
      <c r="S753" s="47"/>
      <c r="T753" s="48"/>
      <c r="U753" s="48"/>
      <c r="V753" s="49"/>
      <c r="W753" s="50"/>
      <c r="X753" s="51"/>
    </row>
    <row r="754" spans="1:28" ht="61.5" customHeight="1">
      <c r="A754" s="158"/>
      <c r="B754" s="125"/>
      <c r="C754" s="80"/>
      <c r="D754" s="81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46"/>
      <c r="R754" s="107"/>
      <c r="S754" s="47"/>
      <c r="T754" s="48"/>
      <c r="U754" s="48"/>
      <c r="V754" s="49"/>
      <c r="W754" s="50"/>
      <c r="X754" s="51"/>
    </row>
    <row r="755" spans="1:28" ht="61.5" customHeight="1">
      <c r="A755" s="158"/>
      <c r="B755" s="98"/>
      <c r="C755" s="100"/>
      <c r="D755" s="101"/>
      <c r="E755" s="21"/>
      <c r="F755" s="21"/>
      <c r="G755" s="21"/>
      <c r="H755" s="20"/>
      <c r="I755" s="21"/>
      <c r="J755" s="21"/>
      <c r="K755" s="21"/>
      <c r="L755" s="21"/>
      <c r="M755" s="21"/>
      <c r="N755" s="21"/>
      <c r="O755" s="21"/>
      <c r="P755" s="21"/>
      <c r="Q755" s="46"/>
      <c r="R755" s="47"/>
      <c r="S755" s="47"/>
      <c r="T755" s="48"/>
      <c r="U755" s="48"/>
      <c r="V755" s="49"/>
      <c r="W755" s="50"/>
      <c r="X755" s="51"/>
    </row>
    <row r="756" spans="1:28" s="109" customFormat="1" ht="65.099999999999994" customHeight="1">
      <c r="A756" s="158"/>
      <c r="B756" s="163" t="s">
        <v>53</v>
      </c>
      <c r="C756" s="42"/>
      <c r="D756" s="43"/>
      <c r="E756" s="44"/>
      <c r="F756" s="44"/>
      <c r="G756" s="44"/>
      <c r="H756" s="45"/>
      <c r="I756" s="44"/>
      <c r="J756" s="44"/>
      <c r="K756" s="44"/>
      <c r="L756" s="44"/>
      <c r="M756" s="44"/>
      <c r="N756" s="44"/>
      <c r="O756" s="44"/>
      <c r="P756" s="44"/>
      <c r="Q756" s="43"/>
      <c r="R756" s="91"/>
      <c r="S756" s="47"/>
      <c r="T756" s="48"/>
      <c r="U756" s="48"/>
      <c r="V756" s="49"/>
      <c r="W756" s="50"/>
      <c r="X756" s="51"/>
      <c r="Y756" s="108"/>
      <c r="Z756" s="108"/>
    </row>
    <row r="757" spans="1:28" s="52" customFormat="1">
      <c r="A757" s="158"/>
      <c r="B757" s="164"/>
      <c r="C757" s="55"/>
      <c r="D757" s="4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114"/>
      <c r="R757" s="47"/>
      <c r="S757" s="64"/>
      <c r="T757" s="48"/>
      <c r="U757" s="48"/>
      <c r="V757" s="49"/>
      <c r="W757" s="50"/>
      <c r="X757" s="51"/>
      <c r="Y757" s="2"/>
      <c r="Z757" s="2"/>
      <c r="AB757" s="2"/>
    </row>
    <row r="758" spans="1:28" s="52" customFormat="1">
      <c r="A758" s="158"/>
      <c r="B758" s="164"/>
      <c r="C758" s="59" t="s">
        <v>18</v>
      </c>
      <c r="D758" s="60" t="s">
        <v>19</v>
      </c>
      <c r="E758" s="61">
        <v>9.2360000000000007</v>
      </c>
      <c r="F758" s="61">
        <v>10.736000000000001</v>
      </c>
      <c r="G758" s="61">
        <v>9.7859999999999996</v>
      </c>
      <c r="H758" s="61">
        <v>11.073</v>
      </c>
      <c r="I758" s="61">
        <v>13.468999999999999</v>
      </c>
      <c r="J758" s="61">
        <v>12.090999999999999</v>
      </c>
      <c r="K758" s="61">
        <v>11.420999999999999</v>
      </c>
      <c r="L758" s="61">
        <v>9.4830000000000005</v>
      </c>
      <c r="M758" s="61">
        <v>7.6550000000000002</v>
      </c>
      <c r="N758" s="61">
        <v>9.1969999999999992</v>
      </c>
      <c r="O758" s="61">
        <v>10.051</v>
      </c>
      <c r="P758" s="61">
        <v>11.762</v>
      </c>
      <c r="Q758" s="114"/>
      <c r="R758" s="47"/>
      <c r="S758" s="64"/>
      <c r="T758" s="48"/>
      <c r="U758" s="48"/>
      <c r="V758" s="49"/>
      <c r="W758" s="50"/>
      <c r="X758" s="51"/>
      <c r="Y758" s="2"/>
      <c r="Z758" s="2"/>
      <c r="AB758" s="2"/>
    </row>
    <row r="759" spans="1:28" s="52" customFormat="1">
      <c r="A759" s="158"/>
      <c r="B759" s="164"/>
      <c r="C759" s="59" t="s">
        <v>18</v>
      </c>
      <c r="D759" s="60" t="s">
        <v>20</v>
      </c>
      <c r="E759" s="61">
        <v>8.6690000000000005</v>
      </c>
      <c r="F759" s="61">
        <v>9.3420000000000005</v>
      </c>
      <c r="G759" s="61">
        <v>7.532</v>
      </c>
      <c r="H759" s="61">
        <v>7.0709999999999997</v>
      </c>
      <c r="I759" s="61">
        <v>9.1180000000000003</v>
      </c>
      <c r="J759" s="61">
        <v>8.9049999999999994</v>
      </c>
      <c r="K759" s="61">
        <v>9.5839999999999996</v>
      </c>
      <c r="L759" s="61">
        <v>9.734</v>
      </c>
      <c r="M759" s="61">
        <v>10.247999999999999</v>
      </c>
      <c r="N759" s="61">
        <v>11.257999999999999</v>
      </c>
      <c r="O759" s="61">
        <v>10.848000000000001</v>
      </c>
      <c r="P759" s="61">
        <v>10.946999999999999</v>
      </c>
      <c r="Q759" s="114"/>
      <c r="R759" s="47"/>
      <c r="S759" s="64"/>
      <c r="T759" s="48"/>
      <c r="U759" s="48"/>
      <c r="V759" s="49"/>
      <c r="W759" s="50"/>
      <c r="X759" s="51"/>
      <c r="Y759" s="2"/>
      <c r="Z759" s="2"/>
      <c r="AB759" s="2"/>
    </row>
    <row r="760" spans="1:28">
      <c r="A760" s="158"/>
      <c r="B760" s="164"/>
      <c r="C760" s="59" t="s">
        <v>18</v>
      </c>
      <c r="D760" s="60" t="s">
        <v>21</v>
      </c>
      <c r="E760" s="61">
        <v>9.3780000000000001</v>
      </c>
      <c r="F760" s="61">
        <v>8.7569999999999997</v>
      </c>
      <c r="G760" s="61">
        <v>9.0909999999999993</v>
      </c>
      <c r="H760" s="61">
        <v>9.3529999999999998</v>
      </c>
      <c r="I760" s="61">
        <v>8.8079999999999998</v>
      </c>
      <c r="J760" s="61">
        <v>8.3360000000000003</v>
      </c>
      <c r="K760" s="61">
        <v>8.98</v>
      </c>
      <c r="L760" s="61">
        <v>9.15</v>
      </c>
      <c r="M760" s="61">
        <v>9.875</v>
      </c>
      <c r="N760" s="61">
        <v>9.8529999999999998</v>
      </c>
      <c r="O760" s="61">
        <v>9.6150000000000002</v>
      </c>
      <c r="P760" s="61">
        <v>7.2069999999999999</v>
      </c>
      <c r="Q760" s="115"/>
      <c r="R760" s="64"/>
      <c r="S760" s="64"/>
      <c r="T760" s="65"/>
      <c r="U760" s="65"/>
      <c r="V760" s="49"/>
      <c r="W760" s="49"/>
      <c r="X760" s="66"/>
      <c r="AB760" s="6"/>
    </row>
    <row r="761" spans="1:28" s="52" customFormat="1">
      <c r="A761" s="158"/>
      <c r="B761" s="164"/>
      <c r="C761" s="59" t="s">
        <v>18</v>
      </c>
      <c r="D761" s="60" t="s">
        <v>22</v>
      </c>
      <c r="E761" s="61">
        <v>6.9</v>
      </c>
      <c r="F761" s="61">
        <v>6.8070000000000004</v>
      </c>
      <c r="G761" s="61">
        <v>6.53</v>
      </c>
      <c r="H761" s="61">
        <v>8.17</v>
      </c>
      <c r="I761" s="61">
        <v>8.6649999999999991</v>
      </c>
      <c r="J761" s="61">
        <v>7.6779999999999999</v>
      </c>
      <c r="K761" s="61">
        <v>7.9349999999999996</v>
      </c>
      <c r="L761" s="61">
        <v>7.798</v>
      </c>
      <c r="M761" s="61">
        <v>8.5869999999999997</v>
      </c>
      <c r="N761" s="61">
        <v>9.0739999999999998</v>
      </c>
      <c r="O761" s="61">
        <v>8.6370000000000005</v>
      </c>
      <c r="P761" s="61">
        <v>9.3330000000000002</v>
      </c>
      <c r="Q761" s="114"/>
      <c r="R761" s="47"/>
      <c r="S761" s="64"/>
      <c r="T761" s="48"/>
      <c r="U761" s="48"/>
      <c r="V761" s="49"/>
      <c r="W761" s="50"/>
      <c r="X761" s="51"/>
      <c r="Y761" s="2"/>
      <c r="Z761" s="2"/>
      <c r="AB761" s="2"/>
    </row>
    <row r="762" spans="1:28" s="52" customFormat="1" ht="46.15" customHeight="1">
      <c r="A762" s="158"/>
      <c r="B762" s="164"/>
      <c r="C762" s="59" t="s">
        <v>18</v>
      </c>
      <c r="D762" s="60" t="s">
        <v>23</v>
      </c>
      <c r="E762" s="61">
        <v>6.3410000000000002</v>
      </c>
      <c r="F762" s="61">
        <v>7.516</v>
      </c>
      <c r="G762" s="61">
        <v>8.1910000000000007</v>
      </c>
      <c r="H762" s="61">
        <v>8.7279999999999998</v>
      </c>
      <c r="I762" s="61">
        <v>8.1989999999999998</v>
      </c>
      <c r="J762" s="61">
        <v>7.4169999999999998</v>
      </c>
      <c r="K762" s="61">
        <v>7.4089999999999998</v>
      </c>
      <c r="L762" s="61">
        <v>7.8040000000000003</v>
      </c>
      <c r="M762" s="61">
        <v>7.5919999999999996</v>
      </c>
      <c r="N762" s="61">
        <v>8.2940000000000005</v>
      </c>
      <c r="O762" s="61">
        <v>7.0620000000000003</v>
      </c>
      <c r="P762" s="61">
        <v>7.7249999999999996</v>
      </c>
      <c r="Q762" s="114"/>
      <c r="R762" s="47"/>
      <c r="S762" s="64"/>
      <c r="T762" s="48"/>
      <c r="U762" s="48"/>
      <c r="V762" s="49"/>
      <c r="W762" s="50"/>
      <c r="X762" s="51"/>
      <c r="Y762" s="2"/>
      <c r="Z762" s="2"/>
      <c r="AB762" s="2"/>
    </row>
    <row r="763" spans="1:28" ht="46.15" customHeight="1">
      <c r="A763" s="158"/>
      <c r="B763" s="164"/>
      <c r="C763" s="59" t="s">
        <v>18</v>
      </c>
      <c r="D763" s="60" t="s">
        <v>24</v>
      </c>
      <c r="E763" s="61">
        <v>0</v>
      </c>
      <c r="F763" s="61">
        <v>2.2730000000000001</v>
      </c>
      <c r="G763" s="61">
        <v>3.8079999999999998</v>
      </c>
      <c r="H763" s="61">
        <v>5.1470000000000002</v>
      </c>
      <c r="I763" s="61">
        <v>4.5960000000000001</v>
      </c>
      <c r="J763" s="61">
        <v>4.68</v>
      </c>
      <c r="K763" s="61">
        <v>5.3410000000000002</v>
      </c>
      <c r="L763" s="61">
        <v>4.3</v>
      </c>
      <c r="M763" s="61">
        <v>7.1239999999999997</v>
      </c>
      <c r="N763" s="61">
        <v>6.4809999999999999</v>
      </c>
      <c r="O763" s="61">
        <v>6.4109999999999996</v>
      </c>
      <c r="P763" s="61">
        <v>7.9909999999999997</v>
      </c>
      <c r="Q763" s="115"/>
      <c r="R763" s="64"/>
      <c r="S763" s="64"/>
      <c r="T763" s="65"/>
      <c r="U763" s="65"/>
      <c r="V763" s="49"/>
      <c r="W763" s="49"/>
      <c r="X763" s="66"/>
      <c r="Y763" s="49"/>
      <c r="Z763" s="49"/>
      <c r="AB763" s="49"/>
    </row>
    <row r="764" spans="1:28" ht="46.15" customHeight="1">
      <c r="A764" s="158"/>
      <c r="B764" s="164"/>
      <c r="C764" s="64" t="s">
        <v>18</v>
      </c>
      <c r="D764" s="64" t="s">
        <v>25</v>
      </c>
      <c r="E764" s="61">
        <v>7.7729999999999997</v>
      </c>
      <c r="F764" s="61">
        <v>9.0009999999999994</v>
      </c>
      <c r="G764" s="61">
        <v>9.1920000000000002</v>
      </c>
      <c r="H764" s="61">
        <v>10.209</v>
      </c>
      <c r="I764" s="61">
        <v>10.297000000000001</v>
      </c>
      <c r="J764" s="61">
        <v>9.8469999999999995</v>
      </c>
      <c r="K764" s="61">
        <v>9.5790000000000006</v>
      </c>
      <c r="L764" s="61">
        <v>9.9280000000000008</v>
      </c>
      <c r="M764" s="61">
        <v>8.1859999999999999</v>
      </c>
      <c r="N764" s="61">
        <v>7.8529999999999998</v>
      </c>
      <c r="O764" s="61">
        <v>7.1929999999999996</v>
      </c>
      <c r="P764" s="61">
        <v>4.5819999999999999</v>
      </c>
      <c r="Q764" s="115"/>
      <c r="R764" s="64"/>
      <c r="S764" s="64"/>
      <c r="T764" s="65"/>
      <c r="U764" s="65"/>
      <c r="V764" s="49"/>
      <c r="W764" s="49"/>
      <c r="X764" s="66"/>
    </row>
    <row r="765" spans="1:28" s="25" customFormat="1" ht="46.15" customHeight="1">
      <c r="A765" s="158"/>
      <c r="B765" s="164"/>
      <c r="C765" s="102" t="s">
        <v>18</v>
      </c>
      <c r="D765" s="103" t="s">
        <v>26</v>
      </c>
      <c r="E765" s="61">
        <v>7.9009999999999998</v>
      </c>
      <c r="F765" s="61">
        <v>7.71</v>
      </c>
      <c r="G765" s="61">
        <v>7.83</v>
      </c>
      <c r="H765" s="61">
        <v>7.8810000000000002</v>
      </c>
      <c r="I765" s="61">
        <v>8.7870000000000008</v>
      </c>
      <c r="J765" s="61">
        <v>7.7729999999999997</v>
      </c>
      <c r="K765" s="61">
        <v>9.4979999999999993</v>
      </c>
      <c r="L765" s="61">
        <v>8.8970000000000002</v>
      </c>
      <c r="M765" s="61">
        <v>8.6999999999999993</v>
      </c>
      <c r="N765" s="61">
        <v>9.83</v>
      </c>
      <c r="O765" s="61">
        <v>7.2160000000000002</v>
      </c>
      <c r="P765" s="61">
        <v>9.1509999999999998</v>
      </c>
      <c r="Q765" s="116"/>
      <c r="R765" s="64"/>
      <c r="S765" s="64"/>
      <c r="T765" s="65"/>
      <c r="U765" s="65"/>
      <c r="V765" s="49"/>
      <c r="W765" s="49"/>
      <c r="X765" s="66"/>
      <c r="Y765" s="27"/>
      <c r="Z765" s="27"/>
    </row>
    <row r="766" spans="1:28" ht="46.15" customHeight="1">
      <c r="A766" s="158"/>
      <c r="B766" s="164"/>
      <c r="C766" s="59" t="s">
        <v>18</v>
      </c>
      <c r="D766" s="60" t="s">
        <v>27</v>
      </c>
      <c r="E766" s="61">
        <v>7.5640000000000001</v>
      </c>
      <c r="F766" s="61">
        <v>7.9749999999999996</v>
      </c>
      <c r="G766" s="61">
        <v>7.9109999999999996</v>
      </c>
      <c r="H766" s="61">
        <v>8.02</v>
      </c>
      <c r="I766" s="61">
        <v>8.2319999999999993</v>
      </c>
      <c r="J766" s="61">
        <v>8.5719999999999992</v>
      </c>
      <c r="K766" s="61">
        <v>7.1440000000000001</v>
      </c>
      <c r="L766" s="61">
        <v>6.6109999999999998</v>
      </c>
      <c r="M766" s="61">
        <v>8.2029999999999994</v>
      </c>
      <c r="N766" s="61">
        <v>8.202</v>
      </c>
      <c r="O766" s="61">
        <v>7.9269999999999996</v>
      </c>
      <c r="P766" s="61">
        <v>9.2210000000000001</v>
      </c>
      <c r="Q766" s="60"/>
      <c r="R766" s="64"/>
      <c r="S766" s="64"/>
      <c r="T766" s="65"/>
      <c r="U766" s="65"/>
      <c r="V766" s="49"/>
      <c r="W766" s="49"/>
      <c r="X766" s="66"/>
    </row>
    <row r="767" spans="1:28" ht="46.15" customHeight="1">
      <c r="A767" s="158"/>
      <c r="B767" s="164"/>
      <c r="C767" s="59" t="s">
        <v>18</v>
      </c>
      <c r="D767" s="60" t="s">
        <v>28</v>
      </c>
      <c r="E767" s="61">
        <v>7.3959999999999999</v>
      </c>
      <c r="F767" s="61">
        <v>7.8259999999999996</v>
      </c>
      <c r="G767" s="61">
        <v>7.4089999999999998</v>
      </c>
      <c r="H767" s="61">
        <v>7.4870000000000001</v>
      </c>
      <c r="I767" s="61">
        <v>7.859</v>
      </c>
      <c r="J767" s="61">
        <v>7.3440000000000003</v>
      </c>
      <c r="K767" s="61">
        <v>7.5650000000000004</v>
      </c>
      <c r="L767" s="61">
        <v>7.7380000000000004</v>
      </c>
      <c r="M767" s="61">
        <v>7.4050000000000002</v>
      </c>
      <c r="N767" s="61">
        <v>7.3959999999999999</v>
      </c>
      <c r="O767" s="61">
        <v>7.0179999999999998</v>
      </c>
      <c r="P767" s="61">
        <v>5.6680000000000001</v>
      </c>
      <c r="Q767" s="60"/>
      <c r="R767" s="64"/>
      <c r="S767" s="64"/>
      <c r="T767" s="65"/>
      <c r="U767" s="65"/>
      <c r="V767" s="49"/>
      <c r="W767" s="49"/>
      <c r="X767" s="66"/>
    </row>
    <row r="768" spans="1:28" ht="46.15" customHeight="1">
      <c r="A768" s="158"/>
      <c r="B768" s="164"/>
      <c r="C768" s="59" t="s">
        <v>18</v>
      </c>
      <c r="D768" s="60" t="s">
        <v>29</v>
      </c>
      <c r="E768" s="76">
        <v>7.0629999999999997</v>
      </c>
      <c r="F768" s="76">
        <v>6.8150000000000004</v>
      </c>
      <c r="G768" s="76">
        <v>7.5209999999999999</v>
      </c>
      <c r="H768" s="76">
        <v>7.9349999999999996</v>
      </c>
      <c r="I768" s="76">
        <v>8.0510000000000002</v>
      </c>
      <c r="J768" s="76">
        <v>7.64</v>
      </c>
      <c r="K768" s="76">
        <v>7.88</v>
      </c>
      <c r="L768" s="76">
        <v>7.7539999999999996</v>
      </c>
      <c r="M768" s="76">
        <v>7.7949999999999999</v>
      </c>
      <c r="N768" s="76">
        <v>7.6079999999999997</v>
      </c>
      <c r="O768" s="76">
        <v>7.0609999999999999</v>
      </c>
      <c r="P768" s="76">
        <v>7.5860000000000003</v>
      </c>
      <c r="Q768" s="60"/>
      <c r="R768" s="64"/>
      <c r="S768" s="64"/>
      <c r="T768" s="65"/>
      <c r="U768" s="65"/>
      <c r="V768" s="49"/>
      <c r="W768" s="49"/>
      <c r="X768" s="66"/>
    </row>
    <row r="769" spans="1:24" ht="61.5" customHeight="1">
      <c r="A769" s="158"/>
      <c r="B769" s="164"/>
      <c r="C769" s="59" t="s">
        <v>18</v>
      </c>
      <c r="D769" s="60" t="s">
        <v>30</v>
      </c>
      <c r="E769" s="61">
        <v>6.8940000000000001</v>
      </c>
      <c r="F769" s="61">
        <v>10.776</v>
      </c>
      <c r="G769" s="61">
        <v>9.5030000000000001</v>
      </c>
      <c r="H769" s="61">
        <v>6.9260000000000002</v>
      </c>
      <c r="I769" s="61">
        <v>9.532</v>
      </c>
      <c r="J769" s="61">
        <v>10.576000000000001</v>
      </c>
      <c r="K769" s="61">
        <v>8.7360000000000007</v>
      </c>
      <c r="L769" s="61">
        <v>7.9109999999999996</v>
      </c>
      <c r="M769" s="61">
        <v>7.5209999999999999</v>
      </c>
      <c r="N769" s="61">
        <v>8.5229999999999997</v>
      </c>
      <c r="O769" s="61">
        <v>7.6609999999999996</v>
      </c>
      <c r="P769" s="61">
        <v>9.5079999999999991</v>
      </c>
      <c r="Q769" s="60"/>
      <c r="R769" s="64"/>
      <c r="S769" s="64"/>
      <c r="T769" s="65"/>
      <c r="U769" s="65"/>
      <c r="V769" s="49"/>
      <c r="W769" s="49"/>
      <c r="X769" s="66"/>
    </row>
    <row r="770" spans="1:24" ht="61.5" customHeight="1">
      <c r="A770" s="158"/>
      <c r="B770" s="164"/>
      <c r="C770" s="59" t="s">
        <v>18</v>
      </c>
      <c r="D770" s="78" t="s">
        <v>31</v>
      </c>
      <c r="E770" s="61">
        <v>11.456</v>
      </c>
      <c r="F770" s="61">
        <v>11.432</v>
      </c>
      <c r="G770" s="61">
        <v>11.831</v>
      </c>
      <c r="H770" s="61">
        <v>11.423999999999999</v>
      </c>
      <c r="I770" s="61">
        <v>11.605</v>
      </c>
      <c r="J770" s="61">
        <v>11.401999999999999</v>
      </c>
      <c r="K770" s="61">
        <v>8.7799999999999994</v>
      </c>
      <c r="L770" s="61">
        <v>12.038</v>
      </c>
      <c r="M770" s="61">
        <v>12.621</v>
      </c>
      <c r="N770" s="61">
        <v>6.117</v>
      </c>
      <c r="O770" s="61">
        <v>5.2409999999999997</v>
      </c>
      <c r="P770" s="61">
        <v>7.5839999999999996</v>
      </c>
      <c r="Q770" s="60"/>
      <c r="R770" s="64"/>
      <c r="S770" s="64"/>
      <c r="T770" s="65"/>
      <c r="U770" s="65"/>
      <c r="V770" s="49"/>
      <c r="W770" s="49"/>
      <c r="X770" s="66"/>
    </row>
    <row r="771" spans="1:24" ht="61.5" customHeight="1">
      <c r="A771" s="158"/>
      <c r="B771" s="164"/>
      <c r="C771" s="59" t="s">
        <v>18</v>
      </c>
      <c r="D771" s="60" t="s">
        <v>32</v>
      </c>
      <c r="E771" s="61">
        <v>15.295</v>
      </c>
      <c r="F771" s="61">
        <v>14.917</v>
      </c>
      <c r="G771" s="61">
        <v>14.909000000000001</v>
      </c>
      <c r="H771" s="61">
        <v>14.35</v>
      </c>
      <c r="I771" s="61">
        <v>17.308</v>
      </c>
      <c r="J771" s="61">
        <v>16.413</v>
      </c>
      <c r="K771" s="61">
        <v>8.3260000000000005</v>
      </c>
      <c r="L771" s="61">
        <v>5.9</v>
      </c>
      <c r="M771" s="61">
        <v>7.1970000000000001</v>
      </c>
      <c r="N771" s="61">
        <v>9.4629999999999992</v>
      </c>
      <c r="O771" s="61">
        <v>6.4969999999999999</v>
      </c>
      <c r="P771" s="61">
        <v>4.7960000000000003</v>
      </c>
      <c r="Q771" s="60"/>
      <c r="R771" s="64"/>
      <c r="S771" s="64"/>
      <c r="T771" s="65"/>
      <c r="U771" s="65"/>
      <c r="V771" s="49"/>
      <c r="W771" s="49"/>
      <c r="X771" s="66"/>
    </row>
    <row r="772" spans="1:24" ht="61.5" customHeight="1">
      <c r="A772" s="158"/>
      <c r="B772" s="164"/>
      <c r="C772" s="59" t="s">
        <v>18</v>
      </c>
      <c r="D772" s="60" t="s">
        <v>33</v>
      </c>
      <c r="E772" s="61">
        <v>15.962999999999999</v>
      </c>
      <c r="F772" s="61">
        <v>18.12</v>
      </c>
      <c r="G772" s="61">
        <v>17.376000000000001</v>
      </c>
      <c r="H772" s="61">
        <v>15.943</v>
      </c>
      <c r="I772" s="61">
        <v>18.079000000000001</v>
      </c>
      <c r="J772" s="61">
        <v>17.41</v>
      </c>
      <c r="K772" s="61">
        <v>18.963999999999999</v>
      </c>
      <c r="L772" s="61">
        <v>18.45</v>
      </c>
      <c r="M772" s="61">
        <v>14.276</v>
      </c>
      <c r="N772" s="61">
        <v>15.305</v>
      </c>
      <c r="O772" s="61">
        <v>16.14</v>
      </c>
      <c r="P772" s="61">
        <v>14.467000000000001</v>
      </c>
      <c r="Q772" s="60"/>
      <c r="R772" s="47"/>
      <c r="S772" s="47"/>
      <c r="T772" s="48"/>
      <c r="U772" s="48"/>
      <c r="V772" s="49"/>
      <c r="W772" s="50"/>
      <c r="X772" s="51"/>
    </row>
    <row r="773" spans="1:24" ht="61.5" customHeight="1">
      <c r="A773" s="158"/>
      <c r="B773" s="164"/>
      <c r="C773" s="59" t="s">
        <v>18</v>
      </c>
      <c r="D773" s="60" t="s">
        <v>34</v>
      </c>
      <c r="E773" s="61">
        <v>15.819000000000001</v>
      </c>
      <c r="F773" s="61">
        <v>15.368</v>
      </c>
      <c r="G773" s="61">
        <v>14.568</v>
      </c>
      <c r="H773" s="61">
        <v>16.417999999999999</v>
      </c>
      <c r="I773" s="61">
        <v>17.992999999999999</v>
      </c>
      <c r="J773" s="61">
        <v>17.361999999999998</v>
      </c>
      <c r="K773" s="61">
        <v>17.271000000000001</v>
      </c>
      <c r="L773" s="61">
        <v>17.419</v>
      </c>
      <c r="M773" s="61">
        <v>17.071000000000002</v>
      </c>
      <c r="N773" s="61">
        <v>17.655000000000001</v>
      </c>
      <c r="O773" s="61">
        <v>15.949</v>
      </c>
      <c r="P773" s="61">
        <v>17.305</v>
      </c>
      <c r="Q773" s="60"/>
      <c r="R773" s="47"/>
      <c r="S773" s="47"/>
      <c r="T773" s="48"/>
      <c r="U773" s="48"/>
      <c r="V773" s="49"/>
      <c r="W773" s="50"/>
      <c r="X773" s="51"/>
    </row>
    <row r="774" spans="1:24" ht="61.5" customHeight="1">
      <c r="A774" s="158"/>
      <c r="B774" s="164"/>
      <c r="C774" s="59" t="s">
        <v>18</v>
      </c>
      <c r="D774" s="60" t="s">
        <v>35</v>
      </c>
      <c r="E774" s="61">
        <v>12.744999999999999</v>
      </c>
      <c r="F774" s="61">
        <v>12.603999999999999</v>
      </c>
      <c r="G774" s="61">
        <v>14.544</v>
      </c>
      <c r="H774" s="61">
        <v>18.795999999999999</v>
      </c>
      <c r="I774" s="61">
        <v>19.672999999999998</v>
      </c>
      <c r="J774" s="61">
        <v>17.544</v>
      </c>
      <c r="K774" s="61">
        <v>18.646999999999998</v>
      </c>
      <c r="L774" s="61">
        <v>19.247</v>
      </c>
      <c r="M774" s="61">
        <v>18.108000000000001</v>
      </c>
      <c r="N774" s="61">
        <v>18.135999999999999</v>
      </c>
      <c r="O774" s="61">
        <v>16.59</v>
      </c>
      <c r="P774" s="61">
        <v>18.155000000000001</v>
      </c>
      <c r="Q774" s="60"/>
      <c r="R774" s="47"/>
      <c r="S774" s="47"/>
      <c r="T774" s="48"/>
      <c r="U774" s="48"/>
      <c r="V774" s="49"/>
      <c r="W774" s="50"/>
      <c r="X774" s="51"/>
    </row>
    <row r="775" spans="1:24" ht="61.5" customHeight="1">
      <c r="A775" s="158"/>
      <c r="B775" s="164"/>
      <c r="C775" s="59" t="s">
        <v>18</v>
      </c>
      <c r="D775" s="60" t="s">
        <v>36</v>
      </c>
      <c r="E775" s="61">
        <v>14.162000000000001</v>
      </c>
      <c r="F775" s="61">
        <v>15.78</v>
      </c>
      <c r="G775" s="61">
        <v>13.71</v>
      </c>
      <c r="H775" s="61">
        <v>14.755000000000001</v>
      </c>
      <c r="I775" s="61">
        <v>16.335000000000001</v>
      </c>
      <c r="J775" s="61">
        <v>16.338000000000001</v>
      </c>
      <c r="K775" s="61">
        <v>16.946999999999999</v>
      </c>
      <c r="L775" s="61">
        <v>14.23</v>
      </c>
      <c r="M775" s="61">
        <v>9.673</v>
      </c>
      <c r="N775" s="61">
        <v>10.305999999999999</v>
      </c>
      <c r="O775" s="61">
        <v>11.135</v>
      </c>
      <c r="P775" s="61">
        <v>14.757</v>
      </c>
      <c r="Q775" s="81"/>
      <c r="R775" s="47"/>
      <c r="S775" s="47"/>
      <c r="T775" s="48"/>
      <c r="U775" s="48"/>
      <c r="V775" s="49"/>
      <c r="W775" s="50"/>
      <c r="X775" s="51"/>
    </row>
    <row r="776" spans="1:24" ht="61.5" customHeight="1">
      <c r="A776" s="158"/>
      <c r="B776" s="164"/>
      <c r="C776" s="59" t="s">
        <v>18</v>
      </c>
      <c r="D776" s="60" t="s">
        <v>37</v>
      </c>
      <c r="E776" s="85">
        <v>11.709</v>
      </c>
      <c r="F776" s="85">
        <v>11.278</v>
      </c>
      <c r="G776" s="85">
        <v>11.957000000000001</v>
      </c>
      <c r="H776" s="85">
        <v>11.484</v>
      </c>
      <c r="I776" s="85">
        <v>14.37</v>
      </c>
      <c r="J776" s="85">
        <v>12.031000000000001</v>
      </c>
      <c r="K776" s="85">
        <v>13.135999999999999</v>
      </c>
      <c r="L776" s="85">
        <v>14.454000000000001</v>
      </c>
      <c r="M776" s="85">
        <v>13.198</v>
      </c>
      <c r="N776" s="85">
        <v>14.228999999999999</v>
      </c>
      <c r="O776" s="85">
        <v>14.348000000000001</v>
      </c>
      <c r="P776" s="85">
        <v>14.593</v>
      </c>
      <c r="Q776" s="46"/>
      <c r="R776" s="47"/>
      <c r="S776" s="47"/>
      <c r="T776" s="48"/>
      <c r="U776" s="48"/>
      <c r="V776" s="49"/>
      <c r="W776" s="50"/>
      <c r="X776" s="51"/>
    </row>
    <row r="777" spans="1:24" ht="61.5" customHeight="1">
      <c r="A777" s="158"/>
      <c r="B777" s="164"/>
      <c r="C777" s="59" t="s">
        <v>18</v>
      </c>
      <c r="D777" s="60" t="s">
        <v>38</v>
      </c>
      <c r="E777" s="85">
        <v>11.792</v>
      </c>
      <c r="F777" s="85">
        <v>12.326000000000001</v>
      </c>
      <c r="G777" s="85">
        <v>12.837999999999999</v>
      </c>
      <c r="H777" s="85">
        <v>12.117000000000001</v>
      </c>
      <c r="I777" s="85">
        <v>12.167</v>
      </c>
      <c r="J777" s="85">
        <v>12.545</v>
      </c>
      <c r="K777" s="85">
        <v>13.055999999999999</v>
      </c>
      <c r="L777" s="85">
        <v>12.875</v>
      </c>
      <c r="M777" s="85">
        <v>13.186</v>
      </c>
      <c r="N777" s="85">
        <v>12.432</v>
      </c>
      <c r="O777" s="85">
        <v>11.954000000000001</v>
      </c>
      <c r="P777" s="85">
        <v>12.47</v>
      </c>
      <c r="Q777" s="46"/>
      <c r="R777" s="47"/>
      <c r="S777" s="47"/>
      <c r="T777" s="48"/>
      <c r="U777" s="48"/>
      <c r="V777" s="49"/>
      <c r="W777" s="50"/>
      <c r="X777" s="51"/>
    </row>
    <row r="778" spans="1:24" ht="61.5" customHeight="1">
      <c r="A778" s="158"/>
      <c r="B778" s="164"/>
      <c r="C778" s="59" t="s">
        <v>18</v>
      </c>
      <c r="D778" s="60" t="s">
        <v>39</v>
      </c>
      <c r="E778" s="85">
        <v>12.52</v>
      </c>
      <c r="F778" s="85">
        <v>11.711</v>
      </c>
      <c r="G778" s="85">
        <v>11.523999999999999</v>
      </c>
      <c r="H778" s="85">
        <v>12.141999999999999</v>
      </c>
      <c r="I778" s="85">
        <v>12.411</v>
      </c>
      <c r="J778" s="85">
        <v>11.867000000000001</v>
      </c>
      <c r="K778" s="85">
        <v>12.281000000000001</v>
      </c>
      <c r="L778" s="85">
        <v>7.96</v>
      </c>
      <c r="M778" s="85">
        <v>11.204000000000001</v>
      </c>
      <c r="N778" s="85">
        <v>11.406000000000001</v>
      </c>
      <c r="O778" s="85">
        <v>12.173999999999999</v>
      </c>
      <c r="P778" s="85">
        <v>13.481999999999999</v>
      </c>
      <c r="Q778" s="46"/>
      <c r="R778" s="47"/>
      <c r="S778" s="47"/>
      <c r="T778" s="48"/>
      <c r="U778" s="48"/>
      <c r="V778" s="49"/>
      <c r="W778" s="50"/>
      <c r="X778" s="51"/>
    </row>
    <row r="779" spans="1:24" ht="61.5" customHeight="1">
      <c r="A779" s="158"/>
      <c r="B779" s="164"/>
      <c r="C779" s="59" t="s">
        <v>18</v>
      </c>
      <c r="D779" s="60" t="s">
        <v>40</v>
      </c>
      <c r="E779" s="85">
        <v>10.914999999999999</v>
      </c>
      <c r="F779" s="85">
        <v>11.4</v>
      </c>
      <c r="G779" s="85">
        <v>11.372</v>
      </c>
      <c r="H779" s="85">
        <v>13.162000000000001</v>
      </c>
      <c r="I779" s="85">
        <v>14.537000000000001</v>
      </c>
      <c r="J779" s="85">
        <v>10.943</v>
      </c>
      <c r="K779" s="85">
        <v>13.429</v>
      </c>
      <c r="L779" s="85">
        <v>12.776999999999999</v>
      </c>
      <c r="M779" s="85">
        <v>13.368</v>
      </c>
      <c r="N779" s="85">
        <v>12.85</v>
      </c>
      <c r="O779" s="85">
        <v>11.172000000000001</v>
      </c>
      <c r="P779" s="85">
        <v>13.688000000000001</v>
      </c>
      <c r="Q779" s="46"/>
      <c r="R779" s="47"/>
      <c r="S779" s="47"/>
      <c r="T779" s="48"/>
      <c r="U779" s="48"/>
      <c r="V779" s="49"/>
      <c r="W779" s="50"/>
      <c r="X779" s="51"/>
    </row>
    <row r="780" spans="1:24" ht="61.5" customHeight="1">
      <c r="A780" s="158"/>
      <c r="B780" s="164"/>
      <c r="C780" s="59" t="s">
        <v>18</v>
      </c>
      <c r="D780" s="60" t="s">
        <v>41</v>
      </c>
      <c r="E780" s="85">
        <v>9.9890000000000008</v>
      </c>
      <c r="F780" s="85">
        <v>11.023</v>
      </c>
      <c r="G780" s="85">
        <v>9.8729999999999993</v>
      </c>
      <c r="H780" s="85">
        <v>12.602</v>
      </c>
      <c r="I780" s="85">
        <v>12.653</v>
      </c>
      <c r="J780" s="85">
        <v>11.677</v>
      </c>
      <c r="K780" s="85">
        <v>12.465</v>
      </c>
      <c r="L780" s="85">
        <v>12.066000000000001</v>
      </c>
      <c r="M780" s="85">
        <v>11.268000000000001</v>
      </c>
      <c r="N780" s="85">
        <v>13.032</v>
      </c>
      <c r="O780" s="85">
        <v>11.487</v>
      </c>
      <c r="P780" s="85">
        <v>12.595000000000001</v>
      </c>
      <c r="Q780" s="46"/>
      <c r="R780" s="47"/>
      <c r="S780" s="47"/>
      <c r="T780" s="48"/>
      <c r="U780" s="48"/>
      <c r="V780" s="49"/>
      <c r="W780" s="50"/>
      <c r="X780" s="51"/>
    </row>
    <row r="781" spans="1:24" ht="61.5" customHeight="1">
      <c r="A781" s="158"/>
      <c r="B781" s="164"/>
      <c r="C781" s="59" t="s">
        <v>18</v>
      </c>
      <c r="D781" s="60" t="s">
        <v>42</v>
      </c>
      <c r="E781" s="85">
        <v>5.3220000000000001</v>
      </c>
      <c r="F781" s="85">
        <v>7.3150000000000004</v>
      </c>
      <c r="G781" s="85">
        <v>8.48</v>
      </c>
      <c r="H781" s="85">
        <v>9.14</v>
      </c>
      <c r="I781" s="85">
        <v>9.49</v>
      </c>
      <c r="J781" s="85">
        <v>9.5429999999999993</v>
      </c>
      <c r="K781" s="85">
        <v>9.5670000000000002</v>
      </c>
      <c r="L781" s="85">
        <v>9.4740000000000002</v>
      </c>
      <c r="M781" s="85">
        <v>9.3689999999999998</v>
      </c>
      <c r="N781" s="85">
        <v>11.592000000000001</v>
      </c>
      <c r="O781" s="85">
        <v>9.9060000000000006</v>
      </c>
      <c r="P781" s="85">
        <v>10.02</v>
      </c>
      <c r="Q781" s="46"/>
      <c r="R781" s="47"/>
      <c r="S781" s="47"/>
      <c r="T781" s="48"/>
      <c r="U781" s="48"/>
      <c r="V781" s="49"/>
      <c r="W781" s="50"/>
      <c r="X781" s="51"/>
    </row>
    <row r="782" spans="1:24" ht="61.5" customHeight="1">
      <c r="A782" s="158"/>
      <c r="B782" s="164"/>
      <c r="C782" s="59" t="s">
        <v>18</v>
      </c>
      <c r="D782" s="60" t="s">
        <v>43</v>
      </c>
      <c r="E782" s="85">
        <v>7.7469999999999999</v>
      </c>
      <c r="F782" s="85">
        <v>9.7040000000000006</v>
      </c>
      <c r="G782" s="85">
        <v>8.4269999999999996</v>
      </c>
      <c r="H782" s="85">
        <v>8.9540000000000006</v>
      </c>
      <c r="I782" s="85">
        <v>9.77</v>
      </c>
      <c r="J782" s="85">
        <v>8.6029999999999998</v>
      </c>
      <c r="K782" s="85">
        <v>9.0749999999999993</v>
      </c>
      <c r="L782" s="85">
        <v>6.7080000000000002</v>
      </c>
      <c r="M782" s="85">
        <v>5.1390000000000002</v>
      </c>
      <c r="N782" s="85">
        <v>5.4569999999999999</v>
      </c>
      <c r="O782" s="85">
        <v>5.9889999999999999</v>
      </c>
      <c r="P782" s="85">
        <v>9.3940000000000001</v>
      </c>
      <c r="Q782" s="46"/>
      <c r="R782" s="47"/>
      <c r="S782" s="47"/>
      <c r="T782" s="48"/>
      <c r="U782" s="48"/>
      <c r="V782" s="49"/>
      <c r="W782" s="50"/>
      <c r="X782" s="51"/>
    </row>
    <row r="783" spans="1:24" ht="61.5" customHeight="1">
      <c r="A783" s="158"/>
      <c r="B783" s="165"/>
      <c r="C783" s="59" t="s">
        <v>18</v>
      </c>
      <c r="D783" s="60" t="s">
        <v>44</v>
      </c>
      <c r="E783" s="85">
        <v>8.7409999999999997</v>
      </c>
      <c r="F783" s="85">
        <v>8.3529999999999998</v>
      </c>
      <c r="G783" s="85">
        <v>8.4009999999999998</v>
      </c>
      <c r="H783" s="85">
        <v>8.673</v>
      </c>
      <c r="I783" s="85">
        <v>9.7919999999999998</v>
      </c>
      <c r="J783" s="85">
        <v>10.275</v>
      </c>
      <c r="K783" s="85">
        <v>9.2230000000000008</v>
      </c>
      <c r="L783" s="85">
        <v>9.5739999999999998</v>
      </c>
      <c r="M783" s="85">
        <v>11.121</v>
      </c>
      <c r="N783" s="85">
        <v>11.289</v>
      </c>
      <c r="O783" s="85">
        <v>9.5009999999999994</v>
      </c>
      <c r="P783" s="85">
        <v>9.5109999999999992</v>
      </c>
      <c r="Q783" s="46"/>
      <c r="R783" s="47"/>
      <c r="S783" s="47"/>
      <c r="T783" s="48"/>
      <c r="U783" s="48"/>
      <c r="V783" s="49"/>
      <c r="W783" s="50"/>
      <c r="X783" s="51"/>
    </row>
    <row r="784" spans="1:24" ht="61.5" customHeight="1">
      <c r="A784" s="158"/>
      <c r="B784" s="98"/>
      <c r="C784" s="100"/>
      <c r="D784" s="101"/>
      <c r="E784" s="21"/>
      <c r="F784" s="21"/>
      <c r="G784" s="21"/>
      <c r="H784" s="20"/>
      <c r="I784" s="21"/>
      <c r="J784" s="21"/>
      <c r="K784" s="21"/>
      <c r="L784" s="21"/>
      <c r="M784" s="21"/>
      <c r="N784" s="21"/>
      <c r="O784" s="21"/>
      <c r="P784" s="21"/>
      <c r="Q784" s="46"/>
      <c r="R784" s="47"/>
      <c r="S784" s="47"/>
      <c r="T784" s="48"/>
      <c r="U784" s="48"/>
      <c r="V784" s="49"/>
      <c r="W784" s="50"/>
      <c r="X784" s="51"/>
    </row>
    <row r="785" spans="1:28" s="109" customFormat="1" ht="65.099999999999994" customHeight="1">
      <c r="A785" s="158"/>
      <c r="B785" s="163" t="s">
        <v>54</v>
      </c>
      <c r="C785" s="42"/>
      <c r="D785" s="43"/>
      <c r="E785" s="44"/>
      <c r="F785" s="44"/>
      <c r="G785" s="44"/>
      <c r="H785" s="45"/>
      <c r="I785" s="44"/>
      <c r="J785" s="44"/>
      <c r="K785" s="44"/>
      <c r="L785" s="44"/>
      <c r="M785" s="44"/>
      <c r="N785" s="44"/>
      <c r="O785" s="44"/>
      <c r="P785" s="44"/>
      <c r="Q785" s="43"/>
      <c r="R785" s="91"/>
      <c r="S785" s="47"/>
      <c r="T785" s="48"/>
      <c r="U785" s="48"/>
      <c r="V785" s="49"/>
      <c r="W785" s="50"/>
      <c r="X785" s="51"/>
      <c r="Y785" s="108"/>
      <c r="Z785" s="108"/>
    </row>
    <row r="786" spans="1:28" s="52" customFormat="1">
      <c r="A786" s="158"/>
      <c r="B786" s="164"/>
      <c r="C786" s="55"/>
      <c r="D786" s="4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114"/>
      <c r="R786" s="47"/>
      <c r="S786" s="64"/>
      <c r="T786" s="48"/>
      <c r="U786" s="48"/>
      <c r="V786" s="49"/>
      <c r="W786" s="50"/>
      <c r="X786" s="51"/>
      <c r="Y786" s="2"/>
      <c r="Z786" s="2"/>
      <c r="AB786" s="2"/>
    </row>
    <row r="787" spans="1:28" s="52" customFormat="1">
      <c r="A787" s="158"/>
      <c r="B787" s="164"/>
      <c r="C787" s="59" t="s">
        <v>18</v>
      </c>
      <c r="D787" s="60" t="s">
        <v>19</v>
      </c>
      <c r="E787" s="61">
        <v>15.523</v>
      </c>
      <c r="F787" s="61">
        <v>15.311999999999999</v>
      </c>
      <c r="G787" s="61">
        <v>12.776</v>
      </c>
      <c r="H787" s="61">
        <v>10.542</v>
      </c>
      <c r="I787" s="61">
        <v>14.691000000000001</v>
      </c>
      <c r="J787" s="61">
        <v>6.3239999999999998</v>
      </c>
      <c r="K787" s="61">
        <v>15.016</v>
      </c>
      <c r="L787" s="61">
        <v>14.002000000000001</v>
      </c>
      <c r="M787" s="61">
        <v>14.625</v>
      </c>
      <c r="N787" s="61">
        <v>15.026</v>
      </c>
      <c r="O787" s="61">
        <v>8.5020000000000007</v>
      </c>
      <c r="P787" s="61">
        <v>13.762</v>
      </c>
      <c r="Q787" s="114"/>
      <c r="R787" s="47"/>
      <c r="S787" s="64"/>
      <c r="T787" s="48"/>
      <c r="U787" s="48"/>
      <c r="V787" s="49"/>
      <c r="W787" s="50"/>
      <c r="X787" s="51"/>
      <c r="Y787" s="2"/>
      <c r="Z787" s="2"/>
      <c r="AB787" s="2"/>
    </row>
    <row r="788" spans="1:28" s="52" customFormat="1">
      <c r="A788" s="158"/>
      <c r="B788" s="164"/>
      <c r="C788" s="59" t="s">
        <v>18</v>
      </c>
      <c r="D788" s="60" t="s">
        <v>20</v>
      </c>
      <c r="E788" s="61">
        <v>12.787000000000001</v>
      </c>
      <c r="F788" s="61">
        <v>13.726000000000001</v>
      </c>
      <c r="G788" s="61">
        <v>15.153</v>
      </c>
      <c r="H788" s="61">
        <v>9.7780000000000005</v>
      </c>
      <c r="I788" s="61">
        <v>16.279</v>
      </c>
      <c r="J788" s="61">
        <v>8.7539999999999996</v>
      </c>
      <c r="K788" s="61">
        <v>9.3789999999999996</v>
      </c>
      <c r="L788" s="61">
        <v>15.246</v>
      </c>
      <c r="M788" s="61">
        <v>14.595000000000001</v>
      </c>
      <c r="N788" s="61">
        <v>12.717000000000001</v>
      </c>
      <c r="O788" s="61">
        <v>7.3440000000000003</v>
      </c>
      <c r="P788" s="61">
        <v>10.134</v>
      </c>
      <c r="Q788" s="114"/>
      <c r="R788" s="47"/>
      <c r="S788" s="64"/>
      <c r="T788" s="48"/>
      <c r="U788" s="48"/>
      <c r="V788" s="49"/>
      <c r="W788" s="50"/>
      <c r="X788" s="51"/>
      <c r="Y788" s="2"/>
      <c r="Z788" s="2"/>
      <c r="AB788" s="2"/>
    </row>
    <row r="789" spans="1:28">
      <c r="A789" s="158"/>
      <c r="B789" s="164"/>
      <c r="C789" s="59" t="s">
        <v>18</v>
      </c>
      <c r="D789" s="60" t="s">
        <v>21</v>
      </c>
      <c r="E789" s="61">
        <v>14.468999999999999</v>
      </c>
      <c r="F789" s="61">
        <v>10.577</v>
      </c>
      <c r="G789" s="61">
        <v>10.912000000000001</v>
      </c>
      <c r="H789" s="61">
        <v>14.356</v>
      </c>
      <c r="I789" s="61">
        <v>10.952</v>
      </c>
      <c r="J789" s="61">
        <v>12.417999999999999</v>
      </c>
      <c r="K789" s="61">
        <v>12.012</v>
      </c>
      <c r="L789" s="61">
        <v>13.132999999999999</v>
      </c>
      <c r="M789" s="61">
        <v>13.385</v>
      </c>
      <c r="N789" s="61">
        <v>12.798999999999999</v>
      </c>
      <c r="O789" s="61">
        <v>11.473000000000001</v>
      </c>
      <c r="P789" s="61">
        <v>16.009</v>
      </c>
      <c r="Q789" s="115"/>
      <c r="R789" s="64"/>
      <c r="S789" s="64"/>
      <c r="T789" s="65"/>
      <c r="U789" s="65"/>
      <c r="V789" s="49"/>
      <c r="W789" s="49"/>
      <c r="X789" s="66"/>
      <c r="AB789" s="6"/>
    </row>
    <row r="790" spans="1:28" s="52" customFormat="1">
      <c r="A790" s="158"/>
      <c r="B790" s="164"/>
      <c r="C790" s="59" t="s">
        <v>18</v>
      </c>
      <c r="D790" s="60" t="s">
        <v>22</v>
      </c>
      <c r="E790" s="61">
        <v>11.939</v>
      </c>
      <c r="F790" s="61">
        <v>12.034000000000001</v>
      </c>
      <c r="G790" s="61">
        <v>7.9109999999999996</v>
      </c>
      <c r="H790" s="61">
        <v>9.5660000000000007</v>
      </c>
      <c r="I790" s="61">
        <v>10.965</v>
      </c>
      <c r="J790" s="61">
        <v>10.849</v>
      </c>
      <c r="K790" s="61">
        <v>13.823</v>
      </c>
      <c r="L790" s="61">
        <v>11.808999999999999</v>
      </c>
      <c r="M790" s="61">
        <v>15.263000000000002</v>
      </c>
      <c r="N790" s="61">
        <v>14.16</v>
      </c>
      <c r="O790" s="61">
        <v>10.425000000000001</v>
      </c>
      <c r="P790" s="61">
        <v>11.307</v>
      </c>
      <c r="Q790" s="114"/>
      <c r="R790" s="47"/>
      <c r="S790" s="64"/>
      <c r="T790" s="48"/>
      <c r="U790" s="48"/>
      <c r="V790" s="49"/>
      <c r="W790" s="50"/>
      <c r="X790" s="51"/>
      <c r="Y790" s="2"/>
      <c r="Z790" s="2"/>
      <c r="AB790" s="2"/>
    </row>
    <row r="791" spans="1:28" s="52" customFormat="1" ht="46.15" customHeight="1">
      <c r="A791" s="158"/>
      <c r="B791" s="164"/>
      <c r="C791" s="59" t="s">
        <v>18</v>
      </c>
      <c r="D791" s="60" t="str">
        <f>+D762</f>
        <v>2021-22</v>
      </c>
      <c r="E791" s="61">
        <v>10.948</v>
      </c>
      <c r="F791" s="61">
        <v>3.44</v>
      </c>
      <c r="G791" s="61">
        <v>6.819</v>
      </c>
      <c r="H791" s="61">
        <v>10.292</v>
      </c>
      <c r="I791" s="61">
        <v>12.071</v>
      </c>
      <c r="J791" s="61">
        <v>12.113</v>
      </c>
      <c r="K791" s="61">
        <v>9.5570000000000004</v>
      </c>
      <c r="L791" s="61">
        <v>11.225</v>
      </c>
      <c r="M791" s="61">
        <v>11.493</v>
      </c>
      <c r="N791" s="61">
        <v>10.772</v>
      </c>
      <c r="O791" s="61">
        <v>7.8250000000000002</v>
      </c>
      <c r="P791" s="61">
        <v>11.423</v>
      </c>
      <c r="Q791" s="114"/>
      <c r="R791" s="47"/>
      <c r="S791" s="64"/>
      <c r="T791" s="48"/>
      <c r="U791" s="48"/>
      <c r="V791" s="49"/>
      <c r="W791" s="50"/>
      <c r="X791" s="51"/>
      <c r="Y791" s="2"/>
      <c r="Z791" s="2"/>
      <c r="AB791" s="2"/>
    </row>
    <row r="792" spans="1:28" ht="46.15" customHeight="1">
      <c r="A792" s="158"/>
      <c r="B792" s="164"/>
      <c r="C792" s="59" t="s">
        <v>18</v>
      </c>
      <c r="D792" s="60" t="str">
        <f>+D763</f>
        <v>2020-21</v>
      </c>
      <c r="E792" s="61">
        <v>0</v>
      </c>
      <c r="F792" s="61">
        <v>6.36</v>
      </c>
      <c r="G792" s="61">
        <v>6.2670000000000003</v>
      </c>
      <c r="H792" s="61">
        <v>5.7640000000000002</v>
      </c>
      <c r="I792" s="61">
        <v>8.42</v>
      </c>
      <c r="J792" s="61">
        <v>9.7910000000000004</v>
      </c>
      <c r="K792" s="61">
        <v>12.531000000000001</v>
      </c>
      <c r="L792" s="61">
        <v>11.004</v>
      </c>
      <c r="M792" s="61">
        <v>11.358000000000001</v>
      </c>
      <c r="N792" s="61">
        <v>5.7450000000000001</v>
      </c>
      <c r="O792" s="61">
        <v>11.794</v>
      </c>
      <c r="P792" s="61">
        <v>10.646000000000001</v>
      </c>
      <c r="Q792" s="115"/>
      <c r="R792" s="64"/>
      <c r="S792" s="64"/>
      <c r="T792" s="65"/>
      <c r="U792" s="65"/>
      <c r="V792" s="49"/>
      <c r="W792" s="49"/>
      <c r="X792" s="66"/>
      <c r="Y792" s="49"/>
      <c r="Z792" s="49"/>
      <c r="AB792" s="49"/>
    </row>
    <row r="793" spans="1:28" ht="46.15" customHeight="1">
      <c r="A793" s="158"/>
      <c r="B793" s="164"/>
      <c r="C793" s="64" t="str">
        <f>+C764</f>
        <v>Actual</v>
      </c>
      <c r="D793" s="64" t="str">
        <f>+D764</f>
        <v>2019-20</v>
      </c>
      <c r="E793" s="61">
        <v>12.779</v>
      </c>
      <c r="F793" s="61">
        <v>12.817</v>
      </c>
      <c r="G793" s="61">
        <v>6.5250000000000004</v>
      </c>
      <c r="H793" s="61">
        <v>6.3289999999999997</v>
      </c>
      <c r="I793" s="61">
        <v>8.9139999999999997</v>
      </c>
      <c r="J793" s="61">
        <v>9.5280000000000005</v>
      </c>
      <c r="K793" s="61">
        <v>6.8239999999999998</v>
      </c>
      <c r="L793" s="61">
        <v>14.388999999999999</v>
      </c>
      <c r="M793" s="61">
        <v>11.016</v>
      </c>
      <c r="N793" s="61">
        <v>10.105</v>
      </c>
      <c r="O793" s="61">
        <v>4.3339999999999996</v>
      </c>
      <c r="P793" s="61">
        <v>2.9609999999999999</v>
      </c>
      <c r="Q793" s="115"/>
      <c r="R793" s="64"/>
      <c r="S793" s="64"/>
      <c r="T793" s="65"/>
      <c r="U793" s="65"/>
      <c r="V793" s="49"/>
      <c r="W793" s="49"/>
      <c r="X793" s="66"/>
    </row>
    <row r="794" spans="1:28" s="25" customFormat="1" ht="46.15" customHeight="1">
      <c r="A794" s="158"/>
      <c r="B794" s="164"/>
      <c r="C794" s="102" t="s">
        <v>18</v>
      </c>
      <c r="D794" s="103" t="s">
        <v>26</v>
      </c>
      <c r="E794" s="61">
        <v>6.351</v>
      </c>
      <c r="F794" s="61">
        <v>12.37</v>
      </c>
      <c r="G794" s="61">
        <v>6.2880000000000003</v>
      </c>
      <c r="H794" s="61">
        <v>9.2189999999999994</v>
      </c>
      <c r="I794" s="61">
        <v>9.0410000000000004</v>
      </c>
      <c r="J794" s="61">
        <v>6.8360000000000003</v>
      </c>
      <c r="K794" s="61">
        <v>12.464</v>
      </c>
      <c r="L794" s="61">
        <v>10.327</v>
      </c>
      <c r="M794" s="61">
        <v>10.037000000000001</v>
      </c>
      <c r="N794" s="61">
        <v>13.039</v>
      </c>
      <c r="O794" s="61">
        <v>9.6620000000000008</v>
      </c>
      <c r="P794" s="61">
        <v>11.305999999999999</v>
      </c>
      <c r="Q794" s="116"/>
      <c r="R794" s="117"/>
      <c r="S794" s="64"/>
      <c r="T794" s="65"/>
      <c r="U794" s="65"/>
      <c r="V794" s="49"/>
      <c r="W794" s="49"/>
      <c r="X794" s="66"/>
      <c r="Y794" s="27"/>
      <c r="Z794" s="27"/>
    </row>
    <row r="795" spans="1:28" ht="46.15" customHeight="1">
      <c r="A795" s="158"/>
      <c r="B795" s="164"/>
      <c r="C795" s="59" t="s">
        <v>18</v>
      </c>
      <c r="D795" s="60" t="s">
        <v>27</v>
      </c>
      <c r="E795" s="61">
        <v>0</v>
      </c>
      <c r="F795" s="61">
        <v>12.131</v>
      </c>
      <c r="G795" s="61">
        <v>5.88</v>
      </c>
      <c r="H795" s="61">
        <v>9.42</v>
      </c>
      <c r="I795" s="61">
        <v>2.2360000000000002</v>
      </c>
      <c r="J795" s="61">
        <v>11.887</v>
      </c>
      <c r="K795" s="61">
        <v>12.717000000000001</v>
      </c>
      <c r="L795" s="61">
        <v>7.0839999999999996</v>
      </c>
      <c r="M795" s="61">
        <v>5.718</v>
      </c>
      <c r="N795" s="61">
        <v>11.241</v>
      </c>
      <c r="O795" s="61">
        <v>5.5330000000000004</v>
      </c>
      <c r="P795" s="61">
        <v>12.798</v>
      </c>
      <c r="Q795" s="60"/>
      <c r="R795" s="64"/>
      <c r="S795" s="64"/>
      <c r="T795" s="65"/>
      <c r="U795" s="65"/>
      <c r="V795" s="49"/>
      <c r="W795" s="49"/>
      <c r="X795" s="66"/>
    </row>
    <row r="796" spans="1:28" ht="46.15" customHeight="1">
      <c r="A796" s="158"/>
      <c r="B796" s="164"/>
      <c r="C796" s="59" t="s">
        <v>18</v>
      </c>
      <c r="D796" s="60" t="s">
        <v>28</v>
      </c>
      <c r="E796" s="61">
        <v>8.6780000000000008</v>
      </c>
      <c r="F796" s="61">
        <v>11.081</v>
      </c>
      <c r="G796" s="61">
        <v>11.24</v>
      </c>
      <c r="H796" s="61">
        <v>7.45</v>
      </c>
      <c r="I796" s="61">
        <v>11.855</v>
      </c>
      <c r="J796" s="61">
        <v>6.2489999999999997</v>
      </c>
      <c r="K796" s="61">
        <v>7.3410000000000002</v>
      </c>
      <c r="L796" s="61">
        <v>10.667999999999999</v>
      </c>
      <c r="M796" s="61">
        <v>7.952</v>
      </c>
      <c r="N796" s="61">
        <v>6.3470000000000004</v>
      </c>
      <c r="O796" s="61">
        <v>12.827</v>
      </c>
      <c r="P796" s="61">
        <v>5.82</v>
      </c>
      <c r="Q796" s="60"/>
      <c r="R796" s="64"/>
      <c r="S796" s="64"/>
      <c r="T796" s="65"/>
      <c r="U796" s="65"/>
      <c r="V796" s="49"/>
      <c r="W796" s="49"/>
      <c r="X796" s="66"/>
    </row>
    <row r="797" spans="1:28" ht="46.15" customHeight="1">
      <c r="A797" s="158"/>
      <c r="B797" s="164"/>
      <c r="C797" s="59" t="s">
        <v>18</v>
      </c>
      <c r="D797" s="60" t="s">
        <v>29</v>
      </c>
      <c r="E797" s="76">
        <v>10.74</v>
      </c>
      <c r="F797" s="76">
        <v>10.335000000000001</v>
      </c>
      <c r="G797" s="76">
        <v>14.076000000000001</v>
      </c>
      <c r="H797" s="76">
        <v>2.7669999999999999</v>
      </c>
      <c r="I797" s="76">
        <v>11.638999999999999</v>
      </c>
      <c r="J797" s="76">
        <v>13.551</v>
      </c>
      <c r="K797" s="76">
        <v>12.372</v>
      </c>
      <c r="L797" s="76">
        <v>12.657</v>
      </c>
      <c r="M797" s="76">
        <v>12.667</v>
      </c>
      <c r="N797" s="76">
        <v>6.569</v>
      </c>
      <c r="O797" s="76">
        <v>6.0620000000000003</v>
      </c>
      <c r="P797" s="76">
        <v>6.2160000000000002</v>
      </c>
      <c r="Q797" s="60"/>
      <c r="R797" s="64"/>
      <c r="S797" s="64"/>
      <c r="T797" s="65"/>
      <c r="U797" s="65"/>
      <c r="V797" s="49"/>
      <c r="W797" s="49"/>
      <c r="X797" s="66"/>
    </row>
    <row r="798" spans="1:28" ht="61.5" customHeight="1">
      <c r="A798" s="158"/>
      <c r="B798" s="164"/>
      <c r="C798" s="59" t="s">
        <v>18</v>
      </c>
      <c r="D798" s="60" t="s">
        <v>30</v>
      </c>
      <c r="E798" s="61">
        <v>10.39</v>
      </c>
      <c r="F798" s="61">
        <v>10.013</v>
      </c>
      <c r="G798" s="61">
        <v>10.43</v>
      </c>
      <c r="H798" s="61">
        <v>7.431</v>
      </c>
      <c r="I798" s="61">
        <v>10.101000000000001</v>
      </c>
      <c r="J798" s="61">
        <v>7.2930000000000001</v>
      </c>
      <c r="K798" s="61">
        <v>8.4190000000000005</v>
      </c>
      <c r="L798" s="61">
        <v>9.702</v>
      </c>
      <c r="M798" s="61">
        <v>15.19</v>
      </c>
      <c r="N798" s="61">
        <v>11.826000000000001</v>
      </c>
      <c r="O798" s="61">
        <v>12.032</v>
      </c>
      <c r="P798" s="61">
        <v>12.044</v>
      </c>
      <c r="Q798" s="60"/>
      <c r="R798" s="64"/>
      <c r="S798" s="64"/>
      <c r="T798" s="65"/>
      <c r="U798" s="65"/>
      <c r="V798" s="49"/>
      <c r="W798" s="49"/>
      <c r="X798" s="66"/>
    </row>
    <row r="799" spans="1:28" ht="61.5" customHeight="1">
      <c r="A799" s="158"/>
      <c r="B799" s="164"/>
      <c r="C799" s="59" t="s">
        <v>18</v>
      </c>
      <c r="D799" s="78" t="s">
        <v>31</v>
      </c>
      <c r="E799" s="61">
        <v>6.1310000000000002</v>
      </c>
      <c r="F799" s="61">
        <v>2.8679999999999999</v>
      </c>
      <c r="G799" s="61">
        <v>2.7109999999999999</v>
      </c>
      <c r="H799" s="61">
        <v>6.7910000000000004</v>
      </c>
      <c r="I799" s="61">
        <v>3.2210000000000001</v>
      </c>
      <c r="J799" s="61">
        <v>11.035</v>
      </c>
      <c r="K799" s="61">
        <v>2.7770000000000001</v>
      </c>
      <c r="L799" s="61">
        <v>10.002000000000001</v>
      </c>
      <c r="M799" s="61">
        <v>13.038</v>
      </c>
      <c r="N799" s="61">
        <v>9.14</v>
      </c>
      <c r="O799" s="61">
        <v>10.007</v>
      </c>
      <c r="P799" s="61">
        <v>13.6</v>
      </c>
      <c r="Q799" s="60"/>
      <c r="R799" s="64"/>
      <c r="S799" s="64"/>
      <c r="T799" s="65"/>
      <c r="U799" s="65"/>
      <c r="V799" s="49"/>
      <c r="W799" s="49"/>
      <c r="X799" s="66"/>
    </row>
    <row r="800" spans="1:28" ht="61.5" customHeight="1">
      <c r="A800" s="158"/>
      <c r="B800" s="164"/>
      <c r="C800" s="59" t="s">
        <v>18</v>
      </c>
      <c r="D800" s="60" t="s">
        <v>32</v>
      </c>
      <c r="E800" s="61">
        <v>7.5010000000000003</v>
      </c>
      <c r="F800" s="61">
        <v>6.3330000000000002</v>
      </c>
      <c r="G800" s="61">
        <v>6.0049999999999999</v>
      </c>
      <c r="H800" s="61">
        <v>6.6150000000000002</v>
      </c>
      <c r="I800" s="61">
        <v>6.7679999999999998</v>
      </c>
      <c r="J800" s="61">
        <v>5.5579999999999998</v>
      </c>
      <c r="K800" s="61">
        <v>3.1240000000000001</v>
      </c>
      <c r="L800" s="61">
        <v>5.1970000000000001</v>
      </c>
      <c r="M800" s="61">
        <v>5.391</v>
      </c>
      <c r="N800" s="61">
        <v>5.1619999999999999</v>
      </c>
      <c r="O800" s="61">
        <v>5.6710000000000003</v>
      </c>
      <c r="P800" s="61">
        <v>5.5060000000000002</v>
      </c>
      <c r="Q800" s="60"/>
      <c r="R800" s="64"/>
      <c r="S800" s="64"/>
      <c r="T800" s="65"/>
      <c r="U800" s="65"/>
      <c r="V800" s="49"/>
      <c r="W800" s="49"/>
      <c r="X800" s="66"/>
    </row>
    <row r="801" spans="1:28" ht="61.5" customHeight="1">
      <c r="A801" s="158"/>
      <c r="B801" s="165"/>
      <c r="C801" s="59" t="s">
        <v>18</v>
      </c>
      <c r="D801" s="64" t="s">
        <v>34</v>
      </c>
      <c r="E801" s="61">
        <v>7.0030000000000001</v>
      </c>
      <c r="F801" s="61">
        <v>8.5519999999999996</v>
      </c>
      <c r="G801" s="61">
        <v>9.6679999999999993</v>
      </c>
      <c r="H801" s="61">
        <v>10.606999999999999</v>
      </c>
      <c r="I801" s="61">
        <v>9.2739999999999991</v>
      </c>
      <c r="J801" s="61">
        <v>6.9320000000000004</v>
      </c>
      <c r="K801" s="61">
        <v>7.8769999999999998</v>
      </c>
      <c r="L801" s="61">
        <v>6.8079999999999998</v>
      </c>
      <c r="M801" s="61">
        <v>8.0609999999999999</v>
      </c>
      <c r="N801" s="61">
        <v>7.6660000000000004</v>
      </c>
      <c r="O801" s="61">
        <v>7.758</v>
      </c>
      <c r="P801" s="61">
        <v>6.0730000000000004</v>
      </c>
      <c r="Q801" s="60"/>
      <c r="R801" s="64"/>
      <c r="S801" s="47"/>
      <c r="T801" s="48"/>
      <c r="U801" s="48"/>
      <c r="V801" s="49"/>
      <c r="W801" s="50"/>
      <c r="X801" s="51"/>
    </row>
    <row r="802" spans="1:28" ht="61.5" customHeight="1">
      <c r="A802" s="158"/>
      <c r="B802" s="98"/>
      <c r="C802" s="100"/>
      <c r="D802" s="101"/>
      <c r="E802" s="21"/>
      <c r="F802" s="21"/>
      <c r="G802" s="21"/>
      <c r="H802" s="20"/>
      <c r="I802" s="21"/>
      <c r="J802" s="21"/>
      <c r="K802" s="21"/>
      <c r="L802" s="21"/>
      <c r="M802" s="21"/>
      <c r="N802" s="21"/>
      <c r="O802" s="21"/>
      <c r="P802" s="21"/>
      <c r="Q802" s="60"/>
      <c r="R802" s="64"/>
      <c r="S802" s="47"/>
      <c r="T802" s="48"/>
      <c r="U802" s="48"/>
      <c r="V802" s="49"/>
      <c r="W802" s="50"/>
      <c r="X802" s="51"/>
    </row>
    <row r="803" spans="1:28" s="109" customFormat="1" ht="65.099999999999994" customHeight="1">
      <c r="A803" s="158"/>
      <c r="B803" s="163" t="s">
        <v>51</v>
      </c>
      <c r="C803" s="42"/>
      <c r="D803" s="43"/>
      <c r="E803" s="44"/>
      <c r="F803" s="44"/>
      <c r="G803" s="44"/>
      <c r="H803" s="45"/>
      <c r="I803" s="44"/>
      <c r="J803" s="44"/>
      <c r="K803" s="44"/>
      <c r="L803" s="44"/>
      <c r="M803" s="44"/>
      <c r="N803" s="44"/>
      <c r="O803" s="44"/>
      <c r="P803" s="44"/>
      <c r="Q803" s="43"/>
      <c r="R803" s="91"/>
      <c r="S803" s="47"/>
      <c r="T803" s="48"/>
      <c r="U803" s="48"/>
      <c r="V803" s="49"/>
      <c r="W803" s="50"/>
      <c r="X803" s="51"/>
      <c r="Y803" s="108"/>
      <c r="Z803" s="108"/>
    </row>
    <row r="804" spans="1:28" s="52" customFormat="1" ht="46.5" customHeight="1">
      <c r="A804" s="158"/>
      <c r="B804" s="164"/>
      <c r="C804" s="55"/>
      <c r="D804" s="4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114"/>
      <c r="R804" s="47"/>
      <c r="S804" s="64"/>
      <c r="T804" s="48"/>
      <c r="U804" s="48"/>
      <c r="V804" s="49"/>
      <c r="W804" s="50"/>
      <c r="X804" s="51"/>
      <c r="Y804" s="2"/>
      <c r="Z804" s="2"/>
      <c r="AB804" s="2"/>
    </row>
    <row r="805" spans="1:28" s="52" customFormat="1" ht="46.5" customHeight="1">
      <c r="A805" s="158"/>
      <c r="B805" s="164"/>
      <c r="C805" s="59" t="s">
        <v>18</v>
      </c>
      <c r="D805" s="60" t="s">
        <v>19</v>
      </c>
      <c r="E805" s="61">
        <v>0</v>
      </c>
      <c r="F805" s="61">
        <v>0</v>
      </c>
      <c r="G805" s="61">
        <v>0</v>
      </c>
      <c r="H805" s="61">
        <v>0</v>
      </c>
      <c r="I805" s="61">
        <v>0</v>
      </c>
      <c r="J805" s="61">
        <v>0</v>
      </c>
      <c r="K805" s="61">
        <v>0</v>
      </c>
      <c r="L805" s="61">
        <v>0</v>
      </c>
      <c r="M805" s="61">
        <v>0</v>
      </c>
      <c r="N805" s="61">
        <v>0</v>
      </c>
      <c r="O805" s="61">
        <v>0</v>
      </c>
      <c r="P805" s="61">
        <v>0</v>
      </c>
      <c r="Q805" s="114"/>
      <c r="R805" s="47"/>
      <c r="S805" s="64"/>
      <c r="T805" s="48"/>
      <c r="U805" s="48"/>
      <c r="V805" s="49"/>
      <c r="W805" s="50"/>
      <c r="X805" s="51"/>
      <c r="Y805" s="2"/>
      <c r="Z805" s="2"/>
      <c r="AB805" s="2"/>
    </row>
    <row r="806" spans="1:28" s="52" customFormat="1" ht="46.5" customHeight="1">
      <c r="A806" s="158"/>
      <c r="B806" s="164"/>
      <c r="C806" s="59" t="s">
        <v>18</v>
      </c>
      <c r="D806" s="60" t="s">
        <v>20</v>
      </c>
      <c r="E806" s="61">
        <v>0</v>
      </c>
      <c r="F806" s="61">
        <v>0</v>
      </c>
      <c r="G806" s="61">
        <v>0</v>
      </c>
      <c r="H806" s="61">
        <v>0</v>
      </c>
      <c r="I806" s="61">
        <v>0</v>
      </c>
      <c r="J806" s="61">
        <v>0</v>
      </c>
      <c r="K806" s="61">
        <v>0</v>
      </c>
      <c r="L806" s="61">
        <v>0</v>
      </c>
      <c r="M806" s="61">
        <v>0</v>
      </c>
      <c r="N806" s="61">
        <v>0</v>
      </c>
      <c r="O806" s="61">
        <v>0</v>
      </c>
      <c r="P806" s="61">
        <v>0</v>
      </c>
      <c r="Q806" s="114"/>
      <c r="R806" s="47"/>
      <c r="S806" s="64"/>
      <c r="T806" s="48"/>
      <c r="U806" s="48"/>
      <c r="V806" s="49"/>
      <c r="W806" s="50"/>
      <c r="X806" s="51"/>
      <c r="Y806" s="2"/>
      <c r="Z806" s="2"/>
      <c r="AB806" s="2"/>
    </row>
    <row r="807" spans="1:28" ht="46.5" customHeight="1">
      <c r="A807" s="158"/>
      <c r="B807" s="164"/>
      <c r="C807" s="59" t="s">
        <v>18</v>
      </c>
      <c r="D807" s="60" t="s">
        <v>21</v>
      </c>
      <c r="E807" s="61">
        <v>0</v>
      </c>
      <c r="F807" s="61">
        <v>0</v>
      </c>
      <c r="G807" s="61">
        <v>0</v>
      </c>
      <c r="H807" s="61">
        <v>0</v>
      </c>
      <c r="I807" s="61">
        <v>0</v>
      </c>
      <c r="J807" s="61">
        <v>0</v>
      </c>
      <c r="K807" s="61">
        <v>0</v>
      </c>
      <c r="L807" s="61">
        <v>0</v>
      </c>
      <c r="M807" s="61">
        <v>0</v>
      </c>
      <c r="N807" s="61">
        <v>0</v>
      </c>
      <c r="O807" s="61">
        <v>0</v>
      </c>
      <c r="P807" s="61">
        <v>0</v>
      </c>
      <c r="Q807" s="115"/>
      <c r="R807" s="64"/>
      <c r="S807" s="64"/>
      <c r="T807" s="65"/>
      <c r="U807" s="65"/>
      <c r="V807" s="49"/>
      <c r="W807" s="49"/>
      <c r="X807" s="66"/>
      <c r="AB807" s="6"/>
    </row>
    <row r="808" spans="1:28" s="52" customFormat="1" ht="46.5" customHeight="1">
      <c r="A808" s="158"/>
      <c r="B808" s="164"/>
      <c r="C808" s="59" t="s">
        <v>18</v>
      </c>
      <c r="D808" s="60" t="s">
        <v>22</v>
      </c>
      <c r="E808" s="61">
        <v>0</v>
      </c>
      <c r="F808" s="61">
        <v>0</v>
      </c>
      <c r="G808" s="61">
        <v>0</v>
      </c>
      <c r="H808" s="61">
        <v>0</v>
      </c>
      <c r="I808" s="61">
        <v>0</v>
      </c>
      <c r="J808" s="61">
        <v>0</v>
      </c>
      <c r="K808" s="61">
        <v>0</v>
      </c>
      <c r="L808" s="61">
        <v>0</v>
      </c>
      <c r="M808" s="61">
        <v>0</v>
      </c>
      <c r="N808" s="61">
        <v>0</v>
      </c>
      <c r="O808" s="61">
        <v>0</v>
      </c>
      <c r="P808" s="61">
        <v>0</v>
      </c>
      <c r="Q808" s="114"/>
      <c r="R808" s="47"/>
      <c r="S808" s="64"/>
      <c r="T808" s="48"/>
      <c r="U808" s="48"/>
      <c r="V808" s="49"/>
      <c r="W808" s="50"/>
      <c r="X808" s="51"/>
      <c r="Y808" s="2"/>
      <c r="Z808" s="2"/>
      <c r="AB808" s="2"/>
    </row>
    <row r="809" spans="1:28" s="52" customFormat="1" ht="46.15" customHeight="1">
      <c r="A809" s="158"/>
      <c r="B809" s="164"/>
      <c r="C809" s="59" t="s">
        <v>18</v>
      </c>
      <c r="D809" s="60" t="str">
        <f>+D791</f>
        <v>2021-22</v>
      </c>
      <c r="E809" s="61">
        <v>0</v>
      </c>
      <c r="F809" s="61">
        <v>0</v>
      </c>
      <c r="G809" s="61">
        <v>0</v>
      </c>
      <c r="H809" s="61">
        <v>0</v>
      </c>
      <c r="I809" s="61">
        <v>0</v>
      </c>
      <c r="J809" s="61">
        <v>0</v>
      </c>
      <c r="K809" s="61">
        <v>0</v>
      </c>
      <c r="L809" s="61">
        <v>0</v>
      </c>
      <c r="M809" s="61">
        <v>0</v>
      </c>
      <c r="N809" s="61">
        <v>0</v>
      </c>
      <c r="O809" s="61">
        <v>0</v>
      </c>
      <c r="P809" s="61">
        <v>0</v>
      </c>
      <c r="Q809" s="114"/>
      <c r="R809" s="47"/>
      <c r="S809" s="64"/>
      <c r="T809" s="48"/>
      <c r="U809" s="48"/>
      <c r="V809" s="49"/>
      <c r="W809" s="50"/>
      <c r="X809" s="51"/>
      <c r="Y809" s="2"/>
      <c r="Z809" s="2"/>
      <c r="AB809" s="2"/>
    </row>
    <row r="810" spans="1:28" ht="46.15" customHeight="1">
      <c r="A810" s="158"/>
      <c r="B810" s="164"/>
      <c r="C810" s="59" t="s">
        <v>18</v>
      </c>
      <c r="D810" s="60" t="str">
        <f>+D792</f>
        <v>2020-21</v>
      </c>
      <c r="E810" s="61">
        <v>0</v>
      </c>
      <c r="F810" s="61">
        <v>0</v>
      </c>
      <c r="G810" s="61">
        <v>0</v>
      </c>
      <c r="H810" s="61">
        <v>0</v>
      </c>
      <c r="I810" s="61">
        <v>0</v>
      </c>
      <c r="J810" s="61">
        <v>0</v>
      </c>
      <c r="K810" s="61">
        <v>0</v>
      </c>
      <c r="L810" s="61">
        <v>0</v>
      </c>
      <c r="M810" s="61">
        <v>0</v>
      </c>
      <c r="N810" s="61">
        <v>0</v>
      </c>
      <c r="O810" s="61">
        <v>0</v>
      </c>
      <c r="P810" s="61">
        <v>0</v>
      </c>
      <c r="Q810" s="115"/>
      <c r="R810" s="64"/>
      <c r="S810" s="64"/>
      <c r="T810" s="65"/>
      <c r="U810" s="65"/>
      <c r="V810" s="49"/>
      <c r="W810" s="49"/>
      <c r="X810" s="66"/>
      <c r="Y810" s="49"/>
      <c r="Z810" s="49"/>
      <c r="AB810" s="49"/>
    </row>
    <row r="811" spans="1:28" ht="46.15" customHeight="1">
      <c r="A811" s="158"/>
      <c r="B811" s="164"/>
      <c r="C811" s="64" t="str">
        <f>+C793</f>
        <v>Actual</v>
      </c>
      <c r="D811" s="64" t="str">
        <f>+D793</f>
        <v>2019-20</v>
      </c>
      <c r="E811" s="61">
        <v>0</v>
      </c>
      <c r="F811" s="61">
        <v>0</v>
      </c>
      <c r="G811" s="61">
        <v>0</v>
      </c>
      <c r="H811" s="61">
        <v>0</v>
      </c>
      <c r="I811" s="61">
        <v>0</v>
      </c>
      <c r="J811" s="61">
        <v>0</v>
      </c>
      <c r="K811" s="61">
        <v>0</v>
      </c>
      <c r="L811" s="61">
        <v>0</v>
      </c>
      <c r="M811" s="61">
        <v>0</v>
      </c>
      <c r="N811" s="61">
        <v>0</v>
      </c>
      <c r="O811" s="61">
        <v>0</v>
      </c>
      <c r="P811" s="61">
        <v>0</v>
      </c>
      <c r="Q811" s="115"/>
      <c r="R811" s="64"/>
      <c r="S811" s="64"/>
      <c r="T811" s="65"/>
      <c r="U811" s="65"/>
      <c r="V811" s="49"/>
      <c r="W811" s="49"/>
      <c r="X811" s="66"/>
    </row>
    <row r="812" spans="1:28" s="25" customFormat="1" ht="46.15" customHeight="1">
      <c r="A812" s="158"/>
      <c r="B812" s="164"/>
      <c r="C812" s="102" t="s">
        <v>18</v>
      </c>
      <c r="D812" s="103" t="s">
        <v>26</v>
      </c>
      <c r="E812" s="61">
        <v>0</v>
      </c>
      <c r="F812" s="61">
        <v>0</v>
      </c>
      <c r="G812" s="61">
        <v>0</v>
      </c>
      <c r="H812" s="61">
        <v>0</v>
      </c>
      <c r="I812" s="61">
        <v>0</v>
      </c>
      <c r="J812" s="61">
        <v>0</v>
      </c>
      <c r="K812" s="61">
        <v>0</v>
      </c>
      <c r="L812" s="61">
        <v>0</v>
      </c>
      <c r="M812" s="61">
        <v>0</v>
      </c>
      <c r="N812" s="61">
        <v>0</v>
      </c>
      <c r="O812" s="61">
        <v>0</v>
      </c>
      <c r="P812" s="61">
        <v>0</v>
      </c>
      <c r="Q812" s="116"/>
      <c r="R812" s="117"/>
      <c r="S812" s="64"/>
      <c r="T812" s="65"/>
      <c r="U812" s="65"/>
      <c r="V812" s="49"/>
      <c r="W812" s="49"/>
      <c r="X812" s="66"/>
      <c r="Y812" s="27"/>
      <c r="Z812" s="27"/>
    </row>
    <row r="813" spans="1:28" ht="46.15" customHeight="1">
      <c r="A813" s="158"/>
      <c r="B813" s="164"/>
      <c r="C813" s="59" t="s">
        <v>18</v>
      </c>
      <c r="D813" s="60" t="s">
        <v>27</v>
      </c>
      <c r="E813" s="61">
        <v>0</v>
      </c>
      <c r="F813" s="61">
        <v>0</v>
      </c>
      <c r="G813" s="61">
        <v>0</v>
      </c>
      <c r="H813" s="61">
        <v>0</v>
      </c>
      <c r="I813" s="61">
        <v>0</v>
      </c>
      <c r="J813" s="61">
        <v>0</v>
      </c>
      <c r="K813" s="61">
        <v>0</v>
      </c>
      <c r="L813" s="61">
        <v>0</v>
      </c>
      <c r="M813" s="61">
        <v>0</v>
      </c>
      <c r="N813" s="61">
        <v>0</v>
      </c>
      <c r="O813" s="61">
        <v>0</v>
      </c>
      <c r="P813" s="61">
        <v>0</v>
      </c>
      <c r="Q813" s="60"/>
      <c r="R813" s="64"/>
      <c r="S813" s="64"/>
      <c r="T813" s="65"/>
      <c r="U813" s="65"/>
      <c r="V813" s="49"/>
      <c r="W813" s="49"/>
      <c r="X813" s="66"/>
    </row>
    <row r="814" spans="1:28" ht="46.15" customHeight="1">
      <c r="A814" s="158"/>
      <c r="B814" s="164"/>
      <c r="C814" s="59" t="s">
        <v>18</v>
      </c>
      <c r="D814" s="60" t="s">
        <v>28</v>
      </c>
      <c r="E814" s="61">
        <v>0</v>
      </c>
      <c r="F814" s="61">
        <v>4.5179999999999998</v>
      </c>
      <c r="G814" s="61">
        <v>7.0910000000000002</v>
      </c>
      <c r="H814" s="61">
        <v>1.1950000000000001</v>
      </c>
      <c r="I814" s="61">
        <v>2.1589999999999998</v>
      </c>
      <c r="J814" s="61">
        <v>5.8620000000000001</v>
      </c>
      <c r="K814" s="61">
        <v>5.867</v>
      </c>
      <c r="L814" s="61">
        <v>2.6989999999999998</v>
      </c>
      <c r="M814" s="61">
        <v>5.3570000000000002</v>
      </c>
      <c r="N814" s="61">
        <v>4.5990000000000002</v>
      </c>
      <c r="O814" s="61">
        <v>0</v>
      </c>
      <c r="P814" s="61">
        <v>0</v>
      </c>
      <c r="Q814" s="60"/>
      <c r="R814" s="64"/>
      <c r="S814" s="64"/>
      <c r="T814" s="65"/>
      <c r="U814" s="65"/>
      <c r="V814" s="49"/>
      <c r="W814" s="49"/>
      <c r="X814" s="66"/>
    </row>
    <row r="815" spans="1:28" ht="46.15" customHeight="1">
      <c r="A815" s="158"/>
      <c r="B815" s="164"/>
      <c r="C815" s="59" t="s">
        <v>18</v>
      </c>
      <c r="D815" s="60" t="s">
        <v>29</v>
      </c>
      <c r="E815" s="76">
        <v>3.762</v>
      </c>
      <c r="F815" s="76">
        <v>0</v>
      </c>
      <c r="G815" s="76">
        <v>5.2960000000000003</v>
      </c>
      <c r="H815" s="76">
        <v>6.5940000000000003</v>
      </c>
      <c r="I815" s="76">
        <v>5.5469999999999997</v>
      </c>
      <c r="J815" s="76">
        <v>3.984</v>
      </c>
      <c r="K815" s="76">
        <v>0</v>
      </c>
      <c r="L815" s="76">
        <v>2.3319999999999999</v>
      </c>
      <c r="M815" s="76">
        <v>6.43</v>
      </c>
      <c r="N815" s="76">
        <v>7.7450000000000001</v>
      </c>
      <c r="O815" s="76">
        <v>0.28199999999999997</v>
      </c>
      <c r="P815" s="76">
        <v>0</v>
      </c>
      <c r="Q815" s="60"/>
      <c r="R815" s="64"/>
      <c r="S815" s="64"/>
      <c r="T815" s="65"/>
      <c r="U815" s="65"/>
      <c r="V815" s="49"/>
      <c r="W815" s="49"/>
      <c r="X815" s="66"/>
    </row>
    <row r="816" spans="1:28" ht="61.5" customHeight="1">
      <c r="A816" s="158"/>
      <c r="B816" s="164"/>
      <c r="C816" s="59" t="s">
        <v>18</v>
      </c>
      <c r="D816" s="60" t="s">
        <v>30</v>
      </c>
      <c r="E816" s="61">
        <v>7.1769999999999996</v>
      </c>
      <c r="F816" s="61">
        <v>6.6639999999999997</v>
      </c>
      <c r="G816" s="61">
        <v>4.8739999999999997</v>
      </c>
      <c r="H816" s="61">
        <v>5.601</v>
      </c>
      <c r="I816" s="61">
        <v>1.964</v>
      </c>
      <c r="J816" s="61">
        <v>2.6120000000000001</v>
      </c>
      <c r="K816" s="61">
        <v>0</v>
      </c>
      <c r="L816" s="61">
        <v>0</v>
      </c>
      <c r="M816" s="61">
        <v>0</v>
      </c>
      <c r="N816" s="61">
        <v>2.6629999999999998</v>
      </c>
      <c r="O816" s="61">
        <v>6.8730000000000002</v>
      </c>
      <c r="P816" s="61">
        <v>7.5549999999999997</v>
      </c>
      <c r="Q816" s="60"/>
      <c r="R816" s="64"/>
      <c r="S816" s="64"/>
      <c r="T816" s="65"/>
      <c r="U816" s="65"/>
      <c r="V816" s="49"/>
      <c r="W816" s="49"/>
      <c r="X816" s="66"/>
    </row>
    <row r="817" spans="1:26" ht="61.5" customHeight="1">
      <c r="A817" s="158"/>
      <c r="B817" s="164"/>
      <c r="C817" s="59" t="s">
        <v>18</v>
      </c>
      <c r="D817" s="78" t="s">
        <v>31</v>
      </c>
      <c r="E817" s="61">
        <v>0.77300000000000002</v>
      </c>
      <c r="F817" s="61">
        <v>0</v>
      </c>
      <c r="G817" s="61">
        <v>0</v>
      </c>
      <c r="H817" s="61">
        <v>0</v>
      </c>
      <c r="I817" s="61">
        <v>2.7309999999999999</v>
      </c>
      <c r="J817" s="61">
        <v>0</v>
      </c>
      <c r="K817" s="61">
        <v>0</v>
      </c>
      <c r="L817" s="61">
        <v>0</v>
      </c>
      <c r="M817" s="61">
        <v>0</v>
      </c>
      <c r="N817" s="61">
        <v>0</v>
      </c>
      <c r="O817" s="61">
        <v>1.526</v>
      </c>
      <c r="P817" s="61">
        <v>7.7380000000000004</v>
      </c>
      <c r="Q817" s="60"/>
      <c r="R817" s="64"/>
      <c r="S817" s="64"/>
      <c r="T817" s="65"/>
      <c r="U817" s="65"/>
      <c r="V817" s="49"/>
      <c r="W817" s="49"/>
      <c r="X817" s="66"/>
    </row>
    <row r="818" spans="1:26" ht="61.5" customHeight="1">
      <c r="A818" s="158"/>
      <c r="B818" s="164"/>
      <c r="C818" s="59" t="s">
        <v>18</v>
      </c>
      <c r="D818" s="60" t="s">
        <v>32</v>
      </c>
      <c r="E818" s="61">
        <v>7.3410000000000002</v>
      </c>
      <c r="F818" s="61">
        <v>8.1999999999999993</v>
      </c>
      <c r="G818" s="61">
        <v>6.6120000000000001</v>
      </c>
      <c r="H818" s="61">
        <v>5.3209999999999997</v>
      </c>
      <c r="I818" s="61">
        <v>1.865</v>
      </c>
      <c r="J818" s="61">
        <v>6.8890000000000002</v>
      </c>
      <c r="K818" s="61">
        <v>5.2670000000000003</v>
      </c>
      <c r="L818" s="61">
        <v>0</v>
      </c>
      <c r="M818" s="61">
        <v>0</v>
      </c>
      <c r="N818" s="61">
        <v>5.6740000000000004</v>
      </c>
      <c r="O818" s="61">
        <v>7.3140000000000001</v>
      </c>
      <c r="P818" s="61">
        <v>8.7739999999999991</v>
      </c>
      <c r="Q818" s="60"/>
      <c r="R818" s="64"/>
      <c r="S818" s="64"/>
      <c r="T818" s="65"/>
      <c r="U818" s="65"/>
      <c r="V818" s="49"/>
      <c r="W818" s="49"/>
      <c r="X818" s="66"/>
    </row>
    <row r="819" spans="1:26" ht="61.5" customHeight="1">
      <c r="A819" s="158"/>
      <c r="B819" s="164"/>
      <c r="C819" s="59" t="s">
        <v>18</v>
      </c>
      <c r="D819" s="60" t="s">
        <v>33</v>
      </c>
      <c r="E819" s="61">
        <v>9.89</v>
      </c>
      <c r="F819" s="61">
        <v>9.1270000000000007</v>
      </c>
      <c r="G819" s="61">
        <v>8.3849999999999998</v>
      </c>
      <c r="H819" s="61">
        <v>8.32</v>
      </c>
      <c r="I819" s="61">
        <v>7.5350000000000001</v>
      </c>
      <c r="J819" s="61">
        <v>7.2409999999999997</v>
      </c>
      <c r="K819" s="61">
        <v>3.3359999999999999</v>
      </c>
      <c r="L819" s="61">
        <v>10.134</v>
      </c>
      <c r="M819" s="61">
        <v>9.5969999999999995</v>
      </c>
      <c r="N819" s="61">
        <v>1.76</v>
      </c>
      <c r="O819" s="61">
        <v>6.93</v>
      </c>
      <c r="P819" s="61">
        <v>9.2899999999999991</v>
      </c>
      <c r="Q819" s="60"/>
      <c r="R819" s="47"/>
      <c r="S819" s="47"/>
      <c r="T819" s="48"/>
      <c r="U819" s="48"/>
      <c r="V819" s="49"/>
      <c r="W819" s="50"/>
      <c r="X819" s="51"/>
    </row>
    <row r="820" spans="1:26" ht="61.5" customHeight="1">
      <c r="A820" s="158"/>
      <c r="B820" s="164"/>
      <c r="C820" s="59" t="s">
        <v>18</v>
      </c>
      <c r="D820" s="60" t="s">
        <v>34</v>
      </c>
      <c r="E820" s="61">
        <v>9.2349999999999994</v>
      </c>
      <c r="F820" s="61">
        <v>8.9760000000000009</v>
      </c>
      <c r="G820" s="61">
        <v>9.2949999999999999</v>
      </c>
      <c r="H820" s="61">
        <v>9.7379999999999995</v>
      </c>
      <c r="I820" s="61">
        <v>9.9290000000000003</v>
      </c>
      <c r="J820" s="61">
        <v>8.3000000000000007</v>
      </c>
      <c r="K820" s="61">
        <v>10.6</v>
      </c>
      <c r="L820" s="61">
        <v>8.4760000000000009</v>
      </c>
      <c r="M820" s="61">
        <v>8.7940000000000005</v>
      </c>
      <c r="N820" s="61">
        <v>9.3439999999999994</v>
      </c>
      <c r="O820" s="61">
        <v>6.7140000000000004</v>
      </c>
      <c r="P820" s="61">
        <v>8.7899999999999991</v>
      </c>
      <c r="Q820" s="60"/>
      <c r="R820" s="47"/>
      <c r="S820" s="47"/>
      <c r="T820" s="48"/>
      <c r="U820" s="48"/>
      <c r="V820" s="49"/>
      <c r="W820" s="50"/>
      <c r="X820" s="51"/>
    </row>
    <row r="821" spans="1:26" ht="61.5" customHeight="1">
      <c r="A821" s="158"/>
      <c r="B821" s="164"/>
      <c r="C821" s="59" t="s">
        <v>18</v>
      </c>
      <c r="D821" s="60" t="s">
        <v>35</v>
      </c>
      <c r="E821" s="61">
        <v>6.0350000000000001</v>
      </c>
      <c r="F821" s="61">
        <v>7.8529999999999998</v>
      </c>
      <c r="G821" s="61">
        <v>7.6470000000000002</v>
      </c>
      <c r="H821" s="61">
        <v>8.9819999999999993</v>
      </c>
      <c r="I821" s="61">
        <v>8.3829999999999991</v>
      </c>
      <c r="J821" s="61">
        <v>8.6259999999999994</v>
      </c>
      <c r="K821" s="61">
        <v>7.6890000000000001</v>
      </c>
      <c r="L821" s="61">
        <v>9.5549999999999997</v>
      </c>
      <c r="M821" s="61">
        <v>11.247</v>
      </c>
      <c r="N821" s="61">
        <v>9.8119999999999994</v>
      </c>
      <c r="O821" s="61">
        <v>8.19</v>
      </c>
      <c r="P821" s="61">
        <v>8.5009999999999994</v>
      </c>
      <c r="Q821" s="60"/>
      <c r="R821" s="47"/>
      <c r="S821" s="47"/>
      <c r="T821" s="48"/>
      <c r="U821" s="48"/>
      <c r="V821" s="49"/>
      <c r="W821" s="50"/>
      <c r="X821" s="51"/>
    </row>
    <row r="822" spans="1:26" ht="61.5" customHeight="1">
      <c r="A822" s="158"/>
      <c r="B822" s="164"/>
      <c r="C822" s="80" t="s">
        <v>18</v>
      </c>
      <c r="D822" s="81" t="s">
        <v>36</v>
      </c>
      <c r="E822" s="82">
        <v>14.539</v>
      </c>
      <c r="F822" s="82">
        <v>13.788</v>
      </c>
      <c r="G822" s="82">
        <v>12.693</v>
      </c>
      <c r="H822" s="82">
        <v>11.484999999999999</v>
      </c>
      <c r="I822" s="82">
        <v>9.5559999999999992</v>
      </c>
      <c r="J822" s="82">
        <v>6.9420000000000002</v>
      </c>
      <c r="K822" s="82">
        <v>4.8959999999999999</v>
      </c>
      <c r="L822" s="82">
        <v>5.9409999999999998</v>
      </c>
      <c r="M822" s="82">
        <v>1.45</v>
      </c>
      <c r="N822" s="82">
        <v>2.3969999999999998</v>
      </c>
      <c r="O822" s="82">
        <v>5.0350000000000001</v>
      </c>
      <c r="P822" s="82">
        <v>7.3689999999999998</v>
      </c>
      <c r="Q822" s="81"/>
      <c r="R822" s="47"/>
      <c r="S822" s="47"/>
      <c r="T822" s="48"/>
      <c r="U822" s="48"/>
      <c r="V822" s="49"/>
      <c r="W822" s="50"/>
      <c r="X822" s="51"/>
    </row>
    <row r="823" spans="1:26" ht="61.5" customHeight="1">
      <c r="A823" s="158"/>
      <c r="B823" s="164"/>
      <c r="C823" s="59" t="s">
        <v>18</v>
      </c>
      <c r="D823" s="60" t="s">
        <v>37</v>
      </c>
      <c r="E823" s="85">
        <v>10.766999999999999</v>
      </c>
      <c r="F823" s="85">
        <v>14.125999999999999</v>
      </c>
      <c r="G823" s="85">
        <v>12.935</v>
      </c>
      <c r="H823" s="85">
        <v>11.843</v>
      </c>
      <c r="I823" s="85">
        <v>11.295999999999999</v>
      </c>
      <c r="J823" s="85">
        <v>11.4</v>
      </c>
      <c r="K823" s="85">
        <v>14.287000000000001</v>
      </c>
      <c r="L823" s="85">
        <v>14.169</v>
      </c>
      <c r="M823" s="85">
        <v>14.79</v>
      </c>
      <c r="N823" s="85">
        <v>15.346</v>
      </c>
      <c r="O823" s="85">
        <v>11.984999999999999</v>
      </c>
      <c r="P823" s="85">
        <v>15.585000000000001</v>
      </c>
      <c r="Q823" s="46"/>
      <c r="R823" s="47"/>
      <c r="S823" s="47"/>
      <c r="T823" s="48"/>
      <c r="U823" s="48"/>
      <c r="V823" s="49"/>
      <c r="W823" s="50"/>
      <c r="X823" s="51"/>
    </row>
    <row r="824" spans="1:26" ht="61.5" customHeight="1">
      <c r="A824" s="158"/>
      <c r="B824" s="164"/>
      <c r="C824" s="59" t="s">
        <v>18</v>
      </c>
      <c r="D824" s="60" t="s">
        <v>38</v>
      </c>
      <c r="E824" s="85">
        <v>11.994999999999999</v>
      </c>
      <c r="F824" s="85">
        <v>13.06</v>
      </c>
      <c r="G824" s="85">
        <v>12.087999999999999</v>
      </c>
      <c r="H824" s="85">
        <v>11.593</v>
      </c>
      <c r="I824" s="85">
        <v>15.757999999999999</v>
      </c>
      <c r="J824" s="85">
        <v>15.565</v>
      </c>
      <c r="K824" s="85">
        <v>12.471</v>
      </c>
      <c r="L824" s="85">
        <v>13.516999999999999</v>
      </c>
      <c r="M824" s="85">
        <v>13.092000000000001</v>
      </c>
      <c r="N824" s="85">
        <v>13.506</v>
      </c>
      <c r="O824" s="85">
        <v>11.87</v>
      </c>
      <c r="P824" s="85">
        <v>14.731</v>
      </c>
      <c r="Q824" s="46"/>
      <c r="R824" s="47"/>
      <c r="S824" s="47"/>
      <c r="T824" s="48"/>
      <c r="U824" s="48"/>
      <c r="V824" s="49"/>
      <c r="W824" s="50"/>
      <c r="X824" s="51"/>
    </row>
    <row r="825" spans="1:26" ht="61.5" customHeight="1">
      <c r="A825" s="158"/>
      <c r="B825" s="164"/>
      <c r="C825" s="59" t="s">
        <v>18</v>
      </c>
      <c r="D825" s="60" t="s">
        <v>39</v>
      </c>
      <c r="E825" s="85">
        <v>12.834</v>
      </c>
      <c r="F825" s="85">
        <v>12.738</v>
      </c>
      <c r="G825" s="85">
        <v>11.135999999999999</v>
      </c>
      <c r="H825" s="85">
        <v>12.315</v>
      </c>
      <c r="I825" s="85">
        <v>12.56</v>
      </c>
      <c r="J825" s="85">
        <v>12.803000000000001</v>
      </c>
      <c r="K825" s="85">
        <v>13.074</v>
      </c>
      <c r="L825" s="85">
        <v>11.188000000000001</v>
      </c>
      <c r="M825" s="85">
        <v>13.519</v>
      </c>
      <c r="N825" s="85">
        <v>13.888</v>
      </c>
      <c r="O825" s="85">
        <v>13.144</v>
      </c>
      <c r="P825" s="85">
        <v>13.272</v>
      </c>
      <c r="Q825" s="46"/>
      <c r="R825" s="47"/>
      <c r="S825" s="47"/>
      <c r="T825" s="48"/>
      <c r="U825" s="48"/>
      <c r="V825" s="49"/>
      <c r="W825" s="50"/>
      <c r="X825" s="51"/>
    </row>
    <row r="826" spans="1:26" ht="61.5" customHeight="1">
      <c r="A826" s="158"/>
      <c r="B826" s="164"/>
      <c r="C826" s="59" t="s">
        <v>18</v>
      </c>
      <c r="D826" s="60" t="s">
        <v>40</v>
      </c>
      <c r="E826" s="85">
        <v>10.396000000000001</v>
      </c>
      <c r="F826" s="85">
        <v>11.911</v>
      </c>
      <c r="G826" s="85">
        <v>10.695</v>
      </c>
      <c r="H826" s="85">
        <v>10.98</v>
      </c>
      <c r="I826" s="85">
        <v>11.031000000000001</v>
      </c>
      <c r="J826" s="85">
        <v>0</v>
      </c>
      <c r="K826" s="85">
        <v>6.6719999999999997</v>
      </c>
      <c r="L826" s="85">
        <v>11.962</v>
      </c>
      <c r="M826" s="85">
        <v>14.313000000000001</v>
      </c>
      <c r="N826" s="85">
        <v>12.72</v>
      </c>
      <c r="O826" s="85">
        <v>11.664</v>
      </c>
      <c r="P826" s="85">
        <v>14.388999999999999</v>
      </c>
      <c r="Q826" s="46"/>
      <c r="R826" s="47"/>
      <c r="S826" s="47"/>
      <c r="T826" s="48"/>
      <c r="U826" s="48"/>
      <c r="V826" s="49"/>
      <c r="W826" s="50"/>
      <c r="X826" s="51"/>
    </row>
    <row r="827" spans="1:26" ht="61.5" customHeight="1">
      <c r="A827" s="158"/>
      <c r="B827" s="164"/>
      <c r="C827" s="59" t="s">
        <v>18</v>
      </c>
      <c r="D827" s="60" t="s">
        <v>41</v>
      </c>
      <c r="E827" s="85">
        <v>9.51</v>
      </c>
      <c r="F827" s="85">
        <v>10.42</v>
      </c>
      <c r="G827" s="85">
        <v>9.0649999999999995</v>
      </c>
      <c r="H827" s="85">
        <v>9.8140000000000001</v>
      </c>
      <c r="I827" s="85">
        <v>8.3450000000000006</v>
      </c>
      <c r="J827" s="85">
        <v>9.7609999999999992</v>
      </c>
      <c r="K827" s="85">
        <v>9.8539999999999992</v>
      </c>
      <c r="L827" s="85">
        <v>10.651999999999999</v>
      </c>
      <c r="M827" s="85">
        <v>10.68</v>
      </c>
      <c r="N827" s="85">
        <v>11.035</v>
      </c>
      <c r="O827" s="85">
        <v>10.297000000000001</v>
      </c>
      <c r="P827" s="85">
        <v>4.2169999999999996</v>
      </c>
      <c r="Q827" s="46"/>
      <c r="R827" s="47"/>
      <c r="S827" s="47"/>
      <c r="T827" s="48"/>
      <c r="U827" s="48"/>
      <c r="V827" s="49"/>
      <c r="W827" s="50"/>
      <c r="X827" s="51"/>
    </row>
    <row r="828" spans="1:26" ht="61.5" customHeight="1">
      <c r="A828" s="158"/>
      <c r="B828" s="164"/>
      <c r="C828" s="59" t="s">
        <v>18</v>
      </c>
      <c r="D828" s="60" t="s">
        <v>42</v>
      </c>
      <c r="E828" s="85">
        <v>6.2060000000000004</v>
      </c>
      <c r="F828" s="85">
        <v>9.891</v>
      </c>
      <c r="G828" s="85">
        <v>9.6020000000000003</v>
      </c>
      <c r="H828" s="85">
        <v>5.7530000000000001</v>
      </c>
      <c r="I828" s="85">
        <v>8.6219999999999999</v>
      </c>
      <c r="J828" s="85">
        <v>7.3970000000000002</v>
      </c>
      <c r="K828" s="85">
        <v>8.1059999999999999</v>
      </c>
      <c r="L828" s="85">
        <v>6.2350000000000003</v>
      </c>
      <c r="M828" s="85">
        <v>10.847</v>
      </c>
      <c r="N828" s="85">
        <v>11.689</v>
      </c>
      <c r="O828" s="85">
        <v>9.82</v>
      </c>
      <c r="P828" s="85">
        <v>11.478999999999999</v>
      </c>
      <c r="Q828" s="46"/>
      <c r="R828" s="47"/>
      <c r="S828" s="47"/>
      <c r="T828" s="48"/>
      <c r="U828" s="48"/>
      <c r="V828" s="49"/>
      <c r="W828" s="50"/>
      <c r="X828" s="51"/>
    </row>
    <row r="829" spans="1:26" ht="61.5" customHeight="1">
      <c r="A829" s="158"/>
      <c r="B829" s="164"/>
      <c r="C829" s="59" t="s">
        <v>18</v>
      </c>
      <c r="D829" s="60" t="s">
        <v>43</v>
      </c>
      <c r="E829" s="85">
        <v>9.9749999999999996</v>
      </c>
      <c r="F829" s="85">
        <v>8.6560000000000006</v>
      </c>
      <c r="G829" s="85">
        <v>8.9700000000000006</v>
      </c>
      <c r="H829" s="85">
        <v>9.52</v>
      </c>
      <c r="I829" s="85">
        <v>10.15</v>
      </c>
      <c r="J829" s="85">
        <v>9.8979999999999997</v>
      </c>
      <c r="K829" s="85">
        <v>10.404</v>
      </c>
      <c r="L829" s="85">
        <v>9.69</v>
      </c>
      <c r="M829" s="85">
        <v>9.9670000000000005</v>
      </c>
      <c r="N829" s="85">
        <v>9.7919999999999998</v>
      </c>
      <c r="O829" s="85">
        <v>8.9179999999999993</v>
      </c>
      <c r="P829" s="85">
        <v>9.0869999999999997</v>
      </c>
      <c r="Q829" s="46"/>
      <c r="R829" s="47"/>
      <c r="S829" s="47"/>
      <c r="T829" s="48"/>
      <c r="U829" s="48"/>
      <c r="V829" s="49"/>
      <c r="W829" s="50"/>
      <c r="X829" s="51"/>
    </row>
    <row r="830" spans="1:26" ht="61.5" customHeight="1">
      <c r="A830" s="158"/>
      <c r="B830" s="165"/>
      <c r="C830" s="59" t="s">
        <v>18</v>
      </c>
      <c r="D830" s="60" t="s">
        <v>44</v>
      </c>
      <c r="E830" s="85">
        <v>8.8710000000000004</v>
      </c>
      <c r="F830" s="85">
        <v>9.49</v>
      </c>
      <c r="G830" s="85">
        <v>8.76</v>
      </c>
      <c r="H830" s="85">
        <v>9.6959999999999997</v>
      </c>
      <c r="I830" s="85">
        <v>9.6050000000000004</v>
      </c>
      <c r="J830" s="85">
        <v>10.635999999999999</v>
      </c>
      <c r="K830" s="85">
        <v>10.911</v>
      </c>
      <c r="L830" s="85">
        <v>9.9390000000000001</v>
      </c>
      <c r="M830" s="85">
        <v>9.6669999999999998</v>
      </c>
      <c r="N830" s="85">
        <v>9.9909999999999997</v>
      </c>
      <c r="O830" s="85">
        <v>9.1170000000000009</v>
      </c>
      <c r="P830" s="85">
        <v>9.8940000000000001</v>
      </c>
      <c r="Q830" s="46"/>
      <c r="R830" s="47"/>
      <c r="S830" s="47"/>
      <c r="T830" s="48"/>
      <c r="U830" s="48"/>
      <c r="V830" s="49"/>
      <c r="W830" s="50"/>
      <c r="X830" s="51"/>
    </row>
    <row r="831" spans="1:26" ht="61.5" customHeight="1">
      <c r="A831" s="158"/>
      <c r="B831" s="98"/>
      <c r="C831" s="100"/>
      <c r="D831" s="101"/>
      <c r="E831" s="21"/>
      <c r="F831" s="21"/>
      <c r="G831" s="21"/>
      <c r="H831" s="20"/>
      <c r="I831" s="21"/>
      <c r="J831" s="21"/>
      <c r="K831" s="21"/>
      <c r="L831" s="21"/>
      <c r="M831" s="21"/>
      <c r="N831" s="21"/>
      <c r="O831" s="21"/>
      <c r="P831" s="21"/>
      <c r="Q831" s="46"/>
      <c r="R831" s="47"/>
      <c r="S831" s="47"/>
      <c r="T831" s="48"/>
      <c r="U831" s="48"/>
      <c r="V831" s="49"/>
      <c r="W831" s="50"/>
      <c r="X831" s="51"/>
    </row>
    <row r="832" spans="1:26" s="109" customFormat="1" ht="65.099999999999994" customHeight="1">
      <c r="A832" s="158"/>
      <c r="B832" s="163"/>
      <c r="C832" s="42"/>
      <c r="D832" s="43"/>
      <c r="E832" s="44"/>
      <c r="F832" s="44"/>
      <c r="G832" s="44"/>
      <c r="H832" s="45"/>
      <c r="I832" s="44"/>
      <c r="J832" s="44"/>
      <c r="K832" s="44"/>
      <c r="L832" s="44"/>
      <c r="M832" s="44"/>
      <c r="N832" s="44"/>
      <c r="O832" s="44"/>
      <c r="P832" s="44"/>
      <c r="Q832" s="43"/>
      <c r="R832" s="91"/>
      <c r="S832" s="47"/>
      <c r="T832" s="48"/>
      <c r="U832" s="48"/>
      <c r="V832" s="49"/>
      <c r="W832" s="50"/>
      <c r="X832" s="51"/>
      <c r="Y832" s="108"/>
      <c r="Z832" s="108"/>
    </row>
    <row r="833" spans="1:40" s="52" customFormat="1">
      <c r="A833" s="158"/>
      <c r="B833" s="164"/>
      <c r="C833" s="55"/>
      <c r="D833" s="4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46"/>
      <c r="R833" s="47"/>
      <c r="S833" s="64"/>
      <c r="T833" s="48"/>
      <c r="U833" s="48"/>
      <c r="V833" s="49"/>
      <c r="W833" s="50"/>
      <c r="X833" s="51"/>
      <c r="Y833" s="2"/>
      <c r="Z833" s="2"/>
      <c r="AB833" s="2"/>
      <c r="AC833" s="51"/>
      <c r="AD833" s="129"/>
      <c r="AE833" s="129"/>
      <c r="AI833" s="142"/>
      <c r="AK833" s="142"/>
    </row>
    <row r="834" spans="1:40" s="52" customFormat="1">
      <c r="A834" s="158"/>
      <c r="B834" s="164"/>
      <c r="C834" s="59"/>
      <c r="D834" s="60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46"/>
      <c r="R834" s="47"/>
      <c r="S834" s="64"/>
      <c r="T834" s="48"/>
      <c r="U834" s="48"/>
      <c r="V834" s="49"/>
      <c r="W834" s="50"/>
      <c r="X834" s="51"/>
      <c r="Y834" s="2"/>
      <c r="Z834" s="2"/>
      <c r="AB834" s="2"/>
      <c r="AC834" s="51"/>
      <c r="AD834" s="129"/>
      <c r="AE834" s="129"/>
      <c r="AI834" s="142"/>
      <c r="AK834" s="142"/>
    </row>
    <row r="835" spans="1:40" s="52" customFormat="1">
      <c r="A835" s="158"/>
      <c r="B835" s="164"/>
      <c r="C835" s="59"/>
      <c r="D835" s="60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46"/>
      <c r="R835" s="47"/>
      <c r="S835" s="64"/>
      <c r="T835" s="48"/>
      <c r="U835" s="48"/>
      <c r="V835" s="49"/>
      <c r="W835" s="50"/>
      <c r="X835" s="51"/>
      <c r="Y835" s="2"/>
      <c r="Z835" s="2"/>
      <c r="AB835" s="2"/>
      <c r="AC835" s="51"/>
      <c r="AD835" s="129"/>
      <c r="AE835" s="129"/>
      <c r="AI835" s="142"/>
      <c r="AK835" s="142"/>
    </row>
    <row r="836" spans="1:40" ht="46.35" customHeight="1">
      <c r="A836" s="158"/>
      <c r="B836" s="164"/>
      <c r="C836" s="59"/>
      <c r="D836" s="60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0"/>
      <c r="R836" s="64"/>
      <c r="S836" s="64"/>
      <c r="T836" s="65"/>
      <c r="U836" s="65"/>
      <c r="V836" s="49"/>
      <c r="W836" s="49"/>
      <c r="X836" s="66"/>
      <c r="AB836" s="6"/>
      <c r="AC836" s="66"/>
      <c r="AD836" s="130"/>
      <c r="AE836" s="130"/>
      <c r="AI836" s="142"/>
      <c r="AK836" s="142"/>
    </row>
    <row r="837" spans="1:40" s="52" customFormat="1" ht="46.35" customHeight="1">
      <c r="A837" s="158"/>
      <c r="B837" s="164"/>
      <c r="C837" s="59"/>
      <c r="D837" s="60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46"/>
      <c r="R837" s="47"/>
      <c r="S837" s="64"/>
      <c r="T837" s="48"/>
      <c r="U837" s="48"/>
      <c r="V837" s="49"/>
      <c r="W837" s="50"/>
      <c r="X837" s="51"/>
      <c r="Y837" s="2"/>
      <c r="Z837" s="2"/>
      <c r="AB837" s="2"/>
      <c r="AC837" s="51"/>
      <c r="AD837" s="129"/>
      <c r="AE837" s="129"/>
      <c r="AI837" s="142"/>
      <c r="AK837" s="142"/>
    </row>
    <row r="838" spans="1:40" s="52" customFormat="1" ht="46.15" customHeight="1">
      <c r="A838" s="158"/>
      <c r="B838" s="164"/>
      <c r="C838" s="59"/>
      <c r="D838" s="60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46"/>
      <c r="R838" s="47"/>
      <c r="S838" s="64"/>
      <c r="T838" s="48"/>
      <c r="U838" s="48"/>
      <c r="V838" s="49"/>
      <c r="W838" s="50"/>
      <c r="X838" s="51"/>
      <c r="Y838" s="2"/>
      <c r="Z838" s="2"/>
      <c r="AB838" s="2"/>
      <c r="AC838" s="51"/>
      <c r="AD838" s="129"/>
      <c r="AE838" s="12"/>
      <c r="AI838" s="142"/>
      <c r="AK838" s="142"/>
    </row>
    <row r="839" spans="1:40" ht="46.15" customHeight="1">
      <c r="A839" s="158"/>
      <c r="B839" s="164"/>
      <c r="C839" s="59"/>
      <c r="D839" s="60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0"/>
      <c r="R839" s="64"/>
      <c r="S839" s="64"/>
      <c r="T839" s="65"/>
      <c r="U839" s="65"/>
      <c r="V839" s="49"/>
      <c r="W839" s="49"/>
      <c r="X839" s="66"/>
      <c r="Y839" s="49"/>
      <c r="Z839" s="49"/>
      <c r="AB839" s="49"/>
      <c r="AC839" s="66"/>
      <c r="AD839" s="129"/>
      <c r="AE839" s="11"/>
      <c r="AI839" s="142"/>
      <c r="AK839" s="142"/>
    </row>
    <row r="840" spans="1:40" ht="46.15" customHeight="1">
      <c r="A840" s="158"/>
      <c r="B840" s="164"/>
      <c r="C840" s="64"/>
      <c r="D840" s="64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0"/>
      <c r="R840" s="64"/>
      <c r="S840" s="64"/>
      <c r="T840" s="65"/>
      <c r="U840" s="65"/>
      <c r="V840" s="49"/>
      <c r="W840" s="49"/>
      <c r="X840" s="66"/>
      <c r="Y840" s="137"/>
      <c r="AB840" s="66"/>
      <c r="AC840" s="66"/>
      <c r="AD840" s="129"/>
      <c r="AE840" s="11"/>
      <c r="AI840" s="142"/>
      <c r="AK840" s="142"/>
    </row>
    <row r="841" spans="1:40" s="25" customFormat="1" ht="46.15" customHeight="1">
      <c r="A841" s="158"/>
      <c r="B841" s="164"/>
      <c r="C841" s="102"/>
      <c r="D841" s="103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133"/>
      <c r="R841" s="117"/>
      <c r="S841" s="64"/>
      <c r="T841" s="65"/>
      <c r="U841" s="65"/>
      <c r="V841" s="49"/>
      <c r="W841" s="49"/>
      <c r="X841" s="66"/>
      <c r="Y841" s="137"/>
      <c r="Z841" s="27"/>
      <c r="AB841" s="111"/>
      <c r="AC841" s="111"/>
      <c r="AD841" s="129"/>
      <c r="AE841" s="22"/>
      <c r="AI841" s="142"/>
      <c r="AK841" s="142"/>
    </row>
    <row r="842" spans="1:40" ht="46.15" customHeight="1">
      <c r="A842" s="158"/>
      <c r="B842" s="164"/>
      <c r="C842" s="59"/>
      <c r="D842" s="60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0"/>
      <c r="R842" s="64"/>
      <c r="S842" s="64"/>
      <c r="T842" s="65"/>
      <c r="U842" s="65"/>
      <c r="V842" s="49"/>
      <c r="W842" s="49"/>
      <c r="X842" s="66"/>
      <c r="Y842" s="137"/>
      <c r="AB842" s="66"/>
      <c r="AC842" s="66"/>
      <c r="AD842" s="129"/>
      <c r="AE842" s="11"/>
      <c r="AI842" s="142"/>
      <c r="AK842" s="142"/>
    </row>
    <row r="843" spans="1:40" ht="46.15" customHeight="1">
      <c r="A843" s="158"/>
      <c r="B843" s="164"/>
      <c r="C843" s="59"/>
      <c r="D843" s="60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0"/>
      <c r="R843" s="64"/>
      <c r="S843" s="64"/>
      <c r="T843" s="65"/>
      <c r="U843" s="65"/>
      <c r="V843" s="49"/>
      <c r="W843" s="49"/>
      <c r="X843" s="66"/>
      <c r="Y843" s="137"/>
      <c r="AB843" s="66"/>
      <c r="AC843" s="66"/>
      <c r="AD843" s="129"/>
      <c r="AE843" s="11"/>
      <c r="AI843" s="142"/>
      <c r="AK843" s="142"/>
    </row>
    <row r="844" spans="1:40" ht="46.15" customHeight="1">
      <c r="A844" s="158"/>
      <c r="B844" s="164"/>
      <c r="C844" s="59"/>
      <c r="D844" s="60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60"/>
      <c r="R844" s="64"/>
      <c r="S844" s="64"/>
      <c r="T844" s="65"/>
      <c r="U844" s="65"/>
      <c r="V844" s="49"/>
      <c r="W844" s="49"/>
      <c r="X844" s="66"/>
      <c r="Y844" s="137"/>
      <c r="AB844" s="66"/>
      <c r="AC844" s="66"/>
      <c r="AD844" s="129"/>
      <c r="AE844" s="11"/>
      <c r="AI844" s="142"/>
      <c r="AK844" s="142"/>
    </row>
    <row r="845" spans="1:40" ht="61.5" customHeight="1">
      <c r="A845" s="158"/>
      <c r="B845" s="164"/>
      <c r="C845" s="59"/>
      <c r="D845" s="60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0"/>
      <c r="R845" s="64"/>
      <c r="S845" s="64"/>
      <c r="T845" s="65"/>
      <c r="U845" s="65"/>
      <c r="V845" s="49"/>
      <c r="W845" s="49"/>
      <c r="X845" s="66"/>
      <c r="Y845" s="137"/>
      <c r="AB845" s="66"/>
      <c r="AC845" s="66"/>
      <c r="AD845" s="129"/>
      <c r="AE845" s="11"/>
      <c r="AI845" s="142"/>
      <c r="AK845" s="142"/>
    </row>
    <row r="846" spans="1:40" ht="61.5" customHeight="1">
      <c r="A846" s="158"/>
      <c r="B846" s="164"/>
      <c r="C846" s="59"/>
      <c r="D846" s="78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0"/>
      <c r="R846" s="64"/>
      <c r="S846" s="64"/>
      <c r="T846" s="65"/>
      <c r="U846" s="65"/>
      <c r="V846" s="49"/>
      <c r="W846" s="49"/>
      <c r="X846" s="66"/>
      <c r="Y846" s="137"/>
      <c r="AB846" s="66"/>
      <c r="AC846" s="66"/>
      <c r="AD846" s="129"/>
      <c r="AE846" s="11"/>
      <c r="AI846" s="142"/>
      <c r="AK846" s="142"/>
    </row>
    <row r="847" spans="1:40" ht="61.5" customHeight="1">
      <c r="A847" s="158"/>
      <c r="B847" s="164"/>
      <c r="C847" s="59"/>
      <c r="D847" s="60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0"/>
      <c r="R847" s="64"/>
      <c r="S847" s="64"/>
      <c r="T847" s="65"/>
      <c r="U847" s="65"/>
      <c r="V847" s="49"/>
      <c r="W847" s="49"/>
      <c r="X847" s="66"/>
      <c r="Y847" s="143"/>
      <c r="Z847" s="143"/>
      <c r="AA847" s="143"/>
      <c r="AB847" s="143"/>
      <c r="AC847" s="143"/>
      <c r="AD847" s="129"/>
      <c r="AE847" s="11"/>
      <c r="AF847" s="143"/>
      <c r="AG847" s="143"/>
      <c r="AH847" s="143"/>
      <c r="AI847" s="143"/>
      <c r="AJ847" s="143"/>
      <c r="AK847" s="143"/>
      <c r="AL847" s="143"/>
      <c r="AM847" s="143"/>
      <c r="AN847" s="143"/>
    </row>
    <row r="848" spans="1:40" ht="61.5" customHeight="1">
      <c r="A848" s="158"/>
      <c r="B848" s="54"/>
      <c r="C848" s="59"/>
      <c r="D848" s="60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0"/>
      <c r="R848" s="47"/>
      <c r="S848" s="47"/>
      <c r="T848" s="48"/>
      <c r="U848" s="48"/>
      <c r="V848" s="49"/>
      <c r="W848" s="50"/>
      <c r="X848" s="51"/>
      <c r="AB848" s="66"/>
      <c r="AC848" s="51"/>
      <c r="AI848" s="142"/>
      <c r="AK848" s="142"/>
    </row>
    <row r="849" spans="1:37" ht="61.5" customHeight="1">
      <c r="A849" s="158"/>
      <c r="B849" s="54"/>
      <c r="C849" s="59"/>
      <c r="D849" s="60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0"/>
      <c r="R849" s="47"/>
      <c r="S849" s="47"/>
      <c r="T849" s="48"/>
      <c r="U849" s="48"/>
      <c r="V849" s="49"/>
      <c r="W849" s="50"/>
      <c r="X849" s="51"/>
      <c r="AB849" s="66"/>
      <c r="AC849" s="51"/>
      <c r="AI849" s="142"/>
      <c r="AK849" s="142"/>
    </row>
    <row r="850" spans="1:37" ht="61.5" customHeight="1">
      <c r="A850" s="158"/>
      <c r="B850" s="54"/>
      <c r="C850" s="59"/>
      <c r="D850" s="60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0"/>
      <c r="R850" s="47"/>
      <c r="S850" s="47"/>
      <c r="T850" s="48"/>
      <c r="U850" s="48"/>
      <c r="V850" s="49"/>
      <c r="W850" s="50"/>
      <c r="X850" s="51"/>
      <c r="AB850" s="66"/>
      <c r="AC850" s="51"/>
      <c r="AI850" s="142"/>
      <c r="AK850" s="142"/>
    </row>
    <row r="851" spans="1:37" ht="61.5" customHeight="1">
      <c r="A851" s="159"/>
      <c r="B851" s="54"/>
      <c r="C851" s="59"/>
      <c r="D851" s="60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81"/>
      <c r="R851" s="47"/>
      <c r="S851" s="47"/>
      <c r="T851" s="48"/>
      <c r="U851" s="48"/>
      <c r="V851" s="49"/>
      <c r="W851" s="50"/>
      <c r="X851" s="51"/>
      <c r="AB851" s="66"/>
      <c r="AC851" s="51"/>
      <c r="AI851" s="142"/>
      <c r="AK851" s="142"/>
    </row>
    <row r="852" spans="1:37" ht="61.5" customHeight="1">
      <c r="A852" s="84"/>
      <c r="B852" s="84"/>
      <c r="C852" s="59"/>
      <c r="D852" s="60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46"/>
      <c r="R852" s="47"/>
      <c r="S852" s="47"/>
      <c r="T852" s="48"/>
      <c r="U852" s="48"/>
      <c r="V852" s="49"/>
      <c r="W852" s="50"/>
      <c r="X852" s="51"/>
      <c r="AI852" s="142"/>
      <c r="AK852" s="142"/>
    </row>
    <row r="853" spans="1:37" ht="61.5" customHeight="1">
      <c r="A853" s="84"/>
      <c r="B853" s="84"/>
      <c r="C853" s="59"/>
      <c r="D853" s="60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46"/>
      <c r="R853" s="47"/>
      <c r="S853" s="47"/>
      <c r="T853" s="48"/>
      <c r="U853" s="48"/>
      <c r="V853" s="49"/>
      <c r="W853" s="50"/>
      <c r="X853" s="51"/>
      <c r="AI853" s="142"/>
      <c r="AK853" s="142"/>
    </row>
    <row r="854" spans="1:37" ht="61.5" customHeight="1">
      <c r="A854" s="84"/>
      <c r="B854" s="84"/>
      <c r="C854" s="59"/>
      <c r="D854" s="60"/>
      <c r="E854" s="85"/>
      <c r="F854" s="85"/>
      <c r="G854" s="85"/>
      <c r="H854" s="85"/>
      <c r="I854" s="85"/>
      <c r="J854" s="85"/>
      <c r="K854" s="85"/>
      <c r="L854" s="86"/>
      <c r="M854" s="85"/>
      <c r="N854" s="85"/>
      <c r="O854" s="85"/>
      <c r="P854" s="85"/>
      <c r="Q854" s="46"/>
      <c r="R854" s="47"/>
      <c r="S854" s="47"/>
      <c r="T854" s="48"/>
      <c r="U854" s="48"/>
      <c r="V854" s="49"/>
      <c r="W854" s="50"/>
      <c r="X854" s="51"/>
      <c r="AI854" s="142"/>
      <c r="AK854" s="142"/>
    </row>
    <row r="855" spans="1:37" ht="61.5" customHeight="1">
      <c r="A855" s="84"/>
      <c r="B855" s="84"/>
      <c r="C855" s="59"/>
      <c r="D855" s="60"/>
      <c r="E855" s="85"/>
      <c r="F855" s="85"/>
      <c r="G855" s="85"/>
      <c r="H855" s="85"/>
      <c r="I855" s="85"/>
      <c r="J855" s="85"/>
      <c r="K855" s="85"/>
      <c r="L855" s="86"/>
      <c r="M855" s="85"/>
      <c r="N855" s="85"/>
      <c r="O855" s="85"/>
      <c r="P855" s="85"/>
      <c r="Q855" s="46"/>
      <c r="R855" s="47"/>
      <c r="S855" s="47"/>
      <c r="T855" s="48"/>
      <c r="U855" s="48"/>
      <c r="V855" s="49"/>
      <c r="W855" s="50"/>
      <c r="X855" s="51"/>
      <c r="AI855" s="142"/>
      <c r="AK855" s="142"/>
    </row>
    <row r="856" spans="1:37" ht="61.5" customHeight="1">
      <c r="A856" s="84"/>
      <c r="B856" s="84"/>
      <c r="C856" s="59"/>
      <c r="D856" s="60"/>
      <c r="E856" s="85"/>
      <c r="F856" s="85"/>
      <c r="G856" s="85"/>
      <c r="H856" s="85"/>
      <c r="I856" s="85"/>
      <c r="J856" s="85"/>
      <c r="K856" s="85"/>
      <c r="L856" s="86"/>
      <c r="M856" s="85"/>
      <c r="N856" s="85"/>
      <c r="O856" s="85"/>
      <c r="P856" s="85"/>
      <c r="Q856" s="46"/>
      <c r="R856" s="47"/>
      <c r="S856" s="47"/>
      <c r="T856" s="48"/>
      <c r="U856" s="48"/>
      <c r="V856" s="49"/>
      <c r="W856" s="50"/>
      <c r="X856" s="51"/>
      <c r="AI856" s="142"/>
      <c r="AK856" s="142"/>
    </row>
    <row r="857" spans="1:37" ht="61.5" customHeight="1">
      <c r="A857" s="84"/>
      <c r="B857" s="84"/>
      <c r="C857" s="59"/>
      <c r="D857" s="60"/>
      <c r="E857" s="85"/>
      <c r="F857" s="85"/>
      <c r="G857" s="85"/>
      <c r="H857" s="85"/>
      <c r="I857" s="85"/>
      <c r="J857" s="85"/>
      <c r="K857" s="85"/>
      <c r="L857" s="86"/>
      <c r="M857" s="85"/>
      <c r="N857" s="85"/>
      <c r="O857" s="85"/>
      <c r="P857" s="85"/>
      <c r="Q857" s="46"/>
      <c r="R857" s="47"/>
      <c r="S857" s="47"/>
      <c r="T857" s="48"/>
      <c r="U857" s="48"/>
      <c r="V857" s="49"/>
      <c r="W857" s="50"/>
      <c r="X857" s="51"/>
      <c r="AI857" s="142"/>
      <c r="AK857" s="142"/>
    </row>
    <row r="858" spans="1:37" ht="61.5" customHeight="1">
      <c r="A858" s="84"/>
      <c r="B858" s="84"/>
      <c r="C858" s="59"/>
      <c r="D858" s="60"/>
      <c r="E858" s="85"/>
      <c r="F858" s="85"/>
      <c r="G858" s="85"/>
      <c r="H858" s="85"/>
      <c r="I858" s="85"/>
      <c r="J858" s="85"/>
      <c r="K858" s="85"/>
      <c r="L858" s="86"/>
      <c r="M858" s="85"/>
      <c r="N858" s="85"/>
      <c r="O858" s="85"/>
      <c r="P858" s="85"/>
      <c r="Q858" s="46"/>
      <c r="R858" s="47"/>
      <c r="S858" s="47"/>
      <c r="T858" s="48"/>
      <c r="U858" s="48"/>
      <c r="V858" s="49"/>
      <c r="W858" s="50"/>
      <c r="X858" s="51"/>
      <c r="AI858" s="142"/>
      <c r="AK858" s="142"/>
    </row>
    <row r="859" spans="1:37" ht="61.5" customHeight="1">
      <c r="A859" s="84"/>
      <c r="B859" s="84"/>
      <c r="C859" s="59"/>
      <c r="D859" s="64"/>
      <c r="E859" s="85"/>
      <c r="F859" s="85"/>
      <c r="G859" s="85"/>
      <c r="H859" s="85"/>
      <c r="I859" s="85"/>
      <c r="J859" s="85"/>
      <c r="K859" s="85"/>
      <c r="L859" s="86"/>
      <c r="M859" s="85"/>
      <c r="N859" s="85"/>
      <c r="O859" s="85"/>
      <c r="P859" s="85"/>
      <c r="Q859" s="46"/>
      <c r="R859" s="47"/>
      <c r="S859" s="47"/>
      <c r="T859" s="48"/>
      <c r="U859" s="48"/>
      <c r="V859" s="49"/>
      <c r="W859" s="50"/>
      <c r="X859" s="51"/>
      <c r="AI859" s="142"/>
      <c r="AK859" s="142"/>
    </row>
    <row r="860" spans="1:37" s="109" customFormat="1" ht="65.099999999999994" customHeight="1">
      <c r="A860" s="157" t="s">
        <v>55</v>
      </c>
      <c r="B860" s="163" t="s">
        <v>17</v>
      </c>
      <c r="C860" s="42"/>
      <c r="D860" s="43"/>
      <c r="E860" s="44"/>
      <c r="F860" s="44"/>
      <c r="G860" s="44"/>
      <c r="H860" s="45"/>
      <c r="I860" s="44"/>
      <c r="J860" s="44"/>
      <c r="K860" s="44"/>
      <c r="L860" s="44"/>
      <c r="M860" s="44"/>
      <c r="N860" s="44"/>
      <c r="O860" s="44"/>
      <c r="P860" s="44"/>
      <c r="Q860" s="43"/>
      <c r="R860" s="91"/>
      <c r="S860" s="47"/>
      <c r="T860" s="48"/>
      <c r="U860" s="48"/>
      <c r="V860" s="49"/>
      <c r="W860" s="50"/>
      <c r="X860" s="51"/>
      <c r="Y860" s="108"/>
      <c r="Z860" s="108"/>
    </row>
    <row r="861" spans="1:37" s="52" customFormat="1">
      <c r="A861" s="158"/>
      <c r="B861" s="164"/>
      <c r="C861" s="55"/>
      <c r="D861" s="4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114"/>
      <c r="R861" s="47"/>
      <c r="S861" s="64"/>
      <c r="T861" s="48"/>
      <c r="U861" s="48"/>
      <c r="V861" s="49"/>
      <c r="W861" s="50"/>
      <c r="X861" s="51"/>
      <c r="Y861" s="2"/>
      <c r="Z861" s="2"/>
      <c r="AB861" s="2"/>
    </row>
    <row r="862" spans="1:37" s="52" customFormat="1">
      <c r="A862" s="158"/>
      <c r="B862" s="164"/>
      <c r="C862" s="59" t="s">
        <v>18</v>
      </c>
      <c r="D862" s="60" t="s">
        <v>19</v>
      </c>
      <c r="E862" s="61">
        <v>437.464</v>
      </c>
      <c r="F862" s="61">
        <v>416.36799999999999</v>
      </c>
      <c r="G862" s="61">
        <v>438.88299999999998</v>
      </c>
      <c r="H862" s="61">
        <v>448.88200000000001</v>
      </c>
      <c r="I862" s="61">
        <v>519.62699999999995</v>
      </c>
      <c r="J862" s="61">
        <v>439.07100000000003</v>
      </c>
      <c r="K862" s="61">
        <v>466.68400000000003</v>
      </c>
      <c r="L862" s="61">
        <v>444.21100000000001</v>
      </c>
      <c r="M862" s="61">
        <v>447.45600000000002</v>
      </c>
      <c r="N862" s="61">
        <v>435.709</v>
      </c>
      <c r="O862" s="61">
        <v>444.565</v>
      </c>
      <c r="P862" s="61">
        <v>479.82</v>
      </c>
      <c r="Q862" s="114"/>
      <c r="R862" s="47"/>
      <c r="S862" s="64"/>
      <c r="T862" s="48"/>
      <c r="U862" s="48"/>
      <c r="V862" s="49"/>
      <c r="W862" s="50"/>
      <c r="X862" s="51"/>
      <c r="Y862" s="2"/>
      <c r="Z862" s="2"/>
      <c r="AB862" s="2"/>
    </row>
    <row r="863" spans="1:37" s="52" customFormat="1">
      <c r="A863" s="158"/>
      <c r="B863" s="164"/>
      <c r="C863" s="59" t="s">
        <v>18</v>
      </c>
      <c r="D863" s="60" t="s">
        <v>20</v>
      </c>
      <c r="E863" s="61">
        <v>394.346</v>
      </c>
      <c r="F863" s="61">
        <v>460.80500000000001</v>
      </c>
      <c r="G863" s="61">
        <v>426.65</v>
      </c>
      <c r="H863" s="61">
        <v>448.59500000000003</v>
      </c>
      <c r="I863" s="61">
        <v>409.23399999999998</v>
      </c>
      <c r="J863" s="61">
        <v>392.84800000000001</v>
      </c>
      <c r="K863" s="61">
        <v>442.63799999999998</v>
      </c>
      <c r="L863" s="61">
        <v>428.35</v>
      </c>
      <c r="M863" s="61">
        <v>465.74799999999999</v>
      </c>
      <c r="N863" s="61">
        <v>437.29</v>
      </c>
      <c r="O863" s="61">
        <v>401.83600000000001</v>
      </c>
      <c r="P863" s="61">
        <v>472.12400000000002</v>
      </c>
      <c r="Q863" s="114"/>
      <c r="R863" s="47"/>
      <c r="S863" s="64"/>
      <c r="T863" s="48"/>
      <c r="U863" s="48"/>
      <c r="V863" s="49"/>
      <c r="W863" s="50"/>
      <c r="X863" s="51"/>
      <c r="Y863" s="2"/>
      <c r="Z863" s="2"/>
      <c r="AB863" s="2"/>
    </row>
    <row r="864" spans="1:37" ht="46.35" customHeight="1">
      <c r="A864" s="158"/>
      <c r="B864" s="164"/>
      <c r="C864" s="59" t="s">
        <v>18</v>
      </c>
      <c r="D864" s="60" t="s">
        <v>21</v>
      </c>
      <c r="E864" s="61">
        <v>370.863</v>
      </c>
      <c r="F864" s="61">
        <v>410.55399999999997</v>
      </c>
      <c r="G864" s="61">
        <v>445.87700000000001</v>
      </c>
      <c r="H864" s="61">
        <v>455.24700000000001</v>
      </c>
      <c r="I864" s="61">
        <v>455.4</v>
      </c>
      <c r="J864" s="61">
        <v>438.09699999999998</v>
      </c>
      <c r="K864" s="61">
        <v>450.63400000000001</v>
      </c>
      <c r="L864" s="61">
        <v>408.76600000000002</v>
      </c>
      <c r="M864" s="61">
        <v>438.57</v>
      </c>
      <c r="N864" s="61">
        <v>458.16300000000001</v>
      </c>
      <c r="O864" s="61">
        <v>431.07100000000003</v>
      </c>
      <c r="P864" s="61">
        <v>464.714</v>
      </c>
      <c r="Q864" s="115"/>
      <c r="R864" s="64"/>
      <c r="S864" s="64"/>
      <c r="T864" s="65"/>
      <c r="U864" s="65"/>
      <c r="V864" s="49"/>
      <c r="W864" s="49"/>
      <c r="X864" s="66"/>
      <c r="AB864" s="6"/>
    </row>
    <row r="865" spans="1:28" s="52" customFormat="1" ht="46.35" customHeight="1">
      <c r="A865" s="158"/>
      <c r="B865" s="164"/>
      <c r="C865" s="59" t="s">
        <v>18</v>
      </c>
      <c r="D865" s="60" t="s">
        <v>22</v>
      </c>
      <c r="E865" s="61">
        <v>371.65199999999999</v>
      </c>
      <c r="F865" s="61">
        <v>395.36</v>
      </c>
      <c r="G865" s="61">
        <v>385.041</v>
      </c>
      <c r="H865" s="61">
        <v>358.24</v>
      </c>
      <c r="I865" s="61">
        <v>340.61</v>
      </c>
      <c r="J865" s="61">
        <v>334.44799999999998</v>
      </c>
      <c r="K865" s="61">
        <v>405.77699999999999</v>
      </c>
      <c r="L865" s="61">
        <v>402.096</v>
      </c>
      <c r="M865" s="61">
        <v>436.00209999999998</v>
      </c>
      <c r="N865" s="61">
        <v>503.21899999999999</v>
      </c>
      <c r="O865" s="61">
        <v>407.90300000000002</v>
      </c>
      <c r="P865" s="61">
        <v>483.02699999999999</v>
      </c>
      <c r="Q865" s="114"/>
      <c r="R865" s="47"/>
      <c r="S865" s="64"/>
      <c r="T865" s="48"/>
      <c r="U865" s="48"/>
      <c r="V865" s="49"/>
      <c r="W865" s="50"/>
      <c r="X865" s="51"/>
      <c r="Y865" s="2"/>
      <c r="Z865" s="2"/>
      <c r="AB865" s="2"/>
    </row>
    <row r="866" spans="1:28" s="52" customFormat="1" ht="46.15" customHeight="1">
      <c r="A866" s="158"/>
      <c r="B866" s="164"/>
      <c r="C866" s="59" t="s">
        <v>18</v>
      </c>
      <c r="D866" s="60" t="s">
        <v>23</v>
      </c>
      <c r="E866" s="61">
        <v>358.95100000000002</v>
      </c>
      <c r="F866" s="61">
        <v>315.50900000000001</v>
      </c>
      <c r="G866" s="61">
        <v>370.46899999999999</v>
      </c>
      <c r="H866" s="61">
        <v>385.58300000000003</v>
      </c>
      <c r="I866" s="61">
        <v>387.892</v>
      </c>
      <c r="J866" s="61">
        <v>406.66699999999997</v>
      </c>
      <c r="K866" s="61">
        <v>422.78800000000001</v>
      </c>
      <c r="L866" s="61">
        <v>365.59199999999998</v>
      </c>
      <c r="M866" s="61">
        <v>413.339</v>
      </c>
      <c r="N866" s="61">
        <v>405.05900000000003</v>
      </c>
      <c r="O866" s="61">
        <v>378.65726999999998</v>
      </c>
      <c r="P866" s="61">
        <v>455.798</v>
      </c>
      <c r="Q866" s="114"/>
      <c r="R866" s="47"/>
      <c r="S866" s="64"/>
      <c r="T866" s="48"/>
      <c r="U866" s="48"/>
      <c r="V866" s="49"/>
      <c r="W866" s="50"/>
      <c r="X866" s="51"/>
      <c r="Y866" s="2"/>
      <c r="Z866" s="2"/>
      <c r="AB866" s="2"/>
    </row>
    <row r="867" spans="1:28" ht="46.15" customHeight="1">
      <c r="A867" s="158"/>
      <c r="B867" s="164"/>
      <c r="C867" s="59" t="s">
        <v>18</v>
      </c>
      <c r="D867" s="60" t="s">
        <v>24</v>
      </c>
      <c r="E867" s="61">
        <v>151.20400000000001</v>
      </c>
      <c r="F867" s="61">
        <v>234.12518000000003</v>
      </c>
      <c r="G867" s="61">
        <v>225.94499999999999</v>
      </c>
      <c r="H867" s="61">
        <v>338.07969000000003</v>
      </c>
      <c r="I867" s="61">
        <v>301.149</v>
      </c>
      <c r="J867" s="61">
        <v>328.17700000000002</v>
      </c>
      <c r="K867" s="61">
        <v>389.00200000000001</v>
      </c>
      <c r="L867" s="61">
        <v>367.87400000000002</v>
      </c>
      <c r="M867" s="61">
        <v>387.09500000000003</v>
      </c>
      <c r="N867" s="61">
        <v>412.767</v>
      </c>
      <c r="O867" s="61">
        <v>368.71499999999997</v>
      </c>
      <c r="P867" s="61">
        <v>452.07499999999999</v>
      </c>
      <c r="Q867" s="115"/>
      <c r="R867" s="64"/>
      <c r="S867" s="64"/>
      <c r="T867" s="65"/>
      <c r="U867" s="65"/>
      <c r="V867" s="49"/>
      <c r="W867" s="49"/>
      <c r="X867" s="66"/>
      <c r="Y867" s="49"/>
      <c r="Z867" s="49"/>
      <c r="AB867" s="49"/>
    </row>
    <row r="868" spans="1:28" ht="46.15" customHeight="1">
      <c r="A868" s="158"/>
      <c r="B868" s="164"/>
      <c r="C868" s="59" t="s">
        <v>18</v>
      </c>
      <c r="D868" s="60" t="s">
        <v>25</v>
      </c>
      <c r="E868" s="61">
        <v>300.07299999999998</v>
      </c>
      <c r="F868" s="61">
        <v>296.04700000000003</v>
      </c>
      <c r="G868" s="61">
        <v>294.05700000000002</v>
      </c>
      <c r="H868" s="61">
        <v>304.726</v>
      </c>
      <c r="I868" s="61">
        <v>358.64400000000001</v>
      </c>
      <c r="J868" s="61">
        <v>300.02800000000002</v>
      </c>
      <c r="K868" s="61">
        <v>325.42200000000003</v>
      </c>
      <c r="L868" s="61">
        <v>333.04599999999999</v>
      </c>
      <c r="M868" s="61">
        <v>392.05399999999997</v>
      </c>
      <c r="N868" s="61">
        <v>381.53199999999998</v>
      </c>
      <c r="O868" s="61">
        <v>353.45</v>
      </c>
      <c r="P868" s="61">
        <v>343.96899999999999</v>
      </c>
      <c r="Q868" s="115"/>
      <c r="R868" s="64"/>
      <c r="S868" s="64"/>
      <c r="T868" s="65"/>
      <c r="U868" s="65"/>
      <c r="V868" s="49"/>
      <c r="W868" s="49"/>
      <c r="X868" s="66"/>
    </row>
    <row r="869" spans="1:28" s="25" customFormat="1" ht="46.15" customHeight="1">
      <c r="A869" s="158"/>
      <c r="B869" s="164"/>
      <c r="C869" s="102" t="s">
        <v>18</v>
      </c>
      <c r="D869" s="103" t="s">
        <v>26</v>
      </c>
      <c r="E869" s="61">
        <v>287.00799999999998</v>
      </c>
      <c r="F869" s="61">
        <v>325.10300000000001</v>
      </c>
      <c r="G869" s="61">
        <v>284.00900000000001</v>
      </c>
      <c r="H869" s="61">
        <v>201.1</v>
      </c>
      <c r="I869" s="61">
        <v>300.16800000000001</v>
      </c>
      <c r="J869" s="61">
        <v>301.101</v>
      </c>
      <c r="K869" s="61">
        <v>325.21699999999998</v>
      </c>
      <c r="L869" s="61">
        <v>300.45400000000001</v>
      </c>
      <c r="M869" s="61">
        <v>305.108</v>
      </c>
      <c r="N869" s="61">
        <v>296.61</v>
      </c>
      <c r="O869" s="61">
        <v>340.017</v>
      </c>
      <c r="P869" s="61">
        <v>407.46699999999998</v>
      </c>
      <c r="Q869" s="116"/>
      <c r="R869" s="117"/>
      <c r="S869" s="64"/>
      <c r="T869" s="65"/>
      <c r="U869" s="65"/>
      <c r="V869" s="49"/>
      <c r="W869" s="49"/>
      <c r="X869" s="66"/>
      <c r="Y869" s="27"/>
      <c r="Z869" s="27"/>
    </row>
    <row r="870" spans="1:28" ht="46.15" customHeight="1">
      <c r="A870" s="158"/>
      <c r="B870" s="164"/>
      <c r="C870" s="59" t="s">
        <v>18</v>
      </c>
      <c r="D870" s="60" t="s">
        <v>27</v>
      </c>
      <c r="E870" s="61">
        <v>310.62099999999998</v>
      </c>
      <c r="F870" s="61">
        <v>268.34100000000001</v>
      </c>
      <c r="G870" s="61">
        <v>261.298</v>
      </c>
      <c r="H870" s="61">
        <v>310.01299999999998</v>
      </c>
      <c r="I870" s="61">
        <v>330.017</v>
      </c>
      <c r="J870" s="61">
        <v>337.17</v>
      </c>
      <c r="K870" s="61">
        <v>340.09100000000001</v>
      </c>
      <c r="L870" s="61">
        <v>304.30700000000002</v>
      </c>
      <c r="M870" s="61">
        <v>280.04599999999999</v>
      </c>
      <c r="N870" s="61">
        <v>305.06799999999998</v>
      </c>
      <c r="O870" s="61">
        <v>301.32499999999999</v>
      </c>
      <c r="P870" s="61">
        <v>336.21499999999997</v>
      </c>
      <c r="Q870" s="60"/>
      <c r="R870" s="64"/>
      <c r="S870" s="64"/>
      <c r="T870" s="65"/>
      <c r="U870" s="65"/>
      <c r="V870" s="49"/>
      <c r="W870" s="49"/>
      <c r="X870" s="66"/>
    </row>
    <row r="871" spans="1:28" ht="46.15" customHeight="1">
      <c r="A871" s="158"/>
      <c r="B871" s="164"/>
      <c r="C871" s="59" t="s">
        <v>18</v>
      </c>
      <c r="D871" s="60" t="s">
        <v>28</v>
      </c>
      <c r="E871" s="61">
        <v>343.12700000000001</v>
      </c>
      <c r="F871" s="61">
        <v>340.00299999999999</v>
      </c>
      <c r="G871" s="61">
        <v>342.226</v>
      </c>
      <c r="H871" s="61">
        <v>328.48099999999999</v>
      </c>
      <c r="I871" s="61">
        <v>350.14400000000001</v>
      </c>
      <c r="J871" s="61">
        <v>340.00900000000001</v>
      </c>
      <c r="K871" s="61">
        <v>340.05900000000003</v>
      </c>
      <c r="L871" s="61">
        <v>312.99900000000002</v>
      </c>
      <c r="M871" s="61">
        <v>301.07900000000001</v>
      </c>
      <c r="N871" s="61">
        <v>338.02800000000002</v>
      </c>
      <c r="O871" s="61">
        <v>310.18700000000001</v>
      </c>
      <c r="P871" s="61">
        <v>360.113</v>
      </c>
      <c r="Q871" s="60"/>
      <c r="R871" s="64"/>
      <c r="S871" s="64"/>
      <c r="T871" s="65"/>
      <c r="U871" s="65"/>
      <c r="V871" s="49"/>
      <c r="W871" s="49"/>
      <c r="X871" s="66"/>
    </row>
    <row r="872" spans="1:28" ht="46.15" customHeight="1">
      <c r="A872" s="158"/>
      <c r="B872" s="164"/>
      <c r="C872" s="59" t="s">
        <v>18</v>
      </c>
      <c r="D872" s="60" t="s">
        <v>29</v>
      </c>
      <c r="E872" s="76">
        <v>329.40100000000001</v>
      </c>
      <c r="F872" s="76">
        <v>350.14699999999999</v>
      </c>
      <c r="G872" s="76">
        <v>343.06</v>
      </c>
      <c r="H872" s="76">
        <v>325.238</v>
      </c>
      <c r="I872" s="76">
        <v>350.04899999999998</v>
      </c>
      <c r="J872" s="76">
        <v>325.09500000000003</v>
      </c>
      <c r="K872" s="76">
        <v>341.0573</v>
      </c>
      <c r="L872" s="76">
        <v>323.70334000000003</v>
      </c>
      <c r="M872" s="76">
        <v>356.1</v>
      </c>
      <c r="N872" s="76">
        <v>365.08499999999998</v>
      </c>
      <c r="O872" s="76">
        <v>352.06</v>
      </c>
      <c r="P872" s="76">
        <v>400.50099999999998</v>
      </c>
      <c r="Q872" s="60"/>
      <c r="R872" s="64"/>
      <c r="S872" s="64"/>
      <c r="T872" s="65"/>
      <c r="U872" s="65"/>
      <c r="V872" s="49"/>
      <c r="W872" s="49"/>
      <c r="X872" s="66"/>
    </row>
    <row r="873" spans="1:28" ht="61.5" customHeight="1">
      <c r="A873" s="158"/>
      <c r="B873" s="164"/>
      <c r="C873" s="59" t="s">
        <v>18</v>
      </c>
      <c r="D873" s="60" t="s">
        <v>30</v>
      </c>
      <c r="E873" s="61">
        <v>340.04700000000003</v>
      </c>
      <c r="F873" s="61">
        <v>345.41</v>
      </c>
      <c r="G873" s="61">
        <v>190.58199999999999</v>
      </c>
      <c r="H873" s="61">
        <v>350.06099999999998</v>
      </c>
      <c r="I873" s="61">
        <v>385.25700000000001</v>
      </c>
      <c r="J873" s="61">
        <v>400.012</v>
      </c>
      <c r="K873" s="61">
        <v>375.08100000000002</v>
      </c>
      <c r="L873" s="61">
        <v>345.286</v>
      </c>
      <c r="M873" s="61">
        <v>397.37299999999999</v>
      </c>
      <c r="N873" s="61">
        <v>405.036</v>
      </c>
      <c r="O873" s="61">
        <v>360.01799999999997</v>
      </c>
      <c r="P873" s="61">
        <v>434.06</v>
      </c>
      <c r="Q873" s="60"/>
      <c r="R873" s="64"/>
      <c r="S873" s="64"/>
      <c r="T873" s="65"/>
      <c r="U873" s="65"/>
      <c r="V873" s="49"/>
      <c r="W873" s="49"/>
      <c r="X873" s="66"/>
    </row>
    <row r="874" spans="1:28" ht="61.5" customHeight="1">
      <c r="A874" s="158"/>
      <c r="B874" s="164"/>
      <c r="C874" s="59" t="s">
        <v>18</v>
      </c>
      <c r="D874" s="78" t="s">
        <v>31</v>
      </c>
      <c r="E874" s="61">
        <v>380.05200000000002</v>
      </c>
      <c r="F874" s="61">
        <v>380.053</v>
      </c>
      <c r="G874" s="61">
        <v>365.91</v>
      </c>
      <c r="H874" s="61">
        <v>380.15100000000001</v>
      </c>
      <c r="I874" s="61">
        <v>385.036</v>
      </c>
      <c r="J874" s="61">
        <v>385.08499999999998</v>
      </c>
      <c r="K874" s="61">
        <v>366.08699999999999</v>
      </c>
      <c r="L874" s="61">
        <v>370.13299999999998</v>
      </c>
      <c r="M874" s="61">
        <v>385.077</v>
      </c>
      <c r="N874" s="61">
        <v>362.262</v>
      </c>
      <c r="O874" s="61">
        <v>356.154</v>
      </c>
      <c r="P874" s="61">
        <v>434.03</v>
      </c>
      <c r="Q874" s="60"/>
      <c r="R874" s="64"/>
      <c r="S874" s="64"/>
      <c r="T874" s="65"/>
      <c r="U874" s="65"/>
      <c r="V874" s="49"/>
      <c r="W874" s="49"/>
      <c r="X874" s="66"/>
      <c r="Y874" s="144"/>
    </row>
    <row r="875" spans="1:28" ht="61.5" customHeight="1">
      <c r="A875" s="158"/>
      <c r="B875" s="164"/>
      <c r="C875" s="59" t="s">
        <v>18</v>
      </c>
      <c r="D875" s="60" t="s">
        <v>32</v>
      </c>
      <c r="E875" s="61">
        <v>353.06400000000002</v>
      </c>
      <c r="F875" s="61">
        <v>363.21699999999998</v>
      </c>
      <c r="G875" s="61">
        <v>337.69200000000001</v>
      </c>
      <c r="H875" s="61">
        <v>385.26400000000001</v>
      </c>
      <c r="I875" s="61">
        <v>400.05500000000001</v>
      </c>
      <c r="J875" s="61">
        <v>372.66199999999998</v>
      </c>
      <c r="K875" s="61">
        <v>385.11500000000001</v>
      </c>
      <c r="L875" s="61">
        <v>363.642</v>
      </c>
      <c r="M875" s="61">
        <v>365.048</v>
      </c>
      <c r="N875" s="61">
        <v>357.19900000000001</v>
      </c>
      <c r="O875" s="61">
        <v>314.06900000000002</v>
      </c>
      <c r="P875" s="61">
        <v>366.55599999999998</v>
      </c>
      <c r="Q875" s="60"/>
      <c r="R875" s="47"/>
      <c r="S875" s="47"/>
      <c r="T875" s="48"/>
      <c r="U875" s="48"/>
      <c r="V875" s="49"/>
      <c r="W875" s="50"/>
      <c r="X875" s="51"/>
    </row>
    <row r="876" spans="1:28" ht="61.5" customHeight="1">
      <c r="A876" s="158"/>
      <c r="B876" s="164"/>
      <c r="C876" s="59" t="s">
        <v>18</v>
      </c>
      <c r="D876" s="60" t="s">
        <v>33</v>
      </c>
      <c r="E876" s="61">
        <v>368.10300000000001</v>
      </c>
      <c r="F876" s="61">
        <v>351.02600000000001</v>
      </c>
      <c r="G876" s="61">
        <v>308.17899999999997</v>
      </c>
      <c r="H876" s="61">
        <v>351.84199999999998</v>
      </c>
      <c r="I876" s="61">
        <v>355.11500000000001</v>
      </c>
      <c r="J876" s="61">
        <v>350.327</v>
      </c>
      <c r="K876" s="61">
        <v>358.28</v>
      </c>
      <c r="L876" s="61">
        <v>340.99900000000002</v>
      </c>
      <c r="M876" s="61">
        <v>375.416</v>
      </c>
      <c r="N876" s="61">
        <v>371.428</v>
      </c>
      <c r="O876" s="61">
        <v>351.5</v>
      </c>
      <c r="P876" s="61">
        <v>412.06</v>
      </c>
      <c r="Q876" s="60"/>
      <c r="R876" s="47"/>
      <c r="S876" s="47"/>
      <c r="T876" s="48"/>
      <c r="U876" s="48"/>
      <c r="V876" s="49"/>
      <c r="W876" s="50"/>
      <c r="X876" s="51"/>
    </row>
    <row r="877" spans="1:28" ht="61.5" customHeight="1">
      <c r="A877" s="158"/>
      <c r="B877" s="164"/>
      <c r="C877" s="59" t="s">
        <v>18</v>
      </c>
      <c r="D877" s="60" t="s">
        <v>34</v>
      </c>
      <c r="E877" s="61">
        <v>391.101</v>
      </c>
      <c r="F877" s="61">
        <v>380.83800000000002</v>
      </c>
      <c r="G877" s="61">
        <v>365.834</v>
      </c>
      <c r="H877" s="61">
        <v>364.8</v>
      </c>
      <c r="I877" s="61">
        <v>380.00299999999999</v>
      </c>
      <c r="J877" s="61">
        <v>348.36599999999999</v>
      </c>
      <c r="K877" s="61">
        <v>385.303</v>
      </c>
      <c r="L877" s="61">
        <v>367.08100000000002</v>
      </c>
      <c r="M877" s="61">
        <v>401.36900000000003</v>
      </c>
      <c r="N877" s="61">
        <v>401.786</v>
      </c>
      <c r="O877" s="61">
        <v>362.96699999999998</v>
      </c>
      <c r="P877" s="61">
        <v>416.024</v>
      </c>
      <c r="Q877" s="60"/>
      <c r="R877" s="47"/>
      <c r="S877" s="47"/>
      <c r="T877" s="48"/>
      <c r="U877" s="48"/>
      <c r="V877" s="49"/>
      <c r="W877" s="50"/>
      <c r="X877" s="51"/>
    </row>
    <row r="878" spans="1:28" ht="61.5" customHeight="1">
      <c r="A878" s="158"/>
      <c r="B878" s="164"/>
      <c r="C878" s="59" t="s">
        <v>18</v>
      </c>
      <c r="D878" s="60" t="s">
        <v>35</v>
      </c>
      <c r="E878" s="61">
        <v>347.62</v>
      </c>
      <c r="F878" s="61">
        <v>351.70600000000002</v>
      </c>
      <c r="G878" s="61">
        <v>361.43799999999999</v>
      </c>
      <c r="H878" s="61">
        <v>380.053</v>
      </c>
      <c r="I878" s="61">
        <v>371.774</v>
      </c>
      <c r="J878" s="61">
        <v>382.08600000000001</v>
      </c>
      <c r="K878" s="61">
        <v>340.49599999999998</v>
      </c>
      <c r="L878" s="61">
        <v>377.565</v>
      </c>
      <c r="M878" s="61">
        <v>394.22199999999998</v>
      </c>
      <c r="N878" s="61">
        <v>407.88900000000001</v>
      </c>
      <c r="O878" s="61">
        <v>216.49199999999999</v>
      </c>
      <c r="P878" s="61">
        <v>439.04</v>
      </c>
      <c r="Q878" s="60"/>
      <c r="R878" s="47"/>
      <c r="S878" s="47"/>
      <c r="T878" s="48"/>
      <c r="U878" s="48"/>
      <c r="V878" s="49"/>
      <c r="W878" s="50"/>
      <c r="X878" s="51"/>
    </row>
    <row r="879" spans="1:28" ht="61.5" customHeight="1">
      <c r="A879" s="158"/>
      <c r="B879" s="164"/>
      <c r="C879" s="59" t="s">
        <v>18</v>
      </c>
      <c r="D879" s="60" t="s">
        <v>36</v>
      </c>
      <c r="E879" s="61">
        <v>360.21300000000002</v>
      </c>
      <c r="F879" s="61">
        <v>357.1</v>
      </c>
      <c r="G879" s="61">
        <v>350.26400000000001</v>
      </c>
      <c r="H879" s="61">
        <v>385.18900000000002</v>
      </c>
      <c r="I879" s="61">
        <v>382.27199999999999</v>
      </c>
      <c r="J879" s="61">
        <v>368.19600000000003</v>
      </c>
      <c r="K879" s="61">
        <v>342.32799999999997</v>
      </c>
      <c r="L879" s="61">
        <v>379.82600000000002</v>
      </c>
      <c r="M879" s="61">
        <v>387.97199999999998</v>
      </c>
      <c r="N879" s="61">
        <v>387.71100000000001</v>
      </c>
      <c r="O879" s="61">
        <v>371.53</v>
      </c>
      <c r="P879" s="61">
        <v>419.012</v>
      </c>
      <c r="Q879" s="81"/>
      <c r="R879" s="47"/>
      <c r="S879" s="47"/>
      <c r="T879" s="48"/>
      <c r="U879" s="48"/>
      <c r="V879" s="49"/>
      <c r="W879" s="50"/>
      <c r="X879" s="51"/>
    </row>
    <row r="880" spans="1:28" ht="61.5" customHeight="1">
      <c r="A880" s="134"/>
      <c r="B880" s="164"/>
      <c r="C880" s="59" t="s">
        <v>18</v>
      </c>
      <c r="D880" s="60" t="s">
        <v>37</v>
      </c>
      <c r="E880" s="85">
        <v>364.80799999999999</v>
      </c>
      <c r="F880" s="85">
        <v>364.495</v>
      </c>
      <c r="G880" s="85">
        <v>337.28399999999999</v>
      </c>
      <c r="H880" s="85">
        <v>320.94200000000001</v>
      </c>
      <c r="I880" s="85">
        <v>341.09899999999999</v>
      </c>
      <c r="J880" s="85">
        <v>350.75299999999999</v>
      </c>
      <c r="K880" s="85">
        <v>393.93</v>
      </c>
      <c r="L880" s="85">
        <v>390.41399999999999</v>
      </c>
      <c r="M880" s="85">
        <v>375.18099999999998</v>
      </c>
      <c r="N880" s="85">
        <v>407.53399999999999</v>
      </c>
      <c r="O880" s="85">
        <v>371.97</v>
      </c>
      <c r="P880" s="85">
        <v>410.45100000000002</v>
      </c>
      <c r="Q880" s="46"/>
      <c r="R880" s="47"/>
      <c r="S880" s="47"/>
      <c r="T880" s="48"/>
      <c r="U880" s="48"/>
      <c r="V880" s="49"/>
      <c r="W880" s="50"/>
      <c r="X880" s="51"/>
    </row>
    <row r="881" spans="1:28" ht="61.5" customHeight="1">
      <c r="A881" s="134"/>
      <c r="B881" s="164"/>
      <c r="C881" s="59" t="s">
        <v>18</v>
      </c>
      <c r="D881" s="60" t="s">
        <v>38</v>
      </c>
      <c r="E881" s="85">
        <v>364.33499999999998</v>
      </c>
      <c r="F881" s="85">
        <v>364.00900000000001</v>
      </c>
      <c r="G881" s="85">
        <v>365.74900000000002</v>
      </c>
      <c r="H881" s="85">
        <v>367.82100000000003</v>
      </c>
      <c r="I881" s="85">
        <v>334.42099999999999</v>
      </c>
      <c r="J881" s="85">
        <v>304.964</v>
      </c>
      <c r="K881" s="85">
        <v>325.11799999999999</v>
      </c>
      <c r="L881" s="85">
        <v>351.27100000000002</v>
      </c>
      <c r="M881" s="85">
        <v>355.02699999999999</v>
      </c>
      <c r="N881" s="85">
        <v>360.37299999999999</v>
      </c>
      <c r="O881" s="85">
        <v>322.53399999999999</v>
      </c>
      <c r="P881" s="85">
        <v>407.30599999999998</v>
      </c>
      <c r="Q881" s="46"/>
      <c r="R881" s="47"/>
      <c r="S881" s="47"/>
      <c r="T881" s="48"/>
      <c r="U881" s="48"/>
      <c r="V881" s="49"/>
      <c r="W881" s="50"/>
      <c r="X881" s="51"/>
    </row>
    <row r="882" spans="1:28" ht="61.5" customHeight="1">
      <c r="A882" s="134"/>
      <c r="B882" s="164"/>
      <c r="C882" s="59" t="s">
        <v>18</v>
      </c>
      <c r="D882" s="60" t="s">
        <v>39</v>
      </c>
      <c r="E882" s="85">
        <v>339.28</v>
      </c>
      <c r="F882" s="85">
        <v>347.1</v>
      </c>
      <c r="G882" s="85">
        <v>340.51799999999997</v>
      </c>
      <c r="H882" s="85">
        <v>355.83600000000001</v>
      </c>
      <c r="I882" s="85">
        <v>367.65699999999998</v>
      </c>
      <c r="J882" s="85">
        <v>349.26100000000002</v>
      </c>
      <c r="K882" s="85">
        <v>354.40899999999999</v>
      </c>
      <c r="L882" s="85">
        <v>356.18200000000002</v>
      </c>
      <c r="M882" s="85">
        <v>364.233</v>
      </c>
      <c r="N882" s="85">
        <v>366.00900000000001</v>
      </c>
      <c r="O882" s="85">
        <v>364.53199999999998</v>
      </c>
      <c r="P882" s="85">
        <v>380.57900000000001</v>
      </c>
      <c r="Q882" s="46"/>
      <c r="R882" s="47"/>
      <c r="S882" s="47"/>
      <c r="T882" s="48"/>
      <c r="U882" s="48"/>
      <c r="V882" s="49"/>
      <c r="W882" s="50"/>
      <c r="X882" s="51"/>
    </row>
    <row r="883" spans="1:28" ht="61.5" customHeight="1">
      <c r="A883" s="134"/>
      <c r="B883" s="164"/>
      <c r="C883" s="59" t="s">
        <v>18</v>
      </c>
      <c r="D883" s="60" t="s">
        <v>40</v>
      </c>
      <c r="E883" s="85">
        <v>274.28100000000001</v>
      </c>
      <c r="F883" s="85">
        <v>278.93599999999998</v>
      </c>
      <c r="G883" s="85">
        <v>279.04599999999999</v>
      </c>
      <c r="H883" s="85">
        <v>312.62299999999999</v>
      </c>
      <c r="I883" s="85">
        <v>320.17200000000003</v>
      </c>
      <c r="J883" s="85">
        <v>329.20499999999998</v>
      </c>
      <c r="K883" s="85">
        <v>347.00400000000002</v>
      </c>
      <c r="L883" s="85">
        <v>351.75200000000001</v>
      </c>
      <c r="M883" s="85">
        <v>362.40499999999997</v>
      </c>
      <c r="N883" s="85">
        <v>367.351</v>
      </c>
      <c r="O883" s="85">
        <v>339.54500000000002</v>
      </c>
      <c r="P883" s="85">
        <v>372.81700000000001</v>
      </c>
      <c r="Q883" s="46"/>
      <c r="R883" s="47"/>
      <c r="S883" s="47"/>
      <c r="T883" s="48"/>
      <c r="U883" s="48"/>
      <c r="V883" s="49"/>
      <c r="W883" s="50"/>
      <c r="X883" s="51"/>
    </row>
    <row r="884" spans="1:28" ht="61.5" customHeight="1">
      <c r="A884" s="134"/>
      <c r="B884" s="164"/>
      <c r="C884" s="59" t="s">
        <v>18</v>
      </c>
      <c r="D884" s="60" t="s">
        <v>41</v>
      </c>
      <c r="E884" s="85">
        <v>338.81299999999999</v>
      </c>
      <c r="F884" s="85">
        <v>333.11500000000001</v>
      </c>
      <c r="G884" s="85">
        <v>317.80399999999997</v>
      </c>
      <c r="H884" s="85">
        <v>335.26400000000001</v>
      </c>
      <c r="I884" s="85">
        <v>345.13799999999998</v>
      </c>
      <c r="J884" s="85">
        <v>345.10700000000003</v>
      </c>
      <c r="K884" s="85">
        <v>353.55799999999999</v>
      </c>
      <c r="L884" s="85">
        <v>340.13</v>
      </c>
      <c r="M884" s="85">
        <v>358.14499999999998</v>
      </c>
      <c r="N884" s="85">
        <v>361.69600000000003</v>
      </c>
      <c r="O884" s="85">
        <v>334.35700000000003</v>
      </c>
      <c r="P884" s="85">
        <v>327.529</v>
      </c>
      <c r="Q884" s="46"/>
      <c r="R884" s="47"/>
      <c r="S884" s="47"/>
      <c r="T884" s="48"/>
      <c r="U884" s="48"/>
      <c r="V884" s="49"/>
      <c r="W884" s="50"/>
      <c r="X884" s="51"/>
    </row>
    <row r="885" spans="1:28" ht="61.5" customHeight="1">
      <c r="A885" s="134"/>
      <c r="B885" s="164"/>
      <c r="C885" s="59" t="s">
        <v>18</v>
      </c>
      <c r="D885" s="60" t="s">
        <v>42</v>
      </c>
      <c r="E885" s="85">
        <v>263.03899999999999</v>
      </c>
      <c r="F885" s="85">
        <v>234.37899999999999</v>
      </c>
      <c r="G885" s="85">
        <v>302.05700000000002</v>
      </c>
      <c r="H885" s="85">
        <v>308.04500000000002</v>
      </c>
      <c r="I885" s="85">
        <v>300.23500000000001</v>
      </c>
      <c r="J885" s="85">
        <v>300.23500000000001</v>
      </c>
      <c r="K885" s="85">
        <v>280.02800000000002</v>
      </c>
      <c r="L885" s="85">
        <v>280.05</v>
      </c>
      <c r="M885" s="85">
        <v>340.495</v>
      </c>
      <c r="N885" s="85">
        <v>340.59300000000002</v>
      </c>
      <c r="O885" s="85">
        <v>305.05200000000002</v>
      </c>
      <c r="P885" s="85">
        <v>352.43599999999998</v>
      </c>
      <c r="Q885" s="46"/>
      <c r="R885" s="47"/>
      <c r="S885" s="47"/>
      <c r="T885" s="48"/>
      <c r="U885" s="48"/>
      <c r="V885" s="49"/>
      <c r="W885" s="50"/>
      <c r="X885" s="51"/>
    </row>
    <row r="886" spans="1:28" ht="61.5" customHeight="1">
      <c r="A886" s="134"/>
      <c r="B886" s="164"/>
      <c r="C886" s="59" t="s">
        <v>18</v>
      </c>
      <c r="D886" s="60" t="s">
        <v>43</v>
      </c>
      <c r="E886" s="85">
        <v>237.06700000000001</v>
      </c>
      <c r="F886" s="85">
        <v>250.62700000000001</v>
      </c>
      <c r="G886" s="85">
        <v>266.05399999999997</v>
      </c>
      <c r="H886" s="85">
        <v>280.125</v>
      </c>
      <c r="I886" s="85">
        <v>275.01400000000001</v>
      </c>
      <c r="J886" s="85">
        <v>275.137</v>
      </c>
      <c r="K886" s="85">
        <v>295.07600000000002</v>
      </c>
      <c r="L886" s="85">
        <v>304.54199999999997</v>
      </c>
      <c r="M886" s="85">
        <v>284.44600000000003</v>
      </c>
      <c r="N886" s="85">
        <v>320.089</v>
      </c>
      <c r="O886" s="85">
        <v>289.59300000000002</v>
      </c>
      <c r="P886" s="85">
        <v>305.06799999999998</v>
      </c>
      <c r="Q886" s="46"/>
      <c r="R886" s="47"/>
      <c r="S886" s="47"/>
      <c r="T886" s="48"/>
      <c r="U886" s="48"/>
      <c r="V886" s="49"/>
      <c r="W886" s="50"/>
      <c r="X886" s="51"/>
    </row>
    <row r="887" spans="1:28" ht="61.5" customHeight="1">
      <c r="A887" s="134"/>
      <c r="B887" s="165"/>
      <c r="C887" s="59" t="s">
        <v>18</v>
      </c>
      <c r="D887" s="60" t="s">
        <v>44</v>
      </c>
      <c r="E887" s="85">
        <v>275.226</v>
      </c>
      <c r="F887" s="85">
        <v>293.18700000000001</v>
      </c>
      <c r="G887" s="85">
        <v>290.01</v>
      </c>
      <c r="H887" s="85">
        <v>280.00799999999998</v>
      </c>
      <c r="I887" s="85">
        <v>294.07499999999999</v>
      </c>
      <c r="J887" s="85">
        <v>286.89800000000002</v>
      </c>
      <c r="K887" s="85">
        <v>255.07599999999999</v>
      </c>
      <c r="L887" s="85">
        <v>276.00400000000002</v>
      </c>
      <c r="M887" s="85">
        <v>245.04900000000001</v>
      </c>
      <c r="N887" s="85">
        <v>278.04399999999998</v>
      </c>
      <c r="O887" s="85">
        <v>243.583</v>
      </c>
      <c r="P887" s="85">
        <v>290.07400000000001</v>
      </c>
      <c r="Q887" s="46"/>
      <c r="R887" s="47"/>
      <c r="S887" s="47"/>
      <c r="T887" s="48"/>
      <c r="U887" s="48"/>
      <c r="V887" s="49"/>
      <c r="W887" s="50"/>
      <c r="X887" s="51"/>
    </row>
    <row r="888" spans="1:28" ht="61.5" customHeight="1">
      <c r="A888" s="134"/>
      <c r="B888" s="98"/>
      <c r="C888" s="100"/>
      <c r="D888" s="101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46"/>
      <c r="R888" s="47"/>
      <c r="S888" s="47"/>
      <c r="T888" s="48"/>
      <c r="U888" s="48"/>
      <c r="V888" s="49"/>
      <c r="W888" s="50"/>
      <c r="X888" s="51"/>
    </row>
    <row r="889" spans="1:28" s="109" customFormat="1" ht="65.099999999999994" customHeight="1">
      <c r="A889" s="158" t="s">
        <v>55</v>
      </c>
      <c r="B889" s="163" t="s">
        <v>45</v>
      </c>
      <c r="C889" s="42"/>
      <c r="D889" s="43"/>
      <c r="E889" s="44"/>
      <c r="F889" s="44"/>
      <c r="G889" s="44"/>
      <c r="H889" s="45"/>
      <c r="I889" s="44"/>
      <c r="J889" s="44"/>
      <c r="K889" s="44"/>
      <c r="L889" s="44"/>
      <c r="M889" s="44"/>
      <c r="N889" s="44"/>
      <c r="O889" s="44"/>
      <c r="P889" s="44"/>
      <c r="Q889" s="43"/>
      <c r="R889" s="91"/>
      <c r="S889" s="47"/>
      <c r="T889" s="48"/>
      <c r="U889" s="48"/>
      <c r="V889" s="49"/>
      <c r="W889" s="50"/>
      <c r="X889" s="51"/>
      <c r="Y889" s="108"/>
      <c r="Z889" s="108"/>
    </row>
    <row r="890" spans="1:28" s="52" customFormat="1">
      <c r="A890" s="158"/>
      <c r="B890" s="164"/>
      <c r="C890" s="55"/>
      <c r="D890" s="4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114"/>
      <c r="R890" s="47"/>
      <c r="S890" s="64"/>
      <c r="T890" s="48"/>
      <c r="U890" s="48"/>
      <c r="V890" s="49"/>
      <c r="W890" s="50"/>
      <c r="X890" s="51"/>
      <c r="Y890" s="2"/>
      <c r="Z890" s="2"/>
      <c r="AB890" s="2"/>
    </row>
    <row r="891" spans="1:28" s="52" customFormat="1">
      <c r="A891" s="158"/>
      <c r="B891" s="164"/>
      <c r="C891" s="59" t="s">
        <v>18</v>
      </c>
      <c r="D891" s="60" t="s">
        <v>19</v>
      </c>
      <c r="E891" s="61">
        <v>179.08699999999999</v>
      </c>
      <c r="F891" s="61">
        <v>168.71899999999999</v>
      </c>
      <c r="G891" s="61">
        <v>159.625</v>
      </c>
      <c r="H891" s="61">
        <v>190.167</v>
      </c>
      <c r="I891" s="61">
        <v>183.71899999999999</v>
      </c>
      <c r="J891" s="61">
        <v>167.57900000000001</v>
      </c>
      <c r="K891" s="61">
        <v>149.56899999999999</v>
      </c>
      <c r="L891" s="61">
        <v>169.952</v>
      </c>
      <c r="M891" s="61">
        <v>188.02699999999999</v>
      </c>
      <c r="N891" s="61">
        <v>185.40299999999999</v>
      </c>
      <c r="O891" s="61">
        <v>169.02099999999999</v>
      </c>
      <c r="P891" s="61">
        <v>181.59</v>
      </c>
      <c r="Q891" s="114"/>
      <c r="R891" s="47"/>
      <c r="S891" s="64"/>
      <c r="T891" s="48"/>
      <c r="U891" s="48"/>
      <c r="V891" s="49"/>
      <c r="W891" s="50"/>
      <c r="X891" s="51"/>
      <c r="Y891" s="2"/>
      <c r="Z891" s="2"/>
      <c r="AB891" s="2"/>
    </row>
    <row r="892" spans="1:28" s="52" customFormat="1">
      <c r="A892" s="158"/>
      <c r="B892" s="164"/>
      <c r="C892" s="59" t="s">
        <v>18</v>
      </c>
      <c r="D892" s="60" t="s">
        <v>20</v>
      </c>
      <c r="E892" s="61">
        <v>163.31899999999999</v>
      </c>
      <c r="F892" s="61">
        <v>163.70699999999999</v>
      </c>
      <c r="G892" s="61">
        <v>190.404</v>
      </c>
      <c r="H892" s="61">
        <v>189.941</v>
      </c>
      <c r="I892" s="61">
        <v>193.429</v>
      </c>
      <c r="J892" s="61">
        <v>172.65199999999999</v>
      </c>
      <c r="K892" s="61">
        <v>184.941</v>
      </c>
      <c r="L892" s="61">
        <v>180.387</v>
      </c>
      <c r="M892" s="61">
        <v>160.61099999999999</v>
      </c>
      <c r="N892" s="61">
        <v>183.16</v>
      </c>
      <c r="O892" s="61">
        <v>165.51599999999999</v>
      </c>
      <c r="P892" s="61">
        <v>201.447</v>
      </c>
      <c r="Q892" s="114"/>
      <c r="R892" s="47"/>
      <c r="S892" s="64"/>
      <c r="T892" s="48"/>
      <c r="U892" s="48"/>
      <c r="V892" s="49"/>
      <c r="W892" s="50"/>
      <c r="X892" s="51"/>
      <c r="Y892" s="2"/>
      <c r="Z892" s="2"/>
      <c r="AB892" s="2"/>
    </row>
    <row r="893" spans="1:28">
      <c r="A893" s="158"/>
      <c r="B893" s="164"/>
      <c r="C893" s="59" t="s">
        <v>18</v>
      </c>
      <c r="D893" s="60" t="s">
        <v>21</v>
      </c>
      <c r="E893" s="61">
        <v>190.50899999999999</v>
      </c>
      <c r="F893" s="61">
        <v>188.209</v>
      </c>
      <c r="G893" s="61">
        <v>181.43</v>
      </c>
      <c r="H893" s="61">
        <v>189.71600000000001</v>
      </c>
      <c r="I893" s="61">
        <v>185.77799999999999</v>
      </c>
      <c r="J893" s="61">
        <v>179.63200000000001</v>
      </c>
      <c r="K893" s="61">
        <v>170.68899999999999</v>
      </c>
      <c r="L893" s="61">
        <v>193.42699999999999</v>
      </c>
      <c r="M893" s="61">
        <v>194.97200000000001</v>
      </c>
      <c r="N893" s="61">
        <v>188.95699999999999</v>
      </c>
      <c r="O893" s="61">
        <v>183</v>
      </c>
      <c r="P893" s="61">
        <v>159.94200000000001</v>
      </c>
      <c r="Q893" s="115"/>
      <c r="R893" s="64"/>
      <c r="S893" s="64"/>
      <c r="T893" s="65"/>
      <c r="U893" s="65"/>
      <c r="V893" s="49"/>
      <c r="W893" s="49"/>
      <c r="X893" s="66"/>
      <c r="AB893" s="6"/>
    </row>
    <row r="894" spans="1:28" s="52" customFormat="1">
      <c r="A894" s="158"/>
      <c r="B894" s="164"/>
      <c r="C894" s="59" t="s">
        <v>18</v>
      </c>
      <c r="D894" s="60" t="s">
        <v>22</v>
      </c>
      <c r="E894" s="61">
        <v>175.65600000000001</v>
      </c>
      <c r="F894" s="61">
        <v>203.541</v>
      </c>
      <c r="G894" s="61">
        <v>177.209</v>
      </c>
      <c r="H894" s="61">
        <v>153.70699999999999</v>
      </c>
      <c r="I894" s="61">
        <v>186.15</v>
      </c>
      <c r="J894" s="61">
        <v>192.1</v>
      </c>
      <c r="K894" s="61">
        <v>185.554</v>
      </c>
      <c r="L894" s="61">
        <v>173.56</v>
      </c>
      <c r="M894" s="61">
        <v>163.14600000000002</v>
      </c>
      <c r="N894" s="61">
        <v>200.05500000000001</v>
      </c>
      <c r="O894" s="61">
        <v>170.59200000000001</v>
      </c>
      <c r="P894" s="61">
        <v>203.52799999999999</v>
      </c>
      <c r="Q894" s="114"/>
      <c r="R894" s="47"/>
      <c r="S894" s="64"/>
      <c r="T894" s="48"/>
      <c r="U894" s="48"/>
      <c r="V894" s="49"/>
      <c r="W894" s="50"/>
      <c r="X894" s="51"/>
      <c r="Y894" s="2"/>
      <c r="Z894" s="2"/>
      <c r="AB894" s="2"/>
    </row>
    <row r="895" spans="1:28" s="52" customFormat="1" ht="46.15" customHeight="1">
      <c r="A895" s="158"/>
      <c r="B895" s="164"/>
      <c r="C895" s="59" t="s">
        <v>18</v>
      </c>
      <c r="D895" s="60" t="str">
        <f>+D866</f>
        <v>2021-22</v>
      </c>
      <c r="E895" s="61">
        <v>183.12700000000001</v>
      </c>
      <c r="F895" s="61">
        <v>174.00700000000001</v>
      </c>
      <c r="G895" s="61">
        <v>151.16399999999999</v>
      </c>
      <c r="H895" s="61">
        <v>175.738</v>
      </c>
      <c r="I895" s="61">
        <v>163.327</v>
      </c>
      <c r="J895" s="61">
        <v>176.11699999999999</v>
      </c>
      <c r="K895" s="61">
        <v>179.55099999999999</v>
      </c>
      <c r="L895" s="61">
        <v>179.54000000000002</v>
      </c>
      <c r="M895" s="61">
        <v>189.601</v>
      </c>
      <c r="N895" s="61">
        <v>192.636</v>
      </c>
      <c r="O895" s="61">
        <v>151.548</v>
      </c>
      <c r="P895" s="61">
        <v>208.01</v>
      </c>
      <c r="Q895" s="114"/>
      <c r="R895" s="47"/>
      <c r="S895" s="64"/>
      <c r="T895" s="48"/>
      <c r="U895" s="48"/>
      <c r="V895" s="49"/>
      <c r="W895" s="50"/>
      <c r="X895" s="51"/>
      <c r="Y895" s="2"/>
      <c r="Z895" s="2"/>
      <c r="AB895" s="2"/>
    </row>
    <row r="896" spans="1:28" ht="46.15" customHeight="1">
      <c r="A896" s="158"/>
      <c r="B896" s="164"/>
      <c r="C896" s="59" t="s">
        <v>18</v>
      </c>
      <c r="D896" s="60" t="str">
        <f>+D867</f>
        <v>2020-21</v>
      </c>
      <c r="E896" s="61">
        <v>98.051000000000002</v>
      </c>
      <c r="F896" s="61">
        <v>115.559</v>
      </c>
      <c r="G896" s="61">
        <v>145.20500000000001</v>
      </c>
      <c r="H896" s="61">
        <v>166.40799999999999</v>
      </c>
      <c r="I896" s="61">
        <v>184.28</v>
      </c>
      <c r="J896" s="61">
        <v>180.726</v>
      </c>
      <c r="K896" s="61">
        <v>194.51400000000001</v>
      </c>
      <c r="L896" s="61">
        <v>189.376</v>
      </c>
      <c r="M896" s="61">
        <v>195.578</v>
      </c>
      <c r="N896" s="61">
        <v>190.00399999999999</v>
      </c>
      <c r="O896" s="61">
        <v>175.935</v>
      </c>
      <c r="P896" s="61">
        <v>196.03</v>
      </c>
      <c r="Q896" s="115"/>
      <c r="R896" s="64"/>
      <c r="S896" s="64"/>
      <c r="T896" s="65"/>
      <c r="U896" s="65"/>
      <c r="V896" s="49"/>
      <c r="W896" s="49"/>
      <c r="X896" s="66"/>
      <c r="Y896" s="49"/>
      <c r="Z896" s="49"/>
      <c r="AB896" s="49"/>
    </row>
    <row r="897" spans="1:26" ht="46.15" customHeight="1">
      <c r="A897" s="158"/>
      <c r="B897" s="164"/>
      <c r="C897" s="59" t="s">
        <v>18</v>
      </c>
      <c r="D897" s="60" t="s">
        <v>25</v>
      </c>
      <c r="E897" s="61">
        <v>150.76900000000001</v>
      </c>
      <c r="F897" s="61">
        <v>170.02699999999999</v>
      </c>
      <c r="G897" s="61">
        <v>163.35400000000001</v>
      </c>
      <c r="H897" s="61">
        <v>192.363</v>
      </c>
      <c r="I897" s="61">
        <v>175.70699999999999</v>
      </c>
      <c r="J897" s="61">
        <v>154.02199999999999</v>
      </c>
      <c r="K897" s="61">
        <v>157.233</v>
      </c>
      <c r="L897" s="61">
        <v>176.18799999999999</v>
      </c>
      <c r="M897" s="61">
        <v>197.49799999999999</v>
      </c>
      <c r="N897" s="61">
        <v>196.09399999999999</v>
      </c>
      <c r="O897" s="61">
        <v>180.63300000000001</v>
      </c>
      <c r="P897" s="61">
        <v>161.78</v>
      </c>
      <c r="Q897" s="115"/>
      <c r="R897" s="64"/>
      <c r="S897" s="64"/>
      <c r="T897" s="65"/>
      <c r="U897" s="65"/>
      <c r="V897" s="49"/>
      <c r="W897" s="49"/>
      <c r="X897" s="66"/>
    </row>
    <row r="898" spans="1:26" s="25" customFormat="1" ht="46.15" customHeight="1">
      <c r="A898" s="158"/>
      <c r="B898" s="164"/>
      <c r="C898" s="102" t="s">
        <v>18</v>
      </c>
      <c r="D898" s="103" t="s">
        <v>26</v>
      </c>
      <c r="E898" s="61">
        <v>162.44900000000001</v>
      </c>
      <c r="F898" s="61">
        <v>185.39500000000001</v>
      </c>
      <c r="G898" s="61">
        <v>176.24600000000001</v>
      </c>
      <c r="H898" s="61">
        <v>180.715</v>
      </c>
      <c r="I898" s="61">
        <v>182.43199999999999</v>
      </c>
      <c r="J898" s="61">
        <v>156.37200000000001</v>
      </c>
      <c r="K898" s="61">
        <v>176.60900000000001</v>
      </c>
      <c r="L898" s="61">
        <v>175.292</v>
      </c>
      <c r="M898" s="61">
        <v>194.07</v>
      </c>
      <c r="N898" s="61">
        <v>165.93899999999999</v>
      </c>
      <c r="O898" s="61">
        <v>169.12</v>
      </c>
      <c r="P898" s="61">
        <v>200.08199999999999</v>
      </c>
      <c r="Q898" s="116"/>
      <c r="R898" s="117"/>
      <c r="S898" s="64"/>
      <c r="T898" s="65"/>
      <c r="U898" s="65"/>
      <c r="V898" s="49"/>
      <c r="W898" s="49"/>
      <c r="X898" s="66"/>
      <c r="Y898" s="27"/>
      <c r="Z898" s="27"/>
    </row>
    <row r="899" spans="1:26" ht="46.15" customHeight="1">
      <c r="A899" s="158"/>
      <c r="B899" s="164"/>
      <c r="C899" s="59" t="s">
        <v>18</v>
      </c>
      <c r="D899" s="60" t="s">
        <v>27</v>
      </c>
      <c r="E899" s="61">
        <v>125.917</v>
      </c>
      <c r="F899" s="61">
        <v>118.28</v>
      </c>
      <c r="G899" s="61">
        <v>152.11699999999999</v>
      </c>
      <c r="H899" s="61">
        <v>180.58199999999999</v>
      </c>
      <c r="I899" s="61">
        <v>181.114</v>
      </c>
      <c r="J899" s="61">
        <v>158.68</v>
      </c>
      <c r="K899" s="61">
        <v>175.339</v>
      </c>
      <c r="L899" s="61">
        <v>170.8</v>
      </c>
      <c r="M899" s="61">
        <v>172.46100000000001</v>
      </c>
      <c r="N899" s="61">
        <v>156.87299999999999</v>
      </c>
      <c r="O899" s="61">
        <v>169.07400000000001</v>
      </c>
      <c r="P899" s="61">
        <v>190.42599999999999</v>
      </c>
      <c r="Q899" s="60"/>
      <c r="R899" s="64"/>
      <c r="S899" s="64"/>
      <c r="T899" s="65"/>
      <c r="U899" s="65"/>
      <c r="V899" s="49"/>
      <c r="W899" s="49"/>
      <c r="X899" s="66"/>
    </row>
    <row r="900" spans="1:26" ht="46.15" customHeight="1">
      <c r="A900" s="158"/>
      <c r="B900" s="164"/>
      <c r="C900" s="59" t="s">
        <v>18</v>
      </c>
      <c r="D900" s="60" t="s">
        <v>28</v>
      </c>
      <c r="E900" s="61">
        <v>173.517</v>
      </c>
      <c r="F900" s="61">
        <v>158.02000000000001</v>
      </c>
      <c r="G900" s="61">
        <v>170.54900000000001</v>
      </c>
      <c r="H900" s="61">
        <v>170.125</v>
      </c>
      <c r="I900" s="61">
        <v>172.184</v>
      </c>
      <c r="J900" s="61">
        <v>159.01499999999999</v>
      </c>
      <c r="K900" s="61">
        <v>172.00800000000001</v>
      </c>
      <c r="L900" s="61">
        <v>160.02099999999999</v>
      </c>
      <c r="M900" s="61">
        <v>168.041</v>
      </c>
      <c r="N900" s="61">
        <v>176.226</v>
      </c>
      <c r="O900" s="61">
        <v>137.501</v>
      </c>
      <c r="P900" s="61">
        <v>115.002</v>
      </c>
      <c r="Q900" s="60"/>
      <c r="R900" s="64"/>
      <c r="S900" s="64"/>
      <c r="T900" s="65"/>
      <c r="U900" s="65"/>
      <c r="V900" s="49"/>
      <c r="W900" s="49"/>
      <c r="X900" s="66"/>
    </row>
    <row r="901" spans="1:26" ht="42.75" customHeight="1">
      <c r="A901" s="158"/>
      <c r="B901" s="164"/>
      <c r="C901" s="59" t="s">
        <v>18</v>
      </c>
      <c r="D901" s="60" t="s">
        <v>29</v>
      </c>
      <c r="E901" s="76">
        <v>170.202</v>
      </c>
      <c r="F901" s="76">
        <v>136.125</v>
      </c>
      <c r="G901" s="76">
        <v>154.71799999999999</v>
      </c>
      <c r="H901" s="76">
        <v>162.02500000000001</v>
      </c>
      <c r="I901" s="76">
        <v>128.71299999999999</v>
      </c>
      <c r="J901" s="76">
        <v>129.06200000000001</v>
      </c>
      <c r="K901" s="76">
        <v>142.35400000000001</v>
      </c>
      <c r="L901" s="76">
        <v>175.00700000000001</v>
      </c>
      <c r="M901" s="76">
        <v>186.154</v>
      </c>
      <c r="N901" s="76">
        <v>163.02000000000001</v>
      </c>
      <c r="O901" s="76">
        <v>154.52700000000002</v>
      </c>
      <c r="P901" s="76">
        <v>179.82</v>
      </c>
      <c r="Q901" s="60"/>
      <c r="R901" s="64"/>
      <c r="S901" s="64"/>
      <c r="T901" s="65"/>
      <c r="U901" s="65"/>
      <c r="V901" s="49"/>
      <c r="W901" s="49"/>
      <c r="X901" s="66"/>
    </row>
    <row r="902" spans="1:26" ht="61.5" customHeight="1">
      <c r="A902" s="158"/>
      <c r="B902" s="164"/>
      <c r="C902" s="59" t="s">
        <v>18</v>
      </c>
      <c r="D902" s="60" t="s">
        <v>30</v>
      </c>
      <c r="E902" s="61">
        <v>135.52000000000001</v>
      </c>
      <c r="F902" s="61">
        <v>160.21</v>
      </c>
      <c r="G902" s="61">
        <v>153.14699999999999</v>
      </c>
      <c r="H902" s="61">
        <v>170.113</v>
      </c>
      <c r="I902" s="61">
        <v>163.42400000000001</v>
      </c>
      <c r="J902" s="61">
        <v>165.85300000000001</v>
      </c>
      <c r="K902" s="61">
        <v>165.107</v>
      </c>
      <c r="L902" s="61">
        <v>163.625</v>
      </c>
      <c r="M902" s="61">
        <v>170.02500000000001</v>
      </c>
      <c r="N902" s="61">
        <v>176.02699999999999</v>
      </c>
      <c r="O902" s="61">
        <v>165.39500000000001</v>
      </c>
      <c r="P902" s="61">
        <v>183.05500000000001</v>
      </c>
      <c r="Q902" s="60"/>
      <c r="R902" s="64"/>
      <c r="S902" s="64"/>
      <c r="T902" s="65"/>
      <c r="U902" s="65"/>
      <c r="V902" s="49"/>
      <c r="W902" s="49"/>
      <c r="X902" s="66"/>
    </row>
    <row r="903" spans="1:26" ht="61.5" customHeight="1">
      <c r="A903" s="158"/>
      <c r="B903" s="164"/>
      <c r="C903" s="59" t="s">
        <v>18</v>
      </c>
      <c r="D903" s="78" t="s">
        <v>31</v>
      </c>
      <c r="E903" s="61">
        <v>162.017</v>
      </c>
      <c r="F903" s="61">
        <v>156.01300000000001</v>
      </c>
      <c r="G903" s="61">
        <v>160.006</v>
      </c>
      <c r="H903" s="61">
        <v>160.554</v>
      </c>
      <c r="I903" s="61">
        <v>170.03700000000001</v>
      </c>
      <c r="J903" s="61">
        <v>165.001</v>
      </c>
      <c r="K903" s="61">
        <v>165.029</v>
      </c>
      <c r="L903" s="61">
        <v>163.505</v>
      </c>
      <c r="M903" s="61">
        <v>175.00899999999999</v>
      </c>
      <c r="N903" s="61">
        <v>175.02</v>
      </c>
      <c r="O903" s="61">
        <v>140.72</v>
      </c>
      <c r="P903" s="61">
        <v>133.714</v>
      </c>
      <c r="Q903" s="60"/>
      <c r="R903" s="64"/>
      <c r="S903" s="64"/>
      <c r="T903" s="65"/>
      <c r="U903" s="65"/>
      <c r="V903" s="49"/>
      <c r="W903" s="49"/>
      <c r="X903" s="66"/>
    </row>
    <row r="904" spans="1:26" ht="61.5" customHeight="1">
      <c r="A904" s="158"/>
      <c r="B904" s="164"/>
      <c r="C904" s="59" t="s">
        <v>18</v>
      </c>
      <c r="D904" s="60" t="s">
        <v>32</v>
      </c>
      <c r="E904" s="61">
        <v>160.00800000000001</v>
      </c>
      <c r="F904" s="61">
        <v>137.114</v>
      </c>
      <c r="G904" s="61">
        <v>162.00299999999999</v>
      </c>
      <c r="H904" s="61">
        <v>160.10300000000001</v>
      </c>
      <c r="I904" s="61">
        <v>162.566</v>
      </c>
      <c r="J904" s="61">
        <v>157.767</v>
      </c>
      <c r="K904" s="61">
        <v>165.01900000000001</v>
      </c>
      <c r="L904" s="61">
        <v>160.51400000000001</v>
      </c>
      <c r="M904" s="61">
        <v>148.012</v>
      </c>
      <c r="N904" s="61">
        <v>176.81200000000001</v>
      </c>
      <c r="O904" s="61">
        <v>160.63</v>
      </c>
      <c r="P904" s="61">
        <v>175.03200000000001</v>
      </c>
      <c r="Q904" s="60"/>
      <c r="R904" s="64"/>
      <c r="S904" s="64"/>
      <c r="T904" s="65"/>
      <c r="U904" s="65"/>
      <c r="V904" s="49"/>
      <c r="W904" s="49"/>
      <c r="X904" s="66"/>
    </row>
    <row r="905" spans="1:26" ht="61.5" customHeight="1">
      <c r="A905" s="158"/>
      <c r="B905" s="164"/>
      <c r="C905" s="59" t="s">
        <v>18</v>
      </c>
      <c r="D905" s="60" t="s">
        <v>33</v>
      </c>
      <c r="E905" s="61">
        <v>146.76499999999999</v>
      </c>
      <c r="F905" s="61">
        <v>155.68</v>
      </c>
      <c r="G905" s="61">
        <v>147.17599999999999</v>
      </c>
      <c r="H905" s="61">
        <v>151.53</v>
      </c>
      <c r="I905" s="61">
        <v>153.08600000000001</v>
      </c>
      <c r="J905" s="61">
        <v>140.36199999999999</v>
      </c>
      <c r="K905" s="61">
        <v>142.21600000000001</v>
      </c>
      <c r="L905" s="61">
        <v>147.31100000000001</v>
      </c>
      <c r="M905" s="61">
        <v>166.52099999999999</v>
      </c>
      <c r="N905" s="61">
        <v>164.73099999999999</v>
      </c>
      <c r="O905" s="61">
        <v>147.11199999999999</v>
      </c>
      <c r="P905" s="61">
        <v>177.01300000000001</v>
      </c>
      <c r="Q905" s="60"/>
      <c r="R905" s="47"/>
      <c r="S905" s="47"/>
      <c r="T905" s="48"/>
      <c r="U905" s="48"/>
      <c r="V905" s="49"/>
      <c r="W905" s="50"/>
      <c r="X905" s="51"/>
    </row>
    <row r="906" spans="1:26" ht="61.5" customHeight="1">
      <c r="A906" s="158"/>
      <c r="B906" s="164"/>
      <c r="C906" s="59" t="s">
        <v>18</v>
      </c>
      <c r="D906" s="60" t="s">
        <v>34</v>
      </c>
      <c r="E906" s="61">
        <v>153.22800000000001</v>
      </c>
      <c r="F906" s="61">
        <v>150.078</v>
      </c>
      <c r="G906" s="61">
        <v>151.6</v>
      </c>
      <c r="H906" s="61">
        <v>154.10300000000001</v>
      </c>
      <c r="I906" s="61">
        <v>155.18600000000001</v>
      </c>
      <c r="J906" s="61">
        <v>150.01900000000001</v>
      </c>
      <c r="K906" s="61">
        <v>161.315</v>
      </c>
      <c r="L906" s="61">
        <v>163.45099999999999</v>
      </c>
      <c r="M906" s="61">
        <v>163.05199999999999</v>
      </c>
      <c r="N906" s="61">
        <v>164.23699999999999</v>
      </c>
      <c r="O906" s="61">
        <v>133.4</v>
      </c>
      <c r="P906" s="61">
        <v>186.01</v>
      </c>
      <c r="Q906" s="60"/>
      <c r="R906" s="47"/>
      <c r="S906" s="47"/>
      <c r="T906" s="48"/>
      <c r="U906" s="48"/>
      <c r="V906" s="49"/>
      <c r="W906" s="50"/>
      <c r="X906" s="51"/>
    </row>
    <row r="907" spans="1:26" ht="61.5" customHeight="1">
      <c r="A907" s="158"/>
      <c r="B907" s="164"/>
      <c r="C907" s="59" t="s">
        <v>18</v>
      </c>
      <c r="D907" s="60" t="s">
        <v>35</v>
      </c>
      <c r="E907" s="61">
        <v>145.05600000000001</v>
      </c>
      <c r="F907" s="61">
        <v>160.08699999999999</v>
      </c>
      <c r="G907" s="61">
        <v>156.369</v>
      </c>
      <c r="H907" s="61">
        <v>158.04900000000001</v>
      </c>
      <c r="I907" s="61">
        <v>160.084</v>
      </c>
      <c r="J907" s="61">
        <v>150.87100000000001</v>
      </c>
      <c r="K907" s="61">
        <v>151.02799999999999</v>
      </c>
      <c r="L907" s="61">
        <v>150.90199999999999</v>
      </c>
      <c r="M907" s="61">
        <v>158.47300000000001</v>
      </c>
      <c r="N907" s="61">
        <v>160.422</v>
      </c>
      <c r="O907" s="61">
        <v>147.03100000000001</v>
      </c>
      <c r="P907" s="61">
        <v>186.119</v>
      </c>
      <c r="Q907" s="60"/>
      <c r="R907" s="47"/>
      <c r="S907" s="47"/>
      <c r="T907" s="48"/>
      <c r="U907" s="48"/>
      <c r="V907" s="49"/>
      <c r="W907" s="50"/>
      <c r="X907" s="51"/>
    </row>
    <row r="908" spans="1:26" ht="61.5" customHeight="1">
      <c r="A908" s="158"/>
      <c r="B908" s="164"/>
      <c r="C908" s="59" t="s">
        <v>18</v>
      </c>
      <c r="D908" s="60" t="s">
        <v>36</v>
      </c>
      <c r="E908" s="61">
        <v>143.00700000000001</v>
      </c>
      <c r="F908" s="61">
        <v>142.11000000000001</v>
      </c>
      <c r="G908" s="61">
        <v>152.04300000000001</v>
      </c>
      <c r="H908" s="61">
        <v>136.51599999999999</v>
      </c>
      <c r="I908" s="61">
        <v>150.6</v>
      </c>
      <c r="J908" s="61">
        <v>157.017</v>
      </c>
      <c r="K908" s="61">
        <v>150.352</v>
      </c>
      <c r="L908" s="61">
        <v>126.583</v>
      </c>
      <c r="M908" s="61">
        <v>151.03700000000001</v>
      </c>
      <c r="N908" s="61">
        <v>160.387</v>
      </c>
      <c r="O908" s="61">
        <v>146.21799999999999</v>
      </c>
      <c r="P908" s="61">
        <v>170.17400000000001</v>
      </c>
      <c r="Q908" s="60"/>
      <c r="R908" s="47"/>
      <c r="S908" s="47"/>
      <c r="T908" s="48"/>
      <c r="U908" s="48"/>
      <c r="V908" s="49"/>
      <c r="W908" s="50"/>
      <c r="X908" s="51"/>
    </row>
    <row r="909" spans="1:26" ht="61.5" customHeight="1">
      <c r="A909" s="158"/>
      <c r="B909" s="164"/>
      <c r="C909" s="59" t="s">
        <v>18</v>
      </c>
      <c r="D909" s="60" t="s">
        <v>37</v>
      </c>
      <c r="E909" s="61">
        <v>141.25299999999999</v>
      </c>
      <c r="F909" s="61">
        <v>150.00899999999999</v>
      </c>
      <c r="G909" s="61">
        <v>140.21199999999999</v>
      </c>
      <c r="H909" s="61">
        <v>132.25200000000001</v>
      </c>
      <c r="I909" s="61">
        <v>150.31200000000001</v>
      </c>
      <c r="J909" s="61">
        <v>139.07400000000001</v>
      </c>
      <c r="K909" s="61">
        <v>137.536</v>
      </c>
      <c r="L909" s="61">
        <v>145.58500000000001</v>
      </c>
      <c r="M909" s="61">
        <v>130.053</v>
      </c>
      <c r="N909" s="61">
        <v>135.07499999999999</v>
      </c>
      <c r="O909" s="61">
        <v>140.102</v>
      </c>
      <c r="P909" s="61">
        <v>178.40299999999999</v>
      </c>
      <c r="Q909" s="60"/>
      <c r="R909" s="47"/>
      <c r="S909" s="47"/>
      <c r="T909" s="48"/>
      <c r="U909" s="48"/>
      <c r="V909" s="49"/>
      <c r="W909" s="50"/>
      <c r="X909" s="51"/>
    </row>
    <row r="910" spans="1:26" ht="61.5" customHeight="1">
      <c r="A910" s="158"/>
      <c r="B910" s="164"/>
      <c r="C910" s="59" t="s">
        <v>18</v>
      </c>
      <c r="D910" s="60" t="s">
        <v>38</v>
      </c>
      <c r="E910" s="61">
        <v>125.459</v>
      </c>
      <c r="F910" s="61">
        <v>145.011</v>
      </c>
      <c r="G910" s="61">
        <v>135.03899999999999</v>
      </c>
      <c r="H910" s="61">
        <v>130.67500000000001</v>
      </c>
      <c r="I910" s="61">
        <v>126.209</v>
      </c>
      <c r="J910" s="61">
        <v>123.23399999999999</v>
      </c>
      <c r="K910" s="61">
        <v>150.24</v>
      </c>
      <c r="L910" s="61">
        <v>150.43700000000001</v>
      </c>
      <c r="M910" s="61">
        <v>157.08000000000001</v>
      </c>
      <c r="N910" s="61">
        <v>150.02500000000001</v>
      </c>
      <c r="O910" s="61">
        <v>145.23599999999999</v>
      </c>
      <c r="P910" s="61">
        <v>162.059</v>
      </c>
      <c r="Q910" s="60"/>
      <c r="R910" s="47"/>
      <c r="S910" s="47"/>
      <c r="T910" s="48"/>
      <c r="U910" s="48"/>
      <c r="V910" s="49"/>
      <c r="W910" s="50"/>
      <c r="X910" s="51"/>
    </row>
    <row r="911" spans="1:26" ht="61.5" customHeight="1">
      <c r="A911" s="158"/>
      <c r="B911" s="164"/>
      <c r="C911" s="59" t="s">
        <v>18</v>
      </c>
      <c r="D911" s="60" t="s">
        <v>39</v>
      </c>
      <c r="E911" s="61">
        <v>125.169</v>
      </c>
      <c r="F911" s="61">
        <v>135.024</v>
      </c>
      <c r="G911" s="61">
        <v>122.11199999999999</v>
      </c>
      <c r="H911" s="61">
        <v>116.20399999999999</v>
      </c>
      <c r="I911" s="61">
        <v>150.22800000000001</v>
      </c>
      <c r="J911" s="61">
        <v>136.80199999999999</v>
      </c>
      <c r="K911" s="61">
        <v>145.613</v>
      </c>
      <c r="L911" s="61">
        <v>143.011</v>
      </c>
      <c r="M911" s="61">
        <v>150.35599999999999</v>
      </c>
      <c r="N911" s="61">
        <v>156.78299999999999</v>
      </c>
      <c r="O911" s="61">
        <v>140.148</v>
      </c>
      <c r="P911" s="61">
        <v>152.54900000000001</v>
      </c>
      <c r="Q911" s="60"/>
      <c r="R911" s="47"/>
      <c r="S911" s="47"/>
      <c r="T911" s="48"/>
      <c r="U911" s="48"/>
      <c r="V911" s="49"/>
      <c r="W911" s="50"/>
      <c r="X911" s="51"/>
    </row>
    <row r="912" spans="1:26" ht="61.5" customHeight="1">
      <c r="A912" s="158"/>
      <c r="B912" s="164"/>
      <c r="C912" s="59" t="s">
        <v>18</v>
      </c>
      <c r="D912" s="60" t="s">
        <v>40</v>
      </c>
      <c r="E912" s="61">
        <v>107.249</v>
      </c>
      <c r="F912" s="61">
        <v>123.02200000000001</v>
      </c>
      <c r="G912" s="61">
        <v>119.05800000000001</v>
      </c>
      <c r="H912" s="61">
        <v>136.268</v>
      </c>
      <c r="I912" s="61">
        <v>133.31100000000001</v>
      </c>
      <c r="J912" s="61">
        <v>133.529</v>
      </c>
      <c r="K912" s="61">
        <v>145.00299999999999</v>
      </c>
      <c r="L912" s="61">
        <v>142.51300000000001</v>
      </c>
      <c r="M912" s="61">
        <v>147.084</v>
      </c>
      <c r="N912" s="61">
        <v>152.43700000000001</v>
      </c>
      <c r="O912" s="61">
        <v>143.57499999999999</v>
      </c>
      <c r="P912" s="61">
        <v>152.26599999999999</v>
      </c>
      <c r="Q912" s="60"/>
      <c r="R912" s="47"/>
      <c r="S912" s="47"/>
      <c r="T912" s="48"/>
      <c r="U912" s="48"/>
      <c r="V912" s="49"/>
      <c r="W912" s="50"/>
      <c r="X912" s="51"/>
    </row>
    <row r="913" spans="1:28" ht="61.5" customHeight="1">
      <c r="A913" s="158"/>
      <c r="B913" s="164"/>
      <c r="C913" s="59" t="s">
        <v>18</v>
      </c>
      <c r="D913" s="60" t="s">
        <v>41</v>
      </c>
      <c r="E913" s="61">
        <v>128.155</v>
      </c>
      <c r="F913" s="61">
        <v>131.09399999999999</v>
      </c>
      <c r="G913" s="61">
        <v>121.005</v>
      </c>
      <c r="H913" s="61">
        <v>114.184</v>
      </c>
      <c r="I913" s="61">
        <v>115.68300000000001</v>
      </c>
      <c r="J913" s="61">
        <v>132.61699999999999</v>
      </c>
      <c r="K913" s="61">
        <v>150.17599999999999</v>
      </c>
      <c r="L913" s="61">
        <v>142.06700000000001</v>
      </c>
      <c r="M913" s="61">
        <v>150.15799999999999</v>
      </c>
      <c r="N913" s="61">
        <v>152.06299999999999</v>
      </c>
      <c r="O913" s="61">
        <v>142.346</v>
      </c>
      <c r="P913" s="61">
        <v>132.06100000000001</v>
      </c>
      <c r="Q913" s="60"/>
      <c r="R913" s="47"/>
      <c r="S913" s="47"/>
      <c r="T913" s="48"/>
      <c r="U913" s="48"/>
      <c r="V913" s="49"/>
      <c r="W913" s="50"/>
      <c r="X913" s="51"/>
    </row>
    <row r="914" spans="1:28" ht="61.5" customHeight="1">
      <c r="A914" s="158"/>
      <c r="B914" s="164"/>
      <c r="C914" s="59" t="s">
        <v>18</v>
      </c>
      <c r="D914" s="60" t="s">
        <v>42</v>
      </c>
      <c r="E914" s="61">
        <v>122.042</v>
      </c>
      <c r="F914" s="61">
        <v>130.221</v>
      </c>
      <c r="G914" s="61">
        <v>120.081</v>
      </c>
      <c r="H914" s="61">
        <v>117.02500000000001</v>
      </c>
      <c r="I914" s="61">
        <v>128.05699999999999</v>
      </c>
      <c r="J914" s="61">
        <v>115.10899999999999</v>
      </c>
      <c r="K914" s="61">
        <v>136.05699999999999</v>
      </c>
      <c r="L914" s="61">
        <v>126.196</v>
      </c>
      <c r="M914" s="61">
        <v>140.196</v>
      </c>
      <c r="N914" s="61">
        <v>150.839</v>
      </c>
      <c r="O914" s="61">
        <v>142.21600000000001</v>
      </c>
      <c r="P914" s="61">
        <v>156.54499999999999</v>
      </c>
      <c r="Q914" s="60"/>
      <c r="R914" s="47"/>
      <c r="S914" s="47"/>
      <c r="T914" s="48"/>
      <c r="U914" s="48"/>
      <c r="V914" s="49"/>
      <c r="W914" s="50"/>
      <c r="X914" s="51"/>
    </row>
    <row r="915" spans="1:28" ht="61.5" customHeight="1">
      <c r="A915" s="158"/>
      <c r="B915" s="164"/>
      <c r="C915" s="59" t="s">
        <v>18</v>
      </c>
      <c r="D915" s="60" t="s">
        <v>43</v>
      </c>
      <c r="E915" s="61">
        <v>129.005</v>
      </c>
      <c r="F915" s="61">
        <v>133.029</v>
      </c>
      <c r="G915" s="61">
        <v>115.101</v>
      </c>
      <c r="H915" s="61">
        <v>130.01499999999999</v>
      </c>
      <c r="I915" s="61">
        <v>130.005</v>
      </c>
      <c r="J915" s="61">
        <v>115.009</v>
      </c>
      <c r="K915" s="61">
        <v>123.018</v>
      </c>
      <c r="L915" s="61">
        <v>112.251</v>
      </c>
      <c r="M915" s="61">
        <v>125.32299999999999</v>
      </c>
      <c r="N915" s="61">
        <v>137.023</v>
      </c>
      <c r="O915" s="61">
        <v>131.04599999999999</v>
      </c>
      <c r="P915" s="61">
        <v>146.285</v>
      </c>
      <c r="Q915" s="60"/>
      <c r="R915" s="47"/>
      <c r="S915" s="47"/>
      <c r="T915" s="48"/>
      <c r="U915" s="48"/>
      <c r="V915" s="49"/>
      <c r="W915" s="50"/>
      <c r="X915" s="51"/>
    </row>
    <row r="916" spans="1:28" ht="61.5" customHeight="1">
      <c r="A916" s="158"/>
      <c r="B916" s="165"/>
      <c r="C916" s="80" t="s">
        <v>18</v>
      </c>
      <c r="D916" s="81" t="s">
        <v>44</v>
      </c>
      <c r="E916" s="82">
        <v>118.542</v>
      </c>
      <c r="F916" s="82">
        <v>126.151</v>
      </c>
      <c r="G916" s="82">
        <v>102.1</v>
      </c>
      <c r="H916" s="82">
        <v>111.53</v>
      </c>
      <c r="I916" s="82">
        <v>114.003</v>
      </c>
      <c r="J916" s="82">
        <v>131.005</v>
      </c>
      <c r="K916" s="82">
        <v>130.11500000000001</v>
      </c>
      <c r="L916" s="82">
        <v>125.005</v>
      </c>
      <c r="M916" s="82">
        <v>133.11599999999999</v>
      </c>
      <c r="N916" s="82">
        <v>136.39099999999999</v>
      </c>
      <c r="O916" s="82">
        <v>125.902</v>
      </c>
      <c r="P916" s="82">
        <v>142.03299999999999</v>
      </c>
      <c r="Q916" s="81"/>
      <c r="R916" s="47"/>
      <c r="S916" s="47"/>
      <c r="T916" s="48"/>
      <c r="U916" s="48"/>
      <c r="V916" s="49"/>
      <c r="W916" s="50"/>
      <c r="X916" s="51"/>
    </row>
    <row r="917" spans="1:28" ht="61.5" customHeight="1">
      <c r="A917" s="158"/>
      <c r="B917" s="140"/>
      <c r="C917" s="100"/>
      <c r="D917" s="101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60"/>
      <c r="R917" s="47"/>
      <c r="S917" s="47"/>
      <c r="T917" s="48"/>
      <c r="U917" s="48"/>
      <c r="V917" s="49"/>
      <c r="W917" s="50"/>
      <c r="X917" s="51"/>
    </row>
    <row r="918" spans="1:28" s="109" customFormat="1" ht="65.099999999999994" customHeight="1">
      <c r="A918" s="158"/>
      <c r="B918" s="163" t="s">
        <v>49</v>
      </c>
      <c r="C918" s="42"/>
      <c r="D918" s="43"/>
      <c r="E918" s="44"/>
      <c r="F918" s="44"/>
      <c r="G918" s="44"/>
      <c r="H918" s="45"/>
      <c r="I918" s="44"/>
      <c r="J918" s="44"/>
      <c r="K918" s="44"/>
      <c r="L918" s="44"/>
      <c r="M918" s="44"/>
      <c r="N918" s="44"/>
      <c r="O918" s="44"/>
      <c r="P918" s="44"/>
      <c r="Q918" s="43"/>
      <c r="R918" s="91"/>
      <c r="S918" s="47"/>
      <c r="T918" s="48"/>
      <c r="U918" s="48"/>
      <c r="V918" s="49"/>
      <c r="W918" s="50"/>
      <c r="X918" s="51"/>
      <c r="Y918" s="108"/>
      <c r="Z918" s="108"/>
    </row>
    <row r="919" spans="1:28" s="52" customFormat="1">
      <c r="A919" s="158"/>
      <c r="B919" s="164"/>
      <c r="C919" s="55"/>
      <c r="D919" s="4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114"/>
      <c r="R919" s="47"/>
      <c r="S919" s="64"/>
      <c r="T919" s="48"/>
      <c r="U919" s="48"/>
      <c r="V919" s="49"/>
      <c r="W919" s="50"/>
      <c r="X919" s="51"/>
      <c r="Y919" s="2"/>
      <c r="Z919" s="2"/>
      <c r="AB919" s="2"/>
    </row>
    <row r="920" spans="1:28" s="52" customFormat="1">
      <c r="A920" s="158"/>
      <c r="B920" s="164"/>
      <c r="C920" s="59" t="s">
        <v>18</v>
      </c>
      <c r="D920" s="60" t="s">
        <v>19</v>
      </c>
      <c r="E920" s="61">
        <v>341.94200000000001</v>
      </c>
      <c r="F920" s="61">
        <v>339.255</v>
      </c>
      <c r="G920" s="61">
        <v>345.63400000000001</v>
      </c>
      <c r="H920" s="61">
        <v>315.72699999999998</v>
      </c>
      <c r="I920" s="61">
        <v>363.86500000000001</v>
      </c>
      <c r="J920" s="61">
        <v>346.56700000000001</v>
      </c>
      <c r="K920" s="61">
        <v>361.79500000000002</v>
      </c>
      <c r="L920" s="61">
        <v>304.892</v>
      </c>
      <c r="M920" s="61">
        <v>363.685</v>
      </c>
      <c r="N920" s="61">
        <v>374.399</v>
      </c>
      <c r="O920" s="61">
        <v>330.38799999999998</v>
      </c>
      <c r="P920" s="61">
        <v>377.07299999999998</v>
      </c>
      <c r="Q920" s="114"/>
      <c r="R920" s="47"/>
      <c r="S920" s="64"/>
      <c r="T920" s="48"/>
      <c r="U920" s="48"/>
      <c r="V920" s="49"/>
      <c r="W920" s="50"/>
      <c r="X920" s="51"/>
      <c r="Y920" s="2"/>
      <c r="Z920" s="2"/>
      <c r="AB920" s="2"/>
    </row>
    <row r="921" spans="1:28" s="52" customFormat="1">
      <c r="A921" s="158"/>
      <c r="B921" s="164"/>
      <c r="C921" s="59" t="s">
        <v>18</v>
      </c>
      <c r="D921" s="60" t="s">
        <v>20</v>
      </c>
      <c r="E921" s="61">
        <v>359.613</v>
      </c>
      <c r="F921" s="61">
        <v>321.88600000000002</v>
      </c>
      <c r="G921" s="61">
        <v>386.78399999999999</v>
      </c>
      <c r="H921" s="61">
        <v>332.29899999999998</v>
      </c>
      <c r="I921" s="61">
        <v>341.572</v>
      </c>
      <c r="J921" s="61">
        <v>324.03199999999998</v>
      </c>
      <c r="K921" s="61">
        <v>356.98899999999998</v>
      </c>
      <c r="L921" s="61">
        <v>290.31799999999998</v>
      </c>
      <c r="M921" s="61">
        <v>316.18200000000002</v>
      </c>
      <c r="N921" s="61">
        <v>367.58300000000003</v>
      </c>
      <c r="O921" s="61">
        <v>327.84899999999999</v>
      </c>
      <c r="P921" s="61">
        <v>355.34399999999999</v>
      </c>
      <c r="Q921" s="114"/>
      <c r="R921" s="47"/>
      <c r="S921" s="64"/>
      <c r="T921" s="48"/>
      <c r="U921" s="48"/>
      <c r="V921" s="49"/>
      <c r="W921" s="50"/>
      <c r="X921" s="51"/>
      <c r="Y921" s="2"/>
      <c r="Z921" s="2"/>
      <c r="AB921" s="2"/>
    </row>
    <row r="922" spans="1:28">
      <c r="A922" s="158"/>
      <c r="B922" s="164"/>
      <c r="C922" s="59" t="s">
        <v>18</v>
      </c>
      <c r="D922" s="60" t="s">
        <v>21</v>
      </c>
      <c r="E922" s="61">
        <v>300.61599999999999</v>
      </c>
      <c r="F922" s="61">
        <v>346.46800000000002</v>
      </c>
      <c r="G922" s="61">
        <v>325.89</v>
      </c>
      <c r="H922" s="61">
        <v>408.77600000000001</v>
      </c>
      <c r="I922" s="61">
        <v>366.59899999999999</v>
      </c>
      <c r="J922" s="61">
        <v>329.827</v>
      </c>
      <c r="K922" s="61">
        <v>351.65699999999998</v>
      </c>
      <c r="L922" s="61">
        <v>307.44</v>
      </c>
      <c r="M922" s="61">
        <v>319.32499999999999</v>
      </c>
      <c r="N922" s="61">
        <v>379.16899999999998</v>
      </c>
      <c r="O922" s="61">
        <v>353.24200000000002</v>
      </c>
      <c r="P922" s="61">
        <v>421.99900000000002</v>
      </c>
      <c r="Q922" s="115"/>
      <c r="R922" s="64"/>
      <c r="S922" s="64"/>
      <c r="T922" s="65"/>
      <c r="U922" s="65"/>
      <c r="V922" s="49"/>
      <c r="W922" s="49"/>
      <c r="X922" s="66"/>
      <c r="AB922" s="6"/>
    </row>
    <row r="923" spans="1:28" s="52" customFormat="1">
      <c r="A923" s="158"/>
      <c r="B923" s="164"/>
      <c r="C923" s="59" t="s">
        <v>18</v>
      </c>
      <c r="D923" s="60" t="s">
        <v>22</v>
      </c>
      <c r="E923" s="61">
        <v>293.14</v>
      </c>
      <c r="F923" s="61">
        <v>308.197</v>
      </c>
      <c r="G923" s="61">
        <v>319.245</v>
      </c>
      <c r="H923" s="61">
        <v>303.74099999999999</v>
      </c>
      <c r="I923" s="61">
        <v>294.16300000000001</v>
      </c>
      <c r="J923" s="61">
        <v>318.97199999999998</v>
      </c>
      <c r="K923" s="61">
        <v>319.41399999999999</v>
      </c>
      <c r="L923" s="61">
        <v>310.23200000000003</v>
      </c>
      <c r="M923" s="61">
        <v>338.81</v>
      </c>
      <c r="N923" s="61">
        <v>325.94100000000003</v>
      </c>
      <c r="O923" s="61">
        <v>302.12</v>
      </c>
      <c r="P923" s="61">
        <v>337.87200000000001</v>
      </c>
      <c r="Q923" s="114"/>
      <c r="R923" s="47"/>
      <c r="S923" s="64"/>
      <c r="T923" s="48"/>
      <c r="U923" s="48"/>
      <c r="V923" s="49"/>
      <c r="W923" s="50"/>
      <c r="X923" s="51"/>
      <c r="Y923" s="2"/>
      <c r="Z923" s="2"/>
      <c r="AB923" s="2"/>
    </row>
    <row r="924" spans="1:28" s="52" customFormat="1" ht="46.15" customHeight="1">
      <c r="A924" s="158"/>
      <c r="B924" s="164"/>
      <c r="C924" s="59" t="s">
        <v>18</v>
      </c>
      <c r="D924" s="60" t="str">
        <f>+D895</f>
        <v>2021-22</v>
      </c>
      <c r="E924" s="61">
        <v>275.108</v>
      </c>
      <c r="F924" s="61">
        <v>306.899</v>
      </c>
      <c r="G924" s="61">
        <v>260.012</v>
      </c>
      <c r="H924" s="61">
        <v>302.34800000000001</v>
      </c>
      <c r="I924" s="61">
        <v>318.15100000000001</v>
      </c>
      <c r="J924" s="61">
        <v>310.35700000000003</v>
      </c>
      <c r="K924" s="61">
        <v>317.49700000000001</v>
      </c>
      <c r="L924" s="61">
        <v>317.137</v>
      </c>
      <c r="M924" s="61">
        <v>301.13900000000001</v>
      </c>
      <c r="N924" s="61">
        <v>300.02999999999997</v>
      </c>
      <c r="O924" s="61">
        <v>307.83999999999997</v>
      </c>
      <c r="P924" s="61">
        <v>349.74299999999999</v>
      </c>
      <c r="Q924" s="114"/>
      <c r="R924" s="47"/>
      <c r="S924" s="64"/>
      <c r="T924" s="48"/>
      <c r="U924" s="48"/>
      <c r="V924" s="49"/>
      <c r="W924" s="50"/>
      <c r="X924" s="51"/>
      <c r="Y924" s="2"/>
      <c r="Z924" s="2"/>
      <c r="AB924" s="2"/>
    </row>
    <row r="925" spans="1:28" ht="46.15" customHeight="1">
      <c r="A925" s="158"/>
      <c r="B925" s="164"/>
      <c r="C925" s="59" t="s">
        <v>18</v>
      </c>
      <c r="D925" s="60" t="str">
        <f>+D896</f>
        <v>2020-21</v>
      </c>
      <c r="E925" s="61">
        <v>108.307</v>
      </c>
      <c r="F925" s="61">
        <v>114.996</v>
      </c>
      <c r="G925" s="61">
        <v>184.26599999999999</v>
      </c>
      <c r="H925" s="61">
        <v>276.56</v>
      </c>
      <c r="I925" s="61">
        <v>302.43200000000002</v>
      </c>
      <c r="J925" s="61">
        <v>286.11099999999999</v>
      </c>
      <c r="K925" s="61">
        <v>320.005</v>
      </c>
      <c r="L925" s="61">
        <v>314.36099999999999</v>
      </c>
      <c r="M925" s="61">
        <v>326.20999999999998</v>
      </c>
      <c r="N925" s="61">
        <v>331.00299999999999</v>
      </c>
      <c r="O925" s="61">
        <v>300.00200000000001</v>
      </c>
      <c r="P925" s="61">
        <v>342.04199999999997</v>
      </c>
      <c r="Q925" s="115"/>
      <c r="R925" s="64"/>
      <c r="S925" s="64"/>
      <c r="T925" s="65"/>
      <c r="U925" s="65"/>
      <c r="V925" s="49"/>
      <c r="W925" s="49"/>
      <c r="X925" s="66"/>
      <c r="Y925" s="49"/>
      <c r="Z925" s="49"/>
      <c r="AB925" s="49"/>
    </row>
    <row r="926" spans="1:28" ht="46.15" customHeight="1">
      <c r="A926" s="158"/>
      <c r="B926" s="164"/>
      <c r="C926" s="59" t="s">
        <v>18</v>
      </c>
      <c r="D926" s="60" t="s">
        <v>25</v>
      </c>
      <c r="E926" s="61">
        <v>249.78700000000001</v>
      </c>
      <c r="F926" s="61">
        <v>270.59300000000002</v>
      </c>
      <c r="G926" s="61">
        <v>290.02499999999998</v>
      </c>
      <c r="H926" s="61">
        <v>251.006</v>
      </c>
      <c r="I926" s="61">
        <v>226.39400000000001</v>
      </c>
      <c r="J926" s="61">
        <v>248.40299999999999</v>
      </c>
      <c r="K926" s="61">
        <v>262.78699999999998</v>
      </c>
      <c r="L926" s="61">
        <v>269.661</v>
      </c>
      <c r="M926" s="61">
        <v>277.334</v>
      </c>
      <c r="N926" s="61">
        <v>283.71499999999997</v>
      </c>
      <c r="O926" s="61">
        <v>281.50099999999998</v>
      </c>
      <c r="P926" s="61">
        <v>294.01600000000002</v>
      </c>
      <c r="Q926" s="115"/>
      <c r="R926" s="64"/>
      <c r="S926" s="64"/>
      <c r="T926" s="65"/>
      <c r="U926" s="65"/>
      <c r="V926" s="49"/>
      <c r="W926" s="49"/>
      <c r="X926" s="66"/>
    </row>
    <row r="927" spans="1:28" s="25" customFormat="1" ht="46.15" customHeight="1">
      <c r="A927" s="158"/>
      <c r="B927" s="164"/>
      <c r="C927" s="102" t="s">
        <v>18</v>
      </c>
      <c r="D927" s="103" t="s">
        <v>26</v>
      </c>
      <c r="E927" s="61">
        <v>228.816</v>
      </c>
      <c r="F927" s="61">
        <v>274.536</v>
      </c>
      <c r="G927" s="61">
        <v>262.31200000000001</v>
      </c>
      <c r="H927" s="61">
        <v>287.37299999999999</v>
      </c>
      <c r="I927" s="61">
        <v>274.36599999999999</v>
      </c>
      <c r="J927" s="61">
        <v>257.24299999999999</v>
      </c>
      <c r="K927" s="61">
        <v>280.54700000000003</v>
      </c>
      <c r="L927" s="61">
        <v>278.02199999999999</v>
      </c>
      <c r="M927" s="61">
        <v>300.29599999999999</v>
      </c>
      <c r="N927" s="61">
        <v>311.10199999999998</v>
      </c>
      <c r="O927" s="61">
        <v>277.09800000000001</v>
      </c>
      <c r="P927" s="61">
        <v>303.17500000000001</v>
      </c>
      <c r="Q927" s="116"/>
      <c r="R927" s="117"/>
      <c r="S927" s="64"/>
      <c r="T927" s="65"/>
      <c r="U927" s="65"/>
      <c r="V927" s="49"/>
      <c r="W927" s="49"/>
      <c r="X927" s="66"/>
      <c r="Y927" s="27"/>
      <c r="Z927" s="27"/>
    </row>
    <row r="928" spans="1:28" ht="46.15" customHeight="1">
      <c r="A928" s="158"/>
      <c r="B928" s="164"/>
      <c r="C928" s="59" t="s">
        <v>18</v>
      </c>
      <c r="D928" s="60" t="s">
        <v>27</v>
      </c>
      <c r="E928" s="61">
        <v>247.02799999999999</v>
      </c>
      <c r="F928" s="61">
        <v>176.41200000000001</v>
      </c>
      <c r="G928" s="61">
        <v>216.81399999999999</v>
      </c>
      <c r="H928" s="61">
        <v>263.31</v>
      </c>
      <c r="I928" s="61">
        <v>273.661</v>
      </c>
      <c r="J928" s="61">
        <v>233.874</v>
      </c>
      <c r="K928" s="61">
        <v>261.71800000000002</v>
      </c>
      <c r="L928" s="61">
        <v>249.59100000000001</v>
      </c>
      <c r="M928" s="61">
        <v>251.71199999999999</v>
      </c>
      <c r="N928" s="61">
        <v>255.20699999999999</v>
      </c>
      <c r="O928" s="61">
        <v>235.958</v>
      </c>
      <c r="P928" s="61">
        <v>282.20600000000002</v>
      </c>
      <c r="Q928" s="60"/>
      <c r="R928" s="64"/>
      <c r="S928" s="64"/>
      <c r="T928" s="65"/>
      <c r="U928" s="65"/>
      <c r="V928" s="49"/>
      <c r="W928" s="49"/>
      <c r="X928" s="66"/>
    </row>
    <row r="929" spans="1:24" ht="46.15" customHeight="1">
      <c r="A929" s="158"/>
      <c r="B929" s="164"/>
      <c r="C929" s="59" t="s">
        <v>18</v>
      </c>
      <c r="D929" s="60" t="s">
        <v>28</v>
      </c>
      <c r="E929" s="61">
        <v>222.511</v>
      </c>
      <c r="F929" s="61">
        <v>251.774</v>
      </c>
      <c r="G929" s="61">
        <v>245.92500000000001</v>
      </c>
      <c r="H929" s="61">
        <v>196.48400000000001</v>
      </c>
      <c r="I929" s="61">
        <v>212.25800000000001</v>
      </c>
      <c r="J929" s="61">
        <v>206.81</v>
      </c>
      <c r="K929" s="61">
        <v>214.708</v>
      </c>
      <c r="L929" s="61">
        <v>200.04900000000001</v>
      </c>
      <c r="M929" s="61">
        <v>238.596</v>
      </c>
      <c r="N929" s="61">
        <v>246.35599999999999</v>
      </c>
      <c r="O929" s="61">
        <v>229.53100000000001</v>
      </c>
      <c r="P929" s="61">
        <v>276.97000000000003</v>
      </c>
      <c r="Q929" s="60"/>
      <c r="R929" s="64"/>
      <c r="S929" s="64"/>
      <c r="T929" s="65"/>
      <c r="U929" s="65"/>
      <c r="V929" s="49"/>
      <c r="W929" s="49"/>
      <c r="X929" s="66"/>
    </row>
    <row r="930" spans="1:24" ht="46.15" customHeight="1">
      <c r="A930" s="158"/>
      <c r="B930" s="164"/>
      <c r="C930" s="59" t="s">
        <v>18</v>
      </c>
      <c r="D930" s="60" t="s">
        <v>29</v>
      </c>
      <c r="E930" s="76">
        <v>180.1</v>
      </c>
      <c r="F930" s="76">
        <v>161.108</v>
      </c>
      <c r="G930" s="76">
        <v>210.1</v>
      </c>
      <c r="H930" s="76">
        <v>213.1</v>
      </c>
      <c r="I930" s="76">
        <v>207.26</v>
      </c>
      <c r="J930" s="76">
        <v>205.08500000000001</v>
      </c>
      <c r="K930" s="76">
        <v>220.1</v>
      </c>
      <c r="L930" s="76">
        <v>204.648</v>
      </c>
      <c r="M930" s="76">
        <v>159.471</v>
      </c>
      <c r="N930" s="76">
        <v>200.32</v>
      </c>
      <c r="O930" s="76">
        <v>213.60300000000001</v>
      </c>
      <c r="P930" s="76">
        <v>248.869</v>
      </c>
      <c r="Q930" s="60"/>
      <c r="R930" s="64"/>
      <c r="S930" s="64"/>
      <c r="T930" s="65"/>
      <c r="U930" s="65"/>
      <c r="V930" s="49"/>
      <c r="W930" s="49"/>
      <c r="X930" s="66"/>
    </row>
    <row r="931" spans="1:24" ht="61.5" customHeight="1">
      <c r="A931" s="158"/>
      <c r="B931" s="164"/>
      <c r="C931" s="59" t="s">
        <v>18</v>
      </c>
      <c r="D931" s="60" t="s">
        <v>30</v>
      </c>
      <c r="E931" s="61">
        <v>210.01</v>
      </c>
      <c r="F931" s="61">
        <v>220.02099999999999</v>
      </c>
      <c r="G931" s="61">
        <v>205.00800000000001</v>
      </c>
      <c r="H931" s="61">
        <v>225.04</v>
      </c>
      <c r="I931" s="61">
        <v>202.01</v>
      </c>
      <c r="J931" s="61">
        <v>220.1</v>
      </c>
      <c r="K931" s="61">
        <v>215.05</v>
      </c>
      <c r="L931" s="61">
        <v>215.01</v>
      </c>
      <c r="M931" s="61">
        <v>205.05</v>
      </c>
      <c r="N931" s="61">
        <v>215.09</v>
      </c>
      <c r="O931" s="61">
        <v>190.01</v>
      </c>
      <c r="P931" s="61">
        <v>225.07400000000001</v>
      </c>
      <c r="Q931" s="60"/>
      <c r="R931" s="64"/>
      <c r="S931" s="64"/>
      <c r="T931" s="65"/>
      <c r="U931" s="65"/>
      <c r="V931" s="49"/>
      <c r="W931" s="49"/>
      <c r="X931" s="66"/>
    </row>
    <row r="932" spans="1:24" ht="61.5" customHeight="1">
      <c r="A932" s="158"/>
      <c r="B932" s="164"/>
      <c r="C932" s="59" t="s">
        <v>18</v>
      </c>
      <c r="D932" s="78" t="s">
        <v>31</v>
      </c>
      <c r="E932" s="61">
        <v>161.60499999999999</v>
      </c>
      <c r="F932" s="61">
        <v>185.05</v>
      </c>
      <c r="G932" s="61">
        <v>183.41</v>
      </c>
      <c r="H932" s="61">
        <v>183.01499999999999</v>
      </c>
      <c r="I932" s="61">
        <v>191.05</v>
      </c>
      <c r="J932" s="61">
        <v>180.00899999999999</v>
      </c>
      <c r="K932" s="61">
        <v>171.01</v>
      </c>
      <c r="L932" s="61">
        <v>210.01300000000001</v>
      </c>
      <c r="M932" s="61">
        <v>201.01</v>
      </c>
      <c r="N932" s="61">
        <v>212.01499999999999</v>
      </c>
      <c r="O932" s="61">
        <v>180.01</v>
      </c>
      <c r="P932" s="61">
        <v>190.05</v>
      </c>
      <c r="Q932" s="60"/>
      <c r="R932" s="64"/>
      <c r="S932" s="64"/>
      <c r="T932" s="65"/>
      <c r="U932" s="65"/>
      <c r="V932" s="49"/>
      <c r="W932" s="49"/>
      <c r="X932" s="66"/>
    </row>
    <row r="933" spans="1:24" ht="61.5" customHeight="1">
      <c r="A933" s="158"/>
      <c r="B933" s="164"/>
      <c r="C933" s="59" t="s">
        <v>18</v>
      </c>
      <c r="D933" s="60" t="s">
        <v>32</v>
      </c>
      <c r="E933" s="61">
        <v>165.065</v>
      </c>
      <c r="F933" s="61">
        <v>173.10499999999999</v>
      </c>
      <c r="G933" s="61">
        <v>178.10599999999999</v>
      </c>
      <c r="H933" s="61">
        <v>178.102</v>
      </c>
      <c r="I933" s="61">
        <v>191.00800000000001</v>
      </c>
      <c r="J933" s="61">
        <v>165.10900000000001</v>
      </c>
      <c r="K933" s="61">
        <v>135.01</v>
      </c>
      <c r="L933" s="61">
        <v>190.011</v>
      </c>
      <c r="M933" s="61">
        <v>195.81200000000001</v>
      </c>
      <c r="N933" s="61">
        <v>200.011</v>
      </c>
      <c r="O933" s="61">
        <v>170.00200000000001</v>
      </c>
      <c r="P933" s="61">
        <v>203.00299999999999</v>
      </c>
      <c r="Q933" s="60"/>
      <c r="R933" s="64"/>
      <c r="S933" s="64"/>
      <c r="T933" s="65"/>
      <c r="U933" s="65"/>
      <c r="V933" s="49"/>
      <c r="W933" s="49"/>
      <c r="X933" s="66"/>
    </row>
    <row r="934" spans="1:24" ht="61.5" customHeight="1">
      <c r="A934" s="158"/>
      <c r="B934" s="164"/>
      <c r="C934" s="59" t="s">
        <v>18</v>
      </c>
      <c r="D934" s="60" t="s">
        <v>33</v>
      </c>
      <c r="E934" s="61">
        <v>165.011</v>
      </c>
      <c r="F934" s="61">
        <v>168.56700000000001</v>
      </c>
      <c r="G934" s="61">
        <v>175.11</v>
      </c>
      <c r="H934" s="61">
        <v>174.584</v>
      </c>
      <c r="I934" s="61">
        <v>173.00800000000001</v>
      </c>
      <c r="J934" s="61">
        <v>160.036</v>
      </c>
      <c r="K934" s="61">
        <v>168.959</v>
      </c>
      <c r="L934" s="61">
        <v>164.02600000000001</v>
      </c>
      <c r="M934" s="61">
        <v>163.012</v>
      </c>
      <c r="N934" s="61">
        <v>184.083</v>
      </c>
      <c r="O934" s="61">
        <v>181.029</v>
      </c>
      <c r="P934" s="61">
        <v>202.7</v>
      </c>
      <c r="Q934" s="60"/>
      <c r="R934" s="47"/>
      <c r="S934" s="47"/>
      <c r="T934" s="48"/>
      <c r="U934" s="48"/>
      <c r="V934" s="49"/>
      <c r="W934" s="50"/>
      <c r="X934" s="51"/>
    </row>
    <row r="935" spans="1:24" ht="61.5" customHeight="1">
      <c r="A935" s="158"/>
      <c r="B935" s="164"/>
      <c r="C935" s="59" t="s">
        <v>18</v>
      </c>
      <c r="D935" s="60" t="s">
        <v>34</v>
      </c>
      <c r="E935" s="61">
        <v>159.13</v>
      </c>
      <c r="F935" s="61">
        <v>155.57400000000001</v>
      </c>
      <c r="G935" s="61">
        <v>156.023</v>
      </c>
      <c r="H935" s="61">
        <v>162.37899999999999</v>
      </c>
      <c r="I935" s="61">
        <v>173.60599999999999</v>
      </c>
      <c r="J935" s="61">
        <v>173.13300000000001</v>
      </c>
      <c r="K935" s="61">
        <v>184.13300000000001</v>
      </c>
      <c r="L935" s="61">
        <v>162.85499999999999</v>
      </c>
      <c r="M935" s="61">
        <v>160.72800000000001</v>
      </c>
      <c r="N935" s="61">
        <v>182.43199999999999</v>
      </c>
      <c r="O935" s="61">
        <v>165.85</v>
      </c>
      <c r="P935" s="61">
        <v>194.47800000000001</v>
      </c>
      <c r="Q935" s="60"/>
      <c r="R935" s="47"/>
      <c r="S935" s="47"/>
      <c r="T935" s="48"/>
      <c r="U935" s="48"/>
      <c r="V935" s="49"/>
      <c r="W935" s="50"/>
      <c r="X935" s="51"/>
    </row>
    <row r="936" spans="1:24" ht="61.5" customHeight="1">
      <c r="A936" s="158"/>
      <c r="B936" s="164"/>
      <c r="C936" s="59" t="s">
        <v>18</v>
      </c>
      <c r="D936" s="60" t="s">
        <v>35</v>
      </c>
      <c r="E936" s="61">
        <v>146.827</v>
      </c>
      <c r="F936" s="61">
        <v>141.86500000000001</v>
      </c>
      <c r="G936" s="61">
        <v>174.22</v>
      </c>
      <c r="H936" s="61">
        <v>164.672</v>
      </c>
      <c r="I936" s="61">
        <v>173.57</v>
      </c>
      <c r="J936" s="61">
        <v>160.524</v>
      </c>
      <c r="K936" s="61">
        <v>148.40100000000001</v>
      </c>
      <c r="L936" s="61">
        <v>134.22499999999999</v>
      </c>
      <c r="M936" s="61">
        <v>200.47300000000001</v>
      </c>
      <c r="N936" s="61">
        <v>196.08500000000001</v>
      </c>
      <c r="O936" s="61">
        <v>160.08199999999999</v>
      </c>
      <c r="P936" s="61">
        <v>196.374</v>
      </c>
      <c r="Q936" s="60"/>
      <c r="R936" s="47"/>
      <c r="S936" s="47"/>
      <c r="T936" s="48"/>
      <c r="U936" s="48"/>
      <c r="V936" s="49"/>
      <c r="W936" s="50"/>
      <c r="X936" s="51"/>
    </row>
    <row r="937" spans="1:24" ht="61.5" customHeight="1">
      <c r="A937" s="158"/>
      <c r="B937" s="164"/>
      <c r="C937" s="59" t="s">
        <v>18</v>
      </c>
      <c r="D937" s="60" t="s">
        <v>36</v>
      </c>
      <c r="E937" s="61">
        <v>156.27500000000001</v>
      </c>
      <c r="F937" s="61">
        <v>165.125</v>
      </c>
      <c r="G937" s="61">
        <v>170.17599999999999</v>
      </c>
      <c r="H937" s="61">
        <v>173.11699999999999</v>
      </c>
      <c r="I937" s="61">
        <v>175.07</v>
      </c>
      <c r="J937" s="61">
        <v>171.64</v>
      </c>
      <c r="K937" s="61">
        <v>119.505</v>
      </c>
      <c r="L937" s="61">
        <v>141.53</v>
      </c>
      <c r="M937" s="61">
        <v>143.946</v>
      </c>
      <c r="N937" s="61">
        <v>193.36099999999999</v>
      </c>
      <c r="O937" s="61">
        <v>180.37700000000001</v>
      </c>
      <c r="P937" s="61">
        <v>198.398</v>
      </c>
      <c r="Q937" s="81"/>
      <c r="R937" s="47"/>
      <c r="S937" s="47"/>
      <c r="T937" s="48"/>
      <c r="U937" s="48"/>
      <c r="V937" s="49"/>
      <c r="W937" s="50"/>
      <c r="X937" s="51"/>
    </row>
    <row r="938" spans="1:24" ht="61.5" customHeight="1">
      <c r="A938" s="134"/>
      <c r="B938" s="164"/>
      <c r="C938" s="59" t="s">
        <v>18</v>
      </c>
      <c r="D938" s="60" t="s">
        <v>37</v>
      </c>
      <c r="E938" s="85">
        <v>117.393</v>
      </c>
      <c r="F938" s="85">
        <v>135.00200000000001</v>
      </c>
      <c r="G938" s="85">
        <v>183.32400000000001</v>
      </c>
      <c r="H938" s="85">
        <v>182.74700000000001</v>
      </c>
      <c r="I938" s="85">
        <v>194.50800000000001</v>
      </c>
      <c r="J938" s="85">
        <v>167.54400000000001</v>
      </c>
      <c r="K938" s="85">
        <v>181.64099999999999</v>
      </c>
      <c r="L938" s="85">
        <v>172.345</v>
      </c>
      <c r="M938" s="85">
        <v>182.411</v>
      </c>
      <c r="N938" s="85">
        <v>181.80099999999999</v>
      </c>
      <c r="O938" s="85">
        <v>171.584</v>
      </c>
      <c r="P938" s="85">
        <v>197.435</v>
      </c>
      <c r="Q938" s="46"/>
      <c r="R938" s="47"/>
      <c r="S938" s="47"/>
      <c r="T938" s="48"/>
      <c r="U938" s="48"/>
      <c r="V938" s="49"/>
      <c r="W938" s="50"/>
      <c r="X938" s="51"/>
    </row>
    <row r="939" spans="1:24" ht="61.5" customHeight="1">
      <c r="A939" s="134"/>
      <c r="B939" s="164"/>
      <c r="C939" s="59" t="s">
        <v>18</v>
      </c>
      <c r="D939" s="60" t="s">
        <v>38</v>
      </c>
      <c r="E939" s="85">
        <v>136.41300000000001</v>
      </c>
      <c r="F939" s="85">
        <v>175.977</v>
      </c>
      <c r="G939" s="85">
        <v>158.642</v>
      </c>
      <c r="H939" s="85">
        <v>151.96799999999999</v>
      </c>
      <c r="I939" s="85">
        <v>156.78200000000001</v>
      </c>
      <c r="J939" s="85">
        <v>144.626</v>
      </c>
      <c r="K939" s="85">
        <v>195.191</v>
      </c>
      <c r="L939" s="85">
        <v>162.953</v>
      </c>
      <c r="M939" s="85">
        <v>184.80600000000001</v>
      </c>
      <c r="N939" s="85">
        <v>177.13200000000001</v>
      </c>
      <c r="O939" s="85">
        <v>148.071</v>
      </c>
      <c r="P939" s="85">
        <v>149.583</v>
      </c>
      <c r="Q939" s="46"/>
      <c r="R939" s="47"/>
      <c r="S939" s="47"/>
      <c r="T939" s="48"/>
      <c r="U939" s="48"/>
      <c r="V939" s="49"/>
      <c r="W939" s="50"/>
      <c r="X939" s="51"/>
    </row>
    <row r="940" spans="1:24" ht="61.5" customHeight="1">
      <c r="A940" s="134"/>
      <c r="B940" s="164"/>
      <c r="C940" s="59" t="s">
        <v>18</v>
      </c>
      <c r="D940" s="60" t="s">
        <v>39</v>
      </c>
      <c r="E940" s="85">
        <v>119.294</v>
      </c>
      <c r="F940" s="85">
        <v>106.422</v>
      </c>
      <c r="G940" s="85">
        <v>106.18</v>
      </c>
      <c r="H940" s="85">
        <v>97.665999999999997</v>
      </c>
      <c r="I940" s="85">
        <v>113.572</v>
      </c>
      <c r="J940" s="85">
        <v>117.47199999999999</v>
      </c>
      <c r="K940" s="85">
        <v>147.31899999999999</v>
      </c>
      <c r="L940" s="85">
        <v>127.67700000000001</v>
      </c>
      <c r="M940" s="85">
        <v>158.26900000000001</v>
      </c>
      <c r="N940" s="85">
        <v>173.48099999999999</v>
      </c>
      <c r="O940" s="85">
        <v>174.40899999999999</v>
      </c>
      <c r="P940" s="85">
        <v>173.90899999999999</v>
      </c>
      <c r="Q940" s="46"/>
      <c r="R940" s="47"/>
      <c r="S940" s="47"/>
      <c r="T940" s="48"/>
      <c r="U940" s="48"/>
      <c r="V940" s="49"/>
      <c r="W940" s="50"/>
      <c r="X940" s="51"/>
    </row>
    <row r="941" spans="1:24" ht="61.5" customHeight="1">
      <c r="A941" s="134"/>
      <c r="B941" s="164"/>
      <c r="C941" s="59" t="s">
        <v>18</v>
      </c>
      <c r="D941" s="60" t="s">
        <v>40</v>
      </c>
      <c r="E941" s="85">
        <v>93.203000000000003</v>
      </c>
      <c r="F941" s="85">
        <v>107.748</v>
      </c>
      <c r="G941" s="85">
        <v>93.227999999999994</v>
      </c>
      <c r="H941" s="85">
        <v>119.486</v>
      </c>
      <c r="I941" s="85">
        <v>141.88499999999999</v>
      </c>
      <c r="J941" s="85">
        <v>134.44999999999999</v>
      </c>
      <c r="K941" s="85">
        <v>135.95699999999999</v>
      </c>
      <c r="L941" s="85">
        <v>139.96799999999999</v>
      </c>
      <c r="M941" s="85">
        <v>140.245</v>
      </c>
      <c r="N941" s="85">
        <v>154.28</v>
      </c>
      <c r="O941" s="85">
        <v>137.99799999999999</v>
      </c>
      <c r="P941" s="85">
        <v>157.67699999999999</v>
      </c>
      <c r="Q941" s="46"/>
      <c r="R941" s="47"/>
      <c r="S941" s="47"/>
      <c r="T941" s="48"/>
      <c r="U941" s="48"/>
      <c r="V941" s="49"/>
      <c r="W941" s="50"/>
      <c r="X941" s="51"/>
    </row>
    <row r="942" spans="1:24" ht="61.5" customHeight="1">
      <c r="A942" s="134"/>
      <c r="B942" s="164"/>
      <c r="C942" s="59" t="s">
        <v>18</v>
      </c>
      <c r="D942" s="60" t="s">
        <v>41</v>
      </c>
      <c r="E942" s="85">
        <v>122.21899999999999</v>
      </c>
      <c r="F942" s="85">
        <v>123.116</v>
      </c>
      <c r="G942" s="85">
        <v>131.20599999999999</v>
      </c>
      <c r="H942" s="85">
        <v>155.13300000000001</v>
      </c>
      <c r="I942" s="85">
        <v>134.011</v>
      </c>
      <c r="J942" s="85">
        <v>130.22</v>
      </c>
      <c r="K942" s="85">
        <v>118.771</v>
      </c>
      <c r="L942" s="85">
        <v>71.638999999999996</v>
      </c>
      <c r="M942" s="85">
        <v>157.511</v>
      </c>
      <c r="N942" s="85">
        <v>154.13499999999999</v>
      </c>
      <c r="O942" s="85">
        <v>143.04400000000001</v>
      </c>
      <c r="P942" s="85">
        <v>133.94200000000001</v>
      </c>
      <c r="Q942" s="46"/>
      <c r="R942" s="47"/>
      <c r="S942" s="47"/>
      <c r="T942" s="48"/>
      <c r="U942" s="48"/>
      <c r="V942" s="49"/>
      <c r="W942" s="50"/>
      <c r="X942" s="51"/>
    </row>
    <row r="943" spans="1:24" ht="61.5" customHeight="1">
      <c r="A943" s="134"/>
      <c r="B943" s="164"/>
      <c r="C943" s="59" t="s">
        <v>18</v>
      </c>
      <c r="D943" s="60" t="s">
        <v>42</v>
      </c>
      <c r="E943" s="85">
        <v>122.14</v>
      </c>
      <c r="F943" s="85">
        <v>122.504</v>
      </c>
      <c r="G943" s="85">
        <v>130.10599999999999</v>
      </c>
      <c r="H943" s="85">
        <v>126.117</v>
      </c>
      <c r="I943" s="85">
        <v>117.108</v>
      </c>
      <c r="J943" s="85">
        <v>103.184</v>
      </c>
      <c r="K943" s="85">
        <v>91.501000000000005</v>
      </c>
      <c r="L943" s="85">
        <v>130.011</v>
      </c>
      <c r="M943" s="85">
        <v>141.173</v>
      </c>
      <c r="N943" s="85">
        <v>152.96</v>
      </c>
      <c r="O943" s="85">
        <v>135.202</v>
      </c>
      <c r="P943" s="85">
        <v>154.48099999999999</v>
      </c>
      <c r="Q943" s="46"/>
      <c r="R943" s="47"/>
      <c r="S943" s="47"/>
      <c r="T943" s="48"/>
      <c r="U943" s="48"/>
      <c r="V943" s="49"/>
      <c r="W943" s="50"/>
      <c r="X943" s="51"/>
    </row>
    <row r="944" spans="1:24" ht="61.5" customHeight="1">
      <c r="A944" s="134"/>
      <c r="B944" s="164"/>
      <c r="C944" s="59" t="s">
        <v>18</v>
      </c>
      <c r="D944" s="60" t="s">
        <v>43</v>
      </c>
      <c r="E944" s="85">
        <v>108.104</v>
      </c>
      <c r="F944" s="85">
        <v>109.105</v>
      </c>
      <c r="G944" s="85">
        <v>107.706</v>
      </c>
      <c r="H944" s="85">
        <v>103.407</v>
      </c>
      <c r="I944" s="85">
        <v>100.508</v>
      </c>
      <c r="J944" s="85">
        <v>101.209</v>
      </c>
      <c r="K944" s="85">
        <v>76.31</v>
      </c>
      <c r="L944" s="85">
        <v>121.31100000000001</v>
      </c>
      <c r="M944" s="85">
        <v>130.31200000000001</v>
      </c>
      <c r="N944" s="85">
        <v>127.401</v>
      </c>
      <c r="O944" s="85">
        <v>125.902</v>
      </c>
      <c r="P944" s="85">
        <v>142.40299999999999</v>
      </c>
      <c r="Q944" s="46"/>
      <c r="R944" s="47"/>
      <c r="S944" s="47"/>
      <c r="T944" s="48"/>
      <c r="U944" s="48"/>
      <c r="V944" s="49"/>
      <c r="W944" s="50"/>
      <c r="X944" s="51"/>
    </row>
    <row r="945" spans="1:28" ht="61.5" customHeight="1">
      <c r="A945" s="134"/>
      <c r="B945" s="165"/>
      <c r="C945" s="59" t="s">
        <v>18</v>
      </c>
      <c r="D945" s="60" t="s">
        <v>44</v>
      </c>
      <c r="E945" s="85">
        <v>105.104</v>
      </c>
      <c r="F945" s="85">
        <v>105.545</v>
      </c>
      <c r="G945" s="85">
        <v>103.556</v>
      </c>
      <c r="H945" s="85">
        <v>85.637</v>
      </c>
      <c r="I945" s="85">
        <v>100.208</v>
      </c>
      <c r="J945" s="85">
        <v>115.209</v>
      </c>
      <c r="K945" s="85">
        <v>115.31</v>
      </c>
      <c r="L945" s="85">
        <v>109.31100000000001</v>
      </c>
      <c r="M945" s="85">
        <v>110.312</v>
      </c>
      <c r="N945" s="85">
        <v>115.401</v>
      </c>
      <c r="O945" s="85">
        <v>108.402</v>
      </c>
      <c r="P945" s="85">
        <v>120.40300000000001</v>
      </c>
      <c r="Q945" s="46"/>
      <c r="R945" s="47"/>
      <c r="S945" s="47"/>
      <c r="T945" s="48"/>
      <c r="U945" s="48"/>
      <c r="V945" s="49"/>
      <c r="W945" s="50"/>
      <c r="X945" s="51"/>
    </row>
    <row r="946" spans="1:28" ht="61.5" customHeight="1">
      <c r="A946" s="134"/>
      <c r="B946" s="98"/>
      <c r="C946" s="100"/>
      <c r="D946" s="101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46"/>
      <c r="R946" s="47"/>
      <c r="S946" s="47"/>
      <c r="T946" s="48"/>
      <c r="U946" s="48"/>
      <c r="V946" s="49"/>
      <c r="W946" s="50"/>
      <c r="X946" s="51"/>
    </row>
    <row r="947" spans="1:28" s="109" customFormat="1" ht="65.099999999999994" customHeight="1">
      <c r="A947" s="158" t="s">
        <v>55</v>
      </c>
      <c r="B947" s="163" t="s">
        <v>46</v>
      </c>
      <c r="C947" s="42"/>
      <c r="D947" s="43"/>
      <c r="E947" s="44"/>
      <c r="F947" s="44"/>
      <c r="G947" s="44"/>
      <c r="H947" s="45"/>
      <c r="I947" s="44"/>
      <c r="J947" s="44"/>
      <c r="K947" s="44"/>
      <c r="L947" s="44"/>
      <c r="M947" s="44"/>
      <c r="N947" s="44"/>
      <c r="O947" s="44"/>
      <c r="P947" s="44"/>
      <c r="Q947" s="43"/>
      <c r="R947" s="91"/>
      <c r="S947" s="47"/>
      <c r="T947" s="48"/>
      <c r="U947" s="48"/>
      <c r="V947" s="49"/>
      <c r="W947" s="50"/>
      <c r="X947" s="51"/>
      <c r="Y947" s="108"/>
      <c r="Z947" s="108"/>
    </row>
    <row r="948" spans="1:28" s="52" customFormat="1">
      <c r="A948" s="158"/>
      <c r="B948" s="164"/>
      <c r="C948" s="55"/>
      <c r="D948" s="4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114"/>
      <c r="R948" s="47"/>
      <c r="S948" s="64"/>
      <c r="T948" s="48"/>
      <c r="U948" s="48"/>
      <c r="V948" s="49"/>
      <c r="W948" s="50"/>
      <c r="X948" s="51"/>
      <c r="Y948" s="2"/>
      <c r="Z948" s="2"/>
      <c r="AB948" s="2"/>
    </row>
    <row r="949" spans="1:28" s="52" customFormat="1">
      <c r="A949" s="158"/>
      <c r="B949" s="164"/>
      <c r="C949" s="59" t="s">
        <v>18</v>
      </c>
      <c r="D949" s="60" t="s">
        <v>19</v>
      </c>
      <c r="E949" s="61">
        <v>357.58699999999999</v>
      </c>
      <c r="F949" s="61">
        <v>408.26100000000002</v>
      </c>
      <c r="G949" s="61">
        <v>375.18200000000002</v>
      </c>
      <c r="H949" s="61">
        <v>383.61799999999999</v>
      </c>
      <c r="I949" s="61">
        <v>344.88600000000002</v>
      </c>
      <c r="J949" s="61">
        <v>374.31200000000001</v>
      </c>
      <c r="K949" s="61">
        <v>373.98</v>
      </c>
      <c r="L949" s="61">
        <v>358.20400000000001</v>
      </c>
      <c r="M949" s="61">
        <v>349.87700000000001</v>
      </c>
      <c r="N949" s="61">
        <v>421.16899999999998</v>
      </c>
      <c r="O949" s="61">
        <v>384.91399999999999</v>
      </c>
      <c r="P949" s="61">
        <v>432.94200000000001</v>
      </c>
      <c r="Q949" s="114"/>
      <c r="R949" s="47"/>
      <c r="S949" s="64"/>
      <c r="T949" s="48"/>
      <c r="U949" s="48"/>
      <c r="V949" s="49"/>
      <c r="W949" s="50"/>
      <c r="X949" s="51"/>
      <c r="Y949" s="2"/>
      <c r="Z949" s="2"/>
      <c r="AB949" s="2"/>
    </row>
    <row r="950" spans="1:28" s="52" customFormat="1">
      <c r="A950" s="158"/>
      <c r="B950" s="164"/>
      <c r="C950" s="59" t="s">
        <v>18</v>
      </c>
      <c r="D950" s="60" t="s">
        <v>20</v>
      </c>
      <c r="E950" s="61">
        <v>113.86199999999999</v>
      </c>
      <c r="F950" s="61">
        <v>273.38099999999997</v>
      </c>
      <c r="G950" s="61">
        <v>291.654</v>
      </c>
      <c r="H950" s="61">
        <v>335.66</v>
      </c>
      <c r="I950" s="61">
        <v>353.18799999999999</v>
      </c>
      <c r="J950" s="61">
        <v>376.03199999999998</v>
      </c>
      <c r="K950" s="61">
        <v>379.52300000000002</v>
      </c>
      <c r="L950" s="61">
        <v>333.26400000000001</v>
      </c>
      <c r="M950" s="61">
        <v>359.68400000000003</v>
      </c>
      <c r="N950" s="61">
        <v>354.44</v>
      </c>
      <c r="O950" s="61">
        <v>311.82400000000001</v>
      </c>
      <c r="P950" s="61">
        <v>377.87599999999998</v>
      </c>
      <c r="Q950" s="114"/>
      <c r="R950" s="47"/>
      <c r="S950" s="64"/>
      <c r="T950" s="48"/>
      <c r="U950" s="48"/>
      <c r="V950" s="49"/>
      <c r="W950" s="50"/>
      <c r="X950" s="51"/>
      <c r="Y950" s="2"/>
      <c r="Z950" s="2"/>
      <c r="AB950" s="2"/>
    </row>
    <row r="951" spans="1:28">
      <c r="A951" s="158"/>
      <c r="B951" s="164"/>
      <c r="C951" s="59" t="s">
        <v>18</v>
      </c>
      <c r="D951" s="60" t="s">
        <v>21</v>
      </c>
      <c r="E951" s="61">
        <v>349.95100000000002</v>
      </c>
      <c r="F951" s="61">
        <v>323.76900000000001</v>
      </c>
      <c r="G951" s="61">
        <v>319.08699999999999</v>
      </c>
      <c r="H951" s="61">
        <v>251.727</v>
      </c>
      <c r="I951" s="61">
        <v>386.25400000000002</v>
      </c>
      <c r="J951" s="61">
        <v>382.36599999999999</v>
      </c>
      <c r="K951" s="61">
        <v>351.45100000000002</v>
      </c>
      <c r="L951" s="61">
        <v>312.67700000000002</v>
      </c>
      <c r="M951" s="61">
        <v>366.18599999999998</v>
      </c>
      <c r="N951" s="61">
        <v>310</v>
      </c>
      <c r="O951" s="61">
        <v>338.16</v>
      </c>
      <c r="P951" s="61">
        <v>299.10399999999998</v>
      </c>
      <c r="Q951" s="115"/>
      <c r="R951" s="64"/>
      <c r="S951" s="64"/>
      <c r="T951" s="65"/>
      <c r="U951" s="65"/>
      <c r="V951" s="49"/>
      <c r="W951" s="49"/>
      <c r="X951" s="66"/>
      <c r="AB951" s="6"/>
    </row>
    <row r="952" spans="1:28" s="52" customFormat="1">
      <c r="A952" s="158"/>
      <c r="B952" s="164"/>
      <c r="C952" s="59" t="s">
        <v>18</v>
      </c>
      <c r="D952" s="60" t="s">
        <v>22</v>
      </c>
      <c r="E952" s="61">
        <v>302.37400000000002</v>
      </c>
      <c r="F952" s="61">
        <v>305.44299999999998</v>
      </c>
      <c r="G952" s="61">
        <v>294.28199999999998</v>
      </c>
      <c r="H952" s="61">
        <v>320.029</v>
      </c>
      <c r="I952" s="61">
        <v>327.149</v>
      </c>
      <c r="J952" s="61">
        <v>300.59100000000001</v>
      </c>
      <c r="K952" s="61">
        <v>320.77800000000002</v>
      </c>
      <c r="L952" s="61">
        <v>312.91199999999998</v>
      </c>
      <c r="M952" s="61">
        <v>331.27699999999999</v>
      </c>
      <c r="N952" s="61">
        <v>333.39400000000001</v>
      </c>
      <c r="O952" s="61">
        <v>313.35899999999998</v>
      </c>
      <c r="P952" s="61">
        <v>381.101</v>
      </c>
      <c r="Q952" s="114"/>
      <c r="R952" s="47"/>
      <c r="S952" s="64"/>
      <c r="T952" s="48"/>
      <c r="U952" s="48"/>
      <c r="V952" s="49"/>
      <c r="W952" s="50"/>
      <c r="X952" s="51"/>
      <c r="Y952" s="2"/>
      <c r="Z952" s="2"/>
      <c r="AB952" s="2"/>
    </row>
    <row r="953" spans="1:28" s="52" customFormat="1" ht="46.15" customHeight="1">
      <c r="A953" s="158"/>
      <c r="B953" s="164"/>
      <c r="C953" s="59" t="s">
        <v>18</v>
      </c>
      <c r="D953" s="60" t="str">
        <f>+D924</f>
        <v>2021-22</v>
      </c>
      <c r="E953" s="61">
        <v>306.24700000000001</v>
      </c>
      <c r="F953" s="61">
        <v>302.49200000000002</v>
      </c>
      <c r="G953" s="61">
        <v>276.03500000000003</v>
      </c>
      <c r="H953" s="61">
        <v>318.572</v>
      </c>
      <c r="I953" s="61">
        <v>346.64499999999998</v>
      </c>
      <c r="J953" s="61">
        <v>349.55399999999997</v>
      </c>
      <c r="K953" s="61">
        <v>333.30799999999999</v>
      </c>
      <c r="L953" s="61">
        <v>320.97000000000003</v>
      </c>
      <c r="M953" s="61">
        <v>306.75200000000001</v>
      </c>
      <c r="N953" s="61">
        <v>320.185</v>
      </c>
      <c r="O953" s="61">
        <v>313.16200000000003</v>
      </c>
      <c r="P953" s="61">
        <v>333.31700000000001</v>
      </c>
      <c r="Q953" s="114"/>
      <c r="R953" s="47"/>
      <c r="S953" s="64"/>
      <c r="T953" s="48"/>
      <c r="U953" s="48"/>
      <c r="V953" s="49"/>
      <c r="W953" s="50"/>
      <c r="X953" s="51"/>
      <c r="Y953" s="2"/>
      <c r="Z953" s="2"/>
      <c r="AB953" s="2"/>
    </row>
    <row r="954" spans="1:28" ht="46.15" customHeight="1">
      <c r="A954" s="158"/>
      <c r="B954" s="164"/>
      <c r="C954" s="59" t="s">
        <v>18</v>
      </c>
      <c r="D954" s="60" t="str">
        <f>+D925</f>
        <v>2020-21</v>
      </c>
      <c r="E954" s="61">
        <v>91.941000000000003</v>
      </c>
      <c r="F954" s="61">
        <v>149.63200000000001</v>
      </c>
      <c r="G954" s="61">
        <v>228.958</v>
      </c>
      <c r="H954" s="61">
        <v>261.81599999999997</v>
      </c>
      <c r="I954" s="61">
        <v>315.05599999999998</v>
      </c>
      <c r="J954" s="61">
        <v>282.02999999999997</v>
      </c>
      <c r="K954" s="61">
        <v>320.25799999999998</v>
      </c>
      <c r="L954" s="61">
        <v>313.67099999999999</v>
      </c>
      <c r="M954" s="61">
        <v>338.875</v>
      </c>
      <c r="N954" s="61">
        <v>333.23200000000003</v>
      </c>
      <c r="O954" s="61">
        <v>278.58100000000002</v>
      </c>
      <c r="P954" s="61">
        <v>326.85700000000003</v>
      </c>
      <c r="Q954" s="115"/>
      <c r="R954" s="64"/>
      <c r="S954" s="64"/>
      <c r="T954" s="65"/>
      <c r="U954" s="65"/>
      <c r="V954" s="49"/>
      <c r="W954" s="49"/>
      <c r="X954" s="66"/>
      <c r="Y954" s="49"/>
      <c r="Z954" s="49"/>
      <c r="AB954" s="49"/>
    </row>
    <row r="955" spans="1:28" ht="46.15" customHeight="1">
      <c r="A955" s="158"/>
      <c r="B955" s="164"/>
      <c r="C955" s="59" t="s">
        <v>18</v>
      </c>
      <c r="D955" s="60" t="s">
        <v>25</v>
      </c>
      <c r="E955" s="61">
        <v>311.58699999999999</v>
      </c>
      <c r="F955" s="61">
        <v>294.24700000000001</v>
      </c>
      <c r="G955" s="61">
        <v>295.012</v>
      </c>
      <c r="H955" s="61">
        <v>285.50099999999998</v>
      </c>
      <c r="I955" s="61">
        <v>270.505</v>
      </c>
      <c r="J955" s="61">
        <v>222.62700000000001</v>
      </c>
      <c r="K955" s="61">
        <v>263.55399999999997</v>
      </c>
      <c r="L955" s="61">
        <v>290.04899999999998</v>
      </c>
      <c r="M955" s="61">
        <v>306.303</v>
      </c>
      <c r="N955" s="61">
        <v>288.02499999999998</v>
      </c>
      <c r="O955" s="61">
        <v>292.34399999999999</v>
      </c>
      <c r="P955" s="61">
        <v>269.613</v>
      </c>
      <c r="Q955" s="115"/>
      <c r="R955" s="64"/>
      <c r="S955" s="64"/>
      <c r="T955" s="65"/>
      <c r="U955" s="65"/>
      <c r="V955" s="49"/>
      <c r="W955" s="49"/>
      <c r="X955" s="66"/>
    </row>
    <row r="956" spans="1:28" s="25" customFormat="1" ht="46.15" customHeight="1">
      <c r="A956" s="158"/>
      <c r="B956" s="164"/>
      <c r="C956" s="102" t="s">
        <v>18</v>
      </c>
      <c r="D956" s="103" t="s">
        <v>26</v>
      </c>
      <c r="E956" s="61">
        <v>282.74299999999999</v>
      </c>
      <c r="F956" s="61">
        <v>292.77999999999997</v>
      </c>
      <c r="G956" s="61">
        <v>300.07100000000003</v>
      </c>
      <c r="H956" s="61">
        <v>304.06099999999998</v>
      </c>
      <c r="I956" s="61">
        <v>310.10500000000002</v>
      </c>
      <c r="J956" s="61">
        <v>291.05200000000002</v>
      </c>
      <c r="K956" s="61">
        <v>307.25</v>
      </c>
      <c r="L956" s="61">
        <v>300.08600000000001</v>
      </c>
      <c r="M956" s="61">
        <v>307.39999999999998</v>
      </c>
      <c r="N956" s="61">
        <v>282.16199999999998</v>
      </c>
      <c r="O956" s="61">
        <v>311.07400000000001</v>
      </c>
      <c r="P956" s="61">
        <v>337.63799999999998</v>
      </c>
      <c r="Q956" s="116"/>
      <c r="R956" s="117"/>
      <c r="S956" s="64"/>
      <c r="T956" s="65"/>
      <c r="U956" s="65"/>
      <c r="V956" s="49"/>
      <c r="W956" s="49"/>
      <c r="X956" s="66"/>
      <c r="Y956" s="27"/>
      <c r="Z956" s="27"/>
    </row>
    <row r="957" spans="1:28" ht="46.15" customHeight="1">
      <c r="A957" s="158"/>
      <c r="B957" s="164"/>
      <c r="C957" s="59" t="s">
        <v>18</v>
      </c>
      <c r="D957" s="60" t="s">
        <v>27</v>
      </c>
      <c r="E957" s="61">
        <v>300.036</v>
      </c>
      <c r="F957" s="61">
        <v>293.36599999999999</v>
      </c>
      <c r="G957" s="61">
        <v>280.03399999999999</v>
      </c>
      <c r="H957" s="61">
        <v>250.52699999999999</v>
      </c>
      <c r="I957" s="61">
        <v>317.13299999999998</v>
      </c>
      <c r="J957" s="61">
        <v>320.27</v>
      </c>
      <c r="K957" s="61">
        <v>310.27199999999999</v>
      </c>
      <c r="L957" s="61">
        <v>285.5</v>
      </c>
      <c r="M957" s="61">
        <v>296.19400000000002</v>
      </c>
      <c r="N957" s="61">
        <v>309.86599999999999</v>
      </c>
      <c r="O957" s="61">
        <v>273.64299999999997</v>
      </c>
      <c r="P957" s="61">
        <v>263.77</v>
      </c>
      <c r="Q957" s="60"/>
      <c r="R957" s="64"/>
      <c r="S957" s="64"/>
      <c r="T957" s="65"/>
      <c r="U957" s="65"/>
      <c r="V957" s="49"/>
      <c r="W957" s="49"/>
      <c r="X957" s="66"/>
    </row>
    <row r="958" spans="1:28" ht="46.15" customHeight="1">
      <c r="A958" s="158"/>
      <c r="B958" s="164"/>
      <c r="C958" s="59" t="s">
        <v>18</v>
      </c>
      <c r="D958" s="60" t="s">
        <v>28</v>
      </c>
      <c r="E958" s="61">
        <v>243.114</v>
      </c>
      <c r="F958" s="61">
        <v>314.2</v>
      </c>
      <c r="G958" s="61">
        <v>238.88399999999999</v>
      </c>
      <c r="H958" s="61">
        <v>304.721</v>
      </c>
      <c r="I958" s="61">
        <v>302.39999999999998</v>
      </c>
      <c r="J958" s="61">
        <v>296.702</v>
      </c>
      <c r="K958" s="61">
        <v>300.16199999999998</v>
      </c>
      <c r="L958" s="61">
        <v>120.584</v>
      </c>
      <c r="M958" s="61">
        <v>320.096</v>
      </c>
      <c r="N958" s="61">
        <v>309.97699999999998</v>
      </c>
      <c r="O958" s="61">
        <v>286.87900000000002</v>
      </c>
      <c r="P958" s="61">
        <v>334.75900000000001</v>
      </c>
      <c r="Q958" s="60"/>
      <c r="R958" s="64"/>
      <c r="S958" s="64"/>
      <c r="T958" s="65"/>
      <c r="U958" s="65"/>
      <c r="V958" s="49"/>
      <c r="W958" s="49"/>
      <c r="X958" s="66"/>
    </row>
    <row r="959" spans="1:28" ht="46.15" customHeight="1">
      <c r="A959" s="158"/>
      <c r="B959" s="164"/>
      <c r="C959" s="59" t="s">
        <v>18</v>
      </c>
      <c r="D959" s="60" t="s">
        <v>29</v>
      </c>
      <c r="E959" s="76">
        <v>291.11500000000001</v>
      </c>
      <c r="F959" s="76">
        <v>288.017</v>
      </c>
      <c r="G959" s="76">
        <v>245.00399999999999</v>
      </c>
      <c r="H959" s="76">
        <v>220.411</v>
      </c>
      <c r="I959" s="76">
        <v>45.722000000000001</v>
      </c>
      <c r="J959" s="76">
        <v>28.286000000000001</v>
      </c>
      <c r="K959" s="76">
        <v>85.632999999999996</v>
      </c>
      <c r="L959" s="76">
        <v>227.01400000000001</v>
      </c>
      <c r="M959" s="76">
        <v>277.07600000000002</v>
      </c>
      <c r="N959" s="76">
        <v>293.58100000000002</v>
      </c>
      <c r="O959" s="76">
        <v>284.46800000000002</v>
      </c>
      <c r="P959" s="76">
        <v>315.02800000000002</v>
      </c>
      <c r="Q959" s="60"/>
      <c r="R959" s="64"/>
      <c r="S959" s="64"/>
      <c r="T959" s="65"/>
      <c r="U959" s="65"/>
      <c r="V959" s="49"/>
      <c r="W959" s="49"/>
      <c r="X959" s="66"/>
    </row>
    <row r="960" spans="1:28" ht="61.5" customHeight="1">
      <c r="A960" s="158"/>
      <c r="B960" s="164"/>
      <c r="C960" s="59" t="s">
        <v>18</v>
      </c>
      <c r="D960" s="60" t="s">
        <v>30</v>
      </c>
      <c r="E960" s="61">
        <v>285.62200000000001</v>
      </c>
      <c r="F960" s="61">
        <v>295.69299999999998</v>
      </c>
      <c r="G960" s="61">
        <v>290.02499999999998</v>
      </c>
      <c r="H960" s="61">
        <v>285.69799999999998</v>
      </c>
      <c r="I960" s="61">
        <v>288.05099999999999</v>
      </c>
      <c r="J960" s="61">
        <v>275.10899999999998</v>
      </c>
      <c r="K960" s="61">
        <v>270.08800000000002</v>
      </c>
      <c r="L960" s="61">
        <v>250.02699999999999</v>
      </c>
      <c r="M960" s="61">
        <v>265.01799999999997</v>
      </c>
      <c r="N960" s="61">
        <v>292.03800000000001</v>
      </c>
      <c r="O960" s="61">
        <v>267.01499999999999</v>
      </c>
      <c r="P960" s="61">
        <v>312.07600000000002</v>
      </c>
      <c r="Q960" s="60"/>
      <c r="R960" s="64"/>
      <c r="S960" s="64"/>
      <c r="T960" s="65"/>
      <c r="U960" s="65"/>
      <c r="V960" s="49"/>
      <c r="W960" s="49"/>
      <c r="X960" s="66"/>
    </row>
    <row r="961" spans="1:24" ht="61.5" customHeight="1">
      <c r="A961" s="158"/>
      <c r="B961" s="164"/>
      <c r="C961" s="59" t="s">
        <v>18</v>
      </c>
      <c r="D961" s="78" t="s">
        <v>31</v>
      </c>
      <c r="E961" s="61">
        <v>275.07</v>
      </c>
      <c r="F961" s="61">
        <v>303.178</v>
      </c>
      <c r="G961" s="61">
        <v>301.11500000000001</v>
      </c>
      <c r="H961" s="61">
        <v>300.00299999999999</v>
      </c>
      <c r="I961" s="61">
        <v>290.02300000000002</v>
      </c>
      <c r="J961" s="61">
        <v>296.08499999999998</v>
      </c>
      <c r="K961" s="61">
        <v>285.10500000000002</v>
      </c>
      <c r="L961" s="61">
        <v>216.035</v>
      </c>
      <c r="M961" s="61">
        <v>306.08</v>
      </c>
      <c r="N961" s="61">
        <v>310.15300000000002</v>
      </c>
      <c r="O961" s="61">
        <v>285.03699999999998</v>
      </c>
      <c r="P961" s="61">
        <v>321.52499999999998</v>
      </c>
      <c r="Q961" s="60"/>
      <c r="R961" s="64"/>
      <c r="S961" s="64"/>
      <c r="T961" s="65"/>
      <c r="U961" s="65"/>
      <c r="V961" s="49"/>
      <c r="W961" s="49"/>
      <c r="X961" s="66"/>
    </row>
    <row r="962" spans="1:24" ht="61.5" customHeight="1">
      <c r="A962" s="158"/>
      <c r="B962" s="164"/>
      <c r="C962" s="59" t="s">
        <v>18</v>
      </c>
      <c r="D962" s="60" t="s">
        <v>32</v>
      </c>
      <c r="E962" s="61">
        <v>281.27800000000002</v>
      </c>
      <c r="F962" s="61">
        <v>250.589</v>
      </c>
      <c r="G962" s="61">
        <v>269.96699999999998</v>
      </c>
      <c r="H962" s="61">
        <v>273.82799999999997</v>
      </c>
      <c r="I962" s="61">
        <v>280.10300000000001</v>
      </c>
      <c r="J962" s="61">
        <v>285.483</v>
      </c>
      <c r="K962" s="61">
        <v>285.02100000000002</v>
      </c>
      <c r="L962" s="61">
        <v>211.39099999999999</v>
      </c>
      <c r="M962" s="61">
        <v>315.83199999999999</v>
      </c>
      <c r="N962" s="61">
        <v>305.11500000000001</v>
      </c>
      <c r="O962" s="61">
        <v>250.12299999999999</v>
      </c>
      <c r="P962" s="61">
        <v>321.04000000000002</v>
      </c>
      <c r="Q962" s="60"/>
      <c r="R962" s="64"/>
      <c r="S962" s="64"/>
      <c r="T962" s="65"/>
      <c r="U962" s="65"/>
      <c r="V962" s="49"/>
      <c r="W962" s="49"/>
      <c r="X962" s="66"/>
    </row>
    <row r="963" spans="1:24" ht="61.5" customHeight="1">
      <c r="A963" s="158"/>
      <c r="B963" s="164"/>
      <c r="C963" s="59" t="s">
        <v>18</v>
      </c>
      <c r="D963" s="60" t="s">
        <v>33</v>
      </c>
      <c r="E963" s="61">
        <v>283.63200000000001</v>
      </c>
      <c r="F963" s="61">
        <v>253.83699999999999</v>
      </c>
      <c r="G963" s="61">
        <v>283.29599999999999</v>
      </c>
      <c r="H963" s="61">
        <v>274.55</v>
      </c>
      <c r="I963" s="61">
        <v>287.54700000000003</v>
      </c>
      <c r="J963" s="61">
        <v>286.43200000000002</v>
      </c>
      <c r="K963" s="61">
        <v>265.01</v>
      </c>
      <c r="L963" s="61">
        <v>170.071</v>
      </c>
      <c r="M963" s="61">
        <v>325.012</v>
      </c>
      <c r="N963" s="61">
        <v>303.024</v>
      </c>
      <c r="O963" s="61">
        <v>287.35899999999998</v>
      </c>
      <c r="P963" s="61">
        <v>306.13200000000001</v>
      </c>
      <c r="Q963" s="60"/>
      <c r="R963" s="47"/>
      <c r="S963" s="47"/>
      <c r="T963" s="48"/>
      <c r="U963" s="48"/>
      <c r="V963" s="49"/>
      <c r="W963" s="50"/>
      <c r="X963" s="51"/>
    </row>
    <row r="964" spans="1:24" ht="61.5" customHeight="1">
      <c r="A964" s="158"/>
      <c r="B964" s="164"/>
      <c r="C964" s="59" t="s">
        <v>18</v>
      </c>
      <c r="D964" s="60" t="s">
        <v>34</v>
      </c>
      <c r="E964" s="61">
        <v>221.31200000000001</v>
      </c>
      <c r="F964" s="61">
        <v>250.20500000000001</v>
      </c>
      <c r="G964" s="61">
        <v>275.351</v>
      </c>
      <c r="H964" s="61">
        <v>240.00299999999999</v>
      </c>
      <c r="I964" s="61">
        <v>268.02999999999997</v>
      </c>
      <c r="J964" s="61">
        <v>270.01</v>
      </c>
      <c r="K964" s="61">
        <v>323.005</v>
      </c>
      <c r="L964" s="61">
        <v>308.721</v>
      </c>
      <c r="M964" s="61">
        <v>300.61399999999998</v>
      </c>
      <c r="N964" s="61">
        <v>320.72399999999999</v>
      </c>
      <c r="O964" s="61">
        <v>300.983</v>
      </c>
      <c r="P964" s="61">
        <v>340.00139999999999</v>
      </c>
      <c r="Q964" s="60"/>
      <c r="R964" s="47"/>
      <c r="S964" s="47"/>
      <c r="T964" s="48"/>
      <c r="U964" s="48"/>
      <c r="V964" s="49"/>
      <c r="W964" s="50"/>
      <c r="X964" s="51"/>
    </row>
    <row r="965" spans="1:24" ht="61.5" customHeight="1">
      <c r="A965" s="158"/>
      <c r="B965" s="164"/>
      <c r="C965" s="59" t="s">
        <v>18</v>
      </c>
      <c r="D965" s="60" t="s">
        <v>35</v>
      </c>
      <c r="E965" s="61">
        <v>300.17099999999999</v>
      </c>
      <c r="F965" s="61">
        <v>295.14</v>
      </c>
      <c r="G965" s="61">
        <v>275.20800000000003</v>
      </c>
      <c r="H965" s="61">
        <v>300.25</v>
      </c>
      <c r="I965" s="61">
        <v>290.02999999999997</v>
      </c>
      <c r="J965" s="61">
        <v>226.27799999999999</v>
      </c>
      <c r="K965" s="61">
        <v>254.017</v>
      </c>
      <c r="L965" s="61">
        <v>298.048</v>
      </c>
      <c r="M965" s="61">
        <v>313.57</v>
      </c>
      <c r="N965" s="61">
        <v>313.505</v>
      </c>
      <c r="O965" s="61">
        <v>262.74</v>
      </c>
      <c r="P965" s="61">
        <v>332.512</v>
      </c>
      <c r="Q965" s="60"/>
      <c r="R965" s="47"/>
      <c r="S965" s="47"/>
      <c r="T965" s="48"/>
      <c r="U965" s="48"/>
      <c r="V965" s="49"/>
      <c r="W965" s="50"/>
      <c r="X965" s="51"/>
    </row>
    <row r="966" spans="1:24" ht="61.5" customHeight="1">
      <c r="A966" s="158"/>
      <c r="B966" s="164"/>
      <c r="C966" s="59" t="s">
        <v>18</v>
      </c>
      <c r="D966" s="60" t="s">
        <v>36</v>
      </c>
      <c r="E966" s="61">
        <v>277.50799999999998</v>
      </c>
      <c r="F966" s="61">
        <v>262.52100000000002</v>
      </c>
      <c r="G966" s="61">
        <v>223.029</v>
      </c>
      <c r="H966" s="61">
        <v>154.172</v>
      </c>
      <c r="I966" s="61">
        <v>350.15300000000002</v>
      </c>
      <c r="J966" s="61">
        <v>350.07</v>
      </c>
      <c r="K966" s="61">
        <v>300.101</v>
      </c>
      <c r="L966" s="61">
        <v>260.05500000000001</v>
      </c>
      <c r="M966" s="61">
        <v>305.11200000000002</v>
      </c>
      <c r="N966" s="61">
        <v>300.13299999999998</v>
      </c>
      <c r="O966" s="61">
        <v>280.16399999999999</v>
      </c>
      <c r="P966" s="61">
        <v>320.19400000000002</v>
      </c>
      <c r="Q966" s="81"/>
      <c r="R966" s="47"/>
      <c r="S966" s="47"/>
      <c r="T966" s="48"/>
      <c r="U966" s="48"/>
      <c r="V966" s="49"/>
      <c r="W966" s="50"/>
      <c r="X966" s="51"/>
    </row>
    <row r="967" spans="1:24" ht="61.5" customHeight="1">
      <c r="A967" s="158"/>
      <c r="B967" s="164"/>
      <c r="C967" s="59" t="s">
        <v>18</v>
      </c>
      <c r="D967" s="60" t="s">
        <v>37</v>
      </c>
      <c r="E967" s="85">
        <v>325.05099999999999</v>
      </c>
      <c r="F967" s="85">
        <v>277.084</v>
      </c>
      <c r="G967" s="85">
        <v>230.017</v>
      </c>
      <c r="H967" s="85">
        <v>331.15100000000001</v>
      </c>
      <c r="I967" s="85">
        <v>335.00099999999998</v>
      </c>
      <c r="J967" s="85">
        <v>360.02100000000002</v>
      </c>
      <c r="K967" s="85">
        <v>360.077</v>
      </c>
      <c r="L967" s="85">
        <v>335.07100000000003</v>
      </c>
      <c r="M967" s="85">
        <v>342.125</v>
      </c>
      <c r="N967" s="85">
        <v>340.02499999999998</v>
      </c>
      <c r="O967" s="85">
        <v>307.12099999999998</v>
      </c>
      <c r="P967" s="85">
        <v>360.101</v>
      </c>
      <c r="Q967" s="46"/>
      <c r="R967" s="47"/>
      <c r="S967" s="47"/>
      <c r="T967" s="48"/>
      <c r="U967" s="48"/>
      <c r="V967" s="49"/>
      <c r="W967" s="50"/>
      <c r="X967" s="51"/>
    </row>
    <row r="968" spans="1:24" ht="61.5" customHeight="1">
      <c r="A968" s="158"/>
      <c r="B968" s="164"/>
      <c r="C968" s="59" t="s">
        <v>18</v>
      </c>
      <c r="D968" s="60" t="s">
        <v>38</v>
      </c>
      <c r="E968" s="85">
        <v>300.06200000000001</v>
      </c>
      <c r="F968" s="85">
        <v>305.02499999999998</v>
      </c>
      <c r="G968" s="85">
        <v>290.10500000000002</v>
      </c>
      <c r="H968" s="85">
        <v>300.125</v>
      </c>
      <c r="I968" s="85">
        <v>311.68099999999998</v>
      </c>
      <c r="J968" s="85">
        <v>290.13</v>
      </c>
      <c r="K968" s="85">
        <v>350.101</v>
      </c>
      <c r="L968" s="85">
        <v>350.06099999999998</v>
      </c>
      <c r="M968" s="85">
        <v>350.13200000000001</v>
      </c>
      <c r="N968" s="85">
        <v>325.2</v>
      </c>
      <c r="O968" s="85">
        <v>305.10500000000002</v>
      </c>
      <c r="P968" s="85">
        <v>380.101</v>
      </c>
      <c r="Q968" s="46"/>
      <c r="R968" s="47"/>
      <c r="S968" s="47"/>
      <c r="T968" s="48"/>
      <c r="U968" s="48"/>
      <c r="V968" s="49"/>
      <c r="W968" s="50"/>
      <c r="X968" s="51"/>
    </row>
    <row r="969" spans="1:24" ht="61.5" customHeight="1">
      <c r="A969" s="158"/>
      <c r="B969" s="164"/>
      <c r="C969" s="59" t="s">
        <v>18</v>
      </c>
      <c r="D969" s="60" t="s">
        <v>39</v>
      </c>
      <c r="E969" s="85">
        <v>315.10899999999998</v>
      </c>
      <c r="F969" s="85">
        <v>316.02100000000002</v>
      </c>
      <c r="G969" s="85">
        <v>301.13</v>
      </c>
      <c r="H969" s="85">
        <v>262.04399999999998</v>
      </c>
      <c r="I969" s="85">
        <v>288.108</v>
      </c>
      <c r="J969" s="85">
        <v>330.25</v>
      </c>
      <c r="K969" s="85">
        <v>327.55099999999999</v>
      </c>
      <c r="L969" s="85">
        <v>326.08300000000003</v>
      </c>
      <c r="M969" s="85">
        <v>312.02100000000002</v>
      </c>
      <c r="N969" s="85">
        <v>321.44499999999999</v>
      </c>
      <c r="O969" s="85">
        <v>280.15100000000001</v>
      </c>
      <c r="P969" s="85">
        <v>355.10899999999998</v>
      </c>
      <c r="Q969" s="46"/>
      <c r="R969" s="47"/>
      <c r="S969" s="47"/>
      <c r="T969" s="48"/>
      <c r="U969" s="48"/>
      <c r="V969" s="49"/>
      <c r="W969" s="50"/>
      <c r="X969" s="51"/>
    </row>
    <row r="970" spans="1:24" ht="61.5" customHeight="1">
      <c r="A970" s="158"/>
      <c r="B970" s="164"/>
      <c r="C970" s="59" t="s">
        <v>18</v>
      </c>
      <c r="D970" s="60" t="s">
        <v>40</v>
      </c>
      <c r="E970" s="85">
        <v>222.72200000000001</v>
      </c>
      <c r="F970" s="85">
        <v>270.02100000000002</v>
      </c>
      <c r="G970" s="85">
        <v>275.05599999999998</v>
      </c>
      <c r="H970" s="85">
        <v>282.15100000000001</v>
      </c>
      <c r="I970" s="85">
        <v>280.25099999999998</v>
      </c>
      <c r="J970" s="85">
        <v>296.20100000000002</v>
      </c>
      <c r="K970" s="85">
        <v>310.101</v>
      </c>
      <c r="L970" s="85">
        <v>310.02499999999998</v>
      </c>
      <c r="M970" s="85">
        <v>308.036</v>
      </c>
      <c r="N970" s="85">
        <v>315.02100000000002</v>
      </c>
      <c r="O970" s="85">
        <v>301.10899999999998</v>
      </c>
      <c r="P970" s="85">
        <v>353.45800000000003</v>
      </c>
      <c r="Q970" s="46"/>
      <c r="R970" s="47"/>
      <c r="S970" s="47"/>
      <c r="T970" s="48"/>
      <c r="U970" s="48"/>
      <c r="V970" s="49"/>
      <c r="W970" s="50"/>
      <c r="X970" s="51"/>
    </row>
    <row r="971" spans="1:24" ht="61.5" customHeight="1">
      <c r="A971" s="158"/>
      <c r="B971" s="164"/>
      <c r="C971" s="59" t="s">
        <v>18</v>
      </c>
      <c r="D971" s="60" t="s">
        <v>41</v>
      </c>
      <c r="E971" s="85">
        <v>264.10399999999998</v>
      </c>
      <c r="F971" s="85">
        <v>220.161</v>
      </c>
      <c r="G971" s="85">
        <v>331.04899999999998</v>
      </c>
      <c r="H971" s="85">
        <v>296.19600000000003</v>
      </c>
      <c r="I971" s="85">
        <v>280.23</v>
      </c>
      <c r="J971" s="85">
        <v>280.05799999999999</v>
      </c>
      <c r="K971" s="85">
        <v>301.02600000000001</v>
      </c>
      <c r="L971" s="85">
        <v>277.137</v>
      </c>
      <c r="M971" s="85">
        <v>306.053</v>
      </c>
      <c r="N971" s="85">
        <v>301.101</v>
      </c>
      <c r="O971" s="85">
        <v>291.25099999999998</v>
      </c>
      <c r="P971" s="85">
        <v>301.75099999999998</v>
      </c>
      <c r="Q971" s="46"/>
      <c r="R971" s="47"/>
      <c r="S971" s="47"/>
      <c r="T971" s="48"/>
      <c r="U971" s="48"/>
      <c r="V971" s="49"/>
      <c r="W971" s="50"/>
      <c r="X971" s="51"/>
    </row>
    <row r="972" spans="1:24" ht="61.5" customHeight="1">
      <c r="A972" s="158"/>
      <c r="B972" s="164"/>
      <c r="C972" s="59" t="s">
        <v>18</v>
      </c>
      <c r="D972" s="60" t="s">
        <v>42</v>
      </c>
      <c r="E972" s="85">
        <v>263.04399999999998</v>
      </c>
      <c r="F972" s="85">
        <v>270.15100000000001</v>
      </c>
      <c r="G972" s="85">
        <v>280.36500000000001</v>
      </c>
      <c r="H972" s="85">
        <v>295.10399999999998</v>
      </c>
      <c r="I972" s="85">
        <v>260.202</v>
      </c>
      <c r="J972" s="85">
        <v>240.04499999999999</v>
      </c>
      <c r="K972" s="85">
        <v>300.32400000000001</v>
      </c>
      <c r="L972" s="85">
        <v>300.52100000000002</v>
      </c>
      <c r="M972" s="85">
        <v>290.36900000000003</v>
      </c>
      <c r="N972" s="85">
        <v>291.43799999999999</v>
      </c>
      <c r="O972" s="85">
        <v>268.10199999999998</v>
      </c>
      <c r="P972" s="85">
        <v>300.45</v>
      </c>
      <c r="Q972" s="46"/>
      <c r="R972" s="47"/>
      <c r="S972" s="47"/>
      <c r="T972" s="48"/>
      <c r="U972" s="48"/>
      <c r="V972" s="49"/>
      <c r="W972" s="50"/>
      <c r="X972" s="51"/>
    </row>
    <row r="973" spans="1:24" ht="61.5" customHeight="1">
      <c r="A973" s="158"/>
      <c r="B973" s="164"/>
      <c r="C973" s="59" t="s">
        <v>18</v>
      </c>
      <c r="D973" s="60" t="s">
        <v>43</v>
      </c>
      <c r="E973" s="85">
        <v>274.54700000000003</v>
      </c>
      <c r="F973" s="85">
        <v>268.613</v>
      </c>
      <c r="G973" s="85">
        <v>242.643</v>
      </c>
      <c r="H973" s="85">
        <v>219.69800000000001</v>
      </c>
      <c r="I973" s="85">
        <v>190.34800000000001</v>
      </c>
      <c r="J973" s="85">
        <v>278.34100000000001</v>
      </c>
      <c r="K973" s="85">
        <v>300.02600000000001</v>
      </c>
      <c r="L973" s="85">
        <v>280.99599999999998</v>
      </c>
      <c r="M973" s="85">
        <v>278.39100000000002</v>
      </c>
      <c r="N973" s="85">
        <v>291.31400000000002</v>
      </c>
      <c r="O973" s="85">
        <v>250.18700000000001</v>
      </c>
      <c r="P973" s="85">
        <v>325.02100000000002</v>
      </c>
      <c r="Q973" s="46"/>
      <c r="R973" s="47"/>
      <c r="S973" s="47"/>
      <c r="T973" s="48"/>
      <c r="U973" s="48"/>
      <c r="V973" s="49"/>
      <c r="W973" s="50"/>
      <c r="X973" s="51"/>
    </row>
    <row r="974" spans="1:24" ht="61.5" customHeight="1">
      <c r="A974" s="158"/>
      <c r="B974" s="164"/>
      <c r="C974" s="80" t="s">
        <v>18</v>
      </c>
      <c r="D974" s="81" t="s">
        <v>44</v>
      </c>
      <c r="E974" s="106">
        <v>273.887</v>
      </c>
      <c r="F974" s="106">
        <v>300.15899999999999</v>
      </c>
      <c r="G974" s="106">
        <v>279.38099999999997</v>
      </c>
      <c r="H974" s="106">
        <v>245.642</v>
      </c>
      <c r="I974" s="106">
        <v>262.57600000000002</v>
      </c>
      <c r="J974" s="106">
        <v>280.05500000000001</v>
      </c>
      <c r="K974" s="106">
        <v>284.77800000000002</v>
      </c>
      <c r="L974" s="106">
        <v>279.43099999999998</v>
      </c>
      <c r="M974" s="106">
        <v>280.17899999999997</v>
      </c>
      <c r="N974" s="106">
        <v>271.178</v>
      </c>
      <c r="O974" s="106">
        <v>254.12200000000001</v>
      </c>
      <c r="P974" s="106">
        <v>301.32600000000002</v>
      </c>
      <c r="Q974" s="46"/>
      <c r="R974" s="107"/>
      <c r="S974" s="47"/>
      <c r="T974" s="48"/>
      <c r="U974" s="48"/>
      <c r="V974" s="49"/>
      <c r="W974" s="50"/>
      <c r="X974" s="51"/>
    </row>
    <row r="975" spans="1:24" ht="61.5" customHeight="1">
      <c r="A975" s="158"/>
      <c r="B975" s="84"/>
      <c r="C975" s="131"/>
      <c r="D975" s="60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46"/>
      <c r="R975" s="47"/>
      <c r="S975" s="47"/>
      <c r="T975" s="48"/>
      <c r="U975" s="48"/>
      <c r="V975" s="49"/>
      <c r="W975" s="50"/>
      <c r="X975" s="51"/>
    </row>
    <row r="976" spans="1:24" ht="61.5" customHeight="1">
      <c r="A976" s="158"/>
      <c r="B976" s="84"/>
      <c r="C976" s="131"/>
      <c r="D976" s="60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46"/>
      <c r="R976" s="47"/>
      <c r="S976" s="47"/>
      <c r="T976" s="48"/>
      <c r="U976" s="48"/>
      <c r="V976" s="49"/>
      <c r="W976" s="50"/>
      <c r="X976" s="51"/>
    </row>
    <row r="977" spans="1:28" ht="61.5" customHeight="1">
      <c r="A977" s="158"/>
      <c r="B977" s="98"/>
      <c r="C977" s="132"/>
      <c r="D977" s="101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46"/>
      <c r="R977" s="47"/>
      <c r="S977" s="47"/>
      <c r="T977" s="48"/>
      <c r="U977" s="48"/>
      <c r="V977" s="49"/>
      <c r="W977" s="50"/>
      <c r="X977" s="51"/>
    </row>
    <row r="978" spans="1:28" s="109" customFormat="1" ht="65.099999999999994" customHeight="1">
      <c r="A978" s="158"/>
      <c r="B978" s="163" t="s">
        <v>47</v>
      </c>
      <c r="C978" s="42"/>
      <c r="D978" s="43"/>
      <c r="E978" s="44"/>
      <c r="F978" s="44"/>
      <c r="G978" s="44"/>
      <c r="H978" s="45"/>
      <c r="I978" s="44"/>
      <c r="J978" s="44"/>
      <c r="K978" s="44"/>
      <c r="L978" s="44"/>
      <c r="M978" s="44"/>
      <c r="N978" s="44"/>
      <c r="O978" s="44"/>
      <c r="P978" s="44"/>
      <c r="Q978" s="43"/>
      <c r="R978" s="91"/>
      <c r="S978" s="47"/>
      <c r="T978" s="48"/>
      <c r="U978" s="48"/>
      <c r="V978" s="49"/>
      <c r="W978" s="50"/>
      <c r="X978" s="51"/>
      <c r="Y978" s="108"/>
      <c r="Z978" s="108"/>
    </row>
    <row r="979" spans="1:28" s="52" customFormat="1">
      <c r="A979" s="158"/>
      <c r="B979" s="164"/>
      <c r="C979" s="55"/>
      <c r="D979" s="4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114"/>
      <c r="R979" s="47"/>
      <c r="S979" s="64"/>
      <c r="T979" s="48"/>
      <c r="U979" s="48"/>
      <c r="V979" s="49"/>
      <c r="W979" s="50"/>
      <c r="X979" s="51"/>
      <c r="Y979" s="2"/>
      <c r="Z979" s="2"/>
      <c r="AB979" s="2"/>
    </row>
    <row r="980" spans="1:28" s="52" customFormat="1">
      <c r="A980" s="158"/>
      <c r="B980" s="164"/>
      <c r="C980" s="59" t="s">
        <v>18</v>
      </c>
      <c r="D980" s="60" t="s">
        <v>19</v>
      </c>
      <c r="E980" s="61">
        <v>198.79795000000001</v>
      </c>
      <c r="F980" s="61">
        <v>228.30257900000007</v>
      </c>
      <c r="G980" s="61">
        <v>227.89399800000004</v>
      </c>
      <c r="H980" s="61">
        <v>243.21377700000011</v>
      </c>
      <c r="I980" s="61">
        <v>219.02552800000004</v>
      </c>
      <c r="J980" s="61">
        <v>222.81190100000006</v>
      </c>
      <c r="K980" s="61">
        <v>176.4517220000001</v>
      </c>
      <c r="L980" s="61">
        <v>214.4750590000001</v>
      </c>
      <c r="M980" s="61">
        <v>231.66229500000017</v>
      </c>
      <c r="N980" s="61">
        <v>224.56212800000014</v>
      </c>
      <c r="O980" s="61">
        <v>184.2004180000001</v>
      </c>
      <c r="P980" s="61">
        <v>233.33289499999998</v>
      </c>
      <c r="Q980" s="114"/>
      <c r="R980" s="47"/>
      <c r="S980" s="64"/>
      <c r="T980" s="48"/>
      <c r="U980" s="48"/>
      <c r="V980" s="49"/>
      <c r="W980" s="50"/>
      <c r="X980" s="51"/>
      <c r="Y980" s="2"/>
      <c r="Z980" s="2"/>
      <c r="AB980" s="2"/>
    </row>
    <row r="981" spans="1:28" s="52" customFormat="1">
      <c r="A981" s="158"/>
      <c r="B981" s="164"/>
      <c r="C981" s="59" t="s">
        <v>18</v>
      </c>
      <c r="D981" s="60" t="s">
        <v>20</v>
      </c>
      <c r="E981" s="61">
        <v>214.76089900000008</v>
      </c>
      <c r="F981" s="61">
        <v>181.34428100000014</v>
      </c>
      <c r="G981" s="61">
        <v>146.73948800000008</v>
      </c>
      <c r="H981" s="61">
        <v>221.2827180000001</v>
      </c>
      <c r="I981" s="61">
        <v>211.25986500000008</v>
      </c>
      <c r="J981" s="61">
        <v>216.21821500000007</v>
      </c>
      <c r="K981" s="61">
        <v>185.9552372</v>
      </c>
      <c r="L981" s="61">
        <v>40.31010400000001</v>
      </c>
      <c r="M981" s="61">
        <v>227.29361800000007</v>
      </c>
      <c r="N981" s="61">
        <v>235.40315700000008</v>
      </c>
      <c r="O981" s="61">
        <v>208.8159</v>
      </c>
      <c r="P981" s="61">
        <v>240.84299999999999</v>
      </c>
      <c r="Q981" s="114"/>
      <c r="R981" s="47"/>
      <c r="S981" s="64"/>
      <c r="T981" s="48"/>
      <c r="U981" s="48"/>
      <c r="V981" s="49"/>
      <c r="W981" s="50"/>
      <c r="X981" s="51"/>
      <c r="Y981" s="2"/>
      <c r="Z981" s="2"/>
      <c r="AB981" s="2"/>
    </row>
    <row r="982" spans="1:28">
      <c r="A982" s="158"/>
      <c r="B982" s="164"/>
      <c r="C982" s="59" t="s">
        <v>18</v>
      </c>
      <c r="D982" s="60" t="s">
        <v>21</v>
      </c>
      <c r="E982" s="61">
        <v>206.09014200000001</v>
      </c>
      <c r="F982" s="61">
        <v>163.07500600000003</v>
      </c>
      <c r="G982" s="61">
        <v>179.014162</v>
      </c>
      <c r="H982" s="61">
        <v>215.5001870000001</v>
      </c>
      <c r="I982" s="61">
        <v>216.51499999999999</v>
      </c>
      <c r="J982" s="61">
        <v>206.023</v>
      </c>
      <c r="K982" s="61">
        <v>210.315</v>
      </c>
      <c r="L982" s="61">
        <v>185.02</v>
      </c>
      <c r="M982" s="61">
        <v>206.768</v>
      </c>
      <c r="N982" s="61">
        <v>209.11</v>
      </c>
      <c r="O982" s="61">
        <v>205.16499999999999</v>
      </c>
      <c r="P982" s="61">
        <v>207.78700000000001</v>
      </c>
      <c r="Q982" s="115"/>
      <c r="R982" s="64"/>
      <c r="S982" s="64"/>
      <c r="T982" s="65"/>
      <c r="U982" s="65"/>
      <c r="V982" s="49"/>
      <c r="W982" s="49"/>
      <c r="X982" s="66"/>
      <c r="AB982" s="6"/>
    </row>
    <row r="983" spans="1:28" s="52" customFormat="1">
      <c r="A983" s="158"/>
      <c r="B983" s="164"/>
      <c r="C983" s="59" t="s">
        <v>18</v>
      </c>
      <c r="D983" s="60" t="s">
        <v>22</v>
      </c>
      <c r="E983" s="61">
        <v>182.47006199999998</v>
      </c>
      <c r="F983" s="61">
        <v>168.600188</v>
      </c>
      <c r="G983" s="61">
        <v>137.15153799999999</v>
      </c>
      <c r="H983" s="61">
        <v>193.11063499999997</v>
      </c>
      <c r="I983" s="61">
        <v>208.859656</v>
      </c>
      <c r="J983" s="61">
        <v>186.35995200000002</v>
      </c>
      <c r="K983" s="61">
        <v>200.600278</v>
      </c>
      <c r="L983" s="61">
        <v>195.00200000000001</v>
      </c>
      <c r="M983" s="61">
        <v>216.13354729999998</v>
      </c>
      <c r="N983" s="61">
        <v>216.7</v>
      </c>
      <c r="O983" s="61">
        <v>196.25899999999999</v>
      </c>
      <c r="P983" s="61">
        <v>214.14</v>
      </c>
      <c r="Q983" s="114"/>
      <c r="R983" s="47"/>
      <c r="S983" s="64"/>
      <c r="T983" s="48"/>
      <c r="U983" s="48"/>
      <c r="V983" s="49"/>
      <c r="W983" s="50"/>
      <c r="X983" s="51"/>
      <c r="Y983" s="2"/>
      <c r="Z983" s="2"/>
      <c r="AB983" s="2"/>
    </row>
    <row r="984" spans="1:28" s="52" customFormat="1" ht="46.15" customHeight="1">
      <c r="A984" s="158"/>
      <c r="B984" s="164"/>
      <c r="C984" s="59" t="s">
        <v>18</v>
      </c>
      <c r="D984" s="60" t="str">
        <f>+D953</f>
        <v>2021-22</v>
      </c>
      <c r="E984" s="61">
        <v>90.138220500000003</v>
      </c>
      <c r="F984" s="61">
        <v>103.82925399999999</v>
      </c>
      <c r="G984" s="61">
        <v>185.05950895619</v>
      </c>
      <c r="H984" s="61">
        <v>182.93517262748406</v>
      </c>
      <c r="I984" s="61">
        <v>198.16817886453501</v>
      </c>
      <c r="J984" s="61">
        <v>190.57774633900002</v>
      </c>
      <c r="K984" s="61">
        <v>194.93101231671503</v>
      </c>
      <c r="L984" s="61">
        <v>193.16317417500002</v>
      </c>
      <c r="M984" s="61">
        <v>210.37327325849998</v>
      </c>
      <c r="N984" s="61">
        <v>210.51277279877999</v>
      </c>
      <c r="O984" s="61">
        <v>190.28789585944997</v>
      </c>
      <c r="P984" s="61">
        <v>210.44960900000001</v>
      </c>
      <c r="Q984" s="114"/>
      <c r="R984" s="47"/>
      <c r="S984" s="64"/>
      <c r="T984" s="48"/>
      <c r="U984" s="48"/>
      <c r="V984" s="49"/>
      <c r="W984" s="50"/>
      <c r="X984" s="51"/>
      <c r="Y984" s="2"/>
      <c r="Z984" s="2"/>
      <c r="AB984" s="2"/>
    </row>
    <row r="985" spans="1:28" ht="46.15" customHeight="1">
      <c r="A985" s="158"/>
      <c r="B985" s="164"/>
      <c r="C985" s="59" t="s">
        <v>18</v>
      </c>
      <c r="D985" s="60" t="str">
        <f>+D954</f>
        <v>2020-21</v>
      </c>
      <c r="E985" s="61">
        <v>117.24754000000001</v>
      </c>
      <c r="F985" s="61">
        <v>127.31699999999999</v>
      </c>
      <c r="G985" s="61">
        <v>134.94025669999999</v>
      </c>
      <c r="H985" s="61">
        <v>180.01034600000003</v>
      </c>
      <c r="I985" s="61">
        <v>172.87779900000001</v>
      </c>
      <c r="J985" s="61">
        <v>95.621651500000013</v>
      </c>
      <c r="K985" s="61">
        <v>87.273226640978393</v>
      </c>
      <c r="L985" s="61">
        <v>131.82753549971599</v>
      </c>
      <c r="M985" s="61">
        <v>170.17400371359838</v>
      </c>
      <c r="N985" s="61">
        <v>191.19245598469809</v>
      </c>
      <c r="O985" s="61">
        <v>190.715</v>
      </c>
      <c r="P985" s="61">
        <v>224.637</v>
      </c>
      <c r="Q985" s="115"/>
      <c r="R985" s="64"/>
      <c r="S985" s="64"/>
      <c r="T985" s="65"/>
      <c r="U985" s="65"/>
      <c r="V985" s="49"/>
      <c r="W985" s="49"/>
      <c r="X985" s="66"/>
      <c r="Y985" s="49"/>
      <c r="Z985" s="49"/>
      <c r="AB985" s="49"/>
    </row>
    <row r="986" spans="1:28" ht="46.15" customHeight="1">
      <c r="A986" s="158"/>
      <c r="B986" s="164"/>
      <c r="C986" s="59" t="s">
        <v>18</v>
      </c>
      <c r="D986" s="60" t="s">
        <v>25</v>
      </c>
      <c r="E986" s="61">
        <v>115.10868736920899</v>
      </c>
      <c r="F986" s="61">
        <v>190.14261644239201</v>
      </c>
      <c r="G986" s="61">
        <v>171.401435210377</v>
      </c>
      <c r="H986" s="61">
        <v>172.14262807778701</v>
      </c>
      <c r="I986" s="61">
        <v>191.47102133804</v>
      </c>
      <c r="J986" s="61">
        <v>139.80199999999999</v>
      </c>
      <c r="K986" s="61">
        <v>153.72</v>
      </c>
      <c r="L986" s="61">
        <v>179.298</v>
      </c>
      <c r="M986" s="61">
        <v>210.512</v>
      </c>
      <c r="N986" s="61">
        <v>210.05536849999999</v>
      </c>
      <c r="O986" s="61">
        <v>191.09299999999999</v>
      </c>
      <c r="P986" s="61">
        <v>168.97900000000001</v>
      </c>
      <c r="Q986" s="115"/>
      <c r="R986" s="64"/>
      <c r="S986" s="64"/>
      <c r="T986" s="65"/>
      <c r="U986" s="65"/>
      <c r="V986" s="49"/>
      <c r="W986" s="49"/>
      <c r="X986" s="66"/>
    </row>
    <row r="987" spans="1:28" s="25" customFormat="1" ht="46.15" customHeight="1">
      <c r="A987" s="158"/>
      <c r="B987" s="164"/>
      <c r="C987" s="102" t="s">
        <v>18</v>
      </c>
      <c r="D987" s="103" t="s">
        <v>26</v>
      </c>
      <c r="E987" s="61">
        <v>139.175434222137</v>
      </c>
      <c r="F987" s="61">
        <v>159.953633853962</v>
      </c>
      <c r="G987" s="61">
        <v>166.26289728</v>
      </c>
      <c r="H987" s="61">
        <v>163.85551018762399</v>
      </c>
      <c r="I987" s="61">
        <v>128.69739995395901</v>
      </c>
      <c r="J987" s="61">
        <v>89.884159999999994</v>
      </c>
      <c r="K987" s="61">
        <v>124.14033103430999</v>
      </c>
      <c r="L987" s="61">
        <v>136.74208273897099</v>
      </c>
      <c r="M987" s="61">
        <v>189.16399999999999</v>
      </c>
      <c r="N987" s="61">
        <v>202.392</v>
      </c>
      <c r="O987" s="61">
        <v>200.59899999999999</v>
      </c>
      <c r="P987" s="61">
        <v>206.04400000000001</v>
      </c>
      <c r="Q987" s="116"/>
      <c r="R987" s="117"/>
      <c r="S987" s="64"/>
      <c r="T987" s="65"/>
      <c r="U987" s="65"/>
      <c r="V987" s="49"/>
      <c r="W987" s="49"/>
      <c r="X987" s="66"/>
      <c r="Y987" s="27"/>
      <c r="Z987" s="27"/>
    </row>
    <row r="988" spans="1:28" ht="46.15" customHeight="1">
      <c r="A988" s="158"/>
      <c r="B988" s="164"/>
      <c r="C988" s="59" t="s">
        <v>18</v>
      </c>
      <c r="D988" s="60" t="s">
        <v>27</v>
      </c>
      <c r="E988" s="61">
        <v>120.04</v>
      </c>
      <c r="F988" s="61">
        <v>128.47900000000001</v>
      </c>
      <c r="G988" s="61">
        <v>139.59399999999999</v>
      </c>
      <c r="H988" s="61">
        <v>140.40100000000001</v>
      </c>
      <c r="I988" s="61">
        <v>159.982</v>
      </c>
      <c r="J988" s="61">
        <v>133.316</v>
      </c>
      <c r="K988" s="61">
        <v>127.04900000000001</v>
      </c>
      <c r="L988" s="61">
        <v>126.414</v>
      </c>
      <c r="M988" s="61">
        <v>148.73500000000001</v>
      </c>
      <c r="N988" s="61">
        <v>161.14599999999999</v>
      </c>
      <c r="O988" s="61">
        <v>140.983</v>
      </c>
      <c r="P988" s="61">
        <v>160.959</v>
      </c>
      <c r="Q988" s="60"/>
      <c r="R988" s="64"/>
      <c r="S988" s="64"/>
      <c r="T988" s="65"/>
      <c r="U988" s="65"/>
      <c r="V988" s="49"/>
      <c r="W988" s="49"/>
      <c r="X988" s="66"/>
    </row>
    <row r="989" spans="1:28" ht="46.15" customHeight="1">
      <c r="A989" s="158"/>
      <c r="B989" s="164"/>
      <c r="C989" s="59" t="s">
        <v>18</v>
      </c>
      <c r="D989" s="60" t="s">
        <v>28</v>
      </c>
      <c r="E989" s="61">
        <v>85.666240000000002</v>
      </c>
      <c r="F989" s="61">
        <v>96.827960000000004</v>
      </c>
      <c r="G989" s="61">
        <v>94.250129999999999</v>
      </c>
      <c r="H989" s="61">
        <v>117.72866</v>
      </c>
      <c r="I989" s="61">
        <v>110.19819</v>
      </c>
      <c r="J989" s="61">
        <v>103.53046500000001</v>
      </c>
      <c r="K989" s="61">
        <v>117.42251</v>
      </c>
      <c r="L989" s="61">
        <v>106.18968</v>
      </c>
      <c r="M989" s="61">
        <v>112.53565</v>
      </c>
      <c r="N989" s="61">
        <v>139.20043000000001</v>
      </c>
      <c r="O989" s="61">
        <v>124.03695999999999</v>
      </c>
      <c r="P989" s="61">
        <v>130.22721000000001</v>
      </c>
      <c r="Q989" s="60"/>
      <c r="R989" s="64"/>
      <c r="S989" s="64"/>
      <c r="T989" s="65"/>
      <c r="U989" s="65"/>
      <c r="V989" s="49"/>
      <c r="W989" s="49"/>
      <c r="X989" s="66"/>
    </row>
    <row r="990" spans="1:28" ht="46.15" customHeight="1">
      <c r="A990" s="158"/>
      <c r="B990" s="164"/>
      <c r="C990" s="59" t="s">
        <v>18</v>
      </c>
      <c r="D990" s="60" t="s">
        <v>29</v>
      </c>
      <c r="E990" s="76">
        <v>34.101212176999994</v>
      </c>
      <c r="F990" s="76">
        <v>42.763280000000002</v>
      </c>
      <c r="G990" s="76">
        <v>46.985884999999996</v>
      </c>
      <c r="H990" s="76">
        <v>60.395215</v>
      </c>
      <c r="I990" s="76">
        <v>65.116484999999997</v>
      </c>
      <c r="J990" s="76">
        <v>74.499764999999982</v>
      </c>
      <c r="K990" s="76">
        <v>64.084179999999989</v>
      </c>
      <c r="L990" s="76">
        <v>67.243494999999996</v>
      </c>
      <c r="M990" s="76">
        <v>90.07767066000001</v>
      </c>
      <c r="N990" s="76">
        <v>103.60822026</v>
      </c>
      <c r="O990" s="76">
        <v>100.49580416999999</v>
      </c>
      <c r="P990" s="76">
        <v>107.03328</v>
      </c>
      <c r="Q990" s="60"/>
      <c r="R990" s="64"/>
      <c r="S990" s="64"/>
      <c r="T990" s="65"/>
      <c r="U990" s="65"/>
      <c r="V990" s="49"/>
      <c r="W990" s="49"/>
      <c r="X990" s="66"/>
    </row>
    <row r="991" spans="1:28" ht="61.5" customHeight="1">
      <c r="A991" s="158"/>
      <c r="B991" s="164"/>
      <c r="C991" s="59" t="s">
        <v>18</v>
      </c>
      <c r="D991" s="60" t="s">
        <v>30</v>
      </c>
      <c r="E991" s="61">
        <v>5.577</v>
      </c>
      <c r="F991" s="61">
        <v>6.4390000000000001</v>
      </c>
      <c r="G991" s="61">
        <v>7.1029999999999998</v>
      </c>
      <c r="H991" s="61">
        <v>7.4080000000000004</v>
      </c>
      <c r="I991" s="61">
        <v>10.141</v>
      </c>
      <c r="J991" s="61">
        <v>0.122</v>
      </c>
      <c r="K991" s="61">
        <v>1.298</v>
      </c>
      <c r="L991" s="61">
        <v>0</v>
      </c>
      <c r="M991" s="61">
        <v>3.766</v>
      </c>
      <c r="N991" s="61">
        <v>14.363</v>
      </c>
      <c r="O991" s="61">
        <v>20.27</v>
      </c>
      <c r="P991" s="61">
        <v>50.1</v>
      </c>
      <c r="Q991" s="60"/>
      <c r="R991" s="64"/>
      <c r="S991" s="64"/>
      <c r="T991" s="65"/>
      <c r="U991" s="65"/>
      <c r="V991" s="49"/>
      <c r="W991" s="49"/>
      <c r="X991" s="66"/>
    </row>
    <row r="992" spans="1:28" ht="61.5" customHeight="1">
      <c r="A992" s="158"/>
      <c r="B992" s="164"/>
      <c r="C992" s="59" t="s">
        <v>18</v>
      </c>
      <c r="D992" s="78" t="s">
        <v>31</v>
      </c>
      <c r="E992" s="61">
        <v>19.001999999999999</v>
      </c>
      <c r="F992" s="61">
        <v>20.032</v>
      </c>
      <c r="G992" s="61">
        <v>21.835999999999999</v>
      </c>
      <c r="H992" s="61">
        <v>20.866</v>
      </c>
      <c r="I992" s="61">
        <v>17.047000000000001</v>
      </c>
      <c r="J992" s="61">
        <v>13.065</v>
      </c>
      <c r="K992" s="61">
        <v>12.351000000000001</v>
      </c>
      <c r="L992" s="61">
        <v>15.22</v>
      </c>
      <c r="M992" s="61">
        <v>17.37</v>
      </c>
      <c r="N992" s="61">
        <v>17.597999999999999</v>
      </c>
      <c r="O992" s="61">
        <v>13.802</v>
      </c>
      <c r="P992" s="61">
        <v>13.496</v>
      </c>
      <c r="Q992" s="60"/>
      <c r="R992" s="64"/>
      <c r="S992" s="64"/>
      <c r="T992" s="65"/>
      <c r="U992" s="65"/>
      <c r="V992" s="49"/>
      <c r="W992" s="49"/>
      <c r="X992" s="66"/>
    </row>
    <row r="993" spans="1:28" ht="61.5" customHeight="1">
      <c r="A993" s="158"/>
      <c r="B993" s="164"/>
      <c r="C993" s="59" t="s">
        <v>18</v>
      </c>
      <c r="D993" s="60" t="s">
        <v>32</v>
      </c>
      <c r="E993" s="61">
        <v>25.276</v>
      </c>
      <c r="F993" s="61">
        <v>23.495000000000001</v>
      </c>
      <c r="G993" s="61">
        <v>20.667999999999999</v>
      </c>
      <c r="H993" s="61">
        <v>18.873999999999999</v>
      </c>
      <c r="I993" s="61">
        <v>11.016</v>
      </c>
      <c r="J993" s="61">
        <v>10.318</v>
      </c>
      <c r="K993" s="61">
        <v>6.6440000000000001</v>
      </c>
      <c r="L993" s="61">
        <f>7.686+0.3</f>
        <v>7.9859999999999998</v>
      </c>
      <c r="M993" s="61">
        <v>4.9749999999999996</v>
      </c>
      <c r="N993" s="61">
        <v>6.915</v>
      </c>
      <c r="O993" s="61">
        <v>11.398</v>
      </c>
      <c r="P993" s="61">
        <v>21.004000000000001</v>
      </c>
      <c r="Q993" s="60"/>
      <c r="R993" s="64"/>
      <c r="S993" s="64"/>
      <c r="T993" s="65"/>
      <c r="U993" s="65"/>
      <c r="V993" s="49"/>
      <c r="W993" s="49"/>
      <c r="X993" s="66"/>
    </row>
    <row r="994" spans="1:28" ht="61.5" customHeight="1">
      <c r="A994" s="158"/>
      <c r="B994" s="164"/>
      <c r="C994" s="59" t="s">
        <v>18</v>
      </c>
      <c r="D994" s="60" t="s">
        <v>33</v>
      </c>
      <c r="E994" s="61">
        <v>31.643000000000001</v>
      </c>
      <c r="F994" s="61">
        <v>33.5</v>
      </c>
      <c r="G994" s="61">
        <v>29.01</v>
      </c>
      <c r="H994" s="61">
        <v>29.597000000000001</v>
      </c>
      <c r="I994" s="61">
        <v>21.788</v>
      </c>
      <c r="J994" s="61">
        <v>20.643000000000001</v>
      </c>
      <c r="K994" s="61">
        <v>21.736999999999998</v>
      </c>
      <c r="L994" s="61">
        <v>30.067</v>
      </c>
      <c r="M994" s="61">
        <v>26.393999999999998</v>
      </c>
      <c r="N994" s="61">
        <v>22.257000000000001</v>
      </c>
      <c r="O994" s="61">
        <v>24.033999999999999</v>
      </c>
      <c r="P994" s="61">
        <v>25.016999999999999</v>
      </c>
      <c r="Q994" s="60"/>
      <c r="R994" s="47"/>
      <c r="S994" s="47"/>
      <c r="T994" s="48"/>
      <c r="U994" s="48"/>
      <c r="V994" s="49"/>
      <c r="W994" s="50"/>
      <c r="X994" s="51"/>
    </row>
    <row r="995" spans="1:28" ht="61.5" customHeight="1">
      <c r="A995" s="158"/>
      <c r="B995" s="164"/>
      <c r="C995" s="59" t="s">
        <v>18</v>
      </c>
      <c r="D995" s="60" t="s">
        <v>34</v>
      </c>
      <c r="E995" s="61">
        <v>33.5</v>
      </c>
      <c r="F995" s="61">
        <v>37.567999999999998</v>
      </c>
      <c r="G995" s="61">
        <v>31.658999999999999</v>
      </c>
      <c r="H995" s="61">
        <v>33.087000000000003</v>
      </c>
      <c r="I995" s="61">
        <v>34.015000000000001</v>
      </c>
      <c r="J995" s="61">
        <v>35.36</v>
      </c>
      <c r="K995" s="61">
        <v>34.496000000000002</v>
      </c>
      <c r="L995" s="61">
        <v>36.029000000000003</v>
      </c>
      <c r="M995" s="61">
        <v>37.072000000000003</v>
      </c>
      <c r="N995" s="61">
        <v>37.264000000000003</v>
      </c>
      <c r="O995" s="61">
        <v>33.6</v>
      </c>
      <c r="P995" s="61">
        <v>40.877000000000002</v>
      </c>
      <c r="Q995" s="60"/>
      <c r="R995" s="47"/>
      <c r="S995" s="47"/>
      <c r="T995" s="48"/>
      <c r="U995" s="48"/>
      <c r="V995" s="49"/>
      <c r="W995" s="50"/>
      <c r="X995" s="51"/>
    </row>
    <row r="996" spans="1:28" ht="61.5" customHeight="1">
      <c r="A996" s="158"/>
      <c r="B996" s="164"/>
      <c r="C996" s="59" t="s">
        <v>18</v>
      </c>
      <c r="D996" s="60" t="s">
        <v>35</v>
      </c>
      <c r="E996" s="61">
        <v>26.361999999999998</v>
      </c>
      <c r="F996" s="61">
        <v>40.667999999999999</v>
      </c>
      <c r="G996" s="61">
        <v>33.503999999999998</v>
      </c>
      <c r="H996" s="61">
        <v>30.114000000000001</v>
      </c>
      <c r="I996" s="61">
        <v>28.353000000000002</v>
      </c>
      <c r="J996" s="61">
        <v>31.212</v>
      </c>
      <c r="K996" s="61">
        <v>34.040999999999997</v>
      </c>
      <c r="L996" s="61">
        <v>35.97</v>
      </c>
      <c r="M996" s="61">
        <v>36.037999999999997</v>
      </c>
      <c r="N996" s="61">
        <v>40.200000000000003</v>
      </c>
      <c r="O996" s="61">
        <v>36.674999999999997</v>
      </c>
      <c r="P996" s="61">
        <v>40.659999999999997</v>
      </c>
      <c r="Q996" s="60"/>
      <c r="R996" s="47"/>
      <c r="S996" s="47"/>
      <c r="T996" s="48"/>
      <c r="U996" s="48"/>
      <c r="V996" s="49"/>
      <c r="W996" s="50"/>
      <c r="X996" s="51"/>
    </row>
    <row r="997" spans="1:28" ht="61.5" customHeight="1">
      <c r="A997" s="159"/>
      <c r="B997" s="164"/>
      <c r="C997" s="80" t="s">
        <v>18</v>
      </c>
      <c r="D997" s="81" t="s">
        <v>36</v>
      </c>
      <c r="E997" s="82">
        <v>29.004999999999999</v>
      </c>
      <c r="F997" s="82">
        <v>23.212</v>
      </c>
      <c r="G997" s="82">
        <v>36.704000000000001</v>
      </c>
      <c r="H997" s="82">
        <v>37.835000000000001</v>
      </c>
      <c r="I997" s="82">
        <v>33.005000000000003</v>
      </c>
      <c r="J997" s="82">
        <v>25.899000000000001</v>
      </c>
      <c r="K997" s="82">
        <v>32.777000000000001</v>
      </c>
      <c r="L997" s="82">
        <v>30.632000000000001</v>
      </c>
      <c r="M997" s="82">
        <v>32.03</v>
      </c>
      <c r="N997" s="82">
        <v>45.104999999999997</v>
      </c>
      <c r="O997" s="82">
        <v>40.149000000000001</v>
      </c>
      <c r="P997" s="82">
        <v>36.223999999999997</v>
      </c>
      <c r="Q997" s="81"/>
      <c r="R997" s="47"/>
      <c r="S997" s="47"/>
      <c r="T997" s="48"/>
      <c r="U997" s="48"/>
      <c r="V997" s="49"/>
      <c r="W997" s="50"/>
      <c r="X997" s="51"/>
    </row>
    <row r="998" spans="1:28" ht="61.5" customHeight="1">
      <c r="A998" s="134"/>
      <c r="B998" s="164"/>
      <c r="C998" s="59" t="s">
        <v>18</v>
      </c>
      <c r="D998" s="60" t="s">
        <v>37</v>
      </c>
      <c r="E998" s="85">
        <v>36.104999999999997</v>
      </c>
      <c r="F998" s="85">
        <v>32.421999999999997</v>
      </c>
      <c r="G998" s="85">
        <v>32.627000000000002</v>
      </c>
      <c r="H998" s="85">
        <v>37.762999999999998</v>
      </c>
      <c r="I998" s="85">
        <v>36.011000000000003</v>
      </c>
      <c r="J998" s="85">
        <v>36.201999999999998</v>
      </c>
      <c r="K998" s="85">
        <v>37.255000000000003</v>
      </c>
      <c r="L998" s="85">
        <v>33.536999999999999</v>
      </c>
      <c r="M998" s="85">
        <v>28.091999999999999</v>
      </c>
      <c r="N998" s="85">
        <v>30.48</v>
      </c>
      <c r="O998" s="85">
        <v>27.577999999999999</v>
      </c>
      <c r="P998" s="85">
        <v>44.027000000000001</v>
      </c>
      <c r="Q998" s="46"/>
      <c r="R998" s="47"/>
      <c r="S998" s="47"/>
      <c r="T998" s="48"/>
      <c r="U998" s="48"/>
      <c r="V998" s="49"/>
      <c r="W998" s="50"/>
      <c r="X998" s="51"/>
    </row>
    <row r="999" spans="1:28" ht="61.5" customHeight="1">
      <c r="A999" s="134"/>
      <c r="B999" s="164"/>
      <c r="C999" s="59" t="s">
        <v>18</v>
      </c>
      <c r="D999" s="60" t="s">
        <v>38</v>
      </c>
      <c r="E999" s="85">
        <v>28.035</v>
      </c>
      <c r="F999" s="85">
        <v>30.193000000000001</v>
      </c>
      <c r="G999" s="85">
        <v>30.504000000000001</v>
      </c>
      <c r="H999" s="85">
        <v>31.545000000000002</v>
      </c>
      <c r="I999" s="85">
        <v>32.561999999999998</v>
      </c>
      <c r="J999" s="85">
        <v>27.251999999999999</v>
      </c>
      <c r="K999" s="85">
        <v>35.518999999999998</v>
      </c>
      <c r="L999" s="85">
        <v>34.502000000000002</v>
      </c>
      <c r="M999" s="85">
        <v>37.119999999999997</v>
      </c>
      <c r="N999" s="85">
        <v>37.094999999999999</v>
      </c>
      <c r="O999" s="85">
        <v>36.406999999999996</v>
      </c>
      <c r="P999" s="85">
        <v>42.566000000000003</v>
      </c>
      <c r="Q999" s="46"/>
      <c r="R999" s="47"/>
      <c r="S999" s="47"/>
      <c r="T999" s="48"/>
      <c r="U999" s="48"/>
      <c r="V999" s="49"/>
      <c r="W999" s="50"/>
      <c r="X999" s="51"/>
    </row>
    <row r="1000" spans="1:28" ht="61.5" customHeight="1">
      <c r="A1000" s="134"/>
      <c r="B1000" s="164"/>
      <c r="C1000" s="59" t="s">
        <v>18</v>
      </c>
      <c r="D1000" s="60" t="s">
        <v>39</v>
      </c>
      <c r="E1000" s="85">
        <v>20.68</v>
      </c>
      <c r="F1000" s="85">
        <v>15.022</v>
      </c>
      <c r="G1000" s="85">
        <v>20.239000000000001</v>
      </c>
      <c r="H1000" s="85">
        <v>22.082000000000001</v>
      </c>
      <c r="I1000" s="85">
        <v>25.995999999999999</v>
      </c>
      <c r="J1000" s="85">
        <v>26.004000000000001</v>
      </c>
      <c r="K1000" s="85">
        <v>25.349</v>
      </c>
      <c r="L1000" s="85">
        <v>28.48</v>
      </c>
      <c r="M1000" s="85">
        <v>32.18</v>
      </c>
      <c r="N1000" s="85">
        <v>32.256</v>
      </c>
      <c r="O1000" s="85">
        <v>27.454999999999998</v>
      </c>
      <c r="P1000" s="85">
        <v>38.090000000000003</v>
      </c>
      <c r="Q1000" s="46"/>
      <c r="R1000" s="47"/>
      <c r="S1000" s="47"/>
      <c r="T1000" s="48"/>
      <c r="U1000" s="48"/>
      <c r="V1000" s="49"/>
      <c r="W1000" s="50"/>
      <c r="X1000" s="51"/>
    </row>
    <row r="1001" spans="1:28" ht="61.5" customHeight="1">
      <c r="A1001" s="134"/>
      <c r="B1001" s="164"/>
      <c r="C1001" s="59" t="s">
        <v>18</v>
      </c>
      <c r="D1001" s="60" t="s">
        <v>40</v>
      </c>
      <c r="E1001" s="85">
        <v>21.507999999999999</v>
      </c>
      <c r="F1001" s="85">
        <v>20.437999999999999</v>
      </c>
      <c r="G1001" s="85">
        <v>17.841000000000001</v>
      </c>
      <c r="H1001" s="85">
        <v>24.158999999999999</v>
      </c>
      <c r="I1001" s="85">
        <v>25.542999999999999</v>
      </c>
      <c r="J1001" s="85">
        <v>24.164000000000001</v>
      </c>
      <c r="K1001" s="85">
        <v>25.244</v>
      </c>
      <c r="L1001" s="85">
        <v>25.018999999999998</v>
      </c>
      <c r="M1001" s="85">
        <v>25.259</v>
      </c>
      <c r="N1001" s="85">
        <v>26.736999999999998</v>
      </c>
      <c r="O1001" s="85">
        <v>25.341000000000001</v>
      </c>
      <c r="P1001" s="85">
        <v>25.579000000000001</v>
      </c>
      <c r="Q1001" s="46"/>
      <c r="R1001" s="47"/>
      <c r="S1001" s="47"/>
      <c r="T1001" s="48"/>
      <c r="U1001" s="48"/>
      <c r="V1001" s="49"/>
      <c r="W1001" s="50"/>
      <c r="X1001" s="51"/>
    </row>
    <row r="1002" spans="1:28" ht="61.5" customHeight="1">
      <c r="A1002" s="134"/>
      <c r="B1002" s="164"/>
      <c r="C1002" s="59" t="s">
        <v>18</v>
      </c>
      <c r="D1002" s="60" t="s">
        <v>41</v>
      </c>
      <c r="E1002" s="85">
        <v>19.603000000000002</v>
      </c>
      <c r="F1002" s="85">
        <v>17.027000000000001</v>
      </c>
      <c r="G1002" s="85">
        <v>17.27</v>
      </c>
      <c r="H1002" s="85">
        <v>19.672000000000001</v>
      </c>
      <c r="I1002" s="85">
        <v>26.224</v>
      </c>
      <c r="J1002" s="85">
        <v>22.216999999999999</v>
      </c>
      <c r="K1002" s="85">
        <v>20.344999999999999</v>
      </c>
      <c r="L1002" s="85">
        <v>21.321000000000002</v>
      </c>
      <c r="M1002" s="85">
        <v>24.594999999999999</v>
      </c>
      <c r="N1002" s="85">
        <v>23.850999999999999</v>
      </c>
      <c r="O1002" s="85">
        <v>23.882999999999999</v>
      </c>
      <c r="P1002" s="85">
        <v>20</v>
      </c>
      <c r="Q1002" s="46"/>
      <c r="R1002" s="47"/>
      <c r="S1002" s="47"/>
      <c r="T1002" s="48"/>
      <c r="U1002" s="48"/>
      <c r="V1002" s="49"/>
      <c r="W1002" s="50"/>
      <c r="X1002" s="51"/>
    </row>
    <row r="1003" spans="1:28" ht="61.5" customHeight="1">
      <c r="A1003" s="134"/>
      <c r="B1003" s="164"/>
      <c r="C1003" s="59" t="s">
        <v>18</v>
      </c>
      <c r="D1003" s="60" t="s">
        <v>42</v>
      </c>
      <c r="E1003" s="85">
        <v>19.594999999999999</v>
      </c>
      <c r="F1003" s="85">
        <v>27.495000000000001</v>
      </c>
      <c r="G1003" s="85">
        <v>26.5</v>
      </c>
      <c r="H1003" s="85">
        <v>19.588999999999999</v>
      </c>
      <c r="I1003" s="85">
        <v>26.542999999999999</v>
      </c>
      <c r="J1003" s="85">
        <v>27</v>
      </c>
      <c r="K1003" s="85">
        <v>21.754000000000001</v>
      </c>
      <c r="L1003" s="85">
        <v>23.227</v>
      </c>
      <c r="M1003" s="85">
        <v>22.937999999999999</v>
      </c>
      <c r="N1003" s="85">
        <v>29.923999999999999</v>
      </c>
      <c r="O1003" s="85">
        <v>24.5</v>
      </c>
      <c r="P1003" s="85">
        <v>22.428999999999998</v>
      </c>
      <c r="Q1003" s="46"/>
      <c r="R1003" s="47"/>
      <c r="S1003" s="47"/>
      <c r="T1003" s="48"/>
      <c r="U1003" s="48"/>
      <c r="V1003" s="49"/>
      <c r="W1003" s="50"/>
      <c r="X1003" s="51"/>
    </row>
    <row r="1004" spans="1:28" ht="61.5" customHeight="1">
      <c r="A1004" s="134"/>
      <c r="B1004" s="164"/>
      <c r="C1004" s="59" t="s">
        <v>18</v>
      </c>
      <c r="D1004" s="60" t="s">
        <v>43</v>
      </c>
      <c r="E1004" s="85">
        <v>21.741</v>
      </c>
      <c r="F1004" s="85">
        <v>23.001000000000001</v>
      </c>
      <c r="G1004" s="85">
        <v>22.696000000000002</v>
      </c>
      <c r="H1004" s="85">
        <v>26.855</v>
      </c>
      <c r="I1004" s="85">
        <v>23.84</v>
      </c>
      <c r="J1004" s="85">
        <v>24.216000000000001</v>
      </c>
      <c r="K1004" s="85">
        <v>27.585000000000001</v>
      </c>
      <c r="L1004" s="85">
        <v>24.073</v>
      </c>
      <c r="M1004" s="85">
        <v>27.448</v>
      </c>
      <c r="N1004" s="85">
        <v>26.818999999999999</v>
      </c>
      <c r="O1004" s="85">
        <v>25.907</v>
      </c>
      <c r="P1004" s="85">
        <v>28.213999999999999</v>
      </c>
      <c r="Q1004" s="46"/>
      <c r="R1004" s="47"/>
      <c r="S1004" s="47"/>
      <c r="T1004" s="48"/>
      <c r="U1004" s="48"/>
      <c r="V1004" s="49"/>
      <c r="W1004" s="50"/>
      <c r="X1004" s="51"/>
    </row>
    <row r="1005" spans="1:28" ht="61.5" customHeight="1">
      <c r="A1005" s="134"/>
      <c r="B1005" s="165"/>
      <c r="C1005" s="59" t="s">
        <v>18</v>
      </c>
      <c r="D1005" s="60" t="s">
        <v>44</v>
      </c>
      <c r="E1005" s="85">
        <v>18.494</v>
      </c>
      <c r="F1005" s="85">
        <v>25.111000000000001</v>
      </c>
      <c r="G1005" s="85">
        <v>22.234000000000002</v>
      </c>
      <c r="H1005" s="85">
        <v>21.715</v>
      </c>
      <c r="I1005" s="85">
        <v>24.352</v>
      </c>
      <c r="J1005" s="85">
        <v>23.138000000000002</v>
      </c>
      <c r="K1005" s="85">
        <v>25.661999999999999</v>
      </c>
      <c r="L1005" s="85">
        <v>21.451000000000001</v>
      </c>
      <c r="M1005" s="85">
        <v>21.940999999999999</v>
      </c>
      <c r="N1005" s="85">
        <v>23.352</v>
      </c>
      <c r="O1005" s="85">
        <v>23.135000000000002</v>
      </c>
      <c r="P1005" s="85">
        <v>26.306000000000001</v>
      </c>
      <c r="Q1005" s="46"/>
      <c r="R1005" s="47"/>
      <c r="S1005" s="47"/>
      <c r="T1005" s="48"/>
      <c r="U1005" s="48"/>
      <c r="V1005" s="49"/>
      <c r="W1005" s="50"/>
      <c r="X1005" s="51"/>
    </row>
    <row r="1006" spans="1:28" ht="61.5" customHeight="1">
      <c r="A1006" s="134"/>
      <c r="B1006" s="98"/>
      <c r="C1006" s="132"/>
      <c r="D1006" s="101"/>
      <c r="E1006" s="90">
        <f>+MAX(E1008:E1022)</f>
        <v>0</v>
      </c>
      <c r="F1006" s="90">
        <f t="shared" ref="F1006:P1006" si="0">+MAX(F1008:F1022)</f>
        <v>0</v>
      </c>
      <c r="G1006" s="90">
        <f t="shared" si="0"/>
        <v>0</v>
      </c>
      <c r="H1006" s="90">
        <f t="shared" si="0"/>
        <v>0</v>
      </c>
      <c r="I1006" s="90">
        <f t="shared" si="0"/>
        <v>0</v>
      </c>
      <c r="J1006" s="90">
        <f t="shared" si="0"/>
        <v>0</v>
      </c>
      <c r="K1006" s="90">
        <f t="shared" si="0"/>
        <v>0</v>
      </c>
      <c r="L1006" s="90">
        <f t="shared" si="0"/>
        <v>0</v>
      </c>
      <c r="M1006" s="90">
        <f t="shared" si="0"/>
        <v>0</v>
      </c>
      <c r="N1006" s="90">
        <f t="shared" si="0"/>
        <v>0</v>
      </c>
      <c r="O1006" s="90">
        <f t="shared" si="0"/>
        <v>0</v>
      </c>
      <c r="P1006" s="90">
        <f t="shared" si="0"/>
        <v>0</v>
      </c>
      <c r="Q1006" s="46"/>
      <c r="R1006" s="47"/>
      <c r="S1006" s="47"/>
      <c r="T1006" s="48"/>
      <c r="U1006" s="48"/>
      <c r="V1006" s="49"/>
      <c r="W1006" s="50"/>
      <c r="X1006" s="51"/>
    </row>
    <row r="1007" spans="1:28" s="109" customFormat="1" ht="46.5" customHeight="1">
      <c r="A1007" s="53"/>
      <c r="B1007" s="160"/>
      <c r="C1007" s="42"/>
      <c r="D1007" s="43"/>
      <c r="E1007" s="44"/>
      <c r="F1007" s="44"/>
      <c r="G1007" s="44"/>
      <c r="H1007" s="45"/>
      <c r="I1007" s="44"/>
      <c r="J1007" s="44"/>
      <c r="K1007" s="44"/>
      <c r="L1007" s="44"/>
      <c r="M1007" s="44"/>
      <c r="N1007" s="44"/>
      <c r="O1007" s="44"/>
      <c r="P1007" s="44"/>
      <c r="Q1007" s="43"/>
      <c r="R1007" s="91"/>
      <c r="S1007" s="47"/>
      <c r="T1007" s="48"/>
      <c r="U1007" s="48"/>
      <c r="V1007" s="49"/>
      <c r="W1007" s="50"/>
      <c r="X1007" s="51"/>
      <c r="Y1007" s="108"/>
      <c r="Z1007" s="108"/>
    </row>
    <row r="1008" spans="1:28" s="52" customFormat="1" ht="46.5" customHeight="1">
      <c r="A1008" s="53"/>
      <c r="B1008" s="161"/>
      <c r="C1008" s="55"/>
      <c r="D1008" s="46"/>
      <c r="E1008" s="56"/>
      <c r="F1008" s="56"/>
      <c r="G1008" s="56"/>
      <c r="H1008" s="56"/>
      <c r="I1008" s="56"/>
      <c r="J1008" s="56"/>
      <c r="K1008" s="56"/>
      <c r="L1008" s="56"/>
      <c r="M1008" s="56"/>
      <c r="N1008" s="56"/>
      <c r="O1008" s="56"/>
      <c r="P1008" s="56"/>
      <c r="Q1008" s="46"/>
      <c r="R1008" s="47"/>
      <c r="S1008" s="64"/>
      <c r="T1008" s="48"/>
      <c r="U1008" s="48"/>
      <c r="V1008" s="49"/>
      <c r="W1008" s="50"/>
      <c r="X1008" s="51"/>
      <c r="Y1008" s="2"/>
      <c r="Z1008" s="2"/>
      <c r="AB1008" s="2"/>
    </row>
    <row r="1009" spans="1:28" s="52" customFormat="1" ht="46.5" customHeight="1">
      <c r="A1009" s="53"/>
      <c r="B1009" s="161"/>
      <c r="C1009" s="59"/>
      <c r="D1009" s="60"/>
      <c r="E1009" s="61"/>
      <c r="F1009" s="61"/>
      <c r="G1009" s="61"/>
      <c r="H1009" s="61"/>
      <c r="I1009" s="61"/>
      <c r="J1009" s="61"/>
      <c r="K1009" s="61"/>
      <c r="L1009" s="61"/>
      <c r="M1009" s="61"/>
      <c r="N1009" s="61"/>
      <c r="O1009" s="61"/>
      <c r="P1009" s="61"/>
      <c r="Q1009" s="46"/>
      <c r="R1009" s="47"/>
      <c r="S1009" s="64"/>
      <c r="T1009" s="48"/>
      <c r="U1009" s="48"/>
      <c r="V1009" s="49"/>
      <c r="W1009" s="50"/>
      <c r="X1009" s="51"/>
      <c r="Y1009" s="2"/>
      <c r="Z1009" s="2"/>
      <c r="AB1009" s="2"/>
    </row>
    <row r="1010" spans="1:28" s="52" customFormat="1" ht="46.5" customHeight="1">
      <c r="A1010" s="53"/>
      <c r="B1010" s="161"/>
      <c r="C1010" s="59"/>
      <c r="D1010" s="60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61"/>
      <c r="P1010" s="61"/>
      <c r="Q1010" s="46"/>
      <c r="R1010" s="47"/>
      <c r="S1010" s="64"/>
      <c r="T1010" s="48"/>
      <c r="U1010" s="48"/>
      <c r="V1010" s="49"/>
      <c r="W1010" s="50"/>
      <c r="X1010" s="51"/>
      <c r="Y1010" s="2"/>
      <c r="Z1010" s="2"/>
      <c r="AB1010" s="2"/>
    </row>
    <row r="1011" spans="1:28" ht="46.5" customHeight="1">
      <c r="A1011" s="145"/>
      <c r="B1011" s="161"/>
      <c r="C1011" s="59"/>
      <c r="D1011" s="60"/>
      <c r="E1011" s="61"/>
      <c r="F1011" s="61"/>
      <c r="G1011" s="61"/>
      <c r="H1011" s="61"/>
      <c r="I1011" s="61"/>
      <c r="J1011" s="61"/>
      <c r="K1011" s="61"/>
      <c r="L1011" s="61"/>
      <c r="M1011" s="61"/>
      <c r="N1011" s="61"/>
      <c r="O1011" s="61"/>
      <c r="P1011" s="61"/>
      <c r="Q1011" s="60"/>
      <c r="R1011" s="64"/>
      <c r="S1011" s="64"/>
      <c r="T1011" s="65"/>
      <c r="U1011" s="65"/>
      <c r="V1011" s="49"/>
      <c r="W1011" s="49"/>
      <c r="X1011" s="66"/>
      <c r="AB1011" s="6"/>
    </row>
    <row r="1012" spans="1:28" s="52" customFormat="1" ht="46.5" customHeight="1">
      <c r="A1012" s="53"/>
      <c r="B1012" s="161"/>
      <c r="C1012" s="59"/>
      <c r="D1012" s="60"/>
      <c r="E1012" s="61"/>
      <c r="F1012" s="61"/>
      <c r="G1012" s="61"/>
      <c r="H1012" s="61"/>
      <c r="I1012" s="61"/>
      <c r="J1012" s="61"/>
      <c r="K1012" s="61"/>
      <c r="L1012" s="61"/>
      <c r="M1012" s="61"/>
      <c r="N1012" s="61"/>
      <c r="O1012" s="61"/>
      <c r="P1012" s="61"/>
      <c r="Q1012" s="46"/>
      <c r="R1012" s="47"/>
      <c r="S1012" s="64"/>
      <c r="T1012" s="48"/>
      <c r="U1012" s="48"/>
      <c r="V1012" s="49"/>
      <c r="W1012" s="50"/>
      <c r="X1012" s="51"/>
      <c r="Y1012" s="2"/>
      <c r="Z1012" s="2"/>
      <c r="AB1012" s="2"/>
    </row>
    <row r="1013" spans="1:28" s="52" customFormat="1" ht="46.5" customHeight="1">
      <c r="A1013" s="53"/>
      <c r="B1013" s="161"/>
      <c r="C1013" s="59"/>
      <c r="D1013" s="60"/>
      <c r="E1013" s="61"/>
      <c r="F1013" s="61"/>
      <c r="G1013" s="61"/>
      <c r="H1013" s="61"/>
      <c r="I1013" s="61"/>
      <c r="J1013" s="61"/>
      <c r="K1013" s="61"/>
      <c r="L1013" s="61"/>
      <c r="M1013" s="61"/>
      <c r="N1013" s="61"/>
      <c r="O1013" s="61"/>
      <c r="P1013" s="61"/>
      <c r="Q1013" s="46"/>
      <c r="R1013" s="47"/>
      <c r="S1013" s="64"/>
      <c r="T1013" s="48"/>
      <c r="U1013" s="48"/>
      <c r="V1013" s="49"/>
      <c r="W1013" s="50"/>
      <c r="X1013" s="51"/>
      <c r="Y1013" s="2"/>
      <c r="Z1013" s="2"/>
      <c r="AB1013" s="2"/>
    </row>
    <row r="1014" spans="1:28" ht="46.5" customHeight="1">
      <c r="A1014" s="53"/>
      <c r="B1014" s="161"/>
      <c r="C1014" s="59"/>
      <c r="D1014" s="60"/>
      <c r="E1014" s="61"/>
      <c r="F1014" s="61"/>
      <c r="G1014" s="61"/>
      <c r="H1014" s="61"/>
      <c r="I1014" s="61"/>
      <c r="J1014" s="61"/>
      <c r="K1014" s="61"/>
      <c r="L1014" s="61"/>
      <c r="M1014" s="61"/>
      <c r="N1014" s="61"/>
      <c r="O1014" s="61"/>
      <c r="P1014" s="61"/>
      <c r="Q1014" s="60"/>
      <c r="R1014" s="64"/>
      <c r="S1014" s="64"/>
      <c r="T1014" s="65"/>
      <c r="U1014" s="65"/>
      <c r="V1014" s="49"/>
      <c r="W1014" s="49"/>
      <c r="X1014" s="66"/>
      <c r="Y1014" s="49"/>
      <c r="Z1014" s="49"/>
      <c r="AB1014" s="49"/>
    </row>
    <row r="1015" spans="1:28" ht="46.5" customHeight="1">
      <c r="A1015" s="53"/>
      <c r="B1015" s="161"/>
      <c r="C1015" s="59"/>
      <c r="D1015" s="60"/>
      <c r="E1015" s="61"/>
      <c r="F1015" s="61"/>
      <c r="G1015" s="61"/>
      <c r="H1015" s="61"/>
      <c r="I1015" s="61"/>
      <c r="J1015" s="61"/>
      <c r="K1015" s="61"/>
      <c r="L1015" s="61"/>
      <c r="M1015" s="61"/>
      <c r="N1015" s="61"/>
      <c r="O1015" s="61"/>
      <c r="P1015" s="61"/>
      <c r="Q1015" s="60"/>
      <c r="R1015" s="64"/>
      <c r="S1015" s="64"/>
      <c r="T1015" s="65"/>
      <c r="U1015" s="65"/>
      <c r="V1015" s="49"/>
      <c r="W1015" s="49"/>
      <c r="X1015" s="66"/>
    </row>
    <row r="1016" spans="1:28" s="25" customFormat="1" ht="46.5" customHeight="1">
      <c r="A1016" s="53"/>
      <c r="B1016" s="161"/>
      <c r="C1016" s="102"/>
      <c r="D1016" s="103"/>
      <c r="E1016" s="61"/>
      <c r="F1016" s="61"/>
      <c r="G1016" s="61"/>
      <c r="H1016" s="61"/>
      <c r="I1016" s="61"/>
      <c r="J1016" s="61"/>
      <c r="K1016" s="61"/>
      <c r="L1016" s="61"/>
      <c r="M1016" s="61"/>
      <c r="N1016" s="61"/>
      <c r="O1016" s="61"/>
      <c r="P1016" s="61"/>
      <c r="Q1016" s="133"/>
      <c r="R1016" s="117"/>
      <c r="S1016" s="64"/>
      <c r="T1016" s="65"/>
      <c r="U1016" s="65"/>
      <c r="V1016" s="49"/>
      <c r="W1016" s="49"/>
      <c r="X1016" s="66"/>
      <c r="Y1016" s="27"/>
      <c r="Z1016" s="27"/>
    </row>
    <row r="1017" spans="1:28" ht="46.5" customHeight="1">
      <c r="A1017" s="53"/>
      <c r="B1017" s="161"/>
      <c r="C1017" s="59"/>
      <c r="D1017" s="60"/>
      <c r="E1017" s="61"/>
      <c r="F1017" s="61"/>
      <c r="G1017" s="61"/>
      <c r="H1017" s="61"/>
      <c r="I1017" s="61"/>
      <c r="J1017" s="61"/>
      <c r="K1017" s="61"/>
      <c r="L1017" s="61"/>
      <c r="M1017" s="61"/>
      <c r="N1017" s="61"/>
      <c r="O1017" s="61"/>
      <c r="P1017" s="61"/>
      <c r="Q1017" s="60"/>
      <c r="R1017" s="64"/>
      <c r="S1017" s="64"/>
      <c r="T1017" s="65"/>
      <c r="U1017" s="65"/>
      <c r="V1017" s="49"/>
      <c r="W1017" s="49"/>
      <c r="X1017" s="66"/>
    </row>
    <row r="1018" spans="1:28" ht="46.5" customHeight="1">
      <c r="A1018" s="53"/>
      <c r="B1018" s="161"/>
      <c r="C1018" s="59"/>
      <c r="D1018" s="60"/>
      <c r="E1018" s="61"/>
      <c r="F1018" s="61"/>
      <c r="G1018" s="61"/>
      <c r="H1018" s="61"/>
      <c r="I1018" s="61"/>
      <c r="J1018" s="61"/>
      <c r="K1018" s="61"/>
      <c r="L1018" s="61"/>
      <c r="M1018" s="61"/>
      <c r="N1018" s="61"/>
      <c r="O1018" s="61"/>
      <c r="P1018" s="61"/>
      <c r="Q1018" s="60"/>
      <c r="R1018" s="64"/>
      <c r="S1018" s="64"/>
      <c r="T1018" s="65"/>
      <c r="U1018" s="65"/>
      <c r="V1018" s="49"/>
      <c r="W1018" s="49"/>
      <c r="X1018" s="66"/>
    </row>
    <row r="1019" spans="1:28" ht="46.5" customHeight="1">
      <c r="A1019" s="53"/>
      <c r="B1019" s="161"/>
      <c r="C1019" s="59"/>
      <c r="D1019" s="60"/>
      <c r="E1019" s="76"/>
      <c r="F1019" s="76"/>
      <c r="G1019" s="76"/>
      <c r="H1019" s="76"/>
      <c r="I1019" s="76"/>
      <c r="J1019" s="76"/>
      <c r="K1019" s="76"/>
      <c r="L1019" s="76"/>
      <c r="M1019" s="76"/>
      <c r="N1019" s="76"/>
      <c r="O1019" s="76"/>
      <c r="P1019" s="76"/>
      <c r="Q1019" s="60"/>
      <c r="R1019" s="64"/>
      <c r="S1019" s="64"/>
      <c r="T1019" s="65"/>
      <c r="U1019" s="65"/>
      <c r="V1019" s="49"/>
      <c r="W1019" s="49"/>
      <c r="X1019" s="66"/>
    </row>
    <row r="1020" spans="1:28" ht="61.5" customHeight="1">
      <c r="A1020" s="53"/>
      <c r="B1020" s="161"/>
      <c r="C1020" s="59"/>
      <c r="D1020" s="60"/>
      <c r="E1020" s="61"/>
      <c r="F1020" s="61"/>
      <c r="G1020" s="61"/>
      <c r="H1020" s="61"/>
      <c r="I1020" s="61"/>
      <c r="J1020" s="61"/>
      <c r="K1020" s="61"/>
      <c r="L1020" s="61"/>
      <c r="M1020" s="61"/>
      <c r="N1020" s="61"/>
      <c r="O1020" s="61"/>
      <c r="P1020" s="61"/>
      <c r="Q1020" s="60"/>
      <c r="R1020" s="64"/>
      <c r="S1020" s="64"/>
      <c r="T1020" s="65"/>
      <c r="U1020" s="65"/>
      <c r="V1020" s="49"/>
      <c r="W1020" s="49"/>
      <c r="X1020" s="66"/>
    </row>
    <row r="1021" spans="1:28" ht="61.5" customHeight="1">
      <c r="A1021" s="53"/>
      <c r="B1021" s="161"/>
      <c r="C1021" s="59"/>
      <c r="D1021" s="78"/>
      <c r="E1021" s="61"/>
      <c r="F1021" s="61"/>
      <c r="G1021" s="61"/>
      <c r="H1021" s="61"/>
      <c r="I1021" s="61"/>
      <c r="J1021" s="61"/>
      <c r="K1021" s="61"/>
      <c r="L1021" s="61"/>
      <c r="M1021" s="61"/>
      <c r="N1021" s="61"/>
      <c r="O1021" s="61"/>
      <c r="P1021" s="61"/>
      <c r="Q1021" s="60"/>
      <c r="R1021" s="64"/>
      <c r="S1021" s="64"/>
      <c r="T1021" s="65"/>
      <c r="U1021" s="65"/>
      <c r="V1021" s="49"/>
      <c r="W1021" s="49"/>
      <c r="X1021" s="66"/>
    </row>
    <row r="1022" spans="1:28" ht="61.5" customHeight="1">
      <c r="A1022" s="112"/>
      <c r="B1022" s="162"/>
      <c r="C1022" s="59"/>
      <c r="D1022" s="60"/>
      <c r="E1022" s="61"/>
      <c r="F1022" s="61"/>
      <c r="G1022" s="61"/>
      <c r="H1022" s="61"/>
      <c r="I1022" s="61"/>
      <c r="J1022" s="61"/>
      <c r="K1022" s="61"/>
      <c r="L1022" s="61"/>
      <c r="M1022" s="61"/>
      <c r="N1022" s="61"/>
      <c r="O1022" s="61"/>
      <c r="P1022" s="61"/>
      <c r="Q1022" s="60"/>
      <c r="R1022" s="64"/>
      <c r="S1022" s="64"/>
      <c r="T1022" s="65"/>
      <c r="U1022" s="65"/>
      <c r="V1022" s="49"/>
      <c r="W1022" s="49"/>
      <c r="X1022" s="66"/>
    </row>
    <row r="1023" spans="1:28" ht="61.5" customHeight="1">
      <c r="A1023" s="53"/>
      <c r="B1023" s="110"/>
      <c r="C1023" s="59"/>
      <c r="D1023" s="60"/>
      <c r="E1023" s="61"/>
      <c r="F1023" s="61"/>
      <c r="G1023" s="61"/>
      <c r="H1023" s="61"/>
      <c r="I1023" s="61"/>
      <c r="J1023" s="61"/>
      <c r="K1023" s="61"/>
      <c r="L1023" s="61"/>
      <c r="M1023" s="61"/>
      <c r="N1023" s="61"/>
      <c r="O1023" s="61"/>
      <c r="P1023" s="61"/>
      <c r="Q1023" s="60"/>
      <c r="R1023" s="47"/>
      <c r="S1023" s="47"/>
      <c r="T1023" s="48"/>
      <c r="U1023" s="48"/>
      <c r="V1023" s="49"/>
      <c r="W1023" s="50"/>
      <c r="X1023" s="51"/>
    </row>
    <row r="1024" spans="1:28" ht="61.5" customHeight="1">
      <c r="A1024" s="53"/>
      <c r="B1024" s="110"/>
      <c r="C1024" s="59"/>
      <c r="D1024" s="60"/>
      <c r="E1024" s="61"/>
      <c r="F1024" s="61"/>
      <c r="G1024" s="61"/>
      <c r="H1024" s="61"/>
      <c r="I1024" s="61"/>
      <c r="J1024" s="61"/>
      <c r="K1024" s="61"/>
      <c r="L1024" s="61"/>
      <c r="M1024" s="61"/>
      <c r="N1024" s="61"/>
      <c r="O1024" s="61"/>
      <c r="P1024" s="61"/>
      <c r="Q1024" s="60"/>
      <c r="R1024" s="47"/>
      <c r="S1024" s="47"/>
      <c r="T1024" s="48"/>
      <c r="U1024" s="48"/>
      <c r="V1024" s="49"/>
      <c r="W1024" s="50"/>
      <c r="X1024" s="51"/>
    </row>
    <row r="1025" spans="1:28" ht="61.5" customHeight="1">
      <c r="A1025" s="53"/>
      <c r="B1025" s="110"/>
      <c r="C1025" s="59"/>
      <c r="D1025" s="60"/>
      <c r="E1025" s="61"/>
      <c r="F1025" s="61"/>
      <c r="G1025" s="61"/>
      <c r="H1025" s="61"/>
      <c r="I1025" s="61"/>
      <c r="J1025" s="61"/>
      <c r="K1025" s="61"/>
      <c r="L1025" s="61"/>
      <c r="M1025" s="61"/>
      <c r="N1025" s="61"/>
      <c r="O1025" s="61"/>
      <c r="P1025" s="61"/>
      <c r="Q1025" s="60"/>
      <c r="R1025" s="47"/>
      <c r="S1025" s="47"/>
      <c r="T1025" s="48"/>
      <c r="U1025" s="48"/>
      <c r="V1025" s="49"/>
      <c r="W1025" s="50"/>
      <c r="X1025" s="51"/>
    </row>
    <row r="1026" spans="1:28" ht="61.5" customHeight="1">
      <c r="A1026" s="53"/>
      <c r="B1026" s="110"/>
      <c r="C1026" s="59"/>
      <c r="D1026" s="60"/>
      <c r="E1026" s="61"/>
      <c r="F1026" s="61"/>
      <c r="G1026" s="61"/>
      <c r="H1026" s="61"/>
      <c r="I1026" s="61"/>
      <c r="J1026" s="61"/>
      <c r="K1026" s="61"/>
      <c r="L1026" s="61"/>
      <c r="M1026" s="61"/>
      <c r="N1026" s="61"/>
      <c r="O1026" s="61"/>
      <c r="P1026" s="61"/>
      <c r="Q1026" s="81"/>
      <c r="R1026" s="47"/>
      <c r="S1026" s="47"/>
      <c r="T1026" s="48"/>
      <c r="U1026" s="48"/>
      <c r="V1026" s="49"/>
      <c r="W1026" s="50"/>
      <c r="X1026" s="51"/>
    </row>
    <row r="1027" spans="1:28" ht="61.5" customHeight="1">
      <c r="A1027" s="53"/>
      <c r="B1027" s="84"/>
      <c r="C1027" s="59"/>
      <c r="D1027" s="60"/>
      <c r="E1027" s="85"/>
      <c r="F1027" s="85"/>
      <c r="G1027" s="85"/>
      <c r="H1027" s="85"/>
      <c r="I1027" s="85"/>
      <c r="J1027" s="85"/>
      <c r="K1027" s="85"/>
      <c r="L1027" s="85"/>
      <c r="M1027" s="85"/>
      <c r="N1027" s="85"/>
      <c r="O1027" s="85"/>
      <c r="P1027" s="85"/>
      <c r="Q1027" s="46"/>
      <c r="R1027" s="47"/>
      <c r="S1027" s="47"/>
      <c r="T1027" s="48"/>
      <c r="U1027" s="48"/>
      <c r="V1027" s="49"/>
      <c r="W1027" s="50"/>
      <c r="X1027" s="51"/>
    </row>
    <row r="1028" spans="1:28" ht="61.5" customHeight="1">
      <c r="A1028" s="53"/>
      <c r="B1028" s="84"/>
      <c r="C1028" s="59"/>
      <c r="D1028" s="60"/>
      <c r="E1028" s="85"/>
      <c r="F1028" s="85"/>
      <c r="G1028" s="85"/>
      <c r="H1028" s="85"/>
      <c r="I1028" s="85"/>
      <c r="J1028" s="85"/>
      <c r="K1028" s="85"/>
      <c r="L1028" s="85"/>
      <c r="M1028" s="85"/>
      <c r="N1028" s="85"/>
      <c r="O1028" s="85"/>
      <c r="P1028" s="85"/>
      <c r="Q1028" s="46"/>
      <c r="R1028" s="47"/>
      <c r="S1028" s="47"/>
      <c r="T1028" s="48"/>
      <c r="U1028" s="48"/>
      <c r="V1028" s="49"/>
      <c r="W1028" s="50"/>
      <c r="X1028" s="51"/>
    </row>
    <row r="1029" spans="1:28" ht="61.5" customHeight="1">
      <c r="A1029" s="53"/>
      <c r="B1029" s="84"/>
      <c r="C1029" s="59"/>
      <c r="D1029" s="60"/>
      <c r="E1029" s="85"/>
      <c r="F1029" s="85"/>
      <c r="G1029" s="85"/>
      <c r="H1029" s="85"/>
      <c r="I1029" s="85"/>
      <c r="J1029" s="85"/>
      <c r="K1029" s="85"/>
      <c r="L1029" s="85"/>
      <c r="M1029" s="85"/>
      <c r="N1029" s="85"/>
      <c r="O1029" s="85"/>
      <c r="P1029" s="85"/>
      <c r="Q1029" s="46"/>
      <c r="R1029" s="47"/>
      <c r="S1029" s="47"/>
      <c r="T1029" s="48"/>
      <c r="U1029" s="48"/>
      <c r="V1029" s="49"/>
      <c r="W1029" s="50"/>
      <c r="X1029" s="51"/>
    </row>
    <row r="1030" spans="1:28" ht="61.5" customHeight="1">
      <c r="A1030" s="53"/>
      <c r="B1030" s="84"/>
      <c r="C1030" s="59"/>
      <c r="D1030" s="60"/>
      <c r="E1030" s="85"/>
      <c r="F1030" s="85"/>
      <c r="G1030" s="85"/>
      <c r="H1030" s="85"/>
      <c r="I1030" s="85"/>
      <c r="J1030" s="85"/>
      <c r="K1030" s="85"/>
      <c r="L1030" s="85"/>
      <c r="M1030" s="85"/>
      <c r="N1030" s="85"/>
      <c r="O1030" s="85"/>
      <c r="P1030" s="85"/>
      <c r="Q1030" s="46"/>
      <c r="R1030" s="47"/>
      <c r="S1030" s="47"/>
      <c r="T1030" s="48"/>
      <c r="U1030" s="48"/>
      <c r="V1030" s="49"/>
      <c r="W1030" s="50"/>
      <c r="X1030" s="51"/>
    </row>
    <row r="1031" spans="1:28" ht="61.5" customHeight="1">
      <c r="A1031" s="53"/>
      <c r="B1031" s="84"/>
      <c r="C1031" s="59"/>
      <c r="D1031" s="60"/>
      <c r="E1031" s="85"/>
      <c r="F1031" s="85"/>
      <c r="G1031" s="85"/>
      <c r="H1031" s="85"/>
      <c r="I1031" s="85"/>
      <c r="J1031" s="85"/>
      <c r="K1031" s="85"/>
      <c r="L1031" s="85"/>
      <c r="M1031" s="85"/>
      <c r="N1031" s="85"/>
      <c r="O1031" s="85"/>
      <c r="P1031" s="85"/>
      <c r="Q1031" s="46"/>
      <c r="R1031" s="47"/>
      <c r="S1031" s="47"/>
      <c r="T1031" s="48"/>
      <c r="U1031" s="48"/>
      <c r="V1031" s="49"/>
      <c r="W1031" s="50"/>
      <c r="X1031" s="51"/>
    </row>
    <row r="1032" spans="1:28" ht="61.5" customHeight="1">
      <c r="A1032" s="53"/>
      <c r="B1032" s="84"/>
      <c r="C1032" s="59"/>
      <c r="D1032" s="60"/>
      <c r="E1032" s="85"/>
      <c r="F1032" s="85"/>
      <c r="G1032" s="85"/>
      <c r="H1032" s="85"/>
      <c r="I1032" s="85"/>
      <c r="J1032" s="85"/>
      <c r="K1032" s="85"/>
      <c r="L1032" s="85"/>
      <c r="M1032" s="85"/>
      <c r="N1032" s="85"/>
      <c r="O1032" s="85"/>
      <c r="P1032" s="85"/>
      <c r="Q1032" s="46"/>
      <c r="R1032" s="47"/>
      <c r="S1032" s="47"/>
      <c r="T1032" s="48"/>
      <c r="U1032" s="48"/>
      <c r="V1032" s="49"/>
      <c r="W1032" s="50"/>
      <c r="X1032" s="51"/>
    </row>
    <row r="1033" spans="1:28" ht="61.5" customHeight="1">
      <c r="A1033" s="53"/>
      <c r="B1033" s="84"/>
      <c r="C1033" s="59"/>
      <c r="D1033" s="60"/>
      <c r="E1033" s="85"/>
      <c r="F1033" s="85"/>
      <c r="G1033" s="85"/>
      <c r="H1033" s="85"/>
      <c r="I1033" s="85"/>
      <c r="J1033" s="85"/>
      <c r="K1033" s="85"/>
      <c r="L1033" s="85"/>
      <c r="M1033" s="85"/>
      <c r="N1033" s="85"/>
      <c r="O1033" s="85"/>
      <c r="P1033" s="85"/>
      <c r="Q1033" s="46"/>
      <c r="R1033" s="47"/>
      <c r="S1033" s="47"/>
      <c r="T1033" s="48"/>
      <c r="U1033" s="48"/>
      <c r="V1033" s="49"/>
      <c r="W1033" s="50"/>
      <c r="X1033" s="51"/>
    </row>
    <row r="1034" spans="1:28" ht="61.5" customHeight="1">
      <c r="A1034" s="53"/>
      <c r="B1034" s="84"/>
      <c r="C1034" s="59"/>
      <c r="D1034" s="60"/>
      <c r="E1034" s="85"/>
      <c r="F1034" s="85"/>
      <c r="G1034" s="85"/>
      <c r="H1034" s="85"/>
      <c r="I1034" s="85"/>
      <c r="J1034" s="85"/>
      <c r="K1034" s="85"/>
      <c r="L1034" s="85"/>
      <c r="M1034" s="85"/>
      <c r="N1034" s="85"/>
      <c r="O1034" s="85"/>
      <c r="P1034" s="85"/>
      <c r="Q1034" s="46"/>
      <c r="R1034" s="47"/>
      <c r="S1034" s="47"/>
      <c r="T1034" s="48"/>
      <c r="U1034" s="48"/>
      <c r="V1034" s="49"/>
      <c r="W1034" s="50"/>
      <c r="X1034" s="51"/>
    </row>
    <row r="1035" spans="1:28" ht="61.5" customHeight="1">
      <c r="A1035" s="53"/>
      <c r="C1035" s="100"/>
      <c r="D1035" s="101"/>
      <c r="E1035" s="90"/>
      <c r="F1035" s="90"/>
      <c r="G1035" s="90"/>
      <c r="H1035" s="90"/>
      <c r="I1035" s="90"/>
      <c r="J1035" s="90"/>
      <c r="K1035" s="90"/>
      <c r="L1035" s="90"/>
      <c r="M1035" s="90"/>
      <c r="N1035" s="90"/>
      <c r="O1035" s="90"/>
      <c r="P1035" s="90"/>
      <c r="Q1035" s="46"/>
      <c r="R1035" s="47"/>
      <c r="S1035" s="47"/>
      <c r="T1035" s="48"/>
      <c r="U1035" s="48"/>
      <c r="V1035" s="49"/>
      <c r="W1035" s="50"/>
      <c r="X1035" s="51"/>
    </row>
    <row r="1036" spans="1:28" s="109" customFormat="1" ht="46.5" customHeight="1">
      <c r="A1036" s="157" t="s">
        <v>55</v>
      </c>
      <c r="B1036" s="163" t="s">
        <v>53</v>
      </c>
      <c r="C1036" s="42"/>
      <c r="D1036" s="43"/>
      <c r="E1036" s="44"/>
      <c r="F1036" s="44"/>
      <c r="G1036" s="44"/>
      <c r="H1036" s="45"/>
      <c r="I1036" s="44"/>
      <c r="J1036" s="44"/>
      <c r="K1036" s="44"/>
      <c r="L1036" s="44"/>
      <c r="M1036" s="44"/>
      <c r="N1036" s="44"/>
      <c r="O1036" s="44"/>
      <c r="P1036" s="44"/>
      <c r="Q1036" s="43"/>
      <c r="R1036" s="91"/>
      <c r="S1036" s="47"/>
      <c r="T1036" s="48"/>
      <c r="U1036" s="48"/>
      <c r="V1036" s="49"/>
      <c r="W1036" s="50"/>
      <c r="X1036" s="51"/>
      <c r="Y1036" s="108"/>
      <c r="Z1036" s="108"/>
    </row>
    <row r="1037" spans="1:28" s="52" customFormat="1" ht="46.5" customHeight="1">
      <c r="A1037" s="158"/>
      <c r="B1037" s="164"/>
      <c r="C1037" s="55"/>
      <c r="D1037" s="46"/>
      <c r="E1037" s="56"/>
      <c r="F1037" s="56"/>
      <c r="G1037" s="56"/>
      <c r="H1037" s="56"/>
      <c r="I1037" s="56"/>
      <c r="J1037" s="56"/>
      <c r="K1037" s="56"/>
      <c r="L1037" s="56"/>
      <c r="M1037" s="56"/>
      <c r="N1037" s="56"/>
      <c r="O1037" s="56"/>
      <c r="P1037" s="56"/>
      <c r="Q1037" s="114"/>
      <c r="R1037" s="47"/>
      <c r="S1037" s="64"/>
      <c r="T1037" s="48"/>
      <c r="U1037" s="48"/>
      <c r="V1037" s="49"/>
      <c r="W1037" s="50"/>
      <c r="X1037" s="51"/>
      <c r="Y1037" s="2"/>
      <c r="Z1037" s="2"/>
      <c r="AB1037" s="2"/>
    </row>
    <row r="1038" spans="1:28" s="52" customFormat="1" ht="46.5" customHeight="1">
      <c r="A1038" s="158"/>
      <c r="B1038" s="164"/>
      <c r="C1038" s="59" t="s">
        <v>18</v>
      </c>
      <c r="D1038" s="60" t="s">
        <v>19</v>
      </c>
      <c r="E1038" s="61">
        <v>8.3659999999999997</v>
      </c>
      <c r="F1038" s="61">
        <v>10.885</v>
      </c>
      <c r="G1038" s="61">
        <v>9.4090000000000007</v>
      </c>
      <c r="H1038" s="61">
        <v>10.307</v>
      </c>
      <c r="I1038" s="61">
        <v>12.007</v>
      </c>
      <c r="J1038" s="61">
        <v>11.782</v>
      </c>
      <c r="K1038" s="61">
        <v>10.763999999999999</v>
      </c>
      <c r="L1038" s="61">
        <v>9.33</v>
      </c>
      <c r="M1038" s="61">
        <v>7.2640000000000002</v>
      </c>
      <c r="N1038" s="61">
        <v>9.1329999999999991</v>
      </c>
      <c r="O1038" s="61">
        <v>9.1479999999999997</v>
      </c>
      <c r="P1038" s="61">
        <v>10.744</v>
      </c>
      <c r="Q1038" s="114"/>
      <c r="R1038" s="47"/>
      <c r="S1038" s="64"/>
      <c r="T1038" s="48"/>
      <c r="U1038" s="48"/>
      <c r="V1038" s="49"/>
      <c r="W1038" s="50"/>
      <c r="X1038" s="51"/>
      <c r="Y1038" s="2"/>
      <c r="Z1038" s="2"/>
      <c r="AB1038" s="2"/>
    </row>
    <row r="1039" spans="1:28" s="52" customFormat="1" ht="46.5" customHeight="1">
      <c r="A1039" s="158"/>
      <c r="B1039" s="164"/>
      <c r="C1039" s="59" t="s">
        <v>18</v>
      </c>
      <c r="D1039" s="60" t="s">
        <v>20</v>
      </c>
      <c r="E1039" s="61">
        <v>10.000999999999999</v>
      </c>
      <c r="F1039" s="61">
        <v>6.75</v>
      </c>
      <c r="G1039" s="61">
        <v>10.369</v>
      </c>
      <c r="H1039" s="61">
        <v>9.0429999999999993</v>
      </c>
      <c r="I1039" s="61">
        <v>10.029999999999999</v>
      </c>
      <c r="J1039" s="61">
        <v>8.5530000000000008</v>
      </c>
      <c r="K1039" s="61">
        <v>10.481999999999999</v>
      </c>
      <c r="L1039" s="61">
        <v>10.138</v>
      </c>
      <c r="M1039" s="61">
        <v>10.445</v>
      </c>
      <c r="N1039" s="61">
        <v>10.803000000000001</v>
      </c>
      <c r="O1039" s="61">
        <v>10.677</v>
      </c>
      <c r="P1039" s="61">
        <v>11.364000000000001</v>
      </c>
      <c r="Q1039" s="114"/>
      <c r="R1039" s="47"/>
      <c r="S1039" s="64"/>
      <c r="T1039" s="48"/>
      <c r="U1039" s="48"/>
      <c r="V1039" s="49"/>
      <c r="W1039" s="50"/>
      <c r="X1039" s="51"/>
      <c r="Y1039" s="2"/>
      <c r="Z1039" s="2"/>
      <c r="AB1039" s="2"/>
    </row>
    <row r="1040" spans="1:28" ht="46.5" customHeight="1">
      <c r="A1040" s="158"/>
      <c r="B1040" s="164"/>
      <c r="C1040" s="59" t="s">
        <v>18</v>
      </c>
      <c r="D1040" s="60" t="s">
        <v>21</v>
      </c>
      <c r="E1040" s="61">
        <v>10.066000000000001</v>
      </c>
      <c r="F1040" s="61">
        <v>10.307</v>
      </c>
      <c r="G1040" s="61">
        <v>11.215999999999999</v>
      </c>
      <c r="H1040" s="61">
        <v>10.222</v>
      </c>
      <c r="I1040" s="61">
        <v>10.67</v>
      </c>
      <c r="J1040" s="61">
        <v>9.9109999999999996</v>
      </c>
      <c r="K1040" s="61">
        <v>9.02</v>
      </c>
      <c r="L1040" s="61">
        <v>10.000999999999999</v>
      </c>
      <c r="M1040" s="61">
        <v>10.004</v>
      </c>
      <c r="N1040" s="61">
        <v>10.007</v>
      </c>
      <c r="O1040" s="61">
        <v>9.0619999999999994</v>
      </c>
      <c r="P1040" s="61">
        <v>8.5440000000000005</v>
      </c>
      <c r="Q1040" s="115"/>
      <c r="R1040" s="64"/>
      <c r="S1040" s="64"/>
      <c r="T1040" s="65"/>
      <c r="U1040" s="65"/>
      <c r="V1040" s="49"/>
      <c r="W1040" s="49"/>
      <c r="X1040" s="66"/>
      <c r="AB1040" s="6"/>
    </row>
    <row r="1041" spans="1:28" s="52" customFormat="1" ht="46.5" customHeight="1">
      <c r="A1041" s="158"/>
      <c r="B1041" s="164"/>
      <c r="C1041" s="59" t="s">
        <v>18</v>
      </c>
      <c r="D1041" s="60" t="s">
        <v>22</v>
      </c>
      <c r="E1041" s="61">
        <v>7.5129999999999999</v>
      </c>
      <c r="F1041" s="61">
        <v>7.0460000000000003</v>
      </c>
      <c r="G1041" s="61">
        <v>7.5069999999999997</v>
      </c>
      <c r="H1041" s="61">
        <v>9.0030000000000001</v>
      </c>
      <c r="I1041" s="61">
        <v>9.8190000000000008</v>
      </c>
      <c r="J1041" s="61">
        <v>9.2050000000000001</v>
      </c>
      <c r="K1041" s="61">
        <v>8.609</v>
      </c>
      <c r="L1041" s="61">
        <v>7.0110000000000001</v>
      </c>
      <c r="M1041" s="61">
        <v>9.0640000000000001</v>
      </c>
      <c r="N1041" s="61">
        <v>9.0210000000000008</v>
      </c>
      <c r="O1041" s="61">
        <v>7.4210000000000003</v>
      </c>
      <c r="P1041" s="61">
        <v>10.632999999999999</v>
      </c>
      <c r="Q1041" s="114"/>
      <c r="R1041" s="47"/>
      <c r="S1041" s="64"/>
      <c r="T1041" s="48"/>
      <c r="U1041" s="48"/>
      <c r="V1041" s="49"/>
      <c r="W1041" s="50"/>
      <c r="X1041" s="51"/>
      <c r="Y1041" s="2"/>
      <c r="Z1041" s="2"/>
      <c r="AB1041" s="2"/>
    </row>
    <row r="1042" spans="1:28" s="52" customFormat="1" ht="46.5" customHeight="1">
      <c r="A1042" s="158"/>
      <c r="B1042" s="164"/>
      <c r="C1042" s="59" t="s">
        <v>18</v>
      </c>
      <c r="D1042" s="60" t="s">
        <v>23</v>
      </c>
      <c r="E1042" s="61">
        <v>8.3219999999999992</v>
      </c>
      <c r="F1042" s="61">
        <v>9.4039999999999999</v>
      </c>
      <c r="G1042" s="61">
        <v>9.4120000000000008</v>
      </c>
      <c r="H1042" s="61">
        <v>9.5229999999999997</v>
      </c>
      <c r="I1042" s="61">
        <v>9.4160000000000004</v>
      </c>
      <c r="J1042" s="61">
        <v>8.5079999999999991</v>
      </c>
      <c r="K1042" s="61">
        <v>8.3019999999999996</v>
      </c>
      <c r="L1042" s="61">
        <v>9.1010000000000009</v>
      </c>
      <c r="M1042" s="61">
        <v>8.7200000000000006</v>
      </c>
      <c r="N1042" s="61">
        <v>9.4260000000000002</v>
      </c>
      <c r="O1042" s="61">
        <v>9.0549999999999997</v>
      </c>
      <c r="P1042" s="61">
        <v>9.7100000000000009</v>
      </c>
      <c r="Q1042" s="114"/>
      <c r="R1042" s="47"/>
      <c r="S1042" s="64"/>
      <c r="T1042" s="48"/>
      <c r="U1042" s="48"/>
      <c r="V1042" s="49"/>
      <c r="W1042" s="50"/>
      <c r="X1042" s="51"/>
      <c r="Y1042" s="2"/>
      <c r="Z1042" s="2"/>
      <c r="AB1042" s="2"/>
    </row>
    <row r="1043" spans="1:28" ht="46.5" customHeight="1">
      <c r="A1043" s="158"/>
      <c r="B1043" s="164"/>
      <c r="C1043" s="59" t="s">
        <v>18</v>
      </c>
      <c r="D1043" s="60" t="s">
        <v>24</v>
      </c>
      <c r="E1043" s="61">
        <v>1.2869999999999999</v>
      </c>
      <c r="F1043" s="61">
        <v>1.2210000000000001</v>
      </c>
      <c r="G1043" s="61">
        <v>4.2190000000000003</v>
      </c>
      <c r="H1043" s="61">
        <v>4.4049999999999994</v>
      </c>
      <c r="I1043" s="61">
        <v>6.1239999999999997</v>
      </c>
      <c r="J1043" s="61">
        <v>6.7069999999999999</v>
      </c>
      <c r="K1043" s="61">
        <v>6.61</v>
      </c>
      <c r="L1043" s="61">
        <v>6.01</v>
      </c>
      <c r="M1043" s="61">
        <v>8.11</v>
      </c>
      <c r="N1043" s="61">
        <v>8.0269999999999992</v>
      </c>
      <c r="O1043" s="61">
        <v>8.0519999999999996</v>
      </c>
      <c r="P1043" s="61">
        <v>8.2210000000000001</v>
      </c>
      <c r="Q1043" s="115"/>
      <c r="R1043" s="64"/>
      <c r="S1043" s="64"/>
      <c r="T1043" s="65"/>
      <c r="U1043" s="65"/>
      <c r="V1043" s="49"/>
      <c r="W1043" s="49"/>
      <c r="X1043" s="66"/>
      <c r="Y1043" s="49"/>
      <c r="Z1043" s="49"/>
      <c r="AB1043" s="49"/>
    </row>
    <row r="1044" spans="1:28" ht="46.5" customHeight="1">
      <c r="A1044" s="158"/>
      <c r="B1044" s="164"/>
      <c r="C1044" s="59" t="s">
        <v>18</v>
      </c>
      <c r="D1044" s="60" t="s">
        <v>25</v>
      </c>
      <c r="E1044" s="61">
        <v>7.0460000000000003</v>
      </c>
      <c r="F1044" s="61">
        <v>9.19</v>
      </c>
      <c r="G1044" s="61">
        <v>8.766</v>
      </c>
      <c r="H1044" s="61">
        <v>10.101000000000001</v>
      </c>
      <c r="I1044" s="61">
        <v>9.2230000000000008</v>
      </c>
      <c r="J1044" s="61">
        <v>8.532</v>
      </c>
      <c r="K1044" s="61">
        <v>9.0310000000000006</v>
      </c>
      <c r="L1044" s="61">
        <v>10.037000000000001</v>
      </c>
      <c r="M1044" s="61">
        <v>7.1260000000000003</v>
      </c>
      <c r="N1044" s="61">
        <v>9.1170000000000009</v>
      </c>
      <c r="O1044" s="61">
        <v>9.0030000000000001</v>
      </c>
      <c r="P1044" s="61">
        <v>5.4260000000000002</v>
      </c>
      <c r="Q1044" s="115"/>
      <c r="R1044" s="64"/>
      <c r="S1044" s="64"/>
      <c r="T1044" s="65"/>
      <c r="U1044" s="65"/>
      <c r="V1044" s="49"/>
      <c r="W1044" s="49"/>
      <c r="X1044" s="66"/>
    </row>
    <row r="1045" spans="1:28" s="25" customFormat="1" ht="46.5" customHeight="1">
      <c r="A1045" s="158"/>
      <c r="B1045" s="164"/>
      <c r="C1045" s="102" t="s">
        <v>18</v>
      </c>
      <c r="D1045" s="103" t="s">
        <v>26</v>
      </c>
      <c r="E1045" s="61">
        <v>10.11</v>
      </c>
      <c r="F1045" s="61">
        <v>9.2420000000000009</v>
      </c>
      <c r="G1045" s="61">
        <v>10.103</v>
      </c>
      <c r="H1045" s="61">
        <v>10.516999999999999</v>
      </c>
      <c r="I1045" s="61">
        <v>9.3360000000000003</v>
      </c>
      <c r="J1045" s="61">
        <v>9.6259999999999994</v>
      </c>
      <c r="K1045" s="61">
        <v>10.359</v>
      </c>
      <c r="L1045" s="61">
        <v>9.6259999999999994</v>
      </c>
      <c r="M1045" s="61">
        <v>9.8490000000000002</v>
      </c>
      <c r="N1045" s="61">
        <v>8.2739999999999991</v>
      </c>
      <c r="O1045" s="61">
        <v>8.0640000000000001</v>
      </c>
      <c r="P1045" s="61">
        <v>10.586</v>
      </c>
      <c r="Q1045" s="116"/>
      <c r="R1045" s="64"/>
      <c r="S1045" s="64"/>
      <c r="T1045" s="65"/>
      <c r="U1045" s="65"/>
      <c r="V1045" s="49"/>
      <c r="W1045" s="49"/>
      <c r="X1045" s="66"/>
      <c r="Y1045" s="27"/>
      <c r="Z1045" s="27"/>
    </row>
    <row r="1046" spans="1:28" ht="46.5" customHeight="1">
      <c r="A1046" s="158"/>
      <c r="B1046" s="164"/>
      <c r="C1046" s="59" t="s">
        <v>18</v>
      </c>
      <c r="D1046" s="60" t="s">
        <v>27</v>
      </c>
      <c r="E1046" s="61">
        <v>6.3220000000000001</v>
      </c>
      <c r="F1046" s="61">
        <v>7.3719999999999999</v>
      </c>
      <c r="G1046" s="61">
        <v>7.3789999999999996</v>
      </c>
      <c r="H1046" s="61">
        <v>7.4269999999999996</v>
      </c>
      <c r="I1046" s="61">
        <v>7.6529999999999996</v>
      </c>
      <c r="J1046" s="61">
        <v>8.0519999999999996</v>
      </c>
      <c r="K1046" s="61">
        <v>5.8019999999999996</v>
      </c>
      <c r="L1046" s="61">
        <v>6.2009999999999996</v>
      </c>
      <c r="M1046" s="61">
        <v>8.0220000000000002</v>
      </c>
      <c r="N1046" s="61">
        <v>8.5229999999999997</v>
      </c>
      <c r="O1046" s="61">
        <v>7.6639999999999997</v>
      </c>
      <c r="P1046" s="61">
        <v>8.673</v>
      </c>
      <c r="Q1046" s="60"/>
      <c r="R1046" s="64"/>
      <c r="S1046" s="64"/>
      <c r="T1046" s="65"/>
      <c r="U1046" s="65"/>
      <c r="V1046" s="49"/>
      <c r="W1046" s="49"/>
      <c r="X1046" s="66"/>
    </row>
    <row r="1047" spans="1:28" ht="46.5" customHeight="1">
      <c r="A1047" s="158"/>
      <c r="B1047" s="164"/>
      <c r="C1047" s="59" t="s">
        <v>18</v>
      </c>
      <c r="D1047" s="60" t="s">
        <v>28</v>
      </c>
      <c r="E1047" s="61">
        <v>7.1630000000000003</v>
      </c>
      <c r="F1047" s="61">
        <v>7.1740000000000004</v>
      </c>
      <c r="G1047" s="61">
        <v>7.1669999999999998</v>
      </c>
      <c r="H1047" s="61">
        <v>7.234</v>
      </c>
      <c r="I1047" s="61">
        <v>7.2270000000000003</v>
      </c>
      <c r="J1047" s="61">
        <v>7.36</v>
      </c>
      <c r="K1047" s="61">
        <v>7.3440000000000003</v>
      </c>
      <c r="L1047" s="61">
        <v>7.2279999999999998</v>
      </c>
      <c r="M1047" s="61">
        <v>7.3440000000000003</v>
      </c>
      <c r="N1047" s="61">
        <v>7.3540000000000001</v>
      </c>
      <c r="O1047" s="61">
        <v>4.242</v>
      </c>
      <c r="P1047" s="61">
        <v>6.27</v>
      </c>
      <c r="Q1047" s="60"/>
      <c r="R1047" s="64"/>
      <c r="S1047" s="64"/>
      <c r="T1047" s="65"/>
      <c r="U1047" s="65"/>
      <c r="V1047" s="49"/>
      <c r="W1047" s="49"/>
      <c r="X1047" s="66"/>
    </row>
    <row r="1048" spans="1:28" ht="46.5" customHeight="1">
      <c r="A1048" s="158"/>
      <c r="B1048" s="164"/>
      <c r="C1048" s="59" t="s">
        <v>18</v>
      </c>
      <c r="D1048" s="60" t="s">
        <v>29</v>
      </c>
      <c r="E1048" s="76">
        <v>6.923</v>
      </c>
      <c r="F1048" s="76">
        <v>6.1760000000000002</v>
      </c>
      <c r="G1048" s="76">
        <v>6.1450000000000005</v>
      </c>
      <c r="H1048" s="76">
        <v>6.1400000000000006</v>
      </c>
      <c r="I1048" s="76">
        <v>8.3090000000000011</v>
      </c>
      <c r="J1048" s="76">
        <v>7.7350000000000003</v>
      </c>
      <c r="K1048" s="76">
        <v>6.8870000000000005</v>
      </c>
      <c r="L1048" s="76">
        <v>7.5709999999999997</v>
      </c>
      <c r="M1048" s="76">
        <v>6.55</v>
      </c>
      <c r="N1048" s="76">
        <v>6.0600000000000005</v>
      </c>
      <c r="O1048" s="76">
        <v>7.0289999999999999</v>
      </c>
      <c r="P1048" s="76">
        <v>7.0410000000000004</v>
      </c>
      <c r="Q1048" s="60"/>
      <c r="R1048" s="64"/>
      <c r="S1048" s="64"/>
      <c r="T1048" s="65"/>
      <c r="U1048" s="65"/>
      <c r="V1048" s="49"/>
      <c r="W1048" s="49"/>
      <c r="X1048" s="66"/>
    </row>
    <row r="1049" spans="1:28" ht="61.5" customHeight="1">
      <c r="A1049" s="158"/>
      <c r="B1049" s="164"/>
      <c r="C1049" s="59" t="s">
        <v>18</v>
      </c>
      <c r="D1049" s="60" t="s">
        <v>30</v>
      </c>
      <c r="E1049" s="61">
        <v>6.6849999999999996</v>
      </c>
      <c r="F1049" s="61">
        <v>8.0350000000000001</v>
      </c>
      <c r="G1049" s="61">
        <v>5.9619999999999997</v>
      </c>
      <c r="H1049" s="61">
        <v>7.2629999999999999</v>
      </c>
      <c r="I1049" s="61">
        <v>7.9649999999999999</v>
      </c>
      <c r="J1049" s="61">
        <v>8.8130000000000006</v>
      </c>
      <c r="K1049" s="61">
        <v>7.9980000000000002</v>
      </c>
      <c r="L1049" s="61">
        <v>10.223000000000001</v>
      </c>
      <c r="M1049" s="61">
        <v>8.6940000000000008</v>
      </c>
      <c r="N1049" s="61">
        <v>8.8659999999999997</v>
      </c>
      <c r="O1049" s="61">
        <v>7.0220000000000002</v>
      </c>
      <c r="P1049" s="61">
        <v>8.4350000000000005</v>
      </c>
      <c r="Q1049" s="60"/>
      <c r="R1049" s="64"/>
      <c r="S1049" s="64"/>
      <c r="T1049" s="65"/>
      <c r="U1049" s="65"/>
      <c r="V1049" s="49"/>
      <c r="W1049" s="49"/>
      <c r="X1049" s="66"/>
    </row>
    <row r="1050" spans="1:28" ht="61.5" customHeight="1">
      <c r="A1050" s="158"/>
      <c r="B1050" s="164"/>
      <c r="C1050" s="59" t="s">
        <v>18</v>
      </c>
      <c r="D1050" s="78" t="s">
        <v>31</v>
      </c>
      <c r="E1050" s="61">
        <v>10.013999999999999</v>
      </c>
      <c r="F1050" s="61">
        <v>10.103999999999999</v>
      </c>
      <c r="G1050" s="61">
        <v>9.8059999999999992</v>
      </c>
      <c r="H1050" s="61">
        <v>10.045</v>
      </c>
      <c r="I1050" s="61">
        <v>10.53</v>
      </c>
      <c r="J1050" s="61">
        <v>10.193</v>
      </c>
      <c r="K1050" s="61">
        <v>9.0060000000000002</v>
      </c>
      <c r="L1050" s="61">
        <v>10.88</v>
      </c>
      <c r="M1050" s="61">
        <v>8.0020000000000007</v>
      </c>
      <c r="N1050" s="61">
        <v>8.0129999999999999</v>
      </c>
      <c r="O1050" s="61">
        <v>9.0269999999999992</v>
      </c>
      <c r="P1050" s="61">
        <v>8.7279999999999998</v>
      </c>
      <c r="Q1050" s="60"/>
      <c r="R1050" s="64"/>
      <c r="S1050" s="64"/>
      <c r="T1050" s="65"/>
      <c r="U1050" s="65"/>
      <c r="V1050" s="49"/>
      <c r="W1050" s="49"/>
      <c r="X1050" s="66"/>
    </row>
    <row r="1051" spans="1:28" ht="61.5" customHeight="1">
      <c r="A1051" s="158"/>
      <c r="B1051" s="164"/>
      <c r="C1051" s="59" t="s">
        <v>18</v>
      </c>
      <c r="D1051" s="78" t="s">
        <v>32</v>
      </c>
      <c r="E1051" s="61">
        <v>14.065</v>
      </c>
      <c r="F1051" s="61">
        <v>14.151999999999999</v>
      </c>
      <c r="G1051" s="61">
        <v>14.563000000000001</v>
      </c>
      <c r="H1051" s="61">
        <v>13.352</v>
      </c>
      <c r="I1051" s="61">
        <v>15.042999999999999</v>
      </c>
      <c r="J1051" s="61">
        <v>12.093</v>
      </c>
      <c r="K1051" s="61">
        <v>9.0890000000000004</v>
      </c>
      <c r="L1051" s="61">
        <v>8.01</v>
      </c>
      <c r="M1051" s="61">
        <v>7.51</v>
      </c>
      <c r="N1051" s="61">
        <v>8.0559999999999992</v>
      </c>
      <c r="O1051" s="61">
        <v>6.0090000000000003</v>
      </c>
      <c r="P1051" s="61">
        <v>4.5030000000000001</v>
      </c>
      <c r="Q1051" s="60"/>
      <c r="R1051" s="64"/>
      <c r="S1051" s="64"/>
      <c r="T1051" s="65"/>
      <c r="U1051" s="65"/>
      <c r="V1051" s="49"/>
      <c r="W1051" s="49"/>
      <c r="X1051" s="66"/>
    </row>
    <row r="1052" spans="1:28" ht="61.5" customHeight="1">
      <c r="A1052" s="158"/>
      <c r="B1052" s="164"/>
      <c r="C1052" s="59" t="s">
        <v>18</v>
      </c>
      <c r="D1052" s="60" t="s">
        <v>33</v>
      </c>
      <c r="E1052" s="61">
        <v>16.361999999999998</v>
      </c>
      <c r="F1052" s="61">
        <v>17.673999999999999</v>
      </c>
      <c r="G1052" s="61">
        <v>16.323</v>
      </c>
      <c r="H1052" s="61">
        <v>16.016999999999999</v>
      </c>
      <c r="I1052" s="61">
        <v>17.510999999999999</v>
      </c>
      <c r="J1052" s="61">
        <v>18.995000000000001</v>
      </c>
      <c r="K1052" s="61">
        <v>17.472999999999999</v>
      </c>
      <c r="L1052" s="61">
        <v>14.02</v>
      </c>
      <c r="M1052" s="61">
        <v>12.705</v>
      </c>
      <c r="N1052" s="61">
        <v>12.51</v>
      </c>
      <c r="O1052" s="61">
        <v>13.015000000000001</v>
      </c>
      <c r="P1052" s="61">
        <v>11.819000000000001</v>
      </c>
      <c r="Q1052" s="60"/>
      <c r="R1052" s="47"/>
      <c r="S1052" s="47"/>
      <c r="T1052" s="48"/>
      <c r="U1052" s="48"/>
      <c r="V1052" s="49"/>
      <c r="W1052" s="50"/>
      <c r="X1052" s="51"/>
    </row>
    <row r="1053" spans="1:28" ht="61.5" customHeight="1">
      <c r="A1053" s="158"/>
      <c r="B1053" s="164"/>
      <c r="C1053" s="59" t="s">
        <v>18</v>
      </c>
      <c r="D1053" s="60" t="s">
        <v>34</v>
      </c>
      <c r="E1053" s="61">
        <v>14.584</v>
      </c>
      <c r="F1053" s="61">
        <v>15.032</v>
      </c>
      <c r="G1053" s="61">
        <v>14.37</v>
      </c>
      <c r="H1053" s="61">
        <v>16.611999999999998</v>
      </c>
      <c r="I1053" s="61">
        <v>19.648</v>
      </c>
      <c r="J1053" s="61">
        <v>17.513999999999999</v>
      </c>
      <c r="K1053" s="61">
        <v>17.413</v>
      </c>
      <c r="L1053" s="61">
        <v>18.13</v>
      </c>
      <c r="M1053" s="61">
        <v>18.411000000000001</v>
      </c>
      <c r="N1053" s="61">
        <v>16.66</v>
      </c>
      <c r="O1053" s="61">
        <v>15.036</v>
      </c>
      <c r="P1053" s="61">
        <v>19.5</v>
      </c>
      <c r="Q1053" s="60"/>
      <c r="R1053" s="47"/>
      <c r="S1053" s="47"/>
      <c r="T1053" s="48"/>
      <c r="U1053" s="48"/>
      <c r="V1053" s="49"/>
      <c r="W1053" s="50"/>
      <c r="X1053" s="51"/>
    </row>
    <row r="1054" spans="1:28" ht="61.5" customHeight="1">
      <c r="A1054" s="158"/>
      <c r="B1054" s="164"/>
      <c r="C1054" s="59" t="s">
        <v>18</v>
      </c>
      <c r="D1054" s="60" t="s">
        <v>35</v>
      </c>
      <c r="E1054" s="61">
        <v>13.166</v>
      </c>
      <c r="F1054" s="61">
        <v>13.5</v>
      </c>
      <c r="G1054" s="61">
        <v>13.33</v>
      </c>
      <c r="H1054" s="61">
        <v>18.37</v>
      </c>
      <c r="I1054" s="61">
        <v>19.103000000000002</v>
      </c>
      <c r="J1054" s="61">
        <v>14.766999999999999</v>
      </c>
      <c r="K1054" s="61">
        <v>15.567</v>
      </c>
      <c r="L1054" s="61">
        <v>15.010999999999999</v>
      </c>
      <c r="M1054" s="61">
        <v>15.183</v>
      </c>
      <c r="N1054" s="61">
        <v>13.406000000000001</v>
      </c>
      <c r="O1054" s="61">
        <v>13.09</v>
      </c>
      <c r="P1054" s="61">
        <v>15.553000000000001</v>
      </c>
      <c r="Q1054" s="60"/>
      <c r="R1054" s="47"/>
      <c r="S1054" s="47"/>
      <c r="T1054" s="48"/>
      <c r="U1054" s="48"/>
      <c r="V1054" s="49"/>
      <c r="W1054" s="50"/>
      <c r="X1054" s="51"/>
    </row>
    <row r="1055" spans="1:28" ht="61.5" customHeight="1">
      <c r="A1055" s="158"/>
      <c r="B1055" s="164"/>
      <c r="C1055" s="59" t="s">
        <v>18</v>
      </c>
      <c r="D1055" s="60" t="s">
        <v>36</v>
      </c>
      <c r="E1055" s="61">
        <v>12.117000000000001</v>
      </c>
      <c r="F1055" s="61">
        <v>16.007999999999999</v>
      </c>
      <c r="G1055" s="61">
        <v>16.027999999999999</v>
      </c>
      <c r="H1055" s="61">
        <v>17.003</v>
      </c>
      <c r="I1055" s="61">
        <v>17.233000000000001</v>
      </c>
      <c r="J1055" s="61">
        <v>16.021999999999998</v>
      </c>
      <c r="K1055" s="61">
        <v>16.096</v>
      </c>
      <c r="L1055" s="61">
        <v>13.614000000000001</v>
      </c>
      <c r="M1055" s="61">
        <v>12.622</v>
      </c>
      <c r="N1055" s="61">
        <v>11.055999999999999</v>
      </c>
      <c r="O1055" s="61">
        <v>11.076000000000001</v>
      </c>
      <c r="P1055" s="61">
        <v>14.218999999999999</v>
      </c>
      <c r="Q1055" s="81"/>
      <c r="R1055" s="47"/>
      <c r="S1055" s="47"/>
      <c r="T1055" s="48"/>
      <c r="U1055" s="48"/>
      <c r="V1055" s="49"/>
      <c r="W1055" s="50"/>
      <c r="X1055" s="51"/>
    </row>
    <row r="1056" spans="1:28" ht="61.5" customHeight="1">
      <c r="A1056" s="158"/>
      <c r="B1056" s="164"/>
      <c r="C1056" s="59" t="s">
        <v>18</v>
      </c>
      <c r="D1056" s="60" t="s">
        <v>37</v>
      </c>
      <c r="E1056" s="85">
        <v>10.125</v>
      </c>
      <c r="F1056" s="85">
        <v>10.289</v>
      </c>
      <c r="G1056" s="85">
        <v>12.154999999999999</v>
      </c>
      <c r="H1056" s="85">
        <v>10.362</v>
      </c>
      <c r="I1056" s="85">
        <v>12.757999999999999</v>
      </c>
      <c r="J1056" s="85">
        <v>12.109</v>
      </c>
      <c r="K1056" s="85">
        <v>12.404999999999999</v>
      </c>
      <c r="L1056" s="85">
        <v>13.962999999999999</v>
      </c>
      <c r="M1056" s="85">
        <v>14.637</v>
      </c>
      <c r="N1056" s="85">
        <v>11.91</v>
      </c>
      <c r="O1056" s="85">
        <v>12.772</v>
      </c>
      <c r="P1056" s="85">
        <v>16.472000000000001</v>
      </c>
      <c r="Q1056" s="46"/>
      <c r="R1056" s="47"/>
      <c r="S1056" s="47"/>
      <c r="T1056" s="48"/>
      <c r="U1056" s="48"/>
      <c r="V1056" s="49"/>
      <c r="W1056" s="50"/>
      <c r="X1056" s="51"/>
    </row>
    <row r="1057" spans="1:28" ht="61.5" customHeight="1">
      <c r="A1057" s="158"/>
      <c r="B1057" s="164"/>
      <c r="C1057" s="59" t="s">
        <v>18</v>
      </c>
      <c r="D1057" s="60" t="s">
        <v>38</v>
      </c>
      <c r="E1057" s="85">
        <v>10.103</v>
      </c>
      <c r="F1057" s="85">
        <v>10.510999999999999</v>
      </c>
      <c r="G1057" s="85">
        <v>12.005000000000001</v>
      </c>
      <c r="H1057" s="85">
        <v>12.090999999999999</v>
      </c>
      <c r="I1057" s="85">
        <v>13.002000000000001</v>
      </c>
      <c r="J1057" s="85">
        <v>13.005000000000001</v>
      </c>
      <c r="K1057" s="85">
        <v>12.016999999999999</v>
      </c>
      <c r="L1057" s="85">
        <v>12.537000000000001</v>
      </c>
      <c r="M1057" s="85">
        <v>12.612</v>
      </c>
      <c r="N1057" s="85">
        <v>11.505000000000001</v>
      </c>
      <c r="O1057" s="85">
        <v>11.000999999999999</v>
      </c>
      <c r="P1057" s="85">
        <v>10.006</v>
      </c>
      <c r="Q1057" s="46"/>
      <c r="R1057" s="47"/>
      <c r="S1057" s="47"/>
      <c r="T1057" s="48"/>
      <c r="U1057" s="48"/>
      <c r="V1057" s="49"/>
      <c r="W1057" s="50"/>
      <c r="X1057" s="51"/>
    </row>
    <row r="1058" spans="1:28" ht="61.5" customHeight="1">
      <c r="A1058" s="158"/>
      <c r="B1058" s="164"/>
      <c r="C1058" s="59" t="s">
        <v>18</v>
      </c>
      <c r="D1058" s="60" t="s">
        <v>39</v>
      </c>
      <c r="E1058" s="85">
        <v>10.653</v>
      </c>
      <c r="F1058" s="85">
        <v>9.8049999999999997</v>
      </c>
      <c r="G1058" s="85">
        <v>8.6010000000000009</v>
      </c>
      <c r="H1058" s="85">
        <v>9.6340000000000003</v>
      </c>
      <c r="I1058" s="85">
        <v>11.497</v>
      </c>
      <c r="J1058" s="85">
        <v>11.185</v>
      </c>
      <c r="K1058" s="85">
        <v>11.773999999999999</v>
      </c>
      <c r="L1058" s="85">
        <v>8.4580000000000002</v>
      </c>
      <c r="M1058" s="85">
        <v>10.02</v>
      </c>
      <c r="N1058" s="85">
        <v>8.0060000000000002</v>
      </c>
      <c r="O1058" s="85">
        <v>10.734</v>
      </c>
      <c r="P1058" s="85">
        <v>14.786</v>
      </c>
      <c r="Q1058" s="46"/>
      <c r="R1058" s="47"/>
      <c r="S1058" s="47"/>
      <c r="T1058" s="48"/>
      <c r="U1058" s="48"/>
      <c r="V1058" s="49"/>
      <c r="W1058" s="50"/>
      <c r="X1058" s="51"/>
    </row>
    <row r="1059" spans="1:28" ht="61.5" customHeight="1">
      <c r="A1059" s="158"/>
      <c r="B1059" s="164"/>
      <c r="C1059" s="59" t="s">
        <v>18</v>
      </c>
      <c r="D1059" s="60" t="s">
        <v>40</v>
      </c>
      <c r="E1059" s="85">
        <v>9.0370000000000008</v>
      </c>
      <c r="F1059" s="85">
        <v>9.7110000000000003</v>
      </c>
      <c r="G1059" s="85">
        <v>9.25</v>
      </c>
      <c r="H1059" s="85">
        <v>12.358000000000001</v>
      </c>
      <c r="I1059" s="85">
        <v>13.21</v>
      </c>
      <c r="J1059" s="85">
        <v>9.2289999999999992</v>
      </c>
      <c r="K1059" s="85">
        <v>11.747999999999999</v>
      </c>
      <c r="L1059" s="85">
        <v>11.090999999999999</v>
      </c>
      <c r="M1059" s="85">
        <v>10.007</v>
      </c>
      <c r="N1059" s="85">
        <v>12.145</v>
      </c>
      <c r="O1059" s="85">
        <v>9.5020000000000007</v>
      </c>
      <c r="P1059" s="85">
        <v>11.169</v>
      </c>
      <c r="Q1059" s="46"/>
      <c r="R1059" s="47"/>
      <c r="S1059" s="47"/>
      <c r="T1059" s="48"/>
      <c r="U1059" s="48"/>
      <c r="V1059" s="49"/>
      <c r="W1059" s="50"/>
      <c r="X1059" s="51"/>
    </row>
    <row r="1060" spans="1:28" ht="61.5" customHeight="1">
      <c r="A1060" s="158"/>
      <c r="B1060" s="164"/>
      <c r="C1060" s="59" t="s">
        <v>18</v>
      </c>
      <c r="D1060" s="60" t="s">
        <v>41</v>
      </c>
      <c r="E1060" s="85">
        <v>8.4009999999999998</v>
      </c>
      <c r="F1060" s="85">
        <v>9.0050000000000008</v>
      </c>
      <c r="G1060" s="85">
        <v>8.1069999999999993</v>
      </c>
      <c r="H1060" s="85">
        <v>9.2040000000000006</v>
      </c>
      <c r="I1060" s="85">
        <v>9.0030000000000001</v>
      </c>
      <c r="J1060" s="85">
        <v>9.0779999999999994</v>
      </c>
      <c r="K1060" s="85">
        <v>9.5269999999999992</v>
      </c>
      <c r="L1060" s="85">
        <v>10.252000000000001</v>
      </c>
      <c r="M1060" s="85">
        <v>9.5129999999999999</v>
      </c>
      <c r="N1060" s="85">
        <v>10.102</v>
      </c>
      <c r="O1060" s="85">
        <v>10.002000000000001</v>
      </c>
      <c r="P1060" s="85">
        <v>11.163</v>
      </c>
      <c r="Q1060" s="46"/>
      <c r="R1060" s="47"/>
      <c r="S1060" s="47"/>
      <c r="T1060" s="48"/>
      <c r="U1060" s="48"/>
      <c r="V1060" s="49"/>
      <c r="W1060" s="50"/>
      <c r="X1060" s="51"/>
    </row>
    <row r="1061" spans="1:28" ht="61.5" customHeight="1">
      <c r="A1061" s="158"/>
      <c r="B1061" s="164"/>
      <c r="C1061" s="59" t="s">
        <v>18</v>
      </c>
      <c r="D1061" s="60" t="s">
        <v>42</v>
      </c>
      <c r="E1061" s="85">
        <v>6.3019999999999996</v>
      </c>
      <c r="F1061" s="85">
        <v>7.202</v>
      </c>
      <c r="G1061" s="85">
        <v>8.1029999999999998</v>
      </c>
      <c r="H1061" s="85">
        <v>8.3030000000000008</v>
      </c>
      <c r="I1061" s="85">
        <v>8.0020000000000007</v>
      </c>
      <c r="J1061" s="85">
        <v>8.1029999999999998</v>
      </c>
      <c r="K1061" s="85">
        <v>8.11</v>
      </c>
      <c r="L1061" s="85">
        <v>8.032</v>
      </c>
      <c r="M1061" s="85">
        <v>8.4920000000000009</v>
      </c>
      <c r="N1061" s="85">
        <v>9.3059999999999992</v>
      </c>
      <c r="O1061" s="85">
        <v>8.7289999999999992</v>
      </c>
      <c r="P1061" s="85">
        <v>10.332000000000001</v>
      </c>
      <c r="Q1061" s="46"/>
      <c r="R1061" s="47"/>
      <c r="S1061" s="47"/>
      <c r="T1061" s="48"/>
      <c r="U1061" s="48"/>
      <c r="V1061" s="49"/>
      <c r="W1061" s="50"/>
      <c r="X1061" s="51"/>
    </row>
    <row r="1062" spans="1:28" ht="61.5" customHeight="1">
      <c r="A1062" s="158"/>
      <c r="B1062" s="164"/>
      <c r="C1062" s="59" t="s">
        <v>18</v>
      </c>
      <c r="D1062" s="60" t="s">
        <v>43</v>
      </c>
      <c r="E1062" s="85">
        <v>7.0069999999999997</v>
      </c>
      <c r="F1062" s="85">
        <v>7.5039999999999996</v>
      </c>
      <c r="G1062" s="85">
        <v>7.0039999999999996</v>
      </c>
      <c r="H1062" s="85">
        <v>7.4729999999999999</v>
      </c>
      <c r="I1062" s="85">
        <v>8.407</v>
      </c>
      <c r="J1062" s="85">
        <v>8.6050000000000004</v>
      </c>
      <c r="K1062" s="85">
        <v>7.5359999999999996</v>
      </c>
      <c r="L1062" s="85">
        <v>6.5209999999999999</v>
      </c>
      <c r="M1062" s="85">
        <v>6.05</v>
      </c>
      <c r="N1062" s="85">
        <v>5.0369999999999999</v>
      </c>
      <c r="O1062" s="85">
        <v>5.0039999999999996</v>
      </c>
      <c r="P1062" s="85">
        <v>8.2070000000000007</v>
      </c>
      <c r="Q1062" s="46"/>
      <c r="R1062" s="47"/>
      <c r="S1062" s="47"/>
      <c r="T1062" s="48"/>
      <c r="U1062" s="48"/>
      <c r="V1062" s="49"/>
      <c r="W1062" s="50"/>
      <c r="X1062" s="51"/>
    </row>
    <row r="1063" spans="1:28" ht="61.5" customHeight="1">
      <c r="A1063" s="158"/>
      <c r="B1063" s="165"/>
      <c r="C1063" s="59" t="s">
        <v>18</v>
      </c>
      <c r="D1063" s="60" t="s">
        <v>44</v>
      </c>
      <c r="E1063" s="85">
        <v>4.8639999999999999</v>
      </c>
      <c r="F1063" s="85">
        <v>6.0010000000000003</v>
      </c>
      <c r="G1063" s="85">
        <v>6.1029999999999998</v>
      </c>
      <c r="H1063" s="85">
        <v>6.4039999999999999</v>
      </c>
      <c r="I1063" s="85">
        <v>7.0019999999999998</v>
      </c>
      <c r="J1063" s="85">
        <v>7.7</v>
      </c>
      <c r="K1063" s="85">
        <v>6.2030000000000003</v>
      </c>
      <c r="L1063" s="85">
        <v>6.5019999999999998</v>
      </c>
      <c r="M1063" s="85">
        <v>6.7060000000000004</v>
      </c>
      <c r="N1063" s="85">
        <v>8.0050000000000008</v>
      </c>
      <c r="O1063" s="85">
        <v>6.01</v>
      </c>
      <c r="P1063" s="85">
        <v>7.0579999999999998</v>
      </c>
      <c r="Q1063" s="46"/>
      <c r="R1063" s="47"/>
      <c r="S1063" s="47"/>
      <c r="T1063" s="48"/>
      <c r="U1063" s="48"/>
      <c r="V1063" s="49"/>
      <c r="W1063" s="50"/>
      <c r="X1063" s="51"/>
    </row>
    <row r="1064" spans="1:28" ht="61.5" customHeight="1">
      <c r="A1064" s="158"/>
      <c r="B1064" s="98"/>
      <c r="C1064" s="100"/>
      <c r="D1064" s="101"/>
      <c r="E1064" s="90"/>
      <c r="F1064" s="90"/>
      <c r="G1064" s="90"/>
      <c r="H1064" s="90"/>
      <c r="I1064" s="90"/>
      <c r="J1064" s="90"/>
      <c r="K1064" s="90"/>
      <c r="L1064" s="90"/>
      <c r="M1064" s="90"/>
      <c r="N1064" s="90"/>
      <c r="O1064" s="90"/>
      <c r="P1064" s="90"/>
      <c r="Q1064" s="46"/>
      <c r="R1064" s="47"/>
      <c r="S1064" s="47"/>
      <c r="T1064" s="48"/>
      <c r="U1064" s="48"/>
      <c r="V1064" s="49"/>
      <c r="W1064" s="50"/>
      <c r="X1064" s="51"/>
    </row>
    <row r="1065" spans="1:28" s="109" customFormat="1" ht="46.5" customHeight="1">
      <c r="A1065" s="158"/>
      <c r="B1065" s="163" t="s">
        <v>54</v>
      </c>
      <c r="C1065" s="42"/>
      <c r="D1065" s="43"/>
      <c r="E1065" s="44"/>
      <c r="F1065" s="44"/>
      <c r="G1065" s="44"/>
      <c r="H1065" s="45"/>
      <c r="I1065" s="44"/>
      <c r="J1065" s="44"/>
      <c r="K1065" s="44"/>
      <c r="L1065" s="44"/>
      <c r="M1065" s="44"/>
      <c r="N1065" s="44"/>
      <c r="O1065" s="44"/>
      <c r="P1065" s="44"/>
      <c r="Q1065" s="43"/>
      <c r="R1065" s="91"/>
      <c r="S1065" s="47"/>
      <c r="T1065" s="48"/>
      <c r="U1065" s="48"/>
      <c r="V1065" s="49"/>
      <c r="W1065" s="50"/>
      <c r="X1065" s="51"/>
      <c r="Y1065" s="108"/>
      <c r="Z1065" s="108"/>
    </row>
    <row r="1066" spans="1:28" s="52" customFormat="1" ht="46.5" customHeight="1">
      <c r="A1066" s="158"/>
      <c r="B1066" s="164"/>
      <c r="C1066" s="55"/>
      <c r="D1066" s="46"/>
      <c r="E1066" s="56"/>
      <c r="F1066" s="56"/>
      <c r="G1066" s="56"/>
      <c r="H1066" s="56"/>
      <c r="I1066" s="56"/>
      <c r="J1066" s="56"/>
      <c r="K1066" s="56"/>
      <c r="L1066" s="56"/>
      <c r="M1066" s="56"/>
      <c r="N1066" s="56"/>
      <c r="O1066" s="56"/>
      <c r="P1066" s="56"/>
      <c r="Q1066" s="114"/>
      <c r="R1066" s="47"/>
      <c r="S1066" s="64"/>
      <c r="T1066" s="48"/>
      <c r="U1066" s="48"/>
      <c r="V1066" s="49"/>
      <c r="W1066" s="50"/>
      <c r="X1066" s="51"/>
      <c r="Y1066" s="2"/>
      <c r="Z1066" s="2"/>
      <c r="AB1066" s="2"/>
    </row>
    <row r="1067" spans="1:28" s="52" customFormat="1" ht="46.5" customHeight="1">
      <c r="A1067" s="158"/>
      <c r="B1067" s="164"/>
      <c r="C1067" s="59" t="s">
        <v>18</v>
      </c>
      <c r="D1067" s="60" t="s">
        <v>19</v>
      </c>
      <c r="E1067" s="61">
        <v>17.835000000000001</v>
      </c>
      <c r="F1067" s="61">
        <v>18.585999999999999</v>
      </c>
      <c r="G1067" s="61">
        <v>15.446999999999999</v>
      </c>
      <c r="H1067" s="61">
        <v>16.593</v>
      </c>
      <c r="I1067" s="61">
        <v>20.628</v>
      </c>
      <c r="J1067" s="61">
        <v>12.52</v>
      </c>
      <c r="K1067" s="61">
        <v>13.287000000000001</v>
      </c>
      <c r="L1067" s="61">
        <v>13.355</v>
      </c>
      <c r="M1067" s="61">
        <v>11.712999999999999</v>
      </c>
      <c r="N1067" s="61">
        <v>15.074999999999999</v>
      </c>
      <c r="O1067" s="61">
        <v>10.968999999999999</v>
      </c>
      <c r="P1067" s="61">
        <v>11.534000000000001</v>
      </c>
      <c r="Q1067" s="114"/>
      <c r="R1067" s="47"/>
      <c r="S1067" s="64"/>
      <c r="T1067" s="48"/>
      <c r="U1067" s="48"/>
      <c r="V1067" s="49"/>
      <c r="W1067" s="50"/>
      <c r="X1067" s="51"/>
      <c r="Y1067" s="2"/>
      <c r="Z1067" s="2"/>
      <c r="AB1067" s="2"/>
    </row>
    <row r="1068" spans="1:28" s="52" customFormat="1" ht="46.5" customHeight="1">
      <c r="A1068" s="158"/>
      <c r="B1068" s="164"/>
      <c r="C1068" s="59" t="s">
        <v>18</v>
      </c>
      <c r="D1068" s="60" t="s">
        <v>20</v>
      </c>
      <c r="E1068" s="61">
        <v>17.815000000000001</v>
      </c>
      <c r="F1068" s="61">
        <v>21.04</v>
      </c>
      <c r="G1068" s="61">
        <v>19.803000000000001</v>
      </c>
      <c r="H1068" s="61">
        <v>13.481</v>
      </c>
      <c r="I1068" s="61">
        <v>12.815</v>
      </c>
      <c r="J1068" s="61">
        <v>17.332999999999998</v>
      </c>
      <c r="K1068" s="61">
        <v>19.923999999999999</v>
      </c>
      <c r="L1068" s="61">
        <v>16.942</v>
      </c>
      <c r="M1068" s="61">
        <v>15.031000000000001</v>
      </c>
      <c r="N1068" s="61">
        <v>13.22</v>
      </c>
      <c r="O1068" s="61">
        <v>11.385999999999999</v>
      </c>
      <c r="P1068" s="61">
        <v>16.536000000000001</v>
      </c>
      <c r="Q1068" s="114"/>
      <c r="R1068" s="47"/>
      <c r="S1068" s="64"/>
      <c r="T1068" s="48"/>
      <c r="U1068" s="48"/>
      <c r="V1068" s="49"/>
      <c r="W1068" s="50"/>
      <c r="X1068" s="51"/>
      <c r="Y1068" s="2"/>
      <c r="Z1068" s="2"/>
      <c r="AB1068" s="2"/>
    </row>
    <row r="1069" spans="1:28" ht="46.5" customHeight="1">
      <c r="A1069" s="158"/>
      <c r="B1069" s="164"/>
      <c r="C1069" s="59" t="s">
        <v>18</v>
      </c>
      <c r="D1069" s="60" t="s">
        <v>21</v>
      </c>
      <c r="E1069" s="61">
        <v>21.738</v>
      </c>
      <c r="F1069" s="61">
        <v>28.745999999999999</v>
      </c>
      <c r="G1069" s="61">
        <v>19.542000000000002</v>
      </c>
      <c r="H1069" s="61">
        <v>15.122</v>
      </c>
      <c r="I1069" s="61">
        <v>25.253</v>
      </c>
      <c r="J1069" s="61">
        <v>20.698</v>
      </c>
      <c r="K1069" s="61">
        <v>18.062999999999999</v>
      </c>
      <c r="L1069" s="61">
        <v>16.113</v>
      </c>
      <c r="M1069" s="61">
        <v>16.8</v>
      </c>
      <c r="N1069" s="61">
        <v>21.21</v>
      </c>
      <c r="O1069" s="61">
        <v>23.672000000000001</v>
      </c>
      <c r="P1069" s="61">
        <v>31.762</v>
      </c>
      <c r="Q1069" s="115"/>
      <c r="R1069" s="64"/>
      <c r="S1069" s="64"/>
      <c r="T1069" s="65"/>
      <c r="U1069" s="65"/>
      <c r="V1069" s="49"/>
      <c r="W1069" s="49"/>
      <c r="X1069" s="66"/>
      <c r="AB1069" s="6"/>
    </row>
    <row r="1070" spans="1:28" s="52" customFormat="1" ht="46.5" customHeight="1">
      <c r="A1070" s="158"/>
      <c r="B1070" s="164"/>
      <c r="C1070" s="59" t="s">
        <v>18</v>
      </c>
      <c r="D1070" s="60" t="s">
        <v>22</v>
      </c>
      <c r="E1070" s="61">
        <v>9.2789999999999999</v>
      </c>
      <c r="F1070" s="61">
        <v>12.704000000000001</v>
      </c>
      <c r="G1070" s="61">
        <v>7.7670000000000003</v>
      </c>
      <c r="H1070" s="61">
        <v>8.5530000000000008</v>
      </c>
      <c r="I1070" s="61">
        <v>12.555</v>
      </c>
      <c r="J1070" s="61">
        <v>11.292999999999999</v>
      </c>
      <c r="K1070" s="61">
        <v>10.097</v>
      </c>
      <c r="L1070" s="61">
        <v>10.577</v>
      </c>
      <c r="M1070" s="61">
        <v>17.708000000000002</v>
      </c>
      <c r="N1070" s="61">
        <v>21.605</v>
      </c>
      <c r="O1070" s="61">
        <v>26.751999999999999</v>
      </c>
      <c r="P1070" s="61">
        <v>27.484999999999999</v>
      </c>
      <c r="Q1070" s="114"/>
      <c r="R1070" s="47"/>
      <c r="S1070" s="64"/>
      <c r="T1070" s="48"/>
      <c r="U1070" s="48"/>
      <c r="V1070" s="49"/>
      <c r="W1070" s="50"/>
      <c r="X1070" s="51"/>
      <c r="Y1070" s="2"/>
      <c r="Z1070" s="2"/>
      <c r="AB1070" s="2"/>
    </row>
    <row r="1071" spans="1:28" s="52" customFormat="1" ht="46.5" customHeight="1">
      <c r="A1071" s="158"/>
      <c r="B1071" s="164"/>
      <c r="C1071" s="59" t="s">
        <v>18</v>
      </c>
      <c r="D1071" s="60" t="str">
        <f>+D1042</f>
        <v>2021-22</v>
      </c>
      <c r="E1071" s="61">
        <v>28.071000000000002</v>
      </c>
      <c r="F1071" s="61">
        <v>28.314</v>
      </c>
      <c r="G1071" s="61">
        <v>16.007000000000001</v>
      </c>
      <c r="H1071" s="61">
        <v>20.178999999999998</v>
      </c>
      <c r="I1071" s="61">
        <v>23.513000000000002</v>
      </c>
      <c r="J1071" s="61">
        <v>22.841000000000001</v>
      </c>
      <c r="K1071" s="61">
        <v>28.45</v>
      </c>
      <c r="L1071" s="61">
        <v>26.512</v>
      </c>
      <c r="M1071" s="61">
        <v>23.946000000000002</v>
      </c>
      <c r="N1071" s="61">
        <v>24.059000000000001</v>
      </c>
      <c r="O1071" s="61">
        <v>25.295999999999999</v>
      </c>
      <c r="P1071" s="61">
        <v>25.808</v>
      </c>
      <c r="Q1071" s="114"/>
      <c r="R1071" s="47"/>
      <c r="S1071" s="64"/>
      <c r="T1071" s="48"/>
      <c r="U1071" s="48"/>
      <c r="V1071" s="49"/>
      <c r="W1071" s="50"/>
      <c r="X1071" s="51"/>
      <c r="Y1071" s="2"/>
      <c r="Z1071" s="2"/>
      <c r="AB1071" s="2"/>
    </row>
    <row r="1072" spans="1:28" ht="46.5" customHeight="1">
      <c r="A1072" s="158"/>
      <c r="B1072" s="164"/>
      <c r="C1072" s="59" t="s">
        <v>18</v>
      </c>
      <c r="D1072" s="60" t="str">
        <f>+D1043</f>
        <v>2020-21</v>
      </c>
      <c r="E1072" s="61">
        <v>10.723000000000001</v>
      </c>
      <c r="F1072" s="61">
        <v>14.847999999999999</v>
      </c>
      <c r="G1072" s="61">
        <v>17.815999999999999</v>
      </c>
      <c r="H1072" s="61">
        <v>23.571000000000002</v>
      </c>
      <c r="I1072" s="61">
        <v>24.305</v>
      </c>
      <c r="J1072" s="61">
        <v>13.624000000000001</v>
      </c>
      <c r="K1072" s="61">
        <v>28.992000000000001</v>
      </c>
      <c r="L1072" s="61">
        <v>26.776</v>
      </c>
      <c r="M1072" s="61">
        <v>26.213999999999999</v>
      </c>
      <c r="N1072" s="61">
        <v>23.664000000000001</v>
      </c>
      <c r="O1072" s="61">
        <v>23.294</v>
      </c>
      <c r="P1072" s="61">
        <v>23.373999999999999</v>
      </c>
      <c r="Q1072" s="115"/>
      <c r="R1072" s="64"/>
      <c r="S1072" s="64"/>
      <c r="T1072" s="65"/>
      <c r="U1072" s="65"/>
      <c r="V1072" s="49"/>
      <c r="W1072" s="49"/>
      <c r="X1072" s="66"/>
      <c r="Y1072" s="49"/>
      <c r="Z1072" s="49"/>
      <c r="AB1072" s="49"/>
    </row>
    <row r="1073" spans="1:26" ht="46.5" customHeight="1">
      <c r="A1073" s="158"/>
      <c r="B1073" s="164"/>
      <c r="C1073" s="59" t="s">
        <v>18</v>
      </c>
      <c r="D1073" s="60" t="s">
        <v>25</v>
      </c>
      <c r="E1073" s="61">
        <v>26.32</v>
      </c>
      <c r="F1073" s="61">
        <v>21.428000000000001</v>
      </c>
      <c r="G1073" s="61">
        <v>16.724</v>
      </c>
      <c r="H1073" s="61">
        <v>13.726000000000001</v>
      </c>
      <c r="I1073" s="61">
        <v>14.734</v>
      </c>
      <c r="J1073" s="61">
        <v>14.097</v>
      </c>
      <c r="K1073" s="61">
        <v>10.313000000000001</v>
      </c>
      <c r="L1073" s="61">
        <v>27.218</v>
      </c>
      <c r="M1073" s="61">
        <v>29.170999999999999</v>
      </c>
      <c r="N1073" s="61">
        <v>22.727</v>
      </c>
      <c r="O1073" s="61">
        <v>15.268000000000001</v>
      </c>
      <c r="P1073" s="61">
        <v>14.105</v>
      </c>
      <c r="Q1073" s="115"/>
      <c r="R1073" s="64"/>
      <c r="S1073" s="64"/>
      <c r="T1073" s="65"/>
      <c r="U1073" s="65"/>
      <c r="V1073" s="49"/>
      <c r="W1073" s="49"/>
      <c r="X1073" s="66"/>
    </row>
    <row r="1074" spans="1:26" s="25" customFormat="1" ht="46.5" customHeight="1">
      <c r="A1074" s="158"/>
      <c r="B1074" s="164"/>
      <c r="C1074" s="102" t="s">
        <v>18</v>
      </c>
      <c r="D1074" s="103" t="s">
        <v>26</v>
      </c>
      <c r="E1074" s="61">
        <v>9.2579999999999991</v>
      </c>
      <c r="F1074" s="61">
        <v>22.847999999999999</v>
      </c>
      <c r="G1074" s="61">
        <v>21.210999999999999</v>
      </c>
      <c r="H1074" s="61">
        <v>14.525</v>
      </c>
      <c r="I1074" s="61">
        <v>33.119</v>
      </c>
      <c r="J1074" s="61">
        <v>28.888999999999999</v>
      </c>
      <c r="K1074" s="61">
        <v>18.628</v>
      </c>
      <c r="L1074" s="61">
        <v>14.73</v>
      </c>
      <c r="M1074" s="61">
        <v>29.42</v>
      </c>
      <c r="N1074" s="61">
        <v>28.11</v>
      </c>
      <c r="O1074" s="61">
        <v>23.477</v>
      </c>
      <c r="P1074" s="61">
        <v>32.61</v>
      </c>
      <c r="Q1074" s="116"/>
      <c r="R1074" s="117"/>
      <c r="S1074" s="64"/>
      <c r="T1074" s="65"/>
      <c r="U1074" s="65"/>
      <c r="V1074" s="49"/>
      <c r="W1074" s="49"/>
      <c r="X1074" s="66"/>
      <c r="Y1074" s="27"/>
      <c r="Z1074" s="27"/>
    </row>
    <row r="1075" spans="1:26" ht="46.5" customHeight="1">
      <c r="A1075" s="158"/>
      <c r="B1075" s="164"/>
      <c r="C1075" s="59" t="s">
        <v>18</v>
      </c>
      <c r="D1075" s="60" t="s">
        <v>27</v>
      </c>
      <c r="E1075" s="61">
        <v>14.22</v>
      </c>
      <c r="F1075" s="61">
        <v>17.731000000000002</v>
      </c>
      <c r="G1075" s="61">
        <v>7.9249999999999998</v>
      </c>
      <c r="H1075" s="61">
        <v>14.82</v>
      </c>
      <c r="I1075" s="61">
        <v>14.198</v>
      </c>
      <c r="J1075" s="61">
        <v>11.839</v>
      </c>
      <c r="K1075" s="61">
        <v>24.442</v>
      </c>
      <c r="L1075" s="61">
        <v>31.928000000000001</v>
      </c>
      <c r="M1075" s="61">
        <v>19.719000000000001</v>
      </c>
      <c r="N1075" s="61">
        <v>16.651</v>
      </c>
      <c r="O1075" s="61">
        <v>12.058</v>
      </c>
      <c r="P1075" s="61">
        <v>11.135999999999999</v>
      </c>
      <c r="Q1075" s="60"/>
      <c r="R1075" s="64"/>
      <c r="S1075" s="64"/>
      <c r="T1075" s="65"/>
      <c r="U1075" s="65"/>
      <c r="V1075" s="49"/>
      <c r="W1075" s="49"/>
      <c r="X1075" s="66"/>
    </row>
    <row r="1076" spans="1:26" ht="46.5" customHeight="1">
      <c r="A1076" s="158"/>
      <c r="B1076" s="164"/>
      <c r="C1076" s="59" t="s">
        <v>18</v>
      </c>
      <c r="D1076" s="60" t="s">
        <v>28</v>
      </c>
      <c r="E1076" s="61">
        <v>28.622</v>
      </c>
      <c r="F1076" s="61">
        <v>32.679000000000002</v>
      </c>
      <c r="G1076" s="61">
        <v>27.614999999999998</v>
      </c>
      <c r="H1076" s="61">
        <v>30.382000000000001</v>
      </c>
      <c r="I1076" s="61">
        <v>30.558</v>
      </c>
      <c r="J1076" s="61">
        <v>31.920999999999999</v>
      </c>
      <c r="K1076" s="61">
        <v>35.039000000000001</v>
      </c>
      <c r="L1076" s="61">
        <v>33.831000000000003</v>
      </c>
      <c r="M1076" s="61">
        <v>31.672999999999998</v>
      </c>
      <c r="N1076" s="61">
        <v>32.57</v>
      </c>
      <c r="O1076" s="61">
        <v>21.92</v>
      </c>
      <c r="P1076" s="61">
        <v>30.114999999999998</v>
      </c>
      <c r="Q1076" s="60"/>
      <c r="R1076" s="64"/>
      <c r="S1076" s="64"/>
      <c r="T1076" s="65"/>
      <c r="U1076" s="65"/>
      <c r="V1076" s="49"/>
      <c r="W1076" s="49"/>
      <c r="X1076" s="66"/>
    </row>
    <row r="1077" spans="1:26" ht="46.5" customHeight="1">
      <c r="A1077" s="158"/>
      <c r="B1077" s="164"/>
      <c r="C1077" s="59" t="s">
        <v>18</v>
      </c>
      <c r="D1077" s="60" t="s">
        <v>29</v>
      </c>
      <c r="E1077" s="76">
        <v>23.254000000000001</v>
      </c>
      <c r="F1077" s="76">
        <v>23.295999999999999</v>
      </c>
      <c r="G1077" s="76">
        <v>30.655999999999999</v>
      </c>
      <c r="H1077" s="76">
        <v>31.231999999999999</v>
      </c>
      <c r="I1077" s="76">
        <v>28.196999999999999</v>
      </c>
      <c r="J1077" s="76">
        <v>32.527000000000001</v>
      </c>
      <c r="K1077" s="76">
        <v>28.73</v>
      </c>
      <c r="L1077" s="76">
        <v>33.212000000000003</v>
      </c>
      <c r="M1077" s="76">
        <v>24.469000000000001</v>
      </c>
      <c r="N1077" s="76">
        <v>21.149000000000001</v>
      </c>
      <c r="O1077" s="76">
        <v>28.408000000000001</v>
      </c>
      <c r="P1077" s="76">
        <v>33.439</v>
      </c>
      <c r="Q1077" s="60"/>
      <c r="R1077" s="64"/>
      <c r="S1077" s="64"/>
      <c r="T1077" s="65"/>
      <c r="U1077" s="65"/>
      <c r="V1077" s="49"/>
      <c r="W1077" s="49"/>
      <c r="X1077" s="66"/>
    </row>
    <row r="1078" spans="1:26" ht="61.5" customHeight="1">
      <c r="A1078" s="158"/>
      <c r="B1078" s="164"/>
      <c r="C1078" s="59" t="s">
        <v>18</v>
      </c>
      <c r="D1078" s="60" t="s">
        <v>30</v>
      </c>
      <c r="E1078" s="61">
        <v>22.568999999999999</v>
      </c>
      <c r="F1078" s="61">
        <v>31.425000000000001</v>
      </c>
      <c r="G1078" s="61">
        <v>19.606999999999999</v>
      </c>
      <c r="H1078" s="61">
        <v>34.564</v>
      </c>
      <c r="I1078" s="61">
        <v>33.319000000000003</v>
      </c>
      <c r="J1078" s="61">
        <v>20.073</v>
      </c>
      <c r="K1078" s="61">
        <v>36.274000000000001</v>
      </c>
      <c r="L1078" s="61">
        <v>32.991</v>
      </c>
      <c r="M1078" s="61">
        <v>36.396999999999998</v>
      </c>
      <c r="N1078" s="61">
        <v>32.417999999999999</v>
      </c>
      <c r="O1078" s="61">
        <v>25.71</v>
      </c>
      <c r="P1078" s="61">
        <v>35.043999999999997</v>
      </c>
      <c r="Q1078" s="60"/>
      <c r="R1078" s="64"/>
      <c r="S1078" s="64"/>
      <c r="T1078" s="65"/>
      <c r="U1078" s="65"/>
      <c r="V1078" s="49"/>
      <c r="W1078" s="49"/>
      <c r="X1078" s="66"/>
    </row>
    <row r="1079" spans="1:26" ht="61.5" customHeight="1">
      <c r="A1079" s="158"/>
      <c r="B1079" s="164"/>
      <c r="C1079" s="59" t="s">
        <v>18</v>
      </c>
      <c r="D1079" s="78" t="s">
        <v>31</v>
      </c>
      <c r="E1079" s="61">
        <v>27.044</v>
      </c>
      <c r="F1079" s="61">
        <v>29.907</v>
      </c>
      <c r="G1079" s="61">
        <v>32.520000000000003</v>
      </c>
      <c r="H1079" s="61">
        <v>29.984000000000002</v>
      </c>
      <c r="I1079" s="61">
        <v>30.109000000000002</v>
      </c>
      <c r="J1079" s="61">
        <v>25.638999999999999</v>
      </c>
      <c r="K1079" s="61">
        <v>28.161000000000001</v>
      </c>
      <c r="L1079" s="61">
        <v>23.366</v>
      </c>
      <c r="M1079" s="61">
        <v>26.753</v>
      </c>
      <c r="N1079" s="61">
        <v>29.102</v>
      </c>
      <c r="O1079" s="61">
        <v>19.629000000000001</v>
      </c>
      <c r="P1079" s="61">
        <v>25.565999999999999</v>
      </c>
      <c r="Q1079" s="60"/>
      <c r="R1079" s="64"/>
      <c r="S1079" s="64"/>
      <c r="T1079" s="65"/>
      <c r="U1079" s="65"/>
      <c r="V1079" s="49"/>
      <c r="W1079" s="49"/>
      <c r="X1079" s="66"/>
    </row>
    <row r="1080" spans="1:26" ht="61.5" customHeight="1">
      <c r="A1080" s="158"/>
      <c r="B1080" s="164"/>
      <c r="C1080" s="59" t="s">
        <v>18</v>
      </c>
      <c r="D1080" s="60" t="s">
        <v>32</v>
      </c>
      <c r="E1080" s="61">
        <v>20.936</v>
      </c>
      <c r="F1080" s="61">
        <v>10.035</v>
      </c>
      <c r="G1080" s="61">
        <v>21.492999999999999</v>
      </c>
      <c r="H1080" s="61">
        <v>21.143999999999998</v>
      </c>
      <c r="I1080" s="61">
        <v>28.053000000000001</v>
      </c>
      <c r="J1080" s="61">
        <v>22.202000000000002</v>
      </c>
      <c r="K1080" s="61">
        <v>23.376999999999999</v>
      </c>
      <c r="L1080" s="61">
        <v>27.632000000000001</v>
      </c>
      <c r="M1080" s="61">
        <v>30.625</v>
      </c>
      <c r="N1080" s="61">
        <v>30.350999999999999</v>
      </c>
      <c r="O1080" s="61">
        <v>25.413</v>
      </c>
      <c r="P1080" s="61">
        <v>8.8000000000000007</v>
      </c>
      <c r="Q1080" s="60"/>
      <c r="R1080" s="64"/>
      <c r="S1080" s="47"/>
      <c r="T1080" s="48"/>
      <c r="U1080" s="48"/>
      <c r="V1080" s="49"/>
      <c r="W1080" s="50"/>
      <c r="X1080" s="51"/>
    </row>
    <row r="1081" spans="1:26" ht="61.5" customHeight="1">
      <c r="A1081" s="158"/>
      <c r="B1081" s="164"/>
      <c r="C1081" s="59" t="s">
        <v>18</v>
      </c>
      <c r="D1081" s="60" t="s">
        <v>33</v>
      </c>
      <c r="E1081" s="61">
        <v>25.152999999999999</v>
      </c>
      <c r="F1081" s="61">
        <v>25.452999999999999</v>
      </c>
      <c r="G1081" s="61">
        <v>24.864999999999998</v>
      </c>
      <c r="H1081" s="61">
        <v>17.439</v>
      </c>
      <c r="I1081" s="61">
        <v>31.553000000000001</v>
      </c>
      <c r="J1081" s="61">
        <v>9.0050000000000008</v>
      </c>
      <c r="K1081" s="61">
        <v>18.123000000000001</v>
      </c>
      <c r="L1081" s="61">
        <v>29.45</v>
      </c>
      <c r="M1081" s="61">
        <v>35.073</v>
      </c>
      <c r="N1081" s="61">
        <v>34.987000000000002</v>
      </c>
      <c r="O1081" s="61">
        <v>22.257999999999999</v>
      </c>
      <c r="P1081" s="61">
        <v>24.510999999999999</v>
      </c>
      <c r="Q1081" s="60"/>
      <c r="R1081" s="47"/>
      <c r="S1081" s="47"/>
      <c r="T1081" s="48"/>
      <c r="U1081" s="48"/>
      <c r="V1081" s="49"/>
      <c r="W1081" s="50"/>
      <c r="X1081" s="51"/>
    </row>
    <row r="1082" spans="1:26" ht="61.5" customHeight="1">
      <c r="A1082" s="158"/>
      <c r="B1082" s="164"/>
      <c r="C1082" s="59" t="s">
        <v>18</v>
      </c>
      <c r="D1082" s="60" t="s">
        <v>34</v>
      </c>
      <c r="E1082" s="61">
        <v>16.399000000000001</v>
      </c>
      <c r="F1082" s="61">
        <v>23.506</v>
      </c>
      <c r="G1082" s="61">
        <v>23.198</v>
      </c>
      <c r="H1082" s="61">
        <v>18.338000000000001</v>
      </c>
      <c r="I1082" s="61">
        <v>24.245000000000001</v>
      </c>
      <c r="J1082" s="61">
        <v>19.481000000000002</v>
      </c>
      <c r="K1082" s="61">
        <v>22.393000000000001</v>
      </c>
      <c r="L1082" s="61">
        <v>18.905000000000001</v>
      </c>
      <c r="M1082" s="61">
        <v>28.326000000000001</v>
      </c>
      <c r="N1082" s="61">
        <v>25.652000000000001</v>
      </c>
      <c r="O1082" s="61">
        <v>25.821999999999999</v>
      </c>
      <c r="P1082" s="61">
        <v>27.719000000000001</v>
      </c>
      <c r="Q1082" s="60"/>
      <c r="R1082" s="47"/>
      <c r="S1082" s="47"/>
      <c r="T1082" s="48"/>
      <c r="U1082" s="48"/>
      <c r="V1082" s="49"/>
      <c r="W1082" s="50"/>
      <c r="X1082" s="51"/>
    </row>
    <row r="1083" spans="1:26" ht="61.5" customHeight="1">
      <c r="A1083" s="158"/>
      <c r="B1083" s="164"/>
      <c r="C1083" s="59" t="s">
        <v>18</v>
      </c>
      <c r="D1083" s="60" t="s">
        <v>35</v>
      </c>
      <c r="E1083" s="61">
        <v>11.196999999999999</v>
      </c>
      <c r="F1083" s="61">
        <v>19.463999999999999</v>
      </c>
      <c r="G1083" s="61">
        <v>17.173999999999999</v>
      </c>
      <c r="H1083" s="61">
        <v>19.974</v>
      </c>
      <c r="I1083" s="61">
        <v>14.992000000000001</v>
      </c>
      <c r="J1083" s="61">
        <v>19.228999999999999</v>
      </c>
      <c r="K1083" s="61">
        <v>17.521000000000001</v>
      </c>
      <c r="L1083" s="61">
        <v>25.135999999999999</v>
      </c>
      <c r="M1083" s="61">
        <v>20.503</v>
      </c>
      <c r="N1083" s="61">
        <v>17.853999999999999</v>
      </c>
      <c r="O1083" s="61">
        <v>15.718</v>
      </c>
      <c r="P1083" s="61">
        <v>27.538</v>
      </c>
      <c r="Q1083" s="60"/>
      <c r="R1083" s="47"/>
      <c r="S1083" s="47"/>
      <c r="T1083" s="48"/>
      <c r="U1083" s="48"/>
      <c r="V1083" s="49"/>
      <c r="W1083" s="50"/>
      <c r="X1083" s="51"/>
    </row>
    <row r="1084" spans="1:26" ht="61.5" customHeight="1">
      <c r="A1084" s="158"/>
      <c r="B1084" s="164"/>
      <c r="C1084" s="80" t="s">
        <v>18</v>
      </c>
      <c r="D1084" s="81" t="s">
        <v>36</v>
      </c>
      <c r="E1084" s="82">
        <v>8.5579999999999998</v>
      </c>
      <c r="F1084" s="82">
        <v>9.2490000000000006</v>
      </c>
      <c r="G1084" s="82">
        <v>6.0250000000000004</v>
      </c>
      <c r="H1084" s="82">
        <v>26.286999999999999</v>
      </c>
      <c r="I1084" s="82">
        <v>11.87</v>
      </c>
      <c r="J1084" s="82">
        <v>7.1260000000000003</v>
      </c>
      <c r="K1084" s="82">
        <v>24.46</v>
      </c>
      <c r="L1084" s="82">
        <v>16.548999999999999</v>
      </c>
      <c r="M1084" s="82">
        <v>18.542999999999999</v>
      </c>
      <c r="N1084" s="82">
        <v>18.047999999999998</v>
      </c>
      <c r="O1084" s="82">
        <v>17.280999999999999</v>
      </c>
      <c r="P1084" s="82">
        <v>16.263999999999999</v>
      </c>
      <c r="Q1084" s="81"/>
      <c r="R1084" s="47"/>
      <c r="S1084" s="47"/>
      <c r="T1084" s="48"/>
      <c r="U1084" s="48"/>
      <c r="V1084" s="49"/>
      <c r="W1084" s="50"/>
      <c r="X1084" s="51"/>
    </row>
    <row r="1085" spans="1:26" ht="61.5" customHeight="1">
      <c r="A1085" s="158"/>
      <c r="B1085" s="164"/>
      <c r="C1085" s="59" t="s">
        <v>18</v>
      </c>
      <c r="D1085" s="60" t="s">
        <v>37</v>
      </c>
      <c r="E1085" s="85">
        <v>7.58</v>
      </c>
      <c r="F1085" s="85">
        <v>18.071000000000002</v>
      </c>
      <c r="G1085" s="85">
        <v>31.068000000000001</v>
      </c>
      <c r="H1085" s="85">
        <v>33.412999999999997</v>
      </c>
      <c r="I1085" s="85">
        <v>20.286000000000001</v>
      </c>
      <c r="J1085" s="85">
        <v>13.452</v>
      </c>
      <c r="K1085" s="85">
        <v>13.368</v>
      </c>
      <c r="L1085" s="85">
        <v>13.401</v>
      </c>
      <c r="M1085" s="85">
        <v>21.370999999999999</v>
      </c>
      <c r="N1085" s="85">
        <v>20.303999999999998</v>
      </c>
      <c r="O1085" s="85">
        <v>24.803000000000001</v>
      </c>
      <c r="P1085" s="85">
        <v>13.613</v>
      </c>
      <c r="Q1085" s="46"/>
      <c r="R1085" s="47"/>
      <c r="S1085" s="47"/>
      <c r="T1085" s="48"/>
      <c r="U1085" s="48"/>
      <c r="V1085" s="49"/>
      <c r="W1085" s="50"/>
      <c r="X1085" s="51"/>
    </row>
    <row r="1086" spans="1:26" ht="61.5" customHeight="1">
      <c r="A1086" s="158"/>
      <c r="B1086" s="164"/>
      <c r="C1086" s="59" t="s">
        <v>18</v>
      </c>
      <c r="D1086" s="60" t="s">
        <v>38</v>
      </c>
      <c r="E1086" s="85">
        <v>9.7569999999999997</v>
      </c>
      <c r="F1086" s="85">
        <v>16.504000000000001</v>
      </c>
      <c r="G1086" s="85">
        <v>15.276</v>
      </c>
      <c r="H1086" s="85">
        <v>16.337</v>
      </c>
      <c r="I1086" s="85">
        <v>17.905000000000001</v>
      </c>
      <c r="J1086" s="85">
        <v>13.805999999999999</v>
      </c>
      <c r="K1086" s="85">
        <v>26.568999999999999</v>
      </c>
      <c r="L1086" s="85">
        <v>14.781000000000001</v>
      </c>
      <c r="M1086" s="85">
        <v>15.103999999999999</v>
      </c>
      <c r="N1086" s="85">
        <v>9.0570000000000004</v>
      </c>
      <c r="O1086" s="85">
        <v>14.529</v>
      </c>
      <c r="P1086" s="85">
        <v>13.696999999999999</v>
      </c>
      <c r="Q1086" s="46"/>
      <c r="R1086" s="47"/>
      <c r="S1086" s="47"/>
      <c r="T1086" s="48"/>
      <c r="U1086" s="48"/>
      <c r="V1086" s="49"/>
      <c r="W1086" s="50"/>
      <c r="X1086" s="51"/>
    </row>
    <row r="1087" spans="1:26" ht="61.5" customHeight="1">
      <c r="A1087" s="158"/>
      <c r="B1087" s="164"/>
      <c r="C1087" s="59" t="s">
        <v>18</v>
      </c>
      <c r="D1087" s="60" t="s">
        <v>39</v>
      </c>
      <c r="E1087" s="85">
        <v>5.05</v>
      </c>
      <c r="F1087" s="85">
        <v>9.3620000000000001</v>
      </c>
      <c r="G1087" s="85">
        <v>8.5380000000000003</v>
      </c>
      <c r="H1087" s="85">
        <v>4.63</v>
      </c>
      <c r="I1087" s="85">
        <v>26.547000000000001</v>
      </c>
      <c r="J1087" s="85">
        <v>16.427</v>
      </c>
      <c r="K1087" s="85">
        <v>26.617999999999999</v>
      </c>
      <c r="L1087" s="85">
        <v>19.965</v>
      </c>
      <c r="M1087" s="85">
        <v>12.558999999999999</v>
      </c>
      <c r="N1087" s="85">
        <v>14.016999999999999</v>
      </c>
      <c r="O1087" s="85">
        <v>12.183999999999999</v>
      </c>
      <c r="P1087" s="85">
        <v>15.266</v>
      </c>
      <c r="Q1087" s="46"/>
      <c r="R1087" s="47"/>
      <c r="S1087" s="47"/>
      <c r="T1087" s="48"/>
      <c r="U1087" s="48"/>
      <c r="V1087" s="49"/>
      <c r="W1087" s="50"/>
      <c r="X1087" s="51"/>
    </row>
    <row r="1088" spans="1:26" ht="61.5" customHeight="1">
      <c r="A1088" s="158"/>
      <c r="B1088" s="164"/>
      <c r="C1088" s="59" t="s">
        <v>18</v>
      </c>
      <c r="D1088" s="60" t="s">
        <v>40</v>
      </c>
      <c r="E1088" s="85">
        <v>2.4910000000000001</v>
      </c>
      <c r="F1088" s="85">
        <v>3.6760000000000002</v>
      </c>
      <c r="G1088" s="85">
        <v>8.6210000000000004</v>
      </c>
      <c r="H1088" s="85">
        <v>11.53</v>
      </c>
      <c r="I1088" s="85">
        <v>8.2550000000000008</v>
      </c>
      <c r="J1088" s="85">
        <v>10.442</v>
      </c>
      <c r="K1088" s="85">
        <v>10.515000000000001</v>
      </c>
      <c r="L1088" s="85">
        <v>11.669</v>
      </c>
      <c r="M1088" s="85">
        <v>17.952000000000002</v>
      </c>
      <c r="N1088" s="85">
        <v>13.871</v>
      </c>
      <c r="O1088" s="85">
        <v>20.992000000000001</v>
      </c>
      <c r="P1088" s="85">
        <v>29.027000000000001</v>
      </c>
      <c r="Q1088" s="46"/>
      <c r="R1088" s="47"/>
      <c r="S1088" s="47"/>
      <c r="T1088" s="48"/>
      <c r="U1088" s="48"/>
      <c r="V1088" s="49"/>
      <c r="W1088" s="50"/>
      <c r="X1088" s="51"/>
    </row>
    <row r="1089" spans="1:28" ht="61.5" customHeight="1">
      <c r="A1089" s="158"/>
      <c r="B1089" s="164"/>
      <c r="C1089" s="59" t="s">
        <v>18</v>
      </c>
      <c r="D1089" s="60" t="s">
        <v>41</v>
      </c>
      <c r="E1089" s="85">
        <v>4.5540000000000003</v>
      </c>
      <c r="F1089" s="85">
        <v>7.1680000000000001</v>
      </c>
      <c r="G1089" s="85">
        <v>4.258</v>
      </c>
      <c r="H1089" s="85">
        <v>7.8369999999999997</v>
      </c>
      <c r="I1089" s="85">
        <v>6.1420000000000003</v>
      </c>
      <c r="J1089" s="85">
        <v>5.4480000000000004</v>
      </c>
      <c r="K1089" s="85">
        <v>5.9020000000000001</v>
      </c>
      <c r="L1089" s="85">
        <v>11.032999999999999</v>
      </c>
      <c r="M1089" s="85">
        <v>6.5510000000000002</v>
      </c>
      <c r="N1089" s="85">
        <v>7.6820000000000004</v>
      </c>
      <c r="O1089" s="85">
        <v>14.659000000000001</v>
      </c>
      <c r="P1089" s="85">
        <v>3.5449999999999999</v>
      </c>
      <c r="Q1089" s="46"/>
      <c r="R1089" s="47"/>
      <c r="S1089" s="47"/>
      <c r="T1089" s="48"/>
      <c r="U1089" s="48"/>
      <c r="V1089" s="49"/>
      <c r="W1089" s="50"/>
      <c r="X1089" s="51"/>
    </row>
    <row r="1090" spans="1:28" ht="61.5" customHeight="1">
      <c r="A1090" s="158"/>
      <c r="B1090" s="164"/>
      <c r="C1090" s="59" t="s">
        <v>18</v>
      </c>
      <c r="D1090" s="60" t="s">
        <v>42</v>
      </c>
      <c r="E1090" s="85">
        <v>4.2939999999999996</v>
      </c>
      <c r="F1090" s="85">
        <v>12.813000000000001</v>
      </c>
      <c r="G1090" s="85">
        <v>2.9590000000000001</v>
      </c>
      <c r="H1090" s="85">
        <v>11.35</v>
      </c>
      <c r="I1090" s="85">
        <v>7.468</v>
      </c>
      <c r="J1090" s="85">
        <v>4.4589999999999996</v>
      </c>
      <c r="K1090" s="85">
        <v>6.0039999999999996</v>
      </c>
      <c r="L1090" s="85">
        <v>4.069</v>
      </c>
      <c r="M1090" s="85">
        <v>3.0550000000000002</v>
      </c>
      <c r="N1090" s="85">
        <v>5.7640000000000002</v>
      </c>
      <c r="O1090" s="146">
        <v>10.843</v>
      </c>
      <c r="P1090" s="85">
        <v>4.7939999999999996</v>
      </c>
      <c r="Q1090" s="46"/>
      <c r="R1090" s="47"/>
      <c r="S1090" s="47"/>
      <c r="T1090" s="48"/>
      <c r="U1090" s="48"/>
      <c r="V1090" s="49"/>
      <c r="W1090" s="50"/>
      <c r="X1090" s="51"/>
    </row>
    <row r="1091" spans="1:28" ht="61.5" customHeight="1">
      <c r="A1091" s="158"/>
      <c r="B1091" s="164"/>
      <c r="C1091" s="59" t="s">
        <v>18</v>
      </c>
      <c r="D1091" s="60" t="s">
        <v>43</v>
      </c>
      <c r="E1091" s="85">
        <v>3.6720000000000002</v>
      </c>
      <c r="F1091" s="85">
        <v>4.5279999999999996</v>
      </c>
      <c r="G1091" s="85">
        <v>2.5150000000000001</v>
      </c>
      <c r="H1091" s="85">
        <v>8.9700000000000006</v>
      </c>
      <c r="I1091" s="85">
        <v>3.8969999999999998</v>
      </c>
      <c r="J1091" s="85">
        <v>7.6479999999999997</v>
      </c>
      <c r="K1091" s="85">
        <v>9.06</v>
      </c>
      <c r="L1091" s="85">
        <v>6.3579999999999997</v>
      </c>
      <c r="M1091" s="85">
        <v>7.1870000000000003</v>
      </c>
      <c r="N1091" s="85">
        <v>3.5510000000000002</v>
      </c>
      <c r="O1091" s="85">
        <v>2.7970000000000002</v>
      </c>
      <c r="P1091" s="85">
        <v>2.3199999999999998</v>
      </c>
      <c r="Q1091" s="46"/>
      <c r="R1091" s="47"/>
      <c r="S1091" s="47"/>
      <c r="T1091" s="48"/>
      <c r="U1091" s="48"/>
      <c r="V1091" s="49"/>
      <c r="W1091" s="50"/>
      <c r="X1091" s="51"/>
    </row>
    <row r="1092" spans="1:28" ht="61.5" customHeight="1">
      <c r="A1092" s="158"/>
      <c r="B1092" s="165"/>
      <c r="C1092" s="59" t="s">
        <v>18</v>
      </c>
      <c r="D1092" s="60" t="s">
        <v>44</v>
      </c>
      <c r="E1092" s="85">
        <v>12.004</v>
      </c>
      <c r="F1092" s="85">
        <v>13.26</v>
      </c>
      <c r="G1092" s="85">
        <v>11.927</v>
      </c>
      <c r="H1092" s="85">
        <v>12.079000000000001</v>
      </c>
      <c r="I1092" s="85">
        <v>8.3190000000000008</v>
      </c>
      <c r="J1092" s="85">
        <v>4.3310000000000004</v>
      </c>
      <c r="K1092" s="85">
        <v>11.43</v>
      </c>
      <c r="L1092" s="85">
        <v>12.334</v>
      </c>
      <c r="M1092" s="85">
        <v>11.768000000000001</v>
      </c>
      <c r="N1092" s="85">
        <v>9.2919999999999998</v>
      </c>
      <c r="O1092" s="85">
        <v>11.132999999999999</v>
      </c>
      <c r="P1092" s="85">
        <v>11.387</v>
      </c>
      <c r="Q1092" s="46"/>
      <c r="R1092" s="47"/>
      <c r="S1092" s="47"/>
      <c r="T1092" s="48"/>
      <c r="U1092" s="48"/>
      <c r="V1092" s="49"/>
      <c r="W1092" s="50"/>
      <c r="X1092" s="51"/>
    </row>
    <row r="1093" spans="1:28" ht="61.5" customHeight="1">
      <c r="A1093" s="158"/>
      <c r="B1093" s="98"/>
      <c r="C1093" s="100"/>
      <c r="D1093" s="101"/>
      <c r="E1093" s="90"/>
      <c r="F1093" s="90"/>
      <c r="G1093" s="90"/>
      <c r="H1093" s="90"/>
      <c r="I1093" s="90"/>
      <c r="J1093" s="90"/>
      <c r="K1093" s="90"/>
      <c r="L1093" s="90"/>
      <c r="M1093" s="90"/>
      <c r="N1093" s="90"/>
      <c r="O1093" s="90"/>
      <c r="P1093" s="90"/>
      <c r="Q1093" s="46"/>
      <c r="R1093" s="47"/>
      <c r="S1093" s="47"/>
      <c r="T1093" s="48"/>
      <c r="U1093" s="48"/>
      <c r="V1093" s="49"/>
      <c r="W1093" s="50"/>
      <c r="X1093" s="51"/>
    </row>
    <row r="1094" spans="1:28" s="109" customFormat="1" ht="46.5" customHeight="1">
      <c r="A1094" s="158"/>
      <c r="B1094" s="163" t="s">
        <v>51</v>
      </c>
      <c r="C1094" s="42"/>
      <c r="D1094" s="43"/>
      <c r="E1094" s="44"/>
      <c r="F1094" s="44"/>
      <c r="G1094" s="44"/>
      <c r="H1094" s="45"/>
      <c r="I1094" s="44"/>
      <c r="J1094" s="44"/>
      <c r="K1094" s="44"/>
      <c r="L1094" s="44"/>
      <c r="M1094" s="44"/>
      <c r="N1094" s="44"/>
      <c r="O1094" s="44"/>
      <c r="P1094" s="44"/>
      <c r="Q1094" s="43"/>
      <c r="R1094" s="91"/>
      <c r="S1094" s="47"/>
      <c r="T1094" s="48"/>
      <c r="U1094" s="48"/>
      <c r="V1094" s="49"/>
      <c r="W1094" s="50"/>
      <c r="X1094" s="51"/>
      <c r="Y1094" s="108"/>
      <c r="Z1094" s="108"/>
    </row>
    <row r="1095" spans="1:28" s="52" customFormat="1" ht="46.5" customHeight="1">
      <c r="A1095" s="158"/>
      <c r="B1095" s="164"/>
      <c r="C1095" s="55"/>
      <c r="D1095" s="46"/>
      <c r="E1095" s="56"/>
      <c r="F1095" s="56"/>
      <c r="G1095" s="56"/>
      <c r="H1095" s="56"/>
      <c r="I1095" s="56"/>
      <c r="J1095" s="56"/>
      <c r="K1095" s="56"/>
      <c r="L1095" s="56"/>
      <c r="M1095" s="56"/>
      <c r="N1095" s="56"/>
      <c r="O1095" s="56"/>
      <c r="P1095" s="56"/>
      <c r="Q1095" s="114"/>
      <c r="R1095" s="47"/>
      <c r="S1095" s="64"/>
      <c r="T1095" s="48"/>
      <c r="U1095" s="48"/>
      <c r="V1095" s="49"/>
      <c r="W1095" s="50"/>
      <c r="X1095" s="51"/>
      <c r="Y1095" s="2"/>
      <c r="Z1095" s="2"/>
      <c r="AB1095" s="2"/>
    </row>
    <row r="1096" spans="1:28" s="52" customFormat="1" ht="46.5" customHeight="1">
      <c r="A1096" s="158"/>
      <c r="B1096" s="164"/>
      <c r="C1096" s="59" t="s">
        <v>18</v>
      </c>
      <c r="D1096" s="60" t="s">
        <v>19</v>
      </c>
      <c r="E1096" s="61">
        <v>2.2570000000000001</v>
      </c>
      <c r="F1096" s="61">
        <v>3.2867899999999994</v>
      </c>
      <c r="G1096" s="61">
        <v>2.5002300000000002</v>
      </c>
      <c r="H1096" s="61">
        <v>2.1392600000000002</v>
      </c>
      <c r="I1096" s="61">
        <v>2.99959</v>
      </c>
      <c r="J1096" s="61">
        <v>2.9525999999999999</v>
      </c>
      <c r="K1096" s="61">
        <v>2.5643600000000002</v>
      </c>
      <c r="L1096" s="61">
        <v>2.4820000000000002</v>
      </c>
      <c r="M1096" s="61">
        <v>2.4832800000000002</v>
      </c>
      <c r="N1096" s="61">
        <v>2.4159999999999999</v>
      </c>
      <c r="O1096" s="61">
        <v>2.5299050000000003</v>
      </c>
      <c r="P1096" s="61">
        <v>5.3650000000000002</v>
      </c>
      <c r="Q1096" s="114"/>
      <c r="R1096" s="47"/>
      <c r="S1096" s="64"/>
      <c r="T1096" s="48"/>
      <c r="U1096" s="48"/>
      <c r="V1096" s="49"/>
      <c r="W1096" s="50"/>
      <c r="X1096" s="51"/>
      <c r="Y1096" s="2"/>
      <c r="Z1096" s="2"/>
      <c r="AB1096" s="2"/>
    </row>
    <row r="1097" spans="1:28" s="52" customFormat="1" ht="46.5" customHeight="1">
      <c r="A1097" s="158"/>
      <c r="B1097" s="164"/>
      <c r="C1097" s="59" t="s">
        <v>18</v>
      </c>
      <c r="D1097" s="60" t="s">
        <v>20</v>
      </c>
      <c r="E1097" s="61">
        <v>2.294</v>
      </c>
      <c r="F1097" s="61">
        <v>2.0405899999999999</v>
      </c>
      <c r="G1097" s="61">
        <v>2.1179999999999999</v>
      </c>
      <c r="H1097" s="61">
        <v>2.9</v>
      </c>
      <c r="I1097" s="61">
        <v>1.75953</v>
      </c>
      <c r="J1097" s="61">
        <v>1.46749</v>
      </c>
      <c r="K1097" s="61">
        <v>1.7237</v>
      </c>
      <c r="L1097" s="61">
        <v>1.4304300000000001</v>
      </c>
      <c r="M1097" s="61">
        <v>2.2996400000000001</v>
      </c>
      <c r="N1097" s="61">
        <v>2.4156399999999998</v>
      </c>
      <c r="O1097" s="61">
        <v>2.29996</v>
      </c>
      <c r="P1097" s="61">
        <v>2.2839999999999998</v>
      </c>
      <c r="Q1097" s="114"/>
      <c r="R1097" s="47"/>
      <c r="S1097" s="64"/>
      <c r="T1097" s="48"/>
      <c r="U1097" s="48"/>
      <c r="V1097" s="49"/>
      <c r="W1097" s="50"/>
      <c r="X1097" s="51"/>
      <c r="Y1097" s="2"/>
      <c r="Z1097" s="2"/>
      <c r="AB1097" s="2"/>
    </row>
    <row r="1098" spans="1:28" ht="46.5" customHeight="1">
      <c r="A1098" s="158"/>
      <c r="B1098" s="164"/>
      <c r="C1098" s="59" t="s">
        <v>18</v>
      </c>
      <c r="D1098" s="60" t="s">
        <v>21</v>
      </c>
      <c r="E1098" s="61">
        <v>1.1967000000000001</v>
      </c>
      <c r="F1098" s="61">
        <v>0.49199999999999999</v>
      </c>
      <c r="G1098" s="61">
        <v>0.51400000000000001</v>
      </c>
      <c r="H1098" s="61">
        <v>0.20699999999999999</v>
      </c>
      <c r="I1098" s="61">
        <v>0.14199999999999999</v>
      </c>
      <c r="J1098" s="61">
        <v>2.262</v>
      </c>
      <c r="K1098" s="61">
        <v>1.1459999999999999</v>
      </c>
      <c r="L1098" s="61">
        <v>0.65200000000000002</v>
      </c>
      <c r="M1098" s="61">
        <v>1.2769999999999999</v>
      </c>
      <c r="N1098" s="61">
        <v>0.90100000000000002</v>
      </c>
      <c r="O1098" s="61">
        <v>1.31769</v>
      </c>
      <c r="P1098" s="61">
        <v>2.62</v>
      </c>
      <c r="Q1098" s="115"/>
      <c r="R1098" s="64"/>
      <c r="S1098" s="64"/>
      <c r="T1098" s="65"/>
      <c r="U1098" s="65"/>
      <c r="V1098" s="49"/>
      <c r="W1098" s="49"/>
      <c r="X1098" s="66"/>
      <c r="AB1098" s="6"/>
    </row>
    <row r="1099" spans="1:28" s="52" customFormat="1" ht="46.5" customHeight="1">
      <c r="A1099" s="158"/>
      <c r="B1099" s="164"/>
      <c r="C1099" s="59" t="s">
        <v>18</v>
      </c>
      <c r="D1099" s="60" t="s">
        <v>22</v>
      </c>
      <c r="E1099" s="61">
        <v>2.8740000000000001</v>
      </c>
      <c r="F1099" s="61">
        <v>3.6190000000000002</v>
      </c>
      <c r="G1099" s="61">
        <v>2.2360000000000002</v>
      </c>
      <c r="H1099" s="61">
        <v>2.2770000000000001</v>
      </c>
      <c r="I1099" s="61">
        <v>2.6269999999999998</v>
      </c>
      <c r="J1099" s="61">
        <v>2.5590000000000002</v>
      </c>
      <c r="K1099" s="61">
        <v>2.4790000000000001</v>
      </c>
      <c r="L1099" s="61">
        <v>1.02397</v>
      </c>
      <c r="M1099" s="61">
        <v>3.1451200000000004</v>
      </c>
      <c r="N1099" s="61">
        <v>2.2639999999999998</v>
      </c>
      <c r="O1099" s="61">
        <v>2.0179999999999998</v>
      </c>
      <c r="P1099" s="61">
        <v>2.3039999999999998</v>
      </c>
      <c r="Q1099" s="114"/>
      <c r="R1099" s="47"/>
      <c r="S1099" s="64"/>
      <c r="T1099" s="48"/>
      <c r="U1099" s="48"/>
      <c r="V1099" s="49"/>
      <c r="W1099" s="50"/>
      <c r="X1099" s="51"/>
      <c r="Y1099" s="2"/>
      <c r="Z1099" s="2"/>
      <c r="AB1099" s="2"/>
    </row>
    <row r="1100" spans="1:28" s="52" customFormat="1" ht="46.5" customHeight="1">
      <c r="A1100" s="158"/>
      <c r="B1100" s="164"/>
      <c r="C1100" s="59" t="s">
        <v>18</v>
      </c>
      <c r="D1100" s="60" t="str">
        <f>+D1071</f>
        <v>2021-22</v>
      </c>
      <c r="E1100" s="61">
        <v>4.8680000000000003</v>
      </c>
      <c r="F1100" s="61">
        <v>2.601</v>
      </c>
      <c r="G1100" s="61">
        <v>2.9870000000000001</v>
      </c>
      <c r="H1100" s="61">
        <v>4.1379999999999999</v>
      </c>
      <c r="I1100" s="61">
        <v>5.2450000000000001</v>
      </c>
      <c r="J1100" s="61">
        <v>3.7440000000000002</v>
      </c>
      <c r="K1100" s="61">
        <v>5.6619999999999999</v>
      </c>
      <c r="L1100" s="61">
        <v>5.6420000000000003</v>
      </c>
      <c r="M1100" s="61">
        <v>3.347</v>
      </c>
      <c r="N1100" s="61">
        <v>3.9119999999999999</v>
      </c>
      <c r="O1100" s="61">
        <v>3.1283700000000003</v>
      </c>
      <c r="P1100" s="61">
        <v>4.1239999999999997</v>
      </c>
      <c r="Q1100" s="114"/>
      <c r="R1100" s="47"/>
      <c r="S1100" s="64"/>
      <c r="T1100" s="48"/>
      <c r="U1100" s="48"/>
      <c r="V1100" s="49"/>
      <c r="W1100" s="50"/>
      <c r="X1100" s="51"/>
      <c r="Y1100" s="2"/>
      <c r="Z1100" s="2"/>
      <c r="AB1100" s="2"/>
    </row>
    <row r="1101" spans="1:28" ht="46.5" customHeight="1">
      <c r="A1101" s="158"/>
      <c r="B1101" s="164"/>
      <c r="C1101" s="59" t="s">
        <v>18</v>
      </c>
      <c r="D1101" s="60" t="str">
        <f>+D1072</f>
        <v>2020-21</v>
      </c>
      <c r="E1101" s="61">
        <v>0.59599999999999997</v>
      </c>
      <c r="F1101" s="61">
        <v>0.624</v>
      </c>
      <c r="G1101" s="61">
        <v>0.58199999999999996</v>
      </c>
      <c r="H1101" s="61">
        <v>0.23899999999999999</v>
      </c>
      <c r="I1101" s="61">
        <v>0.56799999999999995</v>
      </c>
      <c r="J1101" s="61">
        <v>1.0775399999999999</v>
      </c>
      <c r="K1101" s="61">
        <v>0.39800000000000002</v>
      </c>
      <c r="L1101" s="61">
        <v>0.86899999999999999</v>
      </c>
      <c r="M1101" s="61">
        <v>2.4609999999999999</v>
      </c>
      <c r="N1101" s="61">
        <v>2.7850000000000001</v>
      </c>
      <c r="O1101" s="61">
        <v>2.9969999999999999</v>
      </c>
      <c r="P1101" s="61">
        <v>3.5569999999999999</v>
      </c>
      <c r="Q1101" s="115"/>
      <c r="R1101" s="64"/>
      <c r="S1101" s="64"/>
      <c r="T1101" s="65"/>
      <c r="U1101" s="65"/>
      <c r="V1101" s="49"/>
      <c r="W1101" s="49"/>
      <c r="X1101" s="66"/>
      <c r="Y1101" s="49"/>
      <c r="Z1101" s="49"/>
      <c r="AB1101" s="49"/>
    </row>
    <row r="1102" spans="1:28" ht="46.5" customHeight="1">
      <c r="A1102" s="158"/>
      <c r="B1102" s="164"/>
      <c r="C1102" s="59" t="s">
        <v>18</v>
      </c>
      <c r="D1102" s="60" t="s">
        <v>25</v>
      </c>
      <c r="E1102" s="61">
        <v>0.91200000000000003</v>
      </c>
      <c r="F1102" s="61">
        <v>0.30099999999999999</v>
      </c>
      <c r="G1102" s="61">
        <v>0.496</v>
      </c>
      <c r="H1102" s="61">
        <v>0.39800000000000002</v>
      </c>
      <c r="I1102" s="61">
        <v>0.375</v>
      </c>
      <c r="J1102" s="61">
        <v>0.56599999999999995</v>
      </c>
      <c r="K1102" s="61">
        <v>0.70499999999999996</v>
      </c>
      <c r="L1102" s="61">
        <v>0.98299999999999998</v>
      </c>
      <c r="M1102" s="61">
        <v>0.67100000000000004</v>
      </c>
      <c r="N1102" s="61">
        <v>0.48099999999999998</v>
      </c>
      <c r="O1102" s="61">
        <v>0.30499999999999999</v>
      </c>
      <c r="P1102" s="61">
        <v>0.98099999999999998</v>
      </c>
      <c r="Q1102" s="115"/>
      <c r="R1102" s="64"/>
      <c r="S1102" s="64"/>
      <c r="T1102" s="65"/>
      <c r="U1102" s="65"/>
      <c r="V1102" s="49"/>
      <c r="W1102" s="49"/>
      <c r="X1102" s="66"/>
    </row>
    <row r="1103" spans="1:28" s="25" customFormat="1" ht="46.5" customHeight="1">
      <c r="A1103" s="158"/>
      <c r="B1103" s="164"/>
      <c r="C1103" s="102" t="s">
        <v>18</v>
      </c>
      <c r="D1103" s="103" t="s">
        <v>26</v>
      </c>
      <c r="E1103" s="61">
        <v>0.78200000000000003</v>
      </c>
      <c r="F1103" s="61">
        <v>1.248</v>
      </c>
      <c r="G1103" s="61">
        <v>1.1990000000000001</v>
      </c>
      <c r="H1103" s="61">
        <v>0.83299999999999996</v>
      </c>
      <c r="I1103" s="61">
        <v>0.58899999999999997</v>
      </c>
      <c r="J1103" s="61">
        <v>0.37</v>
      </c>
      <c r="K1103" s="61">
        <v>0.51200000000000001</v>
      </c>
      <c r="L1103" s="61">
        <v>1.119</v>
      </c>
      <c r="M1103" s="61">
        <v>1.7549999999999999</v>
      </c>
      <c r="N1103" s="61">
        <v>0.36699999999999999</v>
      </c>
      <c r="O1103" s="61">
        <v>0.54500000000000004</v>
      </c>
      <c r="P1103" s="61">
        <v>0.54700000000000004</v>
      </c>
      <c r="Q1103" s="116"/>
      <c r="R1103" s="117"/>
      <c r="S1103" s="64"/>
      <c r="T1103" s="65"/>
      <c r="U1103" s="65"/>
      <c r="V1103" s="49"/>
      <c r="W1103" s="49"/>
      <c r="X1103" s="66"/>
      <c r="Y1103" s="27"/>
      <c r="Z1103" s="27"/>
    </row>
    <row r="1104" spans="1:28" ht="46.5" customHeight="1">
      <c r="A1104" s="158"/>
      <c r="B1104" s="164"/>
      <c r="C1104" s="59" t="s">
        <v>18</v>
      </c>
      <c r="D1104" s="60" t="s">
        <v>27</v>
      </c>
      <c r="E1104" s="61">
        <v>1.169</v>
      </c>
      <c r="F1104" s="61">
        <v>1.4330000000000001</v>
      </c>
      <c r="G1104" s="61">
        <v>1.494</v>
      </c>
      <c r="H1104" s="61">
        <v>1.782</v>
      </c>
      <c r="I1104" s="61">
        <v>1.3480000000000001</v>
      </c>
      <c r="J1104" s="61">
        <v>1.109</v>
      </c>
      <c r="K1104" s="61">
        <v>1.0389999999999999</v>
      </c>
      <c r="L1104" s="61">
        <v>1.7909999999999999</v>
      </c>
      <c r="M1104" s="61">
        <v>1.7729999999999999</v>
      </c>
      <c r="N1104" s="61">
        <v>1.5549999999999999</v>
      </c>
      <c r="O1104" s="61">
        <v>1.28</v>
      </c>
      <c r="P1104" s="61">
        <v>1.387</v>
      </c>
      <c r="Q1104" s="60"/>
      <c r="R1104" s="64"/>
      <c r="S1104" s="64"/>
      <c r="T1104" s="65"/>
      <c r="U1104" s="65"/>
      <c r="V1104" s="49"/>
      <c r="W1104" s="49"/>
      <c r="X1104" s="66"/>
    </row>
    <row r="1105" spans="1:24" ht="46.5" customHeight="1">
      <c r="A1105" s="158"/>
      <c r="B1105" s="164"/>
      <c r="C1105" s="59" t="s">
        <v>18</v>
      </c>
      <c r="D1105" s="60" t="s">
        <v>28</v>
      </c>
      <c r="E1105" s="61">
        <v>0.77400000000000002</v>
      </c>
      <c r="F1105" s="61">
        <v>1.264</v>
      </c>
      <c r="G1105" s="61">
        <v>2.927</v>
      </c>
      <c r="H1105" s="61">
        <v>2.4980000000000002</v>
      </c>
      <c r="I1105" s="61">
        <v>1.7310000000000001</v>
      </c>
      <c r="J1105" s="61">
        <v>1.712</v>
      </c>
      <c r="K1105" s="61">
        <v>1.752</v>
      </c>
      <c r="L1105" s="61">
        <v>2.2130000000000001</v>
      </c>
      <c r="M1105" s="61">
        <v>2.577</v>
      </c>
      <c r="N1105" s="61">
        <v>5.6319999999999997</v>
      </c>
      <c r="O1105" s="61">
        <v>1.2689999999999999</v>
      </c>
      <c r="P1105" s="61">
        <v>1.8380000000000001</v>
      </c>
      <c r="Q1105" s="60"/>
      <c r="R1105" s="64"/>
      <c r="S1105" s="64"/>
      <c r="T1105" s="65"/>
      <c r="U1105" s="65"/>
      <c r="V1105" s="49"/>
      <c r="W1105" s="49"/>
      <c r="X1105" s="66"/>
    </row>
    <row r="1106" spans="1:24" ht="46.5" customHeight="1">
      <c r="A1106" s="158"/>
      <c r="B1106" s="164"/>
      <c r="C1106" s="59" t="s">
        <v>18</v>
      </c>
      <c r="D1106" s="60" t="s">
        <v>29</v>
      </c>
      <c r="E1106" s="76">
        <v>2.6360000000000001</v>
      </c>
      <c r="F1106" s="76">
        <v>2.6059999999999999</v>
      </c>
      <c r="G1106" s="76">
        <v>2.7549999999999999</v>
      </c>
      <c r="H1106" s="76">
        <v>6.532</v>
      </c>
      <c r="I1106" s="76">
        <v>3.593</v>
      </c>
      <c r="J1106" s="76">
        <v>3.6880000000000002</v>
      </c>
      <c r="K1106" s="76">
        <v>1.8</v>
      </c>
      <c r="L1106" s="76">
        <v>2.2090000000000001</v>
      </c>
      <c r="M1106" s="76">
        <v>2.3519999999999999</v>
      </c>
      <c r="N1106" s="76">
        <v>3.3919999999999999</v>
      </c>
      <c r="O1106" s="76">
        <v>2.085</v>
      </c>
      <c r="P1106" s="76">
        <v>1.877</v>
      </c>
      <c r="Q1106" s="60"/>
      <c r="R1106" s="64"/>
      <c r="S1106" s="64"/>
      <c r="T1106" s="65"/>
      <c r="U1106" s="65"/>
      <c r="V1106" s="49"/>
      <c r="W1106" s="49"/>
      <c r="X1106" s="66"/>
    </row>
    <row r="1107" spans="1:24" ht="61.5" customHeight="1">
      <c r="A1107" s="158"/>
      <c r="B1107" s="164"/>
      <c r="C1107" s="59" t="s">
        <v>18</v>
      </c>
      <c r="D1107" s="60" t="s">
        <v>30</v>
      </c>
      <c r="E1107" s="61">
        <v>2.3170000000000002</v>
      </c>
      <c r="F1107" s="61">
        <v>2.7810000000000001</v>
      </c>
      <c r="G1107" s="61">
        <v>3.218</v>
      </c>
      <c r="H1107" s="61">
        <v>4.2249999999999996</v>
      </c>
      <c r="I1107" s="61">
        <v>3.6320000000000001</v>
      </c>
      <c r="J1107" s="61">
        <v>3.0579999999999998</v>
      </c>
      <c r="K1107" s="61">
        <v>2.883</v>
      </c>
      <c r="L1107" s="61">
        <v>1.7649999999999999</v>
      </c>
      <c r="M1107" s="61">
        <v>0.79300000000000004</v>
      </c>
      <c r="N1107" s="61">
        <v>1.524</v>
      </c>
      <c r="O1107" s="61">
        <v>5.2279999999999998</v>
      </c>
      <c r="P1107" s="61">
        <v>3.74</v>
      </c>
      <c r="Q1107" s="60"/>
      <c r="R1107" s="64"/>
      <c r="S1107" s="64"/>
      <c r="T1107" s="65"/>
      <c r="U1107" s="65"/>
      <c r="V1107" s="49"/>
      <c r="W1107" s="49"/>
      <c r="X1107" s="66"/>
    </row>
    <row r="1108" spans="1:24" ht="61.5" customHeight="1">
      <c r="A1108" s="158"/>
      <c r="B1108" s="164"/>
      <c r="C1108" s="59" t="s">
        <v>18</v>
      </c>
      <c r="D1108" s="78" t="s">
        <v>31</v>
      </c>
      <c r="E1108" s="61">
        <v>2.9319999999999999</v>
      </c>
      <c r="F1108" s="61">
        <v>2.411</v>
      </c>
      <c r="G1108" s="61">
        <v>3.17</v>
      </c>
      <c r="H1108" s="61">
        <v>2.129</v>
      </c>
      <c r="I1108" s="61">
        <v>1.4379999999999999</v>
      </c>
      <c r="J1108" s="61">
        <v>1.016</v>
      </c>
      <c r="K1108" s="61">
        <v>0.70499999999999996</v>
      </c>
      <c r="L1108" s="61">
        <v>1.538</v>
      </c>
      <c r="M1108" s="61">
        <v>0.89800000000000002</v>
      </c>
      <c r="N1108" s="61">
        <v>0.41099999999999998</v>
      </c>
      <c r="O1108" s="61">
        <v>1.468</v>
      </c>
      <c r="P1108" s="61">
        <v>3.516</v>
      </c>
      <c r="Q1108" s="60"/>
      <c r="R1108" s="64"/>
      <c r="S1108" s="64"/>
      <c r="T1108" s="65"/>
      <c r="U1108" s="65"/>
      <c r="V1108" s="49"/>
      <c r="W1108" s="49"/>
      <c r="X1108" s="66"/>
    </row>
    <row r="1109" spans="1:24" ht="61.5" customHeight="1">
      <c r="A1109" s="158"/>
      <c r="B1109" s="164"/>
      <c r="C1109" s="59" t="s">
        <v>18</v>
      </c>
      <c r="D1109" s="60" t="s">
        <v>32</v>
      </c>
      <c r="E1109" s="61">
        <v>8.0570000000000004</v>
      </c>
      <c r="F1109" s="61">
        <v>5.4089999999999998</v>
      </c>
      <c r="G1109" s="61">
        <v>6.6029999999999998</v>
      </c>
      <c r="H1109" s="61">
        <v>5.0529999999999999</v>
      </c>
      <c r="I1109" s="61">
        <v>4.1870000000000003</v>
      </c>
      <c r="J1109" s="61">
        <v>4.8940000000000001</v>
      </c>
      <c r="K1109" s="61">
        <v>5.7750000000000004</v>
      </c>
      <c r="L1109" s="61">
        <v>3.306</v>
      </c>
      <c r="M1109" s="61">
        <v>2.6539999999999999</v>
      </c>
      <c r="N1109" s="61">
        <v>3.2869999999999999</v>
      </c>
      <c r="O1109" s="61">
        <v>2.7839999999999998</v>
      </c>
      <c r="P1109" s="61">
        <v>4.383</v>
      </c>
      <c r="Q1109" s="60"/>
      <c r="R1109" s="64"/>
      <c r="S1109" s="64"/>
      <c r="T1109" s="65"/>
      <c r="U1109" s="65"/>
      <c r="V1109" s="49"/>
      <c r="W1109" s="49"/>
      <c r="X1109" s="66"/>
    </row>
    <row r="1110" spans="1:24" ht="61.5" customHeight="1">
      <c r="A1110" s="158"/>
      <c r="B1110" s="164"/>
      <c r="C1110" s="59" t="s">
        <v>18</v>
      </c>
      <c r="D1110" s="60" t="s">
        <v>33</v>
      </c>
      <c r="E1110" s="61">
        <v>5.28</v>
      </c>
      <c r="F1110" s="61">
        <v>6.1589999999999998</v>
      </c>
      <c r="G1110" s="61">
        <v>6.032</v>
      </c>
      <c r="H1110" s="61">
        <v>7.3630000000000004</v>
      </c>
      <c r="I1110" s="61">
        <v>5.3339999999999996</v>
      </c>
      <c r="J1110" s="61">
        <v>6.0140000000000002</v>
      </c>
      <c r="K1110" s="61">
        <v>2.8170000000000002</v>
      </c>
      <c r="L1110" s="61">
        <v>5.5410000000000004</v>
      </c>
      <c r="M1110" s="61">
        <v>3.399</v>
      </c>
      <c r="N1110" s="61">
        <v>3.9470000000000001</v>
      </c>
      <c r="O1110" s="61">
        <v>3.4889999999999999</v>
      </c>
      <c r="P1110" s="61">
        <v>6.7839999999999998</v>
      </c>
      <c r="Q1110" s="60"/>
      <c r="R1110" s="47"/>
      <c r="S1110" s="47"/>
      <c r="T1110" s="48"/>
      <c r="U1110" s="48"/>
      <c r="V1110" s="49"/>
      <c r="W1110" s="50"/>
      <c r="X1110" s="51"/>
    </row>
    <row r="1111" spans="1:24" ht="61.5" customHeight="1">
      <c r="A1111" s="158"/>
      <c r="B1111" s="164"/>
      <c r="C1111" s="59" t="s">
        <v>18</v>
      </c>
      <c r="D1111" s="60" t="s">
        <v>34</v>
      </c>
      <c r="E1111" s="61">
        <v>6.0140000000000002</v>
      </c>
      <c r="F1111" s="61">
        <v>7.8120000000000003</v>
      </c>
      <c r="G1111" s="61">
        <v>7.3490000000000002</v>
      </c>
      <c r="H1111" s="61">
        <v>8.31</v>
      </c>
      <c r="I1111" s="61">
        <v>8.7420000000000009</v>
      </c>
      <c r="J1111" s="61">
        <v>6.3360000000000003</v>
      </c>
      <c r="K1111" s="61">
        <v>7.0119999999999996</v>
      </c>
      <c r="L1111" s="61">
        <v>6.8289999999999997</v>
      </c>
      <c r="M1111" s="61">
        <v>6.8810000000000002</v>
      </c>
      <c r="N1111" s="61">
        <v>8.016</v>
      </c>
      <c r="O1111" s="61">
        <v>6.1660000000000004</v>
      </c>
      <c r="P1111" s="61">
        <v>5.2720000000000002</v>
      </c>
      <c r="Q1111" s="60"/>
      <c r="R1111" s="47"/>
      <c r="S1111" s="47"/>
      <c r="T1111" s="48"/>
      <c r="U1111" s="48"/>
      <c r="V1111" s="49"/>
      <c r="W1111" s="50"/>
      <c r="X1111" s="51"/>
    </row>
    <row r="1112" spans="1:24" ht="61.5" customHeight="1">
      <c r="A1112" s="158"/>
      <c r="B1112" s="164"/>
      <c r="C1112" s="59" t="s">
        <v>18</v>
      </c>
      <c r="D1112" s="60" t="s">
        <v>35</v>
      </c>
      <c r="E1112" s="61">
        <v>5.4610000000000003</v>
      </c>
      <c r="F1112" s="61">
        <v>7.7510000000000003</v>
      </c>
      <c r="G1112" s="61">
        <v>7.01</v>
      </c>
      <c r="H1112" s="61">
        <v>8.0259999999999998</v>
      </c>
      <c r="I1112" s="61">
        <v>8.6549999999999994</v>
      </c>
      <c r="J1112" s="61">
        <v>7.0129999999999999</v>
      </c>
      <c r="K1112" s="61">
        <v>7.1260000000000003</v>
      </c>
      <c r="L1112" s="61">
        <v>9.0079999999999991</v>
      </c>
      <c r="M1112" s="61">
        <v>11.01</v>
      </c>
      <c r="N1112" s="61">
        <v>9.02</v>
      </c>
      <c r="O1112" s="61">
        <v>8.0050000000000008</v>
      </c>
      <c r="P1112" s="61">
        <v>9.5619999999999994</v>
      </c>
      <c r="Q1112" s="60"/>
      <c r="R1112" s="47"/>
      <c r="S1112" s="47"/>
      <c r="T1112" s="48"/>
      <c r="U1112" s="48"/>
      <c r="V1112" s="49"/>
      <c r="W1112" s="50"/>
      <c r="X1112" s="51"/>
    </row>
    <row r="1113" spans="1:24" ht="61.5" customHeight="1">
      <c r="A1113" s="158"/>
      <c r="B1113" s="164"/>
      <c r="C1113" s="59" t="s">
        <v>18</v>
      </c>
      <c r="D1113" s="60" t="s">
        <v>36</v>
      </c>
      <c r="E1113" s="61">
        <v>9.5220000000000002</v>
      </c>
      <c r="F1113" s="61">
        <v>10.231999999999999</v>
      </c>
      <c r="G1113" s="61">
        <v>11.08</v>
      </c>
      <c r="H1113" s="61">
        <v>13.161</v>
      </c>
      <c r="I1113" s="61">
        <v>13.154999999999999</v>
      </c>
      <c r="J1113" s="61">
        <v>7.61</v>
      </c>
      <c r="K1113" s="61">
        <v>4.12</v>
      </c>
      <c r="L1113" s="61">
        <v>3.9969999999999999</v>
      </c>
      <c r="M1113" s="61">
        <v>3.0870000000000002</v>
      </c>
      <c r="N1113" s="61">
        <v>2.2650000000000001</v>
      </c>
      <c r="O1113" s="61">
        <v>2.5099999999999998</v>
      </c>
      <c r="P1113" s="61">
        <v>7.5469999999999997</v>
      </c>
      <c r="Q1113" s="81"/>
      <c r="R1113" s="47"/>
      <c r="S1113" s="47"/>
      <c r="T1113" s="48"/>
      <c r="U1113" s="48"/>
      <c r="V1113" s="49"/>
      <c r="W1113" s="50"/>
      <c r="X1113" s="51"/>
    </row>
    <row r="1114" spans="1:24" ht="61.5" customHeight="1">
      <c r="A1114" s="158"/>
      <c r="B1114" s="164"/>
      <c r="C1114" s="59" t="s">
        <v>18</v>
      </c>
      <c r="D1114" s="60" t="s">
        <v>37</v>
      </c>
      <c r="E1114" s="85">
        <v>8.0109999999999992</v>
      </c>
      <c r="F1114" s="85">
        <v>10.01</v>
      </c>
      <c r="G1114" s="85">
        <v>10.56</v>
      </c>
      <c r="H1114" s="85">
        <v>10.757</v>
      </c>
      <c r="I1114" s="85">
        <v>10.015000000000001</v>
      </c>
      <c r="J1114" s="85">
        <v>10.557</v>
      </c>
      <c r="K1114" s="85">
        <v>10.012</v>
      </c>
      <c r="L1114" s="85">
        <v>11.522</v>
      </c>
      <c r="M1114" s="85">
        <v>10.103999999999999</v>
      </c>
      <c r="N1114" s="85">
        <v>11.478</v>
      </c>
      <c r="O1114" s="85">
        <v>11.026999999999999</v>
      </c>
      <c r="P1114" s="85">
        <v>18.023</v>
      </c>
      <c r="Q1114" s="46"/>
      <c r="R1114" s="47"/>
      <c r="S1114" s="47"/>
      <c r="T1114" s="48"/>
      <c r="U1114" s="48"/>
      <c r="V1114" s="49"/>
      <c r="W1114" s="50"/>
      <c r="X1114" s="51"/>
    </row>
    <row r="1115" spans="1:24" ht="61.5" customHeight="1">
      <c r="A1115" s="158"/>
      <c r="B1115" s="164"/>
      <c r="C1115" s="59" t="s">
        <v>18</v>
      </c>
      <c r="D1115" s="60" t="s">
        <v>38</v>
      </c>
      <c r="E1115" s="85">
        <v>7.1130000000000004</v>
      </c>
      <c r="F1115" s="85">
        <v>9.0489999999999995</v>
      </c>
      <c r="G1115" s="85">
        <v>12.250999999999999</v>
      </c>
      <c r="H1115" s="85">
        <v>10.522</v>
      </c>
      <c r="I1115" s="85">
        <v>12.013</v>
      </c>
      <c r="J1115" s="85">
        <v>10.521000000000001</v>
      </c>
      <c r="K1115" s="85">
        <v>12.311</v>
      </c>
      <c r="L1115" s="85">
        <v>11.510999999999999</v>
      </c>
      <c r="M1115" s="85">
        <v>11.012</v>
      </c>
      <c r="N1115" s="85">
        <v>10.007999999999999</v>
      </c>
      <c r="O1115" s="85">
        <v>10.313000000000001</v>
      </c>
      <c r="P1115" s="85">
        <v>14.116</v>
      </c>
      <c r="Q1115" s="46"/>
      <c r="R1115" s="47"/>
      <c r="S1115" s="47"/>
      <c r="T1115" s="48"/>
      <c r="U1115" s="48"/>
      <c r="V1115" s="49"/>
      <c r="W1115" s="50"/>
      <c r="X1115" s="51"/>
    </row>
    <row r="1116" spans="1:24" ht="61.5" customHeight="1">
      <c r="A1116" s="158"/>
      <c r="B1116" s="164"/>
      <c r="C1116" s="59" t="s">
        <v>18</v>
      </c>
      <c r="D1116" s="60" t="s">
        <v>39</v>
      </c>
      <c r="E1116" s="85">
        <v>10.021000000000001</v>
      </c>
      <c r="F1116" s="85">
        <v>10.050000000000001</v>
      </c>
      <c r="G1116" s="85">
        <v>11.254</v>
      </c>
      <c r="H1116" s="85">
        <v>12.222</v>
      </c>
      <c r="I1116" s="85">
        <v>11.26</v>
      </c>
      <c r="J1116" s="85">
        <v>11.622999999999999</v>
      </c>
      <c r="K1116" s="85">
        <v>10.558</v>
      </c>
      <c r="L1116" s="85">
        <v>10.61</v>
      </c>
      <c r="M1116" s="85">
        <v>10.420999999999999</v>
      </c>
      <c r="N1116" s="85">
        <v>11.313000000000001</v>
      </c>
      <c r="O1116" s="85">
        <v>10.01</v>
      </c>
      <c r="P1116" s="85">
        <v>11.189</v>
      </c>
      <c r="Q1116" s="46"/>
      <c r="R1116" s="47"/>
      <c r="S1116" s="47"/>
      <c r="T1116" s="48"/>
      <c r="U1116" s="48"/>
      <c r="V1116" s="49"/>
      <c r="W1116" s="50"/>
      <c r="X1116" s="51"/>
    </row>
    <row r="1117" spans="1:24" ht="61.5" customHeight="1">
      <c r="A1117" s="158"/>
      <c r="B1117" s="164"/>
      <c r="C1117" s="59" t="s">
        <v>18</v>
      </c>
      <c r="D1117" s="60" t="s">
        <v>40</v>
      </c>
      <c r="E1117" s="85">
        <v>7.2220000000000004</v>
      </c>
      <c r="F1117" s="85">
        <v>8.8140000000000001</v>
      </c>
      <c r="G1117" s="85">
        <v>8.8219999999999992</v>
      </c>
      <c r="H1117" s="85">
        <v>9.0120000000000005</v>
      </c>
      <c r="I1117" s="85">
        <v>8.9600000000000009</v>
      </c>
      <c r="J1117" s="85">
        <v>6.5090000000000003</v>
      </c>
      <c r="K1117" s="85">
        <v>3.661</v>
      </c>
      <c r="L1117" s="85">
        <v>9.0500000000000007</v>
      </c>
      <c r="M1117" s="85">
        <v>10.108000000000001</v>
      </c>
      <c r="N1117" s="85">
        <v>10.250999999999999</v>
      </c>
      <c r="O1117" s="85">
        <v>8.8279999999999994</v>
      </c>
      <c r="P1117" s="85">
        <v>10.619</v>
      </c>
      <c r="Q1117" s="46"/>
      <c r="R1117" s="47"/>
      <c r="S1117" s="47"/>
      <c r="T1117" s="48"/>
      <c r="U1117" s="48"/>
      <c r="V1117" s="49"/>
      <c r="W1117" s="50"/>
      <c r="X1117" s="51"/>
    </row>
    <row r="1118" spans="1:24" ht="61.5" customHeight="1">
      <c r="A1118" s="158"/>
      <c r="B1118" s="164"/>
      <c r="C1118" s="59" t="s">
        <v>18</v>
      </c>
      <c r="D1118" s="60" t="s">
        <v>41</v>
      </c>
      <c r="E1118" s="85">
        <v>7.1529999999999996</v>
      </c>
      <c r="F1118" s="85">
        <v>7.31</v>
      </c>
      <c r="G1118" s="85">
        <v>8.0120000000000005</v>
      </c>
      <c r="H1118" s="85">
        <v>8.7609999999999992</v>
      </c>
      <c r="I1118" s="85">
        <v>8.51</v>
      </c>
      <c r="J1118" s="85">
        <v>8.157</v>
      </c>
      <c r="K1118" s="85">
        <v>8.3149999999999995</v>
      </c>
      <c r="L1118" s="85">
        <v>9.0129999999999999</v>
      </c>
      <c r="M1118" s="85">
        <v>9.11</v>
      </c>
      <c r="N1118" s="85">
        <v>9.2230000000000008</v>
      </c>
      <c r="O1118" s="85">
        <v>8.8089999999999993</v>
      </c>
      <c r="P1118" s="85">
        <v>7.82</v>
      </c>
      <c r="Q1118" s="46"/>
      <c r="R1118" s="47"/>
      <c r="S1118" s="47"/>
      <c r="T1118" s="48"/>
      <c r="U1118" s="48"/>
      <c r="V1118" s="49"/>
      <c r="W1118" s="50"/>
      <c r="X1118" s="51"/>
    </row>
    <row r="1119" spans="1:24" ht="61.5" customHeight="1">
      <c r="A1119" s="158"/>
      <c r="B1119" s="164"/>
      <c r="C1119" s="59" t="s">
        <v>18</v>
      </c>
      <c r="D1119" s="60" t="s">
        <v>42</v>
      </c>
      <c r="E1119" s="85">
        <v>7.1079999999999997</v>
      </c>
      <c r="F1119" s="85">
        <v>6.5149999999999997</v>
      </c>
      <c r="G1119" s="85">
        <v>7.03</v>
      </c>
      <c r="H1119" s="85">
        <v>6.83</v>
      </c>
      <c r="I1119" s="85">
        <v>7.02</v>
      </c>
      <c r="J1119" s="85">
        <v>6.577</v>
      </c>
      <c r="K1119" s="85">
        <v>6.01</v>
      </c>
      <c r="L1119" s="85">
        <v>5.2519999999999998</v>
      </c>
      <c r="M1119" s="85">
        <v>7.1120000000000001</v>
      </c>
      <c r="N1119" s="85">
        <v>8.0519999999999996</v>
      </c>
      <c r="O1119" s="85">
        <v>7.6120000000000001</v>
      </c>
      <c r="P1119" s="85">
        <v>8.6180000000000003</v>
      </c>
      <c r="Q1119" s="46"/>
      <c r="R1119" s="47"/>
      <c r="S1119" s="47"/>
      <c r="T1119" s="48"/>
      <c r="U1119" s="48"/>
      <c r="V1119" s="49"/>
      <c r="W1119" s="50"/>
      <c r="X1119" s="51"/>
    </row>
    <row r="1120" spans="1:24" ht="61.5" customHeight="1">
      <c r="A1120" s="158"/>
      <c r="B1120" s="164"/>
      <c r="C1120" s="59" t="s">
        <v>18</v>
      </c>
      <c r="D1120" s="60" t="s">
        <v>43</v>
      </c>
      <c r="E1120" s="85">
        <v>7.0049999999999999</v>
      </c>
      <c r="F1120" s="85">
        <v>6.01</v>
      </c>
      <c r="G1120" s="85">
        <v>6.51</v>
      </c>
      <c r="H1120" s="85">
        <v>6.51</v>
      </c>
      <c r="I1120" s="85">
        <v>7.0149999999999997</v>
      </c>
      <c r="J1120" s="85">
        <v>7.71</v>
      </c>
      <c r="K1120" s="85">
        <v>7.72</v>
      </c>
      <c r="L1120" s="85">
        <v>7.15</v>
      </c>
      <c r="M1120" s="85">
        <v>8.0500000000000007</v>
      </c>
      <c r="N1120" s="85">
        <v>7.52</v>
      </c>
      <c r="O1120" s="85">
        <v>7.2110000000000003</v>
      </c>
      <c r="P1120" s="85">
        <v>8.3000000000000007</v>
      </c>
      <c r="Q1120" s="46"/>
      <c r="R1120" s="47"/>
      <c r="S1120" s="47"/>
      <c r="T1120" s="48"/>
      <c r="U1120" s="48"/>
      <c r="V1120" s="49"/>
      <c r="W1120" s="50"/>
      <c r="X1120" s="51"/>
    </row>
    <row r="1121" spans="1:37" ht="61.5" customHeight="1">
      <c r="A1121" s="158"/>
      <c r="B1121" s="165"/>
      <c r="C1121" s="80" t="s">
        <v>18</v>
      </c>
      <c r="D1121" s="81" t="s">
        <v>44</v>
      </c>
      <c r="E1121" s="106">
        <v>6.1020000000000003</v>
      </c>
      <c r="F1121" s="106">
        <v>6.0019999999999998</v>
      </c>
      <c r="G1121" s="106">
        <v>6.01</v>
      </c>
      <c r="H1121" s="106">
        <v>7.01</v>
      </c>
      <c r="I1121" s="106">
        <v>7.3159999999999998</v>
      </c>
      <c r="J1121" s="106">
        <v>7.3310000000000004</v>
      </c>
      <c r="K1121" s="106">
        <v>7.0049999999999999</v>
      </c>
      <c r="L1121" s="106">
        <v>7.5049999999999999</v>
      </c>
      <c r="M1121" s="106">
        <v>7.5270000000000001</v>
      </c>
      <c r="N1121" s="106">
        <v>7.61</v>
      </c>
      <c r="O1121" s="106">
        <v>7.59</v>
      </c>
      <c r="P1121" s="106">
        <v>8.01</v>
      </c>
      <c r="Q1121" s="46"/>
      <c r="R1121" s="107"/>
      <c r="S1121" s="47"/>
      <c r="T1121" s="48"/>
      <c r="U1121" s="48"/>
      <c r="V1121" s="49"/>
      <c r="W1121" s="50"/>
      <c r="X1121" s="51"/>
    </row>
    <row r="1122" spans="1:37" ht="61.5" customHeight="1">
      <c r="A1122" s="158"/>
      <c r="B1122" s="84"/>
      <c r="C1122" s="59"/>
      <c r="D1122" s="60"/>
      <c r="E1122" s="85"/>
      <c r="F1122" s="85"/>
      <c r="G1122" s="85"/>
      <c r="H1122" s="85"/>
      <c r="I1122" s="85"/>
      <c r="J1122" s="85"/>
      <c r="K1122" s="85"/>
      <c r="L1122" s="85"/>
      <c r="M1122" s="85"/>
      <c r="N1122" s="85"/>
      <c r="O1122" s="85"/>
      <c r="P1122" s="85"/>
      <c r="Q1122" s="46"/>
      <c r="R1122" s="47"/>
      <c r="S1122" s="47"/>
      <c r="T1122" s="48"/>
      <c r="U1122" s="48"/>
      <c r="V1122" s="49"/>
      <c r="W1122" s="50"/>
      <c r="X1122" s="51"/>
    </row>
    <row r="1123" spans="1:37" ht="61.5" customHeight="1">
      <c r="A1123" s="158"/>
      <c r="B1123" s="84"/>
      <c r="C1123" s="59"/>
      <c r="D1123" s="60"/>
      <c r="E1123" s="85"/>
      <c r="F1123" s="85"/>
      <c r="G1123" s="85"/>
      <c r="H1123" s="85"/>
      <c r="I1123" s="85"/>
      <c r="J1123" s="85"/>
      <c r="K1123" s="85"/>
      <c r="L1123" s="85"/>
      <c r="M1123" s="85"/>
      <c r="N1123" s="85"/>
      <c r="O1123" s="85"/>
      <c r="P1123" s="85"/>
      <c r="Q1123" s="46"/>
      <c r="R1123" s="47"/>
      <c r="S1123" s="47"/>
      <c r="T1123" s="48"/>
      <c r="U1123" s="48"/>
      <c r="V1123" s="49"/>
      <c r="W1123" s="50"/>
      <c r="X1123" s="51"/>
    </row>
    <row r="1124" spans="1:37" ht="61.5" customHeight="1">
      <c r="A1124" s="158"/>
      <c r="B1124" s="98"/>
      <c r="C1124" s="100"/>
      <c r="D1124" s="101"/>
      <c r="E1124" s="90"/>
      <c r="F1124" s="90"/>
      <c r="G1124" s="90"/>
      <c r="H1124" s="90"/>
      <c r="I1124" s="90"/>
      <c r="J1124" s="90"/>
      <c r="K1124" s="90"/>
      <c r="L1124" s="90"/>
      <c r="M1124" s="90"/>
      <c r="N1124" s="90"/>
      <c r="O1124" s="90"/>
      <c r="P1124" s="90"/>
      <c r="Q1124" s="46"/>
      <c r="R1124" s="47"/>
      <c r="S1124" s="47"/>
      <c r="T1124" s="48"/>
      <c r="U1124" s="48"/>
      <c r="V1124" s="49"/>
      <c r="W1124" s="50"/>
      <c r="X1124" s="51"/>
    </row>
    <row r="1125" spans="1:37" s="109" customFormat="1" ht="46.5" customHeight="1">
      <c r="A1125" s="158"/>
      <c r="B1125" s="160"/>
      <c r="C1125" s="42"/>
      <c r="D1125" s="43"/>
      <c r="E1125" s="44"/>
      <c r="F1125" s="44"/>
      <c r="G1125" s="44"/>
      <c r="H1125" s="44"/>
      <c r="I1125" s="44"/>
      <c r="J1125" s="44"/>
      <c r="K1125" s="44"/>
      <c r="L1125" s="44"/>
      <c r="M1125" s="44"/>
      <c r="N1125" s="44"/>
      <c r="O1125" s="44"/>
      <c r="P1125" s="44"/>
      <c r="Q1125" s="43"/>
      <c r="R1125" s="91"/>
      <c r="S1125" s="47"/>
      <c r="T1125" s="48"/>
      <c r="U1125" s="48"/>
      <c r="V1125" s="49"/>
      <c r="W1125" s="50"/>
      <c r="X1125" s="51"/>
      <c r="Y1125" s="108"/>
      <c r="Z1125" s="108"/>
    </row>
    <row r="1126" spans="1:37" s="52" customFormat="1" ht="46.5" customHeight="1">
      <c r="A1126" s="158"/>
      <c r="B1126" s="161"/>
      <c r="C1126" s="55"/>
      <c r="D1126" s="46"/>
      <c r="E1126" s="56"/>
      <c r="F1126" s="56"/>
      <c r="G1126" s="56"/>
      <c r="H1126" s="56"/>
      <c r="I1126" s="56"/>
      <c r="J1126" s="56"/>
      <c r="K1126" s="56"/>
      <c r="L1126" s="56"/>
      <c r="M1126" s="56"/>
      <c r="N1126" s="56"/>
      <c r="O1126" s="56"/>
      <c r="P1126" s="56"/>
      <c r="Q1126" s="46"/>
      <c r="R1126" s="47"/>
      <c r="S1126" s="64"/>
      <c r="T1126" s="48"/>
      <c r="U1126" s="48"/>
      <c r="V1126" s="49"/>
      <c r="W1126" s="50"/>
      <c r="X1126" s="51"/>
      <c r="Y1126" s="2"/>
      <c r="Z1126" s="2"/>
      <c r="AB1126" s="2"/>
      <c r="AC1126" s="51"/>
      <c r="AD1126" s="129"/>
      <c r="AE1126" s="129"/>
      <c r="AI1126" s="142"/>
      <c r="AK1126" s="142"/>
    </row>
    <row r="1127" spans="1:37" s="52" customFormat="1" ht="46.5" customHeight="1">
      <c r="A1127" s="158"/>
      <c r="B1127" s="161"/>
      <c r="C1127" s="59"/>
      <c r="D1127" s="60"/>
      <c r="E1127" s="61"/>
      <c r="F1127" s="61"/>
      <c r="G1127" s="61"/>
      <c r="H1127" s="61"/>
      <c r="I1127" s="61"/>
      <c r="J1127" s="61"/>
      <c r="K1127" s="61"/>
      <c r="L1127" s="61"/>
      <c r="M1127" s="61"/>
      <c r="N1127" s="61"/>
      <c r="O1127" s="61"/>
      <c r="P1127" s="61"/>
      <c r="Q1127" s="46"/>
      <c r="R1127" s="47"/>
      <c r="S1127" s="64"/>
      <c r="T1127" s="48"/>
      <c r="U1127" s="48"/>
      <c r="V1127" s="49"/>
      <c r="W1127" s="50"/>
      <c r="X1127" s="51"/>
      <c r="Y1127" s="2"/>
      <c r="Z1127" s="2"/>
      <c r="AB1127" s="2"/>
      <c r="AC1127" s="51"/>
      <c r="AD1127" s="129"/>
      <c r="AE1127" s="129"/>
      <c r="AI1127" s="142"/>
      <c r="AK1127" s="142"/>
    </row>
    <row r="1128" spans="1:37" s="52" customFormat="1" ht="46.5" customHeight="1">
      <c r="A1128" s="158"/>
      <c r="B1128" s="161"/>
      <c r="C1128" s="59"/>
      <c r="D1128" s="60"/>
      <c r="E1128" s="61"/>
      <c r="F1128" s="61"/>
      <c r="G1128" s="61"/>
      <c r="H1128" s="61"/>
      <c r="I1128" s="61"/>
      <c r="J1128" s="61"/>
      <c r="K1128" s="61"/>
      <c r="L1128" s="61"/>
      <c r="M1128" s="61"/>
      <c r="N1128" s="61"/>
      <c r="O1128" s="61"/>
      <c r="P1128" s="61"/>
      <c r="Q1128" s="46"/>
      <c r="R1128" s="47"/>
      <c r="S1128" s="64"/>
      <c r="T1128" s="48"/>
      <c r="U1128" s="48"/>
      <c r="V1128" s="49"/>
      <c r="W1128" s="50"/>
      <c r="X1128" s="51"/>
      <c r="Y1128" s="2"/>
      <c r="Z1128" s="2"/>
      <c r="AB1128" s="2"/>
      <c r="AC1128" s="51"/>
      <c r="AD1128" s="129"/>
      <c r="AE1128" s="129"/>
      <c r="AI1128" s="142"/>
      <c r="AK1128" s="142"/>
    </row>
    <row r="1129" spans="1:37" ht="46.5" customHeight="1">
      <c r="A1129" s="158"/>
      <c r="B1129" s="161"/>
      <c r="C1129" s="59"/>
      <c r="D1129" s="60"/>
      <c r="E1129" s="61"/>
      <c r="F1129" s="61"/>
      <c r="G1129" s="61"/>
      <c r="H1129" s="61"/>
      <c r="I1129" s="61"/>
      <c r="J1129" s="61"/>
      <c r="K1129" s="61"/>
      <c r="L1129" s="61"/>
      <c r="M1129" s="61"/>
      <c r="N1129" s="61"/>
      <c r="O1129" s="61"/>
      <c r="P1129" s="61"/>
      <c r="Q1129" s="60"/>
      <c r="R1129" s="64"/>
      <c r="S1129" s="64"/>
      <c r="T1129" s="65"/>
      <c r="U1129" s="65"/>
      <c r="V1129" s="49"/>
      <c r="W1129" s="49"/>
      <c r="X1129" s="66"/>
      <c r="AB1129" s="6"/>
      <c r="AC1129" s="66"/>
      <c r="AD1129" s="130"/>
      <c r="AE1129" s="130"/>
      <c r="AI1129" s="142"/>
      <c r="AK1129" s="142"/>
    </row>
    <row r="1130" spans="1:37" s="52" customFormat="1" ht="46.5" customHeight="1">
      <c r="A1130" s="158"/>
      <c r="B1130" s="161"/>
      <c r="C1130" s="59"/>
      <c r="D1130" s="60"/>
      <c r="E1130" s="61"/>
      <c r="F1130" s="61"/>
      <c r="G1130" s="61"/>
      <c r="H1130" s="61"/>
      <c r="I1130" s="61"/>
      <c r="J1130" s="61"/>
      <c r="K1130" s="61"/>
      <c r="L1130" s="61"/>
      <c r="M1130" s="61"/>
      <c r="N1130" s="61"/>
      <c r="O1130" s="61"/>
      <c r="P1130" s="61"/>
      <c r="Q1130" s="46"/>
      <c r="R1130" s="47"/>
      <c r="S1130" s="64"/>
      <c r="T1130" s="48"/>
      <c r="U1130" s="48"/>
      <c r="V1130" s="49"/>
      <c r="W1130" s="50"/>
      <c r="X1130" s="51"/>
      <c r="Y1130" s="2"/>
      <c r="Z1130" s="2"/>
      <c r="AB1130" s="2"/>
      <c r="AC1130" s="51"/>
      <c r="AD1130" s="129"/>
      <c r="AE1130" s="129"/>
      <c r="AI1130" s="142"/>
      <c r="AK1130" s="142"/>
    </row>
    <row r="1131" spans="1:37" s="52" customFormat="1" ht="46.5" customHeight="1">
      <c r="A1131" s="158"/>
      <c r="B1131" s="161"/>
      <c r="C1131" s="59"/>
      <c r="D1131" s="60"/>
      <c r="E1131" s="61"/>
      <c r="F1131" s="61"/>
      <c r="G1131" s="61"/>
      <c r="H1131" s="61"/>
      <c r="I1131" s="61"/>
      <c r="J1131" s="61"/>
      <c r="K1131" s="61"/>
      <c r="L1131" s="61"/>
      <c r="M1131" s="61"/>
      <c r="N1131" s="61"/>
      <c r="O1131" s="61"/>
      <c r="P1131" s="61"/>
      <c r="Q1131" s="46"/>
      <c r="R1131" s="47"/>
      <c r="S1131" s="64"/>
      <c r="T1131" s="48"/>
      <c r="U1131" s="48"/>
      <c r="V1131" s="49"/>
      <c r="W1131" s="50"/>
      <c r="X1131" s="51"/>
      <c r="Y1131" s="2"/>
      <c r="Z1131" s="2"/>
      <c r="AB1131" s="2"/>
      <c r="AC1131" s="51"/>
      <c r="AD1131" s="129"/>
      <c r="AE1131" s="12"/>
      <c r="AI1131" s="142"/>
      <c r="AK1131" s="142"/>
    </row>
    <row r="1132" spans="1:37" ht="46.5" customHeight="1">
      <c r="A1132" s="158"/>
      <c r="B1132" s="161"/>
      <c r="C1132" s="59"/>
      <c r="D1132" s="60"/>
      <c r="E1132" s="61"/>
      <c r="F1132" s="61"/>
      <c r="G1132" s="61"/>
      <c r="H1132" s="61"/>
      <c r="I1132" s="61"/>
      <c r="J1132" s="61"/>
      <c r="K1132" s="61"/>
      <c r="L1132" s="61"/>
      <c r="M1132" s="61"/>
      <c r="N1132" s="61"/>
      <c r="O1132" s="61"/>
      <c r="P1132" s="61"/>
      <c r="Q1132" s="60"/>
      <c r="R1132" s="64"/>
      <c r="S1132" s="64"/>
      <c r="T1132" s="65"/>
      <c r="U1132" s="65"/>
      <c r="V1132" s="49"/>
      <c r="W1132" s="49"/>
      <c r="X1132" s="66"/>
      <c r="Y1132" s="49"/>
      <c r="Z1132" s="49"/>
      <c r="AB1132" s="49"/>
      <c r="AC1132" s="66"/>
      <c r="AD1132" s="129"/>
      <c r="AE1132" s="11"/>
      <c r="AI1132" s="142"/>
      <c r="AK1132" s="142"/>
    </row>
    <row r="1133" spans="1:37" ht="46.5" customHeight="1">
      <c r="A1133" s="158"/>
      <c r="B1133" s="161"/>
      <c r="C1133" s="59"/>
      <c r="D1133" s="60"/>
      <c r="E1133" s="61"/>
      <c r="F1133" s="61"/>
      <c r="G1133" s="61"/>
      <c r="H1133" s="61"/>
      <c r="I1133" s="61"/>
      <c r="J1133" s="61"/>
      <c r="K1133" s="61"/>
      <c r="L1133" s="61"/>
      <c r="M1133" s="61"/>
      <c r="N1133" s="61"/>
      <c r="O1133" s="61"/>
      <c r="P1133" s="61"/>
      <c r="Q1133" s="60"/>
      <c r="R1133" s="64"/>
      <c r="S1133" s="64"/>
      <c r="T1133" s="65"/>
      <c r="U1133" s="65"/>
      <c r="V1133" s="49"/>
      <c r="W1133" s="49"/>
      <c r="X1133" s="66"/>
      <c r="Y1133" s="137"/>
      <c r="AB1133" s="66"/>
      <c r="AC1133" s="66"/>
      <c r="AD1133" s="129"/>
      <c r="AE1133" s="11"/>
      <c r="AI1133" s="142"/>
      <c r="AK1133" s="142"/>
    </row>
    <row r="1134" spans="1:37" s="25" customFormat="1" ht="46.5" customHeight="1">
      <c r="A1134" s="158"/>
      <c r="B1134" s="161"/>
      <c r="C1134" s="102"/>
      <c r="D1134" s="103"/>
      <c r="E1134" s="61"/>
      <c r="F1134" s="61"/>
      <c r="G1134" s="61"/>
      <c r="H1134" s="61"/>
      <c r="I1134" s="61"/>
      <c r="J1134" s="61"/>
      <c r="K1134" s="61"/>
      <c r="L1134" s="61"/>
      <c r="M1134" s="61"/>
      <c r="N1134" s="61"/>
      <c r="O1134" s="61"/>
      <c r="P1134" s="61"/>
      <c r="Q1134" s="133"/>
      <c r="R1134" s="117"/>
      <c r="S1134" s="64"/>
      <c r="T1134" s="65"/>
      <c r="U1134" s="65"/>
      <c r="V1134" s="49"/>
      <c r="W1134" s="49"/>
      <c r="X1134" s="66"/>
      <c r="Y1134" s="137"/>
      <c r="Z1134" s="27"/>
      <c r="AB1134" s="111"/>
      <c r="AC1134" s="111"/>
      <c r="AD1134" s="129"/>
      <c r="AE1134" s="22"/>
      <c r="AI1134" s="142"/>
      <c r="AK1134" s="142"/>
    </row>
    <row r="1135" spans="1:37" ht="46.5" customHeight="1">
      <c r="A1135" s="158"/>
      <c r="B1135" s="161"/>
      <c r="C1135" s="59"/>
      <c r="D1135" s="60"/>
      <c r="E1135" s="61"/>
      <c r="F1135" s="61"/>
      <c r="G1135" s="61"/>
      <c r="H1135" s="61"/>
      <c r="I1135" s="61"/>
      <c r="J1135" s="61"/>
      <c r="K1135" s="61"/>
      <c r="L1135" s="61"/>
      <c r="M1135" s="61"/>
      <c r="N1135" s="61"/>
      <c r="O1135" s="61"/>
      <c r="P1135" s="61"/>
      <c r="Q1135" s="60"/>
      <c r="R1135" s="64"/>
      <c r="S1135" s="64"/>
      <c r="T1135" s="65"/>
      <c r="U1135" s="65"/>
      <c r="V1135" s="49"/>
      <c r="W1135" s="49"/>
      <c r="X1135" s="66"/>
      <c r="Y1135" s="137"/>
      <c r="AB1135" s="66"/>
      <c r="AC1135" s="66"/>
      <c r="AD1135" s="129"/>
      <c r="AE1135" s="11"/>
      <c r="AI1135" s="142"/>
      <c r="AK1135" s="142"/>
    </row>
    <row r="1136" spans="1:37" ht="46.5" customHeight="1">
      <c r="A1136" s="158"/>
      <c r="B1136" s="161"/>
      <c r="C1136" s="59"/>
      <c r="D1136" s="60"/>
      <c r="E1136" s="61"/>
      <c r="F1136" s="61"/>
      <c r="G1136" s="61"/>
      <c r="H1136" s="61"/>
      <c r="I1136" s="61"/>
      <c r="J1136" s="61"/>
      <c r="K1136" s="61"/>
      <c r="L1136" s="61"/>
      <c r="M1136" s="61"/>
      <c r="N1136" s="61"/>
      <c r="O1136" s="61"/>
      <c r="P1136" s="61"/>
      <c r="Q1136" s="60"/>
      <c r="R1136" s="64"/>
      <c r="S1136" s="64"/>
      <c r="T1136" s="65"/>
      <c r="U1136" s="65"/>
      <c r="V1136" s="49"/>
      <c r="W1136" s="49"/>
      <c r="X1136" s="66"/>
      <c r="Y1136" s="137"/>
      <c r="AB1136" s="66"/>
      <c r="AC1136" s="66"/>
      <c r="AD1136" s="129"/>
      <c r="AE1136" s="11"/>
      <c r="AI1136" s="142"/>
      <c r="AK1136" s="142"/>
    </row>
    <row r="1137" spans="1:37" ht="46.5" customHeight="1">
      <c r="A1137" s="158"/>
      <c r="B1137" s="161"/>
      <c r="C1137" s="59"/>
      <c r="D1137" s="60"/>
      <c r="E1137" s="76"/>
      <c r="F1137" s="76"/>
      <c r="G1137" s="76"/>
      <c r="H1137" s="76"/>
      <c r="I1137" s="76"/>
      <c r="J1137" s="76"/>
      <c r="K1137" s="76"/>
      <c r="L1137" s="76"/>
      <c r="M1137" s="76"/>
      <c r="N1137" s="76"/>
      <c r="O1137" s="76"/>
      <c r="P1137" s="76"/>
      <c r="Q1137" s="60"/>
      <c r="R1137" s="64"/>
      <c r="S1137" s="64"/>
      <c r="T1137" s="65"/>
      <c r="U1137" s="65"/>
      <c r="V1137" s="49"/>
      <c r="W1137" s="49"/>
      <c r="X1137" s="66"/>
      <c r="Y1137" s="137"/>
      <c r="AB1137" s="66"/>
      <c r="AC1137" s="66"/>
      <c r="AD1137" s="129"/>
      <c r="AE1137" s="11"/>
      <c r="AI1137" s="142"/>
      <c r="AK1137" s="142"/>
    </row>
    <row r="1138" spans="1:37" ht="61.5" customHeight="1">
      <c r="A1138" s="158"/>
      <c r="B1138" s="161"/>
      <c r="C1138" s="59"/>
      <c r="D1138" s="60"/>
      <c r="E1138" s="61"/>
      <c r="F1138" s="61"/>
      <c r="G1138" s="61"/>
      <c r="H1138" s="61"/>
      <c r="I1138" s="61"/>
      <c r="J1138" s="61"/>
      <c r="K1138" s="61"/>
      <c r="L1138" s="61"/>
      <c r="M1138" s="61"/>
      <c r="N1138" s="61"/>
      <c r="O1138" s="61"/>
      <c r="P1138" s="61"/>
      <c r="Q1138" s="60"/>
      <c r="R1138" s="64"/>
      <c r="S1138" s="64"/>
      <c r="T1138" s="65"/>
      <c r="U1138" s="65"/>
      <c r="V1138" s="49"/>
      <c r="W1138" s="49"/>
      <c r="X1138" s="66"/>
      <c r="Y1138" s="137"/>
      <c r="AB1138" s="66"/>
      <c r="AC1138" s="66"/>
      <c r="AD1138" s="129"/>
      <c r="AE1138" s="11"/>
      <c r="AI1138" s="142"/>
      <c r="AK1138" s="142"/>
    </row>
    <row r="1139" spans="1:37" ht="61.5" customHeight="1">
      <c r="A1139" s="158"/>
      <c r="B1139" s="161"/>
      <c r="C1139" s="59"/>
      <c r="D1139" s="78"/>
      <c r="E1139" s="61"/>
      <c r="F1139" s="61"/>
      <c r="G1139" s="61"/>
      <c r="H1139" s="61"/>
      <c r="I1139" s="61"/>
      <c r="J1139" s="61"/>
      <c r="K1139" s="61"/>
      <c r="L1139" s="61"/>
      <c r="M1139" s="61"/>
      <c r="N1139" s="61"/>
      <c r="O1139" s="61"/>
      <c r="P1139" s="61"/>
      <c r="Q1139" s="60"/>
      <c r="R1139" s="64"/>
      <c r="S1139" s="64"/>
      <c r="T1139" s="65"/>
      <c r="U1139" s="65"/>
      <c r="V1139" s="49"/>
      <c r="W1139" s="49"/>
      <c r="X1139" s="66"/>
      <c r="Y1139" s="137"/>
      <c r="AB1139" s="66"/>
      <c r="AC1139" s="66"/>
      <c r="AD1139" s="129"/>
      <c r="AE1139" s="11"/>
      <c r="AI1139" s="142"/>
      <c r="AK1139" s="142"/>
    </row>
    <row r="1140" spans="1:37" ht="61.5" customHeight="1">
      <c r="A1140" s="158"/>
      <c r="B1140" s="162"/>
      <c r="C1140" s="59"/>
      <c r="D1140" s="60"/>
      <c r="E1140" s="61"/>
      <c r="F1140" s="61"/>
      <c r="G1140" s="61"/>
      <c r="H1140" s="61"/>
      <c r="I1140" s="61"/>
      <c r="J1140" s="61"/>
      <c r="K1140" s="61"/>
      <c r="L1140" s="61"/>
      <c r="M1140" s="61"/>
      <c r="N1140" s="61"/>
      <c r="O1140" s="61"/>
      <c r="P1140" s="61"/>
      <c r="Q1140" s="60"/>
      <c r="R1140" s="64"/>
      <c r="S1140" s="64"/>
      <c r="T1140" s="65"/>
      <c r="U1140" s="65"/>
      <c r="V1140" s="49"/>
      <c r="W1140" s="49"/>
      <c r="X1140" s="66"/>
      <c r="Y1140" s="137"/>
      <c r="AB1140" s="66"/>
      <c r="AC1140" s="66"/>
      <c r="AD1140" s="129"/>
      <c r="AE1140" s="11"/>
      <c r="AI1140" s="142"/>
      <c r="AK1140" s="142"/>
    </row>
    <row r="1141" spans="1:37" ht="61.5" customHeight="1">
      <c r="A1141" s="158"/>
      <c r="B1141" s="110"/>
      <c r="C1141" s="59"/>
      <c r="D1141" s="60"/>
      <c r="E1141" s="61"/>
      <c r="F1141" s="61"/>
      <c r="G1141" s="61"/>
      <c r="H1141" s="61"/>
      <c r="I1141" s="61"/>
      <c r="J1141" s="61"/>
      <c r="K1141" s="61"/>
      <c r="L1141" s="61"/>
      <c r="M1141" s="61"/>
      <c r="N1141" s="61"/>
      <c r="O1141" s="61"/>
      <c r="P1141" s="61"/>
      <c r="Q1141" s="60"/>
      <c r="R1141" s="47"/>
      <c r="S1141" s="47"/>
      <c r="T1141" s="48"/>
      <c r="U1141" s="48"/>
      <c r="V1141" s="49"/>
      <c r="W1141" s="50"/>
      <c r="X1141" s="51"/>
      <c r="AB1141" s="66"/>
      <c r="AC1141" s="51"/>
      <c r="AI1141" s="142"/>
      <c r="AK1141" s="142"/>
    </row>
    <row r="1142" spans="1:37" ht="61.5" customHeight="1">
      <c r="A1142" s="158"/>
      <c r="B1142" s="110"/>
      <c r="C1142" s="59"/>
      <c r="D1142" s="60"/>
      <c r="E1142" s="61"/>
      <c r="F1142" s="61"/>
      <c r="G1142" s="61"/>
      <c r="H1142" s="61"/>
      <c r="I1142" s="61"/>
      <c r="J1142" s="61"/>
      <c r="K1142" s="61"/>
      <c r="L1142" s="61"/>
      <c r="M1142" s="61"/>
      <c r="N1142" s="61"/>
      <c r="O1142" s="61"/>
      <c r="P1142" s="61"/>
      <c r="Q1142" s="60"/>
      <c r="R1142" s="47"/>
      <c r="S1142" s="47"/>
      <c r="T1142" s="48"/>
      <c r="U1142" s="48"/>
      <c r="V1142" s="49"/>
      <c r="W1142" s="50"/>
      <c r="X1142" s="51"/>
      <c r="AB1142" s="66"/>
      <c r="AC1142" s="51"/>
      <c r="AI1142" s="142"/>
      <c r="AK1142" s="142"/>
    </row>
    <row r="1143" spans="1:37" ht="61.5" customHeight="1">
      <c r="A1143" s="158"/>
      <c r="B1143" s="110"/>
      <c r="C1143" s="59"/>
      <c r="D1143" s="60"/>
      <c r="E1143" s="61"/>
      <c r="F1143" s="61"/>
      <c r="G1143" s="61"/>
      <c r="H1143" s="61"/>
      <c r="I1143" s="61"/>
      <c r="J1143" s="61"/>
      <c r="K1143" s="61"/>
      <c r="L1143" s="61"/>
      <c r="M1143" s="61"/>
      <c r="N1143" s="61"/>
      <c r="O1143" s="61"/>
      <c r="P1143" s="61"/>
      <c r="Q1143" s="60"/>
      <c r="R1143" s="47"/>
      <c r="S1143" s="51"/>
      <c r="T1143" s="48"/>
      <c r="U1143" s="48"/>
      <c r="V1143" s="49"/>
      <c r="W1143" s="50"/>
      <c r="X1143" s="51"/>
      <c r="AB1143" s="66"/>
      <c r="AC1143" s="51"/>
      <c r="AI1143" s="142"/>
      <c r="AK1143" s="142"/>
    </row>
    <row r="1144" spans="1:37" s="147" customFormat="1" ht="61.5" customHeight="1">
      <c r="A1144" s="159"/>
      <c r="B1144" s="113"/>
      <c r="C1144" s="80"/>
      <c r="D1144" s="81"/>
      <c r="E1144" s="82"/>
      <c r="F1144" s="82"/>
      <c r="G1144" s="82"/>
      <c r="H1144" s="82"/>
      <c r="I1144" s="82"/>
      <c r="J1144" s="82"/>
      <c r="K1144" s="82"/>
      <c r="L1144" s="82"/>
      <c r="M1144" s="82"/>
      <c r="N1144" s="82"/>
      <c r="O1144" s="82"/>
      <c r="P1144" s="82"/>
      <c r="Q1144" s="81"/>
      <c r="R1144" s="47"/>
      <c r="S1144" s="51"/>
      <c r="T1144" s="48"/>
      <c r="U1144" s="48"/>
      <c r="V1144" s="49"/>
      <c r="W1144" s="50"/>
      <c r="X1144" s="51"/>
      <c r="Y1144" s="148"/>
      <c r="Z1144" s="148"/>
      <c r="AB1144" s="66"/>
      <c r="AC1144" s="51"/>
      <c r="AI1144" s="142"/>
      <c r="AJ1144" s="3"/>
      <c r="AK1144" s="142"/>
    </row>
    <row r="1145" spans="1:37" ht="61.5" customHeight="1">
      <c r="A1145" s="149"/>
      <c r="B1145" s="1"/>
      <c r="C1145" s="100"/>
      <c r="D1145" s="101"/>
      <c r="E1145" s="90"/>
      <c r="F1145" s="90"/>
      <c r="G1145" s="90"/>
      <c r="H1145" s="90"/>
      <c r="I1145" s="90"/>
      <c r="J1145" s="90"/>
      <c r="K1145" s="90"/>
      <c r="L1145" s="90"/>
      <c r="M1145" s="90"/>
      <c r="N1145" s="90"/>
      <c r="O1145" s="90"/>
      <c r="P1145" s="90"/>
      <c r="Q1145" s="79"/>
      <c r="R1145" s="150"/>
      <c r="S1145" s="51"/>
      <c r="T1145" s="48"/>
      <c r="U1145" s="48"/>
      <c r="V1145" s="49"/>
      <c r="W1145" s="50"/>
      <c r="X1145" s="51"/>
      <c r="AB1145" s="66"/>
      <c r="AC1145" s="51"/>
      <c r="AI1145" s="142"/>
      <c r="AK1145" s="142"/>
    </row>
    <row r="1146" spans="1:37" ht="46.5" customHeight="1">
      <c r="A1146" s="163"/>
      <c r="B1146" s="160"/>
      <c r="C1146" s="42"/>
      <c r="D1146" s="43"/>
      <c r="E1146" s="44"/>
      <c r="F1146" s="44"/>
      <c r="G1146" s="44"/>
      <c r="H1146" s="45"/>
      <c r="I1146" s="44"/>
      <c r="J1146" s="44"/>
      <c r="K1146" s="44"/>
      <c r="L1146" s="44"/>
      <c r="M1146" s="44"/>
      <c r="N1146" s="44"/>
      <c r="O1146" s="44"/>
      <c r="P1146" s="44"/>
      <c r="T1146" s="48"/>
      <c r="U1146" s="48"/>
      <c r="V1146" s="151"/>
      <c r="AI1146" s="142"/>
      <c r="AK1146" s="142"/>
    </row>
    <row r="1147" spans="1:37" ht="46.5" customHeight="1">
      <c r="A1147" s="164"/>
      <c r="B1147" s="161"/>
      <c r="C1147" s="55"/>
      <c r="D1147" s="46"/>
      <c r="E1147" s="56"/>
      <c r="F1147" s="56"/>
      <c r="G1147" s="56"/>
      <c r="H1147" s="56"/>
      <c r="I1147" s="56"/>
      <c r="J1147" s="56"/>
      <c r="K1147" s="56"/>
      <c r="L1147" s="56"/>
      <c r="M1147" s="56"/>
      <c r="N1147" s="56"/>
      <c r="O1147" s="56"/>
      <c r="P1147" s="56"/>
      <c r="Y1147" s="2"/>
      <c r="Z1147" s="2"/>
      <c r="AB1147" s="2"/>
      <c r="AI1147" s="142"/>
      <c r="AK1147" s="142"/>
    </row>
    <row r="1148" spans="1:37" ht="46.5" customHeight="1">
      <c r="A1148" s="164"/>
      <c r="B1148" s="161"/>
      <c r="C1148" s="59"/>
      <c r="D1148" s="60"/>
      <c r="E1148" s="61"/>
      <c r="F1148" s="61"/>
      <c r="G1148" s="61"/>
      <c r="H1148" s="61"/>
      <c r="I1148" s="61"/>
      <c r="J1148" s="61"/>
      <c r="K1148" s="61"/>
      <c r="L1148" s="61"/>
      <c r="M1148" s="61"/>
      <c r="N1148" s="61"/>
      <c r="O1148" s="61"/>
      <c r="P1148" s="61"/>
      <c r="Y1148" s="2"/>
      <c r="Z1148" s="2"/>
      <c r="AB1148" s="2"/>
      <c r="AI1148" s="142"/>
      <c r="AK1148" s="142"/>
    </row>
    <row r="1149" spans="1:37" ht="46.5" customHeight="1">
      <c r="A1149" s="164"/>
      <c r="B1149" s="161"/>
      <c r="C1149" s="59"/>
      <c r="D1149" s="60"/>
      <c r="E1149" s="61"/>
      <c r="F1149" s="61"/>
      <c r="G1149" s="61"/>
      <c r="H1149" s="61"/>
      <c r="I1149" s="61"/>
      <c r="J1149" s="61"/>
      <c r="K1149" s="61"/>
      <c r="L1149" s="61"/>
      <c r="M1149" s="61"/>
      <c r="N1149" s="61"/>
      <c r="O1149" s="61"/>
      <c r="P1149" s="61"/>
      <c r="Y1149" s="2"/>
      <c r="Z1149" s="2"/>
      <c r="AB1149" s="2"/>
      <c r="AI1149" s="142"/>
      <c r="AK1149" s="142"/>
    </row>
    <row r="1150" spans="1:37" ht="46.5" customHeight="1">
      <c r="A1150" s="164"/>
      <c r="B1150" s="161"/>
      <c r="C1150" s="59"/>
      <c r="D1150" s="60"/>
      <c r="E1150" s="61"/>
      <c r="F1150" s="61"/>
      <c r="G1150" s="61"/>
      <c r="H1150" s="61"/>
      <c r="I1150" s="61"/>
      <c r="J1150" s="61"/>
      <c r="K1150" s="61"/>
      <c r="L1150" s="61"/>
      <c r="M1150" s="61"/>
      <c r="N1150" s="61"/>
      <c r="O1150" s="61"/>
      <c r="P1150" s="61"/>
      <c r="AB1150" s="6"/>
      <c r="AI1150" s="142"/>
      <c r="AK1150" s="142"/>
    </row>
    <row r="1151" spans="1:37" ht="46.5" customHeight="1">
      <c r="A1151" s="164"/>
      <c r="B1151" s="161"/>
      <c r="C1151" s="59"/>
      <c r="D1151" s="60"/>
      <c r="E1151" s="61"/>
      <c r="F1151" s="61"/>
      <c r="G1151" s="61"/>
      <c r="H1151" s="61"/>
      <c r="I1151" s="61"/>
      <c r="J1151" s="61"/>
      <c r="K1151" s="61"/>
      <c r="L1151" s="61"/>
      <c r="M1151" s="61"/>
      <c r="N1151" s="61"/>
      <c r="O1151" s="61"/>
      <c r="P1151" s="61"/>
      <c r="Y1151" s="2"/>
      <c r="Z1151" s="2"/>
      <c r="AB1151" s="2"/>
      <c r="AI1151" s="142"/>
      <c r="AK1151" s="142"/>
    </row>
    <row r="1152" spans="1:37" ht="46.5" customHeight="1">
      <c r="A1152" s="164"/>
      <c r="B1152" s="161"/>
      <c r="C1152" s="59"/>
      <c r="D1152" s="60"/>
      <c r="E1152" s="61"/>
      <c r="F1152" s="61"/>
      <c r="G1152" s="61"/>
      <c r="H1152" s="61"/>
      <c r="I1152" s="61"/>
      <c r="J1152" s="61"/>
      <c r="K1152" s="61"/>
      <c r="L1152" s="61"/>
      <c r="M1152" s="61"/>
      <c r="N1152" s="61"/>
      <c r="O1152" s="61"/>
      <c r="P1152" s="61"/>
      <c r="Y1152" s="2"/>
      <c r="Z1152" s="2"/>
      <c r="AB1152" s="2"/>
      <c r="AI1152" s="142"/>
      <c r="AK1152" s="142"/>
    </row>
    <row r="1153" spans="1:37" ht="46.5" customHeight="1">
      <c r="A1153" s="164"/>
      <c r="B1153" s="161"/>
      <c r="C1153" s="59"/>
      <c r="D1153" s="60"/>
      <c r="E1153" s="61"/>
      <c r="F1153" s="61"/>
      <c r="G1153" s="61"/>
      <c r="H1153" s="61"/>
      <c r="I1153" s="61"/>
      <c r="J1153" s="61"/>
      <c r="K1153" s="61"/>
      <c r="L1153" s="61"/>
      <c r="M1153" s="61"/>
      <c r="N1153" s="61"/>
      <c r="O1153" s="61"/>
      <c r="P1153" s="61"/>
      <c r="Y1153" s="49"/>
      <c r="Z1153" s="49"/>
      <c r="AB1153" s="49"/>
      <c r="AI1153" s="142"/>
      <c r="AK1153" s="142"/>
    </row>
    <row r="1154" spans="1:37" ht="46.5" customHeight="1">
      <c r="A1154" s="164"/>
      <c r="B1154" s="161"/>
      <c r="C1154" s="59"/>
      <c r="D1154" s="60"/>
      <c r="E1154" s="61"/>
      <c r="F1154" s="61"/>
      <c r="G1154" s="61"/>
      <c r="H1154" s="61"/>
      <c r="I1154" s="61"/>
      <c r="J1154" s="61"/>
      <c r="K1154" s="61"/>
      <c r="L1154" s="61"/>
      <c r="M1154" s="61"/>
      <c r="N1154" s="61"/>
      <c r="O1154" s="61"/>
      <c r="P1154" s="61"/>
      <c r="AI1154" s="142"/>
      <c r="AK1154" s="142"/>
    </row>
    <row r="1155" spans="1:37" ht="46.5" customHeight="1">
      <c r="A1155" s="164"/>
      <c r="B1155" s="161"/>
      <c r="C1155" s="102"/>
      <c r="D1155" s="103"/>
      <c r="E1155" s="61"/>
      <c r="F1155" s="61"/>
      <c r="G1155" s="61"/>
      <c r="H1155" s="61"/>
      <c r="I1155" s="61"/>
      <c r="J1155" s="61"/>
      <c r="K1155" s="61"/>
      <c r="L1155" s="61"/>
      <c r="M1155" s="61"/>
      <c r="N1155" s="61"/>
      <c r="O1155" s="61"/>
      <c r="P1155" s="61"/>
      <c r="AI1155" s="142"/>
      <c r="AK1155" s="142"/>
    </row>
    <row r="1156" spans="1:37" ht="46.5" customHeight="1">
      <c r="A1156" s="164"/>
      <c r="B1156" s="161"/>
      <c r="C1156" s="59"/>
      <c r="D1156" s="60"/>
      <c r="E1156" s="61"/>
      <c r="F1156" s="61"/>
      <c r="G1156" s="61"/>
      <c r="H1156" s="61"/>
      <c r="I1156" s="61"/>
      <c r="J1156" s="61"/>
      <c r="K1156" s="61"/>
      <c r="L1156" s="61"/>
      <c r="M1156" s="61"/>
      <c r="N1156" s="61"/>
      <c r="O1156" s="61"/>
      <c r="P1156" s="61"/>
      <c r="AI1156" s="142"/>
      <c r="AK1156" s="142"/>
    </row>
    <row r="1157" spans="1:37" ht="46.5" customHeight="1">
      <c r="A1157" s="164"/>
      <c r="B1157" s="161"/>
      <c r="C1157" s="59"/>
      <c r="D1157" s="60"/>
      <c r="E1157" s="61"/>
      <c r="F1157" s="61"/>
      <c r="G1157" s="61"/>
      <c r="H1157" s="61"/>
      <c r="I1157" s="61"/>
      <c r="J1157" s="61"/>
      <c r="K1157" s="61"/>
      <c r="L1157" s="61"/>
      <c r="M1157" s="61"/>
      <c r="N1157" s="61"/>
      <c r="O1157" s="61"/>
      <c r="P1157" s="61"/>
      <c r="AI1157" s="142"/>
      <c r="AK1157" s="142"/>
    </row>
    <row r="1158" spans="1:37" ht="46.5" customHeight="1">
      <c r="A1158" s="164"/>
      <c r="B1158" s="161"/>
      <c r="C1158" s="59"/>
      <c r="D1158" s="60"/>
      <c r="E1158" s="76"/>
      <c r="F1158" s="76"/>
      <c r="G1158" s="76"/>
      <c r="H1158" s="76"/>
      <c r="I1158" s="76"/>
      <c r="J1158" s="76"/>
      <c r="K1158" s="76"/>
      <c r="L1158" s="76"/>
      <c r="M1158" s="76"/>
      <c r="N1158" s="76"/>
      <c r="O1158" s="76"/>
      <c r="P1158" s="76"/>
      <c r="AI1158" s="142"/>
      <c r="AK1158" s="142"/>
    </row>
    <row r="1159" spans="1:37" ht="61.5" customHeight="1">
      <c r="A1159" s="164"/>
      <c r="B1159" s="161"/>
      <c r="C1159" s="59"/>
      <c r="D1159" s="60"/>
      <c r="E1159" s="61"/>
      <c r="F1159" s="61"/>
      <c r="G1159" s="61"/>
      <c r="H1159" s="61"/>
      <c r="I1159" s="61"/>
      <c r="J1159" s="61"/>
      <c r="K1159" s="61"/>
      <c r="L1159" s="61"/>
      <c r="M1159" s="61"/>
      <c r="N1159" s="61"/>
      <c r="O1159" s="61"/>
      <c r="P1159" s="61"/>
      <c r="AI1159" s="142"/>
      <c r="AJ1159" s="127"/>
      <c r="AK1159" s="142"/>
    </row>
    <row r="1160" spans="1:37" ht="61.5" customHeight="1">
      <c r="A1160" s="164"/>
      <c r="B1160" s="161"/>
      <c r="C1160" s="59"/>
      <c r="D1160" s="78"/>
      <c r="E1160" s="61"/>
      <c r="F1160" s="61"/>
      <c r="G1160" s="61"/>
      <c r="H1160" s="61"/>
      <c r="I1160" s="61"/>
      <c r="J1160" s="61"/>
      <c r="K1160" s="61"/>
      <c r="L1160" s="61"/>
      <c r="M1160" s="61"/>
      <c r="N1160" s="61"/>
      <c r="O1160" s="61"/>
      <c r="P1160" s="61"/>
    </row>
    <row r="1161" spans="1:37" ht="61.5" customHeight="1">
      <c r="A1161" s="165"/>
      <c r="B1161" s="162"/>
      <c r="C1161" s="80"/>
      <c r="D1161" s="81"/>
      <c r="E1161" s="61"/>
      <c r="F1161" s="61"/>
      <c r="G1161" s="61"/>
      <c r="H1161" s="61"/>
      <c r="I1161" s="61"/>
      <c r="J1161" s="61"/>
      <c r="K1161" s="61"/>
      <c r="L1161" s="61"/>
      <c r="M1161" s="61"/>
      <c r="N1161" s="61"/>
      <c r="O1161" s="61"/>
      <c r="P1161" s="61"/>
    </row>
    <row r="1162" spans="1:37" ht="61.5" customHeight="1">
      <c r="A1162" s="54"/>
      <c r="C1162" s="59"/>
      <c r="D1162" s="60"/>
      <c r="E1162" s="21">
        <f>+MAX(E1164:E1177)</f>
        <v>0</v>
      </c>
      <c r="F1162" s="21">
        <f t="shared" ref="F1162:P1162" si="1">+MAX(F1164:F1177)</f>
        <v>0</v>
      </c>
      <c r="G1162" s="21">
        <f t="shared" si="1"/>
        <v>0</v>
      </c>
      <c r="H1162" s="21">
        <f t="shared" si="1"/>
        <v>0</v>
      </c>
      <c r="I1162" s="21">
        <f t="shared" si="1"/>
        <v>0</v>
      </c>
      <c r="J1162" s="21">
        <f t="shared" si="1"/>
        <v>0</v>
      </c>
      <c r="K1162" s="21">
        <f t="shared" si="1"/>
        <v>0</v>
      </c>
      <c r="L1162" s="21">
        <f t="shared" si="1"/>
        <v>0</v>
      </c>
      <c r="M1162" s="21">
        <f t="shared" si="1"/>
        <v>0</v>
      </c>
      <c r="N1162" s="21">
        <f t="shared" si="1"/>
        <v>0</v>
      </c>
      <c r="O1162" s="21">
        <f t="shared" si="1"/>
        <v>0</v>
      </c>
      <c r="P1162" s="21">
        <f t="shared" si="1"/>
        <v>0</v>
      </c>
    </row>
    <row r="1163" spans="1:37" ht="61.5" customHeight="1">
      <c r="A1163" s="163"/>
      <c r="B1163" s="160"/>
      <c r="C1163" s="42"/>
      <c r="D1163" s="43"/>
      <c r="E1163" s="44"/>
      <c r="F1163" s="44"/>
      <c r="G1163" s="44"/>
      <c r="H1163" s="44"/>
      <c r="I1163" s="44"/>
      <c r="J1163" s="44"/>
      <c r="K1163" s="44"/>
      <c r="L1163" s="44"/>
      <c r="M1163" s="44"/>
      <c r="N1163" s="44"/>
      <c r="O1163" s="44"/>
      <c r="P1163" s="44"/>
    </row>
    <row r="1164" spans="1:37" ht="61.5" customHeight="1">
      <c r="A1164" s="164"/>
      <c r="B1164" s="161"/>
      <c r="C1164" s="55"/>
      <c r="D1164" s="46"/>
      <c r="E1164" s="56"/>
      <c r="F1164" s="56"/>
      <c r="G1164" s="56"/>
      <c r="H1164" s="56"/>
      <c r="I1164" s="56"/>
      <c r="J1164" s="56"/>
      <c r="K1164" s="56"/>
      <c r="L1164" s="56"/>
      <c r="M1164" s="56"/>
      <c r="N1164" s="56"/>
      <c r="O1164" s="56"/>
      <c r="P1164" s="56"/>
      <c r="Y1164" s="2"/>
      <c r="Z1164" s="2"/>
      <c r="AB1164" s="2"/>
      <c r="AD1164" s="129"/>
      <c r="AE1164" s="129"/>
    </row>
    <row r="1165" spans="1:37" ht="61.5" customHeight="1">
      <c r="A1165" s="164"/>
      <c r="B1165" s="161"/>
      <c r="C1165" s="59"/>
      <c r="D1165" s="60"/>
      <c r="E1165" s="61"/>
      <c r="F1165" s="61"/>
      <c r="G1165" s="61"/>
      <c r="H1165" s="61"/>
      <c r="I1165" s="61"/>
      <c r="J1165" s="61"/>
      <c r="K1165" s="61"/>
      <c r="L1165" s="61"/>
      <c r="M1165" s="61"/>
      <c r="N1165" s="61"/>
      <c r="O1165" s="61"/>
      <c r="P1165" s="61"/>
      <c r="Y1165" s="2"/>
      <c r="Z1165" s="2"/>
      <c r="AB1165" s="2"/>
      <c r="AD1165" s="129"/>
      <c r="AE1165" s="129"/>
    </row>
    <row r="1166" spans="1:37" ht="61.5" customHeight="1">
      <c r="A1166" s="164"/>
      <c r="B1166" s="161"/>
      <c r="C1166" s="59"/>
      <c r="D1166" s="60"/>
      <c r="E1166" s="61"/>
      <c r="F1166" s="61"/>
      <c r="G1166" s="61"/>
      <c r="H1166" s="61"/>
      <c r="I1166" s="61"/>
      <c r="J1166" s="61"/>
      <c r="K1166" s="61"/>
      <c r="L1166" s="61"/>
      <c r="M1166" s="61"/>
      <c r="N1166" s="61"/>
      <c r="O1166" s="61"/>
      <c r="P1166" s="61"/>
      <c r="AB1166" s="6"/>
      <c r="AD1166" s="130"/>
      <c r="AE1166" s="130"/>
    </row>
    <row r="1167" spans="1:37" ht="61.5" customHeight="1">
      <c r="A1167" s="164"/>
      <c r="B1167" s="161"/>
      <c r="C1167" s="59"/>
      <c r="D1167" s="60"/>
      <c r="E1167" s="61"/>
      <c r="F1167" s="61"/>
      <c r="G1167" s="61"/>
      <c r="H1167" s="61"/>
      <c r="I1167" s="61"/>
      <c r="J1167" s="61"/>
      <c r="K1167" s="61"/>
      <c r="L1167" s="61"/>
      <c r="M1167" s="61"/>
      <c r="N1167" s="61"/>
      <c r="O1167" s="61"/>
      <c r="P1167" s="61"/>
      <c r="Y1167" s="2"/>
      <c r="Z1167" s="2"/>
      <c r="AB1167" s="2"/>
      <c r="AD1167" s="129"/>
      <c r="AE1167" s="129"/>
    </row>
    <row r="1168" spans="1:37" ht="61.5" customHeight="1">
      <c r="A1168" s="164"/>
      <c r="B1168" s="161"/>
      <c r="C1168" s="59"/>
      <c r="D1168" s="60"/>
      <c r="E1168" s="61"/>
      <c r="F1168" s="61"/>
      <c r="G1168" s="61"/>
      <c r="H1168" s="61"/>
      <c r="I1168" s="61"/>
      <c r="J1168" s="61"/>
      <c r="K1168" s="61"/>
      <c r="L1168" s="61"/>
      <c r="M1168" s="61"/>
      <c r="N1168" s="61"/>
      <c r="O1168" s="61"/>
      <c r="P1168" s="61"/>
      <c r="Y1168" s="2"/>
      <c r="Z1168" s="2"/>
      <c r="AB1168" s="2"/>
      <c r="AD1168" s="129"/>
      <c r="AE1168" s="12"/>
    </row>
    <row r="1169" spans="1:31" ht="61.5" customHeight="1">
      <c r="A1169" s="164"/>
      <c r="B1169" s="161"/>
      <c r="C1169" s="59"/>
      <c r="D1169" s="60"/>
      <c r="E1169" s="61"/>
      <c r="F1169" s="61"/>
      <c r="G1169" s="61"/>
      <c r="H1169" s="61"/>
      <c r="I1169" s="61"/>
      <c r="J1169" s="61"/>
      <c r="K1169" s="61"/>
      <c r="L1169" s="61"/>
      <c r="M1169" s="61"/>
      <c r="N1169" s="61"/>
      <c r="O1169" s="61"/>
      <c r="P1169" s="61"/>
      <c r="Y1169" s="49"/>
      <c r="Z1169" s="49"/>
      <c r="AB1169" s="49"/>
      <c r="AD1169" s="129"/>
      <c r="AE1169" s="11"/>
    </row>
    <row r="1170" spans="1:31" ht="61.5" customHeight="1">
      <c r="A1170" s="164"/>
      <c r="B1170" s="161"/>
      <c r="C1170" s="59"/>
      <c r="D1170" s="60"/>
      <c r="E1170" s="61"/>
      <c r="F1170" s="61"/>
      <c r="G1170" s="61"/>
      <c r="H1170" s="61"/>
      <c r="I1170" s="61"/>
      <c r="J1170" s="61"/>
      <c r="K1170" s="61"/>
      <c r="L1170" s="61"/>
      <c r="M1170" s="61"/>
      <c r="N1170" s="61"/>
      <c r="O1170" s="61"/>
      <c r="P1170" s="61"/>
      <c r="AD1170" s="129"/>
      <c r="AE1170" s="11"/>
    </row>
    <row r="1171" spans="1:31" ht="61.5" customHeight="1">
      <c r="A1171" s="164"/>
      <c r="B1171" s="161"/>
      <c r="C1171" s="102"/>
      <c r="D1171" s="103"/>
      <c r="E1171" s="61"/>
      <c r="F1171" s="61"/>
      <c r="G1171" s="61"/>
      <c r="H1171" s="61"/>
      <c r="I1171" s="61"/>
      <c r="J1171" s="61"/>
      <c r="K1171" s="61"/>
      <c r="L1171" s="61"/>
      <c r="M1171" s="61"/>
      <c r="N1171" s="61"/>
      <c r="O1171" s="61"/>
      <c r="P1171" s="61"/>
      <c r="AD1171" s="129"/>
      <c r="AE1171" s="22"/>
    </row>
    <row r="1172" spans="1:31" ht="61.5" customHeight="1">
      <c r="A1172" s="164"/>
      <c r="B1172" s="161"/>
      <c r="C1172" s="59"/>
      <c r="D1172" s="60"/>
      <c r="E1172" s="61"/>
      <c r="F1172" s="61"/>
      <c r="G1172" s="61"/>
      <c r="H1172" s="61"/>
      <c r="I1172" s="61"/>
      <c r="J1172" s="61"/>
      <c r="K1172" s="61"/>
      <c r="L1172" s="61"/>
      <c r="M1172" s="61"/>
      <c r="N1172" s="61"/>
      <c r="O1172" s="61"/>
      <c r="P1172" s="61"/>
      <c r="AD1172" s="129"/>
      <c r="AE1172" s="11"/>
    </row>
    <row r="1173" spans="1:31" ht="61.5" customHeight="1">
      <c r="A1173" s="164"/>
      <c r="B1173" s="161"/>
      <c r="C1173" s="59"/>
      <c r="D1173" s="60"/>
      <c r="E1173" s="61"/>
      <c r="F1173" s="61"/>
      <c r="G1173" s="61"/>
      <c r="H1173" s="61"/>
      <c r="I1173" s="61"/>
      <c r="J1173" s="61"/>
      <c r="K1173" s="61"/>
      <c r="L1173" s="61"/>
      <c r="M1173" s="61"/>
      <c r="N1173" s="61"/>
      <c r="O1173" s="61"/>
      <c r="P1173" s="61"/>
      <c r="AD1173" s="129"/>
      <c r="AE1173" s="11"/>
    </row>
    <row r="1174" spans="1:31" ht="61.5" customHeight="1">
      <c r="A1174" s="164"/>
      <c r="B1174" s="161"/>
      <c r="C1174" s="59"/>
      <c r="D1174" s="60"/>
      <c r="E1174" s="76"/>
      <c r="F1174" s="76"/>
      <c r="G1174" s="76"/>
      <c r="H1174" s="76"/>
      <c r="I1174" s="76"/>
      <c r="J1174" s="76"/>
      <c r="K1174" s="76"/>
      <c r="L1174" s="76"/>
      <c r="M1174" s="76"/>
      <c r="N1174" s="76"/>
      <c r="O1174" s="76"/>
      <c r="P1174" s="76"/>
      <c r="AD1174" s="129"/>
      <c r="AE1174" s="11"/>
    </row>
    <row r="1175" spans="1:31" ht="61.5" customHeight="1">
      <c r="A1175" s="164"/>
      <c r="B1175" s="161"/>
      <c r="C1175" s="136"/>
      <c r="D1175" s="73"/>
      <c r="E1175" s="61"/>
      <c r="F1175" s="61"/>
      <c r="G1175" s="61"/>
      <c r="H1175" s="61"/>
      <c r="I1175" s="61"/>
      <c r="J1175" s="61"/>
      <c r="K1175" s="61"/>
      <c r="L1175" s="61"/>
      <c r="M1175" s="61"/>
      <c r="N1175" s="61"/>
      <c r="O1175" s="61"/>
      <c r="P1175" s="61"/>
      <c r="AD1175" s="129"/>
      <c r="AE1175" s="11"/>
    </row>
    <row r="1176" spans="1:31" ht="61.5" customHeight="1">
      <c r="A1176" s="164"/>
      <c r="B1176" s="161"/>
      <c r="C1176" s="136"/>
      <c r="D1176" s="152"/>
      <c r="E1176" s="61"/>
      <c r="F1176" s="61"/>
      <c r="G1176" s="61"/>
      <c r="H1176" s="61"/>
      <c r="I1176" s="61"/>
      <c r="J1176" s="61"/>
      <c r="K1176" s="61"/>
      <c r="L1176" s="61"/>
      <c r="M1176" s="61"/>
      <c r="N1176" s="61"/>
      <c r="O1176" s="61"/>
      <c r="P1176" s="61"/>
      <c r="AD1176" s="129"/>
      <c r="AE1176" s="11"/>
    </row>
    <row r="1177" spans="1:31" ht="61.5" customHeight="1">
      <c r="A1177" s="165"/>
      <c r="B1177" s="162"/>
      <c r="C1177" s="153"/>
      <c r="D1177" s="154"/>
      <c r="E1177" s="82"/>
      <c r="F1177" s="82"/>
      <c r="G1177" s="82"/>
      <c r="H1177" s="82"/>
      <c r="I1177" s="82"/>
      <c r="J1177" s="82"/>
      <c r="K1177" s="82"/>
      <c r="L1177" s="82"/>
      <c r="M1177" s="82"/>
      <c r="N1177" s="82"/>
      <c r="O1177" s="82"/>
      <c r="P1177" s="82"/>
      <c r="AD1177" s="129"/>
      <c r="AE1177" s="11"/>
    </row>
    <row r="1178" spans="1:31">
      <c r="A1178" s="164"/>
      <c r="B1178" s="161"/>
      <c r="C1178" s="136"/>
      <c r="D1178" s="73"/>
      <c r="E1178" s="61"/>
      <c r="F1178" s="61"/>
      <c r="G1178" s="61"/>
      <c r="H1178" s="61"/>
      <c r="I1178" s="61"/>
      <c r="J1178" s="61"/>
      <c r="K1178" s="61"/>
      <c r="L1178" s="61"/>
      <c r="M1178" s="61"/>
      <c r="N1178" s="61"/>
      <c r="O1178" s="61"/>
      <c r="P1178" s="61"/>
    </row>
    <row r="1179" spans="1:31">
      <c r="A1179" s="164"/>
      <c r="B1179" s="161"/>
      <c r="C1179" s="136"/>
      <c r="D1179" s="152"/>
      <c r="E1179" s="61"/>
      <c r="F1179" s="61"/>
      <c r="G1179" s="61"/>
      <c r="H1179" s="61"/>
      <c r="I1179" s="61"/>
      <c r="J1179" s="61"/>
      <c r="K1179" s="61"/>
      <c r="L1179" s="61"/>
      <c r="M1179" s="61"/>
      <c r="N1179" s="61"/>
      <c r="O1179" s="61"/>
      <c r="P1179" s="61"/>
    </row>
    <row r="1180" spans="1:31">
      <c r="A1180" s="165"/>
      <c r="B1180" s="162"/>
      <c r="C1180" s="153"/>
      <c r="D1180" s="154"/>
      <c r="E1180" s="82"/>
      <c r="F1180" s="82"/>
      <c r="G1180" s="82"/>
      <c r="H1180" s="82"/>
      <c r="I1180" s="82"/>
      <c r="J1180" s="82"/>
      <c r="K1180" s="82"/>
      <c r="L1180" s="82"/>
      <c r="M1180" s="82"/>
      <c r="N1180" s="82"/>
      <c r="O1180" s="82"/>
      <c r="P1180" s="82"/>
    </row>
  </sheetData>
  <mergeCells count="57">
    <mergeCell ref="A1146:A1161"/>
    <mergeCell ref="B1146:B1161"/>
    <mergeCell ref="A1163:A1177"/>
    <mergeCell ref="B1163:B1177"/>
    <mergeCell ref="A1178:A1180"/>
    <mergeCell ref="B1178:B1180"/>
    <mergeCell ref="B1036:B1063"/>
    <mergeCell ref="A860:A879"/>
    <mergeCell ref="A889:A937"/>
    <mergeCell ref="B1065:B1092"/>
    <mergeCell ref="B1094:B1121"/>
    <mergeCell ref="A947:A997"/>
    <mergeCell ref="B1007:B1022"/>
    <mergeCell ref="A1036:A1144"/>
    <mergeCell ref="B1125:B1140"/>
    <mergeCell ref="B860:B887"/>
    <mergeCell ref="B889:B916"/>
    <mergeCell ref="B918:B945"/>
    <mergeCell ref="B947:B974"/>
    <mergeCell ref="B978:B1005"/>
    <mergeCell ref="A698:A851"/>
    <mergeCell ref="B727:B742"/>
    <mergeCell ref="B832:B847"/>
    <mergeCell ref="B698:B725"/>
    <mergeCell ref="B756:B783"/>
    <mergeCell ref="B785:B801"/>
    <mergeCell ref="B803:B830"/>
    <mergeCell ref="A522:A570"/>
    <mergeCell ref="B551:B566"/>
    <mergeCell ref="A580:A696"/>
    <mergeCell ref="B522:B549"/>
    <mergeCell ref="B580:B607"/>
    <mergeCell ref="B611:B638"/>
    <mergeCell ref="B640:B667"/>
    <mergeCell ref="B669:B696"/>
    <mergeCell ref="A347:A512"/>
    <mergeCell ref="B493:B508"/>
    <mergeCell ref="B376:B403"/>
    <mergeCell ref="B347:B374"/>
    <mergeCell ref="B405:B432"/>
    <mergeCell ref="B434:B461"/>
    <mergeCell ref="B464:B491"/>
    <mergeCell ref="A183:A336"/>
    <mergeCell ref="B183:B202"/>
    <mergeCell ref="B212:B231"/>
    <mergeCell ref="B241:B260"/>
    <mergeCell ref="B270:B289"/>
    <mergeCell ref="B317:B336"/>
    <mergeCell ref="B299:B314"/>
    <mergeCell ref="B1:P3"/>
    <mergeCell ref="A8:A173"/>
    <mergeCell ref="B154:B173"/>
    <mergeCell ref="B8:B35"/>
    <mergeCell ref="B37:B64"/>
    <mergeCell ref="B65:B92"/>
    <mergeCell ref="B94:B121"/>
    <mergeCell ref="B123:B150"/>
  </mergeCells>
  <conditionalFormatting sqref="E9:E23">
    <cfRule type="top10" dxfId="1085" priority="1922" rank="1"/>
  </conditionalFormatting>
  <conditionalFormatting sqref="E38">
    <cfRule type="top10" dxfId="1084" priority="864" rank="1"/>
  </conditionalFormatting>
  <conditionalFormatting sqref="E39:E52">
    <cfRule type="top10" dxfId="1083" priority="1908" rank="1"/>
  </conditionalFormatting>
  <conditionalFormatting sqref="E66">
    <cfRule type="top10" dxfId="1082" priority="840" rank="1"/>
  </conditionalFormatting>
  <conditionalFormatting sqref="E67:E80">
    <cfRule type="top10" dxfId="1081" priority="1904" rank="1"/>
  </conditionalFormatting>
  <conditionalFormatting sqref="E95">
    <cfRule type="top10" dxfId="1080" priority="816" rank="1"/>
  </conditionalFormatting>
  <conditionalFormatting sqref="E96:E109">
    <cfRule type="top10" dxfId="1079" priority="1770" rank="1"/>
  </conditionalFormatting>
  <conditionalFormatting sqref="E124">
    <cfRule type="top10" dxfId="1078" priority="792" rank="1"/>
  </conditionalFormatting>
  <conditionalFormatting sqref="E125:E138">
    <cfRule type="top10" dxfId="1077" priority="1751" rank="1"/>
  </conditionalFormatting>
  <conditionalFormatting sqref="E155:E169">
    <cfRule type="top10" dxfId="1076" priority="1732" rank="1"/>
  </conditionalFormatting>
  <conditionalFormatting sqref="E184">
    <cfRule type="top10" dxfId="1075" priority="768" rank="1"/>
  </conditionalFormatting>
  <conditionalFormatting sqref="E185:E198">
    <cfRule type="top10" dxfId="1074" priority="1713" rank="1"/>
  </conditionalFormatting>
  <conditionalFormatting sqref="E213">
    <cfRule type="top10" dxfId="1073" priority="744" rank="1"/>
  </conditionalFormatting>
  <conditionalFormatting sqref="E214:E227">
    <cfRule type="top10" dxfId="1072" priority="1694" rank="1"/>
  </conditionalFormatting>
  <conditionalFormatting sqref="E242">
    <cfRule type="top10" dxfId="1071" priority="720" rank="1"/>
  </conditionalFormatting>
  <conditionalFormatting sqref="E243:E256">
    <cfRule type="top10" dxfId="1070" priority="1675" rank="1"/>
  </conditionalFormatting>
  <conditionalFormatting sqref="E271">
    <cfRule type="top10" dxfId="1069" priority="696" rank="1"/>
  </conditionalFormatting>
  <conditionalFormatting sqref="E272:E285">
    <cfRule type="top10" dxfId="1068" priority="1656" rank="1"/>
  </conditionalFormatting>
  <conditionalFormatting sqref="E300">
    <cfRule type="top10" dxfId="1067" priority="672" rank="1"/>
  </conditionalFormatting>
  <conditionalFormatting sqref="E301:E314">
    <cfRule type="top10" dxfId="1066" priority="1637" rank="1"/>
  </conditionalFormatting>
  <conditionalFormatting sqref="E318:E332">
    <cfRule type="top10" dxfId="1065" priority="1618" rank="1"/>
  </conditionalFormatting>
  <conditionalFormatting sqref="E348">
    <cfRule type="top10" dxfId="1064" priority="648" rank="1"/>
  </conditionalFormatting>
  <conditionalFormatting sqref="E349:E362">
    <cfRule type="top10" dxfId="1063" priority="1599" rank="1"/>
  </conditionalFormatting>
  <conditionalFormatting sqref="E377">
    <cfRule type="top10" dxfId="1062" priority="624" rank="1"/>
  </conditionalFormatting>
  <conditionalFormatting sqref="E378:E391">
    <cfRule type="top10" dxfId="1061" priority="1580" rank="1"/>
  </conditionalFormatting>
  <conditionalFormatting sqref="E406">
    <cfRule type="top10" dxfId="1060" priority="600" rank="1"/>
  </conditionalFormatting>
  <conditionalFormatting sqref="E407:E420">
    <cfRule type="top10" dxfId="1059" priority="1561" rank="1"/>
  </conditionalFormatting>
  <conditionalFormatting sqref="E435">
    <cfRule type="top10" dxfId="1058" priority="576" rank="1"/>
  </conditionalFormatting>
  <conditionalFormatting sqref="E436:E449">
    <cfRule type="top10" dxfId="1057" priority="1542" rank="1"/>
  </conditionalFormatting>
  <conditionalFormatting sqref="E465">
    <cfRule type="top10" dxfId="1056" priority="552" rank="1"/>
  </conditionalFormatting>
  <conditionalFormatting sqref="E466:E479">
    <cfRule type="top10" dxfId="1055" priority="1523" rank="1"/>
  </conditionalFormatting>
  <conditionalFormatting sqref="E494">
    <cfRule type="top10" dxfId="1054" priority="528" rank="1"/>
  </conditionalFormatting>
  <conditionalFormatting sqref="E495:E508">
    <cfRule type="top10" dxfId="1053" priority="1504" rank="1"/>
  </conditionalFormatting>
  <conditionalFormatting sqref="E523">
    <cfRule type="top10" dxfId="1052" priority="504" rank="1"/>
  </conditionalFormatting>
  <conditionalFormatting sqref="E524:E537">
    <cfRule type="top10" dxfId="1051" priority="1485" rank="1"/>
  </conditionalFormatting>
  <conditionalFormatting sqref="E552">
    <cfRule type="top10" dxfId="1050" priority="480" rank="1"/>
  </conditionalFormatting>
  <conditionalFormatting sqref="E553:E566">
    <cfRule type="top10" dxfId="1049" priority="1466" rank="1"/>
  </conditionalFormatting>
  <conditionalFormatting sqref="E581">
    <cfRule type="top10" dxfId="1048" priority="456" rank="1"/>
  </conditionalFormatting>
  <conditionalFormatting sqref="E582:E595">
    <cfRule type="top10" dxfId="1047" priority="1447" rank="1"/>
  </conditionalFormatting>
  <conditionalFormatting sqref="E612">
    <cfRule type="top10" dxfId="1046" priority="432" rank="1"/>
  </conditionalFormatting>
  <conditionalFormatting sqref="E613:E626">
    <cfRule type="top10" dxfId="1045" priority="1428" rank="1"/>
  </conditionalFormatting>
  <conditionalFormatting sqref="E641">
    <cfRule type="top10" dxfId="1044" priority="408" rank="1"/>
  </conditionalFormatting>
  <conditionalFormatting sqref="E642:E655">
    <cfRule type="top10" dxfId="1043" priority="1409" rank="1"/>
  </conditionalFormatting>
  <conditionalFormatting sqref="E670">
    <cfRule type="top10" dxfId="1042" priority="384" rank="1"/>
  </conditionalFormatting>
  <conditionalFormatting sqref="E671:E684">
    <cfRule type="top10" dxfId="1041" priority="1390" rank="1"/>
  </conditionalFormatting>
  <conditionalFormatting sqref="E699">
    <cfRule type="top10" dxfId="1040" priority="360" rank="1"/>
  </conditionalFormatting>
  <conditionalFormatting sqref="E700:E713">
    <cfRule type="top10" dxfId="1039" priority="1371" rank="1"/>
  </conditionalFormatting>
  <conditionalFormatting sqref="E728:E742">
    <cfRule type="top10" dxfId="1038" priority="1352" rank="1"/>
  </conditionalFormatting>
  <conditionalFormatting sqref="E757">
    <cfRule type="top10" dxfId="1037" priority="336" rank="1"/>
  </conditionalFormatting>
  <conditionalFormatting sqref="E758:E771">
    <cfRule type="top10" dxfId="1036" priority="1333" rank="1"/>
  </conditionalFormatting>
  <conditionalFormatting sqref="E786">
    <cfRule type="top10" dxfId="1035" priority="312" rank="1"/>
  </conditionalFormatting>
  <conditionalFormatting sqref="E787:E800">
    <cfRule type="top10" dxfId="1034" priority="1314" rank="1"/>
  </conditionalFormatting>
  <conditionalFormatting sqref="E804">
    <cfRule type="top10" dxfId="1033" priority="288" rank="1"/>
  </conditionalFormatting>
  <conditionalFormatting sqref="E805:E818">
    <cfRule type="top10" dxfId="1032" priority="1295" rank="1"/>
  </conditionalFormatting>
  <conditionalFormatting sqref="E833">
    <cfRule type="top10" dxfId="1031" priority="264" rank="1"/>
  </conditionalFormatting>
  <conditionalFormatting sqref="E834:E847">
    <cfRule type="top10" dxfId="1030" priority="1276" rank="1"/>
  </conditionalFormatting>
  <conditionalFormatting sqref="E861">
    <cfRule type="top10" dxfId="1029" priority="240" rank="1"/>
  </conditionalFormatting>
  <conditionalFormatting sqref="E862:E875">
    <cfRule type="top10" dxfId="1028" priority="1257" rank="1"/>
  </conditionalFormatting>
  <conditionalFormatting sqref="E890">
    <cfRule type="top10" dxfId="1027" priority="216" rank="1"/>
  </conditionalFormatting>
  <conditionalFormatting sqref="E891:E904">
    <cfRule type="top10" dxfId="1026" priority="1238" rank="1"/>
  </conditionalFormatting>
  <conditionalFormatting sqref="E919">
    <cfRule type="top10" dxfId="1025" priority="192" rank="1"/>
  </conditionalFormatting>
  <conditionalFormatting sqref="E920:E933">
    <cfRule type="top10" dxfId="1024" priority="1219" rank="1"/>
  </conditionalFormatting>
  <conditionalFormatting sqref="E948">
    <cfRule type="top10" dxfId="1023" priority="168" rank="1"/>
  </conditionalFormatting>
  <conditionalFormatting sqref="E949:E962">
    <cfRule type="top10" dxfId="1022" priority="1200" rank="1"/>
  </conditionalFormatting>
  <conditionalFormatting sqref="E979">
    <cfRule type="top10" dxfId="1021" priority="144" rank="1"/>
  </conditionalFormatting>
  <conditionalFormatting sqref="E980:E993">
    <cfRule type="top10" dxfId="1020" priority="1181" rank="1"/>
  </conditionalFormatting>
  <conditionalFormatting sqref="E1008">
    <cfRule type="top10" dxfId="1019" priority="120" rank="1"/>
  </conditionalFormatting>
  <conditionalFormatting sqref="E1009:E1022">
    <cfRule type="top10" dxfId="1018" priority="1162" rank="1"/>
  </conditionalFormatting>
  <conditionalFormatting sqref="E1037">
    <cfRule type="top10" dxfId="1017" priority="96" rank="1"/>
  </conditionalFormatting>
  <conditionalFormatting sqref="E1038:E1051">
    <cfRule type="top10" dxfId="1016" priority="1143" rank="1"/>
  </conditionalFormatting>
  <conditionalFormatting sqref="E1066">
    <cfRule type="top10" dxfId="1015" priority="72" rank="1"/>
  </conditionalFormatting>
  <conditionalFormatting sqref="E1067:E1080">
    <cfRule type="top10" dxfId="1014" priority="1124" rank="1"/>
  </conditionalFormatting>
  <conditionalFormatting sqref="E1095">
    <cfRule type="top10" dxfId="1013" priority="48" rank="1"/>
  </conditionalFormatting>
  <conditionalFormatting sqref="E1096:E1109">
    <cfRule type="top10" dxfId="1012" priority="1105" rank="1"/>
  </conditionalFormatting>
  <conditionalFormatting sqref="E1126:E1140">
    <cfRule type="top10" dxfId="1011" priority="1086" rank="1"/>
  </conditionalFormatting>
  <conditionalFormatting sqref="E1147">
    <cfRule type="top10" dxfId="1010" priority="24" rank="1"/>
  </conditionalFormatting>
  <conditionalFormatting sqref="E1148:E1161">
    <cfRule type="top10" dxfId="1009" priority="1067" rank="1"/>
  </conditionalFormatting>
  <conditionalFormatting sqref="E1164:E1177">
    <cfRule type="top10" dxfId="1008" priority="1048" rank="1"/>
  </conditionalFormatting>
  <conditionalFormatting sqref="E1178:E1180">
    <cfRule type="top10" dxfId="1006" priority="943" rank="1"/>
  </conditionalFormatting>
  <conditionalFormatting sqref="E9:P23">
    <cfRule type="top10" dxfId="1005" priority="1774" rank="1"/>
    <cfRule type="top10" dxfId="1004" priority="1775" rank="1"/>
  </conditionalFormatting>
  <conditionalFormatting sqref="E38:P38">
    <cfRule type="top10" dxfId="1003" priority="842" rank="1"/>
    <cfRule type="top10" dxfId="1002" priority="843" rank="1"/>
  </conditionalFormatting>
  <conditionalFormatting sqref="E39:P52">
    <cfRule type="top10" dxfId="1001" priority="1772" rank="1"/>
    <cfRule type="top10" dxfId="1000" priority="1773" rank="1"/>
  </conditionalFormatting>
  <conditionalFormatting sqref="E66:P66">
    <cfRule type="top10" dxfId="999" priority="818" rank="1"/>
    <cfRule type="top10" dxfId="998" priority="819" rank="1"/>
  </conditionalFormatting>
  <conditionalFormatting sqref="E67:P80">
    <cfRule type="top10" dxfId="997" priority="1771" rank="1"/>
  </conditionalFormatting>
  <conditionalFormatting sqref="E95:P95">
    <cfRule type="top10" dxfId="996" priority="794" rank="1"/>
    <cfRule type="top10" dxfId="995" priority="795" rank="1"/>
  </conditionalFormatting>
  <conditionalFormatting sqref="E96:P109">
    <cfRule type="top10" dxfId="994" priority="1752" rank="1"/>
  </conditionalFormatting>
  <conditionalFormatting sqref="E124:P124">
    <cfRule type="top10" dxfId="993" priority="770" rank="1"/>
    <cfRule type="top10" dxfId="992" priority="771" rank="1"/>
  </conditionalFormatting>
  <conditionalFormatting sqref="E125:P138">
    <cfRule type="top10" dxfId="991" priority="1733" rank="1"/>
  </conditionalFormatting>
  <conditionalFormatting sqref="E155:P169">
    <cfRule type="top10" dxfId="990" priority="1714" rank="1"/>
  </conditionalFormatting>
  <conditionalFormatting sqref="E184:P184">
    <cfRule type="top10" dxfId="989" priority="746" rank="1"/>
    <cfRule type="top10" dxfId="988" priority="747" rank="1"/>
  </conditionalFormatting>
  <conditionalFormatting sqref="E185:P198">
    <cfRule type="top10" dxfId="987" priority="1695" rank="1"/>
  </conditionalFormatting>
  <conditionalFormatting sqref="E213:P213">
    <cfRule type="top10" dxfId="986" priority="722" rank="1"/>
    <cfRule type="top10" dxfId="985" priority="723" rank="1"/>
  </conditionalFormatting>
  <conditionalFormatting sqref="E214:P227">
    <cfRule type="top10" dxfId="984" priority="1676" rank="1"/>
  </conditionalFormatting>
  <conditionalFormatting sqref="E242:P242">
    <cfRule type="top10" dxfId="983" priority="698" rank="1"/>
    <cfRule type="top10" dxfId="982" priority="699" rank="1"/>
  </conditionalFormatting>
  <conditionalFormatting sqref="E243:P256">
    <cfRule type="top10" dxfId="981" priority="1657" rank="1"/>
  </conditionalFormatting>
  <conditionalFormatting sqref="E271:P271">
    <cfRule type="top10" dxfId="980" priority="674" rank="1"/>
    <cfRule type="top10" dxfId="979" priority="675" rank="1"/>
  </conditionalFormatting>
  <conditionalFormatting sqref="E272:P285">
    <cfRule type="top10" dxfId="978" priority="1638" rank="1"/>
  </conditionalFormatting>
  <conditionalFormatting sqref="E300:P300">
    <cfRule type="top10" dxfId="977" priority="650" rank="1"/>
    <cfRule type="top10" dxfId="976" priority="651" rank="1"/>
  </conditionalFormatting>
  <conditionalFormatting sqref="K301:P307 E301:J314 K309:P314">
    <cfRule type="top10" dxfId="975" priority="1619" rank="1"/>
  </conditionalFormatting>
  <conditionalFormatting sqref="E318:P332">
    <cfRule type="top10" dxfId="974" priority="1600" rank="1"/>
  </conditionalFormatting>
  <conditionalFormatting sqref="E348:P348">
    <cfRule type="top10" dxfId="973" priority="626" rank="1"/>
    <cfRule type="top10" dxfId="972" priority="627" rank="1"/>
  </conditionalFormatting>
  <conditionalFormatting sqref="E349:P362">
    <cfRule type="top10" dxfId="971" priority="1581" rank="1"/>
  </conditionalFormatting>
  <conditionalFormatting sqref="E377:P377">
    <cfRule type="top10" dxfId="970" priority="602" rank="1"/>
    <cfRule type="top10" dxfId="969" priority="603" rank="1"/>
  </conditionalFormatting>
  <conditionalFormatting sqref="E378:P391">
    <cfRule type="top10" dxfId="968" priority="1562" rank="1"/>
  </conditionalFormatting>
  <conditionalFormatting sqref="E406:P406">
    <cfRule type="top10" dxfId="967" priority="578" rank="1"/>
    <cfRule type="top10" dxfId="966" priority="579" rank="1"/>
  </conditionalFormatting>
  <conditionalFormatting sqref="E407:P420">
    <cfRule type="top10" dxfId="965" priority="1543" rank="1"/>
  </conditionalFormatting>
  <conditionalFormatting sqref="E435:P435">
    <cfRule type="top10" dxfId="964" priority="554" rank="1"/>
    <cfRule type="top10" dxfId="963" priority="555" rank="1"/>
  </conditionalFormatting>
  <conditionalFormatting sqref="E436:P449">
    <cfRule type="top10" dxfId="962" priority="1524" rank="1"/>
  </conditionalFormatting>
  <conditionalFormatting sqref="E465:P465">
    <cfRule type="top10" dxfId="961" priority="530" rank="1"/>
    <cfRule type="top10" dxfId="960" priority="531" rank="1"/>
  </conditionalFormatting>
  <conditionalFormatting sqref="E466:P479">
    <cfRule type="top10" dxfId="959" priority="1505" rank="1"/>
  </conditionalFormatting>
  <conditionalFormatting sqref="E494:P494">
    <cfRule type="top10" dxfId="958" priority="506" rank="1"/>
    <cfRule type="top10" dxfId="957" priority="507" rank="1"/>
  </conditionalFormatting>
  <conditionalFormatting sqref="E495:P508">
    <cfRule type="top10" dxfId="956" priority="1486" rank="1"/>
  </conditionalFormatting>
  <conditionalFormatting sqref="E523:P523">
    <cfRule type="top10" dxfId="955" priority="482" rank="1"/>
    <cfRule type="top10" dxfId="954" priority="483" rank="1"/>
  </conditionalFormatting>
  <conditionalFormatting sqref="E524:P537">
    <cfRule type="top10" dxfId="953" priority="1467" rank="1"/>
  </conditionalFormatting>
  <conditionalFormatting sqref="E552:P552">
    <cfRule type="top10" dxfId="952" priority="458" rank="1"/>
    <cfRule type="top10" dxfId="951" priority="459" rank="1"/>
  </conditionalFormatting>
  <conditionalFormatting sqref="E553:P566">
    <cfRule type="top10" dxfId="950" priority="1448" rank="1"/>
  </conditionalFormatting>
  <conditionalFormatting sqref="E581:P581">
    <cfRule type="top10" dxfId="949" priority="434" rank="1"/>
    <cfRule type="top10" dxfId="948" priority="435" rank="1"/>
  </conditionalFormatting>
  <conditionalFormatting sqref="E582:P595">
    <cfRule type="top10" dxfId="947" priority="1429" rank="1"/>
  </conditionalFormatting>
  <conditionalFormatting sqref="E612:P612">
    <cfRule type="top10" dxfId="946" priority="410" rank="1"/>
    <cfRule type="top10" dxfId="945" priority="411" rank="1"/>
  </conditionalFormatting>
  <conditionalFormatting sqref="E613:P626">
    <cfRule type="top10" dxfId="944" priority="1410" rank="1"/>
  </conditionalFormatting>
  <conditionalFormatting sqref="E641:P641">
    <cfRule type="top10" dxfId="943" priority="386" rank="1"/>
    <cfRule type="top10" dxfId="942" priority="387" rank="1"/>
  </conditionalFormatting>
  <conditionalFormatting sqref="E642:P655">
    <cfRule type="top10" dxfId="941" priority="1391" rank="1"/>
  </conditionalFormatting>
  <conditionalFormatting sqref="E670:P670">
    <cfRule type="top10" dxfId="940" priority="362" rank="1"/>
    <cfRule type="top10" dxfId="939" priority="363" rank="1"/>
  </conditionalFormatting>
  <conditionalFormatting sqref="E671:P684">
    <cfRule type="top10" dxfId="938" priority="1372" rank="1"/>
  </conditionalFormatting>
  <conditionalFormatting sqref="E699:P699">
    <cfRule type="top10" dxfId="937" priority="338" rank="1"/>
    <cfRule type="top10" dxfId="936" priority="339" rank="1"/>
  </conditionalFormatting>
  <conditionalFormatting sqref="E700:P713">
    <cfRule type="top10" dxfId="935" priority="1353" rank="1"/>
  </conditionalFormatting>
  <conditionalFormatting sqref="E728:P742">
    <cfRule type="top10" dxfId="934" priority="1334" rank="1"/>
  </conditionalFormatting>
  <conditionalFormatting sqref="E757:P757">
    <cfRule type="top10" dxfId="933" priority="314" rank="1"/>
    <cfRule type="top10" dxfId="932" priority="315" rank="1"/>
  </conditionalFormatting>
  <conditionalFormatting sqref="E758:P771">
    <cfRule type="top10" dxfId="931" priority="1315" rank="1"/>
  </conditionalFormatting>
  <conditionalFormatting sqref="E786:P786">
    <cfRule type="top10" dxfId="930" priority="290" rank="1"/>
    <cfRule type="top10" dxfId="929" priority="291" rank="1"/>
  </conditionalFormatting>
  <conditionalFormatting sqref="E787:P800">
    <cfRule type="top10" dxfId="928" priority="1296" rank="1"/>
  </conditionalFormatting>
  <conditionalFormatting sqref="E804:P804">
    <cfRule type="top10" dxfId="927" priority="266" rank="1"/>
    <cfRule type="top10" dxfId="926" priority="267" rank="1"/>
  </conditionalFormatting>
  <conditionalFormatting sqref="E805:P818">
    <cfRule type="top10" dxfId="925" priority="1277" rank="1"/>
  </conditionalFormatting>
  <conditionalFormatting sqref="E833:P833">
    <cfRule type="top10" dxfId="924" priority="242" rank="1"/>
    <cfRule type="top10" dxfId="923" priority="243" rank="1"/>
  </conditionalFormatting>
  <conditionalFormatting sqref="E834:P847">
    <cfRule type="top10" dxfId="922" priority="1258" rank="1"/>
  </conditionalFormatting>
  <conditionalFormatting sqref="E861:P861">
    <cfRule type="top10" dxfId="921" priority="218" rank="1"/>
    <cfRule type="top10" dxfId="920" priority="219" rank="1"/>
  </conditionalFormatting>
  <conditionalFormatting sqref="E862:P875">
    <cfRule type="top10" dxfId="919" priority="1239" rank="1"/>
  </conditionalFormatting>
  <conditionalFormatting sqref="E890:P890">
    <cfRule type="top10" dxfId="918" priority="194" rank="1"/>
    <cfRule type="top10" dxfId="917" priority="195" rank="1"/>
  </conditionalFormatting>
  <conditionalFormatting sqref="E891:P904">
    <cfRule type="top10" dxfId="916" priority="1220" rank="1"/>
  </conditionalFormatting>
  <conditionalFormatting sqref="E919:P919">
    <cfRule type="top10" dxfId="915" priority="170" rank="1"/>
    <cfRule type="top10" dxfId="914" priority="171" rank="1"/>
  </conditionalFormatting>
  <conditionalFormatting sqref="E920:P933">
    <cfRule type="top10" dxfId="913" priority="1201" rank="1"/>
  </conditionalFormatting>
  <conditionalFormatting sqref="E948:P948">
    <cfRule type="top10" dxfId="912" priority="146" rank="1"/>
    <cfRule type="top10" dxfId="911" priority="147" rank="1"/>
  </conditionalFormatting>
  <conditionalFormatting sqref="E949:P962">
    <cfRule type="top10" dxfId="910" priority="1182" rank="1"/>
  </conditionalFormatting>
  <conditionalFormatting sqref="E979:P979">
    <cfRule type="top10" dxfId="909" priority="122" rank="1"/>
    <cfRule type="top10" dxfId="908" priority="123" rank="1"/>
  </conditionalFormatting>
  <conditionalFormatting sqref="E980:P993">
    <cfRule type="top10" dxfId="907" priority="1163" rank="1"/>
  </conditionalFormatting>
  <conditionalFormatting sqref="E1008:P1008">
    <cfRule type="top10" dxfId="906" priority="98" rank="1"/>
    <cfRule type="top10" dxfId="905" priority="99" rank="1"/>
  </conditionalFormatting>
  <conditionalFormatting sqref="E1009:P1022">
    <cfRule type="top10" dxfId="904" priority="1144" rank="1"/>
  </conditionalFormatting>
  <conditionalFormatting sqref="E1037:P1037">
    <cfRule type="top10" dxfId="903" priority="74" rank="1"/>
    <cfRule type="top10" dxfId="902" priority="75" rank="1"/>
  </conditionalFormatting>
  <conditionalFormatting sqref="E1038:P1051">
    <cfRule type="top10" dxfId="901" priority="1125" rank="1"/>
  </conditionalFormatting>
  <conditionalFormatting sqref="E1066:P1066">
    <cfRule type="top10" dxfId="900" priority="50" rank="1"/>
    <cfRule type="top10" dxfId="899" priority="51" rank="1"/>
  </conditionalFormatting>
  <conditionalFormatting sqref="E1067:P1080">
    <cfRule type="top10" dxfId="898" priority="1106" rank="1"/>
  </conditionalFormatting>
  <conditionalFormatting sqref="E1095:P1095">
    <cfRule type="top10" dxfId="897" priority="26" rank="1"/>
    <cfRule type="top10" dxfId="896" priority="27" rank="1"/>
  </conditionalFormatting>
  <conditionalFormatting sqref="E1096:P1109">
    <cfRule type="top10" dxfId="895" priority="1087" rank="1"/>
  </conditionalFormatting>
  <conditionalFormatting sqref="E1126:P1140">
    <cfRule type="top10" dxfId="894" priority="1068" rank="1"/>
  </conditionalFormatting>
  <conditionalFormatting sqref="E1147:P1147">
    <cfRule type="top10" dxfId="893" priority="2" rank="1"/>
    <cfRule type="top10" dxfId="892" priority="3" rank="1"/>
  </conditionalFormatting>
  <conditionalFormatting sqref="E1148:P1161">
    <cfRule type="top10" dxfId="891" priority="1049" rank="1"/>
  </conditionalFormatting>
  <conditionalFormatting sqref="E1164:P1177">
    <cfRule type="top10" dxfId="890" priority="1030" rank="1"/>
  </conditionalFormatting>
  <conditionalFormatting sqref="F9:F23">
    <cfRule type="top10" dxfId="886" priority="1921" rank="1"/>
  </conditionalFormatting>
  <conditionalFormatting sqref="F38">
    <cfRule type="top10" dxfId="885" priority="863" rank="1"/>
  </conditionalFormatting>
  <conditionalFormatting sqref="F39:F52">
    <cfRule type="top10" dxfId="884" priority="1907" rank="1"/>
  </conditionalFormatting>
  <conditionalFormatting sqref="F66">
    <cfRule type="top10" dxfId="883" priority="839" rank="1"/>
  </conditionalFormatting>
  <conditionalFormatting sqref="F67:F80">
    <cfRule type="top10" dxfId="882" priority="1903" rank="1"/>
  </conditionalFormatting>
  <conditionalFormatting sqref="F95">
    <cfRule type="top10" dxfId="881" priority="815" rank="1"/>
  </conditionalFormatting>
  <conditionalFormatting sqref="F96:F109">
    <cfRule type="top10" dxfId="880" priority="1769" rank="1"/>
  </conditionalFormatting>
  <conditionalFormatting sqref="F124">
    <cfRule type="top10" dxfId="879" priority="791" rank="1"/>
  </conditionalFormatting>
  <conditionalFormatting sqref="F125:F138">
    <cfRule type="top10" dxfId="878" priority="1750" rank="1"/>
  </conditionalFormatting>
  <conditionalFormatting sqref="F155:F169">
    <cfRule type="top10" dxfId="877" priority="1731" rank="1"/>
  </conditionalFormatting>
  <conditionalFormatting sqref="F184">
    <cfRule type="top10" dxfId="876" priority="767" rank="1"/>
  </conditionalFormatting>
  <conditionalFormatting sqref="F185:F198">
    <cfRule type="top10" dxfId="875" priority="1712" rank="1"/>
  </conditionalFormatting>
  <conditionalFormatting sqref="F213">
    <cfRule type="top10" dxfId="874" priority="743" rank="1"/>
  </conditionalFormatting>
  <conditionalFormatting sqref="F214:F227">
    <cfRule type="top10" dxfId="873" priority="1693" rank="1"/>
  </conditionalFormatting>
  <conditionalFormatting sqref="F242">
    <cfRule type="top10" dxfId="872" priority="719" rank="1"/>
  </conditionalFormatting>
  <conditionalFormatting sqref="F243:F256">
    <cfRule type="top10" dxfId="871" priority="1674" rank="1"/>
  </conditionalFormatting>
  <conditionalFormatting sqref="F271">
    <cfRule type="top10" dxfId="870" priority="695" rank="1"/>
  </conditionalFormatting>
  <conditionalFormatting sqref="F272:F285">
    <cfRule type="top10" dxfId="869" priority="1655" rank="1"/>
  </conditionalFormatting>
  <conditionalFormatting sqref="F300">
    <cfRule type="top10" dxfId="868" priority="671" rank="1"/>
  </conditionalFormatting>
  <conditionalFormatting sqref="F301:F314">
    <cfRule type="top10" dxfId="867" priority="1636" rank="1"/>
  </conditionalFormatting>
  <conditionalFormatting sqref="F318:F332">
    <cfRule type="top10" dxfId="866" priority="1617" rank="1"/>
  </conditionalFormatting>
  <conditionalFormatting sqref="F348">
    <cfRule type="top10" dxfId="865" priority="647" rank="1"/>
  </conditionalFormatting>
  <conditionalFormatting sqref="F349:F362">
    <cfRule type="top10" dxfId="864" priority="1598" rank="1"/>
  </conditionalFormatting>
  <conditionalFormatting sqref="F377">
    <cfRule type="top10" dxfId="863" priority="623" rank="1"/>
  </conditionalFormatting>
  <conditionalFormatting sqref="F378:F391">
    <cfRule type="top10" dxfId="862" priority="1579" rank="1"/>
  </conditionalFormatting>
  <conditionalFormatting sqref="F406">
    <cfRule type="top10" dxfId="861" priority="599" rank="1"/>
  </conditionalFormatting>
  <conditionalFormatting sqref="F407:F420">
    <cfRule type="top10" dxfId="860" priority="1560" rank="1"/>
  </conditionalFormatting>
  <conditionalFormatting sqref="F435">
    <cfRule type="top10" dxfId="859" priority="575" rank="1"/>
  </conditionalFormatting>
  <conditionalFormatting sqref="F436:F449">
    <cfRule type="top10" dxfId="858" priority="1541" rank="1"/>
  </conditionalFormatting>
  <conditionalFormatting sqref="F465">
    <cfRule type="top10" dxfId="857" priority="551" rank="1"/>
  </conditionalFormatting>
  <conditionalFormatting sqref="F466:F479">
    <cfRule type="top10" dxfId="856" priority="1522" rank="1"/>
  </conditionalFormatting>
  <conditionalFormatting sqref="F494">
    <cfRule type="top10" dxfId="855" priority="527" rank="1"/>
  </conditionalFormatting>
  <conditionalFormatting sqref="F495:F508">
    <cfRule type="top10" dxfId="854" priority="1503" rank="1"/>
  </conditionalFormatting>
  <conditionalFormatting sqref="F523">
    <cfRule type="top10" dxfId="853" priority="503" rank="1"/>
  </conditionalFormatting>
  <conditionalFormatting sqref="F524:F537">
    <cfRule type="top10" dxfId="852" priority="1484" rank="1"/>
  </conditionalFormatting>
  <conditionalFormatting sqref="F552">
    <cfRule type="top10" dxfId="851" priority="479" rank="1"/>
  </conditionalFormatting>
  <conditionalFormatting sqref="F553:F566">
    <cfRule type="top10" dxfId="850" priority="1465" rank="1"/>
  </conditionalFormatting>
  <conditionalFormatting sqref="F581">
    <cfRule type="top10" dxfId="849" priority="455" rank="1"/>
  </conditionalFormatting>
  <conditionalFormatting sqref="F582:F595">
    <cfRule type="top10" dxfId="848" priority="1446" rank="1"/>
  </conditionalFormatting>
  <conditionalFormatting sqref="F612">
    <cfRule type="top10" dxfId="847" priority="431" rank="1"/>
  </conditionalFormatting>
  <conditionalFormatting sqref="F613:F626">
    <cfRule type="top10" dxfId="846" priority="1427" rank="1"/>
  </conditionalFormatting>
  <conditionalFormatting sqref="F641">
    <cfRule type="top10" dxfId="845" priority="407" rank="1"/>
  </conditionalFormatting>
  <conditionalFormatting sqref="F642:F655">
    <cfRule type="top10" dxfId="844" priority="1408" rank="1"/>
  </conditionalFormatting>
  <conditionalFormatting sqref="F670">
    <cfRule type="top10" dxfId="843" priority="383" rank="1"/>
  </conditionalFormatting>
  <conditionalFormatting sqref="F671:F684">
    <cfRule type="top10" dxfId="842" priority="1389" rank="1"/>
  </conditionalFormatting>
  <conditionalFormatting sqref="F699">
    <cfRule type="top10" dxfId="841" priority="359" rank="1"/>
  </conditionalFormatting>
  <conditionalFormatting sqref="F700:F713">
    <cfRule type="top10" dxfId="840" priority="1370" rank="1"/>
  </conditionalFormatting>
  <conditionalFormatting sqref="F728:F742">
    <cfRule type="top10" dxfId="839" priority="1351" rank="1"/>
  </conditionalFormatting>
  <conditionalFormatting sqref="F757">
    <cfRule type="top10" dxfId="838" priority="335" rank="1"/>
  </conditionalFormatting>
  <conditionalFormatting sqref="F758:F771">
    <cfRule type="top10" dxfId="837" priority="1332" rank="1"/>
  </conditionalFormatting>
  <conditionalFormatting sqref="F786">
    <cfRule type="top10" dxfId="836" priority="311" rank="1"/>
  </conditionalFormatting>
  <conditionalFormatting sqref="F787:F800">
    <cfRule type="top10" dxfId="835" priority="1313" rank="1"/>
  </conditionalFormatting>
  <conditionalFormatting sqref="F804">
    <cfRule type="top10" dxfId="834" priority="287" rank="1"/>
  </conditionalFormatting>
  <conditionalFormatting sqref="F805:F818">
    <cfRule type="top10" dxfId="833" priority="1294" rank="1"/>
  </conditionalFormatting>
  <conditionalFormatting sqref="F833">
    <cfRule type="top10" dxfId="832" priority="263" rank="1"/>
  </conditionalFormatting>
  <conditionalFormatting sqref="F834:F847">
    <cfRule type="top10" dxfId="831" priority="1275" rank="1"/>
  </conditionalFormatting>
  <conditionalFormatting sqref="F861">
    <cfRule type="top10" dxfId="830" priority="239" rank="1"/>
  </conditionalFormatting>
  <conditionalFormatting sqref="F862:F875">
    <cfRule type="top10" dxfId="829" priority="1256" rank="1"/>
  </conditionalFormatting>
  <conditionalFormatting sqref="F890">
    <cfRule type="top10" dxfId="828" priority="215" rank="1"/>
  </conditionalFormatting>
  <conditionalFormatting sqref="F891:F904">
    <cfRule type="top10" dxfId="827" priority="1237" rank="1"/>
  </conditionalFormatting>
  <conditionalFormatting sqref="F919">
    <cfRule type="top10" dxfId="826" priority="191" rank="1"/>
  </conditionalFormatting>
  <conditionalFormatting sqref="F920:F933">
    <cfRule type="top10" dxfId="825" priority="1218" rank="1"/>
  </conditionalFormatting>
  <conditionalFormatting sqref="F948">
    <cfRule type="top10" dxfId="824" priority="167" rank="1"/>
  </conditionalFormatting>
  <conditionalFormatting sqref="F949:F962">
    <cfRule type="top10" dxfId="823" priority="1199" rank="1"/>
  </conditionalFormatting>
  <conditionalFormatting sqref="F979">
    <cfRule type="top10" dxfId="822" priority="143" rank="1"/>
  </conditionalFormatting>
  <conditionalFormatting sqref="F980:F993">
    <cfRule type="top10" dxfId="821" priority="1180" rank="1"/>
  </conditionalFormatting>
  <conditionalFormatting sqref="F1008">
    <cfRule type="top10" dxfId="820" priority="119" rank="1"/>
  </conditionalFormatting>
  <conditionalFormatting sqref="F1009:F1022">
    <cfRule type="top10" dxfId="819" priority="1161" rank="1"/>
  </conditionalFormatting>
  <conditionalFormatting sqref="F1037">
    <cfRule type="top10" dxfId="818" priority="95" rank="1"/>
  </conditionalFormatting>
  <conditionalFormatting sqref="F1038:F1051">
    <cfRule type="top10" dxfId="817" priority="1142" rank="1"/>
  </conditionalFormatting>
  <conditionalFormatting sqref="F1066">
    <cfRule type="top10" dxfId="816" priority="71" rank="1"/>
  </conditionalFormatting>
  <conditionalFormatting sqref="F1067:F1080">
    <cfRule type="top10" dxfId="815" priority="1123" rank="1"/>
  </conditionalFormatting>
  <conditionalFormatting sqref="F1095">
    <cfRule type="top10" dxfId="814" priority="47" rank="1"/>
  </conditionalFormatting>
  <conditionalFormatting sqref="F1096:F1109">
    <cfRule type="top10" dxfId="813" priority="1104" rank="1"/>
  </conditionalFormatting>
  <conditionalFormatting sqref="F1126:F1140">
    <cfRule type="top10" dxfId="812" priority="1085" rank="1"/>
  </conditionalFormatting>
  <conditionalFormatting sqref="F1147">
    <cfRule type="top10" dxfId="811" priority="23" rank="1"/>
  </conditionalFormatting>
  <conditionalFormatting sqref="F1148:F1161">
    <cfRule type="top10" dxfId="810" priority="1066" rank="1"/>
  </conditionalFormatting>
  <conditionalFormatting sqref="F1164:F1177">
    <cfRule type="top10" dxfId="809" priority="1047" rank="1"/>
  </conditionalFormatting>
  <conditionalFormatting sqref="F1178:F1180">
    <cfRule type="top10" dxfId="807" priority="940" rank="1"/>
  </conditionalFormatting>
  <conditionalFormatting sqref="G9:G23">
    <cfRule type="top10" dxfId="806" priority="1920" rank="1"/>
  </conditionalFormatting>
  <conditionalFormatting sqref="G38">
    <cfRule type="top10" dxfId="805" priority="862" rank="1"/>
  </conditionalFormatting>
  <conditionalFormatting sqref="G39:G52">
    <cfRule type="top10" dxfId="804" priority="1906" rank="1"/>
  </conditionalFormatting>
  <conditionalFormatting sqref="G66">
    <cfRule type="top10" dxfId="803" priority="838" rank="1"/>
  </conditionalFormatting>
  <conditionalFormatting sqref="G67:G80">
    <cfRule type="top10" dxfId="802" priority="1902" rank="1"/>
  </conditionalFormatting>
  <conditionalFormatting sqref="G95">
    <cfRule type="top10" dxfId="801" priority="814" rank="1"/>
  </conditionalFormatting>
  <conditionalFormatting sqref="G96:G109">
    <cfRule type="top10" dxfId="800" priority="1768" rank="1"/>
  </conditionalFormatting>
  <conditionalFormatting sqref="G124">
    <cfRule type="top10" dxfId="799" priority="790" rank="1"/>
  </conditionalFormatting>
  <conditionalFormatting sqref="G125:G138">
    <cfRule type="top10" dxfId="798" priority="1749" rank="1"/>
  </conditionalFormatting>
  <conditionalFormatting sqref="G155:G169">
    <cfRule type="top10" dxfId="797" priority="1730" rank="1"/>
  </conditionalFormatting>
  <conditionalFormatting sqref="G184">
    <cfRule type="top10" dxfId="796" priority="766" rank="1"/>
  </conditionalFormatting>
  <conditionalFormatting sqref="G185:G198">
    <cfRule type="top10" dxfId="795" priority="1711" rank="1"/>
  </conditionalFormatting>
  <conditionalFormatting sqref="G213">
    <cfRule type="top10" dxfId="794" priority="742" rank="1"/>
  </conditionalFormatting>
  <conditionalFormatting sqref="G214:G227">
    <cfRule type="top10" dxfId="793" priority="1692" rank="1"/>
  </conditionalFormatting>
  <conditionalFormatting sqref="G242">
    <cfRule type="top10" dxfId="792" priority="718" rank="1"/>
  </conditionalFormatting>
  <conditionalFormatting sqref="G243:G256">
    <cfRule type="top10" dxfId="791" priority="1673" rank="1"/>
  </conditionalFormatting>
  <conditionalFormatting sqref="G271">
    <cfRule type="top10" dxfId="790" priority="694" rank="1"/>
  </conditionalFormatting>
  <conditionalFormatting sqref="G272:G285">
    <cfRule type="top10" dxfId="789" priority="1654" rank="1"/>
  </conditionalFormatting>
  <conditionalFormatting sqref="G300">
    <cfRule type="top10" dxfId="788" priority="670" rank="1"/>
  </conditionalFormatting>
  <conditionalFormatting sqref="G301:G314">
    <cfRule type="top10" dxfId="787" priority="1635" rank="1"/>
  </conditionalFormatting>
  <conditionalFormatting sqref="G318:G332">
    <cfRule type="top10" dxfId="786" priority="1616" rank="1"/>
  </conditionalFormatting>
  <conditionalFormatting sqref="G348">
    <cfRule type="top10" dxfId="785" priority="646" rank="1"/>
  </conditionalFormatting>
  <conditionalFormatting sqref="G349:G362">
    <cfRule type="top10" dxfId="784" priority="1597" rank="1"/>
  </conditionalFormatting>
  <conditionalFormatting sqref="G377">
    <cfRule type="top10" dxfId="783" priority="622" rank="1"/>
  </conditionalFormatting>
  <conditionalFormatting sqref="G378:G391">
    <cfRule type="top10" dxfId="782" priority="1578" rank="1"/>
  </conditionalFormatting>
  <conditionalFormatting sqref="G406">
    <cfRule type="top10" dxfId="781" priority="598" rank="1"/>
  </conditionalFormatting>
  <conditionalFormatting sqref="G407:G420">
    <cfRule type="top10" dxfId="780" priority="1559" rank="1"/>
  </conditionalFormatting>
  <conditionalFormatting sqref="G435">
    <cfRule type="top10" dxfId="779" priority="574" rank="1"/>
  </conditionalFormatting>
  <conditionalFormatting sqref="G436:G449">
    <cfRule type="top10" dxfId="778" priority="1540" rank="1"/>
  </conditionalFormatting>
  <conditionalFormatting sqref="G465">
    <cfRule type="top10" dxfId="777" priority="550" rank="1"/>
  </conditionalFormatting>
  <conditionalFormatting sqref="G466:G479">
    <cfRule type="top10" dxfId="776" priority="1521" rank="1"/>
  </conditionalFormatting>
  <conditionalFormatting sqref="G494">
    <cfRule type="top10" dxfId="775" priority="526" rank="1"/>
  </conditionalFormatting>
  <conditionalFormatting sqref="G495:G508">
    <cfRule type="top10" dxfId="774" priority="1502" rank="1"/>
  </conditionalFormatting>
  <conditionalFormatting sqref="G523">
    <cfRule type="top10" dxfId="773" priority="502" rank="1"/>
  </conditionalFormatting>
  <conditionalFormatting sqref="G524:G537">
    <cfRule type="top10" dxfId="772" priority="1483" rank="1"/>
  </conditionalFormatting>
  <conditionalFormatting sqref="G552">
    <cfRule type="top10" dxfId="771" priority="478" rank="1"/>
  </conditionalFormatting>
  <conditionalFormatting sqref="G553:G566">
    <cfRule type="top10" dxfId="770" priority="1464" rank="1"/>
  </conditionalFormatting>
  <conditionalFormatting sqref="G581">
    <cfRule type="top10" dxfId="769" priority="454" rank="1"/>
  </conditionalFormatting>
  <conditionalFormatting sqref="G582:G595">
    <cfRule type="top10" dxfId="768" priority="1445" rank="1"/>
  </conditionalFormatting>
  <conditionalFormatting sqref="G612">
    <cfRule type="top10" dxfId="767" priority="430" rank="1"/>
  </conditionalFormatting>
  <conditionalFormatting sqref="G613:G626">
    <cfRule type="top10" dxfId="766" priority="1426" rank="1"/>
  </conditionalFormatting>
  <conditionalFormatting sqref="G641">
    <cfRule type="top10" dxfId="765" priority="406" rank="1"/>
  </conditionalFormatting>
  <conditionalFormatting sqref="G642:G655">
    <cfRule type="top10" dxfId="764" priority="1407" rank="1"/>
  </conditionalFormatting>
  <conditionalFormatting sqref="G670">
    <cfRule type="top10" dxfId="763" priority="382" rank="1"/>
  </conditionalFormatting>
  <conditionalFormatting sqref="G671:G684">
    <cfRule type="top10" dxfId="762" priority="1388" rank="1"/>
  </conditionalFormatting>
  <conditionalFormatting sqref="G699">
    <cfRule type="top10" dxfId="761" priority="358" rank="1"/>
  </conditionalFormatting>
  <conditionalFormatting sqref="G700:G713">
    <cfRule type="top10" dxfId="760" priority="1369" rank="1"/>
  </conditionalFormatting>
  <conditionalFormatting sqref="G728:G742">
    <cfRule type="top10" dxfId="759" priority="1350" rank="1"/>
  </conditionalFormatting>
  <conditionalFormatting sqref="G757">
    <cfRule type="top10" dxfId="758" priority="334" rank="1"/>
  </conditionalFormatting>
  <conditionalFormatting sqref="G758:G771">
    <cfRule type="top10" dxfId="757" priority="1331" rank="1"/>
  </conditionalFormatting>
  <conditionalFormatting sqref="G786">
    <cfRule type="top10" dxfId="756" priority="310" rank="1"/>
  </conditionalFormatting>
  <conditionalFormatting sqref="G787:G800">
    <cfRule type="top10" dxfId="755" priority="1312" rank="1"/>
  </conditionalFormatting>
  <conditionalFormatting sqref="G804">
    <cfRule type="top10" dxfId="754" priority="286" rank="1"/>
  </conditionalFormatting>
  <conditionalFormatting sqref="G805:G818">
    <cfRule type="top10" dxfId="753" priority="1293" rank="1"/>
  </conditionalFormatting>
  <conditionalFormatting sqref="G833">
    <cfRule type="top10" dxfId="752" priority="262" rank="1"/>
  </conditionalFormatting>
  <conditionalFormatting sqref="G834:G847">
    <cfRule type="top10" dxfId="751" priority="1274" rank="1"/>
  </conditionalFormatting>
  <conditionalFormatting sqref="G861">
    <cfRule type="top10" dxfId="750" priority="238" rank="1"/>
  </conditionalFormatting>
  <conditionalFormatting sqref="G862:G875">
    <cfRule type="top10" dxfId="749" priority="1255" rank="1"/>
  </conditionalFormatting>
  <conditionalFormatting sqref="G890">
    <cfRule type="top10" dxfId="748" priority="214" rank="1"/>
  </conditionalFormatting>
  <conditionalFormatting sqref="G891:G904">
    <cfRule type="top10" dxfId="747" priority="1236" rank="1"/>
  </conditionalFormatting>
  <conditionalFormatting sqref="G919">
    <cfRule type="top10" dxfId="746" priority="190" rank="1"/>
  </conditionalFormatting>
  <conditionalFormatting sqref="G920:G933">
    <cfRule type="top10" dxfId="745" priority="1217" rank="1"/>
  </conditionalFormatting>
  <conditionalFormatting sqref="G948">
    <cfRule type="top10" dxfId="744" priority="166" rank="1"/>
  </conditionalFormatting>
  <conditionalFormatting sqref="G949:G962">
    <cfRule type="top10" dxfId="743" priority="1198" rank="1"/>
  </conditionalFormatting>
  <conditionalFormatting sqref="G979">
    <cfRule type="top10" dxfId="742" priority="142" rank="1"/>
  </conditionalFormatting>
  <conditionalFormatting sqref="G980:G993">
    <cfRule type="top10" dxfId="741" priority="1179" rank="1"/>
  </conditionalFormatting>
  <conditionalFormatting sqref="G1008">
    <cfRule type="top10" dxfId="740" priority="118" rank="1"/>
  </conditionalFormatting>
  <conditionalFormatting sqref="G1009:G1022">
    <cfRule type="top10" dxfId="739" priority="1160" rank="1"/>
  </conditionalFormatting>
  <conditionalFormatting sqref="G1037">
    <cfRule type="top10" dxfId="738" priority="94" rank="1"/>
  </conditionalFormatting>
  <conditionalFormatting sqref="G1038:G1051">
    <cfRule type="top10" dxfId="737" priority="1141" rank="1"/>
  </conditionalFormatting>
  <conditionalFormatting sqref="G1066">
    <cfRule type="top10" dxfId="736" priority="70" rank="1"/>
  </conditionalFormatting>
  <conditionalFormatting sqref="G1067:G1080">
    <cfRule type="top10" dxfId="735" priority="1122" rank="1"/>
  </conditionalFormatting>
  <conditionalFormatting sqref="G1095">
    <cfRule type="top10" dxfId="734" priority="46" rank="1"/>
  </conditionalFormatting>
  <conditionalFormatting sqref="G1096:G1109">
    <cfRule type="top10" dxfId="733" priority="1103" rank="1"/>
  </conditionalFormatting>
  <conditionalFormatting sqref="G1126:G1140">
    <cfRule type="top10" dxfId="732" priority="1084" rank="1"/>
  </conditionalFormatting>
  <conditionalFormatting sqref="G1147">
    <cfRule type="top10" dxfId="731" priority="22" rank="1"/>
  </conditionalFormatting>
  <conditionalFormatting sqref="G1148:G1161">
    <cfRule type="top10" dxfId="730" priority="1065" rank="1"/>
  </conditionalFormatting>
  <conditionalFormatting sqref="G1164:G1177">
    <cfRule type="top10" dxfId="729" priority="1046" rank="1"/>
  </conditionalFormatting>
  <conditionalFormatting sqref="G1178:G1180">
    <cfRule type="top10" dxfId="727" priority="939" rank="1"/>
  </conditionalFormatting>
  <conditionalFormatting sqref="H9:H23">
    <cfRule type="top10" dxfId="726" priority="1918" rank="1"/>
  </conditionalFormatting>
  <conditionalFormatting sqref="H38">
    <cfRule type="top10" dxfId="725" priority="860" rank="1"/>
  </conditionalFormatting>
  <conditionalFormatting sqref="H39:H52">
    <cfRule type="top10" dxfId="724" priority="1886" rank="1"/>
  </conditionalFormatting>
  <conditionalFormatting sqref="H66">
    <cfRule type="top10" dxfId="723" priority="836" rank="1"/>
  </conditionalFormatting>
  <conditionalFormatting sqref="H67:H80">
    <cfRule type="top10" dxfId="722" priority="1869" rank="1"/>
  </conditionalFormatting>
  <conditionalFormatting sqref="H95">
    <cfRule type="top10" dxfId="721" priority="812" rank="1"/>
  </conditionalFormatting>
  <conditionalFormatting sqref="H96:H109">
    <cfRule type="top10" dxfId="720" priority="1766" rank="1"/>
  </conditionalFormatting>
  <conditionalFormatting sqref="H124">
    <cfRule type="top10" dxfId="719" priority="788" rank="1"/>
  </conditionalFormatting>
  <conditionalFormatting sqref="H125:H138">
    <cfRule type="top10" dxfId="718" priority="1747" rank="1"/>
  </conditionalFormatting>
  <conditionalFormatting sqref="H155:H169">
    <cfRule type="top10" dxfId="717" priority="1728" rank="1"/>
  </conditionalFormatting>
  <conditionalFormatting sqref="H184">
    <cfRule type="top10" dxfId="716" priority="764" rank="1"/>
  </conditionalFormatting>
  <conditionalFormatting sqref="H185:H198">
    <cfRule type="top10" dxfId="715" priority="1709" rank="1"/>
  </conditionalFormatting>
  <conditionalFormatting sqref="H213">
    <cfRule type="top10" dxfId="714" priority="740" rank="1"/>
  </conditionalFormatting>
  <conditionalFormatting sqref="H214:H227">
    <cfRule type="top10" dxfId="713" priority="1690" rank="1"/>
  </conditionalFormatting>
  <conditionalFormatting sqref="H242">
    <cfRule type="top10" dxfId="712" priority="716" rank="1"/>
  </conditionalFormatting>
  <conditionalFormatting sqref="H243:H256">
    <cfRule type="top10" dxfId="711" priority="1671" rank="1"/>
  </conditionalFormatting>
  <conditionalFormatting sqref="H271">
    <cfRule type="top10" dxfId="710" priority="692" rank="1"/>
  </conditionalFormatting>
  <conditionalFormatting sqref="H272:H285">
    <cfRule type="top10" dxfId="709" priority="1652" rank="1"/>
  </conditionalFormatting>
  <conditionalFormatting sqref="H300">
    <cfRule type="top10" dxfId="708" priority="668" rank="1"/>
  </conditionalFormatting>
  <conditionalFormatting sqref="H301:H314">
    <cfRule type="top10" dxfId="707" priority="1633" rank="1"/>
  </conditionalFormatting>
  <conditionalFormatting sqref="H318:H332">
    <cfRule type="top10" dxfId="706" priority="1614" rank="1"/>
  </conditionalFormatting>
  <conditionalFormatting sqref="H348">
    <cfRule type="top10" dxfId="705" priority="644" rank="1"/>
  </conditionalFormatting>
  <conditionalFormatting sqref="H349:H362">
    <cfRule type="top10" dxfId="704" priority="1595" rank="1"/>
  </conditionalFormatting>
  <conditionalFormatting sqref="H377">
    <cfRule type="top10" dxfId="703" priority="620" rank="1"/>
  </conditionalFormatting>
  <conditionalFormatting sqref="H378:H391">
    <cfRule type="top10" dxfId="702" priority="1576" rank="1"/>
  </conditionalFormatting>
  <conditionalFormatting sqref="H406">
    <cfRule type="top10" dxfId="701" priority="596" rank="1"/>
  </conditionalFormatting>
  <conditionalFormatting sqref="H407:H420">
    <cfRule type="top10" dxfId="700" priority="1557" rank="1"/>
  </conditionalFormatting>
  <conditionalFormatting sqref="H435">
    <cfRule type="top10" dxfId="699" priority="572" rank="1"/>
  </conditionalFormatting>
  <conditionalFormatting sqref="H436:H449">
    <cfRule type="top10" dxfId="698" priority="1538" rank="1"/>
  </conditionalFormatting>
  <conditionalFormatting sqref="H465">
    <cfRule type="top10" dxfId="697" priority="548" rank="1"/>
  </conditionalFormatting>
  <conditionalFormatting sqref="H466:H479">
    <cfRule type="top10" dxfId="696" priority="1519" rank="1"/>
  </conditionalFormatting>
  <conditionalFormatting sqref="H494">
    <cfRule type="top10" dxfId="695" priority="524" rank="1"/>
  </conditionalFormatting>
  <conditionalFormatting sqref="H495:H508">
    <cfRule type="top10" dxfId="694" priority="1500" rank="1"/>
  </conditionalFormatting>
  <conditionalFormatting sqref="H523">
    <cfRule type="top10" dxfId="693" priority="500" rank="1"/>
  </conditionalFormatting>
  <conditionalFormatting sqref="H524:H537">
    <cfRule type="top10" dxfId="692" priority="1481" rank="1"/>
  </conditionalFormatting>
  <conditionalFormatting sqref="H552">
    <cfRule type="top10" dxfId="691" priority="476" rank="1"/>
  </conditionalFormatting>
  <conditionalFormatting sqref="H553:H566">
    <cfRule type="top10" dxfId="690" priority="1462" rank="1"/>
  </conditionalFormatting>
  <conditionalFormatting sqref="H581">
    <cfRule type="top10" dxfId="689" priority="452" rank="1"/>
  </conditionalFormatting>
  <conditionalFormatting sqref="H582:H595">
    <cfRule type="top10" dxfId="688" priority="1443" rank="1"/>
  </conditionalFormatting>
  <conditionalFormatting sqref="H612">
    <cfRule type="top10" dxfId="687" priority="428" rank="1"/>
  </conditionalFormatting>
  <conditionalFormatting sqref="H613:H626">
    <cfRule type="top10" dxfId="686" priority="1424" rank="1"/>
  </conditionalFormatting>
  <conditionalFormatting sqref="H641">
    <cfRule type="top10" dxfId="685" priority="404" rank="1"/>
  </conditionalFormatting>
  <conditionalFormatting sqref="H642:H655">
    <cfRule type="top10" dxfId="684" priority="1405" rank="1"/>
  </conditionalFormatting>
  <conditionalFormatting sqref="H670">
    <cfRule type="top10" dxfId="683" priority="380" rank="1"/>
  </conditionalFormatting>
  <conditionalFormatting sqref="H671:H684">
    <cfRule type="top10" dxfId="682" priority="1386" rank="1"/>
  </conditionalFormatting>
  <conditionalFormatting sqref="H699">
    <cfRule type="top10" dxfId="681" priority="356" rank="1"/>
  </conditionalFormatting>
  <conditionalFormatting sqref="H700:H713">
    <cfRule type="top10" dxfId="680" priority="1367" rank="1"/>
  </conditionalFormatting>
  <conditionalFormatting sqref="H728:H742">
    <cfRule type="top10" dxfId="679" priority="1348" rank="1"/>
  </conditionalFormatting>
  <conditionalFormatting sqref="H757">
    <cfRule type="top10" dxfId="678" priority="332" rank="1"/>
  </conditionalFormatting>
  <conditionalFormatting sqref="H758:H771">
    <cfRule type="top10" dxfId="677" priority="1329" rank="1"/>
  </conditionalFormatting>
  <conditionalFormatting sqref="H786">
    <cfRule type="top10" dxfId="676" priority="308" rank="1"/>
  </conditionalFormatting>
  <conditionalFormatting sqref="H787:H800">
    <cfRule type="top10" dxfId="675" priority="1310" rank="1"/>
  </conditionalFormatting>
  <conditionalFormatting sqref="H804">
    <cfRule type="top10" dxfId="674" priority="284" rank="1"/>
  </conditionalFormatting>
  <conditionalFormatting sqref="H805:H818">
    <cfRule type="top10" dxfId="673" priority="1291" rank="1"/>
  </conditionalFormatting>
  <conditionalFormatting sqref="H833">
    <cfRule type="top10" dxfId="672" priority="260" rank="1"/>
  </conditionalFormatting>
  <conditionalFormatting sqref="H834:H847">
    <cfRule type="top10" dxfId="671" priority="1272" rank="1"/>
  </conditionalFormatting>
  <conditionalFormatting sqref="H861">
    <cfRule type="top10" dxfId="670" priority="236" rank="1"/>
  </conditionalFormatting>
  <conditionalFormatting sqref="H862:H875">
    <cfRule type="top10" dxfId="669" priority="1253" rank="1"/>
  </conditionalFormatting>
  <conditionalFormatting sqref="H890">
    <cfRule type="top10" dxfId="668" priority="212" rank="1"/>
  </conditionalFormatting>
  <conditionalFormatting sqref="H891:H904">
    <cfRule type="top10" dxfId="667" priority="1234" rank="1"/>
  </conditionalFormatting>
  <conditionalFormatting sqref="H919">
    <cfRule type="top10" dxfId="666" priority="188" rank="1"/>
  </conditionalFormatting>
  <conditionalFormatting sqref="H920:H933">
    <cfRule type="top10" dxfId="665" priority="1215" rank="1"/>
  </conditionalFormatting>
  <conditionalFormatting sqref="H948">
    <cfRule type="top10" dxfId="664" priority="164" rank="1"/>
  </conditionalFormatting>
  <conditionalFormatting sqref="H949:H962">
    <cfRule type="top10" dxfId="663" priority="1196" rank="1"/>
  </conditionalFormatting>
  <conditionalFormatting sqref="H979">
    <cfRule type="top10" dxfId="662" priority="140" rank="1"/>
  </conditionalFormatting>
  <conditionalFormatting sqref="H980:H993">
    <cfRule type="top10" dxfId="661" priority="1177" rank="1"/>
  </conditionalFormatting>
  <conditionalFormatting sqref="H1008">
    <cfRule type="top10" dxfId="660" priority="116" rank="1"/>
  </conditionalFormatting>
  <conditionalFormatting sqref="H1009:H1022">
    <cfRule type="top10" dxfId="659" priority="1158" rank="1"/>
  </conditionalFormatting>
  <conditionalFormatting sqref="H1037">
    <cfRule type="top10" dxfId="658" priority="92" rank="1"/>
  </conditionalFormatting>
  <conditionalFormatting sqref="H1038:H1051">
    <cfRule type="top10" dxfId="657" priority="1139" rank="1"/>
  </conditionalFormatting>
  <conditionalFormatting sqref="H1066">
    <cfRule type="top10" dxfId="656" priority="68" rank="1"/>
  </conditionalFormatting>
  <conditionalFormatting sqref="H1067:H1080">
    <cfRule type="top10" dxfId="655" priority="1120" rank="1"/>
  </conditionalFormatting>
  <conditionalFormatting sqref="H1095">
    <cfRule type="top10" dxfId="654" priority="44" rank="1"/>
  </conditionalFormatting>
  <conditionalFormatting sqref="H1096:H1109">
    <cfRule type="top10" dxfId="653" priority="1101" rank="1"/>
  </conditionalFormatting>
  <conditionalFormatting sqref="H1126:H1140">
    <cfRule type="top10" dxfId="652" priority="1082" rank="1"/>
  </conditionalFormatting>
  <conditionalFormatting sqref="H1147">
    <cfRule type="top10" dxfId="651" priority="20" rank="1"/>
  </conditionalFormatting>
  <conditionalFormatting sqref="H1148:H1161">
    <cfRule type="top10" dxfId="650" priority="1063" rank="1"/>
  </conditionalFormatting>
  <conditionalFormatting sqref="H1164:H1177">
    <cfRule type="top10" dxfId="649" priority="1044" rank="1"/>
  </conditionalFormatting>
  <conditionalFormatting sqref="H1178:H1180">
    <cfRule type="top10" dxfId="647" priority="937" rank="1"/>
  </conditionalFormatting>
  <conditionalFormatting sqref="E1178:P1180">
    <cfRule type="top10" dxfId="646" priority="944" rank="1"/>
  </conditionalFormatting>
  <conditionalFormatting sqref="I9:I23">
    <cfRule type="top10" dxfId="645" priority="1917" rank="1"/>
  </conditionalFormatting>
  <conditionalFormatting sqref="I38">
    <cfRule type="top10" dxfId="644" priority="859" rank="1"/>
  </conditionalFormatting>
  <conditionalFormatting sqref="I39:I52">
    <cfRule type="top10" dxfId="643" priority="1885" rank="1"/>
  </conditionalFormatting>
  <conditionalFormatting sqref="I66">
    <cfRule type="top10" dxfId="642" priority="835" rank="1"/>
  </conditionalFormatting>
  <conditionalFormatting sqref="I67:I80">
    <cfRule type="top10" dxfId="641" priority="1868" rank="1"/>
  </conditionalFormatting>
  <conditionalFormatting sqref="I95">
    <cfRule type="top10" dxfId="640" priority="811" rank="1"/>
  </conditionalFormatting>
  <conditionalFormatting sqref="I96:I109">
    <cfRule type="top10" dxfId="639" priority="1765" rank="1"/>
  </conditionalFormatting>
  <conditionalFormatting sqref="I124">
    <cfRule type="top10" dxfId="638" priority="787" rank="1"/>
  </conditionalFormatting>
  <conditionalFormatting sqref="I125:I138">
    <cfRule type="top10" dxfId="637" priority="1746" rank="1"/>
  </conditionalFormatting>
  <conditionalFormatting sqref="I155:I169">
    <cfRule type="top10" dxfId="636" priority="1727" rank="1"/>
  </conditionalFormatting>
  <conditionalFormatting sqref="I184">
    <cfRule type="top10" dxfId="635" priority="763" rank="1"/>
  </conditionalFormatting>
  <conditionalFormatting sqref="I185:I198">
    <cfRule type="top10" dxfId="634" priority="1708" rank="1"/>
  </conditionalFormatting>
  <conditionalFormatting sqref="I213">
    <cfRule type="top10" dxfId="633" priority="739" rank="1"/>
  </conditionalFormatting>
  <conditionalFormatting sqref="I214:I227">
    <cfRule type="top10" dxfId="632" priority="1689" rank="1"/>
  </conditionalFormatting>
  <conditionalFormatting sqref="I242">
    <cfRule type="top10" dxfId="631" priority="715" rank="1"/>
  </conditionalFormatting>
  <conditionalFormatting sqref="I243:I256">
    <cfRule type="top10" dxfId="630" priority="1670" rank="1"/>
  </conditionalFormatting>
  <conditionalFormatting sqref="I271">
    <cfRule type="top10" dxfId="629" priority="691" rank="1"/>
  </conditionalFormatting>
  <conditionalFormatting sqref="I272:I285">
    <cfRule type="top10" dxfId="628" priority="1651" rank="1"/>
  </conditionalFormatting>
  <conditionalFormatting sqref="I300">
    <cfRule type="top10" dxfId="627" priority="667" rank="1"/>
  </conditionalFormatting>
  <conditionalFormatting sqref="I301:I314">
    <cfRule type="top10" dxfId="626" priority="1632" rank="1"/>
  </conditionalFormatting>
  <conditionalFormatting sqref="I318:I332">
    <cfRule type="top10" dxfId="625" priority="1613" rank="1"/>
  </conditionalFormatting>
  <conditionalFormatting sqref="I348">
    <cfRule type="top10" dxfId="624" priority="643" rank="1"/>
  </conditionalFormatting>
  <conditionalFormatting sqref="I349:I362">
    <cfRule type="top10" dxfId="623" priority="1594" rank="1"/>
  </conditionalFormatting>
  <conditionalFormatting sqref="I377">
    <cfRule type="top10" dxfId="622" priority="619" rank="1"/>
  </conditionalFormatting>
  <conditionalFormatting sqref="I378:I391">
    <cfRule type="top10" dxfId="621" priority="1575" rank="1"/>
  </conditionalFormatting>
  <conditionalFormatting sqref="I406">
    <cfRule type="top10" dxfId="620" priority="595" rank="1"/>
  </conditionalFormatting>
  <conditionalFormatting sqref="I407:I420">
    <cfRule type="top10" dxfId="619" priority="1556" rank="1"/>
  </conditionalFormatting>
  <conditionalFormatting sqref="I435">
    <cfRule type="top10" dxfId="618" priority="571" rank="1"/>
  </conditionalFormatting>
  <conditionalFormatting sqref="I436:I449">
    <cfRule type="top10" dxfId="617" priority="1537" rank="1"/>
  </conditionalFormatting>
  <conditionalFormatting sqref="I465">
    <cfRule type="top10" dxfId="616" priority="547" rank="1"/>
  </conditionalFormatting>
  <conditionalFormatting sqref="I466:I479">
    <cfRule type="top10" dxfId="615" priority="1518" rank="1"/>
  </conditionalFormatting>
  <conditionalFormatting sqref="I494">
    <cfRule type="top10" dxfId="614" priority="523" rank="1"/>
  </conditionalFormatting>
  <conditionalFormatting sqref="I495:I508">
    <cfRule type="top10" dxfId="613" priority="1499" rank="1"/>
  </conditionalFormatting>
  <conditionalFormatting sqref="I523">
    <cfRule type="top10" dxfId="612" priority="499" rank="1"/>
  </conditionalFormatting>
  <conditionalFormatting sqref="I524:I537">
    <cfRule type="top10" dxfId="611" priority="1480" rank="1"/>
  </conditionalFormatting>
  <conditionalFormatting sqref="I552">
    <cfRule type="top10" dxfId="610" priority="475" rank="1"/>
  </conditionalFormatting>
  <conditionalFormatting sqref="I553:I566">
    <cfRule type="top10" dxfId="609" priority="1461" rank="1"/>
  </conditionalFormatting>
  <conditionalFormatting sqref="I581">
    <cfRule type="top10" dxfId="608" priority="451" rank="1"/>
  </conditionalFormatting>
  <conditionalFormatting sqref="I582:I595">
    <cfRule type="top10" dxfId="607" priority="1442" rank="1"/>
  </conditionalFormatting>
  <conditionalFormatting sqref="I612">
    <cfRule type="top10" dxfId="606" priority="427" rank="1"/>
  </conditionalFormatting>
  <conditionalFormatting sqref="I613:I626">
    <cfRule type="top10" dxfId="605" priority="1423" rank="1"/>
  </conditionalFormatting>
  <conditionalFormatting sqref="I641">
    <cfRule type="top10" dxfId="604" priority="403" rank="1"/>
  </conditionalFormatting>
  <conditionalFormatting sqref="I642:I655">
    <cfRule type="top10" dxfId="603" priority="1404" rank="1"/>
  </conditionalFormatting>
  <conditionalFormatting sqref="I670">
    <cfRule type="top10" dxfId="602" priority="379" rank="1"/>
  </conditionalFormatting>
  <conditionalFormatting sqref="I671:I684">
    <cfRule type="top10" dxfId="601" priority="1385" rank="1"/>
  </conditionalFormatting>
  <conditionalFormatting sqref="I699">
    <cfRule type="top10" dxfId="600" priority="355" rank="1"/>
  </conditionalFormatting>
  <conditionalFormatting sqref="I700:I713">
    <cfRule type="top10" dxfId="599" priority="1366" rank="1"/>
  </conditionalFormatting>
  <conditionalFormatting sqref="I728:I742">
    <cfRule type="top10" dxfId="598" priority="1347" rank="1"/>
  </conditionalFormatting>
  <conditionalFormatting sqref="I757">
    <cfRule type="top10" dxfId="597" priority="331" rank="1"/>
  </conditionalFormatting>
  <conditionalFormatting sqref="I758:I771">
    <cfRule type="top10" dxfId="596" priority="1328" rank="1"/>
  </conditionalFormatting>
  <conditionalFormatting sqref="I786">
    <cfRule type="top10" dxfId="595" priority="307" rank="1"/>
  </conditionalFormatting>
  <conditionalFormatting sqref="I787:I800">
    <cfRule type="top10" dxfId="594" priority="1309" rank="1"/>
  </conditionalFormatting>
  <conditionalFormatting sqref="I804">
    <cfRule type="top10" dxfId="593" priority="283" rank="1"/>
  </conditionalFormatting>
  <conditionalFormatting sqref="I805:I818">
    <cfRule type="top10" dxfId="592" priority="1290" rank="1"/>
  </conditionalFormatting>
  <conditionalFormatting sqref="I833">
    <cfRule type="top10" dxfId="591" priority="259" rank="1"/>
  </conditionalFormatting>
  <conditionalFormatting sqref="I834:I847">
    <cfRule type="top10" dxfId="590" priority="1271" rank="1"/>
  </conditionalFormatting>
  <conditionalFormatting sqref="I861">
    <cfRule type="top10" dxfId="589" priority="235" rank="1"/>
  </conditionalFormatting>
  <conditionalFormatting sqref="I862:I875">
    <cfRule type="top10" dxfId="588" priority="1252" rank="1"/>
  </conditionalFormatting>
  <conditionalFormatting sqref="I890">
    <cfRule type="top10" dxfId="587" priority="211" rank="1"/>
  </conditionalFormatting>
  <conditionalFormatting sqref="I891:I904">
    <cfRule type="top10" dxfId="586" priority="1233" rank="1"/>
  </conditionalFormatting>
  <conditionalFormatting sqref="I919">
    <cfRule type="top10" dxfId="585" priority="187" rank="1"/>
  </conditionalFormatting>
  <conditionalFormatting sqref="I920:I933">
    <cfRule type="top10" dxfId="584" priority="1214" rank="1"/>
  </conditionalFormatting>
  <conditionalFormatting sqref="I948">
    <cfRule type="top10" dxfId="583" priority="163" rank="1"/>
  </conditionalFormatting>
  <conditionalFormatting sqref="I949:I962">
    <cfRule type="top10" dxfId="582" priority="1195" rank="1"/>
  </conditionalFormatting>
  <conditionalFormatting sqref="I979">
    <cfRule type="top10" dxfId="581" priority="139" rank="1"/>
  </conditionalFormatting>
  <conditionalFormatting sqref="I980:I993">
    <cfRule type="top10" dxfId="580" priority="1176" rank="1"/>
  </conditionalFormatting>
  <conditionalFormatting sqref="I1008">
    <cfRule type="top10" dxfId="579" priority="115" rank="1"/>
  </conditionalFormatting>
  <conditionalFormatting sqref="I1009:I1022">
    <cfRule type="top10" dxfId="578" priority="1157" rank="1"/>
  </conditionalFormatting>
  <conditionalFormatting sqref="I1037">
    <cfRule type="top10" dxfId="577" priority="91" rank="1"/>
  </conditionalFormatting>
  <conditionalFormatting sqref="I1038:I1051">
    <cfRule type="top10" dxfId="576" priority="1138" rank="1"/>
  </conditionalFormatting>
  <conditionalFormatting sqref="I1066">
    <cfRule type="top10" dxfId="575" priority="67" rank="1"/>
  </conditionalFormatting>
  <conditionalFormatting sqref="I1067:I1080">
    <cfRule type="top10" dxfId="574" priority="1119" rank="1"/>
  </conditionalFormatting>
  <conditionalFormatting sqref="I1095">
    <cfRule type="top10" dxfId="573" priority="43" rank="1"/>
  </conditionalFormatting>
  <conditionalFormatting sqref="I1096:I1109">
    <cfRule type="top10" dxfId="572" priority="1100" rank="1"/>
  </conditionalFormatting>
  <conditionalFormatting sqref="I1126:I1140">
    <cfRule type="top10" dxfId="571" priority="1081" rank="1"/>
  </conditionalFormatting>
  <conditionalFormatting sqref="I1147">
    <cfRule type="top10" dxfId="570" priority="19" rank="1"/>
  </conditionalFormatting>
  <conditionalFormatting sqref="I1148:I1161">
    <cfRule type="top10" dxfId="569" priority="1062" rank="1"/>
  </conditionalFormatting>
  <conditionalFormatting sqref="I1164:I1177">
    <cfRule type="top10" dxfId="568" priority="1043" rank="1"/>
  </conditionalFormatting>
  <conditionalFormatting sqref="I1178:I1180">
    <cfRule type="top10" dxfId="566" priority="936" rank="1"/>
  </conditionalFormatting>
  <conditionalFormatting sqref="J9:J23">
    <cfRule type="top10" dxfId="565" priority="1916" rank="1"/>
  </conditionalFormatting>
  <conditionalFormatting sqref="J38">
    <cfRule type="top10" dxfId="564" priority="858" rank="1"/>
  </conditionalFormatting>
  <conditionalFormatting sqref="J39:J52">
    <cfRule type="top10" dxfId="563" priority="1884" rank="1"/>
  </conditionalFormatting>
  <conditionalFormatting sqref="J66">
    <cfRule type="top10" dxfId="562" priority="834" rank="1"/>
  </conditionalFormatting>
  <conditionalFormatting sqref="J67:J80">
    <cfRule type="top10" dxfId="561" priority="1867" rank="1"/>
  </conditionalFormatting>
  <conditionalFormatting sqref="J95">
    <cfRule type="top10" dxfId="560" priority="810" rank="1"/>
  </conditionalFormatting>
  <conditionalFormatting sqref="J96:J109">
    <cfRule type="top10" dxfId="559" priority="1764" rank="1"/>
  </conditionalFormatting>
  <conditionalFormatting sqref="J124">
    <cfRule type="top10" dxfId="558" priority="786" rank="1"/>
  </conditionalFormatting>
  <conditionalFormatting sqref="J125:J138">
    <cfRule type="top10" dxfId="557" priority="1745" rank="1"/>
  </conditionalFormatting>
  <conditionalFormatting sqref="J155:J169">
    <cfRule type="top10" dxfId="556" priority="1726" rank="1"/>
  </conditionalFormatting>
  <conditionalFormatting sqref="J184">
    <cfRule type="top10" dxfId="555" priority="762" rank="1"/>
  </conditionalFormatting>
  <conditionalFormatting sqref="J185:J198">
    <cfRule type="top10" dxfId="554" priority="1707" rank="1"/>
  </conditionalFormatting>
  <conditionalFormatting sqref="J213">
    <cfRule type="top10" dxfId="553" priority="738" rank="1"/>
  </conditionalFormatting>
  <conditionalFormatting sqref="J214:J227">
    <cfRule type="top10" dxfId="552" priority="1688" rank="1"/>
  </conditionalFormatting>
  <conditionalFormatting sqref="J242">
    <cfRule type="top10" dxfId="551" priority="714" rank="1"/>
  </conditionalFormatting>
  <conditionalFormatting sqref="J243:J256">
    <cfRule type="top10" dxfId="550" priority="1669" rank="1"/>
  </conditionalFormatting>
  <conditionalFormatting sqref="J271">
    <cfRule type="top10" dxfId="549" priority="690" rank="1"/>
  </conditionalFormatting>
  <conditionalFormatting sqref="J272:J285">
    <cfRule type="top10" dxfId="548" priority="1650" rank="1"/>
  </conditionalFormatting>
  <conditionalFormatting sqref="J300">
    <cfRule type="top10" dxfId="547" priority="666" rank="1"/>
  </conditionalFormatting>
  <conditionalFormatting sqref="J301:J314">
    <cfRule type="top10" dxfId="546" priority="1631" rank="1"/>
  </conditionalFormatting>
  <conditionalFormatting sqref="J318:J332">
    <cfRule type="top10" dxfId="545" priority="1612" rank="1"/>
  </conditionalFormatting>
  <conditionalFormatting sqref="J348">
    <cfRule type="top10" dxfId="544" priority="642" rank="1"/>
  </conditionalFormatting>
  <conditionalFormatting sqref="J349:J362">
    <cfRule type="top10" dxfId="543" priority="1593" rank="1"/>
  </conditionalFormatting>
  <conditionalFormatting sqref="J377">
    <cfRule type="top10" dxfId="542" priority="618" rank="1"/>
  </conditionalFormatting>
  <conditionalFormatting sqref="J378:J391">
    <cfRule type="top10" dxfId="541" priority="1574" rank="1"/>
  </conditionalFormatting>
  <conditionalFormatting sqref="J406">
    <cfRule type="top10" dxfId="540" priority="594" rank="1"/>
  </conditionalFormatting>
  <conditionalFormatting sqref="J407:J420">
    <cfRule type="top10" dxfId="539" priority="1555" rank="1"/>
  </conditionalFormatting>
  <conditionalFormatting sqref="J435">
    <cfRule type="top10" dxfId="538" priority="570" rank="1"/>
  </conditionalFormatting>
  <conditionalFormatting sqref="J436:J449">
    <cfRule type="top10" dxfId="537" priority="1536" rank="1"/>
  </conditionalFormatting>
  <conditionalFormatting sqref="J465">
    <cfRule type="top10" dxfId="536" priority="546" rank="1"/>
  </conditionalFormatting>
  <conditionalFormatting sqref="J466:J479">
    <cfRule type="top10" dxfId="535" priority="1517" rank="1"/>
  </conditionalFormatting>
  <conditionalFormatting sqref="J494">
    <cfRule type="top10" dxfId="534" priority="522" rank="1"/>
  </conditionalFormatting>
  <conditionalFormatting sqref="J495:J508">
    <cfRule type="top10" dxfId="533" priority="1498" rank="1"/>
  </conditionalFormatting>
  <conditionalFormatting sqref="J523">
    <cfRule type="top10" dxfId="532" priority="498" rank="1"/>
  </conditionalFormatting>
  <conditionalFormatting sqref="J524:J537">
    <cfRule type="top10" dxfId="531" priority="1479" rank="1"/>
  </conditionalFormatting>
  <conditionalFormatting sqref="J552">
    <cfRule type="top10" dxfId="530" priority="474" rank="1"/>
  </conditionalFormatting>
  <conditionalFormatting sqref="J553:J566">
    <cfRule type="top10" dxfId="529" priority="1460" rank="1"/>
  </conditionalFormatting>
  <conditionalFormatting sqref="J581">
    <cfRule type="top10" dxfId="528" priority="450" rank="1"/>
  </conditionalFormatting>
  <conditionalFormatting sqref="J582:J595">
    <cfRule type="top10" dxfId="527" priority="1441" rank="1"/>
  </conditionalFormatting>
  <conditionalFormatting sqref="J612">
    <cfRule type="top10" dxfId="526" priority="426" rank="1"/>
  </conditionalFormatting>
  <conditionalFormatting sqref="J613:J626">
    <cfRule type="top10" dxfId="525" priority="1422" rank="1"/>
  </conditionalFormatting>
  <conditionalFormatting sqref="J641">
    <cfRule type="top10" dxfId="524" priority="402" rank="1"/>
  </conditionalFormatting>
  <conditionalFormatting sqref="J642:J655">
    <cfRule type="top10" dxfId="523" priority="1403" rank="1"/>
  </conditionalFormatting>
  <conditionalFormatting sqref="J670">
    <cfRule type="top10" dxfId="522" priority="378" rank="1"/>
  </conditionalFormatting>
  <conditionalFormatting sqref="J671:J684">
    <cfRule type="top10" dxfId="521" priority="1384" rank="1"/>
  </conditionalFormatting>
  <conditionalFormatting sqref="J699">
    <cfRule type="top10" dxfId="520" priority="354" rank="1"/>
  </conditionalFormatting>
  <conditionalFormatting sqref="J700:J713">
    <cfRule type="top10" dxfId="519" priority="1365" rank="1"/>
  </conditionalFormatting>
  <conditionalFormatting sqref="J728:J742">
    <cfRule type="top10" dxfId="518" priority="1346" rank="1"/>
  </conditionalFormatting>
  <conditionalFormatting sqref="J757">
    <cfRule type="top10" dxfId="517" priority="330" rank="1"/>
  </conditionalFormatting>
  <conditionalFormatting sqref="J758:J771">
    <cfRule type="top10" dxfId="516" priority="1327" rank="1"/>
  </conditionalFormatting>
  <conditionalFormatting sqref="J786">
    <cfRule type="top10" dxfId="515" priority="306" rank="1"/>
  </conditionalFormatting>
  <conditionalFormatting sqref="J787:J800">
    <cfRule type="top10" dxfId="514" priority="1308" rank="1"/>
  </conditionalFormatting>
  <conditionalFormatting sqref="J804">
    <cfRule type="top10" dxfId="513" priority="282" rank="1"/>
  </conditionalFormatting>
  <conditionalFormatting sqref="J805:J818">
    <cfRule type="top10" dxfId="512" priority="1289" rank="1"/>
  </conditionalFormatting>
  <conditionalFormatting sqref="J833">
    <cfRule type="top10" dxfId="511" priority="258" rank="1"/>
  </conditionalFormatting>
  <conditionalFormatting sqref="J834:J847">
    <cfRule type="top10" dxfId="510" priority="1270" rank="1"/>
  </conditionalFormatting>
  <conditionalFormatting sqref="J861">
    <cfRule type="top10" dxfId="509" priority="234" rank="1"/>
  </conditionalFormatting>
  <conditionalFormatting sqref="J862:J875">
    <cfRule type="top10" dxfId="508" priority="1251" rank="1"/>
  </conditionalFormatting>
  <conditionalFormatting sqref="J890">
    <cfRule type="top10" dxfId="507" priority="210" rank="1"/>
  </conditionalFormatting>
  <conditionalFormatting sqref="J891:J904">
    <cfRule type="top10" dxfId="506" priority="1232" rank="1"/>
  </conditionalFormatting>
  <conditionalFormatting sqref="J919">
    <cfRule type="top10" dxfId="505" priority="186" rank="1"/>
  </conditionalFormatting>
  <conditionalFormatting sqref="J920:J933">
    <cfRule type="top10" dxfId="504" priority="1213" rank="1"/>
  </conditionalFormatting>
  <conditionalFormatting sqref="J948">
    <cfRule type="top10" dxfId="503" priority="162" rank="1"/>
  </conditionalFormatting>
  <conditionalFormatting sqref="J949:J962">
    <cfRule type="top10" dxfId="502" priority="1194" rank="1"/>
  </conditionalFormatting>
  <conditionalFormatting sqref="J979">
    <cfRule type="top10" dxfId="501" priority="138" rank="1"/>
  </conditionalFormatting>
  <conditionalFormatting sqref="J980:J993">
    <cfRule type="top10" dxfId="500" priority="1175" rank="1"/>
  </conditionalFormatting>
  <conditionalFormatting sqref="J1008">
    <cfRule type="top10" dxfId="499" priority="114" rank="1"/>
  </conditionalFormatting>
  <conditionalFormatting sqref="J1009:J1022">
    <cfRule type="top10" dxfId="498" priority="1156" rank="1"/>
  </conditionalFormatting>
  <conditionalFormatting sqref="J1037">
    <cfRule type="top10" dxfId="497" priority="90" rank="1"/>
  </conditionalFormatting>
  <conditionalFormatting sqref="J1038:J1051">
    <cfRule type="top10" dxfId="496" priority="1137" rank="1"/>
  </conditionalFormatting>
  <conditionalFormatting sqref="J1066">
    <cfRule type="top10" dxfId="495" priority="66" rank="1"/>
  </conditionalFormatting>
  <conditionalFormatting sqref="J1067:J1080">
    <cfRule type="top10" dxfId="494" priority="1118" rank="1"/>
  </conditionalFormatting>
  <conditionalFormatting sqref="J1095">
    <cfRule type="top10" dxfId="493" priority="42" rank="1"/>
  </conditionalFormatting>
  <conditionalFormatting sqref="J1096:J1109">
    <cfRule type="top10" dxfId="492" priority="1099" rank="1"/>
  </conditionalFormatting>
  <conditionalFormatting sqref="J1126:J1140">
    <cfRule type="top10" dxfId="491" priority="1080" rank="1"/>
  </conditionalFormatting>
  <conditionalFormatting sqref="J1147">
    <cfRule type="top10" dxfId="490" priority="18" rank="1"/>
  </conditionalFormatting>
  <conditionalFormatting sqref="J1148:J1161">
    <cfRule type="top10" dxfId="489" priority="1061" rank="1"/>
  </conditionalFormatting>
  <conditionalFormatting sqref="J1164:J1177">
    <cfRule type="top10" dxfId="488" priority="1042" rank="1"/>
  </conditionalFormatting>
  <conditionalFormatting sqref="J1178:J1180">
    <cfRule type="top10" dxfId="486" priority="935" rank="1"/>
  </conditionalFormatting>
  <conditionalFormatting sqref="K9:K23">
    <cfRule type="top10" dxfId="485" priority="1915" rank="1"/>
  </conditionalFormatting>
  <conditionalFormatting sqref="K38">
    <cfRule type="top10" dxfId="484" priority="857" rank="1"/>
  </conditionalFormatting>
  <conditionalFormatting sqref="K39:K52">
    <cfRule type="top10" dxfId="483" priority="1883" rank="1"/>
  </conditionalFormatting>
  <conditionalFormatting sqref="K66">
    <cfRule type="top10" dxfId="482" priority="833" rank="1"/>
  </conditionalFormatting>
  <conditionalFormatting sqref="K67:K80">
    <cfRule type="top10" dxfId="481" priority="1866" rank="1"/>
  </conditionalFormatting>
  <conditionalFormatting sqref="K95">
    <cfRule type="top10" dxfId="480" priority="809" rank="1"/>
  </conditionalFormatting>
  <conditionalFormatting sqref="K96:K109">
    <cfRule type="top10" dxfId="479" priority="1763" rank="1"/>
  </conditionalFormatting>
  <conditionalFormatting sqref="K124">
    <cfRule type="top10" dxfId="478" priority="785" rank="1"/>
  </conditionalFormatting>
  <conditionalFormatting sqref="K125:K138">
    <cfRule type="top10" dxfId="477" priority="1744" rank="1"/>
  </conditionalFormatting>
  <conditionalFormatting sqref="K155:K169">
    <cfRule type="top10" dxfId="476" priority="1725" rank="1"/>
  </conditionalFormatting>
  <conditionalFormatting sqref="K184">
    <cfRule type="top10" dxfId="475" priority="761" rank="1"/>
  </conditionalFormatting>
  <conditionalFormatting sqref="K185:K198">
    <cfRule type="top10" dxfId="474" priority="1706" rank="1"/>
  </conditionalFormatting>
  <conditionalFormatting sqref="K213">
    <cfRule type="top10" dxfId="473" priority="737" rank="1"/>
  </conditionalFormatting>
  <conditionalFormatting sqref="K214:K227">
    <cfRule type="top10" dxfId="472" priority="1687" rank="1"/>
  </conditionalFormatting>
  <conditionalFormatting sqref="K242">
    <cfRule type="top10" dxfId="471" priority="713" rank="1"/>
  </conditionalFormatting>
  <conditionalFormatting sqref="K243:K256">
    <cfRule type="top10" dxfId="470" priority="1668" rank="1"/>
  </conditionalFormatting>
  <conditionalFormatting sqref="K271">
    <cfRule type="top10" dxfId="469" priority="689" rank="1"/>
  </conditionalFormatting>
  <conditionalFormatting sqref="K272:K285">
    <cfRule type="top10" dxfId="468" priority="1649" rank="1"/>
  </conditionalFormatting>
  <conditionalFormatting sqref="K300">
    <cfRule type="top10" dxfId="467" priority="665" rank="1"/>
  </conditionalFormatting>
  <conditionalFormatting sqref="K301:K307 K309:K314">
    <cfRule type="top10" dxfId="466" priority="1630" rank="1"/>
  </conditionalFormatting>
  <conditionalFormatting sqref="K318:K332">
    <cfRule type="top10" dxfId="465" priority="1611" rank="1"/>
  </conditionalFormatting>
  <conditionalFormatting sqref="K348">
    <cfRule type="top10" dxfId="464" priority="641" rank="1"/>
  </conditionalFormatting>
  <conditionalFormatting sqref="K349:K362">
    <cfRule type="top10" dxfId="463" priority="1592" rank="1"/>
  </conditionalFormatting>
  <conditionalFormatting sqref="K377">
    <cfRule type="top10" dxfId="462" priority="617" rank="1"/>
  </conditionalFormatting>
  <conditionalFormatting sqref="K378:K391">
    <cfRule type="top10" dxfId="461" priority="1573" rank="1"/>
  </conditionalFormatting>
  <conditionalFormatting sqref="K406">
    <cfRule type="top10" dxfId="460" priority="593" rank="1"/>
  </conditionalFormatting>
  <conditionalFormatting sqref="K407:K420">
    <cfRule type="top10" dxfId="459" priority="1554" rank="1"/>
  </conditionalFormatting>
  <conditionalFormatting sqref="K435">
    <cfRule type="top10" dxfId="458" priority="569" rank="1"/>
  </conditionalFormatting>
  <conditionalFormatting sqref="K436:K449">
    <cfRule type="top10" dxfId="457" priority="1535" rank="1"/>
  </conditionalFormatting>
  <conditionalFormatting sqref="K465">
    <cfRule type="top10" dxfId="456" priority="545" rank="1"/>
  </conditionalFormatting>
  <conditionalFormatting sqref="K466:K479">
    <cfRule type="top10" dxfId="455" priority="1516" rank="1"/>
  </conditionalFormatting>
  <conditionalFormatting sqref="K494">
    <cfRule type="top10" dxfId="454" priority="521" rank="1"/>
  </conditionalFormatting>
  <conditionalFormatting sqref="K495:K508">
    <cfRule type="top10" dxfId="453" priority="1497" rank="1"/>
  </conditionalFormatting>
  <conditionalFormatting sqref="K523">
    <cfRule type="top10" dxfId="452" priority="497" rank="1"/>
  </conditionalFormatting>
  <conditionalFormatting sqref="K524:K537">
    <cfRule type="top10" dxfId="451" priority="1478" rank="1"/>
  </conditionalFormatting>
  <conditionalFormatting sqref="K552">
    <cfRule type="top10" dxfId="450" priority="473" rank="1"/>
  </conditionalFormatting>
  <conditionalFormatting sqref="K553:K566">
    <cfRule type="top10" dxfId="449" priority="1459" rank="1"/>
  </conditionalFormatting>
  <conditionalFormatting sqref="K581">
    <cfRule type="top10" dxfId="448" priority="449" rank="1"/>
  </conditionalFormatting>
  <conditionalFormatting sqref="K582:K595">
    <cfRule type="top10" dxfId="447" priority="1440" rank="1"/>
  </conditionalFormatting>
  <conditionalFormatting sqref="K612">
    <cfRule type="top10" dxfId="446" priority="425" rank="1"/>
  </conditionalFormatting>
  <conditionalFormatting sqref="K613:K626">
    <cfRule type="top10" dxfId="445" priority="1421" rank="1"/>
  </conditionalFormatting>
  <conditionalFormatting sqref="K641">
    <cfRule type="top10" dxfId="444" priority="401" rank="1"/>
  </conditionalFormatting>
  <conditionalFormatting sqref="K642:K655">
    <cfRule type="top10" dxfId="443" priority="1402" rank="1"/>
  </conditionalFormatting>
  <conditionalFormatting sqref="K670">
    <cfRule type="top10" dxfId="442" priority="377" rank="1"/>
  </conditionalFormatting>
  <conditionalFormatting sqref="K671:K684">
    <cfRule type="top10" dxfId="441" priority="1383" rank="1"/>
  </conditionalFormatting>
  <conditionalFormatting sqref="K699">
    <cfRule type="top10" dxfId="440" priority="353" rank="1"/>
  </conditionalFormatting>
  <conditionalFormatting sqref="K700:K713">
    <cfRule type="top10" dxfId="439" priority="1364" rank="1"/>
  </conditionalFormatting>
  <conditionalFormatting sqref="K728:K742">
    <cfRule type="top10" dxfId="438" priority="1345" rank="1"/>
  </conditionalFormatting>
  <conditionalFormatting sqref="K757">
    <cfRule type="top10" dxfId="437" priority="329" rank="1"/>
  </conditionalFormatting>
  <conditionalFormatting sqref="K758:K771">
    <cfRule type="top10" dxfId="436" priority="1326" rank="1"/>
  </conditionalFormatting>
  <conditionalFormatting sqref="K786">
    <cfRule type="top10" dxfId="435" priority="305" rank="1"/>
  </conditionalFormatting>
  <conditionalFormatting sqref="K787:K800">
    <cfRule type="top10" dxfId="434" priority="1307" rank="1"/>
  </conditionalFormatting>
  <conditionalFormatting sqref="K804">
    <cfRule type="top10" dxfId="433" priority="281" rank="1"/>
  </conditionalFormatting>
  <conditionalFormatting sqref="K805:K818">
    <cfRule type="top10" dxfId="432" priority="1288" rank="1"/>
  </conditionalFormatting>
  <conditionalFormatting sqref="K833">
    <cfRule type="top10" dxfId="431" priority="257" rank="1"/>
  </conditionalFormatting>
  <conditionalFormatting sqref="K834:K847">
    <cfRule type="top10" dxfId="430" priority="1269" rank="1"/>
  </conditionalFormatting>
  <conditionalFormatting sqref="K861">
    <cfRule type="top10" dxfId="429" priority="233" rank="1"/>
  </conditionalFormatting>
  <conditionalFormatting sqref="K862:K875">
    <cfRule type="top10" dxfId="428" priority="1250" rank="1"/>
  </conditionalFormatting>
  <conditionalFormatting sqref="K890">
    <cfRule type="top10" dxfId="427" priority="209" rank="1"/>
  </conditionalFormatting>
  <conditionalFormatting sqref="K891:K904">
    <cfRule type="top10" dxfId="426" priority="1231" rank="1"/>
  </conditionalFormatting>
  <conditionalFormatting sqref="K919">
    <cfRule type="top10" dxfId="425" priority="185" rank="1"/>
  </conditionalFormatting>
  <conditionalFormatting sqref="K920:K933">
    <cfRule type="top10" dxfId="424" priority="1212" rank="1"/>
  </conditionalFormatting>
  <conditionalFormatting sqref="K948">
    <cfRule type="top10" dxfId="423" priority="161" rank="1"/>
  </conditionalFormatting>
  <conditionalFormatting sqref="K949:K962">
    <cfRule type="top10" dxfId="422" priority="1193" rank="1"/>
  </conditionalFormatting>
  <conditionalFormatting sqref="K979">
    <cfRule type="top10" dxfId="421" priority="137" rank="1"/>
  </conditionalFormatting>
  <conditionalFormatting sqref="K980:K993">
    <cfRule type="top10" dxfId="420" priority="1174" rank="1"/>
  </conditionalFormatting>
  <conditionalFormatting sqref="K1008">
    <cfRule type="top10" dxfId="419" priority="113" rank="1"/>
  </conditionalFormatting>
  <conditionalFormatting sqref="K1009:K1022">
    <cfRule type="top10" dxfId="418" priority="1155" rank="1"/>
  </conditionalFormatting>
  <conditionalFormatting sqref="K1037">
    <cfRule type="top10" dxfId="417" priority="89" rank="1"/>
  </conditionalFormatting>
  <conditionalFormatting sqref="K1038:K1051">
    <cfRule type="top10" dxfId="416" priority="1136" rank="1"/>
  </conditionalFormatting>
  <conditionalFormatting sqref="K1066">
    <cfRule type="top10" dxfId="415" priority="65" rank="1"/>
  </conditionalFormatting>
  <conditionalFormatting sqref="K1067:K1080">
    <cfRule type="top10" dxfId="414" priority="1117" rank="1"/>
  </conditionalFormatting>
  <conditionalFormatting sqref="K1095">
    <cfRule type="top10" dxfId="413" priority="41" rank="1"/>
  </conditionalFormatting>
  <conditionalFormatting sqref="K1096:K1109">
    <cfRule type="top10" dxfId="412" priority="1098" rank="1"/>
  </conditionalFormatting>
  <conditionalFormatting sqref="K1126:K1140">
    <cfRule type="top10" dxfId="411" priority="1079" rank="1"/>
  </conditionalFormatting>
  <conditionalFormatting sqref="K1147">
    <cfRule type="top10" dxfId="410" priority="17" rank="1"/>
  </conditionalFormatting>
  <conditionalFormatting sqref="K1148:K1161">
    <cfRule type="top10" dxfId="409" priority="1060" rank="1"/>
  </conditionalFormatting>
  <conditionalFormatting sqref="K1164:K1177">
    <cfRule type="top10" dxfId="408" priority="1041" rank="1"/>
  </conditionalFormatting>
  <conditionalFormatting sqref="K1178:K1180">
    <cfRule type="top10" dxfId="406" priority="934" rank="1"/>
  </conditionalFormatting>
  <conditionalFormatting sqref="L9:L23">
    <cfRule type="top10" dxfId="405" priority="1914" rank="1"/>
  </conditionalFormatting>
  <conditionalFormatting sqref="L38">
    <cfRule type="top10" dxfId="404" priority="856" rank="1"/>
  </conditionalFormatting>
  <conditionalFormatting sqref="L39:L52">
    <cfRule type="top10" dxfId="403" priority="1882" rank="1"/>
  </conditionalFormatting>
  <conditionalFormatting sqref="L66">
    <cfRule type="top10" dxfId="402" priority="832" rank="1"/>
  </conditionalFormatting>
  <conditionalFormatting sqref="L67:L80">
    <cfRule type="top10" dxfId="401" priority="1865" rank="1"/>
  </conditionalFormatting>
  <conditionalFormatting sqref="L95">
    <cfRule type="top10" dxfId="400" priority="808" rank="1"/>
  </conditionalFormatting>
  <conditionalFormatting sqref="L96:L109">
    <cfRule type="top10" dxfId="399" priority="1762" rank="1"/>
  </conditionalFormatting>
  <conditionalFormatting sqref="L124">
    <cfRule type="top10" dxfId="398" priority="784" rank="1"/>
  </conditionalFormatting>
  <conditionalFormatting sqref="L125:L138">
    <cfRule type="top10" dxfId="397" priority="1743" rank="1"/>
  </conditionalFormatting>
  <conditionalFormatting sqref="L155:L169">
    <cfRule type="top10" dxfId="396" priority="1724" rank="1"/>
  </conditionalFormatting>
  <conditionalFormatting sqref="L184">
    <cfRule type="top10" dxfId="395" priority="760" rank="1"/>
  </conditionalFormatting>
  <conditionalFormatting sqref="L185:L198">
    <cfRule type="top10" dxfId="394" priority="1705" rank="1"/>
  </conditionalFormatting>
  <conditionalFormatting sqref="L213">
    <cfRule type="top10" dxfId="393" priority="736" rank="1"/>
  </conditionalFormatting>
  <conditionalFormatting sqref="L214:L227">
    <cfRule type="top10" dxfId="392" priority="1686" rank="1"/>
  </conditionalFormatting>
  <conditionalFormatting sqref="L242">
    <cfRule type="top10" dxfId="391" priority="712" rank="1"/>
  </conditionalFormatting>
  <conditionalFormatting sqref="L243:L256">
    <cfRule type="top10" dxfId="390" priority="1667" rank="1"/>
  </conditionalFormatting>
  <conditionalFormatting sqref="L271">
    <cfRule type="top10" dxfId="389" priority="688" rank="1"/>
  </conditionalFormatting>
  <conditionalFormatting sqref="L272:L285">
    <cfRule type="top10" dxfId="388" priority="1648" rank="1"/>
  </conditionalFormatting>
  <conditionalFormatting sqref="L300">
    <cfRule type="top10" dxfId="387" priority="664" rank="1"/>
  </conditionalFormatting>
  <conditionalFormatting sqref="L301:L307 L309:L314">
    <cfRule type="top10" dxfId="386" priority="1629" rank="1"/>
  </conditionalFormatting>
  <conditionalFormatting sqref="L318:L332">
    <cfRule type="top10" dxfId="385" priority="1610" rank="1"/>
  </conditionalFormatting>
  <conditionalFormatting sqref="L348">
    <cfRule type="top10" dxfId="384" priority="640" rank="1"/>
  </conditionalFormatting>
  <conditionalFormatting sqref="L349:L362">
    <cfRule type="top10" dxfId="383" priority="1591" rank="1"/>
  </conditionalFormatting>
  <conditionalFormatting sqref="L377">
    <cfRule type="top10" dxfId="382" priority="616" rank="1"/>
  </conditionalFormatting>
  <conditionalFormatting sqref="L378:L391">
    <cfRule type="top10" dxfId="381" priority="1572" rank="1"/>
  </conditionalFormatting>
  <conditionalFormatting sqref="L406">
    <cfRule type="top10" dxfId="380" priority="592" rank="1"/>
  </conditionalFormatting>
  <conditionalFormatting sqref="L407:L420">
    <cfRule type="top10" dxfId="379" priority="1553" rank="1"/>
  </conditionalFormatting>
  <conditionalFormatting sqref="L435">
    <cfRule type="top10" dxfId="378" priority="568" rank="1"/>
  </conditionalFormatting>
  <conditionalFormatting sqref="L436:L449">
    <cfRule type="top10" dxfId="377" priority="1534" rank="1"/>
  </conditionalFormatting>
  <conditionalFormatting sqref="L465">
    <cfRule type="top10" dxfId="376" priority="544" rank="1"/>
  </conditionalFormatting>
  <conditionalFormatting sqref="L466:L479">
    <cfRule type="top10" dxfId="375" priority="1515" rank="1"/>
  </conditionalFormatting>
  <conditionalFormatting sqref="L494">
    <cfRule type="top10" dxfId="374" priority="520" rank="1"/>
  </conditionalFormatting>
  <conditionalFormatting sqref="L495:L508">
    <cfRule type="top10" dxfId="373" priority="1496" rank="1"/>
  </conditionalFormatting>
  <conditionalFormatting sqref="L523">
    <cfRule type="top10" dxfId="372" priority="496" rank="1"/>
  </conditionalFormatting>
  <conditionalFormatting sqref="L524:L537">
    <cfRule type="top10" dxfId="371" priority="1477" rank="1"/>
  </conditionalFormatting>
  <conditionalFormatting sqref="L552">
    <cfRule type="top10" dxfId="370" priority="472" rank="1"/>
  </conditionalFormatting>
  <conditionalFormatting sqref="L553:L566">
    <cfRule type="top10" dxfId="369" priority="1458" rank="1"/>
  </conditionalFormatting>
  <conditionalFormatting sqref="L581">
    <cfRule type="top10" dxfId="368" priority="448" rank="1"/>
  </conditionalFormatting>
  <conditionalFormatting sqref="L582:L595">
    <cfRule type="top10" dxfId="367" priority="1439" rank="1"/>
  </conditionalFormatting>
  <conditionalFormatting sqref="L612">
    <cfRule type="top10" dxfId="366" priority="424" rank="1"/>
  </conditionalFormatting>
  <conditionalFormatting sqref="L613:L626">
    <cfRule type="top10" dxfId="365" priority="1420" rank="1"/>
  </conditionalFormatting>
  <conditionalFormatting sqref="L641">
    <cfRule type="top10" dxfId="364" priority="400" rank="1"/>
  </conditionalFormatting>
  <conditionalFormatting sqref="L642:L655">
    <cfRule type="top10" dxfId="363" priority="1401" rank="1"/>
  </conditionalFormatting>
  <conditionalFormatting sqref="L670">
    <cfRule type="top10" dxfId="362" priority="376" rank="1"/>
  </conditionalFormatting>
  <conditionalFormatting sqref="L671:L684">
    <cfRule type="top10" dxfId="361" priority="1382" rank="1"/>
  </conditionalFormatting>
  <conditionalFormatting sqref="L699">
    <cfRule type="top10" dxfId="360" priority="352" rank="1"/>
  </conditionalFormatting>
  <conditionalFormatting sqref="L700:L713">
    <cfRule type="top10" dxfId="359" priority="1363" rank="1"/>
  </conditionalFormatting>
  <conditionalFormatting sqref="L728:L742">
    <cfRule type="top10" dxfId="358" priority="1344" rank="1"/>
  </conditionalFormatting>
  <conditionalFormatting sqref="L757">
    <cfRule type="top10" dxfId="357" priority="328" rank="1"/>
  </conditionalFormatting>
  <conditionalFormatting sqref="L758:L771">
    <cfRule type="top10" dxfId="356" priority="1325" rank="1"/>
  </conditionalFormatting>
  <conditionalFormatting sqref="L786">
    <cfRule type="top10" dxfId="355" priority="304" rank="1"/>
  </conditionalFormatting>
  <conditionalFormatting sqref="L787:L800">
    <cfRule type="top10" dxfId="354" priority="1306" rank="1"/>
  </conditionalFormatting>
  <conditionalFormatting sqref="L804">
    <cfRule type="top10" dxfId="353" priority="280" rank="1"/>
  </conditionalFormatting>
  <conditionalFormatting sqref="L805:L818">
    <cfRule type="top10" dxfId="352" priority="1287" rank="1"/>
  </conditionalFormatting>
  <conditionalFormatting sqref="L833">
    <cfRule type="top10" dxfId="351" priority="256" rank="1"/>
  </conditionalFormatting>
  <conditionalFormatting sqref="L834:L847">
    <cfRule type="top10" dxfId="350" priority="1268" rank="1"/>
  </conditionalFormatting>
  <conditionalFormatting sqref="L861">
    <cfRule type="top10" dxfId="349" priority="232" rank="1"/>
  </conditionalFormatting>
  <conditionalFormatting sqref="L862:L875">
    <cfRule type="top10" dxfId="348" priority="1249" rank="1"/>
  </conditionalFormatting>
  <conditionalFormatting sqref="L890">
    <cfRule type="top10" dxfId="347" priority="208" rank="1"/>
  </conditionalFormatting>
  <conditionalFormatting sqref="L891:L904">
    <cfRule type="top10" dxfId="346" priority="1230" rank="1"/>
  </conditionalFormatting>
  <conditionalFormatting sqref="L919">
    <cfRule type="top10" dxfId="345" priority="184" rank="1"/>
  </conditionalFormatting>
  <conditionalFormatting sqref="L920:L933">
    <cfRule type="top10" dxfId="344" priority="1211" rank="1"/>
  </conditionalFormatting>
  <conditionalFormatting sqref="L948">
    <cfRule type="top10" dxfId="343" priority="160" rank="1"/>
  </conditionalFormatting>
  <conditionalFormatting sqref="L949:L962">
    <cfRule type="top10" dxfId="342" priority="1192" rank="1"/>
  </conditionalFormatting>
  <conditionalFormatting sqref="L979">
    <cfRule type="top10" dxfId="341" priority="136" rank="1"/>
  </conditionalFormatting>
  <conditionalFormatting sqref="L980:L993">
    <cfRule type="top10" dxfId="340" priority="1173" rank="1"/>
  </conditionalFormatting>
  <conditionalFormatting sqref="L1008">
    <cfRule type="top10" dxfId="339" priority="112" rank="1"/>
  </conditionalFormatting>
  <conditionalFormatting sqref="L1009:L1022">
    <cfRule type="top10" dxfId="338" priority="1154" rank="1"/>
  </conditionalFormatting>
  <conditionalFormatting sqref="L1037">
    <cfRule type="top10" dxfId="337" priority="88" rank="1"/>
  </conditionalFormatting>
  <conditionalFormatting sqref="L1038:L1051">
    <cfRule type="top10" dxfId="336" priority="1135" rank="1"/>
  </conditionalFormatting>
  <conditionalFormatting sqref="L1066">
    <cfRule type="top10" dxfId="335" priority="64" rank="1"/>
  </conditionalFormatting>
  <conditionalFormatting sqref="L1067:L1080">
    <cfRule type="top10" dxfId="334" priority="1116" rank="1"/>
  </conditionalFormatting>
  <conditionalFormatting sqref="L1095">
    <cfRule type="top10" dxfId="333" priority="40" rank="1"/>
  </conditionalFormatting>
  <conditionalFormatting sqref="L1096:L1109">
    <cfRule type="top10" dxfId="332" priority="1097" rank="1"/>
  </conditionalFormatting>
  <conditionalFormatting sqref="L1126:L1140">
    <cfRule type="top10" dxfId="331" priority="1078" rank="1"/>
  </conditionalFormatting>
  <conditionalFormatting sqref="L1147">
    <cfRule type="top10" dxfId="330" priority="16" rank="1"/>
  </conditionalFormatting>
  <conditionalFormatting sqref="L1148:L1161">
    <cfRule type="top10" dxfId="329" priority="1059" rank="1"/>
  </conditionalFormatting>
  <conditionalFormatting sqref="L1164:L1177">
    <cfRule type="top10" dxfId="328" priority="1040" rank="1"/>
  </conditionalFormatting>
  <conditionalFormatting sqref="L1178:L1180">
    <cfRule type="top10" dxfId="326" priority="933" rank="1"/>
  </conditionalFormatting>
  <conditionalFormatting sqref="M9:M23">
    <cfRule type="top10" dxfId="325" priority="1913" rank="1"/>
  </conditionalFormatting>
  <conditionalFormatting sqref="M38">
    <cfRule type="top10" dxfId="324" priority="855" rank="1"/>
  </conditionalFormatting>
  <conditionalFormatting sqref="M39:M52">
    <cfRule type="top10" dxfId="323" priority="1881" rank="1"/>
  </conditionalFormatting>
  <conditionalFormatting sqref="M66">
    <cfRule type="top10" dxfId="322" priority="831" rank="1"/>
  </conditionalFormatting>
  <conditionalFormatting sqref="M67:M80">
    <cfRule type="top10" dxfId="321" priority="1864" rank="1"/>
  </conditionalFormatting>
  <conditionalFormatting sqref="M95">
    <cfRule type="top10" dxfId="320" priority="807" rank="1"/>
  </conditionalFormatting>
  <conditionalFormatting sqref="M96:M109">
    <cfRule type="top10" dxfId="319" priority="1761" rank="1"/>
  </conditionalFormatting>
  <conditionalFormatting sqref="M124">
    <cfRule type="top10" dxfId="318" priority="783" rank="1"/>
  </conditionalFormatting>
  <conditionalFormatting sqref="M125:M138">
    <cfRule type="top10" dxfId="317" priority="1742" rank="1"/>
  </conditionalFormatting>
  <conditionalFormatting sqref="M155:M169">
    <cfRule type="top10" dxfId="316" priority="1723" rank="1"/>
  </conditionalFormatting>
  <conditionalFormatting sqref="M184">
    <cfRule type="top10" dxfId="315" priority="759" rank="1"/>
  </conditionalFormatting>
  <conditionalFormatting sqref="M185:M198">
    <cfRule type="top10" dxfId="314" priority="1704" rank="1"/>
  </conditionalFormatting>
  <conditionalFormatting sqref="M213">
    <cfRule type="top10" dxfId="313" priority="735" rank="1"/>
  </conditionalFormatting>
  <conditionalFormatting sqref="M214:M227">
    <cfRule type="top10" dxfId="312" priority="1685" rank="1"/>
  </conditionalFormatting>
  <conditionalFormatting sqref="M242">
    <cfRule type="top10" dxfId="311" priority="711" rank="1"/>
  </conditionalFormatting>
  <conditionalFormatting sqref="M243:M256">
    <cfRule type="top10" dxfId="310" priority="1666" rank="1"/>
  </conditionalFormatting>
  <conditionalFormatting sqref="M271">
    <cfRule type="top10" dxfId="309" priority="687" rank="1"/>
  </conditionalFormatting>
  <conditionalFormatting sqref="M272:M285">
    <cfRule type="top10" dxfId="308" priority="1647" rank="1"/>
  </conditionalFormatting>
  <conditionalFormatting sqref="M300">
    <cfRule type="top10" dxfId="307" priority="663" rank="1"/>
  </conditionalFormatting>
  <conditionalFormatting sqref="M301:M307 M309:M314">
    <cfRule type="top10" dxfId="306" priority="1628" rank="1"/>
  </conditionalFormatting>
  <conditionalFormatting sqref="M318:M332">
    <cfRule type="top10" dxfId="305" priority="1609" rank="1"/>
  </conditionalFormatting>
  <conditionalFormatting sqref="M348">
    <cfRule type="top10" dxfId="304" priority="639" rank="1"/>
  </conditionalFormatting>
  <conditionalFormatting sqref="M349:M362">
    <cfRule type="top10" dxfId="303" priority="1590" rank="1"/>
  </conditionalFormatting>
  <conditionalFormatting sqref="M377">
    <cfRule type="top10" dxfId="302" priority="615" rank="1"/>
  </conditionalFormatting>
  <conditionalFormatting sqref="M378:M391">
    <cfRule type="top10" dxfId="301" priority="1571" rank="1"/>
  </conditionalFormatting>
  <conditionalFormatting sqref="M406">
    <cfRule type="top10" dxfId="300" priority="591" rank="1"/>
  </conditionalFormatting>
  <conditionalFormatting sqref="M407:M420">
    <cfRule type="top10" dxfId="299" priority="1552" rank="1"/>
  </conditionalFormatting>
  <conditionalFormatting sqref="M435">
    <cfRule type="top10" dxfId="298" priority="567" rank="1"/>
  </conditionalFormatting>
  <conditionalFormatting sqref="M436:M449">
    <cfRule type="top10" dxfId="297" priority="1533" rank="1"/>
  </conditionalFormatting>
  <conditionalFormatting sqref="M465">
    <cfRule type="top10" dxfId="296" priority="543" rank="1"/>
  </conditionalFormatting>
  <conditionalFormatting sqref="M466:M479">
    <cfRule type="top10" dxfId="295" priority="1514" rank="1"/>
  </conditionalFormatting>
  <conditionalFormatting sqref="M494">
    <cfRule type="top10" dxfId="294" priority="519" rank="1"/>
  </conditionalFormatting>
  <conditionalFormatting sqref="M495:M508">
    <cfRule type="top10" dxfId="293" priority="1495" rank="1"/>
  </conditionalFormatting>
  <conditionalFormatting sqref="M523">
    <cfRule type="top10" dxfId="292" priority="495" rank="1"/>
  </conditionalFormatting>
  <conditionalFormatting sqref="M524:M537">
    <cfRule type="top10" dxfId="291" priority="1476" rank="1"/>
  </conditionalFormatting>
  <conditionalFormatting sqref="M552">
    <cfRule type="top10" dxfId="290" priority="471" rank="1"/>
  </conditionalFormatting>
  <conditionalFormatting sqref="M553:M566">
    <cfRule type="top10" dxfId="289" priority="1457" rank="1"/>
  </conditionalFormatting>
  <conditionalFormatting sqref="M581">
    <cfRule type="top10" dxfId="288" priority="447" rank="1"/>
  </conditionalFormatting>
  <conditionalFormatting sqref="M582:M595">
    <cfRule type="top10" dxfId="287" priority="1438" rank="1"/>
  </conditionalFormatting>
  <conditionalFormatting sqref="M612">
    <cfRule type="top10" dxfId="286" priority="423" rank="1"/>
  </conditionalFormatting>
  <conditionalFormatting sqref="M613:M626">
    <cfRule type="top10" dxfId="285" priority="1419" rank="1"/>
  </conditionalFormatting>
  <conditionalFormatting sqref="M641">
    <cfRule type="top10" dxfId="284" priority="399" rank="1"/>
  </conditionalFormatting>
  <conditionalFormatting sqref="M642:M655">
    <cfRule type="top10" dxfId="283" priority="1400" rank="1"/>
  </conditionalFormatting>
  <conditionalFormatting sqref="M670">
    <cfRule type="top10" dxfId="282" priority="375" rank="1"/>
  </conditionalFormatting>
  <conditionalFormatting sqref="M671:M684">
    <cfRule type="top10" dxfId="281" priority="1381" rank="1"/>
  </conditionalFormatting>
  <conditionalFormatting sqref="M699">
    <cfRule type="top10" dxfId="280" priority="351" rank="1"/>
  </conditionalFormatting>
  <conditionalFormatting sqref="M700:M713">
    <cfRule type="top10" dxfId="279" priority="1362" rank="1"/>
  </conditionalFormatting>
  <conditionalFormatting sqref="M728:M742">
    <cfRule type="top10" dxfId="278" priority="1343" rank="1"/>
  </conditionalFormatting>
  <conditionalFormatting sqref="M757">
    <cfRule type="top10" dxfId="277" priority="327" rank="1"/>
  </conditionalFormatting>
  <conditionalFormatting sqref="M758:M771">
    <cfRule type="top10" dxfId="276" priority="1324" rank="1"/>
  </conditionalFormatting>
  <conditionalFormatting sqref="M786">
    <cfRule type="top10" dxfId="275" priority="303" rank="1"/>
  </conditionalFormatting>
  <conditionalFormatting sqref="M787:M800">
    <cfRule type="top10" dxfId="274" priority="1305" rank="1"/>
  </conditionalFormatting>
  <conditionalFormatting sqref="M804">
    <cfRule type="top10" dxfId="273" priority="279" rank="1"/>
  </conditionalFormatting>
  <conditionalFormatting sqref="M805:M818">
    <cfRule type="top10" dxfId="272" priority="1286" rank="1"/>
  </conditionalFormatting>
  <conditionalFormatting sqref="M833">
    <cfRule type="top10" dxfId="271" priority="255" rank="1"/>
  </conditionalFormatting>
  <conditionalFormatting sqref="M834:M847">
    <cfRule type="top10" dxfId="270" priority="1267" rank="1"/>
  </conditionalFormatting>
  <conditionalFormatting sqref="M861">
    <cfRule type="top10" dxfId="269" priority="231" rank="1"/>
  </conditionalFormatting>
  <conditionalFormatting sqref="M862:M875">
    <cfRule type="top10" dxfId="268" priority="1248" rank="1"/>
  </conditionalFormatting>
  <conditionalFormatting sqref="M890">
    <cfRule type="top10" dxfId="267" priority="207" rank="1"/>
  </conditionalFormatting>
  <conditionalFormatting sqref="M891:M904">
    <cfRule type="top10" dxfId="266" priority="1229" rank="1"/>
  </conditionalFormatting>
  <conditionalFormatting sqref="M919">
    <cfRule type="top10" dxfId="265" priority="183" rank="1"/>
  </conditionalFormatting>
  <conditionalFormatting sqref="M920:M933">
    <cfRule type="top10" dxfId="264" priority="1210" rank="1"/>
  </conditionalFormatting>
  <conditionalFormatting sqref="M948">
    <cfRule type="top10" dxfId="263" priority="159" rank="1"/>
  </conditionalFormatting>
  <conditionalFormatting sqref="M949:M962">
    <cfRule type="top10" dxfId="262" priority="1191" rank="1"/>
  </conditionalFormatting>
  <conditionalFormatting sqref="M979">
    <cfRule type="top10" dxfId="261" priority="135" rank="1"/>
  </conditionalFormatting>
  <conditionalFormatting sqref="M980:M993">
    <cfRule type="top10" dxfId="260" priority="1172" rank="1"/>
  </conditionalFormatting>
  <conditionalFormatting sqref="M1008">
    <cfRule type="top10" dxfId="259" priority="111" rank="1"/>
  </conditionalFormatting>
  <conditionalFormatting sqref="M1009:M1022">
    <cfRule type="top10" dxfId="258" priority="1153" rank="1"/>
  </conditionalFormatting>
  <conditionalFormatting sqref="M1037">
    <cfRule type="top10" dxfId="257" priority="87" rank="1"/>
  </conditionalFormatting>
  <conditionalFormatting sqref="M1038:M1051">
    <cfRule type="top10" dxfId="256" priority="1134" rank="1"/>
  </conditionalFormatting>
  <conditionalFormatting sqref="M1066">
    <cfRule type="top10" dxfId="255" priority="63" rank="1"/>
  </conditionalFormatting>
  <conditionalFormatting sqref="M1067:M1080">
    <cfRule type="top10" dxfId="254" priority="1115" rank="1"/>
  </conditionalFormatting>
  <conditionalFormatting sqref="M1095">
    <cfRule type="top10" dxfId="253" priority="39" rank="1"/>
  </conditionalFormatting>
  <conditionalFormatting sqref="M1096:M1109">
    <cfRule type="top10" dxfId="252" priority="1096" rank="1"/>
  </conditionalFormatting>
  <conditionalFormatting sqref="M1126:M1140">
    <cfRule type="top10" dxfId="251" priority="1077" rank="1"/>
  </conditionalFormatting>
  <conditionalFormatting sqref="M1147">
    <cfRule type="top10" dxfId="250" priority="15" rank="1"/>
  </conditionalFormatting>
  <conditionalFormatting sqref="M1148:M1161">
    <cfRule type="top10" dxfId="249" priority="1058" rank="1"/>
  </conditionalFormatting>
  <conditionalFormatting sqref="M1164:M1177">
    <cfRule type="top10" dxfId="248" priority="1039" rank="1"/>
  </conditionalFormatting>
  <conditionalFormatting sqref="M1178:M1180">
    <cfRule type="top10" dxfId="246" priority="932" rank="1"/>
  </conditionalFormatting>
  <conditionalFormatting sqref="N9:N23">
    <cfRule type="top10" dxfId="245" priority="1912" rank="1"/>
  </conditionalFormatting>
  <conditionalFormatting sqref="N38">
    <cfRule type="top10" dxfId="244" priority="854" rank="1"/>
  </conditionalFormatting>
  <conditionalFormatting sqref="N39:N52">
    <cfRule type="top10" dxfId="243" priority="1880" rank="1"/>
  </conditionalFormatting>
  <conditionalFormatting sqref="N66">
    <cfRule type="top10" dxfId="242" priority="830" rank="1"/>
  </conditionalFormatting>
  <conditionalFormatting sqref="N67:N80">
    <cfRule type="top10" dxfId="241" priority="1863" rank="1"/>
  </conditionalFormatting>
  <conditionalFormatting sqref="N95">
    <cfRule type="top10" dxfId="240" priority="806" rank="1"/>
  </conditionalFormatting>
  <conditionalFormatting sqref="N96:N109">
    <cfRule type="top10" dxfId="239" priority="1760" rank="1"/>
  </conditionalFormatting>
  <conditionalFormatting sqref="N124">
    <cfRule type="top10" dxfId="238" priority="782" rank="1"/>
  </conditionalFormatting>
  <conditionalFormatting sqref="N125:N138">
    <cfRule type="top10" dxfId="237" priority="1741" rank="1"/>
  </conditionalFormatting>
  <conditionalFormatting sqref="N155:N169">
    <cfRule type="top10" dxfId="236" priority="1722" rank="1"/>
  </conditionalFormatting>
  <conditionalFormatting sqref="N184">
    <cfRule type="top10" dxfId="235" priority="758" rank="1"/>
  </conditionalFormatting>
  <conditionalFormatting sqref="N185:N198">
    <cfRule type="top10" dxfId="234" priority="1703" rank="1"/>
  </conditionalFormatting>
  <conditionalFormatting sqref="N213">
    <cfRule type="top10" dxfId="233" priority="734" rank="1"/>
  </conditionalFormatting>
  <conditionalFormatting sqref="N214:N227">
    <cfRule type="top10" dxfId="232" priority="1684" rank="1"/>
  </conditionalFormatting>
  <conditionalFormatting sqref="N242">
    <cfRule type="top10" dxfId="231" priority="710" rank="1"/>
  </conditionalFormatting>
  <conditionalFormatting sqref="N243:N256">
    <cfRule type="top10" dxfId="230" priority="1665" rank="1"/>
  </conditionalFormatting>
  <conditionalFormatting sqref="N271">
    <cfRule type="top10" dxfId="229" priority="686" rank="1"/>
  </conditionalFormatting>
  <conditionalFormatting sqref="N272:N285">
    <cfRule type="top10" dxfId="228" priority="1646" rank="1"/>
  </conditionalFormatting>
  <conditionalFormatting sqref="N300">
    <cfRule type="top10" dxfId="227" priority="662" rank="1"/>
  </conditionalFormatting>
  <conditionalFormatting sqref="N301:N307 N309:N314">
    <cfRule type="top10" dxfId="226" priority="1627" rank="1"/>
  </conditionalFormatting>
  <conditionalFormatting sqref="N318:N332">
    <cfRule type="top10" dxfId="225" priority="1608" rank="1"/>
  </conditionalFormatting>
  <conditionalFormatting sqref="N348">
    <cfRule type="top10" dxfId="224" priority="638" rank="1"/>
  </conditionalFormatting>
  <conditionalFormatting sqref="N349:N362">
    <cfRule type="top10" dxfId="223" priority="1589" rank="1"/>
  </conditionalFormatting>
  <conditionalFormatting sqref="N377">
    <cfRule type="top10" dxfId="222" priority="614" rank="1"/>
  </conditionalFormatting>
  <conditionalFormatting sqref="N378:N391">
    <cfRule type="top10" dxfId="221" priority="1570" rank="1"/>
  </conditionalFormatting>
  <conditionalFormatting sqref="N406">
    <cfRule type="top10" dxfId="220" priority="590" rank="1"/>
  </conditionalFormatting>
  <conditionalFormatting sqref="N407:N420">
    <cfRule type="top10" dxfId="219" priority="1551" rank="1"/>
  </conditionalFormatting>
  <conditionalFormatting sqref="N435">
    <cfRule type="top10" dxfId="218" priority="566" rank="1"/>
  </conditionalFormatting>
  <conditionalFormatting sqref="N436:N449">
    <cfRule type="top10" dxfId="217" priority="1532" rank="1"/>
  </conditionalFormatting>
  <conditionalFormatting sqref="N465">
    <cfRule type="top10" dxfId="216" priority="542" rank="1"/>
  </conditionalFormatting>
  <conditionalFormatting sqref="N466:N479">
    <cfRule type="top10" dxfId="215" priority="1513" rank="1"/>
  </conditionalFormatting>
  <conditionalFormatting sqref="N494">
    <cfRule type="top10" dxfId="214" priority="518" rank="1"/>
  </conditionalFormatting>
  <conditionalFormatting sqref="N495:N508">
    <cfRule type="top10" dxfId="213" priority="1494" rank="1"/>
  </conditionalFormatting>
  <conditionalFormatting sqref="N523">
    <cfRule type="top10" dxfId="212" priority="494" rank="1"/>
  </conditionalFormatting>
  <conditionalFormatting sqref="N524:N537">
    <cfRule type="top10" dxfId="211" priority="1475" rank="1"/>
  </conditionalFormatting>
  <conditionalFormatting sqref="N552">
    <cfRule type="top10" dxfId="210" priority="470" rank="1"/>
  </conditionalFormatting>
  <conditionalFormatting sqref="N553:N566">
    <cfRule type="top10" dxfId="209" priority="1456" rank="1"/>
  </conditionalFormatting>
  <conditionalFormatting sqref="N581">
    <cfRule type="top10" dxfId="208" priority="446" rank="1"/>
  </conditionalFormatting>
  <conditionalFormatting sqref="N582:N595">
    <cfRule type="top10" dxfId="207" priority="1437" rank="1"/>
  </conditionalFormatting>
  <conditionalFormatting sqref="N612">
    <cfRule type="top10" dxfId="206" priority="422" rank="1"/>
  </conditionalFormatting>
  <conditionalFormatting sqref="N613:N626">
    <cfRule type="top10" dxfId="205" priority="1418" rank="1"/>
  </conditionalFormatting>
  <conditionalFormatting sqref="N641">
    <cfRule type="top10" dxfId="204" priority="398" rank="1"/>
  </conditionalFormatting>
  <conditionalFormatting sqref="N642:N655">
    <cfRule type="top10" dxfId="203" priority="1399" rank="1"/>
  </conditionalFormatting>
  <conditionalFormatting sqref="N670">
    <cfRule type="top10" dxfId="202" priority="374" rank="1"/>
  </conditionalFormatting>
  <conditionalFormatting sqref="N671:N684">
    <cfRule type="top10" dxfId="201" priority="1380" rank="1"/>
  </conditionalFormatting>
  <conditionalFormatting sqref="N699">
    <cfRule type="top10" dxfId="200" priority="350" rank="1"/>
  </conditionalFormatting>
  <conditionalFormatting sqref="N700:N713">
    <cfRule type="top10" dxfId="199" priority="1361" rank="1"/>
  </conditionalFormatting>
  <conditionalFormatting sqref="N728:N742">
    <cfRule type="top10" dxfId="198" priority="1342" rank="1"/>
  </conditionalFormatting>
  <conditionalFormatting sqref="N757">
    <cfRule type="top10" dxfId="197" priority="326" rank="1"/>
  </conditionalFormatting>
  <conditionalFormatting sqref="N758:N771">
    <cfRule type="top10" dxfId="196" priority="1323" rank="1"/>
  </conditionalFormatting>
  <conditionalFormatting sqref="N786">
    <cfRule type="top10" dxfId="195" priority="302" rank="1"/>
  </conditionalFormatting>
  <conditionalFormatting sqref="N787:N800">
    <cfRule type="top10" dxfId="194" priority="1304" rank="1"/>
  </conditionalFormatting>
  <conditionalFormatting sqref="N804">
    <cfRule type="top10" dxfId="193" priority="278" rank="1"/>
  </conditionalFormatting>
  <conditionalFormatting sqref="N805:N818">
    <cfRule type="top10" dxfId="192" priority="1285" rank="1"/>
  </conditionalFormatting>
  <conditionalFormatting sqref="N833">
    <cfRule type="top10" dxfId="191" priority="254" rank="1"/>
  </conditionalFormatting>
  <conditionalFormatting sqref="N834:N847">
    <cfRule type="top10" dxfId="190" priority="1266" rank="1"/>
  </conditionalFormatting>
  <conditionalFormatting sqref="N861">
    <cfRule type="top10" dxfId="189" priority="230" rank="1"/>
  </conditionalFormatting>
  <conditionalFormatting sqref="N862:N875">
    <cfRule type="top10" dxfId="188" priority="1247" rank="1"/>
  </conditionalFormatting>
  <conditionalFormatting sqref="N890">
    <cfRule type="top10" dxfId="187" priority="206" rank="1"/>
  </conditionalFormatting>
  <conditionalFormatting sqref="N891:N904">
    <cfRule type="top10" dxfId="186" priority="1228" rank="1"/>
  </conditionalFormatting>
  <conditionalFormatting sqref="N919">
    <cfRule type="top10" dxfId="185" priority="182" rank="1"/>
  </conditionalFormatting>
  <conditionalFormatting sqref="N920:N933">
    <cfRule type="top10" dxfId="184" priority="1209" rank="1"/>
  </conditionalFormatting>
  <conditionalFormatting sqref="N948">
    <cfRule type="top10" dxfId="183" priority="158" rank="1"/>
  </conditionalFormatting>
  <conditionalFormatting sqref="N949:N962">
    <cfRule type="top10" dxfId="182" priority="1190" rank="1"/>
  </conditionalFormatting>
  <conditionalFormatting sqref="N979">
    <cfRule type="top10" dxfId="181" priority="134" rank="1"/>
  </conditionalFormatting>
  <conditionalFormatting sqref="N980:N993">
    <cfRule type="top10" dxfId="180" priority="1171" rank="1"/>
  </conditionalFormatting>
  <conditionalFormatting sqref="N1008">
    <cfRule type="top10" dxfId="179" priority="110" rank="1"/>
  </conditionalFormatting>
  <conditionalFormatting sqref="N1009:N1022">
    <cfRule type="top10" dxfId="178" priority="1152" rank="1"/>
  </conditionalFormatting>
  <conditionalFormatting sqref="N1037">
    <cfRule type="top10" dxfId="177" priority="86" rank="1"/>
  </conditionalFormatting>
  <conditionalFormatting sqref="N1038:N1051">
    <cfRule type="top10" dxfId="176" priority="1133" rank="1"/>
  </conditionalFormatting>
  <conditionalFormatting sqref="N1066">
    <cfRule type="top10" dxfId="175" priority="62" rank="1"/>
  </conditionalFormatting>
  <conditionalFormatting sqref="N1067:N1080">
    <cfRule type="top10" dxfId="174" priority="1114" rank="1"/>
  </conditionalFormatting>
  <conditionalFormatting sqref="N1095">
    <cfRule type="top10" dxfId="173" priority="38" rank="1"/>
  </conditionalFormatting>
  <conditionalFormatting sqref="N1096:N1109">
    <cfRule type="top10" dxfId="172" priority="1095" rank="1"/>
  </conditionalFormatting>
  <conditionalFormatting sqref="N1126:N1140">
    <cfRule type="top10" dxfId="171" priority="1076" rank="1"/>
  </conditionalFormatting>
  <conditionalFormatting sqref="N1147">
    <cfRule type="top10" dxfId="170" priority="14" rank="1"/>
  </conditionalFormatting>
  <conditionalFormatting sqref="N1148:N1161">
    <cfRule type="top10" dxfId="169" priority="1057" rank="1"/>
  </conditionalFormatting>
  <conditionalFormatting sqref="N1164:N1177">
    <cfRule type="top10" dxfId="168" priority="1038" rank="1"/>
  </conditionalFormatting>
  <conditionalFormatting sqref="N1178:N1180">
    <cfRule type="top10" dxfId="166" priority="931" rank="1"/>
  </conditionalFormatting>
  <conditionalFormatting sqref="O9:O23">
    <cfRule type="top10" dxfId="165" priority="1911" rank="1"/>
  </conditionalFormatting>
  <conditionalFormatting sqref="O38">
    <cfRule type="top10" dxfId="164" priority="853" rank="1"/>
  </conditionalFormatting>
  <conditionalFormatting sqref="O39:O52">
    <cfRule type="top10" dxfId="163" priority="1879" rank="1"/>
  </conditionalFormatting>
  <conditionalFormatting sqref="O66">
    <cfRule type="top10" dxfId="162" priority="829" rank="1"/>
  </conditionalFormatting>
  <conditionalFormatting sqref="O67:O80">
    <cfRule type="top10" dxfId="161" priority="1862" rank="1"/>
  </conditionalFormatting>
  <conditionalFormatting sqref="O95">
    <cfRule type="top10" dxfId="160" priority="805" rank="1"/>
  </conditionalFormatting>
  <conditionalFormatting sqref="O96:O109">
    <cfRule type="top10" dxfId="159" priority="1759" rank="1"/>
  </conditionalFormatting>
  <conditionalFormatting sqref="O124">
    <cfRule type="top10" dxfId="158" priority="781" rank="1"/>
  </conditionalFormatting>
  <conditionalFormatting sqref="O125:O138">
    <cfRule type="top10" dxfId="157" priority="1740" rank="1"/>
  </conditionalFormatting>
  <conditionalFormatting sqref="O155:O169">
    <cfRule type="top10" dxfId="156" priority="1721" rank="1"/>
  </conditionalFormatting>
  <conditionalFormatting sqref="O184">
    <cfRule type="top10" dxfId="155" priority="757" rank="1"/>
  </conditionalFormatting>
  <conditionalFormatting sqref="O185:O198">
    <cfRule type="top10" dxfId="154" priority="1702" rank="1"/>
  </conditionalFormatting>
  <conditionalFormatting sqref="O213">
    <cfRule type="top10" dxfId="153" priority="733" rank="1"/>
  </conditionalFormatting>
  <conditionalFormatting sqref="O214:O227">
    <cfRule type="top10" dxfId="152" priority="1683" rank="1"/>
  </conditionalFormatting>
  <conditionalFormatting sqref="O242">
    <cfRule type="top10" dxfId="151" priority="709" rank="1"/>
  </conditionalFormatting>
  <conditionalFormatting sqref="O243:O256">
    <cfRule type="top10" dxfId="150" priority="1664" rank="1"/>
  </conditionalFormatting>
  <conditionalFormatting sqref="O271">
    <cfRule type="top10" dxfId="149" priority="685" rank="1"/>
  </conditionalFormatting>
  <conditionalFormatting sqref="O272:O285">
    <cfRule type="top10" dxfId="148" priority="1645" rank="1"/>
  </conditionalFormatting>
  <conditionalFormatting sqref="O300">
    <cfRule type="top10" dxfId="147" priority="661" rank="1"/>
  </conditionalFormatting>
  <conditionalFormatting sqref="O301:O307 O309:O314">
    <cfRule type="top10" dxfId="146" priority="1626" rank="1"/>
  </conditionalFormatting>
  <conditionalFormatting sqref="O318:O332">
    <cfRule type="top10" dxfId="145" priority="1607" rank="1"/>
  </conditionalFormatting>
  <conditionalFormatting sqref="O348">
    <cfRule type="top10" dxfId="144" priority="637" rank="1"/>
  </conditionalFormatting>
  <conditionalFormatting sqref="O349:O362">
    <cfRule type="top10" dxfId="143" priority="1588" rank="1"/>
  </conditionalFormatting>
  <conditionalFormatting sqref="O377">
    <cfRule type="top10" dxfId="142" priority="613" rank="1"/>
  </conditionalFormatting>
  <conditionalFormatting sqref="O378:O391">
    <cfRule type="top10" dxfId="141" priority="1569" rank="1"/>
  </conditionalFormatting>
  <conditionalFormatting sqref="O406">
    <cfRule type="top10" dxfId="140" priority="589" rank="1"/>
  </conditionalFormatting>
  <conditionalFormatting sqref="O407:O420">
    <cfRule type="top10" dxfId="139" priority="1550" rank="1"/>
  </conditionalFormatting>
  <conditionalFormatting sqref="O435">
    <cfRule type="top10" dxfId="138" priority="565" rank="1"/>
  </conditionalFormatting>
  <conditionalFormatting sqref="O436:O449">
    <cfRule type="top10" dxfId="137" priority="1531" rank="1"/>
  </conditionalFormatting>
  <conditionalFormatting sqref="O465">
    <cfRule type="top10" dxfId="136" priority="541" rank="1"/>
  </conditionalFormatting>
  <conditionalFormatting sqref="O466:O479">
    <cfRule type="top10" dxfId="135" priority="1512" rank="1"/>
  </conditionalFormatting>
  <conditionalFormatting sqref="O494">
    <cfRule type="top10" dxfId="134" priority="517" rank="1"/>
  </conditionalFormatting>
  <conditionalFormatting sqref="O495:O508">
    <cfRule type="top10" dxfId="133" priority="1493" rank="1"/>
  </conditionalFormatting>
  <conditionalFormatting sqref="O523">
    <cfRule type="top10" dxfId="132" priority="493" rank="1"/>
  </conditionalFormatting>
  <conditionalFormatting sqref="O524:O537">
    <cfRule type="top10" dxfId="131" priority="1474" rank="1"/>
  </conditionalFormatting>
  <conditionalFormatting sqref="O552">
    <cfRule type="top10" dxfId="130" priority="469" rank="1"/>
  </conditionalFormatting>
  <conditionalFormatting sqref="O553:O566">
    <cfRule type="top10" dxfId="129" priority="1455" rank="1"/>
  </conditionalFormatting>
  <conditionalFormatting sqref="O581">
    <cfRule type="top10" dxfId="128" priority="445" rank="1"/>
  </conditionalFormatting>
  <conditionalFormatting sqref="O582:O595">
    <cfRule type="top10" dxfId="127" priority="1436" rank="1"/>
  </conditionalFormatting>
  <conditionalFormatting sqref="O612">
    <cfRule type="top10" dxfId="126" priority="421" rank="1"/>
  </conditionalFormatting>
  <conditionalFormatting sqref="O613:O626">
    <cfRule type="top10" dxfId="125" priority="1417" rank="1"/>
  </conditionalFormatting>
  <conditionalFormatting sqref="O641">
    <cfRule type="top10" dxfId="124" priority="397" rank="1"/>
  </conditionalFormatting>
  <conditionalFormatting sqref="O642:O655">
    <cfRule type="top10" dxfId="123" priority="1398" rank="1"/>
  </conditionalFormatting>
  <conditionalFormatting sqref="O670">
    <cfRule type="top10" dxfId="122" priority="373" rank="1"/>
  </conditionalFormatting>
  <conditionalFormatting sqref="O671:O684">
    <cfRule type="top10" dxfId="121" priority="1379" rank="1"/>
  </conditionalFormatting>
  <conditionalFormatting sqref="O699">
    <cfRule type="top10" dxfId="120" priority="349" rank="1"/>
  </conditionalFormatting>
  <conditionalFormatting sqref="O700:O713">
    <cfRule type="top10" dxfId="119" priority="1360" rank="1"/>
  </conditionalFormatting>
  <conditionalFormatting sqref="O728:O742">
    <cfRule type="top10" dxfId="118" priority="1341" rank="1"/>
  </conditionalFormatting>
  <conditionalFormatting sqref="O757">
    <cfRule type="top10" dxfId="117" priority="325" rank="1"/>
  </conditionalFormatting>
  <conditionalFormatting sqref="O758:O771">
    <cfRule type="top10" dxfId="116" priority="1322" rank="1"/>
  </conditionalFormatting>
  <conditionalFormatting sqref="O786">
    <cfRule type="top10" dxfId="115" priority="301" rank="1"/>
  </conditionalFormatting>
  <conditionalFormatting sqref="O787:O800">
    <cfRule type="top10" dxfId="114" priority="1303" rank="1"/>
  </conditionalFormatting>
  <conditionalFormatting sqref="O804">
    <cfRule type="top10" dxfId="113" priority="277" rank="1"/>
  </conditionalFormatting>
  <conditionalFormatting sqref="O805:O818">
    <cfRule type="top10" dxfId="112" priority="1284" rank="1"/>
  </conditionalFormatting>
  <conditionalFormatting sqref="O833">
    <cfRule type="top10" dxfId="111" priority="253" rank="1"/>
  </conditionalFormatting>
  <conditionalFormatting sqref="O834:O847">
    <cfRule type="top10" dxfId="110" priority="1265" rank="1"/>
  </conditionalFormatting>
  <conditionalFormatting sqref="O861">
    <cfRule type="top10" dxfId="109" priority="229" rank="1"/>
  </conditionalFormatting>
  <conditionalFormatting sqref="O862:O875">
    <cfRule type="top10" dxfId="108" priority="1246" rank="1"/>
  </conditionalFormatting>
  <conditionalFormatting sqref="O890">
    <cfRule type="top10" dxfId="107" priority="205" rank="1"/>
  </conditionalFormatting>
  <conditionalFormatting sqref="O891:O904">
    <cfRule type="top10" dxfId="106" priority="1227" rank="1"/>
  </conditionalFormatting>
  <conditionalFormatting sqref="O919">
    <cfRule type="top10" dxfId="105" priority="181" rank="1"/>
  </conditionalFormatting>
  <conditionalFormatting sqref="O920:O933">
    <cfRule type="top10" dxfId="104" priority="1208" rank="1"/>
  </conditionalFormatting>
  <conditionalFormatting sqref="O948">
    <cfRule type="top10" dxfId="103" priority="157" rank="1"/>
  </conditionalFormatting>
  <conditionalFormatting sqref="O949:O962">
    <cfRule type="top10" dxfId="102" priority="1189" rank="1"/>
  </conditionalFormatting>
  <conditionalFormatting sqref="O979">
    <cfRule type="top10" dxfId="101" priority="133" rank="1"/>
  </conditionalFormatting>
  <conditionalFormatting sqref="O980:O993">
    <cfRule type="top10" dxfId="100" priority="1170" rank="1"/>
  </conditionalFormatting>
  <conditionalFormatting sqref="O1008">
    <cfRule type="top10" dxfId="99" priority="109" rank="1"/>
  </conditionalFormatting>
  <conditionalFormatting sqref="O1009:O1022">
    <cfRule type="top10" dxfId="98" priority="1151" rank="1"/>
  </conditionalFormatting>
  <conditionalFormatting sqref="O1037">
    <cfRule type="top10" dxfId="97" priority="85" rank="1"/>
  </conditionalFormatting>
  <conditionalFormatting sqref="O1038:O1051">
    <cfRule type="top10" dxfId="96" priority="1132" rank="1"/>
  </conditionalFormatting>
  <conditionalFormatting sqref="O1066">
    <cfRule type="top10" dxfId="95" priority="61" rank="1"/>
  </conditionalFormatting>
  <conditionalFormatting sqref="O1067:O1080">
    <cfRule type="top10" dxfId="94" priority="1113" rank="1"/>
  </conditionalFormatting>
  <conditionalFormatting sqref="O1095">
    <cfRule type="top10" dxfId="93" priority="37" rank="1"/>
  </conditionalFormatting>
  <conditionalFormatting sqref="O1096:O1109">
    <cfRule type="top10" dxfId="92" priority="1094" rank="1"/>
  </conditionalFormatting>
  <conditionalFormatting sqref="O1126:O1140">
    <cfRule type="top10" dxfId="91" priority="1075" rank="1"/>
  </conditionalFormatting>
  <conditionalFormatting sqref="O1147">
    <cfRule type="top10" dxfId="90" priority="13" rank="1"/>
  </conditionalFormatting>
  <conditionalFormatting sqref="O1148:O1161">
    <cfRule type="top10" dxfId="89" priority="1056" rank="1"/>
  </conditionalFormatting>
  <conditionalFormatting sqref="O1164:O1177">
    <cfRule type="top10" dxfId="88" priority="1037" rank="1"/>
  </conditionalFormatting>
  <conditionalFormatting sqref="O1178:O1180">
    <cfRule type="top10" dxfId="86" priority="930" rank="1"/>
  </conditionalFormatting>
  <conditionalFormatting sqref="P9:P23">
    <cfRule type="top10" dxfId="85" priority="1910" rank="1"/>
  </conditionalFormatting>
  <conditionalFormatting sqref="P38">
    <cfRule type="top10" dxfId="84" priority="852" rank="1"/>
  </conditionalFormatting>
  <conditionalFormatting sqref="P39:P52">
    <cfRule type="top10" dxfId="83" priority="1878" rank="1"/>
  </conditionalFormatting>
  <conditionalFormatting sqref="P66">
    <cfRule type="top10" dxfId="82" priority="828" rank="1"/>
  </conditionalFormatting>
  <conditionalFormatting sqref="P67:P80">
    <cfRule type="top10" dxfId="81" priority="1861" rank="1"/>
  </conditionalFormatting>
  <conditionalFormatting sqref="P95">
    <cfRule type="top10" dxfId="80" priority="804" rank="1"/>
  </conditionalFormatting>
  <conditionalFormatting sqref="P96:P109">
    <cfRule type="top10" dxfId="79" priority="1758" rank="1"/>
  </conditionalFormatting>
  <conditionalFormatting sqref="P124">
    <cfRule type="top10" dxfId="78" priority="780" rank="1"/>
  </conditionalFormatting>
  <conditionalFormatting sqref="P125:P138">
    <cfRule type="top10" dxfId="77" priority="1739" rank="1"/>
  </conditionalFormatting>
  <conditionalFormatting sqref="P155:P169">
    <cfRule type="top10" dxfId="76" priority="1720" rank="1"/>
  </conditionalFormatting>
  <conditionalFormatting sqref="P184">
    <cfRule type="top10" dxfId="75" priority="756" rank="1"/>
  </conditionalFormatting>
  <conditionalFormatting sqref="P185:P198">
    <cfRule type="top10" dxfId="74" priority="1701" rank="1"/>
  </conditionalFormatting>
  <conditionalFormatting sqref="P213">
    <cfRule type="top10" dxfId="73" priority="732" rank="1"/>
  </conditionalFormatting>
  <conditionalFormatting sqref="P214:P227">
    <cfRule type="top10" dxfId="72" priority="1682" rank="1"/>
  </conditionalFormatting>
  <conditionalFormatting sqref="P242">
    <cfRule type="top10" dxfId="71" priority="708" rank="1"/>
  </conditionalFormatting>
  <conditionalFormatting sqref="P243:P256">
    <cfRule type="top10" dxfId="70" priority="1663" rank="1"/>
  </conditionalFormatting>
  <conditionalFormatting sqref="P271">
    <cfRule type="top10" dxfId="69" priority="684" rank="1"/>
  </conditionalFormatting>
  <conditionalFormatting sqref="P272:P285">
    <cfRule type="top10" dxfId="68" priority="1644" rank="1"/>
  </conditionalFormatting>
  <conditionalFormatting sqref="P300">
    <cfRule type="top10" dxfId="67" priority="660" rank="1"/>
  </conditionalFormatting>
  <conditionalFormatting sqref="P301:P307 P309:P314">
    <cfRule type="top10" dxfId="66" priority="1625" rank="1"/>
  </conditionalFormatting>
  <conditionalFormatting sqref="P318:P332">
    <cfRule type="top10" dxfId="65" priority="1606" rank="1"/>
  </conditionalFormatting>
  <conditionalFormatting sqref="P348">
    <cfRule type="top10" dxfId="64" priority="636" rank="1"/>
  </conditionalFormatting>
  <conditionalFormatting sqref="P349:P362">
    <cfRule type="top10" dxfId="63" priority="1587" rank="1"/>
  </conditionalFormatting>
  <conditionalFormatting sqref="P377">
    <cfRule type="top10" dxfId="62" priority="612" rank="1"/>
  </conditionalFormatting>
  <conditionalFormatting sqref="P378:P391">
    <cfRule type="top10" dxfId="61" priority="1568" rank="1"/>
  </conditionalFormatting>
  <conditionalFormatting sqref="P406">
    <cfRule type="top10" dxfId="60" priority="588" rank="1"/>
  </conditionalFormatting>
  <conditionalFormatting sqref="P407:P420">
    <cfRule type="top10" dxfId="59" priority="1549" rank="1"/>
  </conditionalFormatting>
  <conditionalFormatting sqref="P435">
    <cfRule type="top10" dxfId="58" priority="564" rank="1"/>
  </conditionalFormatting>
  <conditionalFormatting sqref="P436:P449">
    <cfRule type="top10" dxfId="57" priority="1530" rank="1"/>
  </conditionalFormatting>
  <conditionalFormatting sqref="P465">
    <cfRule type="top10" dxfId="56" priority="540" rank="1"/>
  </conditionalFormatting>
  <conditionalFormatting sqref="P466:P479">
    <cfRule type="top10" dxfId="55" priority="1511" rank="1"/>
  </conditionalFormatting>
  <conditionalFormatting sqref="P494">
    <cfRule type="top10" dxfId="54" priority="516" rank="1"/>
  </conditionalFormatting>
  <conditionalFormatting sqref="P495:P508">
    <cfRule type="top10" dxfId="53" priority="1492" rank="1"/>
  </conditionalFormatting>
  <conditionalFormatting sqref="P523">
    <cfRule type="top10" dxfId="52" priority="492" rank="1"/>
  </conditionalFormatting>
  <conditionalFormatting sqref="P524:P537">
    <cfRule type="top10" dxfId="51" priority="1473" rank="1"/>
  </conditionalFormatting>
  <conditionalFormatting sqref="P552">
    <cfRule type="top10" dxfId="50" priority="468" rank="1"/>
  </conditionalFormatting>
  <conditionalFormatting sqref="P553:P566">
    <cfRule type="top10" dxfId="49" priority="1454" rank="1"/>
  </conditionalFormatting>
  <conditionalFormatting sqref="P581">
    <cfRule type="top10" dxfId="48" priority="444" rank="1"/>
  </conditionalFormatting>
  <conditionalFormatting sqref="P582:P595">
    <cfRule type="top10" dxfId="47" priority="1435" rank="1"/>
  </conditionalFormatting>
  <conditionalFormatting sqref="P612">
    <cfRule type="top10" dxfId="46" priority="420" rank="1"/>
  </conditionalFormatting>
  <conditionalFormatting sqref="P613:P626">
    <cfRule type="top10" dxfId="45" priority="1416" rank="1"/>
  </conditionalFormatting>
  <conditionalFormatting sqref="P641">
    <cfRule type="top10" dxfId="44" priority="396" rank="1"/>
  </conditionalFormatting>
  <conditionalFormatting sqref="P642:P655">
    <cfRule type="top10" dxfId="43" priority="1397" rank="1"/>
  </conditionalFormatting>
  <conditionalFormatting sqref="P670">
    <cfRule type="top10" dxfId="42" priority="372" rank="1"/>
  </conditionalFormatting>
  <conditionalFormatting sqref="P671:P684">
    <cfRule type="top10" dxfId="41" priority="1378" rank="1"/>
  </conditionalFormatting>
  <conditionalFormatting sqref="P699">
    <cfRule type="top10" dxfId="40" priority="348" rank="1"/>
  </conditionalFormatting>
  <conditionalFormatting sqref="P700:P713">
    <cfRule type="top10" dxfId="39" priority="1359" rank="1"/>
  </conditionalFormatting>
  <conditionalFormatting sqref="P728:P742">
    <cfRule type="top10" dxfId="38" priority="1340" rank="1"/>
  </conditionalFormatting>
  <conditionalFormatting sqref="P757">
    <cfRule type="top10" dxfId="37" priority="324" rank="1"/>
  </conditionalFormatting>
  <conditionalFormatting sqref="P758:P771">
    <cfRule type="top10" dxfId="36" priority="1321" rank="1"/>
  </conditionalFormatting>
  <conditionalFormatting sqref="P786">
    <cfRule type="top10" dxfId="35" priority="300" rank="1"/>
  </conditionalFormatting>
  <conditionalFormatting sqref="P787:P800">
    <cfRule type="top10" dxfId="34" priority="1302" rank="1"/>
  </conditionalFormatting>
  <conditionalFormatting sqref="P804">
    <cfRule type="top10" dxfId="33" priority="276" rank="1"/>
  </conditionalFormatting>
  <conditionalFormatting sqref="P805:P818">
    <cfRule type="top10" dxfId="32" priority="1283" rank="1"/>
  </conditionalFormatting>
  <conditionalFormatting sqref="P833">
    <cfRule type="top10" dxfId="31" priority="252" rank="1"/>
  </conditionalFormatting>
  <conditionalFormatting sqref="P834:P847">
    <cfRule type="top10" dxfId="30" priority="1264" rank="1"/>
  </conditionalFormatting>
  <conditionalFormatting sqref="P861">
    <cfRule type="top10" dxfId="29" priority="228" rank="1"/>
  </conditionalFormatting>
  <conditionalFormatting sqref="P862:P875">
    <cfRule type="top10" dxfId="28" priority="1245" rank="1"/>
  </conditionalFormatting>
  <conditionalFormatting sqref="P890">
    <cfRule type="top10" dxfId="27" priority="204" rank="1"/>
  </conditionalFormatting>
  <conditionalFormatting sqref="P891:P904">
    <cfRule type="top10" dxfId="26" priority="1226" rank="1"/>
  </conditionalFormatting>
  <conditionalFormatting sqref="P919">
    <cfRule type="top10" dxfId="25" priority="180" rank="1"/>
  </conditionalFormatting>
  <conditionalFormatting sqref="P920:P933">
    <cfRule type="top10" dxfId="24" priority="1207" rank="1"/>
  </conditionalFormatting>
  <conditionalFormatting sqref="P948">
    <cfRule type="top10" dxfId="23" priority="156" rank="1"/>
  </conditionalFormatting>
  <conditionalFormatting sqref="P949:P962">
    <cfRule type="top10" dxfId="22" priority="1188" rank="1"/>
  </conditionalFormatting>
  <conditionalFormatting sqref="P979">
    <cfRule type="top10" dxfId="21" priority="132" rank="1"/>
  </conditionalFormatting>
  <conditionalFormatting sqref="P980:P993">
    <cfRule type="top10" dxfId="20" priority="1169" rank="1"/>
  </conditionalFormatting>
  <conditionalFormatting sqref="P1008">
    <cfRule type="top10" dxfId="19" priority="108" rank="1"/>
  </conditionalFormatting>
  <conditionalFormatting sqref="P1009:P1022">
    <cfRule type="top10" dxfId="18" priority="1150" rank="1"/>
  </conditionalFormatting>
  <conditionalFormatting sqref="P1037">
    <cfRule type="top10" dxfId="17" priority="84" rank="1"/>
  </conditionalFormatting>
  <conditionalFormatting sqref="P1038:P1051">
    <cfRule type="top10" dxfId="16" priority="1131" rank="1"/>
  </conditionalFormatting>
  <conditionalFormatting sqref="P1066">
    <cfRule type="top10" dxfId="15" priority="60" rank="1"/>
  </conditionalFormatting>
  <conditionalFormatting sqref="P1067:P1080">
    <cfRule type="top10" dxfId="14" priority="1112" rank="1"/>
  </conditionalFormatting>
  <conditionalFormatting sqref="P1095">
    <cfRule type="top10" dxfId="13" priority="36" rank="1"/>
  </conditionalFormatting>
  <conditionalFormatting sqref="P1096:P1109">
    <cfRule type="top10" dxfId="12" priority="1093" rank="1"/>
  </conditionalFormatting>
  <conditionalFormatting sqref="P1126:P1140">
    <cfRule type="top10" dxfId="11" priority="1074" rank="1"/>
  </conditionalFormatting>
  <conditionalFormatting sqref="P1147">
    <cfRule type="top10" dxfId="10" priority="12" rank="1"/>
  </conditionalFormatting>
  <conditionalFormatting sqref="P1148:P1161">
    <cfRule type="top10" dxfId="9" priority="1055" rank="1"/>
  </conditionalFormatting>
  <conditionalFormatting sqref="P1164:P1177">
    <cfRule type="top10" dxfId="8" priority="1036" rank="1"/>
  </conditionalFormatting>
  <conditionalFormatting sqref="P1178:P1180">
    <cfRule type="top10" dxfId="6" priority="929" rank="1"/>
  </conditionalFormatting>
  <conditionalFormatting sqref="Y20">
    <cfRule type="cellIs" dxfId="5" priority="1995" operator="equal">
      <formula>$Z$15</formula>
    </cfRule>
    <cfRule type="cellIs" dxfId="4" priority="1996" operator="equal">
      <formula>729</formula>
    </cfRule>
    <cfRule type="cellIs" dxfId="3" priority="1997" operator="equal">
      <formula>$Z$15</formula>
    </cfRule>
  </conditionalFormatting>
  <conditionalFormatting sqref="Y874">
    <cfRule type="cellIs" dxfId="2" priority="1998" operator="equal">
      <formula>$Z$15</formula>
    </cfRule>
    <cfRule type="cellIs" dxfId="1" priority="1999" operator="equal">
      <formula>729</formula>
    </cfRule>
    <cfRule type="cellIs" dxfId="0" priority="2000" operator="equal">
      <formula>$Z$15</formula>
    </cfRule>
  </conditionalFormatting>
  <printOptions horizontalCentered="1" verticalCentered="1"/>
  <pageMargins left="0" right="0" top="0" bottom="0" header="0" footer="0.3"/>
  <pageSetup paperSize="9" scale="20" fitToHeight="7" orientation="portrait" r:id="rId1"/>
  <rowBreaks count="6" manualBreakCount="6">
    <brk id="167" max="20" man="1"/>
    <brk id="345" max="20" man="1"/>
    <brk id="521" max="20" man="1"/>
    <brk id="697" max="20" man="1"/>
    <brk id="859" max="20" man="1"/>
    <brk id="1020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monthwise </vt:lpstr>
      <vt:lpstr>'monthwise '!Print_Area</vt:lpstr>
      <vt:lpstr>'monthwise 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</dc:creator>
  <cp:lastModifiedBy>SAIL</cp:lastModifiedBy>
  <dcterms:created xsi:type="dcterms:W3CDTF">2026-06-08T09:55:00Z</dcterms:created>
  <dcterms:modified xsi:type="dcterms:W3CDTF">2026-06-09T04:28:57Z</dcterms:modified>
</cp:coreProperties>
</file>