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ja\Downloads\"/>
    </mc:Choice>
  </mc:AlternateContent>
  <xr:revisionPtr revIDLastSave="0" documentId="11_03B7706FF2F24A22F3EAD4C0E8CA29EA125759C8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Monthwise" sheetId="4" r:id="rId1"/>
    <sheet name="CRepair" sheetId="2" r:id="rId2"/>
    <sheet name="TE Parameter" sheetId="3" r:id="rId3"/>
  </sheets>
  <calcPr calcId="181029"/>
</workbook>
</file>

<file path=xl/calcChain.xml><?xml version="1.0" encoding="utf-8"?>
<calcChain xmlns="http://schemas.openxmlformats.org/spreadsheetml/2006/main">
  <c r="D7" i="3" l="1"/>
  <c r="T6" i="4"/>
  <c r="P6" i="4"/>
  <c r="K6" i="4"/>
  <c r="G6" i="4"/>
  <c r="U6" i="4" l="1"/>
  <c r="O42" i="4"/>
  <c r="L6" i="4"/>
  <c r="V6" i="4" s="1"/>
  <c r="S42" i="4"/>
  <c r="F42" i="4"/>
  <c r="I42" i="4"/>
  <c r="N42" i="4"/>
  <c r="J42" i="4"/>
  <c r="R42" i="4" l="1"/>
  <c r="D42" i="4"/>
  <c r="Q42" i="4"/>
  <c r="H42" i="4"/>
  <c r="K42" i="4"/>
  <c r="E42" i="4"/>
  <c r="T42" i="4"/>
  <c r="M42" i="4" l="1"/>
  <c r="G42" i="4"/>
  <c r="L42" i="4" l="1"/>
  <c r="U42" i="4"/>
  <c r="P42" i="4"/>
  <c r="V42" i="4" l="1"/>
</calcChain>
</file>

<file path=xl/sharedStrings.xml><?xml version="1.0" encoding="utf-8"?>
<sst xmlns="http://schemas.openxmlformats.org/spreadsheetml/2006/main" count="189" uniqueCount="160">
  <si>
    <t>MONTHWISE BREAKUP OF PRODUCTION PLAN: 2026-27</t>
  </si>
  <si>
    <t>Unit: '000 T</t>
  </si>
  <si>
    <t>ITEM</t>
  </si>
  <si>
    <t>APR</t>
  </si>
  <si>
    <t>MAY</t>
  </si>
  <si>
    <t>JUN</t>
  </si>
  <si>
    <t>Q1</t>
  </si>
  <si>
    <t>JUL</t>
  </si>
  <si>
    <t>AUG</t>
  </si>
  <si>
    <t>SEP</t>
  </si>
  <si>
    <t>Q2</t>
  </si>
  <si>
    <t>H1</t>
  </si>
  <si>
    <t>OCT</t>
  </si>
  <si>
    <t>NOV</t>
  </si>
  <si>
    <t>DEC</t>
  </si>
  <si>
    <t>Q3</t>
  </si>
  <si>
    <t>JAN</t>
  </si>
  <si>
    <t>FEB</t>
  </si>
  <si>
    <t>MAR</t>
  </si>
  <si>
    <t>Q4</t>
  </si>
  <si>
    <t>H2</t>
  </si>
  <si>
    <t>2026-27</t>
  </si>
  <si>
    <t>1</t>
  </si>
  <si>
    <t>Oven Pushing (Nos/Day)</t>
  </si>
  <si>
    <t>BF Coke (Dry)</t>
  </si>
  <si>
    <t>2</t>
  </si>
  <si>
    <t xml:space="preserve">Blend Mix </t>
  </si>
  <si>
    <t>3</t>
  </si>
  <si>
    <t>Gross Sinter</t>
  </si>
  <si>
    <t>SP-1</t>
  </si>
  <si>
    <t>SP-2</t>
  </si>
  <si>
    <t>4</t>
  </si>
  <si>
    <t>Hot Metal</t>
  </si>
  <si>
    <t>BF-2</t>
  </si>
  <si>
    <t>BF-3</t>
  </si>
  <si>
    <t>BF-4</t>
  </si>
  <si>
    <t>Hot Metal to ASP</t>
  </si>
  <si>
    <t>Hot Metal to PCM</t>
  </si>
  <si>
    <t>5</t>
  </si>
  <si>
    <t>Pig Iron</t>
  </si>
  <si>
    <t>6</t>
  </si>
  <si>
    <t>Crude Steel</t>
  </si>
  <si>
    <t xml:space="preserve">Bottom Pouring Ingot </t>
  </si>
  <si>
    <t xml:space="preserve">Ingot to ASP (IPT) </t>
  </si>
  <si>
    <t>7</t>
  </si>
  <si>
    <t>Billet Caster (Prod)</t>
  </si>
  <si>
    <t>Billets for Sale</t>
  </si>
  <si>
    <t>8</t>
  </si>
  <si>
    <t>Bloom Caster ( Prod.)</t>
  </si>
  <si>
    <t>9</t>
  </si>
  <si>
    <t>BRC (Prod.)</t>
  </si>
  <si>
    <t>Round production</t>
  </si>
  <si>
    <t>Blooms for Sale</t>
  </si>
  <si>
    <t>10</t>
  </si>
  <si>
    <t>Total Caster</t>
  </si>
  <si>
    <t>11</t>
  </si>
  <si>
    <t>Section Mill</t>
  </si>
  <si>
    <t>Merchant Mill</t>
  </si>
  <si>
    <t>SPU Kandrori</t>
  </si>
  <si>
    <t>SPU Jagdishpur</t>
  </si>
  <si>
    <t>12</t>
  </si>
  <si>
    <t>MSM</t>
  </si>
  <si>
    <t>13</t>
  </si>
  <si>
    <t>Wheel &amp; Axle Plant</t>
  </si>
  <si>
    <t>Wheels</t>
  </si>
  <si>
    <t>Axles</t>
  </si>
  <si>
    <t>14</t>
  </si>
  <si>
    <t>Total Saleable Steel</t>
  </si>
  <si>
    <t xml:space="preserve">    - Semi Finished</t>
  </si>
  <si>
    <t xml:space="preserve">    - Finished</t>
  </si>
  <si>
    <t>Indicates Capital Repairs/Shutdowns</t>
  </si>
  <si>
    <t>BF Coke Rate (Kg/THM)</t>
  </si>
  <si>
    <t>Nut Coke Rate (Kg/THM)</t>
  </si>
  <si>
    <t>CDI Rate (Kg/THM)</t>
  </si>
  <si>
    <t>Fuel Rate (Kg/THM)</t>
  </si>
  <si>
    <t>BF Coke (Dry) - Generation</t>
  </si>
  <si>
    <t>Skip Coke Requirement</t>
  </si>
  <si>
    <t>BF Coke Requirement</t>
  </si>
  <si>
    <t>Coke Surplus(+)/Short(-)-dry</t>
  </si>
  <si>
    <t>Coke Surplus(+)/Short(-)-wet</t>
  </si>
  <si>
    <t>Total Blooms for Sale</t>
  </si>
  <si>
    <t xml:space="preserve">CC Blooms for Sale </t>
  </si>
  <si>
    <t xml:space="preserve">BRC Blooms/Rounds for Sale </t>
  </si>
  <si>
    <t>SCHEDULE FOR CAPITAL REPAIRS: 2026-27</t>
  </si>
  <si>
    <t>PLANT / EQUIPMENT</t>
  </si>
  <si>
    <t>MAJOR JOB(S)</t>
  </si>
  <si>
    <t>PLAN</t>
  </si>
  <si>
    <t>STATUS</t>
  </si>
  <si>
    <t>PERIOD</t>
  </si>
  <si>
    <t xml:space="preserve">DURATION
 (Days) </t>
  </si>
  <si>
    <t xml:space="preserve">DURATION / REMARKS </t>
  </si>
  <si>
    <t xml:space="preserve"> SP - 1 </t>
  </si>
  <si>
    <t>SP 1 Std 1: 5 days</t>
  </si>
  <si>
    <t>Jul'26</t>
  </si>
  <si>
    <t>SP 1 Std 2: 5 days</t>
  </si>
  <si>
    <t>Common Repair: 3 days</t>
  </si>
  <si>
    <t xml:space="preserve"> SP - 2</t>
  </si>
  <si>
    <t>Capital Repair, ESP Upgradation</t>
  </si>
  <si>
    <t>Apr-May'26</t>
  </si>
  <si>
    <t xml:space="preserve"> BF - 2</t>
  </si>
  <si>
    <t xml:space="preserve">Cat-II Repair </t>
  </si>
  <si>
    <t>45*</t>
  </si>
  <si>
    <t xml:space="preserve"> BF - 3 </t>
  </si>
  <si>
    <t>Cat-III Capital repair + Shotcreting</t>
  </si>
  <si>
    <t>8*</t>
  </si>
  <si>
    <t>Jan'27</t>
  </si>
  <si>
    <t>6*</t>
  </si>
  <si>
    <t xml:space="preserve"> BF - 4</t>
  </si>
  <si>
    <t xml:space="preserve">Cat-III Capital repair + Shotcreting </t>
  </si>
  <si>
    <t>Oct'26</t>
  </si>
  <si>
    <t>10*</t>
  </si>
  <si>
    <t xml:space="preserve"> Converter - 1</t>
  </si>
  <si>
    <t xml:space="preserve"> Campaign Repair </t>
  </si>
  <si>
    <t xml:space="preserve"> Converter - 2   </t>
  </si>
  <si>
    <t>Hood and Stack Changing</t>
  </si>
  <si>
    <t>Apr'26</t>
  </si>
  <si>
    <t xml:space="preserve"> Converter - 3   </t>
  </si>
  <si>
    <t>May'26</t>
  </si>
  <si>
    <t xml:space="preserve"> Billet Caster - 1</t>
  </si>
  <si>
    <t>Capital Repair</t>
  </si>
  <si>
    <t xml:space="preserve"> Billet Caster - 2</t>
  </si>
  <si>
    <t xml:space="preserve"> Bloom Caster </t>
  </si>
  <si>
    <t xml:space="preserve">Capital Repair  </t>
  </si>
  <si>
    <t xml:space="preserve"> BRC</t>
  </si>
  <si>
    <t xml:space="preserve">Capital Repair </t>
  </si>
  <si>
    <t xml:space="preserve"> Mixer#1</t>
  </si>
  <si>
    <t xml:space="preserve"> Kiln#2 (Lime)</t>
  </si>
  <si>
    <t xml:space="preserve"> Kiln#4 (Dolo)</t>
  </si>
  <si>
    <t xml:space="preserve"> Merchant Mill</t>
  </si>
  <si>
    <t xml:space="preserve"> MSM</t>
  </si>
  <si>
    <t>Furnace scale cleaning</t>
  </si>
  <si>
    <t>Nov'26</t>
  </si>
  <si>
    <t xml:space="preserve"> WAP</t>
  </si>
  <si>
    <t>Sep-Oct'26</t>
  </si>
  <si>
    <t>(*) Indicates including stabilisation period post capital repair</t>
  </si>
  <si>
    <t>Imported Coal in Blend</t>
  </si>
  <si>
    <t>B.O.F. SHOP</t>
  </si>
  <si>
    <t>COKE OVENS &amp; COAL CHEMICALS</t>
  </si>
  <si>
    <t>TECHNO-ECONOMIC PARAMETERS: 2026-27</t>
  </si>
  <si>
    <t xml:space="preserve">BLAST FURNACES </t>
  </si>
  <si>
    <t>Coal charge per oven (Dry)(T)</t>
  </si>
  <si>
    <t>Screen loss (%)</t>
  </si>
  <si>
    <t>BF coke yield (%)</t>
  </si>
  <si>
    <t>Gross Coke Yield(%)</t>
  </si>
  <si>
    <t>BF Productivity (Wrkg. Vol)(T/M3/Day)</t>
  </si>
  <si>
    <t>Sinter in Burden(%)</t>
  </si>
  <si>
    <t>TMI (Shop) (KG/TCS)</t>
  </si>
  <si>
    <t>- Hot Metal Consn. (KG/TCS)</t>
  </si>
  <si>
    <t>- Scrap Charge(KG/TCS)</t>
  </si>
  <si>
    <t>Heat Size(T)</t>
  </si>
  <si>
    <t>Sp. Power Consumtion  (KWH/TSS)</t>
  </si>
  <si>
    <t>OVERALL ENERGY CONSUMPTION(GCal/TCS)</t>
  </si>
  <si>
    <t>LABOUR PRODUCTIVITY(TCS/Man/Year)</t>
  </si>
  <si>
    <t>Sp. CO2 emission (T/TCS)</t>
  </si>
  <si>
    <t>Sp. PM emissions(KG/TCS)</t>
  </si>
  <si>
    <r>
      <t>OVERALL SPECIFIC WATER CONSUMTION(M</t>
    </r>
    <r>
      <rPr>
        <b/>
        <vertAlign val="superscript"/>
        <sz val="20"/>
        <rFont val="Calibri"/>
        <family val="2"/>
        <scheme val="minor"/>
      </rPr>
      <t>3</t>
    </r>
    <r>
      <rPr>
        <b/>
        <sz val="20"/>
        <rFont val="Calibri"/>
        <family val="2"/>
        <scheme val="minor"/>
      </rPr>
      <t>/TCS)</t>
    </r>
  </si>
  <si>
    <t>Final</t>
  </si>
  <si>
    <t>MSM(Yied) (%)</t>
  </si>
  <si>
    <t>Merchant Mill(Yied) (%)</t>
  </si>
  <si>
    <t>Wheel &amp; Axle Plant(Yied)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</si>
</sst>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1"/>
      <color rgb="FF0000FF"/>
      <name val="Arial"/>
      <family val="2"/>
    </font>
    <font>
      <b/>
      <i/>
      <sz val="11"/>
      <name val="Arial"/>
      <family val="2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i/>
      <sz val="10"/>
      <color theme="1"/>
      <name val="Arial"/>
      <family val="2"/>
    </font>
    <font>
      <b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vertAlign val="superscript"/>
      <sz val="20"/>
      <name val="Calibri"/>
      <family val="2"/>
      <scheme val="minor"/>
    </font>
    <font>
      <sz val="2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9">
    <xf numFmtId="0" fontId="0" fillId="0" borderId="0" xfId="0"/>
    <xf numFmtId="165" fontId="2" fillId="2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4" fillId="2" borderId="0" xfId="0" applyNumberFormat="1" applyFont="1" applyFill="1" applyAlignment="1">
      <alignment horizontal="center" vertical="center"/>
    </xf>
    <xf numFmtId="165" fontId="5" fillId="2" borderId="7" xfId="0" applyNumberFormat="1" applyFont="1" applyFill="1" applyBorder="1" applyAlignment="1">
      <alignment horizontal="center" vertical="center"/>
    </xf>
    <xf numFmtId="165" fontId="2" fillId="2" borderId="7" xfId="0" applyNumberFormat="1" applyFont="1" applyFill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165" fontId="5" fillId="2" borderId="7" xfId="0" applyNumberFormat="1" applyFont="1" applyFill="1" applyBorder="1" applyAlignment="1">
      <alignment vertical="center"/>
    </xf>
    <xf numFmtId="0" fontId="5" fillId="2" borderId="7" xfId="0" applyFont="1" applyFill="1" applyBorder="1" applyAlignment="1">
      <alignment horizontal="center" vertical="center"/>
    </xf>
    <xf numFmtId="1" fontId="5" fillId="3" borderId="7" xfId="0" applyNumberFormat="1" applyFont="1" applyFill="1" applyBorder="1" applyAlignment="1">
      <alignment horizontal="center" vertical="center"/>
    </xf>
    <xf numFmtId="1" fontId="5" fillId="4" borderId="7" xfId="0" applyNumberFormat="1" applyFont="1" applyFill="1" applyBorder="1" applyAlignment="1">
      <alignment horizontal="center" vertical="center"/>
    </xf>
    <xf numFmtId="1" fontId="5" fillId="5" borderId="7" xfId="0" applyNumberFormat="1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65" fontId="6" fillId="2" borderId="7" xfId="0" applyNumberFormat="1" applyFont="1" applyFill="1" applyBorder="1" applyAlignment="1">
      <alignment horizontal="right" vertical="center"/>
    </xf>
    <xf numFmtId="1" fontId="6" fillId="0" borderId="8" xfId="0" applyNumberFormat="1" applyFont="1" applyBorder="1" applyAlignment="1">
      <alignment horizontal="center" vertical="center"/>
    </xf>
    <xf numFmtId="1" fontId="6" fillId="7" borderId="8" xfId="0" applyNumberFormat="1" applyFont="1" applyFill="1" applyBorder="1" applyAlignment="1">
      <alignment horizontal="center" vertical="center"/>
    </xf>
    <xf numFmtId="1" fontId="6" fillId="3" borderId="7" xfId="0" applyNumberFormat="1" applyFont="1" applyFill="1" applyBorder="1" applyAlignment="1">
      <alignment horizontal="center" vertical="center"/>
    </xf>
    <xf numFmtId="1" fontId="6" fillId="4" borderId="7" xfId="0" applyNumberFormat="1" applyFont="1" applyFill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" fontId="2" fillId="3" borderId="7" xfId="0" applyNumberFormat="1" applyFont="1" applyFill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" fontId="2" fillId="2" borderId="8" xfId="0" applyNumberFormat="1" applyFont="1" applyFill="1" applyBorder="1" applyAlignment="1">
      <alignment horizontal="center" vertical="center"/>
    </xf>
    <xf numFmtId="1" fontId="2" fillId="4" borderId="7" xfId="0" applyNumberFormat="1" applyFont="1" applyFill="1" applyBorder="1" applyAlignment="1">
      <alignment horizontal="center" vertical="center"/>
    </xf>
    <xf numFmtId="49" fontId="7" fillId="2" borderId="7" xfId="0" applyNumberFormat="1" applyFont="1" applyFill="1" applyBorder="1" applyAlignment="1">
      <alignment horizontal="center" vertical="center"/>
    </xf>
    <xf numFmtId="165" fontId="8" fillId="2" borderId="7" xfId="0" applyNumberFormat="1" applyFont="1" applyFill="1" applyBorder="1" applyAlignment="1">
      <alignment horizontal="right" vertical="center"/>
    </xf>
    <xf numFmtId="1" fontId="8" fillId="7" borderId="8" xfId="0" applyNumberFormat="1" applyFont="1" applyFill="1" applyBorder="1" applyAlignment="1">
      <alignment horizontal="center" vertical="center"/>
    </xf>
    <xf numFmtId="1" fontId="8" fillId="0" borderId="8" xfId="0" applyNumberFormat="1" applyFont="1" applyBorder="1" applyAlignment="1">
      <alignment horizontal="center" vertical="center"/>
    </xf>
    <xf numFmtId="1" fontId="8" fillId="3" borderId="7" xfId="0" applyNumberFormat="1" applyFont="1" applyFill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/>
    </xf>
    <xf numFmtId="1" fontId="8" fillId="2" borderId="7" xfId="0" applyNumberFormat="1" applyFont="1" applyFill="1" applyBorder="1" applyAlignment="1">
      <alignment horizontal="center" vertical="center"/>
    </xf>
    <xf numFmtId="1" fontId="8" fillId="4" borderId="7" xfId="0" applyNumberFormat="1" applyFont="1" applyFill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" fontId="8" fillId="7" borderId="7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 vertical="center"/>
    </xf>
    <xf numFmtId="165" fontId="2" fillId="2" borderId="7" xfId="0" quotePrefix="1" applyNumberFormat="1" applyFont="1" applyFill="1" applyBorder="1" applyAlignment="1">
      <alignment vertical="center"/>
    </xf>
    <xf numFmtId="165" fontId="2" fillId="3" borderId="7" xfId="0" applyNumberFormat="1" applyFont="1" applyFill="1" applyBorder="1" applyAlignment="1">
      <alignment horizontal="center" vertical="center"/>
    </xf>
    <xf numFmtId="165" fontId="2" fillId="2" borderId="8" xfId="0" applyNumberFormat="1" applyFont="1" applyFill="1" applyBorder="1" applyAlignment="1">
      <alignment horizontal="center" vertical="center"/>
    </xf>
    <xf numFmtId="165" fontId="2" fillId="4" borderId="7" xfId="0" applyNumberFormat="1" applyFont="1" applyFill="1" applyBorder="1" applyAlignment="1">
      <alignment horizontal="center" vertical="center"/>
    </xf>
    <xf numFmtId="165" fontId="2" fillId="5" borderId="7" xfId="0" applyNumberFormat="1" applyFont="1" applyFill="1" applyBorder="1" applyAlignment="1">
      <alignment horizontal="center" vertical="center"/>
    </xf>
    <xf numFmtId="165" fontId="2" fillId="0" borderId="7" xfId="0" applyNumberFormat="1" applyFont="1" applyBorder="1" applyAlignment="1">
      <alignment horizontal="center" vertical="center"/>
    </xf>
    <xf numFmtId="165" fontId="2" fillId="2" borderId="7" xfId="0" applyNumberFormat="1" applyFont="1" applyFill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1" fontId="0" fillId="0" borderId="0" xfId="0" applyNumberFormat="1"/>
    <xf numFmtId="49" fontId="5" fillId="2" borderId="7" xfId="0" quotePrefix="1" applyNumberFormat="1" applyFont="1" applyFill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5" borderId="7" xfId="0" applyNumberFormat="1" applyFont="1" applyFill="1" applyBorder="1" applyAlignment="1">
      <alignment horizontal="center" vertical="center"/>
    </xf>
    <xf numFmtId="165" fontId="0" fillId="0" borderId="0" xfId="0" applyNumberFormat="1"/>
    <xf numFmtId="165" fontId="2" fillId="2" borderId="7" xfId="0" applyNumberFormat="1" applyFont="1" applyFill="1" applyBorder="1" applyAlignment="1">
      <alignment horizontal="left" vertical="center"/>
    </xf>
    <xf numFmtId="165" fontId="5" fillId="7" borderId="7" xfId="0" applyNumberFormat="1" applyFont="1" applyFill="1" applyBorder="1" applyAlignment="1">
      <alignment horizontal="center" vertical="center"/>
    </xf>
    <xf numFmtId="165" fontId="5" fillId="4" borderId="7" xfId="0" applyNumberFormat="1" applyFont="1" applyFill="1" applyBorder="1" applyAlignment="1">
      <alignment horizontal="center" vertical="center"/>
    </xf>
    <xf numFmtId="165" fontId="5" fillId="2" borderId="7" xfId="0" quotePrefix="1" applyNumberFormat="1" applyFont="1" applyFill="1" applyBorder="1" applyAlignment="1">
      <alignment vertical="center"/>
    </xf>
    <xf numFmtId="1" fontId="5" fillId="2" borderId="7" xfId="0" applyNumberFormat="1" applyFont="1" applyFill="1" applyBorder="1" applyAlignment="1">
      <alignment horizontal="center" vertical="center"/>
    </xf>
    <xf numFmtId="1" fontId="2" fillId="2" borderId="7" xfId="0" applyNumberFormat="1" applyFont="1" applyFill="1" applyBorder="1" applyAlignment="1">
      <alignment horizontal="center" vertical="center"/>
    </xf>
    <xf numFmtId="1" fontId="5" fillId="7" borderId="7" xfId="0" applyNumberFormat="1" applyFont="1" applyFill="1" applyBorder="1" applyAlignment="1">
      <alignment horizontal="center" vertical="center"/>
    </xf>
    <xf numFmtId="165" fontId="8" fillId="2" borderId="7" xfId="0" applyNumberFormat="1" applyFont="1" applyFill="1" applyBorder="1" applyAlignment="1">
      <alignment horizontal="left" vertical="center"/>
    </xf>
    <xf numFmtId="165" fontId="8" fillId="3" borderId="7" xfId="0" applyNumberFormat="1" applyFont="1" applyFill="1" applyBorder="1" applyAlignment="1">
      <alignment horizontal="center" vertical="center"/>
    </xf>
    <xf numFmtId="165" fontId="8" fillId="2" borderId="7" xfId="0" applyNumberFormat="1" applyFont="1" applyFill="1" applyBorder="1" applyAlignment="1">
      <alignment horizontal="center" vertical="center"/>
    </xf>
    <xf numFmtId="165" fontId="8" fillId="4" borderId="7" xfId="0" applyNumberFormat="1" applyFont="1" applyFill="1" applyBorder="1" applyAlignment="1">
      <alignment horizontal="center" vertical="center"/>
    </xf>
    <xf numFmtId="165" fontId="8" fillId="5" borderId="7" xfId="0" applyNumberFormat="1" applyFont="1" applyFill="1" applyBorder="1" applyAlignment="1">
      <alignment horizontal="center" vertical="center"/>
    </xf>
    <xf numFmtId="0" fontId="9" fillId="0" borderId="0" xfId="0" applyFont="1"/>
    <xf numFmtId="165" fontId="0" fillId="0" borderId="0" xfId="0" applyNumberFormat="1" applyAlignment="1">
      <alignment horizontal="center"/>
    </xf>
    <xf numFmtId="165" fontId="10" fillId="0" borderId="0" xfId="0" applyNumberFormat="1" applyFont="1" applyAlignment="1">
      <alignment horizontal="center"/>
    </xf>
    <xf numFmtId="0" fontId="5" fillId="2" borderId="7" xfId="0" applyFont="1" applyFill="1" applyBorder="1" applyAlignment="1">
      <alignment horizontal="left" vertical="center"/>
    </xf>
    <xf numFmtId="2" fontId="5" fillId="2" borderId="7" xfId="0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165" fontId="6" fillId="2" borderId="7" xfId="0" applyNumberFormat="1" applyFont="1" applyFill="1" applyBorder="1" applyAlignment="1">
      <alignment horizontal="center" vertical="center"/>
    </xf>
    <xf numFmtId="2" fontId="8" fillId="5" borderId="7" xfId="0" applyNumberFormat="1" applyFont="1" applyFill="1" applyBorder="1" applyAlignment="1">
      <alignment horizontal="center" vertical="center"/>
    </xf>
    <xf numFmtId="1" fontId="6" fillId="2" borderId="7" xfId="0" applyNumberFormat="1" applyFont="1" applyFill="1" applyBorder="1" applyAlignment="1">
      <alignment horizontal="center" vertical="center"/>
    </xf>
    <xf numFmtId="0" fontId="10" fillId="0" borderId="0" xfId="0" applyFont="1"/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7" xfId="0" quotePrefix="1" applyFont="1" applyBorder="1" applyAlignment="1">
      <alignment horizontal="left" vertical="center"/>
    </xf>
    <xf numFmtId="0" fontId="14" fillId="0" borderId="7" xfId="0" quotePrefix="1" applyFont="1" applyBorder="1" applyAlignment="1">
      <alignment horizontal="left" vertical="center" wrapText="1"/>
    </xf>
    <xf numFmtId="17" fontId="14" fillId="0" borderId="7" xfId="0" applyNumberFormat="1" applyFont="1" applyBorder="1" applyAlignment="1">
      <alignment horizontal="center" vertical="center"/>
    </xf>
    <xf numFmtId="0" fontId="14" fillId="0" borderId="7" xfId="0" quotePrefix="1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4" fillId="0" borderId="13" xfId="0" applyFont="1" applyBorder="1" applyAlignment="1">
      <alignment vertical="center" wrapText="1"/>
    </xf>
    <xf numFmtId="0" fontId="14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vertical="center" wrapText="1"/>
    </xf>
    <xf numFmtId="0" fontId="14" fillId="2" borderId="7" xfId="0" applyFont="1" applyFill="1" applyBorder="1" applyAlignment="1">
      <alignment horizontal="center" vertical="center"/>
    </xf>
    <xf numFmtId="14" fontId="15" fillId="0" borderId="7" xfId="0" quotePrefix="1" applyNumberFormat="1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1" xfId="0" quotePrefix="1" applyFont="1" applyBorder="1" applyAlignment="1">
      <alignment horizontal="left" vertical="center" wrapText="1"/>
    </xf>
    <xf numFmtId="0" fontId="14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left" vertical="center"/>
    </xf>
    <xf numFmtId="0" fontId="15" fillId="0" borderId="13" xfId="0" applyFont="1" applyBorder="1" applyAlignment="1">
      <alignment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14" fillId="0" borderId="11" xfId="0" quotePrefix="1" applyFont="1" applyBorder="1" applyAlignment="1">
      <alignment horizontal="left" vertical="center"/>
    </xf>
    <xf numFmtId="0" fontId="14" fillId="0" borderId="13" xfId="0" quotePrefix="1" applyFont="1" applyBorder="1" applyAlignment="1">
      <alignment horizontal="left" vertical="center"/>
    </xf>
    <xf numFmtId="0" fontId="15" fillId="0" borderId="7" xfId="0" quotePrefix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right"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7" fillId="2" borderId="0" xfId="0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21" fillId="0" borderId="8" xfId="0" applyFont="1" applyBorder="1"/>
    <xf numFmtId="0" fontId="22" fillId="2" borderId="8" xfId="0" applyFont="1" applyFill="1" applyBorder="1" applyAlignment="1">
      <alignment horizontal="left"/>
    </xf>
    <xf numFmtId="0" fontId="22" fillId="2" borderId="14" xfId="0" applyFont="1" applyFill="1" applyBorder="1" applyAlignment="1">
      <alignment horizontal="left"/>
    </xf>
    <xf numFmtId="0" fontId="22" fillId="2" borderId="7" xfId="0" applyFont="1" applyFill="1" applyBorder="1" applyAlignment="1">
      <alignment horizontal="left"/>
    </xf>
    <xf numFmtId="165" fontId="2" fillId="0" borderId="7" xfId="1" applyNumberFormat="1" applyFont="1" applyFill="1" applyBorder="1" applyAlignment="1">
      <alignment horizontal="center" vertic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165" fontId="22" fillId="2" borderId="15" xfId="0" applyNumberFormat="1" applyFont="1" applyFill="1" applyBorder="1" applyAlignment="1">
      <alignment vertical="center"/>
    </xf>
    <xf numFmtId="165" fontId="24" fillId="2" borderId="8" xfId="0" applyNumberFormat="1" applyFont="1" applyFill="1" applyBorder="1" applyAlignment="1">
      <alignment vertical="center"/>
    </xf>
    <xf numFmtId="0" fontId="22" fillId="2" borderId="8" xfId="0" applyFont="1" applyFill="1" applyBorder="1"/>
    <xf numFmtId="0" fontId="21" fillId="0" borderId="0" xfId="0" applyFont="1"/>
    <xf numFmtId="49" fontId="22" fillId="2" borderId="8" xfId="0" applyNumberFormat="1" applyFont="1" applyFill="1" applyBorder="1"/>
    <xf numFmtId="0" fontId="22" fillId="2" borderId="22" xfId="0" applyFont="1" applyFill="1" applyBorder="1" applyAlignment="1">
      <alignment horizontal="left"/>
    </xf>
    <xf numFmtId="0" fontId="22" fillId="0" borderId="23" xfId="0" applyFont="1" applyBorder="1" applyAlignment="1">
      <alignment horizontal="center" vertical="center"/>
    </xf>
    <xf numFmtId="1" fontId="22" fillId="0" borderId="23" xfId="0" applyNumberFormat="1" applyFont="1" applyBorder="1" applyAlignment="1">
      <alignment horizontal="center" vertical="center"/>
    </xf>
    <xf numFmtId="0" fontId="22" fillId="0" borderId="24" xfId="0" applyFont="1" applyBorder="1" applyAlignment="1">
      <alignment horizontal="center" vertical="center"/>
    </xf>
    <xf numFmtId="0" fontId="22" fillId="6" borderId="8" xfId="0" applyFont="1" applyFill="1" applyBorder="1"/>
    <xf numFmtId="49" fontId="5" fillId="0" borderId="7" xfId="0" quotePrefix="1" applyNumberFormat="1" applyFont="1" applyBorder="1" applyAlignment="1">
      <alignment horizontal="center" vertical="center"/>
    </xf>
    <xf numFmtId="165" fontId="5" fillId="0" borderId="7" xfId="0" quotePrefix="1" applyNumberFormat="1" applyFont="1" applyBorder="1" applyAlignment="1">
      <alignment vertical="center"/>
    </xf>
    <xf numFmtId="1" fontId="6" fillId="5" borderId="7" xfId="0" applyNumberFormat="1" applyFont="1" applyFill="1" applyBorder="1" applyAlignment="1">
      <alignment horizontal="center" vertical="center"/>
    </xf>
    <xf numFmtId="1" fontId="2" fillId="5" borderId="7" xfId="0" applyNumberFormat="1" applyFont="1" applyFill="1" applyBorder="1" applyAlignment="1">
      <alignment horizontal="center" vertical="center"/>
    </xf>
    <xf numFmtId="1" fontId="8" fillId="5" borderId="7" xfId="0" applyNumberFormat="1" applyFont="1" applyFill="1" applyBorder="1" applyAlignment="1">
      <alignment horizontal="center" vertical="center"/>
    </xf>
    <xf numFmtId="0" fontId="25" fillId="0" borderId="0" xfId="0" applyFont="1"/>
    <xf numFmtId="0" fontId="14" fillId="0" borderId="11" xfId="0" quotePrefix="1" applyFont="1" applyBorder="1" applyAlignment="1">
      <alignment horizontal="left" vertical="center" wrapText="1"/>
    </xf>
    <xf numFmtId="0" fontId="14" fillId="0" borderId="13" xfId="0" quotePrefix="1" applyFont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3" fillId="0" borderId="7" xfId="0" quotePrefix="1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7" xfId="0" quotePrefix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4" fillId="0" borderId="7" xfId="0" quotePrefix="1" applyFont="1" applyBorder="1" applyAlignment="1">
      <alignment horizontal="left" vertical="center" wrapText="1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1" xfId="0" quotePrefix="1" applyFont="1" applyBorder="1" applyAlignment="1">
      <alignment horizontal="center" vertical="center"/>
    </xf>
    <xf numFmtId="0" fontId="14" fillId="0" borderId="12" xfId="0" quotePrefix="1" applyFont="1" applyBorder="1" applyAlignment="1">
      <alignment horizontal="center" vertical="center"/>
    </xf>
    <xf numFmtId="0" fontId="14" fillId="0" borderId="13" xfId="0" quotePrefix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165" fontId="19" fillId="2" borderId="1" xfId="0" applyNumberFormat="1" applyFont="1" applyFill="1" applyBorder="1" applyAlignment="1">
      <alignment horizontal="center" vertical="center"/>
    </xf>
    <xf numFmtId="165" fontId="19" fillId="2" borderId="2" xfId="0" applyNumberFormat="1" applyFont="1" applyFill="1" applyBorder="1" applyAlignment="1">
      <alignment horizontal="center" vertical="center"/>
    </xf>
    <xf numFmtId="165" fontId="19" fillId="2" borderId="3" xfId="0" applyNumberFormat="1" applyFont="1" applyFill="1" applyBorder="1" applyAlignment="1">
      <alignment horizontal="center" vertical="center"/>
    </xf>
    <xf numFmtId="165" fontId="19" fillId="2" borderId="4" xfId="0" applyNumberFormat="1" applyFont="1" applyFill="1" applyBorder="1" applyAlignment="1">
      <alignment horizontal="center" vertical="center"/>
    </xf>
    <xf numFmtId="165" fontId="19" fillId="2" borderId="9" xfId="0" applyNumberFormat="1" applyFont="1" applyFill="1" applyBorder="1" applyAlignment="1">
      <alignment horizontal="center" vertical="center"/>
    </xf>
    <xf numFmtId="165" fontId="19" fillId="2" borderId="10" xfId="0" applyNumberFormat="1" applyFont="1" applyFill="1" applyBorder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5" fillId="2" borderId="6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20" fillId="2" borderId="1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60"/>
  <sheetViews>
    <sheetView tabSelected="1" topLeftCell="A16" workbookViewId="0">
      <selection activeCell="C45" sqref="C45"/>
    </sheetView>
  </sheetViews>
  <sheetFormatPr defaultRowHeight="14.4" x14ac:dyDescent="0.3"/>
  <cols>
    <col min="1" max="1" width="3.5546875" customWidth="1"/>
    <col min="2" max="2" width="3.88671875" customWidth="1"/>
    <col min="3" max="3" width="31.109375" bestFit="1" customWidth="1"/>
    <col min="4" max="6" width="9.5546875" customWidth="1"/>
    <col min="7" max="8" width="10.6640625" customWidth="1"/>
    <col min="9" max="10" width="9.5546875" customWidth="1"/>
    <col min="11" max="12" width="10.6640625" customWidth="1"/>
    <col min="13" max="15" width="9.5546875" customWidth="1"/>
    <col min="16" max="16" width="10.6640625" customWidth="1"/>
    <col min="17" max="19" width="9.5546875" customWidth="1"/>
    <col min="20" max="22" width="10.6640625" customWidth="1"/>
    <col min="23" max="24" width="0" hidden="1" customWidth="1"/>
  </cols>
  <sheetData>
    <row r="1" spans="2:26" x14ac:dyDescent="0.3">
      <c r="B1" s="161" t="s">
        <v>0</v>
      </c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3"/>
    </row>
    <row r="2" spans="2:26" ht="15" thickBot="1" x14ac:dyDescent="0.35">
      <c r="B2" s="164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6"/>
    </row>
    <row r="3" spans="2:26" x14ac:dyDescent="0.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67" t="s">
        <v>1</v>
      </c>
      <c r="V3" s="167"/>
      <c r="Z3" s="137" t="s">
        <v>156</v>
      </c>
    </row>
    <row r="4" spans="2:26" x14ac:dyDescent="0.3"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168"/>
      <c r="V4" s="168"/>
    </row>
    <row r="5" spans="2:26" x14ac:dyDescent="0.3">
      <c r="B5" s="5"/>
      <c r="C5" s="6" t="s">
        <v>2</v>
      </c>
      <c r="D5" s="7" t="s">
        <v>3</v>
      </c>
      <c r="E5" s="7" t="s">
        <v>4</v>
      </c>
      <c r="F5" s="7" t="s">
        <v>5</v>
      </c>
      <c r="G5" s="8" t="s">
        <v>6</v>
      </c>
      <c r="H5" s="7" t="s">
        <v>7</v>
      </c>
      <c r="I5" s="7" t="s">
        <v>8</v>
      </c>
      <c r="J5" s="7" t="s">
        <v>9</v>
      </c>
      <c r="K5" s="8" t="s">
        <v>10</v>
      </c>
      <c r="L5" s="9" t="s">
        <v>11</v>
      </c>
      <c r="M5" s="7" t="s">
        <v>12</v>
      </c>
      <c r="N5" s="7" t="s">
        <v>13</v>
      </c>
      <c r="O5" s="7" t="s">
        <v>14</v>
      </c>
      <c r="P5" s="8" t="s">
        <v>15</v>
      </c>
      <c r="Q5" s="7" t="s">
        <v>16</v>
      </c>
      <c r="R5" s="7" t="s">
        <v>17</v>
      </c>
      <c r="S5" s="7" t="s">
        <v>18</v>
      </c>
      <c r="T5" s="8" t="s">
        <v>19</v>
      </c>
      <c r="U5" s="9" t="s">
        <v>20</v>
      </c>
      <c r="V5" s="10" t="s">
        <v>21</v>
      </c>
    </row>
    <row r="6" spans="2:26" hidden="1" x14ac:dyDescent="0.3">
      <c r="B6" s="5"/>
      <c r="C6" s="11"/>
      <c r="D6" s="12">
        <v>30</v>
      </c>
      <c r="E6" s="12">
        <v>31</v>
      </c>
      <c r="F6" s="12">
        <v>30</v>
      </c>
      <c r="G6" s="13">
        <f t="shared" ref="G6" si="0">SUM(D6:F6)</f>
        <v>91</v>
      </c>
      <c r="H6" s="12">
        <v>31</v>
      </c>
      <c r="I6" s="12">
        <v>31</v>
      </c>
      <c r="J6" s="12">
        <v>30</v>
      </c>
      <c r="K6" s="13">
        <f t="shared" ref="K6" si="1">SUM(H6:J6)</f>
        <v>92</v>
      </c>
      <c r="L6" s="14">
        <f t="shared" ref="L6" si="2">G6+K6</f>
        <v>183</v>
      </c>
      <c r="M6" s="12">
        <v>31</v>
      </c>
      <c r="N6" s="12">
        <v>30</v>
      </c>
      <c r="O6" s="12">
        <v>31</v>
      </c>
      <c r="P6" s="13">
        <f t="shared" ref="P6" si="3">SUM(M6:O6)</f>
        <v>92</v>
      </c>
      <c r="Q6" s="12">
        <v>31</v>
      </c>
      <c r="R6" s="12">
        <v>28</v>
      </c>
      <c r="S6" s="12">
        <v>31</v>
      </c>
      <c r="T6" s="13">
        <f t="shared" ref="T6" si="4">SUM(Q6:S6)</f>
        <v>90</v>
      </c>
      <c r="U6" s="14">
        <f t="shared" ref="U6" si="5">P6+T6</f>
        <v>182</v>
      </c>
      <c r="V6" s="15">
        <f t="shared" ref="V6" si="6">L6+U6</f>
        <v>365</v>
      </c>
    </row>
    <row r="7" spans="2:26" x14ac:dyDescent="0.3">
      <c r="B7" s="16" t="s">
        <v>22</v>
      </c>
      <c r="C7" s="6" t="s">
        <v>23</v>
      </c>
      <c r="D7" s="17">
        <v>334.59580471933083</v>
      </c>
      <c r="E7" s="17">
        <v>335.34461917427268</v>
      </c>
      <c r="F7" s="17">
        <v>334.58071668178349</v>
      </c>
      <c r="G7" s="13">
        <v>334.8403801917957</v>
      </c>
      <c r="H7" s="17">
        <v>324.55801449822565</v>
      </c>
      <c r="I7" s="17">
        <v>320.0298853489341</v>
      </c>
      <c r="J7" s="17">
        <v>320.33950963877965</v>
      </c>
      <c r="K7" s="13">
        <v>321.64246982864648</v>
      </c>
      <c r="L7" s="14">
        <v>328.24142501022106</v>
      </c>
      <c r="M7" s="17">
        <v>320.1423099911807</v>
      </c>
      <c r="N7" s="17">
        <v>330.33950963877965</v>
      </c>
      <c r="O7" s="17">
        <v>334.5130262503431</v>
      </c>
      <c r="P7" s="13">
        <v>328.33161529343448</v>
      </c>
      <c r="Q7" s="17">
        <v>334.61418084188909</v>
      </c>
      <c r="R7" s="17">
        <v>335.28354239808482</v>
      </c>
      <c r="S7" s="17">
        <v>334.90628261090671</v>
      </c>
      <c r="T7" s="13">
        <v>334.93466861696021</v>
      </c>
      <c r="U7" s="14">
        <v>331.63314195519735</v>
      </c>
      <c r="V7" s="15">
        <v>329.89305010327371</v>
      </c>
    </row>
    <row r="8" spans="2:26" x14ac:dyDescent="0.3">
      <c r="B8" s="16"/>
      <c r="C8" s="11" t="s">
        <v>24</v>
      </c>
      <c r="D8" s="17">
        <v>116.2</v>
      </c>
      <c r="E8" s="17">
        <v>120.3</v>
      </c>
      <c r="F8" s="17">
        <v>116.2</v>
      </c>
      <c r="G8" s="13">
        <v>352.7</v>
      </c>
      <c r="H8" s="17">
        <v>116.5</v>
      </c>
      <c r="I8" s="17">
        <v>114.8</v>
      </c>
      <c r="J8" s="17">
        <v>111.3</v>
      </c>
      <c r="K8" s="13">
        <v>342.6</v>
      </c>
      <c r="L8" s="14">
        <v>695.3</v>
      </c>
      <c r="M8" s="17">
        <v>114.9</v>
      </c>
      <c r="N8" s="17">
        <v>114.7</v>
      </c>
      <c r="O8" s="17">
        <v>120</v>
      </c>
      <c r="P8" s="13">
        <v>349.6</v>
      </c>
      <c r="Q8" s="17">
        <v>120.1</v>
      </c>
      <c r="R8" s="17">
        <v>108.7</v>
      </c>
      <c r="S8" s="17">
        <v>120.2</v>
      </c>
      <c r="T8" s="13">
        <v>349</v>
      </c>
      <c r="U8" s="14">
        <v>698.6</v>
      </c>
      <c r="V8" s="15">
        <v>1393.9</v>
      </c>
    </row>
    <row r="9" spans="2:26" x14ac:dyDescent="0.3">
      <c r="B9" s="16" t="s">
        <v>25</v>
      </c>
      <c r="C9" s="11" t="s">
        <v>26</v>
      </c>
      <c r="D9" s="17">
        <v>265.50428161963191</v>
      </c>
      <c r="E9" s="17">
        <v>341.34640572466265</v>
      </c>
      <c r="F9" s="17">
        <v>399.67007636809825</v>
      </c>
      <c r="G9" s="13">
        <v>1006.5207637123929</v>
      </c>
      <c r="H9" s="17">
        <v>389.53213126085888</v>
      </c>
      <c r="I9" s="17">
        <v>413.37177326527609</v>
      </c>
      <c r="J9" s="17">
        <v>399.28557994797541</v>
      </c>
      <c r="K9" s="13">
        <v>1202.1894844741105</v>
      </c>
      <c r="L9" s="14">
        <v>2208.7102481865031</v>
      </c>
      <c r="M9" s="17">
        <v>413.08268257374237</v>
      </c>
      <c r="N9" s="17">
        <v>399.28557994797541</v>
      </c>
      <c r="O9" s="17">
        <v>412.81846300269939</v>
      </c>
      <c r="P9" s="13">
        <v>1225.1867255244172</v>
      </c>
      <c r="Q9" s="17">
        <v>413.63432457815958</v>
      </c>
      <c r="R9" s="17">
        <v>371.49768973349694</v>
      </c>
      <c r="S9" s="17">
        <v>413.34833889766878</v>
      </c>
      <c r="T9" s="13">
        <v>1198.4803532093254</v>
      </c>
      <c r="U9" s="14">
        <v>2423.6670787337425</v>
      </c>
      <c r="V9" s="15">
        <v>4632.3773269202457</v>
      </c>
    </row>
    <row r="10" spans="2:26" x14ac:dyDescent="0.3">
      <c r="B10" s="16" t="s">
        <v>27</v>
      </c>
      <c r="C10" s="11" t="s">
        <v>28</v>
      </c>
      <c r="D10" s="17">
        <v>212.0641226993865</v>
      </c>
      <c r="E10" s="17">
        <v>272.64089914110434</v>
      </c>
      <c r="F10" s="17">
        <v>319.22530061349698</v>
      </c>
      <c r="G10" s="13">
        <v>803.93032245398786</v>
      </c>
      <c r="H10" s="17">
        <v>311.12790036809815</v>
      </c>
      <c r="I10" s="17">
        <v>330.16914797546013</v>
      </c>
      <c r="J10" s="17">
        <v>318.91819484662574</v>
      </c>
      <c r="K10" s="13">
        <v>960.21524319018408</v>
      </c>
      <c r="L10" s="14">
        <v>1764.1455656441719</v>
      </c>
      <c r="M10" s="17">
        <v>330.33760588957057</v>
      </c>
      <c r="N10" s="17">
        <v>318.91819484662574</v>
      </c>
      <c r="O10" s="17">
        <v>329.72720687116566</v>
      </c>
      <c r="P10" s="13">
        <v>978.98300760736197</v>
      </c>
      <c r="Q10" s="17">
        <v>330.37885349693255</v>
      </c>
      <c r="R10" s="17">
        <v>296.72339435582825</v>
      </c>
      <c r="S10" s="17">
        <v>330.15043042944791</v>
      </c>
      <c r="T10" s="13">
        <v>957.25267828220876</v>
      </c>
      <c r="U10" s="14">
        <v>1936.2356858895707</v>
      </c>
      <c r="V10" s="15">
        <v>3700.3812515337427</v>
      </c>
    </row>
    <row r="11" spans="2:26" x14ac:dyDescent="0.3">
      <c r="B11" s="16"/>
      <c r="C11" s="18" t="s">
        <v>29</v>
      </c>
      <c r="D11" s="19">
        <v>152</v>
      </c>
      <c r="E11" s="19">
        <v>153</v>
      </c>
      <c r="F11" s="19">
        <v>145</v>
      </c>
      <c r="G11" s="13">
        <v>450</v>
      </c>
      <c r="H11" s="20">
        <v>125</v>
      </c>
      <c r="I11" s="19">
        <v>150</v>
      </c>
      <c r="J11" s="19">
        <v>145</v>
      </c>
      <c r="K11" s="13">
        <v>420</v>
      </c>
      <c r="L11" s="14">
        <v>870</v>
      </c>
      <c r="M11" s="19">
        <v>150</v>
      </c>
      <c r="N11" s="19">
        <v>145</v>
      </c>
      <c r="O11" s="19">
        <v>150</v>
      </c>
      <c r="P11" s="21">
        <v>445</v>
      </c>
      <c r="Q11" s="19">
        <v>150</v>
      </c>
      <c r="R11" s="19">
        <v>135</v>
      </c>
      <c r="S11" s="19">
        <v>150</v>
      </c>
      <c r="T11" s="21">
        <v>435</v>
      </c>
      <c r="U11" s="22">
        <v>880</v>
      </c>
      <c r="V11" s="134">
        <v>1750</v>
      </c>
    </row>
    <row r="12" spans="2:26" x14ac:dyDescent="0.3">
      <c r="B12" s="16"/>
      <c r="C12" s="18" t="s">
        <v>30</v>
      </c>
      <c r="D12" s="20">
        <v>60.064122699386502</v>
      </c>
      <c r="E12" s="20">
        <v>119.64089914110434</v>
      </c>
      <c r="F12" s="19">
        <v>174.22530061349698</v>
      </c>
      <c r="G12" s="13">
        <v>353.93032245398786</v>
      </c>
      <c r="H12" s="19">
        <v>186.12790036809815</v>
      </c>
      <c r="I12" s="19">
        <v>180.16914797546013</v>
      </c>
      <c r="J12" s="19">
        <v>173.91819484662574</v>
      </c>
      <c r="K12" s="13">
        <v>540.21524319018408</v>
      </c>
      <c r="L12" s="14">
        <v>894.14556564417194</v>
      </c>
      <c r="M12" s="19">
        <v>180.33760588957057</v>
      </c>
      <c r="N12" s="19">
        <v>173.91819484662574</v>
      </c>
      <c r="O12" s="19">
        <v>179.72720687116566</v>
      </c>
      <c r="P12" s="21">
        <v>533.98300760736197</v>
      </c>
      <c r="Q12" s="19">
        <v>180.37885349693255</v>
      </c>
      <c r="R12" s="19">
        <v>161.72339435582825</v>
      </c>
      <c r="S12" s="19">
        <v>180.15043042944791</v>
      </c>
      <c r="T12" s="21">
        <v>522.25267828220876</v>
      </c>
      <c r="U12" s="22">
        <v>1056.2356858895707</v>
      </c>
      <c r="V12" s="134">
        <v>1950.3812515337427</v>
      </c>
    </row>
    <row r="13" spans="2:26" x14ac:dyDescent="0.3">
      <c r="B13" s="16" t="s">
        <v>31</v>
      </c>
      <c r="C13" s="6" t="s">
        <v>32</v>
      </c>
      <c r="D13" s="23">
        <v>175</v>
      </c>
      <c r="E13" s="23">
        <v>174</v>
      </c>
      <c r="F13" s="23">
        <v>225</v>
      </c>
      <c r="G13" s="24">
        <v>574</v>
      </c>
      <c r="H13" s="25">
        <v>216.5</v>
      </c>
      <c r="I13" s="25">
        <v>235.5</v>
      </c>
      <c r="J13" s="26">
        <v>229</v>
      </c>
      <c r="K13" s="24">
        <v>681</v>
      </c>
      <c r="L13" s="27">
        <v>1255</v>
      </c>
      <c r="M13" s="23">
        <v>204</v>
      </c>
      <c r="N13" s="23">
        <v>229</v>
      </c>
      <c r="O13" s="23">
        <v>238</v>
      </c>
      <c r="P13" s="24">
        <v>671</v>
      </c>
      <c r="Q13" s="26">
        <v>223</v>
      </c>
      <c r="R13" s="26">
        <v>212</v>
      </c>
      <c r="S13" s="26">
        <v>239</v>
      </c>
      <c r="T13" s="24">
        <v>674</v>
      </c>
      <c r="U13" s="27">
        <v>1345</v>
      </c>
      <c r="V13" s="135">
        <v>2600</v>
      </c>
    </row>
    <row r="14" spans="2:26" x14ac:dyDescent="0.3">
      <c r="B14" s="28"/>
      <c r="C14" s="29" t="s">
        <v>33</v>
      </c>
      <c r="D14" s="30">
        <v>18</v>
      </c>
      <c r="E14" s="30">
        <v>12</v>
      </c>
      <c r="F14" s="31">
        <v>69</v>
      </c>
      <c r="G14" s="32">
        <v>99</v>
      </c>
      <c r="H14" s="33">
        <v>72.5</v>
      </c>
      <c r="I14" s="33">
        <v>72.5</v>
      </c>
      <c r="J14" s="34">
        <v>71</v>
      </c>
      <c r="K14" s="32">
        <v>216</v>
      </c>
      <c r="L14" s="35">
        <v>315</v>
      </c>
      <c r="M14" s="34">
        <v>73</v>
      </c>
      <c r="N14" s="36">
        <v>71</v>
      </c>
      <c r="O14" s="36">
        <v>74</v>
      </c>
      <c r="P14" s="32">
        <v>218</v>
      </c>
      <c r="Q14" s="34">
        <v>74</v>
      </c>
      <c r="R14" s="34">
        <v>66</v>
      </c>
      <c r="S14" s="34">
        <v>74</v>
      </c>
      <c r="T14" s="32">
        <v>214</v>
      </c>
      <c r="U14" s="35">
        <v>432</v>
      </c>
      <c r="V14" s="136">
        <v>747</v>
      </c>
    </row>
    <row r="15" spans="2:26" x14ac:dyDescent="0.3">
      <c r="B15" s="28"/>
      <c r="C15" s="29" t="s">
        <v>34</v>
      </c>
      <c r="D15" s="31">
        <v>68</v>
      </c>
      <c r="E15" s="31">
        <v>70</v>
      </c>
      <c r="F15" s="31">
        <v>68</v>
      </c>
      <c r="G15" s="32">
        <v>206</v>
      </c>
      <c r="H15" s="37">
        <v>52</v>
      </c>
      <c r="I15" s="36">
        <v>71</v>
      </c>
      <c r="J15" s="34">
        <v>69</v>
      </c>
      <c r="K15" s="32">
        <v>192</v>
      </c>
      <c r="L15" s="35">
        <v>398</v>
      </c>
      <c r="M15" s="34">
        <v>71</v>
      </c>
      <c r="N15" s="36">
        <v>69</v>
      </c>
      <c r="O15" s="36">
        <v>71</v>
      </c>
      <c r="P15" s="32">
        <v>211</v>
      </c>
      <c r="Q15" s="37">
        <v>56</v>
      </c>
      <c r="R15" s="34">
        <v>63</v>
      </c>
      <c r="S15" s="34">
        <v>72</v>
      </c>
      <c r="T15" s="32">
        <v>191</v>
      </c>
      <c r="U15" s="35">
        <v>402</v>
      </c>
      <c r="V15" s="136">
        <v>800</v>
      </c>
    </row>
    <row r="16" spans="2:26" x14ac:dyDescent="0.3">
      <c r="B16" s="28"/>
      <c r="C16" s="29" t="s">
        <v>35</v>
      </c>
      <c r="D16" s="31">
        <v>89</v>
      </c>
      <c r="E16" s="31">
        <v>92</v>
      </c>
      <c r="F16" s="31">
        <v>88</v>
      </c>
      <c r="G16" s="32">
        <v>269</v>
      </c>
      <c r="H16" s="36">
        <v>92</v>
      </c>
      <c r="I16" s="36">
        <v>92</v>
      </c>
      <c r="J16" s="34">
        <v>89</v>
      </c>
      <c r="K16" s="32">
        <v>273</v>
      </c>
      <c r="L16" s="35">
        <v>542</v>
      </c>
      <c r="M16" s="37">
        <v>60</v>
      </c>
      <c r="N16" s="36">
        <v>89</v>
      </c>
      <c r="O16" s="36">
        <v>93</v>
      </c>
      <c r="P16" s="32">
        <v>242</v>
      </c>
      <c r="Q16" s="34">
        <v>93</v>
      </c>
      <c r="R16" s="34">
        <v>83</v>
      </c>
      <c r="S16" s="34">
        <v>93</v>
      </c>
      <c r="T16" s="32">
        <v>269</v>
      </c>
      <c r="U16" s="35">
        <v>511</v>
      </c>
      <c r="V16" s="136">
        <v>1053</v>
      </c>
    </row>
    <row r="17" spans="2:25" x14ac:dyDescent="0.3">
      <c r="B17" s="38"/>
      <c r="C17" s="39" t="s">
        <v>36</v>
      </c>
      <c r="D17" s="25">
        <v>3</v>
      </c>
      <c r="E17" s="25">
        <v>4</v>
      </c>
      <c r="F17" s="25">
        <v>4</v>
      </c>
      <c r="G17" s="40">
        <v>11</v>
      </c>
      <c r="H17" s="25">
        <v>4.5</v>
      </c>
      <c r="I17" s="25">
        <v>4</v>
      </c>
      <c r="J17" s="25">
        <v>4.5</v>
      </c>
      <c r="K17" s="40">
        <v>13</v>
      </c>
      <c r="L17" s="27">
        <v>24</v>
      </c>
      <c r="M17" s="25">
        <v>5</v>
      </c>
      <c r="N17" s="25">
        <v>2.5</v>
      </c>
      <c r="O17" s="25">
        <v>3</v>
      </c>
      <c r="P17" s="40">
        <v>10.5</v>
      </c>
      <c r="Q17" s="25">
        <v>4.5</v>
      </c>
      <c r="R17" s="25">
        <v>4.5</v>
      </c>
      <c r="S17" s="25">
        <v>4.5</v>
      </c>
      <c r="T17" s="40">
        <v>13.5</v>
      </c>
      <c r="U17" s="27">
        <v>24</v>
      </c>
      <c r="V17" s="135">
        <v>48</v>
      </c>
      <c r="X17">
        <v>48</v>
      </c>
    </row>
    <row r="18" spans="2:25" x14ac:dyDescent="0.3">
      <c r="B18" s="16"/>
      <c r="C18" s="39" t="s">
        <v>37</v>
      </c>
      <c r="D18" s="25">
        <v>1</v>
      </c>
      <c r="E18" s="25">
        <v>2</v>
      </c>
      <c r="F18" s="25">
        <v>1.5</v>
      </c>
      <c r="G18" s="40">
        <v>4.5</v>
      </c>
      <c r="H18" s="25">
        <v>2</v>
      </c>
      <c r="I18" s="25">
        <v>1</v>
      </c>
      <c r="J18" s="41">
        <v>1</v>
      </c>
      <c r="K18" s="40">
        <v>4</v>
      </c>
      <c r="L18" s="42">
        <v>8.5</v>
      </c>
      <c r="M18" s="41">
        <v>2</v>
      </c>
      <c r="N18" s="25">
        <v>1</v>
      </c>
      <c r="O18" s="25">
        <v>1.5</v>
      </c>
      <c r="P18" s="40">
        <v>4.5</v>
      </c>
      <c r="Q18" s="41">
        <v>2</v>
      </c>
      <c r="R18" s="41">
        <v>1.5</v>
      </c>
      <c r="S18" s="41">
        <v>1.5</v>
      </c>
      <c r="T18" s="40">
        <v>5</v>
      </c>
      <c r="U18" s="42">
        <v>9.5</v>
      </c>
      <c r="V18" s="135">
        <v>18</v>
      </c>
      <c r="X18">
        <v>18</v>
      </c>
    </row>
    <row r="19" spans="2:25" x14ac:dyDescent="0.3">
      <c r="B19" s="16" t="s">
        <v>38</v>
      </c>
      <c r="C19" s="6" t="s">
        <v>39</v>
      </c>
      <c r="D19" s="44">
        <v>0.92</v>
      </c>
      <c r="E19" s="44">
        <v>1.84</v>
      </c>
      <c r="F19" s="116">
        <v>1.3800000000000001</v>
      </c>
      <c r="G19" s="40">
        <v>4.1400000000000006</v>
      </c>
      <c r="H19" s="44">
        <v>1.84</v>
      </c>
      <c r="I19" s="44">
        <v>0.92</v>
      </c>
      <c r="J19" s="44">
        <v>0.92</v>
      </c>
      <c r="K19" s="40">
        <v>3.68</v>
      </c>
      <c r="L19" s="42">
        <v>7.82</v>
      </c>
      <c r="M19" s="44">
        <v>1.84</v>
      </c>
      <c r="N19" s="44">
        <v>0.92</v>
      </c>
      <c r="O19" s="44">
        <v>1.3800000000000001</v>
      </c>
      <c r="P19" s="40">
        <v>4.1400000000000006</v>
      </c>
      <c r="Q19" s="44">
        <v>1.84</v>
      </c>
      <c r="R19" s="44">
        <v>1.3800000000000001</v>
      </c>
      <c r="S19" s="44">
        <v>1.3800000000000001</v>
      </c>
      <c r="T19" s="40">
        <v>4.6000000000000005</v>
      </c>
      <c r="U19" s="42">
        <v>8.740000000000002</v>
      </c>
      <c r="V19" s="43">
        <v>16.560000000000002</v>
      </c>
    </row>
    <row r="20" spans="2:25" x14ac:dyDescent="0.3">
      <c r="B20" s="16"/>
      <c r="C20" s="6"/>
      <c r="D20" s="44"/>
      <c r="E20" s="44"/>
      <c r="F20" s="44"/>
      <c r="G20" s="40"/>
      <c r="H20" s="44"/>
      <c r="I20" s="44"/>
      <c r="J20" s="45"/>
      <c r="K20" s="40"/>
      <c r="L20" s="27"/>
      <c r="M20" s="45"/>
      <c r="N20" s="44"/>
      <c r="O20" s="44"/>
      <c r="P20" s="40"/>
      <c r="Q20" s="45"/>
      <c r="R20" s="45"/>
      <c r="S20" s="45"/>
      <c r="T20" s="40"/>
      <c r="U20" s="27"/>
      <c r="V20" s="43"/>
    </row>
    <row r="21" spans="2:25" x14ac:dyDescent="0.3">
      <c r="B21" s="16" t="s">
        <v>40</v>
      </c>
      <c r="C21" s="6" t="s">
        <v>41</v>
      </c>
      <c r="D21" s="46">
        <v>162</v>
      </c>
      <c r="E21" s="46">
        <v>159</v>
      </c>
      <c r="F21" s="46">
        <v>208</v>
      </c>
      <c r="G21" s="24">
        <v>529</v>
      </c>
      <c r="H21" s="46">
        <v>199</v>
      </c>
      <c r="I21" s="46">
        <v>218</v>
      </c>
      <c r="J21" s="46">
        <v>212</v>
      </c>
      <c r="K21" s="24">
        <v>629</v>
      </c>
      <c r="L21" s="27">
        <v>1158</v>
      </c>
      <c r="M21" s="46">
        <v>186</v>
      </c>
      <c r="N21" s="46">
        <v>214</v>
      </c>
      <c r="O21" s="46">
        <v>221</v>
      </c>
      <c r="P21" s="24">
        <v>621</v>
      </c>
      <c r="Q21" s="46">
        <v>205</v>
      </c>
      <c r="R21" s="46">
        <v>195</v>
      </c>
      <c r="S21" s="46">
        <v>221</v>
      </c>
      <c r="T21" s="24">
        <v>621</v>
      </c>
      <c r="U21" s="27">
        <v>1242</v>
      </c>
      <c r="V21" s="135">
        <v>2400</v>
      </c>
      <c r="W21" s="47">
        <v>2399.5</v>
      </c>
      <c r="X21" s="47"/>
    </row>
    <row r="22" spans="2:25" x14ac:dyDescent="0.3">
      <c r="B22" s="48"/>
      <c r="C22" s="11" t="s">
        <v>42</v>
      </c>
      <c r="D22" s="49">
        <v>0.5</v>
      </c>
      <c r="E22" s="49">
        <v>0.5</v>
      </c>
      <c r="F22" s="49">
        <v>0.5</v>
      </c>
      <c r="G22" s="50">
        <v>1.5</v>
      </c>
      <c r="H22" s="49">
        <v>0.5</v>
      </c>
      <c r="I22" s="49">
        <v>0.5</v>
      </c>
      <c r="J22" s="5">
        <v>0.5</v>
      </c>
      <c r="K22" s="50">
        <v>1.5</v>
      </c>
      <c r="L22" s="14">
        <v>3</v>
      </c>
      <c r="M22" s="49">
        <v>0.5</v>
      </c>
      <c r="N22" s="49">
        <v>0.5</v>
      </c>
      <c r="O22" s="49">
        <v>0.5</v>
      </c>
      <c r="P22" s="50">
        <v>1.5</v>
      </c>
      <c r="Q22" s="49">
        <v>0.5</v>
      </c>
      <c r="R22" s="49">
        <v>0.5</v>
      </c>
      <c r="S22" s="49">
        <v>1</v>
      </c>
      <c r="T22" s="50">
        <v>2</v>
      </c>
      <c r="U22" s="55">
        <v>3.5</v>
      </c>
      <c r="V22" s="51">
        <v>6.5</v>
      </c>
      <c r="W22" s="52">
        <v>6.5</v>
      </c>
      <c r="X22" s="52"/>
    </row>
    <row r="23" spans="2:25" x14ac:dyDescent="0.3">
      <c r="B23" s="48"/>
      <c r="C23" s="11" t="s">
        <v>43</v>
      </c>
      <c r="D23" s="49">
        <v>0.5</v>
      </c>
      <c r="E23" s="49">
        <v>0.5</v>
      </c>
      <c r="F23" s="49">
        <v>0.5</v>
      </c>
      <c r="G23" s="50">
        <v>1.5</v>
      </c>
      <c r="H23" s="49">
        <v>0.5</v>
      </c>
      <c r="I23" s="49">
        <v>0.5</v>
      </c>
      <c r="J23" s="49">
        <v>0.5</v>
      </c>
      <c r="K23" s="50">
        <v>1.5</v>
      </c>
      <c r="L23" s="14">
        <v>3</v>
      </c>
      <c r="M23" s="49">
        <v>0.5</v>
      </c>
      <c r="N23" s="49">
        <v>0.5</v>
      </c>
      <c r="O23" s="49">
        <v>0.5</v>
      </c>
      <c r="P23" s="50">
        <v>1.5</v>
      </c>
      <c r="Q23" s="49">
        <v>0.5</v>
      </c>
      <c r="R23" s="49">
        <v>0.5</v>
      </c>
      <c r="S23" s="49">
        <v>1</v>
      </c>
      <c r="T23" s="50">
        <v>2</v>
      </c>
      <c r="U23" s="55">
        <v>3.5</v>
      </c>
      <c r="V23" s="51">
        <v>6.5</v>
      </c>
      <c r="W23">
        <v>6.5</v>
      </c>
    </row>
    <row r="24" spans="2:25" x14ac:dyDescent="0.3">
      <c r="B24" s="16" t="s">
        <v>44</v>
      </c>
      <c r="C24" s="53" t="s">
        <v>45</v>
      </c>
      <c r="D24" s="54">
        <v>67.5</v>
      </c>
      <c r="E24" s="5">
        <v>69.5</v>
      </c>
      <c r="F24" s="17">
        <v>99</v>
      </c>
      <c r="G24" s="13">
        <v>236</v>
      </c>
      <c r="H24" s="59">
        <v>91</v>
      </c>
      <c r="I24" s="17">
        <v>102</v>
      </c>
      <c r="J24" s="57">
        <v>99</v>
      </c>
      <c r="K24" s="13">
        <v>292</v>
      </c>
      <c r="L24" s="14">
        <v>528</v>
      </c>
      <c r="M24" s="49">
        <v>94.5</v>
      </c>
      <c r="N24" s="17">
        <v>99</v>
      </c>
      <c r="O24" s="49">
        <v>101.5</v>
      </c>
      <c r="P24" s="13">
        <v>295</v>
      </c>
      <c r="Q24" s="17">
        <v>102</v>
      </c>
      <c r="R24" s="17">
        <v>93</v>
      </c>
      <c r="S24" s="17">
        <v>102</v>
      </c>
      <c r="T24" s="13">
        <v>297</v>
      </c>
      <c r="U24" s="14">
        <v>592</v>
      </c>
      <c r="V24" s="15">
        <v>1120</v>
      </c>
      <c r="W24" s="47">
        <v>1120</v>
      </c>
      <c r="X24" s="47"/>
    </row>
    <row r="25" spans="2:25" x14ac:dyDescent="0.3">
      <c r="B25" s="132"/>
      <c r="C25" s="133" t="s">
        <v>46</v>
      </c>
      <c r="D25" s="49">
        <v>41.512474012474016</v>
      </c>
      <c r="E25" s="17">
        <v>29.9989604989605</v>
      </c>
      <c r="F25" s="49">
        <v>60.53846153846154</v>
      </c>
      <c r="G25" s="13">
        <v>132.04989604989606</v>
      </c>
      <c r="H25" s="49">
        <v>51.4989604989605</v>
      </c>
      <c r="I25" s="49">
        <v>61.45945945945946</v>
      </c>
      <c r="J25" s="49">
        <v>58.45945945945946</v>
      </c>
      <c r="K25" s="50">
        <v>171.41787941787942</v>
      </c>
      <c r="L25" s="55">
        <v>303.46777546777548</v>
      </c>
      <c r="M25" s="17">
        <v>56.03846153846154</v>
      </c>
      <c r="N25" s="49">
        <v>60.53846153846154</v>
      </c>
      <c r="O25" s="17">
        <v>61.9989604989605</v>
      </c>
      <c r="P25" s="50">
        <v>178.57588357588358</v>
      </c>
      <c r="Q25" s="17">
        <v>50.933143669985775</v>
      </c>
      <c r="R25" s="17">
        <v>47.130648867490969</v>
      </c>
      <c r="S25" s="17">
        <v>50.933143669985775</v>
      </c>
      <c r="T25" s="13">
        <v>148.99693620746251</v>
      </c>
      <c r="U25" s="55">
        <v>327.57281978334606</v>
      </c>
      <c r="V25" s="15">
        <v>631.04059525112154</v>
      </c>
      <c r="W25" s="47">
        <v>631</v>
      </c>
      <c r="X25" s="47"/>
      <c r="Y25" s="47"/>
    </row>
    <row r="26" spans="2:25" x14ac:dyDescent="0.3">
      <c r="B26" s="16" t="s">
        <v>47</v>
      </c>
      <c r="C26" s="6" t="s">
        <v>48</v>
      </c>
      <c r="D26" s="17">
        <v>48</v>
      </c>
      <c r="E26" s="54">
        <v>41.5</v>
      </c>
      <c r="F26" s="17">
        <v>52</v>
      </c>
      <c r="G26" s="50">
        <v>141.5</v>
      </c>
      <c r="H26" s="5">
        <v>51.5</v>
      </c>
      <c r="I26" s="49">
        <v>54.5</v>
      </c>
      <c r="J26" s="57">
        <v>53</v>
      </c>
      <c r="K26" s="13">
        <v>159</v>
      </c>
      <c r="L26" s="55">
        <v>300.5</v>
      </c>
      <c r="M26" s="57">
        <v>41</v>
      </c>
      <c r="N26" s="49">
        <v>52.5</v>
      </c>
      <c r="O26" s="17">
        <v>58</v>
      </c>
      <c r="P26" s="50">
        <v>151.5</v>
      </c>
      <c r="Q26" s="17">
        <v>48</v>
      </c>
      <c r="R26" s="17">
        <v>45</v>
      </c>
      <c r="S26" s="17">
        <v>55</v>
      </c>
      <c r="T26" s="13">
        <v>148</v>
      </c>
      <c r="U26" s="55">
        <v>299.5</v>
      </c>
      <c r="V26" s="15">
        <v>600</v>
      </c>
      <c r="W26" s="47">
        <v>600</v>
      </c>
      <c r="X26" s="47"/>
    </row>
    <row r="27" spans="2:25" x14ac:dyDescent="0.3">
      <c r="B27" s="16" t="s">
        <v>49</v>
      </c>
      <c r="C27" s="6" t="s">
        <v>50</v>
      </c>
      <c r="D27" s="59">
        <v>46</v>
      </c>
      <c r="E27" s="49">
        <v>47.5</v>
      </c>
      <c r="F27" s="49">
        <v>56.5</v>
      </c>
      <c r="G27" s="13">
        <v>150</v>
      </c>
      <c r="H27" s="17">
        <v>56</v>
      </c>
      <c r="I27" s="17">
        <v>61</v>
      </c>
      <c r="J27" s="5">
        <v>59.5</v>
      </c>
      <c r="K27" s="50">
        <v>176.5</v>
      </c>
      <c r="L27" s="55">
        <v>326.5</v>
      </c>
      <c r="M27" s="57">
        <v>50</v>
      </c>
      <c r="N27" s="17">
        <v>62</v>
      </c>
      <c r="O27" s="17">
        <v>61</v>
      </c>
      <c r="P27" s="13">
        <v>173</v>
      </c>
      <c r="Q27" s="49">
        <v>54.5</v>
      </c>
      <c r="R27" s="49">
        <v>56.5</v>
      </c>
      <c r="S27" s="17">
        <v>63</v>
      </c>
      <c r="T27" s="13">
        <v>174</v>
      </c>
      <c r="U27" s="14">
        <v>347</v>
      </c>
      <c r="V27" s="51">
        <v>673.5</v>
      </c>
      <c r="W27" s="52">
        <v>673.5</v>
      </c>
      <c r="X27" s="52"/>
    </row>
    <row r="28" spans="2:25" x14ac:dyDescent="0.3">
      <c r="B28" s="48"/>
      <c r="C28" s="56" t="s">
        <v>51</v>
      </c>
      <c r="D28" s="17">
        <v>4</v>
      </c>
      <c r="E28" s="49">
        <v>3.5</v>
      </c>
      <c r="F28" s="17">
        <v>4</v>
      </c>
      <c r="G28" s="50">
        <v>11.5</v>
      </c>
      <c r="H28" s="17">
        <v>4</v>
      </c>
      <c r="I28" s="17">
        <v>4</v>
      </c>
      <c r="J28" s="57">
        <v>2</v>
      </c>
      <c r="K28" s="13">
        <v>10</v>
      </c>
      <c r="L28" s="55">
        <v>21.5</v>
      </c>
      <c r="M28" s="57">
        <v>2</v>
      </c>
      <c r="N28" s="49">
        <v>3.5</v>
      </c>
      <c r="O28" s="17">
        <v>4</v>
      </c>
      <c r="P28" s="50">
        <v>9.5</v>
      </c>
      <c r="Q28" s="49">
        <v>4.5</v>
      </c>
      <c r="R28" s="17">
        <v>4</v>
      </c>
      <c r="S28" s="5">
        <v>4.5</v>
      </c>
      <c r="T28" s="13">
        <v>13</v>
      </c>
      <c r="U28" s="55">
        <v>22.5</v>
      </c>
      <c r="V28" s="15">
        <v>44</v>
      </c>
      <c r="W28" s="47">
        <v>44</v>
      </c>
      <c r="X28" s="47"/>
    </row>
    <row r="29" spans="2:25" x14ac:dyDescent="0.3">
      <c r="B29" s="132"/>
      <c r="C29" s="133" t="s">
        <v>52</v>
      </c>
      <c r="D29" s="49">
        <v>24.408602150537632</v>
      </c>
      <c r="E29" s="49">
        <v>0.553763440860223</v>
      </c>
      <c r="F29" s="49">
        <v>22.77956989247312</v>
      </c>
      <c r="G29" s="50">
        <v>47.741935483870975</v>
      </c>
      <c r="H29" s="49">
        <v>18.553763440860223</v>
      </c>
      <c r="I29" s="49">
        <v>26.553763440860223</v>
      </c>
      <c r="J29" s="49">
        <v>28.77956989247312</v>
      </c>
      <c r="K29" s="50">
        <v>73.887096774193566</v>
      </c>
      <c r="L29" s="55">
        <v>121.62903225806454</v>
      </c>
      <c r="M29" s="49">
        <v>4.053763440860223</v>
      </c>
      <c r="N29" s="49">
        <v>45.408602150537632</v>
      </c>
      <c r="O29" s="49">
        <v>30.053763440860223</v>
      </c>
      <c r="P29" s="50">
        <v>79.516129032258078</v>
      </c>
      <c r="Q29" s="17">
        <v>11.978494623655919</v>
      </c>
      <c r="R29" s="49">
        <v>20.855913978494623</v>
      </c>
      <c r="S29" s="49">
        <v>27.478494623655919</v>
      </c>
      <c r="T29" s="50">
        <v>60.312903225806465</v>
      </c>
      <c r="U29" s="55">
        <v>139.82903225806456</v>
      </c>
      <c r="V29" s="51">
        <v>261.45806451612907</v>
      </c>
      <c r="W29" s="52">
        <v>261.5</v>
      </c>
      <c r="X29" s="52"/>
    </row>
    <row r="30" spans="2:25" x14ac:dyDescent="0.3">
      <c r="B30" s="16" t="s">
        <v>53</v>
      </c>
      <c r="C30" s="6" t="s">
        <v>54</v>
      </c>
      <c r="D30" s="44">
        <v>161.5</v>
      </c>
      <c r="E30" s="44">
        <v>158.5</v>
      </c>
      <c r="F30" s="44">
        <v>207.5</v>
      </c>
      <c r="G30" s="40">
        <v>527.5</v>
      </c>
      <c r="H30" s="44">
        <v>198.5</v>
      </c>
      <c r="I30" s="44">
        <v>217.5</v>
      </c>
      <c r="J30" s="45">
        <v>211.5</v>
      </c>
      <c r="K30" s="40">
        <v>627.5</v>
      </c>
      <c r="L30" s="27">
        <v>1155</v>
      </c>
      <c r="M30" s="45">
        <v>185.5</v>
      </c>
      <c r="N30" s="44">
        <v>213.5</v>
      </c>
      <c r="O30" s="44">
        <v>220.5</v>
      </c>
      <c r="P30" s="40">
        <v>619.5</v>
      </c>
      <c r="Q30" s="44">
        <v>204.5</v>
      </c>
      <c r="R30" s="44">
        <v>194.5</v>
      </c>
      <c r="S30" s="58">
        <v>220</v>
      </c>
      <c r="T30" s="24">
        <v>619</v>
      </c>
      <c r="U30" s="42">
        <v>1238.5</v>
      </c>
      <c r="V30" s="43">
        <v>2393.5</v>
      </c>
      <c r="W30" s="52">
        <v>2393.5</v>
      </c>
      <c r="X30" s="52"/>
    </row>
    <row r="31" spans="2:25" hidden="1" x14ac:dyDescent="0.3">
      <c r="B31" s="16" t="s">
        <v>55</v>
      </c>
      <c r="C31" s="11" t="s">
        <v>56</v>
      </c>
      <c r="D31" s="17"/>
      <c r="E31" s="17"/>
      <c r="F31" s="17"/>
      <c r="G31" s="13">
        <v>0</v>
      </c>
      <c r="H31" s="17"/>
      <c r="I31" s="17"/>
      <c r="J31" s="17"/>
      <c r="K31" s="13">
        <v>0</v>
      </c>
      <c r="L31" s="14">
        <v>0</v>
      </c>
      <c r="M31" s="57"/>
      <c r="N31" s="17"/>
      <c r="O31" s="17"/>
      <c r="P31" s="13">
        <v>0</v>
      </c>
      <c r="Q31" s="17"/>
      <c r="R31" s="17"/>
      <c r="S31" s="57"/>
      <c r="T31" s="13">
        <v>0</v>
      </c>
      <c r="U31" s="14">
        <v>0</v>
      </c>
      <c r="V31" s="15">
        <v>0</v>
      </c>
    </row>
    <row r="32" spans="2:25" x14ac:dyDescent="0.3">
      <c r="B32" s="16" t="s">
        <v>55</v>
      </c>
      <c r="C32" s="11" t="s">
        <v>57</v>
      </c>
      <c r="D32" s="59">
        <v>25</v>
      </c>
      <c r="E32" s="17">
        <v>38</v>
      </c>
      <c r="F32" s="17">
        <v>37</v>
      </c>
      <c r="G32" s="13">
        <v>100</v>
      </c>
      <c r="H32" s="17">
        <v>38</v>
      </c>
      <c r="I32" s="17">
        <v>39</v>
      </c>
      <c r="J32" s="57">
        <v>39</v>
      </c>
      <c r="K32" s="13">
        <v>116</v>
      </c>
      <c r="L32" s="14">
        <v>216</v>
      </c>
      <c r="M32" s="57">
        <v>37</v>
      </c>
      <c r="N32" s="17">
        <v>37</v>
      </c>
      <c r="O32" s="17">
        <v>38</v>
      </c>
      <c r="P32" s="13">
        <v>112</v>
      </c>
      <c r="Q32" s="17">
        <v>39</v>
      </c>
      <c r="R32" s="17">
        <v>34</v>
      </c>
      <c r="S32" s="57">
        <v>39</v>
      </c>
      <c r="T32" s="13">
        <v>112</v>
      </c>
      <c r="U32" s="14">
        <v>224</v>
      </c>
      <c r="V32" s="15">
        <v>440</v>
      </c>
      <c r="X32" s="47"/>
    </row>
    <row r="33" spans="2:22" x14ac:dyDescent="0.3">
      <c r="B33" s="16"/>
      <c r="C33" s="11" t="s">
        <v>58</v>
      </c>
      <c r="D33" s="17"/>
      <c r="E33" s="17"/>
      <c r="F33" s="17"/>
      <c r="G33" s="13">
        <v>0</v>
      </c>
      <c r="H33" s="17"/>
      <c r="I33" s="17"/>
      <c r="J33" s="57"/>
      <c r="K33" s="13">
        <v>0</v>
      </c>
      <c r="L33" s="14">
        <v>0</v>
      </c>
      <c r="M33" s="57"/>
      <c r="N33" s="17"/>
      <c r="O33" s="17"/>
      <c r="P33" s="13">
        <v>0</v>
      </c>
      <c r="Q33" s="17"/>
      <c r="R33" s="17"/>
      <c r="S33" s="57"/>
      <c r="T33" s="13">
        <v>0</v>
      </c>
      <c r="U33" s="14">
        <v>0</v>
      </c>
      <c r="V33" s="15">
        <v>0</v>
      </c>
    </row>
    <row r="34" spans="2:22" x14ac:dyDescent="0.3">
      <c r="B34" s="16"/>
      <c r="C34" s="11" t="s">
        <v>59</v>
      </c>
      <c r="D34" s="17"/>
      <c r="E34" s="17"/>
      <c r="F34" s="17"/>
      <c r="G34" s="13">
        <v>0</v>
      </c>
      <c r="H34" s="17"/>
      <c r="I34" s="17"/>
      <c r="J34" s="57"/>
      <c r="K34" s="13">
        <v>0</v>
      </c>
      <c r="L34" s="14">
        <v>0</v>
      </c>
      <c r="M34" s="57"/>
      <c r="N34" s="17"/>
      <c r="O34" s="17"/>
      <c r="P34" s="13">
        <v>0</v>
      </c>
      <c r="Q34" s="17">
        <v>10</v>
      </c>
      <c r="R34" s="17">
        <v>10</v>
      </c>
      <c r="S34" s="57">
        <v>10</v>
      </c>
      <c r="T34" s="13">
        <v>30</v>
      </c>
      <c r="U34" s="14">
        <v>30</v>
      </c>
      <c r="V34" s="15">
        <v>30</v>
      </c>
    </row>
    <row r="35" spans="2:22" x14ac:dyDescent="0.3">
      <c r="B35" s="16" t="s">
        <v>60</v>
      </c>
      <c r="C35" s="11" t="s">
        <v>61</v>
      </c>
      <c r="D35" s="59">
        <v>61</v>
      </c>
      <c r="E35" s="17">
        <v>79</v>
      </c>
      <c r="F35" s="17">
        <v>76</v>
      </c>
      <c r="G35" s="13">
        <v>216</v>
      </c>
      <c r="H35" s="17">
        <v>79</v>
      </c>
      <c r="I35" s="17">
        <v>79</v>
      </c>
      <c r="J35" s="57">
        <v>76</v>
      </c>
      <c r="K35" s="13">
        <v>234</v>
      </c>
      <c r="L35" s="14">
        <v>450</v>
      </c>
      <c r="M35" s="57">
        <v>79</v>
      </c>
      <c r="N35" s="59">
        <v>61</v>
      </c>
      <c r="O35" s="17">
        <v>79</v>
      </c>
      <c r="P35" s="13">
        <v>219</v>
      </c>
      <c r="Q35" s="17">
        <v>80</v>
      </c>
      <c r="R35" s="17">
        <v>71</v>
      </c>
      <c r="S35" s="57">
        <v>80</v>
      </c>
      <c r="T35" s="13">
        <v>231</v>
      </c>
      <c r="U35" s="14">
        <v>450</v>
      </c>
      <c r="V35" s="15">
        <v>900</v>
      </c>
    </row>
    <row r="36" spans="2:22" x14ac:dyDescent="0.3">
      <c r="B36" s="16" t="s">
        <v>62</v>
      </c>
      <c r="C36" s="6" t="s">
        <v>63</v>
      </c>
      <c r="D36" s="44">
        <v>2.5</v>
      </c>
      <c r="E36" s="44">
        <v>2.5</v>
      </c>
      <c r="F36" s="44">
        <v>2.5</v>
      </c>
      <c r="G36" s="40">
        <v>7.5</v>
      </c>
      <c r="H36" s="44">
        <v>2.6</v>
      </c>
      <c r="I36" s="44">
        <v>2.6</v>
      </c>
      <c r="J36" s="44">
        <v>1.1000000000000001</v>
      </c>
      <c r="K36" s="40">
        <v>6.3000000000000007</v>
      </c>
      <c r="L36" s="42">
        <v>13.8</v>
      </c>
      <c r="M36" s="44">
        <v>1.2</v>
      </c>
      <c r="N36" s="44">
        <v>2.5</v>
      </c>
      <c r="O36" s="44">
        <v>2.6</v>
      </c>
      <c r="P36" s="40">
        <v>6.3000000000000007</v>
      </c>
      <c r="Q36" s="44">
        <v>2.7</v>
      </c>
      <c r="R36" s="44">
        <v>2.5</v>
      </c>
      <c r="S36" s="44">
        <v>2.7</v>
      </c>
      <c r="T36" s="40">
        <v>7.9</v>
      </c>
      <c r="U36" s="42">
        <v>14.200000000000001</v>
      </c>
      <c r="V36" s="43">
        <v>28</v>
      </c>
    </row>
    <row r="37" spans="2:22" x14ac:dyDescent="0.3">
      <c r="B37" s="48"/>
      <c r="C37" s="60" t="s">
        <v>64</v>
      </c>
      <c r="D37" s="33">
        <v>2.4</v>
      </c>
      <c r="E37" s="33">
        <v>2.4</v>
      </c>
      <c r="F37" s="33">
        <v>2.4</v>
      </c>
      <c r="G37" s="61">
        <v>7.1999999999999993</v>
      </c>
      <c r="H37" s="33">
        <v>2.4</v>
      </c>
      <c r="I37" s="33">
        <v>2.4</v>
      </c>
      <c r="J37" s="62">
        <v>1</v>
      </c>
      <c r="K37" s="61">
        <v>5.8</v>
      </c>
      <c r="L37" s="35">
        <v>13</v>
      </c>
      <c r="M37" s="62">
        <v>1</v>
      </c>
      <c r="N37" s="33">
        <v>2.4</v>
      </c>
      <c r="O37" s="62">
        <v>2.4</v>
      </c>
      <c r="P37" s="61">
        <v>5.8</v>
      </c>
      <c r="Q37" s="33">
        <v>2.5</v>
      </c>
      <c r="R37" s="33">
        <v>2.4</v>
      </c>
      <c r="S37" s="62">
        <v>2.5</v>
      </c>
      <c r="T37" s="61">
        <v>7.4</v>
      </c>
      <c r="U37" s="63">
        <v>13.2</v>
      </c>
      <c r="V37" s="64">
        <v>26.2</v>
      </c>
    </row>
    <row r="38" spans="2:22" x14ac:dyDescent="0.3">
      <c r="B38" s="48"/>
      <c r="C38" s="60" t="s">
        <v>65</v>
      </c>
      <c r="D38" s="33">
        <v>0.1</v>
      </c>
      <c r="E38" s="33">
        <v>0.1</v>
      </c>
      <c r="F38" s="33">
        <v>0.1</v>
      </c>
      <c r="G38" s="61">
        <v>0.30000000000000004</v>
      </c>
      <c r="H38" s="33">
        <v>0.2</v>
      </c>
      <c r="I38" s="33">
        <v>0.2</v>
      </c>
      <c r="J38" s="33">
        <v>0.1</v>
      </c>
      <c r="K38" s="61">
        <v>0.5</v>
      </c>
      <c r="L38" s="63">
        <v>0.8</v>
      </c>
      <c r="M38" s="33">
        <v>0.2</v>
      </c>
      <c r="N38" s="33">
        <v>0.1</v>
      </c>
      <c r="O38" s="33">
        <v>0.2</v>
      </c>
      <c r="P38" s="61">
        <v>0.5</v>
      </c>
      <c r="Q38" s="33">
        <v>0.2</v>
      </c>
      <c r="R38" s="33">
        <v>0.1</v>
      </c>
      <c r="S38" s="33">
        <v>0.2</v>
      </c>
      <c r="T38" s="61">
        <v>0.5</v>
      </c>
      <c r="U38" s="63">
        <v>1</v>
      </c>
      <c r="V38" s="64">
        <v>1.8</v>
      </c>
    </row>
    <row r="39" spans="2:22" x14ac:dyDescent="0.3">
      <c r="B39" s="16" t="s">
        <v>66</v>
      </c>
      <c r="C39" s="6" t="s">
        <v>67</v>
      </c>
      <c r="D39" s="46">
        <v>154.92107616301166</v>
      </c>
      <c r="E39" s="46">
        <v>150.55272393982074</v>
      </c>
      <c r="F39" s="46">
        <v>199.31803143093467</v>
      </c>
      <c r="G39" s="24">
        <v>504.79183153376709</v>
      </c>
      <c r="H39" s="46">
        <v>190.1527239398207</v>
      </c>
      <c r="I39" s="46">
        <v>209.11322290031967</v>
      </c>
      <c r="J39" s="58">
        <v>203.83902935193257</v>
      </c>
      <c r="K39" s="24">
        <v>603.10497619207297</v>
      </c>
      <c r="L39" s="27">
        <v>1107.8968077258401</v>
      </c>
      <c r="M39" s="58">
        <v>177.79222497932176</v>
      </c>
      <c r="N39" s="58">
        <v>206.94706368899918</v>
      </c>
      <c r="O39" s="58">
        <v>212.1527239398207</v>
      </c>
      <c r="P39" s="24">
        <v>596.89201260814161</v>
      </c>
      <c r="Q39" s="46">
        <v>195.11163829364168</v>
      </c>
      <c r="R39" s="46">
        <v>185.98656284598559</v>
      </c>
      <c r="S39" s="58">
        <v>211.11163829364168</v>
      </c>
      <c r="T39" s="24">
        <v>592.20983943326894</v>
      </c>
      <c r="U39" s="27">
        <v>1189.1018520414104</v>
      </c>
      <c r="V39" s="135">
        <v>2296.9986597672505</v>
      </c>
    </row>
    <row r="40" spans="2:22" x14ac:dyDescent="0.3">
      <c r="B40" s="48"/>
      <c r="C40" s="56" t="s">
        <v>68</v>
      </c>
      <c r="D40" s="49">
        <v>66.421076163011648</v>
      </c>
      <c r="E40" s="49">
        <v>31.052723939820723</v>
      </c>
      <c r="F40" s="49">
        <v>83.818031430934667</v>
      </c>
      <c r="G40" s="50">
        <v>181.29183153376704</v>
      </c>
      <c r="H40" s="49">
        <v>70.552723939820723</v>
      </c>
      <c r="I40" s="49">
        <v>88.513222900319676</v>
      </c>
      <c r="J40" s="5">
        <v>87.739029351932572</v>
      </c>
      <c r="K40" s="50">
        <v>246.80497619207296</v>
      </c>
      <c r="L40" s="55">
        <v>428.09680772583999</v>
      </c>
      <c r="M40" s="5">
        <v>60.592224979321763</v>
      </c>
      <c r="N40" s="5">
        <v>106.44706368899918</v>
      </c>
      <c r="O40" s="5">
        <v>92.552723939820723</v>
      </c>
      <c r="P40" s="50">
        <v>259.59201260814166</v>
      </c>
      <c r="Q40" s="5">
        <v>63.411638293641694</v>
      </c>
      <c r="R40" s="5">
        <v>68.486562845985588</v>
      </c>
      <c r="S40" s="5">
        <v>79.411638293641687</v>
      </c>
      <c r="T40" s="50">
        <v>211.30983943326896</v>
      </c>
      <c r="U40" s="55">
        <v>470.90185204141062</v>
      </c>
      <c r="V40" s="15">
        <v>898.99865976725062</v>
      </c>
    </row>
    <row r="41" spans="2:22" x14ac:dyDescent="0.3">
      <c r="B41" s="48"/>
      <c r="C41" s="56" t="s">
        <v>69</v>
      </c>
      <c r="D41" s="17">
        <v>88.5</v>
      </c>
      <c r="E41" s="17">
        <v>119.5</v>
      </c>
      <c r="F41" s="17">
        <v>115.5</v>
      </c>
      <c r="G41" s="13">
        <v>323.5</v>
      </c>
      <c r="H41" s="17">
        <v>119.6</v>
      </c>
      <c r="I41" s="17">
        <v>120.6</v>
      </c>
      <c r="J41" s="17">
        <v>116.1</v>
      </c>
      <c r="K41" s="13">
        <v>356.29999999999995</v>
      </c>
      <c r="L41" s="14">
        <v>679.8</v>
      </c>
      <c r="M41" s="17">
        <v>117.2</v>
      </c>
      <c r="N41" s="17">
        <v>100.5</v>
      </c>
      <c r="O41" s="17">
        <v>119.6</v>
      </c>
      <c r="P41" s="13">
        <v>337.29999999999995</v>
      </c>
      <c r="Q41" s="17">
        <v>131.69999999999999</v>
      </c>
      <c r="R41" s="17">
        <v>117.5</v>
      </c>
      <c r="S41" s="17">
        <v>131.69999999999999</v>
      </c>
      <c r="T41" s="13">
        <v>380.9</v>
      </c>
      <c r="U41" s="14">
        <v>718.19999999999993</v>
      </c>
      <c r="V41" s="15">
        <v>1398</v>
      </c>
    </row>
    <row r="42" spans="2:22" ht="15.6" hidden="1" x14ac:dyDescent="0.3">
      <c r="C42" s="65"/>
      <c r="D42" s="66">
        <f>D39/D21%</f>
        <v>95.630293927784976</v>
      </c>
      <c r="E42" s="67">
        <f t="shared" ref="E42:V42" si="7">E39/E21%</f>
        <v>94.687247760893541</v>
      </c>
      <c r="F42" s="66">
        <f t="shared" si="7"/>
        <v>95.825976649487814</v>
      </c>
      <c r="G42" s="66">
        <f t="shared" si="7"/>
        <v>95.423786679351053</v>
      </c>
      <c r="H42" s="66">
        <f t="shared" si="7"/>
        <v>95.554132633075724</v>
      </c>
      <c r="I42" s="66">
        <f t="shared" si="7"/>
        <v>95.9234967432659</v>
      </c>
      <c r="J42" s="66">
        <f t="shared" si="7"/>
        <v>96.150485543364411</v>
      </c>
      <c r="K42" s="66">
        <f t="shared" si="7"/>
        <v>95.883144068692047</v>
      </c>
      <c r="L42" s="66">
        <f t="shared" si="7"/>
        <v>95.673299458189987</v>
      </c>
      <c r="M42" s="66">
        <f t="shared" si="7"/>
        <v>95.587217730818139</v>
      </c>
      <c r="N42" s="67">
        <f t="shared" si="7"/>
        <v>96.704235368691201</v>
      </c>
      <c r="O42" s="66">
        <f t="shared" si="7"/>
        <v>95.996707665077238</v>
      </c>
      <c r="P42" s="66">
        <f t="shared" si="7"/>
        <v>96.11787642643182</v>
      </c>
      <c r="Q42" s="66">
        <f t="shared" si="7"/>
        <v>95.176408923727649</v>
      </c>
      <c r="R42" s="66">
        <f t="shared" si="7"/>
        <v>95.377724536402866</v>
      </c>
      <c r="S42" s="66">
        <f t="shared" si="7"/>
        <v>95.525628187168181</v>
      </c>
      <c r="T42" s="66">
        <f t="shared" si="7"/>
        <v>95.363903290381472</v>
      </c>
      <c r="U42" s="66">
        <f t="shared" si="7"/>
        <v>95.740889858406632</v>
      </c>
      <c r="V42" s="66">
        <f t="shared" si="7"/>
        <v>95.708277490302109</v>
      </c>
    </row>
    <row r="43" spans="2:22" x14ac:dyDescent="0.3">
      <c r="C43" s="169" t="s">
        <v>70</v>
      </c>
      <c r="D43" s="169"/>
      <c r="E43" s="169"/>
      <c r="F43" s="169"/>
    </row>
    <row r="45" spans="2:22" x14ac:dyDescent="0.3">
      <c r="C45" s="68" t="s">
        <v>71</v>
      </c>
      <c r="D45" s="57">
        <v>441.01714285714286</v>
      </c>
      <c r="E45" s="57">
        <v>442.79310344827587</v>
      </c>
      <c r="F45" s="57">
        <v>441.06666666666666</v>
      </c>
      <c r="G45" s="13">
        <v>441.57491289198606</v>
      </c>
      <c r="H45" s="57">
        <v>438.02771362586606</v>
      </c>
      <c r="I45" s="57">
        <v>437.99575371549895</v>
      </c>
      <c r="J45" s="57">
        <v>438.04803493449782</v>
      </c>
      <c r="K45" s="13">
        <v>438.02349486049928</v>
      </c>
      <c r="L45" s="14">
        <v>439.64780876494024</v>
      </c>
      <c r="M45" s="57">
        <v>447.94607843137254</v>
      </c>
      <c r="N45" s="57">
        <v>438.04803493449782</v>
      </c>
      <c r="O45" s="57">
        <v>437.92016806722688</v>
      </c>
      <c r="P45" s="13">
        <v>441.01192250372577</v>
      </c>
      <c r="Q45" s="57">
        <v>438.60986547085201</v>
      </c>
      <c r="R45" s="57">
        <v>437.87264150943395</v>
      </c>
      <c r="S45" s="57">
        <v>438.03347280334731</v>
      </c>
      <c r="T45" s="13">
        <v>438.17359050445106</v>
      </c>
      <c r="U45" s="14">
        <v>439.58959107806692</v>
      </c>
      <c r="V45" s="15">
        <v>439.61769230769232</v>
      </c>
    </row>
    <row r="46" spans="2:22" x14ac:dyDescent="0.3">
      <c r="C46" s="68" t="s">
        <v>72</v>
      </c>
      <c r="D46" s="57">
        <v>17.69142857142857</v>
      </c>
      <c r="E46" s="57">
        <v>17.103448275862068</v>
      </c>
      <c r="F46" s="57">
        <v>18</v>
      </c>
      <c r="G46" s="13">
        <v>17.634146341463413</v>
      </c>
      <c r="H46" s="57">
        <v>17.519630484988454</v>
      </c>
      <c r="I46" s="57">
        <v>18</v>
      </c>
      <c r="J46" s="57">
        <v>18</v>
      </c>
      <c r="K46" s="13">
        <v>17.847283406754773</v>
      </c>
      <c r="L46" s="14">
        <v>17.74980079681275</v>
      </c>
      <c r="M46" s="57">
        <v>17.411764705882351</v>
      </c>
      <c r="N46" s="57">
        <v>18</v>
      </c>
      <c r="O46" s="57">
        <v>18</v>
      </c>
      <c r="P46" s="13">
        <v>17.821162444113263</v>
      </c>
      <c r="Q46" s="57">
        <v>17.497757847533631</v>
      </c>
      <c r="R46" s="57">
        <v>18</v>
      </c>
      <c r="S46" s="57">
        <v>18</v>
      </c>
      <c r="T46" s="13">
        <v>17.833827893175073</v>
      </c>
      <c r="U46" s="14">
        <v>17.827509293680297</v>
      </c>
      <c r="V46" s="15">
        <v>17.79</v>
      </c>
    </row>
    <row r="47" spans="2:22" x14ac:dyDescent="0.3">
      <c r="C47" s="68" t="s">
        <v>73</v>
      </c>
      <c r="D47" s="57">
        <v>76.434285714285721</v>
      </c>
      <c r="E47" s="57">
        <v>75.103448275862064</v>
      </c>
      <c r="F47" s="57">
        <v>75.106666666666669</v>
      </c>
      <c r="G47" s="13">
        <v>75.51045296167247</v>
      </c>
      <c r="H47" s="57">
        <v>79.448036951501152</v>
      </c>
      <c r="I47" s="57">
        <v>78.477707006369428</v>
      </c>
      <c r="J47" s="57">
        <v>78.419213973799131</v>
      </c>
      <c r="K47" s="13">
        <v>78.766519823788542</v>
      </c>
      <c r="L47" s="14">
        <v>77.277290836653393</v>
      </c>
      <c r="M47" s="57">
        <v>70.343137254901961</v>
      </c>
      <c r="N47" s="57">
        <v>78.807860262008731</v>
      </c>
      <c r="O47" s="57">
        <v>78.941176470588232</v>
      </c>
      <c r="P47" s="13">
        <v>76.281669150521608</v>
      </c>
      <c r="Q47" s="57">
        <v>79.313901345291484</v>
      </c>
      <c r="R47" s="57">
        <v>78.990566037735846</v>
      </c>
      <c r="S47" s="57">
        <v>78.824267782426773</v>
      </c>
      <c r="T47" s="13">
        <v>79.038575667655792</v>
      </c>
      <c r="U47" s="14">
        <v>77.663197026022303</v>
      </c>
      <c r="V47" s="15">
        <v>77.476923076923072</v>
      </c>
    </row>
    <row r="48" spans="2:22" x14ac:dyDescent="0.3">
      <c r="C48" s="68" t="s">
        <v>74</v>
      </c>
      <c r="D48" s="57">
        <v>535.14285714285711</v>
      </c>
      <c r="E48" s="57">
        <v>535</v>
      </c>
      <c r="F48" s="57">
        <v>534.17333333333329</v>
      </c>
      <c r="G48" s="13">
        <v>534.71951219512198</v>
      </c>
      <c r="H48" s="57">
        <v>534.9953810623557</v>
      </c>
      <c r="I48" s="57">
        <v>534.47346072186838</v>
      </c>
      <c r="J48" s="57">
        <v>534.46724890829694</v>
      </c>
      <c r="K48" s="13">
        <v>534.63729809104257</v>
      </c>
      <c r="L48" s="14">
        <v>534.67490039840641</v>
      </c>
      <c r="M48" s="57">
        <v>535.70098039215691</v>
      </c>
      <c r="N48" s="57">
        <v>534.85589519650659</v>
      </c>
      <c r="O48" s="57">
        <v>534.86134453781506</v>
      </c>
      <c r="P48" s="13">
        <v>535.11475409836066</v>
      </c>
      <c r="Q48" s="57">
        <v>535.42152466367713</v>
      </c>
      <c r="R48" s="57">
        <v>534.86320754716985</v>
      </c>
      <c r="S48" s="57">
        <v>534.85774058577408</v>
      </c>
      <c r="T48" s="13">
        <v>535.04599406528189</v>
      </c>
      <c r="U48" s="14">
        <v>535.08029739776953</v>
      </c>
      <c r="V48" s="15">
        <v>534.88461538461536</v>
      </c>
    </row>
    <row r="51" spans="3:24" hidden="1" x14ac:dyDescent="0.3">
      <c r="C51" s="11" t="s">
        <v>75</v>
      </c>
      <c r="D51" s="57">
        <v>116.20344999999999</v>
      </c>
      <c r="E51" s="57">
        <v>120.34562649999999</v>
      </c>
      <c r="F51" s="57">
        <v>116.19820999999997</v>
      </c>
      <c r="G51" s="13">
        <v>352.74728649999997</v>
      </c>
      <c r="H51" s="57">
        <v>116.47462149999998</v>
      </c>
      <c r="I51" s="57">
        <v>114.84960499999998</v>
      </c>
      <c r="J51" s="57">
        <v>111.25230999999997</v>
      </c>
      <c r="K51" s="13">
        <v>342.57653649999992</v>
      </c>
      <c r="L51" s="14">
        <v>695.32382299999995</v>
      </c>
      <c r="M51" s="57">
        <v>114.889951</v>
      </c>
      <c r="N51" s="57">
        <v>114.72525999999996</v>
      </c>
      <c r="O51" s="57">
        <v>120.04719149999998</v>
      </c>
      <c r="P51" s="13">
        <v>349.66240249999993</v>
      </c>
      <c r="Q51" s="57">
        <v>120.08349299999999</v>
      </c>
      <c r="R51" s="57">
        <v>108.67947799999999</v>
      </c>
      <c r="S51" s="57">
        <v>120.18831999999999</v>
      </c>
      <c r="T51" s="13">
        <v>348.95129099999997</v>
      </c>
      <c r="U51" s="14">
        <v>698.61369349999995</v>
      </c>
      <c r="V51" s="51">
        <v>1393.9375164999999</v>
      </c>
    </row>
    <row r="52" spans="3:24" hidden="1" x14ac:dyDescent="0.3">
      <c r="C52" s="68" t="s">
        <v>76</v>
      </c>
      <c r="D52" s="69">
        <v>77.180000000000007</v>
      </c>
      <c r="E52" s="69">
        <v>77.05</v>
      </c>
      <c r="F52" s="5">
        <v>99.24</v>
      </c>
      <c r="G52" s="13">
        <v>254.47000000000003</v>
      </c>
      <c r="H52" s="5">
        <v>94.83</v>
      </c>
      <c r="I52" s="5">
        <v>103.15</v>
      </c>
      <c r="J52" s="5">
        <v>100.31</v>
      </c>
      <c r="K52" s="13">
        <v>298.29000000000002</v>
      </c>
      <c r="L52" s="14">
        <v>552.76</v>
      </c>
      <c r="M52" s="5">
        <v>91.38</v>
      </c>
      <c r="N52" s="5">
        <v>100.31</v>
      </c>
      <c r="O52" s="5">
        <v>104.23</v>
      </c>
      <c r="P52" s="13">
        <v>295.92</v>
      </c>
      <c r="Q52" s="5">
        <v>97.81</v>
      </c>
      <c r="R52" s="5">
        <v>92.83</v>
      </c>
      <c r="S52" s="5">
        <v>104.69</v>
      </c>
      <c r="T52" s="13">
        <v>295.33</v>
      </c>
      <c r="U52" s="14">
        <v>591.25</v>
      </c>
      <c r="V52" s="15">
        <v>1144.01</v>
      </c>
    </row>
    <row r="53" spans="3:24" hidden="1" x14ac:dyDescent="0.3">
      <c r="C53" s="68" t="s">
        <v>77</v>
      </c>
      <c r="D53" s="5">
        <v>87.704545454545467</v>
      </c>
      <c r="E53" s="5">
        <v>87.556818181818173</v>
      </c>
      <c r="F53" s="5">
        <v>112.77272727272727</v>
      </c>
      <c r="G53" s="13">
        <v>288.03409090909088</v>
      </c>
      <c r="H53" s="5">
        <v>107.76136363636364</v>
      </c>
      <c r="I53" s="5">
        <v>117.21590909090909</v>
      </c>
      <c r="J53" s="5">
        <v>113.98863636363636</v>
      </c>
      <c r="K53" s="13">
        <v>338.96590909090912</v>
      </c>
      <c r="L53" s="14">
        <v>627</v>
      </c>
      <c r="M53" s="5">
        <v>104.44090909090907</v>
      </c>
      <c r="N53" s="5">
        <v>113.98863636363636</v>
      </c>
      <c r="O53" s="5">
        <v>119.04318181818182</v>
      </c>
      <c r="P53" s="13">
        <v>337.47272727272724</v>
      </c>
      <c r="Q53" s="5">
        <v>111.14772727272728</v>
      </c>
      <c r="R53" s="5">
        <v>105.48863636363636</v>
      </c>
      <c r="S53" s="5">
        <v>118.96590909090909</v>
      </c>
      <c r="T53" s="13">
        <v>335.60227272727275</v>
      </c>
      <c r="U53" s="14">
        <v>673.07500000000005</v>
      </c>
      <c r="V53" s="15">
        <v>1300.075</v>
      </c>
    </row>
    <row r="54" spans="3:24" hidden="1" x14ac:dyDescent="0.3">
      <c r="C54" s="70" t="s">
        <v>78</v>
      </c>
      <c r="D54" s="71">
        <v>28.498904545454522</v>
      </c>
      <c r="E54" s="71">
        <v>32.788808318181822</v>
      </c>
      <c r="F54" s="71">
        <v>3.4254827272727084</v>
      </c>
      <c r="G54" s="32">
        <v>64.713195590909095</v>
      </c>
      <c r="H54" s="71">
        <v>8.7132578636363434</v>
      </c>
      <c r="I54" s="71">
        <v>-2.3663040909091109</v>
      </c>
      <c r="J54" s="71">
        <v>-2.7363263636363939</v>
      </c>
      <c r="K54" s="32">
        <v>3.6106274090907959</v>
      </c>
      <c r="L54" s="35">
        <v>68.323822999999948</v>
      </c>
      <c r="M54" s="71">
        <v>10.449041909090923</v>
      </c>
      <c r="N54" s="71">
        <v>0.7366236363636034</v>
      </c>
      <c r="O54" s="71">
        <v>1.004009681818161</v>
      </c>
      <c r="P54" s="32">
        <v>12.189675227272687</v>
      </c>
      <c r="Q54" s="71">
        <v>8.9357657272727096</v>
      </c>
      <c r="R54" s="71">
        <v>3.1908416363636292</v>
      </c>
      <c r="S54" s="71">
        <v>1.2224109090908968</v>
      </c>
      <c r="T54" s="32">
        <v>13.349018272727221</v>
      </c>
      <c r="U54" s="35">
        <v>25.538693499999908</v>
      </c>
      <c r="V54" s="72">
        <v>93.862516499999856</v>
      </c>
      <c r="X54" s="47"/>
    </row>
    <row r="55" spans="3:24" hidden="1" x14ac:dyDescent="0.3">
      <c r="C55" s="70" t="s">
        <v>79</v>
      </c>
      <c r="D55" s="73">
        <v>29.99884688995213</v>
      </c>
      <c r="E55" s="73">
        <v>34.514535071770339</v>
      </c>
      <c r="F55" s="73">
        <v>3.605771291866009</v>
      </c>
      <c r="G55" s="32">
        <v>68.119153253588522</v>
      </c>
      <c r="H55" s="73">
        <v>9.1718503827750979</v>
      </c>
      <c r="I55" s="73">
        <v>-2.4908464114832749</v>
      </c>
      <c r="J55" s="73">
        <v>-2.8803435406698883</v>
      </c>
      <c r="K55" s="32">
        <v>3.8006604306218907</v>
      </c>
      <c r="L55" s="35">
        <v>71.919813684210467</v>
      </c>
      <c r="M55" s="73">
        <v>10.998991483253603</v>
      </c>
      <c r="N55" s="73">
        <v>0.775393301435372</v>
      </c>
      <c r="O55" s="73">
        <v>1.0568522966506959</v>
      </c>
      <c r="P55" s="32">
        <v>12.831237081339671</v>
      </c>
      <c r="Q55" s="73">
        <v>9.4060691866028527</v>
      </c>
      <c r="R55" s="73">
        <v>3.358780669856452</v>
      </c>
      <c r="S55" s="73">
        <v>1.2867483253588388</v>
      </c>
      <c r="T55" s="32">
        <v>14.051598181818129</v>
      </c>
      <c r="U55" s="35">
        <v>26.882835263157801</v>
      </c>
      <c r="V55" s="72">
        <v>98.802648947368269</v>
      </c>
    </row>
    <row r="56" spans="3:24" hidden="1" x14ac:dyDescent="0.3"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</row>
    <row r="57" spans="3:24" hidden="1" x14ac:dyDescent="0.3"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</row>
    <row r="58" spans="3:24" hidden="1" x14ac:dyDescent="0.3">
      <c r="C58" s="56" t="s">
        <v>80</v>
      </c>
      <c r="D58" s="57">
        <v>24.408602150537632</v>
      </c>
      <c r="E58" s="57">
        <v>0.553763440860223</v>
      </c>
      <c r="F58" s="57">
        <v>22.77956989247312</v>
      </c>
      <c r="G58" s="13">
        <v>47.741935483870975</v>
      </c>
      <c r="H58" s="57">
        <v>18.553763440860223</v>
      </c>
      <c r="I58" s="57">
        <v>26.553763440860223</v>
      </c>
      <c r="J58" s="57">
        <v>28.77956989247312</v>
      </c>
      <c r="K58" s="13">
        <v>73.887096774193566</v>
      </c>
      <c r="L58" s="14">
        <v>121.62903225806454</v>
      </c>
      <c r="M58" s="57">
        <v>4.053763440860223</v>
      </c>
      <c r="N58" s="57">
        <v>45.408602150537632</v>
      </c>
      <c r="O58" s="57">
        <v>30.053763440860223</v>
      </c>
      <c r="P58" s="13">
        <v>79.516129032258078</v>
      </c>
      <c r="Q58" s="57">
        <v>11.978494623655919</v>
      </c>
      <c r="R58" s="57">
        <v>20.855913978494623</v>
      </c>
      <c r="S58" s="57">
        <v>27.478494623655919</v>
      </c>
      <c r="T58" s="13">
        <v>60.312903225806465</v>
      </c>
      <c r="U58" s="14">
        <v>139.82903225806456</v>
      </c>
      <c r="V58" s="51">
        <v>261.45806451612907</v>
      </c>
    </row>
    <row r="59" spans="3:24" hidden="1" x14ac:dyDescent="0.3">
      <c r="C59" s="56" t="s">
        <v>81</v>
      </c>
      <c r="D59" s="57">
        <v>18.408602150537632</v>
      </c>
      <c r="E59" s="57">
        <v>0.553763440860223</v>
      </c>
      <c r="F59" s="57">
        <v>16.77956989247312</v>
      </c>
      <c r="G59" s="13">
        <v>35.741935483870975</v>
      </c>
      <c r="H59" s="57">
        <v>8.553763440860223</v>
      </c>
      <c r="I59" s="57">
        <v>19.553763440860223</v>
      </c>
      <c r="J59" s="57">
        <v>21.77956989247312</v>
      </c>
      <c r="K59" s="13">
        <v>49.887096774193566</v>
      </c>
      <c r="L59" s="14">
        <v>85.629032258064541</v>
      </c>
      <c r="M59" s="57">
        <v>3.053763440860223</v>
      </c>
      <c r="N59" s="57">
        <v>34.408602150537632</v>
      </c>
      <c r="O59" s="57">
        <v>22.053763440860223</v>
      </c>
      <c r="P59" s="13">
        <v>59.516129032258078</v>
      </c>
      <c r="Q59" s="57">
        <v>8.9784946236559193</v>
      </c>
      <c r="R59" s="57">
        <v>15.855913978494623</v>
      </c>
      <c r="S59" s="57">
        <v>20.478494623655919</v>
      </c>
      <c r="T59" s="13">
        <v>45.312903225806465</v>
      </c>
      <c r="U59" s="14">
        <v>104.82903225806454</v>
      </c>
      <c r="V59" s="51">
        <v>190.45806451612907</v>
      </c>
    </row>
    <row r="60" spans="3:24" hidden="1" x14ac:dyDescent="0.3">
      <c r="C60" s="56" t="s">
        <v>82</v>
      </c>
      <c r="D60" s="57">
        <v>6</v>
      </c>
      <c r="E60" s="57">
        <v>0</v>
      </c>
      <c r="F60" s="57">
        <v>6</v>
      </c>
      <c r="G60" s="13">
        <v>12</v>
      </c>
      <c r="H60" s="57">
        <v>10</v>
      </c>
      <c r="I60" s="57">
        <v>7</v>
      </c>
      <c r="J60" s="57">
        <v>7</v>
      </c>
      <c r="K60" s="13">
        <v>24</v>
      </c>
      <c r="L60" s="14">
        <v>36</v>
      </c>
      <c r="M60" s="57">
        <v>1</v>
      </c>
      <c r="N60" s="57">
        <v>11</v>
      </c>
      <c r="O60" s="57">
        <v>8</v>
      </c>
      <c r="P60" s="13">
        <v>20</v>
      </c>
      <c r="Q60" s="57">
        <v>3</v>
      </c>
      <c r="R60" s="57">
        <v>5</v>
      </c>
      <c r="S60" s="57">
        <v>7</v>
      </c>
      <c r="T60" s="13">
        <v>15</v>
      </c>
      <c r="U60" s="14">
        <v>35</v>
      </c>
      <c r="V60" s="51">
        <v>71</v>
      </c>
    </row>
  </sheetData>
  <mergeCells count="3">
    <mergeCell ref="B1:V2"/>
    <mergeCell ref="U3:V4"/>
    <mergeCell ref="C43:F4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G37"/>
  <sheetViews>
    <sheetView topLeftCell="A13" workbookViewId="0">
      <selection activeCell="C32" sqref="C32"/>
    </sheetView>
  </sheetViews>
  <sheetFormatPr defaultColWidth="9.109375" defaultRowHeight="13.8" x14ac:dyDescent="0.3"/>
  <cols>
    <col min="1" max="1" width="2.88671875" style="76" customWidth="1"/>
    <col min="2" max="2" width="25.33203125" style="75" customWidth="1"/>
    <col min="3" max="3" width="36.5546875" style="76" customWidth="1"/>
    <col min="4" max="4" width="16.109375" style="77" customWidth="1"/>
    <col min="5" max="5" width="16.33203125" style="77" customWidth="1"/>
    <col min="6" max="6" width="17.5546875" style="76" hidden="1" customWidth="1"/>
    <col min="7" max="7" width="18" style="76" hidden="1" customWidth="1"/>
    <col min="8" max="16384" width="9.109375" style="76"/>
  </cols>
  <sheetData>
    <row r="1" spans="2:7" ht="14.4" thickBot="1" x14ac:dyDescent="0.35"/>
    <row r="2" spans="2:7" ht="14.25" customHeight="1" x14ac:dyDescent="0.3">
      <c r="B2" s="141" t="s">
        <v>83</v>
      </c>
      <c r="C2" s="142"/>
      <c r="D2" s="142"/>
      <c r="E2" s="143"/>
      <c r="F2" s="78"/>
      <c r="G2" s="79"/>
    </row>
    <row r="3" spans="2:7" ht="15" customHeight="1" thickBot="1" x14ac:dyDescent="0.35">
      <c r="B3" s="144"/>
      <c r="C3" s="145"/>
      <c r="D3" s="145"/>
      <c r="E3" s="146"/>
      <c r="F3" s="80"/>
      <c r="G3" s="81"/>
    </row>
    <row r="5" spans="2:7" ht="11.25" customHeight="1" x14ac:dyDescent="0.3"/>
    <row r="6" spans="2:7" ht="15.6" x14ac:dyDescent="0.3">
      <c r="B6" s="147" t="s">
        <v>84</v>
      </c>
      <c r="C6" s="149" t="s">
        <v>85</v>
      </c>
      <c r="D6" s="150" t="s">
        <v>86</v>
      </c>
      <c r="E6" s="150"/>
      <c r="F6" s="150" t="s">
        <v>87</v>
      </c>
      <c r="G6" s="150"/>
    </row>
    <row r="7" spans="2:7" ht="31.2" x14ac:dyDescent="0.3">
      <c r="B7" s="148"/>
      <c r="C7" s="150"/>
      <c r="D7" s="82" t="s">
        <v>88</v>
      </c>
      <c r="E7" s="83" t="s">
        <v>89</v>
      </c>
      <c r="F7" s="82" t="s">
        <v>88</v>
      </c>
      <c r="G7" s="83" t="s">
        <v>90</v>
      </c>
    </row>
    <row r="8" spans="2:7" ht="20.100000000000001" customHeight="1" x14ac:dyDescent="0.3">
      <c r="B8" s="151" t="s">
        <v>91</v>
      </c>
      <c r="C8" s="84" t="s">
        <v>92</v>
      </c>
      <c r="D8" s="152" t="s">
        <v>93</v>
      </c>
      <c r="E8" s="155">
        <v>10</v>
      </c>
      <c r="F8" s="152"/>
      <c r="G8" s="158"/>
    </row>
    <row r="9" spans="2:7" ht="20.100000000000001" customHeight="1" x14ac:dyDescent="0.3">
      <c r="B9" s="151"/>
      <c r="C9" s="84" t="s">
        <v>94</v>
      </c>
      <c r="D9" s="153"/>
      <c r="E9" s="156"/>
      <c r="F9" s="153"/>
      <c r="G9" s="159"/>
    </row>
    <row r="10" spans="2:7" ht="20.100000000000001" customHeight="1" x14ac:dyDescent="0.3">
      <c r="B10" s="151"/>
      <c r="C10" s="84" t="s">
        <v>95</v>
      </c>
      <c r="D10" s="154"/>
      <c r="E10" s="157"/>
      <c r="F10" s="154"/>
      <c r="G10" s="160"/>
    </row>
    <row r="11" spans="2:7" ht="20.100000000000001" customHeight="1" x14ac:dyDescent="0.3">
      <c r="B11" s="85" t="s">
        <v>96</v>
      </c>
      <c r="C11" s="86" t="s">
        <v>97</v>
      </c>
      <c r="D11" s="87" t="s">
        <v>98</v>
      </c>
      <c r="E11" s="88">
        <v>30</v>
      </c>
      <c r="F11" s="89"/>
      <c r="G11" s="90"/>
    </row>
    <row r="12" spans="2:7" ht="20.100000000000001" customHeight="1" x14ac:dyDescent="0.3">
      <c r="B12" s="86" t="s">
        <v>99</v>
      </c>
      <c r="C12" s="84" t="s">
        <v>100</v>
      </c>
      <c r="D12" s="87" t="s">
        <v>98</v>
      </c>
      <c r="E12" s="91" t="s">
        <v>101</v>
      </c>
      <c r="F12" s="89"/>
      <c r="G12" s="92"/>
    </row>
    <row r="13" spans="2:7" ht="20.100000000000001" customHeight="1" x14ac:dyDescent="0.3">
      <c r="B13" s="138" t="s">
        <v>102</v>
      </c>
      <c r="C13" s="84" t="s">
        <v>103</v>
      </c>
      <c r="D13" s="93" t="s">
        <v>93</v>
      </c>
      <c r="E13" s="91" t="s">
        <v>104</v>
      </c>
      <c r="F13" s="89"/>
      <c r="G13" s="92"/>
    </row>
    <row r="14" spans="2:7" ht="20.100000000000001" customHeight="1" x14ac:dyDescent="0.3">
      <c r="B14" s="139"/>
      <c r="C14" s="84" t="s">
        <v>103</v>
      </c>
      <c r="D14" s="93" t="s">
        <v>105</v>
      </c>
      <c r="E14" s="91" t="s">
        <v>106</v>
      </c>
      <c r="F14" s="94"/>
      <c r="G14" s="95"/>
    </row>
    <row r="15" spans="2:7" ht="20.100000000000001" customHeight="1" x14ac:dyDescent="0.3">
      <c r="B15" s="86" t="s">
        <v>107</v>
      </c>
      <c r="C15" s="84" t="s">
        <v>108</v>
      </c>
      <c r="D15" s="93" t="s">
        <v>109</v>
      </c>
      <c r="E15" s="91" t="s">
        <v>110</v>
      </c>
      <c r="F15" s="94"/>
      <c r="G15" s="95"/>
    </row>
    <row r="16" spans="2:7" ht="20.100000000000001" customHeight="1" x14ac:dyDescent="0.3">
      <c r="B16" s="96" t="s">
        <v>111</v>
      </c>
      <c r="C16" s="84" t="s">
        <v>112</v>
      </c>
      <c r="D16" s="91" t="s">
        <v>109</v>
      </c>
      <c r="E16" s="91">
        <v>7</v>
      </c>
      <c r="F16" s="95"/>
      <c r="G16" s="92"/>
    </row>
    <row r="17" spans="2:7" ht="20.100000000000001" customHeight="1" x14ac:dyDescent="0.3">
      <c r="B17" s="97" t="s">
        <v>113</v>
      </c>
      <c r="C17" s="84" t="s">
        <v>114</v>
      </c>
      <c r="D17" s="87" t="s">
        <v>115</v>
      </c>
      <c r="E17" s="98">
        <v>18</v>
      </c>
      <c r="F17" s="95"/>
      <c r="G17" s="92"/>
    </row>
    <row r="18" spans="2:7" ht="20.100000000000001" customHeight="1" x14ac:dyDescent="0.3">
      <c r="B18" s="97" t="s">
        <v>116</v>
      </c>
      <c r="C18" s="84" t="s">
        <v>112</v>
      </c>
      <c r="D18" s="93" t="s">
        <v>117</v>
      </c>
      <c r="E18" s="91">
        <v>7</v>
      </c>
      <c r="F18" s="99"/>
      <c r="G18" s="100"/>
    </row>
    <row r="19" spans="2:7" ht="20.100000000000001" customHeight="1" x14ac:dyDescent="0.3">
      <c r="B19" s="85" t="s">
        <v>118</v>
      </c>
      <c r="C19" s="86" t="s">
        <v>119</v>
      </c>
      <c r="D19" s="87" t="s">
        <v>93</v>
      </c>
      <c r="E19" s="91">
        <v>6</v>
      </c>
      <c r="F19" s="99"/>
      <c r="G19" s="100"/>
    </row>
    <row r="20" spans="2:7" ht="20.100000000000001" customHeight="1" x14ac:dyDescent="0.3">
      <c r="B20" s="85" t="s">
        <v>120</v>
      </c>
      <c r="C20" s="86" t="s">
        <v>119</v>
      </c>
      <c r="D20" s="93" t="s">
        <v>115</v>
      </c>
      <c r="E20" s="91">
        <v>6</v>
      </c>
      <c r="F20" s="89"/>
      <c r="G20" s="101"/>
    </row>
    <row r="21" spans="2:7" ht="20.100000000000001" customHeight="1" x14ac:dyDescent="0.3">
      <c r="B21" s="85" t="s">
        <v>121</v>
      </c>
      <c r="C21" s="86" t="s">
        <v>122</v>
      </c>
      <c r="D21" s="91" t="s">
        <v>117</v>
      </c>
      <c r="E21" s="91">
        <v>7</v>
      </c>
      <c r="F21" s="99"/>
      <c r="G21" s="102"/>
    </row>
    <row r="22" spans="2:7" ht="20.100000000000001" customHeight="1" x14ac:dyDescent="0.3">
      <c r="B22" s="85" t="s">
        <v>123</v>
      </c>
      <c r="C22" s="86" t="s">
        <v>124</v>
      </c>
      <c r="D22" s="87" t="s">
        <v>115</v>
      </c>
      <c r="E22" s="88">
        <v>7</v>
      </c>
      <c r="F22" s="99"/>
      <c r="G22" s="102"/>
    </row>
    <row r="23" spans="2:7" ht="20.100000000000001" customHeight="1" x14ac:dyDescent="0.3">
      <c r="B23" s="89" t="s">
        <v>125</v>
      </c>
      <c r="C23" s="86" t="s">
        <v>122</v>
      </c>
      <c r="D23" s="87" t="s">
        <v>98</v>
      </c>
      <c r="E23" s="88">
        <v>45</v>
      </c>
      <c r="F23" s="99"/>
      <c r="G23" s="102"/>
    </row>
    <row r="24" spans="2:7" ht="20.100000000000001" customHeight="1" x14ac:dyDescent="0.3">
      <c r="B24" s="89" t="s">
        <v>126</v>
      </c>
      <c r="C24" s="86" t="s">
        <v>122</v>
      </c>
      <c r="D24" s="87" t="s">
        <v>98</v>
      </c>
      <c r="E24" s="88">
        <v>30</v>
      </c>
      <c r="F24" s="99"/>
      <c r="G24" s="102"/>
    </row>
    <row r="25" spans="2:7" ht="20.100000000000001" customHeight="1" x14ac:dyDescent="0.3">
      <c r="B25" s="89" t="s">
        <v>127</v>
      </c>
      <c r="C25" s="86" t="s">
        <v>122</v>
      </c>
      <c r="D25" s="91" t="s">
        <v>93</v>
      </c>
      <c r="E25" s="88">
        <v>30</v>
      </c>
      <c r="F25" s="99"/>
      <c r="G25" s="95"/>
    </row>
    <row r="26" spans="2:7" ht="20.100000000000001" customHeight="1" x14ac:dyDescent="0.3">
      <c r="B26" s="85" t="s">
        <v>128</v>
      </c>
      <c r="C26" s="86" t="s">
        <v>119</v>
      </c>
      <c r="D26" s="91" t="s">
        <v>115</v>
      </c>
      <c r="E26" s="91">
        <v>10</v>
      </c>
      <c r="F26" s="99"/>
      <c r="G26" s="95"/>
    </row>
    <row r="27" spans="2:7" ht="20.100000000000001" customHeight="1" x14ac:dyDescent="0.3">
      <c r="B27" s="103" t="s">
        <v>129</v>
      </c>
      <c r="C27" s="84" t="s">
        <v>130</v>
      </c>
      <c r="D27" s="87" t="s">
        <v>115</v>
      </c>
      <c r="E27" s="88">
        <v>6</v>
      </c>
      <c r="F27" s="99"/>
      <c r="G27" s="95"/>
    </row>
    <row r="28" spans="2:7" ht="20.100000000000001" customHeight="1" x14ac:dyDescent="0.3">
      <c r="B28" s="104"/>
      <c r="C28" s="84" t="s">
        <v>130</v>
      </c>
      <c r="D28" s="91" t="s">
        <v>131</v>
      </c>
      <c r="E28" s="91">
        <v>6</v>
      </c>
      <c r="F28" s="105"/>
      <c r="G28" s="95"/>
    </row>
    <row r="29" spans="2:7" ht="20.100000000000001" customHeight="1" x14ac:dyDescent="0.3">
      <c r="B29" s="86" t="s">
        <v>132</v>
      </c>
      <c r="C29" s="84" t="s">
        <v>124</v>
      </c>
      <c r="D29" s="87" t="s">
        <v>133</v>
      </c>
      <c r="E29" s="98">
        <v>60</v>
      </c>
      <c r="F29" s="95"/>
      <c r="G29" s="102"/>
    </row>
    <row r="30" spans="2:7" ht="10.5" customHeight="1" x14ac:dyDescent="0.3">
      <c r="B30" s="106"/>
      <c r="C30" s="106"/>
      <c r="D30" s="106"/>
      <c r="E30" s="106"/>
      <c r="F30" s="106"/>
      <c r="G30" s="107"/>
    </row>
    <row r="31" spans="2:7" ht="14.4" x14ac:dyDescent="0.3">
      <c r="B31" s="108" t="s">
        <v>134</v>
      </c>
      <c r="C31" s="106"/>
      <c r="D31" s="106"/>
      <c r="E31" s="106"/>
      <c r="F31" s="106"/>
      <c r="G31" s="106"/>
    </row>
    <row r="37" spans="2:7" x14ac:dyDescent="0.3">
      <c r="B37" s="140"/>
      <c r="C37" s="140"/>
      <c r="D37" s="140"/>
      <c r="E37" s="140"/>
      <c r="F37" s="140"/>
      <c r="G37" s="140"/>
    </row>
  </sheetData>
  <mergeCells count="12">
    <mergeCell ref="B13:B14"/>
    <mergeCell ref="B37:G37"/>
    <mergeCell ref="B2:E3"/>
    <mergeCell ref="B6:B7"/>
    <mergeCell ref="C6:C7"/>
    <mergeCell ref="D6:E6"/>
    <mergeCell ref="F6:G6"/>
    <mergeCell ref="B8:B10"/>
    <mergeCell ref="D8:D10"/>
    <mergeCell ref="E8:E10"/>
    <mergeCell ref="F8:F10"/>
    <mergeCell ref="G8:G10"/>
  </mergeCells>
  <printOptions horizontalCentered="1" verticalCentered="1"/>
  <pageMargins left="0" right="0" top="0.74803149606299213" bottom="0.74803149606299213" header="0.31496062992125984" footer="0.31496062992125984"/>
  <pageSetup paperSize="9" scale="74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D43"/>
  <sheetViews>
    <sheetView zoomScale="60" zoomScaleNormal="60" workbookViewId="0">
      <selection activeCell="C28" sqref="C28"/>
    </sheetView>
  </sheetViews>
  <sheetFormatPr defaultRowHeight="14.4" x14ac:dyDescent="0.3"/>
  <cols>
    <col min="2" max="2" width="8.88671875" style="109"/>
    <col min="3" max="3" width="85.6640625" customWidth="1"/>
    <col min="4" max="4" width="41.6640625" customWidth="1"/>
  </cols>
  <sheetData>
    <row r="1" spans="2:4" ht="15" thickBot="1" x14ac:dyDescent="0.35"/>
    <row r="2" spans="2:4" ht="15" customHeight="1" x14ac:dyDescent="0.3">
      <c r="B2" s="170" t="s">
        <v>138</v>
      </c>
      <c r="C2" s="171"/>
      <c r="D2" s="172"/>
    </row>
    <row r="3" spans="2:4" ht="15" customHeight="1" x14ac:dyDescent="0.3">
      <c r="B3" s="173"/>
      <c r="C3" s="174"/>
      <c r="D3" s="175"/>
    </row>
    <row r="4" spans="2:4" ht="15" customHeight="1" x14ac:dyDescent="0.3">
      <c r="B4" s="173"/>
      <c r="C4" s="174"/>
      <c r="D4" s="175"/>
    </row>
    <row r="5" spans="2:4" ht="15" customHeight="1" thickBot="1" x14ac:dyDescent="0.35">
      <c r="B5" s="176"/>
      <c r="C5" s="177"/>
      <c r="D5" s="178"/>
    </row>
    <row r="6" spans="2:4" ht="27.9" customHeight="1" x14ac:dyDescent="0.45">
      <c r="B6" s="120"/>
      <c r="C6" s="122" t="s">
        <v>2</v>
      </c>
      <c r="D6" s="128" t="s">
        <v>21</v>
      </c>
    </row>
    <row r="7" spans="2:4" ht="27.9" hidden="1" customHeight="1" x14ac:dyDescent="0.45">
      <c r="B7" s="117"/>
      <c r="C7" s="123"/>
      <c r="D7" s="128" t="e">
        <f>#REF!+#REF!</f>
        <v>#REF!</v>
      </c>
    </row>
    <row r="8" spans="2:4" ht="27.9" customHeight="1" x14ac:dyDescent="0.5">
      <c r="B8" s="118">
        <v>1</v>
      </c>
      <c r="C8" s="131" t="s">
        <v>137</v>
      </c>
      <c r="D8" s="128"/>
    </row>
    <row r="9" spans="2:4" ht="27.9" customHeight="1" x14ac:dyDescent="0.5">
      <c r="B9" s="119"/>
      <c r="C9" s="125" t="s">
        <v>135</v>
      </c>
      <c r="D9" s="128">
        <v>81</v>
      </c>
    </row>
    <row r="10" spans="2:4" ht="27.9" customHeight="1" x14ac:dyDescent="0.5">
      <c r="B10" s="119"/>
      <c r="C10" s="124" t="s">
        <v>140</v>
      </c>
      <c r="D10" s="128">
        <v>16.899999999999999</v>
      </c>
    </row>
    <row r="11" spans="2:4" ht="27.9" customHeight="1" x14ac:dyDescent="0.5">
      <c r="B11" s="119"/>
      <c r="C11" s="112" t="s">
        <v>141</v>
      </c>
      <c r="D11" s="128">
        <v>12</v>
      </c>
    </row>
    <row r="12" spans="2:4" ht="27.9" customHeight="1" x14ac:dyDescent="0.5">
      <c r="B12" s="119"/>
      <c r="C12" s="112" t="s">
        <v>142</v>
      </c>
      <c r="D12" s="128">
        <v>68.5</v>
      </c>
    </row>
    <row r="13" spans="2:4" ht="27.9" customHeight="1" x14ac:dyDescent="0.5">
      <c r="B13" s="120"/>
      <c r="C13" s="124" t="s">
        <v>143</v>
      </c>
      <c r="D13" s="128">
        <v>75.5</v>
      </c>
    </row>
    <row r="14" spans="2:4" ht="27.9" customHeight="1" x14ac:dyDescent="0.5">
      <c r="B14" s="117"/>
      <c r="C14" s="124"/>
      <c r="D14" s="128"/>
    </row>
    <row r="15" spans="2:4" ht="27.9" customHeight="1" x14ac:dyDescent="0.5">
      <c r="B15" s="118">
        <v>2</v>
      </c>
      <c r="C15" s="131" t="s">
        <v>139</v>
      </c>
      <c r="D15" s="128"/>
    </row>
    <row r="16" spans="2:4" ht="27.9" customHeight="1" x14ac:dyDescent="0.5">
      <c r="B16" s="119"/>
      <c r="C16" s="112" t="s">
        <v>71</v>
      </c>
      <c r="D16" s="129">
        <v>439.61769230769232</v>
      </c>
    </row>
    <row r="17" spans="2:4" ht="27.9" customHeight="1" x14ac:dyDescent="0.5">
      <c r="B17" s="119"/>
      <c r="C17" s="112" t="s">
        <v>72</v>
      </c>
      <c r="D17" s="129">
        <v>17.79</v>
      </c>
    </row>
    <row r="18" spans="2:4" ht="27.9" customHeight="1" x14ac:dyDescent="0.5">
      <c r="B18" s="119"/>
      <c r="C18" s="112" t="s">
        <v>73</v>
      </c>
      <c r="D18" s="129">
        <v>77.476923076923072</v>
      </c>
    </row>
    <row r="19" spans="2:4" ht="27.9" customHeight="1" x14ac:dyDescent="0.5">
      <c r="B19" s="119"/>
      <c r="C19" s="112" t="s">
        <v>74</v>
      </c>
      <c r="D19" s="129">
        <v>534.88461538461536</v>
      </c>
    </row>
    <row r="20" spans="2:4" ht="27.9" customHeight="1" x14ac:dyDescent="0.5">
      <c r="B20" s="119"/>
      <c r="C20" s="112" t="s">
        <v>144</v>
      </c>
      <c r="D20" s="128">
        <v>1.97</v>
      </c>
    </row>
    <row r="21" spans="2:4" ht="27.9" customHeight="1" x14ac:dyDescent="0.5">
      <c r="B21" s="120"/>
      <c r="C21" s="124" t="s">
        <v>145</v>
      </c>
      <c r="D21" s="128">
        <v>69.540000000000006</v>
      </c>
    </row>
    <row r="22" spans="2:4" ht="27.9" customHeight="1" x14ac:dyDescent="0.5">
      <c r="B22" s="117"/>
      <c r="C22" s="124"/>
      <c r="D22" s="128"/>
    </row>
    <row r="23" spans="2:4" ht="27.9" customHeight="1" x14ac:dyDescent="0.5">
      <c r="B23" s="118">
        <v>3</v>
      </c>
      <c r="C23" s="131" t="s">
        <v>136</v>
      </c>
      <c r="D23" s="128"/>
    </row>
    <row r="24" spans="2:4" ht="27.9" customHeight="1" x14ac:dyDescent="0.5">
      <c r="B24" s="119"/>
      <c r="C24" s="124" t="s">
        <v>146</v>
      </c>
      <c r="D24" s="128">
        <v>1090</v>
      </c>
    </row>
    <row r="25" spans="2:4" ht="27.9" customHeight="1" x14ac:dyDescent="0.5">
      <c r="B25" s="119"/>
      <c r="C25" s="126" t="s">
        <v>147</v>
      </c>
      <c r="D25" s="128">
        <v>1040</v>
      </c>
    </row>
    <row r="26" spans="2:4" ht="27.9" customHeight="1" x14ac:dyDescent="0.5">
      <c r="B26" s="119"/>
      <c r="C26" s="126" t="s">
        <v>148</v>
      </c>
      <c r="D26" s="128">
        <v>50</v>
      </c>
    </row>
    <row r="27" spans="2:4" ht="27.9" customHeight="1" x14ac:dyDescent="0.5">
      <c r="B27" s="120"/>
      <c r="C27" s="124" t="s">
        <v>149</v>
      </c>
      <c r="D27" s="128">
        <v>120</v>
      </c>
    </row>
    <row r="28" spans="2:4" ht="27.9" customHeight="1" x14ac:dyDescent="0.5">
      <c r="B28" s="120"/>
      <c r="C28" s="124"/>
      <c r="D28" s="128"/>
    </row>
    <row r="29" spans="2:4" ht="27.9" customHeight="1" x14ac:dyDescent="0.5">
      <c r="B29" s="120">
        <v>4</v>
      </c>
      <c r="C29" s="131" t="s">
        <v>157</v>
      </c>
      <c r="D29" s="128">
        <v>93</v>
      </c>
    </row>
    <row r="30" spans="2:4" ht="27.9" customHeight="1" x14ac:dyDescent="0.5">
      <c r="B30" s="120">
        <v>5</v>
      </c>
      <c r="C30" s="131" t="s">
        <v>158</v>
      </c>
      <c r="D30" s="128">
        <v>96.2</v>
      </c>
    </row>
    <row r="31" spans="2:4" ht="27.9" customHeight="1" x14ac:dyDescent="0.5">
      <c r="B31" s="117">
        <v>6</v>
      </c>
      <c r="C31" s="131" t="s">
        <v>159</v>
      </c>
      <c r="D31" s="128">
        <v>60</v>
      </c>
    </row>
    <row r="32" spans="2:4" ht="27.9" customHeight="1" x14ac:dyDescent="0.5">
      <c r="B32" s="117"/>
      <c r="C32" s="124"/>
      <c r="D32" s="128"/>
    </row>
    <row r="33" spans="2:4" ht="27.9" customHeight="1" x14ac:dyDescent="0.5">
      <c r="B33" s="117">
        <v>7</v>
      </c>
      <c r="C33" s="113" t="s">
        <v>150</v>
      </c>
      <c r="D33" s="128">
        <v>390.23</v>
      </c>
    </row>
    <row r="34" spans="2:4" ht="27.9" customHeight="1" x14ac:dyDescent="0.5">
      <c r="B34" s="117">
        <v>8</v>
      </c>
      <c r="C34" s="113" t="s">
        <v>151</v>
      </c>
      <c r="D34" s="128">
        <v>6.34</v>
      </c>
    </row>
    <row r="35" spans="2:4" ht="27.9" customHeight="1" x14ac:dyDescent="0.5">
      <c r="B35" s="117">
        <v>9</v>
      </c>
      <c r="C35" s="115" t="s">
        <v>155</v>
      </c>
      <c r="D35" s="128">
        <v>2.8</v>
      </c>
    </row>
    <row r="36" spans="2:4" ht="27.9" customHeight="1" x14ac:dyDescent="0.5">
      <c r="B36" s="117">
        <v>10</v>
      </c>
      <c r="C36" s="113" t="s">
        <v>152</v>
      </c>
      <c r="D36" s="128">
        <v>229.1</v>
      </c>
    </row>
    <row r="37" spans="2:4" ht="27.9" customHeight="1" x14ac:dyDescent="0.5">
      <c r="B37" s="117">
        <v>11</v>
      </c>
      <c r="C37" s="114" t="s">
        <v>153</v>
      </c>
      <c r="D37" s="128">
        <v>2.56</v>
      </c>
    </row>
    <row r="38" spans="2:4" ht="27.9" customHeight="1" thickBot="1" x14ac:dyDescent="0.55000000000000004">
      <c r="B38" s="121">
        <v>12</v>
      </c>
      <c r="C38" s="127" t="s">
        <v>154</v>
      </c>
      <c r="D38" s="130">
        <v>0.53</v>
      </c>
    </row>
    <row r="39" spans="2:4" x14ac:dyDescent="0.3">
      <c r="C39" s="110"/>
    </row>
    <row r="40" spans="2:4" x14ac:dyDescent="0.3">
      <c r="C40" s="110"/>
    </row>
    <row r="41" spans="2:4" x14ac:dyDescent="0.3">
      <c r="C41" s="111"/>
    </row>
    <row r="42" spans="2:4" x14ac:dyDescent="0.3">
      <c r="C42" s="111"/>
    </row>
    <row r="43" spans="2:4" x14ac:dyDescent="0.3">
      <c r="C43" s="111"/>
    </row>
  </sheetData>
  <mergeCells count="1">
    <mergeCell ref="B2:D5"/>
  </mergeCells>
  <printOptions horizontalCentered="1" verticalCentered="1"/>
  <pageMargins left="0" right="0" top="0.74803149606299213" bottom="0.74803149606299213" header="0.31496062992125984" footer="0.31496062992125984"/>
  <pageSetup paperSize="9" scale="5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Monthwise</vt:lpstr>
      <vt:lpstr>CRepair</vt:lpstr>
      <vt:lpstr>TE Parameter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PPCD</dc:creator>
  <cp:lastModifiedBy>Kumar Sanjay</cp:lastModifiedBy>
  <cp:lastPrinted>2026-03-28T09:52:25Z</cp:lastPrinted>
  <dcterms:created xsi:type="dcterms:W3CDTF">2026-03-28T06:12:10Z</dcterms:created>
  <dcterms:modified xsi:type="dcterms:W3CDTF">2026-06-07T10:29:25Z</dcterms:modified>
</cp:coreProperties>
</file>