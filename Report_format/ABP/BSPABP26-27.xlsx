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7C64CBB6-41FD-4282-BA06-FE3434FA7880}" xr6:coauthVersionLast="47" xr6:coauthVersionMax="47" xr10:uidLastSave="{00000000-0000-0000-0000-000000000000}"/>
  <bookViews>
    <workbookView xWindow="768" yWindow="720" windowWidth="16080" windowHeight="12240" xr2:uid="{00000000-000D-0000-FFFF-FFFF00000000}"/>
  </bookViews>
  <sheets>
    <sheet name="Table 1" sheetId="1" r:id="rId1"/>
    <sheet name="Table 2" sheetId="2" r:id="rId2"/>
    <sheet name="Table 3" sheetId="3" r:id="rId3"/>
    <sheet name="Sheet1" sheetId="4" r:id="rId4"/>
  </sheets>
  <calcPr calcId="181029"/>
</workbook>
</file>

<file path=xl/calcChain.xml><?xml version="1.0" encoding="utf-8"?>
<calcChain xmlns="http://schemas.openxmlformats.org/spreadsheetml/2006/main">
  <c r="D47" i="1" l="1"/>
  <c r="E47" i="1"/>
  <c r="F47" i="1"/>
  <c r="G47" i="1"/>
  <c r="H47" i="1"/>
  <c r="I47" i="1"/>
  <c r="J47" i="1"/>
  <c r="K47" i="1"/>
  <c r="L47" i="1"/>
  <c r="M47" i="1"/>
  <c r="N47" i="1"/>
  <c r="C47" i="1"/>
  <c r="P44" i="1"/>
  <c r="P45" i="1"/>
  <c r="P46" i="1"/>
  <c r="P47" i="1"/>
  <c r="D28" i="1"/>
  <c r="E28" i="1"/>
  <c r="F28" i="1"/>
  <c r="G28" i="1"/>
  <c r="H28" i="1"/>
  <c r="I28" i="1"/>
  <c r="J28" i="1"/>
  <c r="K28" i="1"/>
  <c r="L28" i="1"/>
  <c r="M28" i="1"/>
  <c r="N28" i="1"/>
  <c r="C28" i="1"/>
  <c r="D13" i="1"/>
  <c r="E13" i="1"/>
  <c r="F13" i="1"/>
  <c r="G13" i="1"/>
  <c r="H13" i="1"/>
  <c r="I13" i="1"/>
  <c r="J13" i="1"/>
  <c r="P13" i="1" s="1"/>
  <c r="K13" i="1"/>
  <c r="L13" i="1"/>
  <c r="M13" i="1"/>
  <c r="N13" i="1"/>
  <c r="C13" i="1"/>
  <c r="P12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11" i="1"/>
</calcChain>
</file>

<file path=xl/sharedStrings.xml><?xml version="1.0" encoding="utf-8"?>
<sst xmlns="http://schemas.openxmlformats.org/spreadsheetml/2006/main" count="240" uniqueCount="193">
  <si>
    <r>
      <rPr>
        <b/>
        <sz val="11"/>
        <rFont val="Calibri"/>
        <family val="1"/>
      </rPr>
      <t>Monthwise ABP:  (26-27)</t>
    </r>
  </si>
  <si>
    <r>
      <rPr>
        <sz val="7.5"/>
        <rFont val="Calibri"/>
        <family val="1"/>
      </rPr>
      <t>SL.</t>
    </r>
  </si>
  <si>
    <r>
      <rPr>
        <sz val="7.5"/>
        <rFont val="Calibri"/>
        <family val="1"/>
      </rPr>
      <t>NO.</t>
    </r>
  </si>
  <si>
    <r>
      <rPr>
        <sz val="7.5"/>
        <rFont val="Calibri"/>
        <family val="1"/>
      </rPr>
      <t>Av. Oven Pushing/Day(Nos) :</t>
    </r>
  </si>
  <si>
    <r>
      <rPr>
        <sz val="7.5"/>
        <rFont val="Calibri"/>
        <family val="1"/>
      </rPr>
      <t>Batts. 1-8</t>
    </r>
  </si>
  <si>
    <r>
      <rPr>
        <sz val="7.5"/>
        <rFont val="Calibri"/>
        <family val="1"/>
      </rPr>
      <t>Batt. 9 &amp; 10</t>
    </r>
  </si>
  <si>
    <r>
      <rPr>
        <sz val="7.5"/>
        <rFont val="Calibri"/>
        <family val="1"/>
      </rPr>
      <t>Batt. 11</t>
    </r>
  </si>
  <si>
    <r>
      <rPr>
        <b/>
        <sz val="7.5"/>
        <rFont val="Calibri"/>
        <family val="1"/>
      </rPr>
      <t>Eq.Oven Pushing</t>
    </r>
  </si>
  <si>
    <r>
      <rPr>
        <sz val="7.5"/>
        <rFont val="Calibri"/>
        <family val="1"/>
      </rPr>
      <t>B.F.Coke(Dry)</t>
    </r>
  </si>
  <si>
    <r>
      <rPr>
        <sz val="7.5"/>
        <rFont val="Calibri"/>
        <family val="1"/>
      </rPr>
      <t>SINTER :  SP - II</t>
    </r>
  </si>
  <si>
    <r>
      <rPr>
        <sz val="7.5"/>
        <rFont val="Calibri"/>
        <family val="1"/>
      </rPr>
      <t>:   SP - III</t>
    </r>
  </si>
  <si>
    <r>
      <rPr>
        <b/>
        <sz val="7.5"/>
        <rFont val="Calibri"/>
        <family val="1"/>
      </rPr>
      <t>SINTER    Total</t>
    </r>
  </si>
  <si>
    <r>
      <rPr>
        <b/>
        <sz val="7.5"/>
        <rFont val="Calibri"/>
        <family val="1"/>
      </rPr>
      <t>Hot Metal : BF 1-7</t>
    </r>
  </si>
  <si>
    <r>
      <rPr>
        <b/>
        <sz val="7.5"/>
        <rFont val="Calibri"/>
        <family val="1"/>
      </rPr>
      <t>: BF 8</t>
    </r>
  </si>
  <si>
    <r>
      <rPr>
        <sz val="7.5"/>
        <rFont val="Calibri"/>
        <family val="1"/>
      </rPr>
      <t>Cold Pig Iron</t>
    </r>
  </si>
  <si>
    <r>
      <rPr>
        <b/>
        <sz val="7.5"/>
        <rFont val="Calibri"/>
        <family val="1"/>
      </rPr>
      <t>Crude Steel : SMS-II</t>
    </r>
  </si>
  <si>
    <r>
      <rPr>
        <b/>
        <sz val="7.5"/>
        <rFont val="Calibri"/>
        <family val="1"/>
      </rPr>
      <t>: SMS-III</t>
    </r>
  </si>
  <si>
    <r>
      <rPr>
        <b/>
        <sz val="7.5"/>
        <rFont val="Calibri"/>
        <family val="1"/>
      </rPr>
      <t>Total</t>
    </r>
  </si>
  <si>
    <r>
      <rPr>
        <b/>
        <u/>
        <sz val="7.5"/>
        <rFont val="Calibri"/>
        <family val="1"/>
      </rPr>
      <t>SMS-II</t>
    </r>
  </si>
  <si>
    <r>
      <rPr>
        <sz val="7.5"/>
        <rFont val="Calibri"/>
        <family val="1"/>
      </rPr>
      <t>Cast Blooms</t>
    </r>
  </si>
  <si>
    <r>
      <rPr>
        <sz val="7.5"/>
        <rFont val="Calibri"/>
        <family val="1"/>
      </rPr>
      <t>Cast Slabs</t>
    </r>
  </si>
  <si>
    <r>
      <rPr>
        <sz val="7.5"/>
        <rFont val="Calibri"/>
        <family val="1"/>
      </rPr>
      <t>Total</t>
    </r>
  </si>
  <si>
    <r>
      <rPr>
        <b/>
        <u/>
        <sz val="7.5"/>
        <rFont val="Calibri"/>
        <family val="1"/>
      </rPr>
      <t>SMS-III</t>
    </r>
  </si>
  <si>
    <r>
      <rPr>
        <sz val="7.5"/>
        <rFont val="Calibri"/>
        <family val="1"/>
      </rPr>
      <t>Cast Blooms : CV-1/CV-2</t>
    </r>
  </si>
  <si>
    <r>
      <rPr>
        <sz val="7.5"/>
        <rFont val="Calibri"/>
        <family val="1"/>
      </rPr>
      <t>Cast Billets   : 105²</t>
    </r>
  </si>
  <si>
    <r>
      <rPr>
        <sz val="7.5"/>
        <rFont val="Calibri"/>
        <family val="1"/>
      </rPr>
      <t>Cast Billets   : 150²</t>
    </r>
  </si>
  <si>
    <r>
      <rPr>
        <sz val="7.5"/>
        <rFont val="Calibri"/>
        <family val="1"/>
      </rPr>
      <t>Total Cast</t>
    </r>
  </si>
  <si>
    <r>
      <rPr>
        <b/>
        <u/>
        <sz val="7.5"/>
        <rFont val="Calibri"/>
        <family val="1"/>
      </rPr>
      <t>Saleable Steel :</t>
    </r>
  </si>
  <si>
    <r>
      <rPr>
        <sz val="7.5"/>
        <rFont val="Calibri"/>
        <family val="1"/>
      </rPr>
      <t>RSM : Rails</t>
    </r>
  </si>
  <si>
    <r>
      <rPr>
        <sz val="7.5"/>
        <rFont val="Calibri"/>
        <family val="1"/>
      </rPr>
      <t>URM : Rails</t>
    </r>
  </si>
  <si>
    <r>
      <rPr>
        <sz val="7.5"/>
        <rFont val="Calibri"/>
        <family val="1"/>
      </rPr>
      <t>Merchant Mill</t>
    </r>
  </si>
  <si>
    <r>
      <rPr>
        <sz val="7.5"/>
        <rFont val="Calibri"/>
        <family val="1"/>
      </rPr>
      <t>Wire Rods</t>
    </r>
  </si>
  <si>
    <r>
      <rPr>
        <sz val="7.5"/>
        <rFont val="Calibri"/>
        <family val="1"/>
      </rPr>
      <t>Bars &amp; Rods Mill</t>
    </r>
  </si>
  <si>
    <r>
      <rPr>
        <sz val="7.5"/>
        <rFont val="Calibri"/>
        <family val="1"/>
      </rPr>
      <t>Plate Mill</t>
    </r>
  </si>
  <si>
    <r>
      <rPr>
        <b/>
        <sz val="7.5"/>
        <rFont val="Calibri"/>
        <family val="1"/>
      </rPr>
      <t>Total Finished Steel</t>
    </r>
  </si>
  <si>
    <r>
      <rPr>
        <u/>
        <sz val="7.5"/>
        <rFont val="Calibri"/>
        <family val="1"/>
      </rPr>
      <t>Semis for sale</t>
    </r>
  </si>
  <si>
    <r>
      <rPr>
        <sz val="7.5"/>
        <rFont val="Calibri"/>
        <family val="1"/>
      </rPr>
      <t>SMS-II  : Slabs</t>
    </r>
  </si>
  <si>
    <r>
      <rPr>
        <sz val="7.5"/>
        <rFont val="Calibri"/>
        <family val="1"/>
      </rPr>
      <t>SMS-II/III : Blooms</t>
    </r>
  </si>
  <si>
    <r>
      <rPr>
        <sz val="7.5"/>
        <rFont val="Calibri"/>
        <family val="1"/>
      </rPr>
      <t>SMS-III : Billets</t>
    </r>
  </si>
  <si>
    <r>
      <rPr>
        <b/>
        <sz val="7.5"/>
        <rFont val="Calibri"/>
        <family val="1"/>
      </rPr>
      <t>Total Semis</t>
    </r>
  </si>
  <si>
    <r>
      <rPr>
        <b/>
        <sz val="7.5"/>
        <rFont val="Calibri"/>
        <family val="1"/>
      </rPr>
      <t>Total Saleable Steel</t>
    </r>
  </si>
  <si>
    <r>
      <rPr>
        <sz val="7.5"/>
        <rFont val="Calibri"/>
        <family val="1"/>
      </rPr>
      <t>: URM</t>
    </r>
  </si>
  <si>
    <r>
      <rPr>
        <b/>
        <sz val="6.5"/>
        <rFont val="Calibri"/>
        <family val="1"/>
      </rPr>
      <t>Major Repair Plan: (26-27)</t>
    </r>
  </si>
  <si>
    <r>
      <rPr>
        <b/>
        <sz val="5"/>
        <rFont val="Calibri"/>
        <family val="1"/>
      </rPr>
      <t>DEPTT.</t>
    </r>
  </si>
  <si>
    <r>
      <rPr>
        <b/>
        <sz val="5"/>
        <rFont val="Calibri"/>
        <family val="1"/>
      </rPr>
      <t>Machines</t>
    </r>
  </si>
  <si>
    <r>
      <rPr>
        <b/>
        <sz val="5"/>
        <rFont val="Calibri"/>
        <family val="1"/>
      </rPr>
      <t>Apr'26</t>
    </r>
  </si>
  <si>
    <r>
      <rPr>
        <b/>
        <sz val="5"/>
        <rFont val="Calibri"/>
        <family val="1"/>
      </rPr>
      <t>May'26</t>
    </r>
  </si>
  <si>
    <r>
      <rPr>
        <b/>
        <sz val="5"/>
        <rFont val="Calibri"/>
        <family val="1"/>
      </rPr>
      <t>Jun'26</t>
    </r>
  </si>
  <si>
    <r>
      <rPr>
        <b/>
        <sz val="5"/>
        <rFont val="Calibri"/>
        <family val="1"/>
      </rPr>
      <t>Jul'26</t>
    </r>
  </si>
  <si>
    <r>
      <rPr>
        <b/>
        <sz val="5"/>
        <rFont val="Calibri"/>
        <family val="1"/>
      </rPr>
      <t>Aug'26</t>
    </r>
  </si>
  <si>
    <r>
      <rPr>
        <b/>
        <sz val="5"/>
        <rFont val="Calibri"/>
        <family val="1"/>
      </rPr>
      <t>Sep'26</t>
    </r>
  </si>
  <si>
    <r>
      <rPr>
        <b/>
        <sz val="5"/>
        <rFont val="Calibri"/>
        <family val="1"/>
      </rPr>
      <t>Oct'26</t>
    </r>
  </si>
  <si>
    <r>
      <rPr>
        <b/>
        <sz val="5"/>
        <rFont val="Calibri"/>
        <family val="1"/>
      </rPr>
      <t>Nov'26</t>
    </r>
  </si>
  <si>
    <r>
      <rPr>
        <b/>
        <sz val="5"/>
        <rFont val="Calibri"/>
        <family val="1"/>
      </rPr>
      <t>Dec'26</t>
    </r>
  </si>
  <si>
    <r>
      <rPr>
        <b/>
        <sz val="5"/>
        <rFont val="Calibri"/>
        <family val="1"/>
      </rPr>
      <t>Jan'27</t>
    </r>
  </si>
  <si>
    <r>
      <rPr>
        <b/>
        <sz val="5"/>
        <rFont val="Calibri"/>
        <family val="1"/>
      </rPr>
      <t>Feb'27</t>
    </r>
  </si>
  <si>
    <r>
      <rPr>
        <b/>
        <sz val="5"/>
        <rFont val="Calibri"/>
        <family val="1"/>
      </rPr>
      <t>Mar'27</t>
    </r>
  </si>
  <si>
    <r>
      <rPr>
        <b/>
        <sz val="5"/>
        <rFont val="Calibri"/>
        <family val="1"/>
      </rPr>
      <t>Remarks</t>
    </r>
  </si>
  <si>
    <r>
      <rPr>
        <b/>
        <sz val="5"/>
        <rFont val="Calibri"/>
        <family val="1"/>
      </rPr>
      <t>COCCD</t>
    </r>
  </si>
  <si>
    <r>
      <rPr>
        <sz val="5"/>
        <rFont val="Calibri"/>
        <family val="1"/>
      </rPr>
      <t>Batt-1</t>
    </r>
  </si>
  <si>
    <r>
      <rPr>
        <sz val="5"/>
        <rFont val="Calibri"/>
        <family val="1"/>
      </rPr>
      <t>COB #1 Down from Sept, after COB #8 Commissioning.</t>
    </r>
  </si>
  <si>
    <r>
      <rPr>
        <sz val="5"/>
        <rFont val="Calibri"/>
        <family val="1"/>
      </rPr>
      <t>Batt-3</t>
    </r>
  </si>
  <si>
    <r>
      <rPr>
        <sz val="5"/>
        <rFont val="Calibri"/>
        <family val="1"/>
      </rPr>
      <t>COB #3 Down from Sept, after COB #11 repair completion.</t>
    </r>
  </si>
  <si>
    <r>
      <rPr>
        <sz val="5"/>
        <rFont val="Calibri"/>
        <family val="1"/>
      </rPr>
      <t>Batt-6</t>
    </r>
  </si>
  <si>
    <r>
      <rPr>
        <sz val="5"/>
        <rFont val="Calibri"/>
        <family val="1"/>
      </rPr>
      <t>COB # 6 Cold repair from April, after COB#4 commissioning.</t>
    </r>
  </si>
  <si>
    <r>
      <rPr>
        <sz val="5"/>
        <rFont val="Calibri"/>
        <family val="1"/>
      </rPr>
      <t>Batt-8</t>
    </r>
  </si>
  <si>
    <r>
      <rPr>
        <sz val="5"/>
        <rFont val="Calibri"/>
        <family val="1"/>
      </rPr>
      <t>Batt-11</t>
    </r>
  </si>
  <si>
    <r>
      <rPr>
        <sz val="5"/>
        <rFont val="Calibri"/>
        <family val="1"/>
      </rPr>
      <t>GCM &amp; battery equipment replacement,  Liquor line replacement</t>
    </r>
  </si>
  <si>
    <r>
      <rPr>
        <b/>
        <sz val="5"/>
        <rFont val="Calibri"/>
        <family val="1"/>
      </rPr>
      <t>OHP</t>
    </r>
  </si>
  <si>
    <r>
      <rPr>
        <sz val="5"/>
        <rFont val="Calibri"/>
        <family val="1"/>
      </rPr>
      <t>Wagon Tippler-6</t>
    </r>
  </si>
  <si>
    <r>
      <rPr>
        <b/>
        <sz val="5"/>
        <rFont val="Calibri"/>
        <family val="1"/>
      </rPr>
      <t>SP-2</t>
    </r>
  </si>
  <si>
    <r>
      <rPr>
        <sz val="5"/>
        <rFont val="Calibri"/>
        <family val="1"/>
      </rPr>
      <t>M/c-1</t>
    </r>
  </si>
  <si>
    <r>
      <rPr>
        <sz val="5"/>
        <rFont val="Calibri"/>
        <family val="1"/>
      </rPr>
      <t>Vacuum line repair/ changing, Sinter Machine track sealing changing, Sinter Cooler carriage changing, SMD shell changing/ SS LINER fixing/ changing, Hot screen changing, Single roll crusher changing, Base frame changing, Exhauster Fan changing/ Casing repair, Raw mix hopper both to repair / liner changing.</t>
    </r>
  </si>
  <si>
    <r>
      <rPr>
        <sz val="5"/>
        <rFont val="Calibri"/>
        <family val="1"/>
      </rPr>
      <t>M/c-2</t>
    </r>
  </si>
  <si>
    <r>
      <rPr>
        <sz val="5"/>
        <rFont val="Calibri"/>
        <family val="1"/>
      </rPr>
      <t>M/c-3</t>
    </r>
  </si>
  <si>
    <r>
      <rPr>
        <sz val="5"/>
        <rFont val="Calibri"/>
        <family val="1"/>
      </rPr>
      <t>M/c-4</t>
    </r>
  </si>
  <si>
    <r>
      <rPr>
        <b/>
        <sz val="5"/>
        <rFont val="Calibri"/>
        <family val="1"/>
      </rPr>
      <t>SP-3</t>
    </r>
  </si>
  <si>
    <r>
      <rPr>
        <sz val="5"/>
        <rFont val="Calibri"/>
        <family val="1"/>
      </rPr>
      <t>Sinter machine rail &amp; crusher guide liner change.</t>
    </r>
  </si>
  <si>
    <r>
      <rPr>
        <sz val="5"/>
        <rFont val="Calibri"/>
        <family val="1"/>
      </rPr>
      <t>Machine DE and TE sprocket gear rim replacement and track alignment</t>
    </r>
  </si>
  <si>
    <r>
      <rPr>
        <b/>
        <sz val="5"/>
        <rFont val="Calibri"/>
        <family val="1"/>
      </rPr>
      <t>BFs</t>
    </r>
  </si>
  <si>
    <r>
      <rPr>
        <sz val="5"/>
        <rFont val="Calibri"/>
        <family val="1"/>
      </rPr>
      <t>No-4</t>
    </r>
  </si>
  <si>
    <r>
      <rPr>
        <sz val="5"/>
        <rFont val="Calibri"/>
        <family val="1"/>
      </rPr>
      <t>BLT Chute Changing + Shot Creting</t>
    </r>
  </si>
  <si>
    <r>
      <rPr>
        <sz val="5"/>
        <rFont val="Calibri"/>
        <family val="1"/>
      </rPr>
      <t>No-6</t>
    </r>
  </si>
  <si>
    <r>
      <rPr>
        <sz val="5"/>
        <rFont val="Calibri"/>
        <family val="1"/>
      </rPr>
      <t>BLT Chute Changing+ Gear Box Inspection</t>
    </r>
  </si>
  <si>
    <r>
      <rPr>
        <sz val="5"/>
        <rFont val="Calibri"/>
        <family val="1"/>
      </rPr>
      <t>No-7</t>
    </r>
  </si>
  <si>
    <r>
      <rPr>
        <sz val="5"/>
        <rFont val="Calibri"/>
        <family val="1"/>
      </rPr>
      <t>Shot Creting + Gearbox Changing</t>
    </r>
  </si>
  <si>
    <r>
      <rPr>
        <sz val="5"/>
        <rFont val="Calibri"/>
        <family val="1"/>
      </rPr>
      <t>No-8</t>
    </r>
  </si>
  <si>
    <r>
      <rPr>
        <sz val="5"/>
        <rFont val="Calibri"/>
        <family val="1"/>
      </rPr>
      <t>- Shot creting + Repair In HBM + Replacement of Stove No 3 compensator + HBV 3</t>
    </r>
  </si>
  <si>
    <r>
      <rPr>
        <b/>
        <sz val="5"/>
        <rFont val="Calibri"/>
        <family val="1"/>
      </rPr>
      <t>SMS2</t>
    </r>
  </si>
  <si>
    <r>
      <rPr>
        <sz val="5"/>
        <rFont val="Calibri"/>
        <family val="1"/>
      </rPr>
      <t>Conv-A</t>
    </r>
  </si>
  <si>
    <r>
      <rPr>
        <sz val="5"/>
        <rFont val="Calibri"/>
        <family val="1"/>
      </rPr>
      <t>Vessel &amp; drive replacement (Project jobs) &amp; Campaign repair</t>
    </r>
  </si>
  <si>
    <r>
      <rPr>
        <sz val="5"/>
        <rFont val="Calibri"/>
        <family val="1"/>
      </rPr>
      <t>Conv-B</t>
    </r>
  </si>
  <si>
    <r>
      <rPr>
        <sz val="5"/>
        <rFont val="Calibri"/>
        <family val="1"/>
      </rPr>
      <t>Campaign repair &amp; vessel relining</t>
    </r>
  </si>
  <si>
    <r>
      <rPr>
        <sz val="5"/>
        <rFont val="Calibri"/>
        <family val="1"/>
      </rPr>
      <t>Conv-C</t>
    </r>
  </si>
  <si>
    <r>
      <rPr>
        <sz val="5"/>
        <rFont val="Calibri"/>
        <family val="1"/>
      </rPr>
      <t>Campaign repair &amp; relining,</t>
    </r>
  </si>
  <si>
    <r>
      <rPr>
        <sz val="5"/>
        <rFont val="Calibri"/>
        <family val="1"/>
      </rPr>
      <t>Caster-3</t>
    </r>
  </si>
  <si>
    <r>
      <rPr>
        <b/>
        <sz val="5"/>
        <rFont val="Calibri"/>
        <family val="1"/>
      </rPr>
      <t>SMS3</t>
    </r>
  </si>
  <si>
    <r>
      <rPr>
        <sz val="5"/>
        <rFont val="Calibri"/>
        <family val="1"/>
      </rPr>
      <t>BOF-1*</t>
    </r>
  </si>
  <si>
    <r>
      <rPr>
        <sz val="5"/>
        <rFont val="Calibri"/>
        <family val="1"/>
      </rPr>
      <t>BOF Relining/</t>
    </r>
  </si>
  <si>
    <r>
      <rPr>
        <sz val="5"/>
        <rFont val="Calibri"/>
        <family val="1"/>
      </rPr>
      <t>BOF-2</t>
    </r>
  </si>
  <si>
    <r>
      <rPr>
        <sz val="5"/>
        <rFont val="Calibri"/>
        <family val="1"/>
      </rPr>
      <t>BOF-3</t>
    </r>
  </si>
  <si>
    <r>
      <rPr>
        <sz val="5"/>
        <rFont val="Calibri"/>
        <family val="1"/>
      </rPr>
      <t>CK-1</t>
    </r>
  </si>
  <si>
    <r>
      <rPr>
        <sz val="5"/>
        <rFont val="Calibri"/>
        <family val="1"/>
      </rPr>
      <t>CK-2</t>
    </r>
  </si>
  <si>
    <r>
      <rPr>
        <sz val="5"/>
        <rFont val="Calibri"/>
        <family val="1"/>
      </rPr>
      <t>CV-1</t>
    </r>
  </si>
  <si>
    <r>
      <rPr>
        <b/>
        <sz val="5"/>
        <rFont val="Calibri"/>
        <family val="1"/>
      </rPr>
      <t>Mills</t>
    </r>
  </si>
  <si>
    <r>
      <rPr>
        <sz val="5"/>
        <rFont val="Calibri"/>
        <family val="1"/>
      </rPr>
      <t>RSM</t>
    </r>
  </si>
  <si>
    <r>
      <rPr>
        <sz val="5"/>
        <rFont val="Calibri"/>
        <family val="1"/>
      </rPr>
      <t>2D Internal , pinion shaft with babbit changing,</t>
    </r>
  </si>
  <si>
    <r>
      <rPr>
        <sz val="5"/>
        <rFont val="Calibri"/>
        <family val="1"/>
      </rPr>
      <t>URM</t>
    </r>
  </si>
  <si>
    <r>
      <rPr>
        <sz val="5"/>
        <rFont val="Calibri"/>
        <family val="1"/>
      </rPr>
      <t>Mill Equipments + RHF repair,</t>
    </r>
  </si>
  <si>
    <r>
      <rPr>
        <sz val="5"/>
        <rFont val="Calibri"/>
        <family val="1"/>
      </rPr>
      <t>MMILL</t>
    </r>
  </si>
  <si>
    <r>
      <rPr>
        <sz val="5"/>
        <rFont val="Calibri"/>
        <family val="1"/>
      </rPr>
      <t>WRM</t>
    </r>
  </si>
  <si>
    <r>
      <rPr>
        <sz val="5"/>
        <rFont val="Calibri"/>
        <family val="1"/>
      </rPr>
      <t>Housing less stand commissioning in 4 strands,</t>
    </r>
  </si>
  <si>
    <r>
      <rPr>
        <sz val="5"/>
        <rFont val="Calibri"/>
        <family val="1"/>
      </rPr>
      <t>BRM</t>
    </r>
  </si>
  <si>
    <r>
      <rPr>
        <sz val="5"/>
        <rFont val="Calibri"/>
        <family val="1"/>
      </rPr>
      <t>Replacement of Furnace Skids and Posts with refractory,</t>
    </r>
  </si>
  <si>
    <r>
      <rPr>
        <sz val="5"/>
        <rFont val="Calibri"/>
        <family val="1"/>
      </rPr>
      <t>Plate Mill</t>
    </r>
  </si>
  <si>
    <r>
      <rPr>
        <sz val="5"/>
        <rFont val="Calibri"/>
        <family val="1"/>
      </rPr>
      <t>Dosmantling &amp; (Hot Leveller commissioning, SAC commissioning)</t>
    </r>
  </si>
  <si>
    <r>
      <rPr>
        <b/>
        <sz val="9"/>
        <rFont val="Arial"/>
        <family val="2"/>
      </rPr>
      <t>IMPORTANT PLAN PARAMETERS</t>
    </r>
  </si>
  <si>
    <r>
      <rPr>
        <sz val="6.5"/>
        <rFont val="Arial MT"/>
        <family val="2"/>
      </rPr>
      <t>Particulars</t>
    </r>
  </si>
  <si>
    <r>
      <rPr>
        <sz val="6.5"/>
        <rFont val="Arial MT"/>
        <family val="2"/>
      </rPr>
      <t>Unit</t>
    </r>
  </si>
  <si>
    <r>
      <rPr>
        <sz val="6.5"/>
        <rFont val="Arial MT"/>
        <family val="2"/>
      </rPr>
      <t>Plan</t>
    </r>
  </si>
  <si>
    <r>
      <rPr>
        <b/>
        <u/>
        <sz val="6.5"/>
        <rFont val="Arial"/>
        <family val="2"/>
      </rPr>
      <t>COKE OVENS &amp; COAL CHEMICALS :</t>
    </r>
  </si>
  <si>
    <r>
      <rPr>
        <b/>
        <u/>
        <sz val="6.5"/>
        <rFont val="Arial"/>
        <family val="2"/>
      </rPr>
      <t>BLAST FURNACES :</t>
    </r>
  </si>
  <si>
    <r>
      <rPr>
        <b/>
        <u/>
        <sz val="6.5"/>
        <rFont val="Arial"/>
        <family val="2"/>
      </rPr>
      <t>STEEL MELTING SHOP-II :</t>
    </r>
  </si>
  <si>
    <r>
      <rPr>
        <b/>
        <sz val="6.5"/>
        <rFont val="Arial"/>
        <family val="2"/>
      </rPr>
      <t>Consumption Per Tonne of Hot Metal</t>
    </r>
  </si>
  <si>
    <r>
      <rPr>
        <b/>
        <sz val="6.5"/>
        <rFont val="Arial"/>
        <family val="2"/>
      </rPr>
      <t>Dry Charge per Oven</t>
    </r>
  </si>
  <si>
    <r>
      <rPr>
        <sz val="6.5"/>
        <rFont val="Arial MT"/>
        <family val="2"/>
      </rPr>
      <t>T</t>
    </r>
  </si>
  <si>
    <r>
      <rPr>
        <sz val="6.5"/>
        <rFont val="Arial MT"/>
        <family val="2"/>
      </rPr>
      <t>Coke Rate (Dry)</t>
    </r>
  </si>
  <si>
    <r>
      <rPr>
        <sz val="6.5"/>
        <rFont val="Arial MT"/>
        <family val="2"/>
      </rPr>
      <t>Kg</t>
    </r>
  </si>
  <si>
    <r>
      <rPr>
        <b/>
        <sz val="6.5"/>
        <rFont val="Arial"/>
        <family val="2"/>
      </rPr>
      <t>Consumption per Tonne of Cast Steel</t>
    </r>
  </si>
  <si>
    <r>
      <rPr>
        <b/>
        <sz val="6.5"/>
        <rFont val="Arial"/>
        <family val="2"/>
      </rPr>
      <t>Coal Blend Composition</t>
    </r>
  </si>
  <si>
    <r>
      <rPr>
        <sz val="6.5"/>
        <rFont val="Arial MT"/>
        <family val="2"/>
      </rPr>
      <t>Hot Metal</t>
    </r>
  </si>
  <si>
    <r>
      <rPr>
        <sz val="6.5"/>
        <rFont val="Arial MT"/>
        <family val="2"/>
      </rPr>
      <t>Indigenous :</t>
    </r>
  </si>
  <si>
    <r>
      <rPr>
        <sz val="6.5"/>
        <rFont val="Arial MT"/>
        <family val="2"/>
      </rPr>
      <t>PCC</t>
    </r>
  </si>
  <si>
    <r>
      <rPr>
        <sz val="6.5"/>
        <rFont val="Arial MT"/>
        <family val="2"/>
      </rPr>
      <t>%</t>
    </r>
  </si>
  <si>
    <r>
      <rPr>
        <sz val="6.5"/>
        <rFont val="Arial MT"/>
        <family val="2"/>
      </rPr>
      <t>CDI rate (Dry)</t>
    </r>
  </si>
  <si>
    <r>
      <rPr>
        <sz val="6.5"/>
        <rFont val="Arial MT"/>
        <family val="2"/>
      </rPr>
      <t>Steel scrap</t>
    </r>
  </si>
  <si>
    <r>
      <rPr>
        <sz val="6.5"/>
        <rFont val="Arial MT"/>
        <family val="2"/>
      </rPr>
      <t>MCC</t>
    </r>
  </si>
  <si>
    <r>
      <rPr>
        <sz val="6.5"/>
        <rFont val="Arial MT"/>
        <family val="2"/>
      </rPr>
      <t>Total Fuel Rate</t>
    </r>
  </si>
  <si>
    <r>
      <rPr>
        <b/>
        <sz val="6.5"/>
        <rFont val="Arial"/>
        <family val="2"/>
      </rPr>
      <t>Total Metallic input</t>
    </r>
  </si>
  <si>
    <r>
      <rPr>
        <b/>
        <i/>
        <sz val="6.5"/>
        <rFont val="Arial"/>
        <family val="2"/>
      </rPr>
      <t>Sub Total</t>
    </r>
  </si>
  <si>
    <r>
      <rPr>
        <b/>
        <i/>
        <sz val="6.5"/>
        <rFont val="Arial"/>
        <family val="2"/>
      </rPr>
      <t>%</t>
    </r>
  </si>
  <si>
    <r>
      <rPr>
        <sz val="6.5"/>
        <rFont val="Arial MT"/>
        <family val="2"/>
      </rPr>
      <t>Imported    :</t>
    </r>
  </si>
  <si>
    <r>
      <rPr>
        <sz val="6.5"/>
        <rFont val="Arial MT"/>
        <family val="2"/>
      </rPr>
      <t>Hard(Aust)</t>
    </r>
  </si>
  <si>
    <r>
      <rPr>
        <sz val="6.5"/>
        <rFont val="Arial MT"/>
        <family val="2"/>
      </rPr>
      <t>Hard(USA)</t>
    </r>
  </si>
  <si>
    <r>
      <rPr>
        <sz val="6.5"/>
        <rFont val="Arial MT"/>
        <family val="2"/>
      </rPr>
      <t>Sinter in burden</t>
    </r>
  </si>
  <si>
    <r>
      <rPr>
        <sz val="6.5"/>
        <rFont val="Arial MT"/>
        <family val="2"/>
      </rPr>
      <t>Hard(BENGA)</t>
    </r>
  </si>
  <si>
    <r>
      <rPr>
        <sz val="6.5"/>
        <rFont val="Arial MT"/>
        <family val="2"/>
      </rPr>
      <t>Hard(MABU)</t>
    </r>
  </si>
  <si>
    <r>
      <rPr>
        <b/>
        <u/>
        <sz val="6.5"/>
        <rFont val="Arial"/>
        <family val="2"/>
      </rPr>
      <t>STEEL MELTING SHOP-III :</t>
    </r>
  </si>
  <si>
    <r>
      <rPr>
        <sz val="6.5"/>
        <rFont val="Arial MT"/>
        <family val="2"/>
      </rPr>
      <t>LVHR(AUS)</t>
    </r>
  </si>
  <si>
    <r>
      <rPr>
        <sz val="6.5"/>
        <rFont val="Arial MT"/>
        <family val="2"/>
      </rPr>
      <t>LVHR(Moatize)</t>
    </r>
  </si>
  <si>
    <r>
      <rPr>
        <sz val="6.5"/>
        <rFont val="Arial MT"/>
        <family val="2"/>
      </rPr>
      <t>TUHUP</t>
    </r>
  </si>
  <si>
    <r>
      <rPr>
        <b/>
        <i/>
        <sz val="6.5"/>
        <rFont val="Arial"/>
        <family val="2"/>
      </rPr>
      <t>Total Hard</t>
    </r>
  </si>
  <si>
    <r>
      <rPr>
        <b/>
        <sz val="6.5"/>
        <rFont val="Arial"/>
        <family val="2"/>
      </rPr>
      <t>Kg</t>
    </r>
  </si>
  <si>
    <r>
      <rPr>
        <sz val="6.5"/>
        <rFont val="Arial MT"/>
        <family val="2"/>
      </rPr>
      <t>Soft(AUST/USA)</t>
    </r>
  </si>
  <si>
    <r>
      <rPr>
        <sz val="6.5"/>
        <rFont val="Arial MT"/>
        <family val="2"/>
      </rPr>
      <t>Soft(Russian)</t>
    </r>
  </si>
  <si>
    <r>
      <rPr>
        <b/>
        <sz val="6.5"/>
        <rFont val="Arial"/>
        <family val="2"/>
      </rPr>
      <t>Total Imported</t>
    </r>
  </si>
  <si>
    <r>
      <rPr>
        <b/>
        <sz val="6.5"/>
        <rFont val="Arial"/>
        <family val="2"/>
      </rPr>
      <t>Grand Total</t>
    </r>
  </si>
  <si>
    <r>
      <rPr>
        <b/>
        <sz val="6.5"/>
        <rFont val="Arial"/>
        <family val="2"/>
      </rPr>
      <t>%</t>
    </r>
  </si>
  <si>
    <r>
      <rPr>
        <sz val="6.5"/>
        <rFont val="Arial MT"/>
        <family val="2"/>
      </rPr>
      <t>Sp Energy</t>
    </r>
  </si>
  <si>
    <r>
      <rPr>
        <sz val="6.5"/>
        <rFont val="Arial MT"/>
        <family val="2"/>
      </rPr>
      <t>GCal/TCS</t>
    </r>
  </si>
  <si>
    <r>
      <rPr>
        <b/>
        <u/>
        <sz val="6.5"/>
        <rFont val="Arial"/>
        <family val="2"/>
      </rPr>
      <t>ROLLING MILLS</t>
    </r>
  </si>
  <si>
    <r>
      <rPr>
        <b/>
        <u/>
        <sz val="6.5"/>
        <rFont val="Arial"/>
        <family val="2"/>
      </rPr>
      <t>RAIL &amp; STRUCTURALS MILL :</t>
    </r>
  </si>
  <si>
    <r>
      <rPr>
        <b/>
        <u/>
        <sz val="6.5"/>
        <rFont val="Arial"/>
        <family val="2"/>
      </rPr>
      <t>URM</t>
    </r>
  </si>
  <si>
    <r>
      <rPr>
        <sz val="6.5"/>
        <rFont val="Arial MT"/>
        <family val="2"/>
      </rPr>
      <t>Sp Power</t>
    </r>
  </si>
  <si>
    <r>
      <rPr>
        <sz val="6.5"/>
        <rFont val="Arial MT"/>
        <family val="2"/>
      </rPr>
      <t>KWH/TSS</t>
    </r>
  </si>
  <si>
    <r>
      <rPr>
        <sz val="6.5"/>
        <rFont val="Arial MT"/>
        <family val="2"/>
      </rPr>
      <t>Sp Water</t>
    </r>
  </si>
  <si>
    <r>
      <rPr>
        <sz val="6.5"/>
        <rFont val="Arial MT"/>
        <family val="2"/>
      </rPr>
      <t>CuM/TCS</t>
    </r>
  </si>
  <si>
    <r>
      <rPr>
        <b/>
        <u/>
        <sz val="6.5"/>
        <rFont val="Arial"/>
        <family val="2"/>
      </rPr>
      <t>MERCHANT MILL  :</t>
    </r>
  </si>
  <si>
    <r>
      <rPr>
        <b/>
        <u/>
        <sz val="6.5"/>
        <rFont val="Arial"/>
        <family val="2"/>
      </rPr>
      <t>BRM</t>
    </r>
  </si>
  <si>
    <r>
      <rPr>
        <sz val="6.5"/>
        <rFont val="Arial MT"/>
        <family val="2"/>
      </rPr>
      <t>Merch.Products from Billets</t>
    </r>
  </si>
  <si>
    <r>
      <rPr>
        <sz val="6.5"/>
        <rFont val="Arial MT"/>
        <family val="2"/>
      </rPr>
      <t>Bar &amp; Rods from Billets</t>
    </r>
  </si>
  <si>
    <r>
      <rPr>
        <b/>
        <u/>
        <sz val="6.5"/>
        <rFont val="Arial"/>
        <family val="2"/>
      </rPr>
      <t>WIRE ROD MILL  :</t>
    </r>
  </si>
  <si>
    <r>
      <rPr>
        <b/>
        <u/>
        <sz val="6.5"/>
        <rFont val="Arial"/>
        <family val="2"/>
      </rPr>
      <t>PLATE MILL :</t>
    </r>
  </si>
  <si>
    <r>
      <rPr>
        <sz val="6.5"/>
        <rFont val="Arial MT"/>
        <family val="2"/>
      </rPr>
      <t>Wire rods from Billets</t>
    </r>
  </si>
  <si>
    <r>
      <rPr>
        <sz val="6.5"/>
        <rFont val="Arial MT"/>
        <family val="2"/>
      </rPr>
      <t>Fin. Plates from Slabs</t>
    </r>
  </si>
  <si>
    <r>
      <rPr>
        <b/>
        <sz val="7.5"/>
        <rFont val="Calibri"/>
        <family val="1"/>
      </rPr>
      <t xml:space="preserve">Prime Rail Prod </t>
    </r>
    <r>
      <rPr>
        <sz val="7.5"/>
        <rFont val="Calibri"/>
        <family val="1"/>
      </rPr>
      <t>: RSM</t>
    </r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</si>
  <si>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</si>
  <si>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</si>
  <si>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</si>
  <si>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</si>
  <si>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</si>
  <si>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</si>
  <si>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</si>
  <si>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</si>
  <si>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</si>
  <si>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</si>
  <si>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</si>
  <si>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</si>
  <si>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</si>
  <si>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2026-27</t>
  </si>
  <si>
    <t>PARTICULARS</t>
  </si>
  <si>
    <t xml:space="preserve">            Total HM</t>
  </si>
  <si>
    <t>(UNIT : '000 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</si>
</sst>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.0"/>
    <numFmt numFmtId="166" formatCode="0.000"/>
  </numFmts>
  <fonts count="32" x14ac:knownFonts="1">
    <font>
      <sz val="10"/>
      <color rgb="FF000000"/>
      <name val="Times New Roman"/>
      <charset val="204"/>
    </font>
    <font>
      <b/>
      <sz val="11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color rgb="FF000000"/>
      <name val="Calibri"/>
      <family val="2"/>
    </font>
    <font>
      <b/>
      <sz val="7.5"/>
      <name val="Calibri"/>
    </font>
    <font>
      <b/>
      <sz val="6.5"/>
      <name val="Calibri"/>
    </font>
    <font>
      <b/>
      <sz val="5"/>
      <name val="Calibri"/>
    </font>
    <font>
      <sz val="5"/>
      <name val="Calibri"/>
    </font>
    <font>
      <sz val="5"/>
      <color rgb="FF000000"/>
      <name val="Calibri"/>
      <family val="2"/>
    </font>
    <font>
      <b/>
      <sz val="9"/>
      <name val="Arial"/>
    </font>
    <font>
      <sz val="6.5"/>
      <name val="Arial MT"/>
    </font>
    <font>
      <b/>
      <sz val="6.5"/>
      <name val="Arial"/>
    </font>
    <font>
      <sz val="6.5"/>
      <color rgb="FF000000"/>
      <name val="Arial MT"/>
      <family val="2"/>
    </font>
    <font>
      <b/>
      <i/>
      <sz val="6.5"/>
      <name val="Arial"/>
    </font>
    <font>
      <b/>
      <i/>
      <sz val="6.5"/>
      <color rgb="FF000000"/>
      <name val="Arial"/>
      <family val="2"/>
    </font>
    <font>
      <b/>
      <sz val="6.5"/>
      <color rgb="FF000000"/>
      <name val="Arial"/>
      <family val="2"/>
    </font>
    <font>
      <b/>
      <sz val="11"/>
      <name val="Calibri"/>
      <family val="1"/>
    </font>
    <font>
      <sz val="7.5"/>
      <name val="Calibri"/>
      <family val="1"/>
    </font>
    <font>
      <b/>
      <sz val="7.5"/>
      <name val="Calibri"/>
      <family val="1"/>
    </font>
    <font>
      <b/>
      <u/>
      <sz val="7.5"/>
      <name val="Calibri"/>
      <family val="1"/>
    </font>
    <font>
      <u/>
      <sz val="7.5"/>
      <name val="Calibri"/>
      <family val="1"/>
    </font>
    <font>
      <b/>
      <sz val="6.5"/>
      <name val="Calibri"/>
      <family val="1"/>
    </font>
    <font>
      <b/>
      <sz val="5"/>
      <name val="Calibri"/>
      <family val="1"/>
    </font>
    <font>
      <sz val="5"/>
      <name val="Calibri"/>
      <family val="1"/>
    </font>
    <font>
      <b/>
      <sz val="9"/>
      <name val="Arial"/>
      <family val="2"/>
    </font>
    <font>
      <sz val="6.5"/>
      <name val="Arial MT"/>
      <family val="2"/>
    </font>
    <font>
      <b/>
      <u/>
      <sz val="6.5"/>
      <name val="Arial"/>
      <family val="2"/>
    </font>
    <font>
      <b/>
      <sz val="6.5"/>
      <name val="Arial"/>
      <family val="2"/>
    </font>
    <font>
      <b/>
      <i/>
      <sz val="6.5"/>
      <name val="Arial"/>
      <family val="2"/>
    </font>
    <font>
      <b/>
      <sz val="7.5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CD6ED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right" vertical="top" indent="1" shrinkToFi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3"/>
    </xf>
    <xf numFmtId="0" fontId="5" fillId="0" borderId="3" xfId="0" applyFont="1" applyBorder="1" applyAlignment="1">
      <alignment horizontal="left" vertical="top" wrapText="1" indent="4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center" shrinkToFit="1"/>
    </xf>
    <xf numFmtId="1" fontId="4" fillId="0" borderId="3" xfId="0" applyNumberFormat="1" applyFont="1" applyBorder="1" applyAlignment="1">
      <alignment horizontal="right" vertical="top" shrinkToFit="1"/>
    </xf>
    <xf numFmtId="165" fontId="3" fillId="0" borderId="3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right" vertical="top" wrapText="1" inden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1" fontId="9" fillId="2" borderId="3" xfId="0" applyNumberFormat="1" applyFont="1" applyFill="1" applyBorder="1" applyAlignment="1">
      <alignment horizontal="center" vertical="top" shrinkToFi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" fontId="9" fillId="2" borderId="7" xfId="0" applyNumberFormat="1" applyFont="1" applyFill="1" applyBorder="1" applyAlignment="1">
      <alignment horizontal="center" vertical="top" shrinkToFit="1"/>
    </xf>
    <xf numFmtId="1" fontId="9" fillId="2" borderId="8" xfId="0" applyNumberFormat="1" applyFont="1" applyFill="1" applyBorder="1" applyAlignment="1">
      <alignment horizontal="center" vertical="top" shrinkToFit="1"/>
    </xf>
    <xf numFmtId="0" fontId="11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right" vertical="top" wrapText="1" indent="1"/>
    </xf>
    <xf numFmtId="0" fontId="12" fillId="0" borderId="9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3" xfId="0" applyBorder="1" applyAlignment="1">
      <alignment horizontal="left" wrapText="1"/>
    </xf>
    <xf numFmtId="0" fontId="12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 indent="1"/>
    </xf>
    <xf numFmtId="165" fontId="13" fillId="0" borderId="13" xfId="0" applyNumberFormat="1" applyFont="1" applyBorder="1" applyAlignment="1">
      <alignment horizontal="right" vertical="top" shrinkToFit="1"/>
    </xf>
    <xf numFmtId="0" fontId="11" fillId="0" borderId="12" xfId="0" applyFont="1" applyBorder="1" applyAlignment="1">
      <alignment horizontal="left" vertical="top" wrapText="1" indent="1"/>
    </xf>
    <xf numFmtId="1" fontId="13" fillId="0" borderId="13" xfId="0" applyNumberFormat="1" applyFont="1" applyBorder="1" applyAlignment="1">
      <alignment horizontal="right" vertical="top" shrinkToFit="1"/>
    </xf>
    <xf numFmtId="0" fontId="11" fillId="0" borderId="12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2" fillId="0" borderId="12" xfId="0" applyFont="1" applyBorder="1" applyAlignment="1">
      <alignment horizontal="left" vertical="top" wrapText="1" inden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 wrapText="1" indent="1"/>
    </xf>
    <xf numFmtId="165" fontId="15" fillId="0" borderId="13" xfId="0" applyNumberFormat="1" applyFont="1" applyBorder="1" applyAlignment="1">
      <alignment horizontal="right" vertical="top" shrinkToFit="1"/>
    </xf>
    <xf numFmtId="0" fontId="11" fillId="0" borderId="12" xfId="0" applyFont="1" applyBorder="1" applyAlignment="1">
      <alignment horizontal="left" vertical="top" wrapText="1"/>
    </xf>
    <xf numFmtId="165" fontId="16" fillId="0" borderId="13" xfId="0" applyNumberFormat="1" applyFont="1" applyBorder="1" applyAlignment="1">
      <alignment horizontal="right" vertical="top" shrinkToFit="1"/>
    </xf>
    <xf numFmtId="0" fontId="12" fillId="0" borderId="0" xfId="0" applyFont="1" applyAlignment="1">
      <alignment horizontal="right" vertical="top" wrapText="1" indent="1"/>
    </xf>
    <xf numFmtId="0" fontId="0" fillId="0" borderId="14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vertical="top"/>
    </xf>
    <xf numFmtId="0" fontId="8" fillId="0" borderId="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165" fontId="13" fillId="0" borderId="13" xfId="0" applyNumberFormat="1" applyFont="1" applyBorder="1" applyAlignment="1">
      <alignment vertical="top" shrinkToFit="1"/>
    </xf>
    <xf numFmtId="0" fontId="0" fillId="0" borderId="13" xfId="0" applyBorder="1" applyAlignment="1">
      <alignment wrapText="1"/>
    </xf>
    <xf numFmtId="0" fontId="11" fillId="0" borderId="12" xfId="0" applyFont="1" applyBorder="1" applyAlignment="1">
      <alignment vertical="top" wrapText="1"/>
    </xf>
    <xf numFmtId="1" fontId="13" fillId="0" borderId="13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vertical="center" shrinkToFit="1"/>
    </xf>
    <xf numFmtId="0" fontId="12" fillId="0" borderId="12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1" xfId="0" applyFont="1" applyBorder="1" applyAlignment="1">
      <alignment vertical="top" wrapText="1"/>
    </xf>
    <xf numFmtId="1" fontId="9" fillId="2" borderId="3" xfId="0" applyNumberFormat="1" applyFont="1" applyFill="1" applyBorder="1" applyAlignment="1">
      <alignment vertical="top" shrinkToFit="1"/>
    </xf>
    <xf numFmtId="165" fontId="16" fillId="0" borderId="15" xfId="0" applyNumberFormat="1" applyFont="1" applyBorder="1" applyAlignment="1">
      <alignment vertical="top" shrinkToFi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1" fontId="9" fillId="2" borderId="7" xfId="0" applyNumberFormat="1" applyFont="1" applyFill="1" applyBorder="1" applyAlignment="1">
      <alignment vertical="top" shrinkToFit="1"/>
    </xf>
    <xf numFmtId="1" fontId="9" fillId="2" borderId="8" xfId="0" applyNumberFormat="1" applyFont="1" applyFill="1" applyBorder="1" applyAlignment="1">
      <alignment vertical="top" shrinkToFit="1"/>
    </xf>
    <xf numFmtId="165" fontId="13" fillId="0" borderId="15" xfId="0" applyNumberFormat="1" applyFont="1" applyBorder="1" applyAlignment="1">
      <alignment vertical="top" shrinkToFit="1"/>
    </xf>
    <xf numFmtId="0" fontId="11" fillId="0" borderId="14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top" indent="1" shrinkToFit="1"/>
    </xf>
    <xf numFmtId="1" fontId="4" fillId="0" borderId="5" xfId="0" applyNumberFormat="1" applyFont="1" applyBorder="1" applyAlignment="1">
      <alignment horizontal="left" vertical="top" indent="1" shrinkToFit="1"/>
    </xf>
    <xf numFmtId="1" fontId="4" fillId="0" borderId="4" xfId="0" applyNumberFormat="1" applyFont="1" applyBorder="1" applyAlignment="1">
      <alignment horizontal="left" vertical="top" indent="1" shrinkToFit="1"/>
    </xf>
    <xf numFmtId="1" fontId="4" fillId="0" borderId="9" xfId="0" applyNumberFormat="1" applyFont="1" applyBorder="1" applyAlignment="1">
      <alignment horizontal="left" vertical="top" indent="1" shrinkToFit="1"/>
    </xf>
    <xf numFmtId="1" fontId="4" fillId="0" borderId="9" xfId="0" applyNumberFormat="1" applyFont="1" applyBorder="1" applyAlignment="1">
      <alignment horizontal="center" vertical="top" shrinkToFi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left" vertical="top" indent="1" shrinkToFit="1"/>
    </xf>
    <xf numFmtId="164" fontId="4" fillId="0" borderId="5" xfId="0" applyNumberFormat="1" applyFont="1" applyBorder="1" applyAlignment="1">
      <alignment horizontal="left" vertical="top" indent="1" shrinkToFit="1"/>
    </xf>
    <xf numFmtId="164" fontId="4" fillId="0" borderId="4" xfId="0" applyNumberFormat="1" applyFont="1" applyBorder="1" applyAlignment="1">
      <alignment horizontal="left" vertical="top" indent="1" shrinkToFit="1"/>
    </xf>
    <xf numFmtId="1" fontId="4" fillId="0" borderId="2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0" fontId="31" fillId="0" borderId="1" xfId="0" applyFont="1" applyBorder="1" applyAlignment="1">
      <alignment horizontal="right" vertical="center" wrapText="1"/>
    </xf>
    <xf numFmtId="0" fontId="30" fillId="0" borderId="2" xfId="0" applyFont="1" applyBorder="1" applyAlignment="1">
      <alignment horizontal="left" vertical="center" wrapText="1" indent="1"/>
    </xf>
    <xf numFmtId="0" fontId="30" fillId="0" borderId="5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1" fontId="9" fillId="2" borderId="7" xfId="0" applyNumberFormat="1" applyFont="1" applyFill="1" applyBorder="1" applyAlignment="1">
      <alignment horizontal="center" vertical="top" shrinkToFit="1"/>
    </xf>
    <xf numFmtId="1" fontId="9" fillId="2" borderId="8" xfId="0" applyNumberFormat="1" applyFont="1" applyFill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 indent="18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 shrinkToFit="1"/>
    </xf>
    <xf numFmtId="2" fontId="13" fillId="0" borderId="11" xfId="0" applyNumberFormat="1" applyFont="1" applyBorder="1" applyAlignment="1">
      <alignment horizontal="center" vertical="center" shrinkToFit="1"/>
    </xf>
    <xf numFmtId="2" fontId="13" fillId="0" borderId="0" xfId="0" applyNumberFormat="1" applyFont="1" applyAlignment="1">
      <alignment horizontal="center" vertical="top" shrinkToFit="1"/>
    </xf>
    <xf numFmtId="2" fontId="13" fillId="0" borderId="13" xfId="0" applyNumberFormat="1" applyFont="1" applyBorder="1" applyAlignment="1">
      <alignment horizontal="center" vertical="top" shrinkToFit="1"/>
    </xf>
    <xf numFmtId="0" fontId="12" fillId="0" borderId="12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topLeftCell="A2" workbookViewId="0">
      <selection activeCell="Q46" sqref="Q46"/>
    </sheetView>
  </sheetViews>
  <sheetFormatPr defaultRowHeight="13.2" x14ac:dyDescent="0.25"/>
  <cols>
    <col min="1" max="1" width="5.109375" customWidth="1"/>
    <col min="2" max="2" width="24" customWidth="1"/>
    <col min="3" max="3" width="6.109375" customWidth="1"/>
    <col min="4" max="4" width="6.44140625" customWidth="1"/>
    <col min="5" max="5" width="6.109375" customWidth="1"/>
    <col min="6" max="7" width="6.44140625" customWidth="1"/>
    <col min="8" max="8" width="6.109375" customWidth="1"/>
    <col min="9" max="9" width="6.44140625" customWidth="1"/>
    <col min="10" max="10" width="6.109375" customWidth="1"/>
    <col min="11" max="12" width="6.44140625" customWidth="1"/>
    <col min="13" max="13" width="6.109375" customWidth="1"/>
    <col min="14" max="14" width="6.44140625" customWidth="1"/>
    <col min="15" max="15" width="10.109375" customWidth="1"/>
  </cols>
  <sheetData>
    <row r="1" spans="1:16" ht="18.600000000000001" customHeight="1" x14ac:dyDescent="0.25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6" ht="15.15" customHeight="1" x14ac:dyDescent="0.25">
      <c r="A2" s="119" t="s">
        <v>192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6" ht="11.25" customHeight="1" x14ac:dyDescent="0.25">
      <c r="A3" s="1" t="s">
        <v>1</v>
      </c>
      <c r="B3" s="120" t="s">
        <v>190</v>
      </c>
      <c r="C3" s="101" t="s">
        <v>176</v>
      </c>
      <c r="D3" s="101" t="s">
        <v>177</v>
      </c>
      <c r="E3" s="101" t="s">
        <v>178</v>
      </c>
      <c r="F3" s="101" t="s">
        <v>179</v>
      </c>
      <c r="G3" s="101" t="s">
        <v>180</v>
      </c>
      <c r="H3" s="101" t="s">
        <v>181</v>
      </c>
      <c r="I3" s="101" t="s">
        <v>182</v>
      </c>
      <c r="J3" s="101" t="s">
        <v>183</v>
      </c>
      <c r="K3" s="101" t="s">
        <v>184</v>
      </c>
      <c r="L3" s="101" t="s">
        <v>185</v>
      </c>
      <c r="M3" s="101" t="s">
        <v>186</v>
      </c>
      <c r="N3" s="101" t="s">
        <v>187</v>
      </c>
      <c r="O3" s="101" t="s">
        <v>188</v>
      </c>
    </row>
    <row r="4" spans="1:16" ht="11.25" customHeight="1" x14ac:dyDescent="0.25">
      <c r="A4" s="2" t="s">
        <v>2</v>
      </c>
      <c r="B4" s="121"/>
      <c r="C4" s="4">
        <v>2026</v>
      </c>
      <c r="D4" s="4">
        <v>2026</v>
      </c>
      <c r="E4" s="4">
        <v>2026</v>
      </c>
      <c r="F4" s="4">
        <v>2026</v>
      </c>
      <c r="G4" s="4">
        <v>2026</v>
      </c>
      <c r="H4" s="4">
        <v>2026</v>
      </c>
      <c r="I4" s="4">
        <v>2026</v>
      </c>
      <c r="J4" s="4">
        <v>2026</v>
      </c>
      <c r="K4" s="4">
        <v>2026</v>
      </c>
      <c r="L4" s="4">
        <v>2027</v>
      </c>
      <c r="M4" s="4">
        <v>2027</v>
      </c>
      <c r="N4" s="4">
        <v>2027</v>
      </c>
      <c r="O4" s="101" t="s">
        <v>189</v>
      </c>
    </row>
    <row r="5" spans="1:16" ht="12.75" customHeight="1" x14ac:dyDescent="0.25">
      <c r="A5" s="111">
        <v>1</v>
      </c>
      <c r="B5" s="102" t="s">
        <v>3</v>
      </c>
    </row>
    <row r="6" spans="1:16" ht="9.75" customHeight="1" x14ac:dyDescent="0.25">
      <c r="A6" s="112"/>
      <c r="B6" s="6" t="s">
        <v>4</v>
      </c>
      <c r="C6" s="82">
        <v>367</v>
      </c>
      <c r="D6" s="82">
        <v>371</v>
      </c>
      <c r="E6" s="82">
        <v>373</v>
      </c>
      <c r="F6" s="82">
        <v>370</v>
      </c>
      <c r="G6" s="82">
        <v>370</v>
      </c>
      <c r="H6" s="82">
        <v>357</v>
      </c>
      <c r="I6" s="82">
        <v>315</v>
      </c>
      <c r="J6" s="82">
        <v>324</v>
      </c>
      <c r="K6" s="82">
        <v>324</v>
      </c>
      <c r="L6" s="82">
        <v>324</v>
      </c>
      <c r="M6" s="82">
        <v>324</v>
      </c>
      <c r="N6" s="82">
        <v>324</v>
      </c>
      <c r="O6" s="82">
        <v>345</v>
      </c>
    </row>
    <row r="7" spans="1:16" ht="11.25" customHeight="1" x14ac:dyDescent="0.25">
      <c r="A7" s="112"/>
      <c r="B7" s="7" t="s">
        <v>5</v>
      </c>
      <c r="C7" s="3">
        <v>155</v>
      </c>
      <c r="D7" s="3">
        <v>160</v>
      </c>
      <c r="E7" s="3">
        <v>160</v>
      </c>
      <c r="F7" s="3">
        <v>160</v>
      </c>
      <c r="G7" s="3">
        <v>160</v>
      </c>
      <c r="H7" s="3">
        <v>160</v>
      </c>
      <c r="I7" s="3">
        <v>162</v>
      </c>
      <c r="J7" s="3">
        <v>162</v>
      </c>
      <c r="K7" s="3">
        <v>162</v>
      </c>
      <c r="L7" s="3">
        <v>162</v>
      </c>
      <c r="M7" s="3">
        <v>162</v>
      </c>
      <c r="N7" s="3">
        <v>162</v>
      </c>
      <c r="O7" s="3">
        <v>161</v>
      </c>
    </row>
    <row r="8" spans="1:16" ht="11.25" customHeight="1" x14ac:dyDescent="0.25">
      <c r="A8" s="112"/>
      <c r="B8" s="7" t="s">
        <v>6</v>
      </c>
      <c r="C8" s="3">
        <v>77</v>
      </c>
      <c r="D8" s="3">
        <v>77</v>
      </c>
      <c r="E8" s="3">
        <v>77</v>
      </c>
      <c r="F8" s="3">
        <v>48</v>
      </c>
      <c r="G8" s="3">
        <v>77</v>
      </c>
      <c r="H8" s="3">
        <v>77</v>
      </c>
      <c r="I8" s="3">
        <v>88</v>
      </c>
      <c r="J8" s="3">
        <v>88</v>
      </c>
      <c r="K8" s="3">
        <v>88</v>
      </c>
      <c r="L8" s="3">
        <v>88</v>
      </c>
      <c r="M8" s="3">
        <v>88</v>
      </c>
      <c r="N8" s="3">
        <v>88</v>
      </c>
      <c r="O8" s="3">
        <v>80</v>
      </c>
    </row>
    <row r="9" spans="1:16" ht="11.85" customHeight="1" x14ac:dyDescent="0.25">
      <c r="A9" s="113"/>
      <c r="B9" s="8" t="s">
        <v>7</v>
      </c>
      <c r="C9" s="4">
        <v>786</v>
      </c>
      <c r="D9" s="4">
        <v>799</v>
      </c>
      <c r="E9" s="4">
        <v>801</v>
      </c>
      <c r="F9" s="4">
        <v>745</v>
      </c>
      <c r="G9" s="4">
        <v>798</v>
      </c>
      <c r="H9" s="4">
        <v>785</v>
      </c>
      <c r="I9" s="4">
        <v>766</v>
      </c>
      <c r="J9" s="4">
        <v>775</v>
      </c>
      <c r="K9" s="4">
        <v>775</v>
      </c>
      <c r="L9" s="4">
        <v>775</v>
      </c>
      <c r="M9" s="4">
        <v>775</v>
      </c>
      <c r="N9" s="4">
        <v>775</v>
      </c>
      <c r="O9" s="4">
        <v>780</v>
      </c>
    </row>
    <row r="10" spans="1:16" ht="11.25" customHeight="1" x14ac:dyDescent="0.25">
      <c r="A10" s="9">
        <v>2</v>
      </c>
      <c r="B10" s="10" t="s">
        <v>8</v>
      </c>
      <c r="C10" s="3">
        <v>269</v>
      </c>
      <c r="D10" s="3">
        <v>282</v>
      </c>
      <c r="E10" s="3">
        <v>274</v>
      </c>
      <c r="F10" s="3">
        <v>263</v>
      </c>
      <c r="G10" s="3">
        <v>282</v>
      </c>
      <c r="H10" s="3">
        <v>268</v>
      </c>
      <c r="I10" s="3">
        <v>270</v>
      </c>
      <c r="J10" s="3">
        <v>265</v>
      </c>
      <c r="K10" s="3">
        <v>274</v>
      </c>
      <c r="L10" s="3">
        <v>274</v>
      </c>
      <c r="M10" s="3">
        <v>247</v>
      </c>
      <c r="N10" s="3">
        <v>274</v>
      </c>
      <c r="O10" s="3">
        <v>3240</v>
      </c>
    </row>
    <row r="11" spans="1:16" ht="11.25" customHeight="1" x14ac:dyDescent="0.25">
      <c r="A11" s="114">
        <v>3</v>
      </c>
      <c r="B11" s="10" t="s">
        <v>9</v>
      </c>
      <c r="C11" s="3">
        <v>259</v>
      </c>
      <c r="D11" s="3">
        <v>267</v>
      </c>
      <c r="E11" s="3">
        <v>242</v>
      </c>
      <c r="F11" s="3">
        <v>269</v>
      </c>
      <c r="G11" s="3">
        <v>269</v>
      </c>
      <c r="H11" s="3">
        <v>242</v>
      </c>
      <c r="I11" s="3">
        <v>258</v>
      </c>
      <c r="J11" s="3">
        <v>257</v>
      </c>
      <c r="K11" s="3">
        <v>269</v>
      </c>
      <c r="L11" s="3">
        <v>258</v>
      </c>
      <c r="M11" s="3">
        <v>241</v>
      </c>
      <c r="N11" s="3">
        <v>269</v>
      </c>
      <c r="O11" s="3">
        <v>3100</v>
      </c>
      <c r="P11" s="150">
        <f>SUM(C11:N11)</f>
        <v>3100</v>
      </c>
    </row>
    <row r="12" spans="1:16" ht="11.25" customHeight="1" x14ac:dyDescent="0.25">
      <c r="A12" s="115"/>
      <c r="B12" s="11" t="s">
        <v>10</v>
      </c>
      <c r="C12" s="3">
        <v>568</v>
      </c>
      <c r="D12" s="3">
        <v>593.20000000000005</v>
      </c>
      <c r="E12" s="3">
        <v>568</v>
      </c>
      <c r="F12" s="3">
        <v>497</v>
      </c>
      <c r="G12" s="3">
        <v>534</v>
      </c>
      <c r="H12" s="3">
        <v>573.4</v>
      </c>
      <c r="I12" s="3">
        <v>588.4</v>
      </c>
      <c r="J12" s="3">
        <v>573.4</v>
      </c>
      <c r="K12" s="3">
        <v>588.4</v>
      </c>
      <c r="L12" s="3">
        <v>593.4</v>
      </c>
      <c r="M12" s="3">
        <v>529.4</v>
      </c>
      <c r="N12" s="3">
        <v>593.4</v>
      </c>
      <c r="O12" s="3">
        <v>6800</v>
      </c>
      <c r="P12" s="151">
        <f t="shared" ref="P12:P47" si="0">SUM(C12:N12)</f>
        <v>6799.9999999999982</v>
      </c>
    </row>
    <row r="13" spans="1:16" ht="11.25" customHeight="1" x14ac:dyDescent="0.25">
      <c r="A13" s="116"/>
      <c r="B13" s="8" t="s">
        <v>11</v>
      </c>
      <c r="C13" s="4">
        <f>C12+C11</f>
        <v>827</v>
      </c>
      <c r="D13" s="4">
        <f t="shared" ref="D13:N13" si="1">D12+D11</f>
        <v>860.2</v>
      </c>
      <c r="E13" s="4">
        <f t="shared" si="1"/>
        <v>810</v>
      </c>
      <c r="F13" s="4">
        <f t="shared" si="1"/>
        <v>766</v>
      </c>
      <c r="G13" s="4">
        <f t="shared" si="1"/>
        <v>803</v>
      </c>
      <c r="H13" s="4">
        <f t="shared" si="1"/>
        <v>815.4</v>
      </c>
      <c r="I13" s="4">
        <f t="shared" si="1"/>
        <v>846.4</v>
      </c>
      <c r="J13" s="4">
        <f t="shared" si="1"/>
        <v>830.4</v>
      </c>
      <c r="K13" s="4">
        <f t="shared" si="1"/>
        <v>857.4</v>
      </c>
      <c r="L13" s="4">
        <f t="shared" si="1"/>
        <v>851.4</v>
      </c>
      <c r="M13" s="4">
        <f t="shared" si="1"/>
        <v>770.4</v>
      </c>
      <c r="N13" s="4">
        <f t="shared" si="1"/>
        <v>862.4</v>
      </c>
      <c r="O13" s="4">
        <v>9900</v>
      </c>
      <c r="P13" s="150">
        <f t="shared" si="0"/>
        <v>9899.9999999999982</v>
      </c>
    </row>
    <row r="14" spans="1:16" ht="11.25" customHeight="1" x14ac:dyDescent="0.25">
      <c r="A14" s="117">
        <v>4</v>
      </c>
      <c r="B14" s="8" t="s">
        <v>12</v>
      </c>
      <c r="C14" s="3">
        <v>301</v>
      </c>
      <c r="D14" s="3">
        <v>311</v>
      </c>
      <c r="E14" s="3">
        <v>301</v>
      </c>
      <c r="F14" s="3">
        <v>311</v>
      </c>
      <c r="G14" s="3">
        <v>296</v>
      </c>
      <c r="H14" s="3">
        <v>285</v>
      </c>
      <c r="I14" s="3">
        <v>311</v>
      </c>
      <c r="J14" s="3">
        <v>301</v>
      </c>
      <c r="K14" s="3">
        <v>311</v>
      </c>
      <c r="L14" s="3">
        <v>284</v>
      </c>
      <c r="M14" s="3">
        <v>280</v>
      </c>
      <c r="N14" s="3">
        <v>311</v>
      </c>
      <c r="O14" s="3">
        <v>3603</v>
      </c>
      <c r="P14" s="150">
        <f t="shared" si="0"/>
        <v>3603</v>
      </c>
    </row>
    <row r="15" spans="1:16" ht="11.25" customHeight="1" x14ac:dyDescent="0.25">
      <c r="A15" s="112"/>
      <c r="B15" s="12" t="s">
        <v>13</v>
      </c>
      <c r="C15" s="3">
        <v>257</v>
      </c>
      <c r="D15" s="3">
        <v>266</v>
      </c>
      <c r="E15" s="3">
        <v>257</v>
      </c>
      <c r="F15" s="3">
        <v>179</v>
      </c>
      <c r="G15" s="3">
        <v>266</v>
      </c>
      <c r="H15" s="3">
        <v>257</v>
      </c>
      <c r="I15" s="3">
        <v>266</v>
      </c>
      <c r="J15" s="3">
        <v>257</v>
      </c>
      <c r="K15" s="3">
        <v>221</v>
      </c>
      <c r="L15" s="3">
        <v>266</v>
      </c>
      <c r="M15" s="3">
        <v>239</v>
      </c>
      <c r="N15" s="3">
        <v>266</v>
      </c>
      <c r="O15" s="3">
        <v>2997</v>
      </c>
      <c r="P15" s="150">
        <f t="shared" si="0"/>
        <v>2997</v>
      </c>
    </row>
    <row r="16" spans="1:16" ht="11.25" customHeight="1" x14ac:dyDescent="0.25">
      <c r="A16" s="113"/>
      <c r="B16" s="105" t="s">
        <v>191</v>
      </c>
      <c r="C16" s="4">
        <v>558</v>
      </c>
      <c r="D16" s="4">
        <v>577</v>
      </c>
      <c r="E16" s="4">
        <v>558</v>
      </c>
      <c r="F16" s="4">
        <v>490</v>
      </c>
      <c r="G16" s="4">
        <v>562</v>
      </c>
      <c r="H16" s="4">
        <v>542</v>
      </c>
      <c r="I16" s="4">
        <v>577</v>
      </c>
      <c r="J16" s="4">
        <v>558</v>
      </c>
      <c r="K16" s="4">
        <v>532</v>
      </c>
      <c r="L16" s="4">
        <v>550</v>
      </c>
      <c r="M16" s="4">
        <v>519</v>
      </c>
      <c r="N16" s="4">
        <v>577</v>
      </c>
      <c r="O16" s="4">
        <v>6600</v>
      </c>
      <c r="P16" s="150">
        <f t="shared" si="0"/>
        <v>6600</v>
      </c>
    </row>
    <row r="17" spans="1:16" ht="11.25" customHeight="1" x14ac:dyDescent="0.25">
      <c r="A17" s="9">
        <v>5</v>
      </c>
      <c r="B17" s="10" t="s">
        <v>14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150">
        <f t="shared" si="0"/>
        <v>0</v>
      </c>
    </row>
    <row r="18" spans="1:16" ht="11.25" customHeight="1" x14ac:dyDescent="0.25">
      <c r="A18" s="117">
        <v>6</v>
      </c>
      <c r="B18" s="8" t="s">
        <v>15</v>
      </c>
      <c r="C18" s="3">
        <v>228</v>
      </c>
      <c r="D18" s="3">
        <v>219</v>
      </c>
      <c r="E18" s="3">
        <v>201</v>
      </c>
      <c r="F18" s="3">
        <v>200</v>
      </c>
      <c r="G18" s="3">
        <v>214</v>
      </c>
      <c r="H18" s="3">
        <v>201</v>
      </c>
      <c r="I18" s="3">
        <v>216</v>
      </c>
      <c r="J18" s="3">
        <v>233</v>
      </c>
      <c r="K18" s="3">
        <v>181</v>
      </c>
      <c r="L18" s="3">
        <v>216</v>
      </c>
      <c r="M18" s="3">
        <v>202</v>
      </c>
      <c r="N18" s="3">
        <v>214</v>
      </c>
      <c r="O18" s="3">
        <v>2525</v>
      </c>
      <c r="P18" s="150">
        <f t="shared" si="0"/>
        <v>2525</v>
      </c>
    </row>
    <row r="19" spans="1:16" ht="11.25" customHeight="1" x14ac:dyDescent="0.25">
      <c r="A19" s="112"/>
      <c r="B19" s="13" t="s">
        <v>16</v>
      </c>
      <c r="C19" s="3">
        <v>316</v>
      </c>
      <c r="D19" s="3">
        <v>345</v>
      </c>
      <c r="E19" s="3">
        <v>345</v>
      </c>
      <c r="F19" s="3">
        <v>279</v>
      </c>
      <c r="G19" s="3">
        <v>335</v>
      </c>
      <c r="H19" s="3">
        <v>329</v>
      </c>
      <c r="I19" s="3">
        <v>348</v>
      </c>
      <c r="J19" s="3">
        <v>313</v>
      </c>
      <c r="K19" s="3">
        <v>339</v>
      </c>
      <c r="L19" s="3">
        <v>322</v>
      </c>
      <c r="M19" s="3">
        <v>306</v>
      </c>
      <c r="N19" s="3">
        <v>348</v>
      </c>
      <c r="O19" s="3">
        <v>3925</v>
      </c>
      <c r="P19" s="150">
        <f t="shared" si="0"/>
        <v>3925</v>
      </c>
    </row>
    <row r="20" spans="1:16" ht="11.25" customHeight="1" x14ac:dyDescent="0.25">
      <c r="A20" s="113"/>
      <c r="B20" s="14" t="s">
        <v>17</v>
      </c>
      <c r="C20" s="5">
        <v>544</v>
      </c>
      <c r="D20" s="5">
        <v>564</v>
      </c>
      <c r="E20" s="5">
        <v>546</v>
      </c>
      <c r="F20" s="5">
        <v>479</v>
      </c>
      <c r="G20" s="5">
        <v>549</v>
      </c>
      <c r="H20" s="5">
        <v>530</v>
      </c>
      <c r="I20" s="5">
        <v>564</v>
      </c>
      <c r="J20" s="5">
        <v>546</v>
      </c>
      <c r="K20" s="5">
        <v>520</v>
      </c>
      <c r="L20" s="5">
        <v>538</v>
      </c>
      <c r="M20" s="5">
        <v>508</v>
      </c>
      <c r="N20" s="5">
        <v>562</v>
      </c>
      <c r="O20" s="5">
        <v>6450</v>
      </c>
      <c r="P20" s="150">
        <f t="shared" si="0"/>
        <v>6450</v>
      </c>
    </row>
    <row r="21" spans="1:16" ht="12.75" customHeight="1" x14ac:dyDescent="0.25">
      <c r="A21" s="117">
        <v>7</v>
      </c>
      <c r="B21" s="96" t="s">
        <v>18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150">
        <f t="shared" si="0"/>
        <v>0</v>
      </c>
    </row>
    <row r="22" spans="1:16" ht="9.75" customHeight="1" x14ac:dyDescent="0.25">
      <c r="A22" s="112"/>
      <c r="B22" s="6" t="s">
        <v>19</v>
      </c>
      <c r="C22" s="99">
        <v>63</v>
      </c>
      <c r="D22" s="99">
        <v>67</v>
      </c>
      <c r="E22" s="99">
        <v>65</v>
      </c>
      <c r="F22" s="99">
        <v>68</v>
      </c>
      <c r="G22" s="99">
        <v>68</v>
      </c>
      <c r="H22" s="99">
        <v>65</v>
      </c>
      <c r="I22" s="99">
        <v>68</v>
      </c>
      <c r="J22" s="99">
        <v>67</v>
      </c>
      <c r="K22" s="99">
        <v>68</v>
      </c>
      <c r="L22" s="99">
        <v>68</v>
      </c>
      <c r="M22" s="99">
        <v>65</v>
      </c>
      <c r="N22" s="99">
        <v>68</v>
      </c>
      <c r="O22" s="99">
        <v>800</v>
      </c>
      <c r="P22" s="150">
        <f t="shared" si="0"/>
        <v>800</v>
      </c>
    </row>
    <row r="23" spans="1:16" ht="11.25" customHeight="1" x14ac:dyDescent="0.25">
      <c r="A23" s="112"/>
      <c r="B23" s="7" t="s">
        <v>20</v>
      </c>
      <c r="C23" s="3">
        <v>165</v>
      </c>
      <c r="D23" s="3">
        <v>152</v>
      </c>
      <c r="E23" s="3">
        <v>136</v>
      </c>
      <c r="F23" s="3">
        <v>132</v>
      </c>
      <c r="G23" s="3">
        <v>146</v>
      </c>
      <c r="H23" s="3">
        <v>136</v>
      </c>
      <c r="I23" s="3">
        <v>148</v>
      </c>
      <c r="J23" s="3">
        <v>166</v>
      </c>
      <c r="K23" s="3">
        <v>113</v>
      </c>
      <c r="L23" s="3">
        <v>148</v>
      </c>
      <c r="M23" s="3">
        <v>137</v>
      </c>
      <c r="N23" s="3">
        <v>146</v>
      </c>
      <c r="O23" s="3">
        <v>1725</v>
      </c>
      <c r="P23" s="150">
        <f t="shared" si="0"/>
        <v>1725</v>
      </c>
    </row>
    <row r="24" spans="1:16" ht="11.25" customHeight="1" x14ac:dyDescent="0.25">
      <c r="A24" s="113"/>
      <c r="B24" s="103" t="s">
        <v>21</v>
      </c>
      <c r="C24" s="3">
        <v>228</v>
      </c>
      <c r="D24" s="3">
        <v>219</v>
      </c>
      <c r="E24" s="3">
        <v>201</v>
      </c>
      <c r="F24" s="3">
        <v>200</v>
      </c>
      <c r="G24" s="3">
        <v>214</v>
      </c>
      <c r="H24" s="3">
        <v>201</v>
      </c>
      <c r="I24" s="3">
        <v>216</v>
      </c>
      <c r="J24" s="3">
        <v>233</v>
      </c>
      <c r="K24" s="3">
        <v>181</v>
      </c>
      <c r="L24" s="3">
        <v>216</v>
      </c>
      <c r="M24" s="3">
        <v>202</v>
      </c>
      <c r="N24" s="3">
        <v>214</v>
      </c>
      <c r="O24" s="3">
        <v>2525</v>
      </c>
      <c r="P24" s="150">
        <f t="shared" si="0"/>
        <v>2525</v>
      </c>
    </row>
    <row r="25" spans="1:16" ht="12.75" customHeight="1" x14ac:dyDescent="0.25">
      <c r="A25" s="111">
        <v>8</v>
      </c>
      <c r="B25" s="104" t="s">
        <v>22</v>
      </c>
      <c r="P25" s="150">
        <f t="shared" si="0"/>
        <v>0</v>
      </c>
    </row>
    <row r="26" spans="1:16" ht="9.75" customHeight="1" x14ac:dyDescent="0.25">
      <c r="A26" s="112"/>
      <c r="B26" s="2" t="s">
        <v>23</v>
      </c>
      <c r="C26" s="16">
        <v>104</v>
      </c>
      <c r="D26" s="16">
        <v>110</v>
      </c>
      <c r="E26" s="16">
        <v>108</v>
      </c>
      <c r="F26" s="16">
        <v>97</v>
      </c>
      <c r="G26" s="16">
        <v>112</v>
      </c>
      <c r="H26" s="16">
        <v>97</v>
      </c>
      <c r="I26" s="16">
        <v>115</v>
      </c>
      <c r="J26" s="16">
        <v>126</v>
      </c>
      <c r="K26" s="16">
        <v>121</v>
      </c>
      <c r="L26" s="16">
        <v>90</v>
      </c>
      <c r="M26" s="16">
        <v>100</v>
      </c>
      <c r="N26" s="16">
        <v>116</v>
      </c>
      <c r="O26" s="16">
        <v>1296</v>
      </c>
      <c r="P26" s="150">
        <f t="shared" si="0"/>
        <v>1296</v>
      </c>
    </row>
    <row r="27" spans="1:16" ht="11.25" customHeight="1" x14ac:dyDescent="0.25">
      <c r="A27" s="112"/>
      <c r="B27" s="7" t="s">
        <v>24</v>
      </c>
      <c r="C27" s="3">
        <v>73</v>
      </c>
      <c r="D27" s="3">
        <v>110.7</v>
      </c>
      <c r="E27" s="3">
        <v>106.6</v>
      </c>
      <c r="F27" s="3">
        <v>110.6</v>
      </c>
      <c r="G27" s="3">
        <v>110.6</v>
      </c>
      <c r="H27" s="3">
        <v>106.5</v>
      </c>
      <c r="I27" s="3">
        <v>109.7</v>
      </c>
      <c r="J27" s="3">
        <v>105.6</v>
      </c>
      <c r="K27" s="3">
        <v>109.6</v>
      </c>
      <c r="L27" s="3">
        <v>109.6</v>
      </c>
      <c r="M27" s="3">
        <v>97.7</v>
      </c>
      <c r="N27" s="3">
        <v>109.8</v>
      </c>
      <c r="O27" s="3">
        <v>1260</v>
      </c>
      <c r="P27" s="151">
        <f t="shared" si="0"/>
        <v>1260</v>
      </c>
    </row>
    <row r="28" spans="1:16" ht="11.25" customHeight="1" x14ac:dyDescent="0.25">
      <c r="A28" s="112"/>
      <c r="B28" s="7" t="s">
        <v>25</v>
      </c>
      <c r="C28" s="3">
        <f>C29-C27-C26</f>
        <v>139</v>
      </c>
      <c r="D28" s="3">
        <f t="shared" ref="D28:N28" si="2">D29-D27-D26</f>
        <v>124.30000000000001</v>
      </c>
      <c r="E28" s="3">
        <f t="shared" si="2"/>
        <v>130.4</v>
      </c>
      <c r="F28" s="3">
        <f t="shared" si="2"/>
        <v>71.400000000000006</v>
      </c>
      <c r="G28" s="3">
        <f t="shared" si="2"/>
        <v>112.4</v>
      </c>
      <c r="H28" s="3">
        <f t="shared" si="2"/>
        <v>125.5</v>
      </c>
      <c r="I28" s="3">
        <f t="shared" si="2"/>
        <v>123.30000000000001</v>
      </c>
      <c r="J28" s="3">
        <f t="shared" si="2"/>
        <v>81.400000000000006</v>
      </c>
      <c r="K28" s="3">
        <f t="shared" si="2"/>
        <v>108.4</v>
      </c>
      <c r="L28" s="3">
        <f t="shared" si="2"/>
        <v>122.4</v>
      </c>
      <c r="M28" s="3">
        <f t="shared" si="2"/>
        <v>108.30000000000001</v>
      </c>
      <c r="N28" s="3">
        <f t="shared" si="2"/>
        <v>122.19999999999999</v>
      </c>
      <c r="O28" s="3">
        <v>1369</v>
      </c>
      <c r="P28" s="150">
        <f t="shared" si="0"/>
        <v>1369</v>
      </c>
    </row>
    <row r="29" spans="1:16" ht="11.25" customHeight="1" x14ac:dyDescent="0.25">
      <c r="A29" s="113"/>
      <c r="B29" s="103" t="s">
        <v>26</v>
      </c>
      <c r="C29" s="98">
        <v>316</v>
      </c>
      <c r="D29" s="98">
        <v>345</v>
      </c>
      <c r="E29" s="98">
        <v>345</v>
      </c>
      <c r="F29" s="98">
        <v>279</v>
      </c>
      <c r="G29" s="98">
        <v>335</v>
      </c>
      <c r="H29" s="98">
        <v>329</v>
      </c>
      <c r="I29" s="98">
        <v>348</v>
      </c>
      <c r="J29" s="98">
        <v>313</v>
      </c>
      <c r="K29" s="98">
        <v>339</v>
      </c>
      <c r="L29" s="98">
        <v>322</v>
      </c>
      <c r="M29" s="98">
        <v>306</v>
      </c>
      <c r="N29" s="98">
        <v>348</v>
      </c>
      <c r="O29" s="98">
        <v>3925</v>
      </c>
      <c r="P29" s="150">
        <f t="shared" si="0"/>
        <v>3925</v>
      </c>
    </row>
    <row r="30" spans="1:16" ht="12.75" customHeight="1" x14ac:dyDescent="0.25">
      <c r="A30" s="111">
        <v>9</v>
      </c>
      <c r="B30" s="104" t="s">
        <v>27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150">
        <f t="shared" si="0"/>
        <v>0</v>
      </c>
    </row>
    <row r="31" spans="1:16" ht="9.75" customHeight="1" x14ac:dyDescent="0.25">
      <c r="A31" s="112"/>
      <c r="B31" s="6" t="s">
        <v>28</v>
      </c>
      <c r="C31" s="99">
        <v>51</v>
      </c>
      <c r="D31" s="99">
        <v>53</v>
      </c>
      <c r="E31" s="99">
        <v>51</v>
      </c>
      <c r="F31" s="99">
        <v>53</v>
      </c>
      <c r="G31" s="99">
        <v>53</v>
      </c>
      <c r="H31" s="99">
        <v>37</v>
      </c>
      <c r="I31" s="99">
        <v>53</v>
      </c>
      <c r="J31" s="99">
        <v>51</v>
      </c>
      <c r="K31" s="99">
        <v>53</v>
      </c>
      <c r="L31" s="99">
        <v>53</v>
      </c>
      <c r="M31" s="99">
        <v>49</v>
      </c>
      <c r="N31" s="99">
        <v>53</v>
      </c>
      <c r="O31" s="99">
        <v>610</v>
      </c>
      <c r="P31" s="150">
        <f t="shared" si="0"/>
        <v>610</v>
      </c>
    </row>
    <row r="32" spans="1:16" ht="11.25" customHeight="1" x14ac:dyDescent="0.25">
      <c r="A32" s="112"/>
      <c r="B32" s="7" t="s">
        <v>29</v>
      </c>
      <c r="C32" s="3">
        <v>80</v>
      </c>
      <c r="D32" s="3">
        <v>99</v>
      </c>
      <c r="E32" s="3">
        <v>97</v>
      </c>
      <c r="F32" s="3">
        <v>97</v>
      </c>
      <c r="G32" s="3">
        <v>100</v>
      </c>
      <c r="H32" s="3">
        <v>96</v>
      </c>
      <c r="I32" s="3">
        <v>98</v>
      </c>
      <c r="J32" s="3">
        <v>96</v>
      </c>
      <c r="K32" s="3">
        <v>99.7</v>
      </c>
      <c r="L32" s="3">
        <v>82</v>
      </c>
      <c r="M32" s="3">
        <v>91.7</v>
      </c>
      <c r="N32" s="3">
        <v>99.6</v>
      </c>
      <c r="O32" s="3">
        <v>1136</v>
      </c>
      <c r="P32" s="151">
        <f t="shared" si="0"/>
        <v>1136</v>
      </c>
    </row>
    <row r="33" spans="1:16" ht="11.25" customHeight="1" x14ac:dyDescent="0.25">
      <c r="A33" s="112"/>
      <c r="B33" s="7" t="s">
        <v>30</v>
      </c>
      <c r="C33" s="3">
        <v>45</v>
      </c>
      <c r="D33" s="3">
        <v>61</v>
      </c>
      <c r="E33" s="3">
        <v>58</v>
      </c>
      <c r="F33" s="3">
        <v>61</v>
      </c>
      <c r="G33" s="3">
        <v>61</v>
      </c>
      <c r="H33" s="3">
        <v>58</v>
      </c>
      <c r="I33" s="3">
        <v>61</v>
      </c>
      <c r="J33" s="3">
        <v>58</v>
      </c>
      <c r="K33" s="3">
        <v>61</v>
      </c>
      <c r="L33" s="3">
        <v>61</v>
      </c>
      <c r="M33" s="3">
        <v>54</v>
      </c>
      <c r="N33" s="3">
        <v>61</v>
      </c>
      <c r="O33" s="3">
        <v>700</v>
      </c>
      <c r="P33" s="150">
        <f t="shared" si="0"/>
        <v>700</v>
      </c>
    </row>
    <row r="34" spans="1:16" ht="11.25" customHeight="1" x14ac:dyDescent="0.25">
      <c r="A34" s="112"/>
      <c r="B34" s="7" t="s">
        <v>31</v>
      </c>
      <c r="C34" s="3">
        <v>20</v>
      </c>
      <c r="D34" s="3">
        <v>44</v>
      </c>
      <c r="E34" s="3">
        <v>43.4</v>
      </c>
      <c r="F34" s="3">
        <v>44.4</v>
      </c>
      <c r="G34" s="3">
        <v>44.4</v>
      </c>
      <c r="H34" s="3">
        <v>43.2</v>
      </c>
      <c r="I34" s="3">
        <v>44</v>
      </c>
      <c r="J34" s="3">
        <v>43</v>
      </c>
      <c r="K34" s="3">
        <v>44.4</v>
      </c>
      <c r="L34" s="3">
        <v>44.4</v>
      </c>
      <c r="M34" s="3">
        <v>40.4</v>
      </c>
      <c r="N34" s="3">
        <v>44.4</v>
      </c>
      <c r="O34" s="3">
        <v>500</v>
      </c>
      <c r="P34" s="152">
        <f t="shared" si="0"/>
        <v>499.99999999999994</v>
      </c>
    </row>
    <row r="35" spans="1:16" ht="11.25" customHeight="1" x14ac:dyDescent="0.25">
      <c r="A35" s="112"/>
      <c r="B35" s="7" t="s">
        <v>32</v>
      </c>
      <c r="C35" s="3">
        <v>97</v>
      </c>
      <c r="D35" s="3">
        <v>101</v>
      </c>
      <c r="E35" s="3">
        <v>97</v>
      </c>
      <c r="F35" s="3">
        <v>80</v>
      </c>
      <c r="G35" s="3">
        <v>100.6</v>
      </c>
      <c r="H35" s="3">
        <v>97</v>
      </c>
      <c r="I35" s="3">
        <v>101</v>
      </c>
      <c r="J35" s="3">
        <v>34</v>
      </c>
      <c r="K35" s="3">
        <v>100.7</v>
      </c>
      <c r="L35" s="3">
        <v>100.7</v>
      </c>
      <c r="M35" s="3">
        <v>90</v>
      </c>
      <c r="N35" s="3">
        <v>101</v>
      </c>
      <c r="O35" s="3">
        <v>1100</v>
      </c>
      <c r="P35" s="151">
        <f t="shared" si="0"/>
        <v>1100</v>
      </c>
    </row>
    <row r="36" spans="1:16" ht="11.25" customHeight="1" x14ac:dyDescent="0.25">
      <c r="A36" s="112"/>
      <c r="B36" s="7" t="s">
        <v>33</v>
      </c>
      <c r="C36" s="3">
        <v>116</v>
      </c>
      <c r="D36" s="3">
        <v>120</v>
      </c>
      <c r="E36" s="3">
        <v>95</v>
      </c>
      <c r="F36" s="3">
        <v>123</v>
      </c>
      <c r="G36" s="3">
        <v>123</v>
      </c>
      <c r="H36" s="3">
        <v>119</v>
      </c>
      <c r="I36" s="3">
        <v>123</v>
      </c>
      <c r="J36" s="3">
        <v>119</v>
      </c>
      <c r="K36" s="3">
        <v>47</v>
      </c>
      <c r="L36" s="3">
        <v>120</v>
      </c>
      <c r="M36" s="3">
        <v>105</v>
      </c>
      <c r="N36" s="3">
        <v>120</v>
      </c>
      <c r="O36" s="3">
        <v>1330</v>
      </c>
      <c r="P36" s="150">
        <f t="shared" si="0"/>
        <v>1330</v>
      </c>
    </row>
    <row r="37" spans="1:16" ht="11.25" customHeight="1" x14ac:dyDescent="0.25">
      <c r="A37" s="113"/>
      <c r="B37" s="15" t="s">
        <v>34</v>
      </c>
      <c r="C37" s="5">
        <v>409</v>
      </c>
      <c r="D37" s="5">
        <v>478</v>
      </c>
      <c r="E37" s="5">
        <v>441</v>
      </c>
      <c r="F37" s="5">
        <v>458</v>
      </c>
      <c r="G37" s="5">
        <v>482</v>
      </c>
      <c r="H37" s="5">
        <v>450</v>
      </c>
      <c r="I37" s="5">
        <v>480</v>
      </c>
      <c r="J37" s="5">
        <v>401.2</v>
      </c>
      <c r="K37" s="5">
        <v>406</v>
      </c>
      <c r="L37" s="5">
        <v>461.4</v>
      </c>
      <c r="M37" s="5">
        <v>430</v>
      </c>
      <c r="N37" s="5">
        <v>479.4</v>
      </c>
      <c r="O37" s="5">
        <v>5376</v>
      </c>
      <c r="P37" s="152">
        <f t="shared" si="0"/>
        <v>5375.9999999999991</v>
      </c>
    </row>
    <row r="38" spans="1:16" ht="12.75" customHeight="1" x14ac:dyDescent="0.25">
      <c r="A38" s="110">
        <v>10</v>
      </c>
      <c r="B38" s="102" t="s">
        <v>35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150">
        <f t="shared" si="0"/>
        <v>0</v>
      </c>
    </row>
    <row r="39" spans="1:16" ht="9.75" customHeight="1" x14ac:dyDescent="0.25">
      <c r="A39" s="108"/>
      <c r="B39" s="6" t="s">
        <v>36</v>
      </c>
      <c r="C39" s="99">
        <v>30</v>
      </c>
      <c r="D39" s="99">
        <v>6</v>
      </c>
      <c r="E39" s="99">
        <v>20</v>
      </c>
      <c r="F39" s="99">
        <v>0</v>
      </c>
      <c r="G39" s="99">
        <v>3</v>
      </c>
      <c r="H39" s="99">
        <v>5</v>
      </c>
      <c r="I39" s="99">
        <v>5</v>
      </c>
      <c r="J39" s="99">
        <v>27</v>
      </c>
      <c r="K39" s="99">
        <v>50</v>
      </c>
      <c r="L39" s="99">
        <v>19</v>
      </c>
      <c r="M39" s="99">
        <v>16</v>
      </c>
      <c r="N39" s="99">
        <v>9</v>
      </c>
      <c r="O39" s="99">
        <v>190</v>
      </c>
      <c r="P39" s="150">
        <f t="shared" si="0"/>
        <v>190</v>
      </c>
    </row>
    <row r="40" spans="1:16" ht="11.25" customHeight="1" x14ac:dyDescent="0.25">
      <c r="A40" s="108"/>
      <c r="B40" s="7" t="s">
        <v>37</v>
      </c>
      <c r="C40" s="3">
        <v>15</v>
      </c>
      <c r="D40" s="3">
        <v>10</v>
      </c>
      <c r="E40" s="3">
        <v>9</v>
      </c>
      <c r="F40" s="3">
        <v>0</v>
      </c>
      <c r="G40" s="3">
        <v>11</v>
      </c>
      <c r="H40" s="3">
        <v>15</v>
      </c>
      <c r="I40" s="3">
        <v>17</v>
      </c>
      <c r="J40" s="3">
        <v>30</v>
      </c>
      <c r="K40" s="3">
        <v>20</v>
      </c>
      <c r="L40" s="3">
        <v>10</v>
      </c>
      <c r="M40" s="3">
        <v>9</v>
      </c>
      <c r="N40" s="3">
        <v>14</v>
      </c>
      <c r="O40" s="3">
        <v>160</v>
      </c>
      <c r="P40" s="150">
        <f t="shared" si="0"/>
        <v>160</v>
      </c>
    </row>
    <row r="41" spans="1:16" ht="11.25" customHeight="1" x14ac:dyDescent="0.25">
      <c r="A41" s="108"/>
      <c r="B41" s="7" t="s">
        <v>38</v>
      </c>
      <c r="C41" s="3">
        <v>21</v>
      </c>
      <c r="D41" s="3">
        <v>12</v>
      </c>
      <c r="E41" s="3">
        <v>16</v>
      </c>
      <c r="F41" s="3">
        <v>1</v>
      </c>
      <c r="G41" s="3">
        <v>9</v>
      </c>
      <c r="H41" s="3">
        <v>25</v>
      </c>
      <c r="I41" s="3">
        <v>17</v>
      </c>
      <c r="J41" s="3">
        <v>45</v>
      </c>
      <c r="K41" s="3">
        <v>21</v>
      </c>
      <c r="L41" s="3">
        <v>15</v>
      </c>
      <c r="M41" s="3">
        <v>13</v>
      </c>
      <c r="N41" s="3">
        <v>15</v>
      </c>
      <c r="O41" s="3">
        <v>210</v>
      </c>
      <c r="P41" s="150">
        <f t="shared" si="0"/>
        <v>210</v>
      </c>
    </row>
    <row r="42" spans="1:16" ht="11.25" customHeight="1" x14ac:dyDescent="0.25">
      <c r="A42" s="109"/>
      <c r="B42" s="14" t="s">
        <v>39</v>
      </c>
      <c r="C42" s="4">
        <v>66</v>
      </c>
      <c r="D42" s="4">
        <v>28</v>
      </c>
      <c r="E42" s="4">
        <v>45</v>
      </c>
      <c r="F42" s="4">
        <v>1</v>
      </c>
      <c r="G42" s="4">
        <v>23</v>
      </c>
      <c r="H42" s="4">
        <v>45</v>
      </c>
      <c r="I42" s="4">
        <v>39</v>
      </c>
      <c r="J42" s="4">
        <v>102</v>
      </c>
      <c r="K42" s="4">
        <v>91</v>
      </c>
      <c r="L42" s="4">
        <v>44</v>
      </c>
      <c r="M42" s="4">
        <v>38</v>
      </c>
      <c r="N42" s="4">
        <v>38</v>
      </c>
      <c r="O42" s="4">
        <v>560</v>
      </c>
      <c r="P42" s="150">
        <f t="shared" si="0"/>
        <v>560</v>
      </c>
    </row>
    <row r="43" spans="1:16" ht="11.25" customHeight="1" x14ac:dyDescent="0.25">
      <c r="A43" s="17">
        <v>11</v>
      </c>
      <c r="B43" s="8" t="s">
        <v>40</v>
      </c>
      <c r="C43" s="4">
        <v>475</v>
      </c>
      <c r="D43" s="4">
        <v>506</v>
      </c>
      <c r="E43" s="4">
        <v>486</v>
      </c>
      <c r="F43" s="4">
        <v>459</v>
      </c>
      <c r="G43" s="4">
        <v>505</v>
      </c>
      <c r="H43" s="4">
        <v>495</v>
      </c>
      <c r="I43" s="4">
        <v>519.4</v>
      </c>
      <c r="J43" s="4">
        <v>503.4</v>
      </c>
      <c r="K43" s="4">
        <v>497</v>
      </c>
      <c r="L43" s="4">
        <v>505.2</v>
      </c>
      <c r="M43" s="4">
        <v>468</v>
      </c>
      <c r="N43" s="4">
        <v>517</v>
      </c>
      <c r="O43" s="4">
        <v>5936</v>
      </c>
      <c r="P43" s="152">
        <f t="shared" si="0"/>
        <v>5936</v>
      </c>
    </row>
    <row r="44" spans="1:16" ht="19.649999999999999" customHeight="1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52">
        <f t="shared" si="0"/>
        <v>0</v>
      </c>
    </row>
    <row r="45" spans="1:16" ht="9.75" customHeight="1" x14ac:dyDescent="0.25">
      <c r="A45" s="107">
        <v>12</v>
      </c>
      <c r="B45" s="100" t="s">
        <v>175</v>
      </c>
      <c r="C45" s="3">
        <v>42</v>
      </c>
      <c r="D45" s="3">
        <v>44</v>
      </c>
      <c r="E45" s="3">
        <v>42</v>
      </c>
      <c r="F45" s="3">
        <v>44</v>
      </c>
      <c r="G45" s="3">
        <v>44</v>
      </c>
      <c r="H45" s="18">
        <v>30.5</v>
      </c>
      <c r="I45" s="3">
        <v>43.8</v>
      </c>
      <c r="J45" s="3">
        <v>41.9</v>
      </c>
      <c r="K45" s="3">
        <v>43.8</v>
      </c>
      <c r="L45" s="3">
        <v>44</v>
      </c>
      <c r="M45" s="3">
        <v>41</v>
      </c>
      <c r="N45" s="3">
        <v>44</v>
      </c>
      <c r="O45" s="3">
        <v>505</v>
      </c>
      <c r="P45" s="152">
        <f t="shared" si="0"/>
        <v>505</v>
      </c>
    </row>
    <row r="46" spans="1:16" ht="9.75" customHeight="1" x14ac:dyDescent="0.25">
      <c r="A46" s="108"/>
      <c r="B46" s="19" t="s">
        <v>41</v>
      </c>
      <c r="C46" s="3">
        <v>77</v>
      </c>
      <c r="D46" s="3">
        <v>95</v>
      </c>
      <c r="E46" s="3">
        <v>93</v>
      </c>
      <c r="F46" s="3">
        <v>93</v>
      </c>
      <c r="G46" s="3">
        <v>96</v>
      </c>
      <c r="H46" s="3">
        <v>91</v>
      </c>
      <c r="I46" s="3">
        <v>93</v>
      </c>
      <c r="J46" s="3">
        <v>91</v>
      </c>
      <c r="K46" s="3">
        <v>96</v>
      </c>
      <c r="L46" s="3">
        <v>78</v>
      </c>
      <c r="M46" s="3">
        <v>88</v>
      </c>
      <c r="N46" s="3">
        <v>96</v>
      </c>
      <c r="O46" s="3">
        <v>1087</v>
      </c>
      <c r="P46" s="152">
        <f t="shared" si="0"/>
        <v>1087</v>
      </c>
    </row>
    <row r="47" spans="1:16" ht="10.35" customHeight="1" x14ac:dyDescent="0.25">
      <c r="A47" s="109"/>
      <c r="B47" s="14" t="s">
        <v>17</v>
      </c>
      <c r="C47" s="4">
        <f>C46+C45</f>
        <v>119</v>
      </c>
      <c r="D47" s="4">
        <f t="shared" ref="D47:N47" si="3">D46+D45</f>
        <v>139</v>
      </c>
      <c r="E47" s="4">
        <f t="shared" si="3"/>
        <v>135</v>
      </c>
      <c r="F47" s="4">
        <f t="shared" si="3"/>
        <v>137</v>
      </c>
      <c r="G47" s="4">
        <f t="shared" si="3"/>
        <v>140</v>
      </c>
      <c r="H47" s="4">
        <f t="shared" si="3"/>
        <v>121.5</v>
      </c>
      <c r="I47" s="4">
        <f t="shared" si="3"/>
        <v>136.80000000000001</v>
      </c>
      <c r="J47" s="4">
        <f t="shared" si="3"/>
        <v>132.9</v>
      </c>
      <c r="K47" s="4">
        <f t="shared" si="3"/>
        <v>139.80000000000001</v>
      </c>
      <c r="L47" s="4">
        <f t="shared" si="3"/>
        <v>122</v>
      </c>
      <c r="M47" s="4">
        <f t="shared" si="3"/>
        <v>129</v>
      </c>
      <c r="N47" s="4">
        <f t="shared" si="3"/>
        <v>140</v>
      </c>
      <c r="O47" s="4">
        <v>1592</v>
      </c>
      <c r="P47" s="152">
        <f t="shared" si="0"/>
        <v>1592</v>
      </c>
    </row>
  </sheetData>
  <mergeCells count="13">
    <mergeCell ref="A11:A13"/>
    <mergeCell ref="A14:A16"/>
    <mergeCell ref="A18:A20"/>
    <mergeCell ref="A21:A24"/>
    <mergeCell ref="A1:O1"/>
    <mergeCell ref="A2:O2"/>
    <mergeCell ref="B3:B4"/>
    <mergeCell ref="A5:A9"/>
    <mergeCell ref="A44:O44"/>
    <mergeCell ref="A45:A47"/>
    <mergeCell ref="A38:A42"/>
    <mergeCell ref="A30:A37"/>
    <mergeCell ref="A25:A2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workbookViewId="0">
      <selection activeCell="C45" sqref="C45:O47"/>
    </sheetView>
  </sheetViews>
  <sheetFormatPr defaultRowHeight="13.2" x14ac:dyDescent="0.25"/>
  <cols>
    <col min="1" max="1" width="6.44140625" customWidth="1"/>
    <col min="2" max="2" width="8.6640625" customWidth="1"/>
    <col min="3" max="3" width="5.33203125" customWidth="1"/>
    <col min="4" max="5" width="5.44140625" customWidth="1"/>
    <col min="6" max="6" width="5.33203125" customWidth="1"/>
    <col min="7" max="8" width="5.44140625" customWidth="1"/>
    <col min="9" max="9" width="5.33203125" customWidth="1"/>
    <col min="10" max="10" width="5.44140625" customWidth="1"/>
    <col min="11" max="11" width="5.33203125" customWidth="1"/>
    <col min="12" max="14" width="5.44140625" customWidth="1"/>
    <col min="15" max="15" width="43.109375" customWidth="1"/>
  </cols>
  <sheetData>
    <row r="1" spans="1:15" ht="12.9" customHeight="1" x14ac:dyDescent="0.25">
      <c r="A1" s="127" t="s">
        <v>42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ht="8.4" customHeight="1" x14ac:dyDescent="0.25">
      <c r="A2" s="20" t="s">
        <v>43</v>
      </c>
      <c r="B2" s="20" t="s">
        <v>44</v>
      </c>
      <c r="C2" s="21" t="s">
        <v>45</v>
      </c>
      <c r="D2" s="20" t="s">
        <v>46</v>
      </c>
      <c r="E2" s="21" t="s">
        <v>47</v>
      </c>
      <c r="F2" s="21" t="s">
        <v>48</v>
      </c>
      <c r="G2" s="21" t="s">
        <v>49</v>
      </c>
      <c r="H2" s="21" t="s">
        <v>50</v>
      </c>
      <c r="I2" s="21" t="s">
        <v>51</v>
      </c>
      <c r="J2" s="21" t="s">
        <v>52</v>
      </c>
      <c r="K2" s="21" t="s">
        <v>53</v>
      </c>
      <c r="L2" s="21" t="s">
        <v>54</v>
      </c>
      <c r="M2" s="20" t="s">
        <v>55</v>
      </c>
      <c r="N2" s="20" t="s">
        <v>56</v>
      </c>
      <c r="O2" s="21" t="s">
        <v>57</v>
      </c>
    </row>
    <row r="3" spans="1:15" ht="8.4" customHeight="1" x14ac:dyDescent="0.25">
      <c r="A3" s="122" t="s">
        <v>58</v>
      </c>
      <c r="B3" s="25" t="s">
        <v>59</v>
      </c>
      <c r="C3" s="26"/>
      <c r="D3" s="26"/>
      <c r="E3" s="26"/>
      <c r="F3" s="26"/>
      <c r="G3" s="26"/>
      <c r="H3" s="26"/>
      <c r="I3" s="27"/>
      <c r="J3" s="27"/>
      <c r="K3" s="27"/>
      <c r="L3" s="27"/>
      <c r="M3" s="27"/>
      <c r="N3" s="27"/>
      <c r="O3" s="25" t="s">
        <v>60</v>
      </c>
    </row>
    <row r="4" spans="1:15" ht="8.4" customHeight="1" x14ac:dyDescent="0.25">
      <c r="A4" s="123"/>
      <c r="B4" s="25" t="s">
        <v>61</v>
      </c>
      <c r="C4" s="26"/>
      <c r="D4" s="26"/>
      <c r="E4" s="26"/>
      <c r="F4" s="26"/>
      <c r="G4" s="26"/>
      <c r="H4" s="26"/>
      <c r="I4" s="27"/>
      <c r="J4" s="27"/>
      <c r="K4" s="27"/>
      <c r="L4" s="27"/>
      <c r="M4" s="27"/>
      <c r="N4" s="27"/>
      <c r="O4" s="25" t="s">
        <v>62</v>
      </c>
    </row>
    <row r="5" spans="1:15" ht="8.4" customHeight="1" x14ac:dyDescent="0.25">
      <c r="A5" s="123"/>
      <c r="B5" s="25" t="s">
        <v>63</v>
      </c>
    </row>
    <row r="6" spans="1:15" ht="8.4" customHeight="1" x14ac:dyDescent="0.25">
      <c r="A6" s="123"/>
      <c r="B6" s="25" t="s">
        <v>65</v>
      </c>
      <c r="C6" s="76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3" t="s">
        <v>64</v>
      </c>
    </row>
    <row r="7" spans="1:15" ht="8.4" customHeight="1" x14ac:dyDescent="0.25">
      <c r="A7" s="124"/>
      <c r="B7" s="25" t="s">
        <v>66</v>
      </c>
      <c r="C7" s="26"/>
      <c r="D7" s="26"/>
      <c r="E7" s="26"/>
      <c r="F7" s="28">
        <v>10</v>
      </c>
      <c r="G7" s="26"/>
      <c r="H7" s="26"/>
      <c r="I7" s="26"/>
      <c r="J7" s="26"/>
      <c r="K7" s="26"/>
      <c r="L7" s="26"/>
      <c r="M7" s="26"/>
      <c r="N7" s="26"/>
      <c r="O7" s="25" t="s">
        <v>67</v>
      </c>
    </row>
    <row r="8" spans="1:15" ht="8.4" customHeight="1" x14ac:dyDescent="0.25">
      <c r="A8" s="20" t="s">
        <v>68</v>
      </c>
      <c r="B8" s="25" t="s">
        <v>69</v>
      </c>
      <c r="C8" s="26"/>
      <c r="D8" s="26"/>
      <c r="E8" s="26"/>
      <c r="F8" s="28">
        <v>10</v>
      </c>
      <c r="G8" s="26"/>
      <c r="H8" s="26"/>
      <c r="I8" s="26"/>
      <c r="J8" s="26"/>
      <c r="K8" s="26"/>
      <c r="L8" s="26"/>
      <c r="M8" s="26"/>
      <c r="N8" s="26"/>
      <c r="O8" s="26"/>
    </row>
    <row r="9" spans="1:15" ht="8.4" customHeight="1" x14ac:dyDescent="0.25">
      <c r="A9" s="122" t="s">
        <v>70</v>
      </c>
      <c r="B9" s="25" t="s">
        <v>71</v>
      </c>
      <c r="C9" s="26"/>
      <c r="D9" s="26"/>
      <c r="E9" s="28">
        <v>9</v>
      </c>
      <c r="F9" s="26"/>
      <c r="G9" s="26"/>
      <c r="H9" s="26"/>
      <c r="I9" s="26"/>
      <c r="J9" s="26"/>
      <c r="K9" s="26"/>
      <c r="L9" s="26"/>
      <c r="M9" s="26"/>
      <c r="N9" s="26"/>
      <c r="O9" s="128" t="s">
        <v>72</v>
      </c>
    </row>
    <row r="10" spans="1:15" ht="8.4" customHeight="1" x14ac:dyDescent="0.25">
      <c r="A10" s="123"/>
      <c r="B10" s="25" t="s">
        <v>73</v>
      </c>
      <c r="C10" s="26"/>
      <c r="D10" s="26"/>
      <c r="E10" s="26"/>
      <c r="F10" s="26"/>
      <c r="G10" s="26"/>
      <c r="H10" s="28">
        <v>9</v>
      </c>
      <c r="I10" s="26"/>
      <c r="J10" s="26"/>
      <c r="K10" s="26"/>
      <c r="L10" s="26"/>
      <c r="M10" s="26"/>
      <c r="N10" s="26"/>
      <c r="O10" s="129"/>
    </row>
    <row r="11" spans="1:15" ht="8.4" customHeight="1" x14ac:dyDescent="0.25">
      <c r="A11" s="123"/>
      <c r="B11" s="25" t="s">
        <v>74</v>
      </c>
      <c r="C11" s="26"/>
      <c r="D11" s="26"/>
      <c r="E11" s="26"/>
      <c r="F11" s="26"/>
      <c r="G11" s="26"/>
      <c r="H11" s="26"/>
      <c r="I11" s="28">
        <v>6</v>
      </c>
      <c r="J11" s="26"/>
      <c r="K11" s="26"/>
      <c r="L11" s="26"/>
      <c r="M11" s="26"/>
      <c r="N11" s="26"/>
      <c r="O11" s="129"/>
    </row>
    <row r="12" spans="1:15" ht="8.4" customHeight="1" x14ac:dyDescent="0.25">
      <c r="A12" s="124"/>
      <c r="B12" s="25" t="s">
        <v>75</v>
      </c>
      <c r="C12" s="26"/>
      <c r="D12" s="26"/>
      <c r="E12" s="26"/>
      <c r="F12" s="26"/>
      <c r="G12" s="26"/>
      <c r="H12" s="26"/>
      <c r="I12" s="26"/>
      <c r="J12" s="26"/>
      <c r="K12" s="26"/>
      <c r="L12" s="28">
        <v>6</v>
      </c>
      <c r="M12" s="26"/>
      <c r="N12" s="26"/>
      <c r="O12" s="130"/>
    </row>
    <row r="13" spans="1:15" ht="8.4" customHeight="1" x14ac:dyDescent="0.25">
      <c r="A13" s="131" t="s">
        <v>76</v>
      </c>
      <c r="B13" s="25" t="s">
        <v>71</v>
      </c>
      <c r="C13" s="26"/>
      <c r="D13" s="26"/>
      <c r="E13" s="26"/>
      <c r="F13" s="26"/>
      <c r="G13" s="28">
        <v>7</v>
      </c>
      <c r="H13" s="26"/>
      <c r="I13" s="26"/>
      <c r="J13" s="26"/>
      <c r="K13" s="26"/>
      <c r="L13" s="26"/>
      <c r="M13" s="26"/>
      <c r="N13" s="26"/>
      <c r="O13" s="25" t="s">
        <v>77</v>
      </c>
    </row>
    <row r="14" spans="1:15" ht="8.4" customHeight="1" x14ac:dyDescent="0.25">
      <c r="A14" s="132"/>
      <c r="B14" s="25" t="s">
        <v>73</v>
      </c>
      <c r="C14" s="26"/>
      <c r="D14" s="26"/>
      <c r="E14" s="26"/>
      <c r="F14" s="28">
        <v>10</v>
      </c>
      <c r="G14" s="26"/>
      <c r="H14" s="26"/>
      <c r="I14" s="26"/>
      <c r="J14" s="26"/>
      <c r="K14" s="26"/>
      <c r="L14" s="26"/>
      <c r="M14" s="26"/>
      <c r="N14" s="26"/>
      <c r="O14" s="25" t="s">
        <v>78</v>
      </c>
    </row>
    <row r="15" spans="1:15" ht="8.4" customHeight="1" x14ac:dyDescent="0.25">
      <c r="A15" s="122" t="s">
        <v>79</v>
      </c>
      <c r="B15" s="25" t="s">
        <v>80</v>
      </c>
      <c r="C15" s="26"/>
      <c r="D15" s="26"/>
      <c r="E15" s="26"/>
      <c r="F15" s="26"/>
      <c r="G15" s="28">
        <v>5</v>
      </c>
      <c r="H15" s="26"/>
      <c r="I15" s="26"/>
      <c r="J15" s="26"/>
      <c r="K15" s="26"/>
      <c r="L15" s="26"/>
      <c r="M15" s="26"/>
      <c r="N15" s="26"/>
      <c r="O15" s="25" t="s">
        <v>81</v>
      </c>
    </row>
    <row r="16" spans="1:15" ht="8.4" customHeight="1" x14ac:dyDescent="0.25">
      <c r="A16" s="123"/>
      <c r="B16" s="25" t="s">
        <v>82</v>
      </c>
      <c r="C16" s="26"/>
      <c r="D16" s="26"/>
      <c r="E16" s="26"/>
      <c r="F16" s="26"/>
      <c r="G16" s="26"/>
      <c r="H16" s="28">
        <v>5</v>
      </c>
      <c r="I16" s="26"/>
      <c r="J16" s="26"/>
      <c r="K16" s="26"/>
      <c r="L16" s="26"/>
      <c r="M16" s="26"/>
      <c r="N16" s="26"/>
      <c r="O16" s="25" t="s">
        <v>83</v>
      </c>
    </row>
    <row r="17" spans="1:15" ht="8.4" customHeight="1" x14ac:dyDescent="0.25">
      <c r="A17" s="123"/>
      <c r="B17" s="25" t="s">
        <v>84</v>
      </c>
      <c r="C17" s="26"/>
      <c r="D17" s="26"/>
      <c r="E17" s="26"/>
      <c r="F17" s="26"/>
      <c r="G17" s="26"/>
      <c r="H17" s="26"/>
      <c r="I17" s="26"/>
      <c r="J17" s="26"/>
      <c r="K17" s="26"/>
      <c r="L17" s="28">
        <v>6</v>
      </c>
      <c r="M17" s="26"/>
      <c r="N17" s="26"/>
      <c r="O17" s="25" t="s">
        <v>85</v>
      </c>
    </row>
    <row r="18" spans="1:15" ht="8.4" customHeight="1" x14ac:dyDescent="0.25">
      <c r="A18" s="124"/>
      <c r="B18" s="25" t="s">
        <v>86</v>
      </c>
      <c r="C18" s="26"/>
      <c r="D18" s="26"/>
      <c r="E18" s="26"/>
      <c r="F18" s="28">
        <v>9</v>
      </c>
      <c r="G18" s="26"/>
      <c r="H18" s="26"/>
      <c r="I18" s="26"/>
      <c r="J18" s="26"/>
      <c r="K18" s="28">
        <v>4</v>
      </c>
      <c r="L18" s="26"/>
      <c r="M18" s="26"/>
      <c r="N18" s="26"/>
      <c r="O18" s="25" t="s">
        <v>87</v>
      </c>
    </row>
    <row r="19" spans="1:15" ht="8.4" customHeight="1" x14ac:dyDescent="0.25">
      <c r="A19" s="22" t="s">
        <v>88</v>
      </c>
      <c r="B19" s="25" t="s">
        <v>89</v>
      </c>
      <c r="C19" s="26"/>
      <c r="D19" s="31">
        <v>45</v>
      </c>
      <c r="E19" s="32"/>
      <c r="F19" s="26"/>
      <c r="G19" s="26"/>
      <c r="H19" s="26"/>
      <c r="I19" s="26"/>
      <c r="J19" s="26"/>
      <c r="K19" s="26"/>
      <c r="L19" s="26"/>
      <c r="M19" s="26"/>
      <c r="N19" s="26"/>
      <c r="O19" s="25" t="s">
        <v>90</v>
      </c>
    </row>
    <row r="20" spans="1:15" ht="8.4" customHeight="1" x14ac:dyDescent="0.25">
      <c r="A20" s="23"/>
      <c r="B20" s="25" t="s">
        <v>91</v>
      </c>
      <c r="C20" s="26"/>
      <c r="D20" s="26"/>
      <c r="E20" s="26"/>
      <c r="F20" s="26"/>
      <c r="G20" s="28">
        <v>11</v>
      </c>
      <c r="H20" s="26"/>
      <c r="I20" s="26"/>
      <c r="J20" s="26"/>
      <c r="K20" s="26"/>
      <c r="L20" s="26"/>
      <c r="M20" s="26"/>
      <c r="N20" s="26"/>
      <c r="O20" s="25" t="s">
        <v>92</v>
      </c>
    </row>
    <row r="21" spans="1:15" ht="8.4" customHeight="1" x14ac:dyDescent="0.25">
      <c r="A21" s="23"/>
      <c r="B21" s="25" t="s">
        <v>93</v>
      </c>
    </row>
    <row r="22" spans="1:15" ht="8.4" customHeight="1" x14ac:dyDescent="0.25">
      <c r="A22" s="24"/>
      <c r="B22" s="25" t="s">
        <v>95</v>
      </c>
      <c r="C22" s="86">
        <v>11</v>
      </c>
      <c r="D22" s="76"/>
      <c r="E22" s="76"/>
      <c r="F22" s="76"/>
      <c r="G22" s="76"/>
      <c r="H22" s="91">
        <v>45</v>
      </c>
      <c r="I22" s="92"/>
      <c r="J22" s="76"/>
      <c r="K22" s="76"/>
      <c r="L22" s="76"/>
      <c r="M22" s="76"/>
      <c r="N22" s="76"/>
      <c r="O22" s="73" t="s">
        <v>94</v>
      </c>
    </row>
    <row r="23" spans="1:15" ht="8.4" customHeight="1" x14ac:dyDescent="0.25">
      <c r="A23" s="122" t="s">
        <v>96</v>
      </c>
      <c r="B23" s="25" t="s">
        <v>97</v>
      </c>
      <c r="C23" s="26"/>
      <c r="D23" s="26"/>
      <c r="E23" s="26"/>
      <c r="F23" s="26"/>
      <c r="G23" s="125">
        <v>25</v>
      </c>
      <c r="H23" s="126"/>
      <c r="I23" s="26"/>
      <c r="J23" s="26"/>
      <c r="K23" s="26"/>
      <c r="L23" s="26"/>
      <c r="M23" s="26"/>
      <c r="N23" s="26"/>
      <c r="O23" s="25" t="s">
        <v>98</v>
      </c>
    </row>
    <row r="24" spans="1:15" ht="8.4" customHeight="1" x14ac:dyDescent="0.25">
      <c r="A24" s="123"/>
      <c r="B24" s="25" t="s">
        <v>99</v>
      </c>
      <c r="C24" s="26"/>
      <c r="D24" s="26"/>
      <c r="E24" s="26"/>
      <c r="F24" s="28">
        <v>11</v>
      </c>
      <c r="G24" s="26"/>
      <c r="H24" s="26"/>
      <c r="I24" s="26"/>
      <c r="J24" s="26"/>
      <c r="K24" s="26"/>
      <c r="L24" s="26"/>
      <c r="M24" s="26"/>
      <c r="N24" s="26"/>
      <c r="O24" s="25" t="s">
        <v>92</v>
      </c>
    </row>
    <row r="25" spans="1:15" ht="8.4" customHeight="1" x14ac:dyDescent="0.25">
      <c r="A25" s="123"/>
      <c r="B25" s="25" t="s">
        <v>100</v>
      </c>
    </row>
    <row r="26" spans="1:15" ht="8.4" customHeight="1" x14ac:dyDescent="0.25">
      <c r="A26" s="123"/>
      <c r="B26" s="25" t="s">
        <v>101</v>
      </c>
      <c r="C26" s="86">
        <v>11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3" t="s">
        <v>92</v>
      </c>
    </row>
    <row r="27" spans="1:15" ht="8.4" customHeight="1" x14ac:dyDescent="0.25">
      <c r="A27" s="123"/>
      <c r="B27" s="25" t="s">
        <v>102</v>
      </c>
      <c r="C27" s="26"/>
      <c r="D27" s="26"/>
      <c r="E27" s="26"/>
      <c r="F27" s="28">
        <v>10</v>
      </c>
      <c r="G27" s="26"/>
      <c r="H27" s="26"/>
      <c r="I27" s="26"/>
      <c r="J27" s="26"/>
      <c r="K27" s="26"/>
      <c r="L27" s="26"/>
      <c r="M27" s="26"/>
      <c r="N27" s="26"/>
      <c r="O27" s="29"/>
    </row>
    <row r="28" spans="1:15" ht="8.4" customHeight="1" x14ac:dyDescent="0.25">
      <c r="A28" s="124"/>
      <c r="B28" s="25" t="s">
        <v>103</v>
      </c>
      <c r="C28" s="26"/>
      <c r="D28" s="26"/>
      <c r="E28" s="26"/>
      <c r="F28" s="26"/>
      <c r="G28" s="28">
        <v>11</v>
      </c>
      <c r="H28" s="26"/>
      <c r="I28" s="26"/>
      <c r="J28" s="26"/>
      <c r="K28" s="26"/>
      <c r="L28" s="26"/>
      <c r="M28" s="26"/>
      <c r="N28" s="26"/>
      <c r="O28" s="30"/>
    </row>
    <row r="29" spans="1:15" ht="8.4" customHeight="1" x14ac:dyDescent="0.25">
      <c r="A29" s="122" t="s">
        <v>104</v>
      </c>
      <c r="B29" s="25" t="s">
        <v>105</v>
      </c>
      <c r="C29" s="26"/>
      <c r="D29" s="26"/>
      <c r="E29" s="26"/>
      <c r="F29" s="26"/>
      <c r="G29" s="26"/>
      <c r="H29" s="28">
        <v>10</v>
      </c>
      <c r="I29" s="26"/>
      <c r="J29" s="26"/>
      <c r="K29" s="26"/>
      <c r="L29" s="26"/>
      <c r="M29" s="26"/>
      <c r="N29" s="26"/>
      <c r="O29" s="25" t="s">
        <v>106</v>
      </c>
    </row>
    <row r="30" spans="1:15" ht="8.4" customHeight="1" x14ac:dyDescent="0.25">
      <c r="A30" s="123"/>
      <c r="B30" s="25" t="s">
        <v>107</v>
      </c>
    </row>
    <row r="31" spans="1:15" ht="8.4" customHeight="1" x14ac:dyDescent="0.25">
      <c r="A31" s="123"/>
      <c r="B31" s="25" t="s">
        <v>109</v>
      </c>
      <c r="C31" s="86">
        <v>7</v>
      </c>
      <c r="D31" s="76"/>
      <c r="E31" s="76"/>
      <c r="F31" s="76"/>
      <c r="G31" s="76"/>
      <c r="H31" s="76"/>
      <c r="I31" s="76"/>
      <c r="J31" s="76"/>
      <c r="K31" s="76"/>
      <c r="L31" s="86">
        <v>7</v>
      </c>
      <c r="M31" s="76"/>
      <c r="N31" s="76"/>
      <c r="O31" s="73" t="s">
        <v>108</v>
      </c>
    </row>
    <row r="32" spans="1:15" ht="8.4" customHeight="1" x14ac:dyDescent="0.25">
      <c r="A32" s="123"/>
      <c r="B32" s="25" t="s">
        <v>110</v>
      </c>
      <c r="C32" s="28">
        <v>18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5" t="s">
        <v>111</v>
      </c>
    </row>
    <row r="33" spans="1:15" ht="8.4" customHeight="1" x14ac:dyDescent="0.25">
      <c r="A33" s="123"/>
      <c r="B33" s="25" t="s">
        <v>112</v>
      </c>
      <c r="C33" s="26"/>
      <c r="D33" s="26"/>
      <c r="E33" s="26"/>
      <c r="F33" s="28">
        <v>7</v>
      </c>
      <c r="G33" s="26"/>
      <c r="H33" s="26"/>
      <c r="I33" s="26"/>
      <c r="J33" s="28">
        <v>20</v>
      </c>
      <c r="K33" s="26"/>
      <c r="L33" s="26"/>
      <c r="M33" s="26"/>
      <c r="N33" s="26"/>
      <c r="O33" s="25" t="s">
        <v>113</v>
      </c>
    </row>
    <row r="34" spans="1:15" ht="8.4" customHeight="1" x14ac:dyDescent="0.25">
      <c r="A34" s="124"/>
      <c r="B34" s="25" t="s">
        <v>114</v>
      </c>
      <c r="C34" s="26"/>
      <c r="D34" s="26"/>
      <c r="E34" s="28">
        <v>6</v>
      </c>
      <c r="F34" s="26"/>
      <c r="G34" s="26"/>
      <c r="H34" s="26"/>
      <c r="I34" s="26"/>
      <c r="J34" s="26"/>
      <c r="K34" s="28">
        <v>20</v>
      </c>
      <c r="L34" s="26"/>
      <c r="M34" s="26"/>
      <c r="N34" s="26"/>
      <c r="O34" s="25" t="s">
        <v>115</v>
      </c>
    </row>
  </sheetData>
  <mergeCells count="9">
    <mergeCell ref="A23:A28"/>
    <mergeCell ref="G23:H23"/>
    <mergeCell ref="A29:A34"/>
    <mergeCell ref="A15:A18"/>
    <mergeCell ref="A1:O1"/>
    <mergeCell ref="A3:A7"/>
    <mergeCell ref="A9:A12"/>
    <mergeCell ref="O9:O12"/>
    <mergeCell ref="A13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workbookViewId="0">
      <selection activeCell="C45" sqref="C45:O47"/>
    </sheetView>
  </sheetViews>
  <sheetFormatPr defaultRowHeight="13.2" x14ac:dyDescent="0.25"/>
  <cols>
    <col min="1" max="1" width="9.44140625" customWidth="1"/>
    <col min="2" max="2" width="15.109375" customWidth="1"/>
    <col min="3" max="3" width="5.33203125" customWidth="1"/>
    <col min="4" max="4" width="6.109375" customWidth="1"/>
    <col min="5" max="5" width="22.44140625" customWidth="1"/>
    <col min="6" max="6" width="5.77734375" customWidth="1"/>
    <col min="7" max="7" width="5.33203125" customWidth="1"/>
    <col min="8" max="8" width="21.77734375" customWidth="1"/>
    <col min="9" max="9" width="6" customWidth="1"/>
    <col min="10" max="10" width="7.77734375" customWidth="1"/>
  </cols>
  <sheetData>
    <row r="1" spans="1:15" ht="32.25" customHeight="1" x14ac:dyDescent="0.25">
      <c r="A1" s="143" t="s">
        <v>116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5" ht="9.9" customHeight="1" x14ac:dyDescent="0.25">
      <c r="A2" s="144" t="s">
        <v>117</v>
      </c>
      <c r="B2" s="145"/>
      <c r="C2" s="34" t="s">
        <v>118</v>
      </c>
      <c r="D2" s="33" t="s">
        <v>119</v>
      </c>
      <c r="E2" s="33" t="s">
        <v>117</v>
      </c>
      <c r="F2" s="33" t="s">
        <v>118</v>
      </c>
      <c r="G2" s="33" t="s">
        <v>119</v>
      </c>
      <c r="H2" s="33" t="s">
        <v>117</v>
      </c>
      <c r="I2" s="33" t="s">
        <v>118</v>
      </c>
      <c r="J2" s="33" t="s">
        <v>119</v>
      </c>
    </row>
    <row r="3" spans="1:15" ht="9.9" customHeight="1" x14ac:dyDescent="0.25">
      <c r="A3" s="146" t="s">
        <v>120</v>
      </c>
      <c r="B3" s="147"/>
      <c r="C3" s="147"/>
      <c r="D3" s="36"/>
      <c r="E3" s="35" t="s">
        <v>121</v>
      </c>
      <c r="F3" s="37"/>
      <c r="G3" s="36"/>
      <c r="H3" s="35" t="s">
        <v>122</v>
      </c>
      <c r="I3" s="37"/>
      <c r="J3" s="36"/>
    </row>
    <row r="4" spans="1:15" ht="9.6" customHeight="1" x14ac:dyDescent="0.25">
      <c r="A4" s="148"/>
      <c r="B4" s="149"/>
      <c r="C4" s="39"/>
      <c r="D4" s="40"/>
      <c r="E4" s="141" t="s">
        <v>123</v>
      </c>
      <c r="F4" s="142"/>
      <c r="G4" s="40"/>
      <c r="H4" s="148"/>
      <c r="I4" s="149"/>
      <c r="J4" s="40"/>
    </row>
    <row r="5" spans="1:15" ht="9.6" customHeight="1" x14ac:dyDescent="0.25">
      <c r="A5" s="141" t="s">
        <v>124</v>
      </c>
      <c r="B5" s="142"/>
    </row>
    <row r="6" spans="1:15" ht="9.6" customHeight="1" x14ac:dyDescent="0.25">
      <c r="A6" s="141" t="s">
        <v>129</v>
      </c>
      <c r="B6" s="142"/>
      <c r="C6" s="74" t="s">
        <v>125</v>
      </c>
      <c r="D6" s="78">
        <v>16.5</v>
      </c>
      <c r="E6" s="80" t="s">
        <v>126</v>
      </c>
      <c r="F6" s="74" t="s">
        <v>127</v>
      </c>
      <c r="G6" s="81">
        <v>407</v>
      </c>
      <c r="H6" s="83" t="s">
        <v>128</v>
      </c>
      <c r="I6" s="84"/>
      <c r="J6" s="79"/>
      <c r="K6" s="72"/>
      <c r="L6" s="72"/>
      <c r="M6" s="72"/>
      <c r="N6" s="72"/>
      <c r="O6" s="72"/>
    </row>
    <row r="7" spans="1:15" ht="9.6" customHeight="1" x14ac:dyDescent="0.25">
      <c r="A7" s="47" t="s">
        <v>131</v>
      </c>
      <c r="B7" s="48" t="s">
        <v>132</v>
      </c>
      <c r="C7" s="43" t="s">
        <v>133</v>
      </c>
      <c r="D7" s="44">
        <v>13</v>
      </c>
      <c r="E7" s="45" t="s">
        <v>134</v>
      </c>
      <c r="F7" s="43" t="s">
        <v>127</v>
      </c>
      <c r="G7" s="46">
        <v>125</v>
      </c>
      <c r="H7" s="45" t="s">
        <v>135</v>
      </c>
      <c r="I7" s="43" t="s">
        <v>127</v>
      </c>
      <c r="J7" s="44">
        <v>74</v>
      </c>
    </row>
    <row r="8" spans="1:15" ht="9.6" customHeight="1" x14ac:dyDescent="0.25">
      <c r="A8" s="38"/>
      <c r="B8" s="48" t="s">
        <v>136</v>
      </c>
      <c r="C8" s="43" t="s">
        <v>133</v>
      </c>
      <c r="D8" s="44">
        <v>2</v>
      </c>
      <c r="E8" s="45" t="s">
        <v>137</v>
      </c>
      <c r="F8" s="43" t="s">
        <v>127</v>
      </c>
      <c r="G8" s="46">
        <v>550</v>
      </c>
      <c r="H8" s="49" t="s">
        <v>138</v>
      </c>
      <c r="I8" s="43" t="s">
        <v>127</v>
      </c>
      <c r="J8" s="44">
        <v>1105</v>
      </c>
    </row>
    <row r="9" spans="1:15" ht="9.6" customHeight="1" x14ac:dyDescent="0.25">
      <c r="A9" s="38"/>
      <c r="B9" s="50" t="s">
        <v>139</v>
      </c>
      <c r="C9" s="51" t="s">
        <v>140</v>
      </c>
      <c r="D9" s="52">
        <v>15</v>
      </c>
      <c r="E9" s="38"/>
      <c r="F9" s="39"/>
      <c r="G9" s="40"/>
      <c r="H9" s="38"/>
      <c r="I9" s="39"/>
      <c r="J9" s="40"/>
    </row>
    <row r="10" spans="1:15" ht="9.6" customHeight="1" x14ac:dyDescent="0.25">
      <c r="A10" s="47" t="s">
        <v>141</v>
      </c>
      <c r="B10" s="48" t="s">
        <v>142</v>
      </c>
      <c r="C10" s="43" t="s">
        <v>133</v>
      </c>
      <c r="D10" s="44">
        <v>35</v>
      </c>
      <c r="E10" s="38"/>
      <c r="F10" s="39"/>
      <c r="G10" s="40"/>
      <c r="H10" s="38"/>
      <c r="I10" s="39"/>
      <c r="J10" s="40"/>
    </row>
    <row r="11" spans="1:15" ht="9.6" customHeight="1" x14ac:dyDescent="0.25">
      <c r="A11" s="38"/>
      <c r="B11" s="48" t="s">
        <v>143</v>
      </c>
      <c r="C11" s="43" t="s">
        <v>133</v>
      </c>
      <c r="D11" s="44">
        <v>8.5</v>
      </c>
      <c r="E11" s="53" t="s">
        <v>144</v>
      </c>
      <c r="F11" s="43" t="s">
        <v>133</v>
      </c>
      <c r="G11" s="46">
        <v>69</v>
      </c>
      <c r="H11" s="38"/>
      <c r="I11" s="39"/>
      <c r="J11" s="40"/>
    </row>
    <row r="12" spans="1:15" ht="9.6" customHeight="1" x14ac:dyDescent="0.25">
      <c r="A12" s="38"/>
      <c r="B12" s="48" t="s">
        <v>145</v>
      </c>
      <c r="C12" s="43" t="s">
        <v>133</v>
      </c>
      <c r="D12" s="44">
        <v>2.5</v>
      </c>
      <c r="E12" s="38"/>
      <c r="F12" s="39"/>
      <c r="G12" s="40"/>
      <c r="H12" s="38"/>
      <c r="I12" s="39"/>
      <c r="J12" s="40"/>
    </row>
    <row r="13" spans="1:15" ht="9.6" customHeight="1" x14ac:dyDescent="0.25">
      <c r="A13" s="38"/>
      <c r="B13" s="48" t="s">
        <v>146</v>
      </c>
      <c r="C13" s="43" t="s">
        <v>133</v>
      </c>
      <c r="D13" s="44">
        <v>6</v>
      </c>
      <c r="E13" s="38"/>
      <c r="F13" s="39"/>
      <c r="G13" s="40"/>
      <c r="H13" s="41" t="s">
        <v>147</v>
      </c>
      <c r="I13" s="39"/>
      <c r="J13" s="40"/>
    </row>
    <row r="14" spans="1:15" ht="9.6" customHeight="1" x14ac:dyDescent="0.25">
      <c r="A14" s="38"/>
      <c r="B14" s="48" t="s">
        <v>148</v>
      </c>
      <c r="C14" s="51" t="s">
        <v>140</v>
      </c>
      <c r="D14" s="44">
        <v>4</v>
      </c>
      <c r="E14" s="38"/>
      <c r="F14" s="39"/>
      <c r="G14" s="40"/>
      <c r="H14" s="141" t="s">
        <v>128</v>
      </c>
      <c r="I14" s="142"/>
      <c r="J14" s="40"/>
    </row>
    <row r="15" spans="1:15" ht="9.6" customHeight="1" x14ac:dyDescent="0.25">
      <c r="A15" s="38"/>
      <c r="B15" s="48" t="s">
        <v>149</v>
      </c>
      <c r="C15" s="43" t="s">
        <v>133</v>
      </c>
      <c r="D15" s="44">
        <v>5</v>
      </c>
      <c r="E15" s="38"/>
      <c r="F15" s="39"/>
      <c r="G15" s="40"/>
      <c r="H15" s="45" t="s">
        <v>130</v>
      </c>
      <c r="I15" s="43" t="s">
        <v>127</v>
      </c>
      <c r="J15" s="44">
        <v>1017</v>
      </c>
    </row>
    <row r="16" spans="1:15" ht="9.6" customHeight="1" x14ac:dyDescent="0.25">
      <c r="A16" s="38"/>
      <c r="B16" s="48" t="s">
        <v>150</v>
      </c>
      <c r="C16" s="43" t="s">
        <v>133</v>
      </c>
      <c r="D16" s="44">
        <v>1</v>
      </c>
      <c r="E16" s="38"/>
      <c r="F16" s="39"/>
      <c r="G16" s="40"/>
      <c r="H16" s="45" t="s">
        <v>135</v>
      </c>
      <c r="I16" s="43" t="s">
        <v>127</v>
      </c>
      <c r="J16" s="44">
        <v>81</v>
      </c>
    </row>
    <row r="17" spans="1:15" ht="9.6" customHeight="1" x14ac:dyDescent="0.25">
      <c r="A17" s="38"/>
      <c r="B17" s="50" t="s">
        <v>151</v>
      </c>
      <c r="C17" s="43" t="s">
        <v>133</v>
      </c>
      <c r="D17" s="54">
        <v>62</v>
      </c>
      <c r="E17" s="38"/>
      <c r="F17" s="39"/>
      <c r="G17" s="40"/>
      <c r="H17" s="49" t="s">
        <v>138</v>
      </c>
      <c r="I17" s="55" t="s">
        <v>152</v>
      </c>
      <c r="J17" s="54">
        <v>1098</v>
      </c>
    </row>
    <row r="18" spans="1:15" ht="9.6" customHeight="1" x14ac:dyDescent="0.25">
      <c r="A18" s="38"/>
      <c r="B18" s="48" t="s">
        <v>153</v>
      </c>
      <c r="C18" s="43" t="s">
        <v>133</v>
      </c>
      <c r="D18" s="44">
        <v>14</v>
      </c>
      <c r="E18" s="38"/>
      <c r="F18" s="39"/>
      <c r="G18" s="40"/>
      <c r="H18" s="38"/>
      <c r="I18" s="39"/>
      <c r="J18" s="40"/>
    </row>
    <row r="19" spans="1:15" ht="9.6" customHeight="1" x14ac:dyDescent="0.25">
      <c r="A19" s="38"/>
      <c r="B19" s="48" t="s">
        <v>154</v>
      </c>
      <c r="C19" s="43" t="s">
        <v>133</v>
      </c>
      <c r="D19" s="44">
        <v>9</v>
      </c>
      <c r="E19" s="38"/>
      <c r="F19" s="39"/>
      <c r="G19" s="40"/>
      <c r="H19" s="38"/>
      <c r="I19" s="39"/>
      <c r="J19" s="40"/>
    </row>
    <row r="20" spans="1:15" ht="9.6" customHeight="1" x14ac:dyDescent="0.25">
      <c r="A20" s="38"/>
      <c r="B20" s="42" t="s">
        <v>155</v>
      </c>
      <c r="C20" s="43" t="s">
        <v>133</v>
      </c>
      <c r="D20" s="54">
        <v>85</v>
      </c>
      <c r="E20" s="38"/>
      <c r="F20" s="39"/>
      <c r="G20" s="40"/>
      <c r="H20" s="38"/>
      <c r="I20" s="39"/>
      <c r="J20" s="40"/>
    </row>
    <row r="21" spans="1:15" ht="19.350000000000001" customHeight="1" x14ac:dyDescent="0.25">
      <c r="A21" s="56"/>
      <c r="B21" s="57" t="s">
        <v>156</v>
      </c>
    </row>
    <row r="22" spans="1:15" ht="9.9" customHeight="1" x14ac:dyDescent="0.25">
      <c r="A22" s="59"/>
      <c r="B22" s="59"/>
      <c r="C22" s="85" t="s">
        <v>157</v>
      </c>
      <c r="D22" s="87">
        <v>100</v>
      </c>
      <c r="E22" s="88"/>
      <c r="F22" s="89"/>
      <c r="G22" s="90"/>
      <c r="H22" s="88"/>
      <c r="I22" s="89"/>
      <c r="J22" s="90"/>
      <c r="K22" s="72"/>
      <c r="L22" s="72"/>
      <c r="M22" s="72"/>
      <c r="N22" s="72"/>
      <c r="O22" s="72"/>
    </row>
    <row r="23" spans="1:15" ht="19.649999999999999" customHeight="1" x14ac:dyDescent="0.25">
      <c r="A23" s="60" t="s">
        <v>117</v>
      </c>
      <c r="B23" s="60" t="s">
        <v>118</v>
      </c>
      <c r="C23" s="135" t="s">
        <v>119</v>
      </c>
      <c r="D23" s="136"/>
      <c r="E23" s="61" t="s">
        <v>117</v>
      </c>
      <c r="F23" s="62" t="s">
        <v>118</v>
      </c>
      <c r="G23" s="62" t="s">
        <v>119</v>
      </c>
      <c r="H23" s="61" t="s">
        <v>117</v>
      </c>
      <c r="I23" s="63" t="s">
        <v>118</v>
      </c>
      <c r="J23" s="64" t="s">
        <v>119</v>
      </c>
    </row>
    <row r="24" spans="1:15" ht="19.5" customHeight="1" x14ac:dyDescent="0.25">
      <c r="A24" s="65" t="s">
        <v>158</v>
      </c>
      <c r="B24" s="66" t="s">
        <v>159</v>
      </c>
      <c r="C24" s="137">
        <v>5.86</v>
      </c>
      <c r="D24" s="138"/>
      <c r="E24" s="35" t="s">
        <v>160</v>
      </c>
      <c r="F24" s="67"/>
      <c r="G24" s="68"/>
      <c r="H24" s="35" t="s">
        <v>160</v>
      </c>
      <c r="I24" s="67"/>
      <c r="J24" s="68"/>
    </row>
    <row r="25" spans="1:15" ht="9.6" customHeight="1" x14ac:dyDescent="0.25">
      <c r="A25" s="38"/>
      <c r="B25" s="39"/>
    </row>
    <row r="26" spans="1:15" ht="14.25" customHeight="1" x14ac:dyDescent="0.25">
      <c r="A26" s="47" t="s">
        <v>163</v>
      </c>
      <c r="B26" s="48" t="s">
        <v>164</v>
      </c>
      <c r="C26" s="75"/>
      <c r="D26" s="79"/>
      <c r="E26" s="83" t="s">
        <v>161</v>
      </c>
      <c r="F26" s="75"/>
      <c r="G26" s="79"/>
      <c r="H26" s="83" t="s">
        <v>162</v>
      </c>
      <c r="I26" s="75"/>
      <c r="J26" s="79"/>
      <c r="K26" s="72"/>
      <c r="L26" s="72"/>
      <c r="M26" s="72"/>
      <c r="N26" s="72"/>
      <c r="O26" s="72"/>
    </row>
    <row r="27" spans="1:15" ht="14.4" customHeight="1" x14ac:dyDescent="0.25">
      <c r="A27" s="47" t="s">
        <v>165</v>
      </c>
      <c r="B27" s="48" t="s">
        <v>166</v>
      </c>
      <c r="C27" s="139">
        <v>2.7</v>
      </c>
      <c r="D27" s="140"/>
      <c r="E27" s="41" t="s">
        <v>167</v>
      </c>
      <c r="F27" s="69"/>
      <c r="G27" s="70"/>
      <c r="H27" s="41" t="s">
        <v>168</v>
      </c>
      <c r="I27" s="69"/>
      <c r="J27" s="70"/>
    </row>
    <row r="28" spans="1:15" ht="14.25" customHeight="1" x14ac:dyDescent="0.25">
      <c r="A28" s="71"/>
      <c r="B28" s="69"/>
      <c r="C28" s="133"/>
      <c r="D28" s="134"/>
      <c r="E28" s="53" t="s">
        <v>169</v>
      </c>
      <c r="F28" s="43" t="s">
        <v>133</v>
      </c>
      <c r="G28" s="44">
        <v>98</v>
      </c>
      <c r="H28" s="45" t="s">
        <v>170</v>
      </c>
      <c r="I28" s="43" t="s">
        <v>133</v>
      </c>
      <c r="J28" s="44">
        <v>97</v>
      </c>
    </row>
    <row r="29" spans="1:15" ht="14.4" customHeight="1" x14ac:dyDescent="0.25">
      <c r="A29" s="71"/>
      <c r="B29" s="69"/>
      <c r="C29" s="133"/>
      <c r="D29" s="134"/>
      <c r="E29" s="41" t="s">
        <v>171</v>
      </c>
      <c r="F29" s="69"/>
      <c r="G29" s="70"/>
      <c r="H29" s="41" t="s">
        <v>172</v>
      </c>
      <c r="I29" s="69"/>
      <c r="J29" s="70"/>
    </row>
    <row r="30" spans="1:15" ht="19.350000000000001" customHeight="1" x14ac:dyDescent="0.25">
      <c r="A30" s="56"/>
      <c r="B30" s="58"/>
    </row>
    <row r="31" spans="1:15" x14ac:dyDescent="0.25">
      <c r="C31" s="89"/>
      <c r="D31" s="90"/>
      <c r="E31" s="94" t="s">
        <v>173</v>
      </c>
      <c r="F31" s="95" t="s">
        <v>133</v>
      </c>
      <c r="G31" s="93">
        <v>95.2</v>
      </c>
      <c r="H31" s="94" t="s">
        <v>174</v>
      </c>
      <c r="I31" s="95" t="s">
        <v>133</v>
      </c>
      <c r="J31" s="93">
        <v>90</v>
      </c>
      <c r="K31" s="72"/>
      <c r="L31" s="72"/>
      <c r="M31" s="72"/>
      <c r="N31" s="72"/>
      <c r="O31" s="72"/>
    </row>
  </sheetData>
  <mergeCells count="14">
    <mergeCell ref="A5:B5"/>
    <mergeCell ref="A6:B6"/>
    <mergeCell ref="H14:I14"/>
    <mergeCell ref="A1:J1"/>
    <mergeCell ref="A2:B2"/>
    <mergeCell ref="A3:C3"/>
    <mergeCell ref="A4:B4"/>
    <mergeCell ref="E4:F4"/>
    <mergeCell ref="H4:I4"/>
    <mergeCell ref="C28:D28"/>
    <mergeCell ref="C29:D29"/>
    <mergeCell ref="C23:D23"/>
    <mergeCell ref="C24:D24"/>
    <mergeCell ref="C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KU. TIWARI</dc:creator>
  <cp:lastModifiedBy>Kumar Sanjay</cp:lastModifiedBy>
  <dcterms:created xsi:type="dcterms:W3CDTF">2026-04-24T06:59:33Z</dcterms:created>
  <dcterms:modified xsi:type="dcterms:W3CDTF">2026-06-07T09:52:29Z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Microsoft® Excel® 2016</vt:lpwstr>
  </property>
</Properties>
</file>