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AGE1-8 &amp;11-12" sheetId="1" r:id="rId1"/>
    <sheet name="page-9" sheetId="2" r:id="rId2"/>
    <sheet name="page-10" sheetId="3" r:id="rId3"/>
  </sheets>
  <externalReferences>
    <externalReference r:id="rId4"/>
  </externalReferences>
  <definedNames>
    <definedName name="_xlnm.Print_Area" localSheetId="2">'page-10'!$A$1:$R$42</definedName>
    <definedName name="_xlnm.Print_Area" localSheetId="0">'PAGE1-8 &amp;11-12'!$A$2:$AK$415</definedName>
    <definedName name="_xlnm.Print_Area" localSheetId="1">'page-9'!$A$1:$R$61</definedName>
  </definedNames>
  <calcPr calcId="124519"/>
</workbook>
</file>

<file path=xl/calcChain.xml><?xml version="1.0" encoding="utf-8"?>
<calcChain xmlns="http://schemas.openxmlformats.org/spreadsheetml/2006/main">
  <c r="U5" i="1"/>
  <c r="V5"/>
  <c r="W5"/>
  <c r="X5"/>
  <c r="Y5"/>
  <c r="Z5"/>
  <c r="AA5"/>
  <c r="AB5"/>
  <c r="AC5"/>
  <c r="AD5"/>
  <c r="AE5"/>
  <c r="AF5"/>
  <c r="AG5"/>
  <c r="AH5"/>
  <c r="AI5"/>
  <c r="AK5"/>
  <c r="U6"/>
  <c r="V6"/>
  <c r="W6"/>
  <c r="X6"/>
  <c r="Y6"/>
  <c r="Z6"/>
  <c r="AA6"/>
  <c r="AB6"/>
  <c r="AC6"/>
  <c r="AD6"/>
  <c r="AE6"/>
  <c r="AF6"/>
  <c r="AG6"/>
  <c r="AH6"/>
  <c r="AI6"/>
  <c r="AK6"/>
  <c r="U7"/>
  <c r="V7"/>
  <c r="W7"/>
  <c r="X7"/>
  <c r="Y7"/>
  <c r="Z7"/>
  <c r="AA7"/>
  <c r="AB7"/>
  <c r="AC7"/>
  <c r="AD7"/>
  <c r="AE7"/>
  <c r="AF7"/>
  <c r="AG7"/>
  <c r="AH7"/>
  <c r="AI7"/>
  <c r="AK7"/>
  <c r="U8"/>
  <c r="V8"/>
  <c r="W8"/>
  <c r="X8"/>
  <c r="Y8"/>
  <c r="Z8"/>
  <c r="AA8"/>
  <c r="AB8"/>
  <c r="AC8"/>
  <c r="AD8"/>
  <c r="AE8"/>
  <c r="AF8"/>
  <c r="AG8"/>
  <c r="AH8"/>
  <c r="AI8"/>
  <c r="AK8"/>
  <c r="U9"/>
  <c r="V9"/>
  <c r="W9"/>
  <c r="X9"/>
  <c r="Y9"/>
  <c r="Z9"/>
  <c r="AA9"/>
  <c r="AB9"/>
  <c r="AC9"/>
  <c r="AD9"/>
  <c r="AE9"/>
  <c r="AF9"/>
  <c r="AG9"/>
  <c r="AH9"/>
  <c r="AI9"/>
  <c r="AK9"/>
  <c r="U10"/>
  <c r="V10"/>
  <c r="W10"/>
  <c r="X10"/>
  <c r="Y10"/>
  <c r="Z10"/>
  <c r="AA10"/>
  <c r="AB10"/>
  <c r="AC10"/>
  <c r="AD10"/>
  <c r="AE10"/>
  <c r="AF10"/>
  <c r="AG10"/>
  <c r="AH10"/>
  <c r="AI10"/>
  <c r="AK10"/>
  <c r="U11"/>
  <c r="V11"/>
  <c r="W11"/>
  <c r="X11"/>
  <c r="Y11"/>
  <c r="Z11"/>
  <c r="AA11"/>
  <c r="AB11"/>
  <c r="AC11"/>
  <c r="AD11"/>
  <c r="AE11"/>
  <c r="AF11"/>
  <c r="AG11"/>
  <c r="AH11"/>
  <c r="AI11"/>
  <c r="AK11"/>
  <c r="U12"/>
  <c r="V12"/>
  <c r="W12"/>
  <c r="X12"/>
  <c r="Y12"/>
  <c r="Z12"/>
  <c r="AA12"/>
  <c r="AB12"/>
  <c r="AC12"/>
  <c r="AD12"/>
  <c r="AF12"/>
  <c r="AG12"/>
  <c r="AH12"/>
  <c r="AI12"/>
  <c r="AK12"/>
  <c r="U13"/>
  <c r="V13"/>
  <c r="W13"/>
  <c r="X13"/>
  <c r="Y13"/>
  <c r="Z13"/>
  <c r="AA13"/>
  <c r="AB13"/>
  <c r="AC13"/>
  <c r="AD13"/>
  <c r="AE13"/>
  <c r="AF13"/>
  <c r="AG13"/>
  <c r="AH13"/>
  <c r="AI13"/>
  <c r="AK13"/>
  <c r="U14"/>
  <c r="V14"/>
  <c r="W14"/>
  <c r="X14"/>
  <c r="Y14"/>
  <c r="Z14"/>
  <c r="AA14"/>
  <c r="AB14"/>
  <c r="AC14"/>
  <c r="AD14"/>
  <c r="AE14"/>
  <c r="AF14"/>
  <c r="AG14"/>
  <c r="AH14"/>
  <c r="AI14"/>
  <c r="AK14"/>
  <c r="U15"/>
  <c r="V15"/>
  <c r="W15"/>
  <c r="X15"/>
  <c r="Y15"/>
  <c r="Z15"/>
  <c r="AA15"/>
  <c r="AB15"/>
  <c r="AC15"/>
  <c r="AD15"/>
  <c r="AE15"/>
  <c r="AF15"/>
  <c r="AG15"/>
  <c r="AH15"/>
  <c r="AI15"/>
  <c r="AK15"/>
  <c r="U17"/>
  <c r="V17"/>
  <c r="W17"/>
  <c r="X17"/>
  <c r="Y17"/>
  <c r="Z17"/>
  <c r="AA17"/>
  <c r="AB17"/>
  <c r="AC17"/>
  <c r="AD17"/>
  <c r="AE17"/>
  <c r="AF17"/>
  <c r="AG17"/>
  <c r="AH17"/>
  <c r="AI17"/>
  <c r="AK17"/>
  <c r="U18"/>
  <c r="V18"/>
  <c r="W18"/>
  <c r="X18"/>
  <c r="Y18"/>
  <c r="Z18"/>
  <c r="AA18"/>
  <c r="AB18"/>
  <c r="AC18"/>
  <c r="AD18"/>
  <c r="AE18"/>
  <c r="AF18"/>
  <c r="AG18"/>
  <c r="AH18"/>
  <c r="AI18"/>
  <c r="AK18"/>
  <c r="U19"/>
  <c r="V19"/>
  <c r="W19"/>
  <c r="X19"/>
  <c r="Y19"/>
  <c r="Z19"/>
  <c r="AA19"/>
  <c r="AB19"/>
  <c r="AC19"/>
  <c r="AD19"/>
  <c r="AE19"/>
  <c r="AF19"/>
  <c r="AG19"/>
  <c r="AH19"/>
  <c r="AI19"/>
  <c r="AK19"/>
  <c r="U20"/>
  <c r="V20"/>
  <c r="W20"/>
  <c r="X20"/>
  <c r="Y20"/>
  <c r="Z20"/>
  <c r="AA20"/>
  <c r="AB20"/>
  <c r="AC20"/>
  <c r="AD20"/>
  <c r="AE20"/>
  <c r="AF20"/>
  <c r="AG20"/>
  <c r="AH20"/>
  <c r="AI20"/>
  <c r="AK20"/>
  <c r="U21"/>
  <c r="V21"/>
  <c r="W21"/>
  <c r="X21"/>
  <c r="Y21"/>
  <c r="Z21"/>
  <c r="AA21"/>
  <c r="AB21"/>
  <c r="AC21"/>
  <c r="AD21"/>
  <c r="AE21"/>
  <c r="AF21"/>
  <c r="AG21"/>
  <c r="AH21"/>
  <c r="AI21"/>
  <c r="AK21"/>
  <c r="U22"/>
  <c r="V22"/>
  <c r="W22"/>
  <c r="X22"/>
  <c r="Y22"/>
  <c r="Z22"/>
  <c r="AA22"/>
  <c r="AB22"/>
  <c r="AC22"/>
  <c r="AD22"/>
  <c r="AE22"/>
  <c r="AF22"/>
  <c r="AG22"/>
  <c r="AH22"/>
  <c r="AI22"/>
  <c r="AK22"/>
  <c r="U23"/>
  <c r="V23"/>
  <c r="W23"/>
  <c r="X23"/>
  <c r="Y23"/>
  <c r="Z23"/>
  <c r="AA23"/>
  <c r="AB23"/>
  <c r="AC23"/>
  <c r="AD23"/>
  <c r="AE23"/>
  <c r="AF23"/>
  <c r="AG23"/>
  <c r="AH23"/>
  <c r="AI23"/>
  <c r="AK23"/>
  <c r="U24"/>
  <c r="V24"/>
  <c r="W24"/>
  <c r="X24"/>
  <c r="Y24"/>
  <c r="Z24"/>
  <c r="AA24"/>
  <c r="AB24"/>
  <c r="AC24"/>
  <c r="AD24"/>
  <c r="AE24"/>
  <c r="AF24"/>
  <c r="AG24"/>
  <c r="AH24"/>
  <c r="AI24"/>
  <c r="AK24"/>
  <c r="U25"/>
  <c r="V25"/>
  <c r="W25"/>
  <c r="X25"/>
  <c r="Y25"/>
  <c r="Z25"/>
  <c r="AA25"/>
  <c r="AB25"/>
  <c r="AC25"/>
  <c r="AD25"/>
  <c r="AE25"/>
  <c r="AF25"/>
  <c r="AG25"/>
  <c r="AH25"/>
  <c r="AI25"/>
  <c r="AK25"/>
  <c r="U27"/>
  <c r="V27"/>
  <c r="W27"/>
  <c r="X27"/>
  <c r="Y27"/>
  <c r="Z27"/>
  <c r="AA27"/>
  <c r="AB27"/>
  <c r="AC27"/>
  <c r="AD27"/>
  <c r="AE27"/>
  <c r="AF27"/>
  <c r="AG27"/>
  <c r="AH27"/>
  <c r="AI27"/>
  <c r="AK27"/>
  <c r="U28"/>
  <c r="V28"/>
  <c r="W28"/>
  <c r="X28"/>
  <c r="Y28"/>
  <c r="Z28"/>
  <c r="AA28"/>
  <c r="AB28"/>
  <c r="AC28"/>
  <c r="AD28"/>
  <c r="AE28"/>
  <c r="AF28"/>
  <c r="AG28"/>
  <c r="AH28"/>
  <c r="AI28"/>
  <c r="AK28"/>
  <c r="U29"/>
  <c r="V29"/>
  <c r="W29"/>
  <c r="X29"/>
  <c r="Y29"/>
  <c r="Z29"/>
  <c r="AA29"/>
  <c r="AB29"/>
  <c r="AC29"/>
  <c r="AD29"/>
  <c r="AE29"/>
  <c r="AF29"/>
  <c r="AG29"/>
  <c r="AH29"/>
  <c r="AI29"/>
  <c r="AK29"/>
  <c r="U30"/>
  <c r="V30"/>
  <c r="W30"/>
  <c r="X30"/>
  <c r="Y30"/>
  <c r="Z30"/>
  <c r="AA30"/>
  <c r="AB30"/>
  <c r="AC30"/>
  <c r="AD30"/>
  <c r="AE30"/>
  <c r="AF30"/>
  <c r="AG30"/>
  <c r="AH30"/>
  <c r="AI30"/>
  <c r="AK30"/>
  <c r="U34"/>
  <c r="V34"/>
  <c r="W34"/>
  <c r="X34"/>
  <c r="Y34"/>
  <c r="Z34"/>
  <c r="AA34"/>
  <c r="AB34"/>
  <c r="AC34"/>
  <c r="AD34"/>
  <c r="AE34"/>
  <c r="AF34"/>
  <c r="AG34"/>
  <c r="AH34"/>
  <c r="AI34"/>
  <c r="AJ34"/>
  <c r="AK34"/>
  <c r="U35"/>
  <c r="V35"/>
  <c r="W35"/>
  <c r="X35"/>
  <c r="Y35"/>
  <c r="Z35"/>
  <c r="AA35"/>
  <c r="AB35"/>
  <c r="AC35"/>
  <c r="AD35"/>
  <c r="AE35"/>
  <c r="AF35"/>
  <c r="AG35"/>
  <c r="AH35"/>
  <c r="AI35"/>
  <c r="AJ35"/>
  <c r="AK35"/>
  <c r="U36"/>
  <c r="V36"/>
  <c r="W36"/>
  <c r="X36"/>
  <c r="Y36"/>
  <c r="Z36"/>
  <c r="AA36"/>
  <c r="AB36"/>
  <c r="AC36"/>
  <c r="AD36"/>
  <c r="AE36"/>
  <c r="AF36"/>
  <c r="AG36"/>
  <c r="AH36"/>
  <c r="AI36"/>
  <c r="AJ36"/>
  <c r="AK36"/>
  <c r="U37"/>
  <c r="V37"/>
  <c r="W37"/>
  <c r="X37"/>
  <c r="Y37"/>
  <c r="Z37"/>
  <c r="AA37"/>
  <c r="AB37"/>
  <c r="AC37"/>
  <c r="AD37"/>
  <c r="AE37"/>
  <c r="AF37"/>
  <c r="AG37"/>
  <c r="AH37"/>
  <c r="AI37"/>
  <c r="AJ37"/>
  <c r="AK37"/>
  <c r="U38"/>
  <c r="V38"/>
  <c r="W38"/>
  <c r="X38"/>
  <c r="Y38"/>
  <c r="Z38"/>
  <c r="AA38"/>
  <c r="AB38"/>
  <c r="AC38"/>
  <c r="AD38"/>
  <c r="AE38"/>
  <c r="AF38"/>
  <c r="AG38"/>
  <c r="AH38"/>
  <c r="AI38"/>
  <c r="AJ38"/>
  <c r="AK38"/>
  <c r="U39"/>
  <c r="V39"/>
  <c r="W39"/>
  <c r="X39"/>
  <c r="Y39"/>
  <c r="Z39"/>
  <c r="AA39"/>
  <c r="AB39"/>
  <c r="AC39"/>
  <c r="AD39"/>
  <c r="AE39"/>
  <c r="AF39"/>
  <c r="AG39"/>
  <c r="AH39"/>
  <c r="AI39"/>
  <c r="AJ39"/>
  <c r="AK39"/>
  <c r="U40"/>
  <c r="V40"/>
  <c r="W40"/>
  <c r="X40"/>
  <c r="Y40"/>
  <c r="Z40"/>
  <c r="AA40"/>
  <c r="AB40"/>
  <c r="AC40"/>
  <c r="AD40"/>
  <c r="AE40"/>
  <c r="AF40"/>
  <c r="AG40"/>
  <c r="AH40"/>
  <c r="AI40"/>
  <c r="AJ40"/>
  <c r="AK40"/>
  <c r="U41"/>
  <c r="V41"/>
  <c r="W41"/>
  <c r="X41"/>
  <c r="Y41"/>
  <c r="Z41"/>
  <c r="AA41"/>
  <c r="AB41"/>
  <c r="AC41"/>
  <c r="AD41"/>
  <c r="AE41"/>
  <c r="AF41"/>
  <c r="AG41"/>
  <c r="AH41"/>
  <c r="AI41"/>
  <c r="AJ41"/>
  <c r="AK41"/>
  <c r="U42"/>
  <c r="V42"/>
  <c r="W42"/>
  <c r="X42"/>
  <c r="Y42"/>
  <c r="Z42"/>
  <c r="AA42"/>
  <c r="AB42"/>
  <c r="AC42"/>
  <c r="AD42"/>
  <c r="AE42"/>
  <c r="AF42"/>
  <c r="AG42"/>
  <c r="AH42"/>
  <c r="AI42"/>
  <c r="AJ42"/>
  <c r="AK42"/>
  <c r="U43"/>
  <c r="V43"/>
  <c r="W43"/>
  <c r="X43"/>
  <c r="Y43"/>
  <c r="Z43"/>
  <c r="AA43"/>
  <c r="AB43"/>
  <c r="AC43"/>
  <c r="AD43"/>
  <c r="AE43"/>
  <c r="AF43"/>
  <c r="AG43"/>
  <c r="AH43"/>
  <c r="AI43"/>
  <c r="AJ43"/>
  <c r="AK43"/>
  <c r="U44"/>
  <c r="V44"/>
  <c r="W44"/>
  <c r="X44"/>
  <c r="Y44"/>
  <c r="Z44"/>
  <c r="AA44"/>
  <c r="AB44"/>
  <c r="AC44"/>
  <c r="AD44"/>
  <c r="AE44"/>
  <c r="AF44"/>
  <c r="AG44"/>
  <c r="AH44"/>
  <c r="AI44"/>
  <c r="AJ44"/>
  <c r="AK44"/>
  <c r="U45"/>
  <c r="V45"/>
  <c r="W45"/>
  <c r="X45"/>
  <c r="Y45"/>
  <c r="Z45"/>
  <c r="AA45"/>
  <c r="AB45"/>
  <c r="AC45"/>
  <c r="AD45"/>
  <c r="AE45"/>
  <c r="AF45"/>
  <c r="AG45"/>
  <c r="AH45"/>
  <c r="AI45"/>
  <c r="AJ45"/>
  <c r="AK45"/>
  <c r="U46"/>
  <c r="V46"/>
  <c r="W46"/>
  <c r="X46"/>
  <c r="Y46"/>
  <c r="Z46"/>
  <c r="AA46"/>
  <c r="AB46"/>
  <c r="AC46"/>
  <c r="AD46"/>
  <c r="AE46"/>
  <c r="AF46"/>
  <c r="AG46"/>
  <c r="AH46"/>
  <c r="AI46"/>
  <c r="AJ46"/>
  <c r="AK46"/>
  <c r="U47"/>
  <c r="V47"/>
  <c r="W47"/>
  <c r="X47"/>
  <c r="Y47"/>
  <c r="Z47"/>
  <c r="AA47"/>
  <c r="AB47"/>
  <c r="AC47"/>
  <c r="AD47"/>
  <c r="AE47"/>
  <c r="AF47"/>
  <c r="AG47"/>
  <c r="AH47"/>
  <c r="AI47"/>
  <c r="AJ47"/>
  <c r="AK47"/>
  <c r="U48"/>
  <c r="V48"/>
  <c r="W48"/>
  <c r="X48"/>
  <c r="Y48"/>
  <c r="Z48"/>
  <c r="AA48"/>
  <c r="AB48"/>
  <c r="AC48"/>
  <c r="AD48"/>
  <c r="AE48"/>
  <c r="AF48"/>
  <c r="AG48"/>
  <c r="AH48"/>
  <c r="AI48"/>
  <c r="AJ48"/>
  <c r="AK48"/>
  <c r="U49"/>
  <c r="V49"/>
  <c r="W49"/>
  <c r="X49"/>
  <c r="Y49"/>
  <c r="Z49"/>
  <c r="AA49"/>
  <c r="AB49"/>
  <c r="AC49"/>
  <c r="AD49"/>
  <c r="AE49"/>
  <c r="AF49"/>
  <c r="AG49"/>
  <c r="AH49"/>
  <c r="AI49"/>
  <c r="AJ49"/>
  <c r="AK49"/>
  <c r="U50"/>
  <c r="V50"/>
  <c r="W50"/>
  <c r="X50"/>
  <c r="Y50"/>
  <c r="Z50"/>
  <c r="AA50"/>
  <c r="AB50"/>
  <c r="AC50"/>
  <c r="AD50"/>
  <c r="AE50"/>
  <c r="AF50"/>
  <c r="AG50"/>
  <c r="AH50"/>
  <c r="AI50"/>
  <c r="AJ50"/>
  <c r="AK50"/>
  <c r="U51"/>
  <c r="V51"/>
  <c r="W51"/>
  <c r="X51"/>
  <c r="Y51"/>
  <c r="Z51"/>
  <c r="AA51"/>
  <c r="AB51"/>
  <c r="AC51"/>
  <c r="AD51"/>
  <c r="AE51"/>
  <c r="AF51"/>
  <c r="AG51"/>
  <c r="AH51"/>
  <c r="AI51"/>
  <c r="AJ51"/>
  <c r="AK51"/>
  <c r="U53"/>
  <c r="V53"/>
  <c r="W53"/>
  <c r="X53"/>
  <c r="Y53"/>
  <c r="Z53"/>
  <c r="AA53"/>
  <c r="AB53"/>
  <c r="AC53"/>
  <c r="AD53"/>
  <c r="AE53"/>
  <c r="AF53"/>
  <c r="AG53"/>
  <c r="AH53"/>
  <c r="AI53"/>
  <c r="AJ53"/>
  <c r="AK53"/>
  <c r="U54"/>
  <c r="V54"/>
  <c r="W54"/>
  <c r="X54"/>
  <c r="Y54"/>
  <c r="Z54"/>
  <c r="AA54"/>
  <c r="AB54"/>
  <c r="AC54"/>
  <c r="AD54"/>
  <c r="AE54"/>
  <c r="AF54"/>
  <c r="AG54"/>
  <c r="AH54"/>
  <c r="AI54"/>
  <c r="AJ54"/>
  <c r="AK54"/>
  <c r="U55"/>
  <c r="V55"/>
  <c r="W55"/>
  <c r="X55"/>
  <c r="Y55"/>
  <c r="Z55"/>
  <c r="AA55"/>
  <c r="AB55"/>
  <c r="AC55"/>
  <c r="AD55"/>
  <c r="AE55"/>
  <c r="AF55"/>
  <c r="AG55"/>
  <c r="AH55"/>
  <c r="AI55"/>
  <c r="AJ55"/>
  <c r="AK55"/>
  <c r="U56"/>
  <c r="V56"/>
  <c r="W56"/>
  <c r="X56"/>
  <c r="Y56"/>
  <c r="Z56"/>
  <c r="AA56"/>
  <c r="AB56"/>
  <c r="AC56"/>
  <c r="AD56"/>
  <c r="AE56"/>
  <c r="AF56"/>
  <c r="AG56"/>
  <c r="AH56"/>
  <c r="AI56"/>
  <c r="AJ56"/>
  <c r="AK56"/>
  <c r="U57"/>
  <c r="V57"/>
  <c r="W57"/>
  <c r="X57"/>
  <c r="Y57"/>
  <c r="Z57"/>
  <c r="AA57"/>
  <c r="AB57"/>
  <c r="AC57"/>
  <c r="AD57"/>
  <c r="AE57"/>
  <c r="AF57"/>
  <c r="AG57"/>
  <c r="AH57"/>
  <c r="AI57"/>
  <c r="AJ57"/>
  <c r="AK57"/>
  <c r="U58"/>
  <c r="V58"/>
  <c r="W58"/>
  <c r="X58"/>
  <c r="Y58"/>
  <c r="Z58"/>
  <c r="AA58"/>
  <c r="AB58"/>
  <c r="AC58"/>
  <c r="AD58"/>
  <c r="AE58"/>
  <c r="AF58"/>
  <c r="AG58"/>
  <c r="AH58"/>
  <c r="AI58"/>
  <c r="AJ58"/>
  <c r="AK58"/>
  <c r="U59"/>
  <c r="V59"/>
  <c r="W59"/>
  <c r="X59"/>
  <c r="Y59"/>
  <c r="Z59"/>
  <c r="AA59"/>
  <c r="AB59"/>
  <c r="AC59"/>
  <c r="AD59"/>
  <c r="AE59"/>
  <c r="AF59"/>
  <c r="AG59"/>
  <c r="AH59"/>
  <c r="AI59"/>
  <c r="AJ59"/>
  <c r="AK59"/>
  <c r="U60"/>
  <c r="V60"/>
  <c r="W60"/>
  <c r="X60"/>
  <c r="Y60"/>
  <c r="Z60"/>
  <c r="AA60"/>
  <c r="AB60"/>
  <c r="AC60"/>
  <c r="AD60"/>
  <c r="AE60"/>
  <c r="AF60"/>
  <c r="AG60"/>
  <c r="AH60"/>
  <c r="AI60"/>
  <c r="AJ60"/>
  <c r="AK60"/>
  <c r="U61"/>
  <c r="V61"/>
  <c r="W61"/>
  <c r="X61"/>
  <c r="Y61"/>
  <c r="Z61"/>
  <c r="AA61"/>
  <c r="AB61"/>
  <c r="AC61"/>
  <c r="AD61"/>
  <c r="AE61"/>
  <c r="AF61"/>
  <c r="AG61"/>
  <c r="AH61"/>
  <c r="AI61"/>
  <c r="AJ61"/>
  <c r="AK61"/>
  <c r="U62"/>
  <c r="V62"/>
  <c r="W62"/>
  <c r="X62"/>
  <c r="Y62"/>
  <c r="Z62"/>
  <c r="AA62"/>
  <c r="AB62"/>
  <c r="AC62"/>
  <c r="AD62"/>
  <c r="AE62"/>
  <c r="AF62"/>
  <c r="AG62"/>
  <c r="AH62"/>
  <c r="AI62"/>
  <c r="AJ62"/>
  <c r="AK62"/>
  <c r="U63"/>
  <c r="V63"/>
  <c r="W63"/>
  <c r="X63"/>
  <c r="Y63"/>
  <c r="Z63"/>
  <c r="AA63"/>
  <c r="AB63"/>
  <c r="AC63"/>
  <c r="AD63"/>
  <c r="AE63"/>
  <c r="AF63"/>
  <c r="AG63"/>
  <c r="AH63"/>
  <c r="AI63"/>
  <c r="AJ63"/>
  <c r="AK63"/>
  <c r="U64"/>
  <c r="V64"/>
  <c r="W64"/>
  <c r="X64"/>
  <c r="Y64"/>
  <c r="Z64"/>
  <c r="AA64"/>
  <c r="AB64"/>
  <c r="AC64"/>
  <c r="AD64"/>
  <c r="AE64"/>
  <c r="AF64"/>
  <c r="AG64"/>
  <c r="AH64"/>
  <c r="AI64"/>
  <c r="AJ64"/>
  <c r="AK64"/>
  <c r="U65"/>
  <c r="V65"/>
  <c r="W65"/>
  <c r="X65"/>
  <c r="Y65"/>
  <c r="Z65"/>
  <c r="AA65"/>
  <c r="AB65"/>
  <c r="AC65"/>
  <c r="AD65"/>
  <c r="AE65"/>
  <c r="AF65"/>
  <c r="AG65"/>
  <c r="AH65"/>
  <c r="AI65"/>
  <c r="AJ65"/>
  <c r="AK65"/>
  <c r="U66"/>
  <c r="V66"/>
  <c r="W66"/>
  <c r="X66"/>
  <c r="Y66"/>
  <c r="Z66"/>
  <c r="AA66"/>
  <c r="AB66"/>
  <c r="AC66"/>
  <c r="AD66"/>
  <c r="AE66"/>
  <c r="AF66"/>
  <c r="AG66"/>
  <c r="AH66"/>
  <c r="AI66"/>
  <c r="AJ66"/>
  <c r="AK66"/>
  <c r="U67"/>
  <c r="V67"/>
  <c r="W67"/>
  <c r="X67"/>
  <c r="Y67"/>
  <c r="Z67"/>
  <c r="AA67"/>
  <c r="AB67"/>
  <c r="AC67"/>
  <c r="AD67"/>
  <c r="AE67"/>
  <c r="AF67"/>
  <c r="AG67"/>
  <c r="AH67"/>
  <c r="AI67"/>
  <c r="AJ67"/>
  <c r="AK67"/>
  <c r="U68"/>
  <c r="V68"/>
  <c r="W68"/>
  <c r="X68"/>
  <c r="Y68"/>
  <c r="Z68"/>
  <c r="AA68"/>
  <c r="AB68"/>
  <c r="AC68"/>
  <c r="AD68"/>
  <c r="AE68"/>
  <c r="AF68"/>
  <c r="AG68"/>
  <c r="AH68"/>
  <c r="AI68"/>
  <c r="AJ68"/>
  <c r="AK68"/>
  <c r="U69"/>
  <c r="V69"/>
  <c r="W69"/>
  <c r="X69"/>
  <c r="Y69"/>
  <c r="Z69"/>
  <c r="AA69"/>
  <c r="AB69"/>
  <c r="AC69"/>
  <c r="AD69"/>
  <c r="AE69"/>
  <c r="AF69"/>
  <c r="AG69"/>
  <c r="AH69"/>
  <c r="AI69"/>
  <c r="AJ69"/>
  <c r="AK69"/>
  <c r="U70"/>
  <c r="V70"/>
  <c r="W70"/>
  <c r="X70"/>
  <c r="Y70"/>
  <c r="Z70"/>
  <c r="AA70"/>
  <c r="AB70"/>
  <c r="AC70"/>
  <c r="AD70"/>
  <c r="AE70"/>
  <c r="AF70"/>
  <c r="AG70"/>
  <c r="AH70"/>
  <c r="AI70"/>
  <c r="AJ70"/>
  <c r="AK70"/>
  <c r="U71"/>
  <c r="V71"/>
  <c r="W71"/>
  <c r="X71"/>
  <c r="Y71"/>
  <c r="Z71"/>
  <c r="AA71"/>
  <c r="AB71"/>
  <c r="AC71"/>
  <c r="AD71"/>
  <c r="AE71"/>
  <c r="AF71"/>
  <c r="AG71"/>
  <c r="AH71"/>
  <c r="AI71"/>
  <c r="AJ71"/>
  <c r="AK71"/>
  <c r="U75"/>
  <c r="V75"/>
  <c r="W75"/>
  <c r="X75"/>
  <c r="Y75"/>
  <c r="Z75"/>
  <c r="AA75"/>
  <c r="AB75"/>
  <c r="AC75"/>
  <c r="AD75"/>
  <c r="AE75"/>
  <c r="AF75"/>
  <c r="AG75"/>
  <c r="AH75"/>
  <c r="AI75"/>
  <c r="AJ75"/>
  <c r="AK75"/>
  <c r="U76"/>
  <c r="V76"/>
  <c r="W76"/>
  <c r="X76"/>
  <c r="Y76"/>
  <c r="Z76"/>
  <c r="AA76"/>
  <c r="AB76"/>
  <c r="AC76"/>
  <c r="AD76"/>
  <c r="AE76"/>
  <c r="AF76"/>
  <c r="AG76"/>
  <c r="AH76"/>
  <c r="AI76"/>
  <c r="AJ76"/>
  <c r="AK76"/>
  <c r="U77"/>
  <c r="V77"/>
  <c r="W77"/>
  <c r="X77"/>
  <c r="Y77"/>
  <c r="Z77"/>
  <c r="AA77"/>
  <c r="AB77"/>
  <c r="AC77"/>
  <c r="AD77"/>
  <c r="AE77"/>
  <c r="AF77"/>
  <c r="AG77"/>
  <c r="AH77"/>
  <c r="AI77"/>
  <c r="AJ77"/>
  <c r="AK77"/>
  <c r="U78"/>
  <c r="V78"/>
  <c r="W78"/>
  <c r="X78"/>
  <c r="Y78"/>
  <c r="Z78"/>
  <c r="AA78"/>
  <c r="AB78"/>
  <c r="AC78"/>
  <c r="AD78"/>
  <c r="AE78"/>
  <c r="AF78"/>
  <c r="AG78"/>
  <c r="AH78"/>
  <c r="AI78"/>
  <c r="AJ78"/>
  <c r="AK78"/>
  <c r="U79"/>
  <c r="V79"/>
  <c r="W79"/>
  <c r="X79"/>
  <c r="Y79"/>
  <c r="Z79"/>
  <c r="AA79"/>
  <c r="AB79"/>
  <c r="AC79"/>
  <c r="AD79"/>
  <c r="AE79"/>
  <c r="AF79"/>
  <c r="AG79"/>
  <c r="AH79"/>
  <c r="AI79"/>
  <c r="AJ79"/>
  <c r="AK79"/>
  <c r="U80"/>
  <c r="V80"/>
  <c r="W80"/>
  <c r="X80"/>
  <c r="Y80"/>
  <c r="Z80"/>
  <c r="AA80"/>
  <c r="AB80"/>
  <c r="AC80"/>
  <c r="AD80"/>
  <c r="AE80"/>
  <c r="AF80"/>
  <c r="AG80"/>
  <c r="AH80"/>
  <c r="AI80"/>
  <c r="AJ80"/>
  <c r="AK80"/>
  <c r="U81"/>
  <c r="V81"/>
  <c r="W81"/>
  <c r="X81"/>
  <c r="Y81"/>
  <c r="Z81"/>
  <c r="AA81"/>
  <c r="AB81"/>
  <c r="AC81"/>
  <c r="AD81"/>
  <c r="AE81"/>
  <c r="AF81"/>
  <c r="AG81"/>
  <c r="AH81"/>
  <c r="AI81"/>
  <c r="AJ81"/>
  <c r="AK81"/>
  <c r="U82"/>
  <c r="V82"/>
  <c r="W82"/>
  <c r="X82"/>
  <c r="Y82"/>
  <c r="Z82"/>
  <c r="AA82"/>
  <c r="AB82"/>
  <c r="AC82"/>
  <c r="AD82"/>
  <c r="AE82"/>
  <c r="AF82"/>
  <c r="AG82"/>
  <c r="AH82"/>
  <c r="AI82"/>
  <c r="AJ82"/>
  <c r="AK82"/>
  <c r="U83"/>
  <c r="V83"/>
  <c r="W83"/>
  <c r="X83"/>
  <c r="Y83"/>
  <c r="Z83"/>
  <c r="AA83"/>
  <c r="AB83"/>
  <c r="AC83"/>
  <c r="AD83"/>
  <c r="AE83"/>
  <c r="AF83"/>
  <c r="AG83"/>
  <c r="AH83"/>
  <c r="AI83"/>
  <c r="AJ83"/>
  <c r="AK83"/>
  <c r="U84"/>
  <c r="V84"/>
  <c r="W84"/>
  <c r="X84"/>
  <c r="Y84"/>
  <c r="Z84"/>
  <c r="AA84"/>
  <c r="AB84"/>
  <c r="AC84"/>
  <c r="AD84"/>
  <c r="AE84"/>
  <c r="AF84"/>
  <c r="AG84"/>
  <c r="AH84"/>
  <c r="AI84"/>
  <c r="AJ84"/>
  <c r="AK84"/>
  <c r="U85"/>
  <c r="V85"/>
  <c r="W85"/>
  <c r="X85"/>
  <c r="Y85"/>
  <c r="Z85"/>
  <c r="AA85"/>
  <c r="AB85"/>
  <c r="AC85"/>
  <c r="AD85"/>
  <c r="AE85"/>
  <c r="AF85"/>
  <c r="AG85"/>
  <c r="AH85"/>
  <c r="AI85"/>
  <c r="AJ85"/>
  <c r="AK85"/>
  <c r="U86"/>
  <c r="V86"/>
  <c r="W86"/>
  <c r="X86"/>
  <c r="Y86"/>
  <c r="Z86"/>
  <c r="AA86"/>
  <c r="AB86"/>
  <c r="AC86"/>
  <c r="AD86"/>
  <c r="AE86"/>
  <c r="AF86"/>
  <c r="AG86"/>
  <c r="AH86"/>
  <c r="AI86"/>
  <c r="AJ86"/>
  <c r="AK86"/>
  <c r="U87"/>
  <c r="V87"/>
  <c r="W87"/>
  <c r="X87"/>
  <c r="Y87"/>
  <c r="Z87"/>
  <c r="AA87"/>
  <c r="AB87"/>
  <c r="AC87"/>
  <c r="AD87"/>
  <c r="AE87"/>
  <c r="AF87"/>
  <c r="AG87"/>
  <c r="AH87"/>
  <c r="AI87"/>
  <c r="AJ87"/>
  <c r="AK87"/>
  <c r="U88"/>
  <c r="V88"/>
  <c r="W88"/>
  <c r="X88"/>
  <c r="Y88"/>
  <c r="Z88"/>
  <c r="AA88"/>
  <c r="AB88"/>
  <c r="AC88"/>
  <c r="AD88"/>
  <c r="AE88"/>
  <c r="AF88"/>
  <c r="AG88"/>
  <c r="AH88"/>
  <c r="AI88"/>
  <c r="AJ88"/>
  <c r="AK88"/>
  <c r="U89"/>
  <c r="V89"/>
  <c r="W89"/>
  <c r="X89"/>
  <c r="Y89"/>
  <c r="Z89"/>
  <c r="AA89"/>
  <c r="AB89"/>
  <c r="AC89"/>
  <c r="AD89"/>
  <c r="AE89"/>
  <c r="AF89"/>
  <c r="AG89"/>
  <c r="AH89"/>
  <c r="AI89"/>
  <c r="AJ89"/>
  <c r="AK89"/>
  <c r="U93"/>
  <c r="V93"/>
  <c r="W93"/>
  <c r="X93"/>
  <c r="Y93"/>
  <c r="Z93"/>
  <c r="AA93"/>
  <c r="AB93"/>
  <c r="AC93"/>
  <c r="AD93"/>
  <c r="AE93"/>
  <c r="AF93"/>
  <c r="AG93"/>
  <c r="AH93"/>
  <c r="AI93"/>
  <c r="AJ93"/>
  <c r="AK93"/>
  <c r="U94"/>
  <c r="V94"/>
  <c r="W94"/>
  <c r="X94"/>
  <c r="Y94"/>
  <c r="Z94"/>
  <c r="AA94"/>
  <c r="AB94"/>
  <c r="AC94"/>
  <c r="AD94"/>
  <c r="AE94"/>
  <c r="AF94"/>
  <c r="AG94"/>
  <c r="AH94"/>
  <c r="AI94"/>
  <c r="AJ94"/>
  <c r="AK94"/>
  <c r="U95"/>
  <c r="V95"/>
  <c r="W95"/>
  <c r="X95"/>
  <c r="Y95"/>
  <c r="Z95"/>
  <c r="AA95"/>
  <c r="AB95"/>
  <c r="AC95"/>
  <c r="AD95"/>
  <c r="AE95"/>
  <c r="AF95"/>
  <c r="AG95"/>
  <c r="AH95"/>
  <c r="AI95"/>
  <c r="AJ95"/>
  <c r="AK95"/>
  <c r="U96"/>
  <c r="V96"/>
  <c r="W96"/>
  <c r="X96"/>
  <c r="Y96"/>
  <c r="Z96"/>
  <c r="AA96"/>
  <c r="AB96"/>
  <c r="AC96"/>
  <c r="AD96"/>
  <c r="AE96"/>
  <c r="AF96"/>
  <c r="AG96"/>
  <c r="AH96"/>
  <c r="AI96"/>
  <c r="AJ96"/>
  <c r="AK96"/>
  <c r="AB97"/>
  <c r="AB98"/>
  <c r="AB99"/>
  <c r="U100"/>
  <c r="V100"/>
  <c r="W100"/>
  <c r="X100"/>
  <c r="Y100"/>
  <c r="Z100"/>
  <c r="AA100"/>
  <c r="AB100"/>
  <c r="AC100"/>
  <c r="AD100"/>
  <c r="AE100"/>
  <c r="AF100"/>
  <c r="AG100"/>
  <c r="AH100"/>
  <c r="AI100"/>
  <c r="AJ100"/>
  <c r="AK100"/>
  <c r="U101"/>
  <c r="V101"/>
  <c r="W101"/>
  <c r="X101"/>
  <c r="Y101"/>
  <c r="Z101"/>
  <c r="AA101"/>
  <c r="AB101"/>
  <c r="AC101"/>
  <c r="AD101"/>
  <c r="AE101"/>
  <c r="AF101"/>
  <c r="AG101"/>
  <c r="AH101"/>
  <c r="AI101"/>
  <c r="AJ101"/>
  <c r="AK101"/>
  <c r="U102"/>
  <c r="V102"/>
  <c r="W102"/>
  <c r="X102"/>
  <c r="Y102"/>
  <c r="Z102"/>
  <c r="AA102"/>
  <c r="AB102"/>
  <c r="AC102"/>
  <c r="AD102"/>
  <c r="AE102"/>
  <c r="AF102"/>
  <c r="AG102"/>
  <c r="AH102"/>
  <c r="AI102"/>
  <c r="AJ102"/>
  <c r="AK102"/>
  <c r="U103"/>
  <c r="V103"/>
  <c r="W103"/>
  <c r="X103"/>
  <c r="Y103"/>
  <c r="Z103"/>
  <c r="AA103"/>
  <c r="AB103"/>
  <c r="AC103"/>
  <c r="AD103"/>
  <c r="AE103"/>
  <c r="AF103"/>
  <c r="AG103"/>
  <c r="AH103"/>
  <c r="AI103"/>
  <c r="AJ103"/>
  <c r="AK103"/>
  <c r="U104"/>
  <c r="V104"/>
  <c r="W104"/>
  <c r="X104"/>
  <c r="Y104"/>
  <c r="Z104"/>
  <c r="AA104"/>
  <c r="AB104"/>
  <c r="AC104"/>
  <c r="AD104"/>
  <c r="AE104"/>
  <c r="AF104"/>
  <c r="AG104"/>
  <c r="AH104"/>
  <c r="AI104"/>
  <c r="AJ104"/>
  <c r="AK104"/>
  <c r="U106"/>
  <c r="V106"/>
  <c r="W106"/>
  <c r="X106"/>
  <c r="Y106"/>
  <c r="Z106"/>
  <c r="AA106"/>
  <c r="AB106"/>
  <c r="AC106"/>
  <c r="AD106"/>
  <c r="AE106"/>
  <c r="AF106"/>
  <c r="AG106"/>
  <c r="AH106"/>
  <c r="AI106"/>
  <c r="AJ106"/>
  <c r="AK106"/>
  <c r="U107"/>
  <c r="V107"/>
  <c r="W107"/>
  <c r="X107"/>
  <c r="Y107"/>
  <c r="Z107"/>
  <c r="AA107"/>
  <c r="AB107"/>
  <c r="AC107"/>
  <c r="AD107"/>
  <c r="AE107"/>
  <c r="AF107"/>
  <c r="AG107"/>
  <c r="AH107"/>
  <c r="AI107"/>
  <c r="AJ107"/>
  <c r="AK107"/>
  <c r="U108"/>
  <c r="V108"/>
  <c r="W108"/>
  <c r="X108"/>
  <c r="Y108"/>
  <c r="Z108"/>
  <c r="AA108"/>
  <c r="AB108"/>
  <c r="AC108"/>
  <c r="AD108"/>
  <c r="AE108"/>
  <c r="AF108"/>
  <c r="AG108"/>
  <c r="AH108"/>
  <c r="AI108"/>
  <c r="AJ108"/>
  <c r="AK108"/>
  <c r="U111"/>
  <c r="V111"/>
  <c r="W111"/>
  <c r="X111"/>
  <c r="Y111"/>
  <c r="Z111"/>
  <c r="AA111"/>
  <c r="AB111"/>
  <c r="AC111"/>
  <c r="AD111"/>
  <c r="AE111"/>
  <c r="AF111"/>
  <c r="AG111"/>
  <c r="AH111"/>
  <c r="AI111"/>
  <c r="AJ111"/>
  <c r="AK111"/>
  <c r="U112"/>
  <c r="V112"/>
  <c r="W112"/>
  <c r="X112"/>
  <c r="Y112"/>
  <c r="Z112"/>
  <c r="AA112"/>
  <c r="AB112"/>
  <c r="AC112"/>
  <c r="AD112"/>
  <c r="AE112"/>
  <c r="AF112"/>
  <c r="AG112"/>
  <c r="AH112"/>
  <c r="AI112"/>
  <c r="AJ112"/>
  <c r="AK112"/>
  <c r="U113"/>
  <c r="V113"/>
  <c r="W113"/>
  <c r="X113"/>
  <c r="Y113"/>
  <c r="Z113"/>
  <c r="AA113"/>
  <c r="AB113"/>
  <c r="AC113"/>
  <c r="AD113"/>
  <c r="AE113"/>
  <c r="AF113"/>
  <c r="AG113"/>
  <c r="AH113"/>
  <c r="AI113"/>
  <c r="AJ113"/>
  <c r="AK113"/>
  <c r="U114"/>
  <c r="V114"/>
  <c r="W114"/>
  <c r="X114"/>
  <c r="Y114"/>
  <c r="Z114"/>
  <c r="AA114"/>
  <c r="AB114"/>
  <c r="AC114"/>
  <c r="AD114"/>
  <c r="AE114"/>
  <c r="AF114"/>
  <c r="AG114"/>
  <c r="AH114"/>
  <c r="AI114"/>
  <c r="AJ114"/>
  <c r="AK114"/>
  <c r="U121"/>
  <c r="V121"/>
  <c r="W121"/>
  <c r="X121"/>
  <c r="Y121"/>
  <c r="Z121"/>
  <c r="AA121"/>
  <c r="AB121"/>
  <c r="AC121"/>
  <c r="AD121"/>
  <c r="AE121"/>
  <c r="AF121"/>
  <c r="AG121"/>
  <c r="AH121"/>
  <c r="AI121"/>
  <c r="AJ121"/>
  <c r="U122"/>
  <c r="V122"/>
  <c r="W122"/>
  <c r="X122"/>
  <c r="Y122"/>
  <c r="Z122"/>
  <c r="AA122"/>
  <c r="AB122"/>
  <c r="AC122"/>
  <c r="AD122"/>
  <c r="AE122"/>
  <c r="AF122"/>
  <c r="AG122"/>
  <c r="AH122"/>
  <c r="AI122"/>
  <c r="AJ122"/>
  <c r="AK122"/>
  <c r="U123"/>
  <c r="V123"/>
  <c r="W123"/>
  <c r="X123"/>
  <c r="Y123"/>
  <c r="Z123"/>
  <c r="AA123"/>
  <c r="AB123"/>
  <c r="AC123"/>
  <c r="AD123"/>
  <c r="AE123"/>
  <c r="AF123"/>
  <c r="AG123"/>
  <c r="AH123"/>
  <c r="AI123"/>
  <c r="AJ123"/>
  <c r="AK123"/>
  <c r="U124"/>
  <c r="V124"/>
  <c r="W124"/>
  <c r="X124"/>
  <c r="Y124"/>
  <c r="Z124"/>
  <c r="AA124"/>
  <c r="AB124"/>
  <c r="AC124"/>
  <c r="AD124"/>
  <c r="AE124"/>
  <c r="AF124"/>
  <c r="AG124"/>
  <c r="AH124"/>
  <c r="AI124"/>
  <c r="AJ124"/>
  <c r="AK124"/>
  <c r="U125"/>
  <c r="V125"/>
  <c r="W125"/>
  <c r="X125"/>
  <c r="Y125"/>
  <c r="Z125"/>
  <c r="AA125"/>
  <c r="AB125"/>
  <c r="AC125"/>
  <c r="AD125"/>
  <c r="AE125"/>
  <c r="AF125"/>
  <c r="AG125"/>
  <c r="AH125"/>
  <c r="AI125"/>
  <c r="AJ125"/>
  <c r="AK125"/>
  <c r="U126"/>
  <c r="V126"/>
  <c r="W126"/>
  <c r="X126"/>
  <c r="Y126"/>
  <c r="Z126"/>
  <c r="AA126"/>
  <c r="AB126"/>
  <c r="AC126"/>
  <c r="AD126"/>
  <c r="AE126"/>
  <c r="AF126"/>
  <c r="AG126"/>
  <c r="AH126"/>
  <c r="AI126"/>
  <c r="AJ126"/>
  <c r="AK126"/>
  <c r="U127"/>
  <c r="V127"/>
  <c r="W127"/>
  <c r="X127"/>
  <c r="Y127"/>
  <c r="Z127"/>
  <c r="AA127"/>
  <c r="AB127"/>
  <c r="AC127"/>
  <c r="AD127"/>
  <c r="AE127"/>
  <c r="AF127"/>
  <c r="AG127"/>
  <c r="AH127"/>
  <c r="AI127"/>
  <c r="AJ127"/>
  <c r="AK127"/>
  <c r="U128"/>
  <c r="V128"/>
  <c r="W128"/>
  <c r="X128"/>
  <c r="Y128"/>
  <c r="Z128"/>
  <c r="AA128"/>
  <c r="AB128"/>
  <c r="AC128"/>
  <c r="AD128"/>
  <c r="AE128"/>
  <c r="AF128"/>
  <c r="AG128"/>
  <c r="AH128"/>
  <c r="AI128"/>
  <c r="AJ128"/>
  <c r="AK128"/>
  <c r="U129"/>
  <c r="V129"/>
  <c r="W129"/>
  <c r="X129"/>
  <c r="Y129"/>
  <c r="Z129"/>
  <c r="AA129"/>
  <c r="AB129"/>
  <c r="AC129"/>
  <c r="AD129"/>
  <c r="AE129"/>
  <c r="AF129"/>
  <c r="AG129"/>
  <c r="AH129"/>
  <c r="AI129"/>
  <c r="AJ129"/>
  <c r="AK129"/>
  <c r="U130"/>
  <c r="V130"/>
  <c r="W130"/>
  <c r="X130"/>
  <c r="Y130"/>
  <c r="Z130"/>
  <c r="AA130"/>
  <c r="AB130"/>
  <c r="AC130"/>
  <c r="AD130"/>
  <c r="AE130"/>
  <c r="AF130"/>
  <c r="AG130"/>
  <c r="AH130"/>
  <c r="AI130"/>
  <c r="AJ130"/>
  <c r="AK130"/>
  <c r="U139"/>
  <c r="V139"/>
  <c r="W139"/>
  <c r="X139"/>
  <c r="Y139"/>
  <c r="Z139"/>
  <c r="AA139"/>
  <c r="AB139"/>
  <c r="AC139"/>
  <c r="AD139"/>
  <c r="AE139"/>
  <c r="AF139"/>
  <c r="AG139"/>
  <c r="AH139"/>
  <c r="AI139"/>
  <c r="AK139"/>
  <c r="U140"/>
  <c r="V140"/>
  <c r="W140"/>
  <c r="X140"/>
  <c r="Y140"/>
  <c r="Z140"/>
  <c r="AA140"/>
  <c r="AB140"/>
  <c r="AC140"/>
  <c r="AD140"/>
  <c r="AE140"/>
  <c r="AF140"/>
  <c r="AG140"/>
  <c r="AH140"/>
  <c r="AI140"/>
  <c r="AK140"/>
  <c r="U141"/>
  <c r="V141"/>
  <c r="W141"/>
  <c r="X141"/>
  <c r="Y141"/>
  <c r="Z141"/>
  <c r="AA141"/>
  <c r="AB141"/>
  <c r="AC141"/>
  <c r="AD141"/>
  <c r="AE141"/>
  <c r="AF141"/>
  <c r="AG141"/>
  <c r="AH141"/>
  <c r="AI141"/>
  <c r="AK141"/>
  <c r="U142"/>
  <c r="V142"/>
  <c r="W142"/>
  <c r="X142"/>
  <c r="Y142"/>
  <c r="Z142"/>
  <c r="AA142"/>
  <c r="AB142"/>
  <c r="AC142"/>
  <c r="AD142"/>
  <c r="AE142"/>
  <c r="AF142"/>
  <c r="AG142"/>
  <c r="AH142"/>
  <c r="AI142"/>
  <c r="AK142"/>
  <c r="U143"/>
  <c r="V143"/>
  <c r="W143"/>
  <c r="X143"/>
  <c r="Y143"/>
  <c r="Z143"/>
  <c r="AA143"/>
  <c r="AB143"/>
  <c r="AC143"/>
  <c r="AD143"/>
  <c r="AE143"/>
  <c r="AF143"/>
  <c r="AG143"/>
  <c r="AH143"/>
  <c r="AI143"/>
  <c r="AK143"/>
  <c r="U144"/>
  <c r="V144"/>
  <c r="W144"/>
  <c r="X144"/>
  <c r="Y144"/>
  <c r="Z144"/>
  <c r="AA144"/>
  <c r="AB144"/>
  <c r="AC144"/>
  <c r="AD144"/>
  <c r="AE144"/>
  <c r="AF144"/>
  <c r="AG144"/>
  <c r="AH144"/>
  <c r="AI144"/>
  <c r="AK144"/>
  <c r="U145"/>
  <c r="V145"/>
  <c r="W145"/>
  <c r="X145"/>
  <c r="Y145"/>
  <c r="Z145"/>
  <c r="AA145"/>
  <c r="AB145"/>
  <c r="AC145"/>
  <c r="AD145"/>
  <c r="AE145"/>
  <c r="AF145"/>
  <c r="AG145"/>
  <c r="AH145"/>
  <c r="AI145"/>
  <c r="AK145"/>
  <c r="U146"/>
  <c r="V146"/>
  <c r="W146"/>
  <c r="X146"/>
  <c r="Y146"/>
  <c r="Z146"/>
  <c r="AA146"/>
  <c r="AB146"/>
  <c r="AC146"/>
  <c r="AD146"/>
  <c r="AE146"/>
  <c r="AF146"/>
  <c r="AG146"/>
  <c r="AH146"/>
  <c r="AI146"/>
  <c r="AK146"/>
  <c r="U147"/>
  <c r="V147"/>
  <c r="W147"/>
  <c r="X147"/>
  <c r="Y147"/>
  <c r="Z147"/>
  <c r="AA147"/>
  <c r="AB147"/>
  <c r="AC147"/>
  <c r="AD147"/>
  <c r="AE147"/>
  <c r="AF147"/>
  <c r="AG147"/>
  <c r="AH147"/>
  <c r="AI147"/>
  <c r="AK147"/>
  <c r="U148"/>
  <c r="V148"/>
  <c r="W148"/>
  <c r="X148"/>
  <c r="Y148"/>
  <c r="Z148"/>
  <c r="AA148"/>
  <c r="AB148"/>
  <c r="AC148"/>
  <c r="AD148"/>
  <c r="AE148"/>
  <c r="AF148"/>
  <c r="AG148"/>
  <c r="AH148"/>
  <c r="AI148"/>
  <c r="AK148"/>
  <c r="U149"/>
  <c r="V149"/>
  <c r="W149"/>
  <c r="X149"/>
  <c r="Y149"/>
  <c r="Z149"/>
  <c r="AA149"/>
  <c r="AB149"/>
  <c r="AC149"/>
  <c r="AD149"/>
  <c r="AE149"/>
  <c r="AF149"/>
  <c r="AG149"/>
  <c r="AH149"/>
  <c r="AI149"/>
  <c r="AK149"/>
  <c r="U150"/>
  <c r="V150"/>
  <c r="W150"/>
  <c r="X150"/>
  <c r="Y150"/>
  <c r="Z150"/>
  <c r="AA150"/>
  <c r="AB150"/>
  <c r="AC150"/>
  <c r="AD150"/>
  <c r="AE150"/>
  <c r="AF150"/>
  <c r="AG150"/>
  <c r="AH150"/>
  <c r="AI150"/>
  <c r="AK150"/>
  <c r="U151"/>
  <c r="V151"/>
  <c r="W151"/>
  <c r="X151"/>
  <c r="Y151"/>
  <c r="Z151"/>
  <c r="AA151"/>
  <c r="AB151"/>
  <c r="AC151"/>
  <c r="AD151"/>
  <c r="AE151"/>
  <c r="AF151"/>
  <c r="AG151"/>
  <c r="AH151"/>
  <c r="AI151"/>
  <c r="AK151"/>
  <c r="U152"/>
  <c r="V152"/>
  <c r="W152"/>
  <c r="X152"/>
  <c r="Y152"/>
  <c r="Z152"/>
  <c r="AA152"/>
  <c r="AB152"/>
  <c r="AC152"/>
  <c r="AD152"/>
  <c r="AE152"/>
  <c r="AF152"/>
  <c r="AG152"/>
  <c r="AH152"/>
  <c r="AI152"/>
  <c r="AK152"/>
  <c r="U153"/>
  <c r="V153"/>
  <c r="W153"/>
  <c r="X153"/>
  <c r="Y153"/>
  <c r="Z153"/>
  <c r="AA153"/>
  <c r="AB153"/>
  <c r="AC153"/>
  <c r="AD153"/>
  <c r="AE153"/>
  <c r="AF153"/>
  <c r="AG153"/>
  <c r="AH153"/>
  <c r="AI153"/>
  <c r="AK153"/>
  <c r="U155"/>
  <c r="V155"/>
  <c r="W155"/>
  <c r="X155"/>
  <c r="Y155"/>
  <c r="Z155"/>
  <c r="AA155"/>
  <c r="AB155"/>
  <c r="AC155"/>
  <c r="AD155"/>
  <c r="AE155"/>
  <c r="AF155"/>
  <c r="AG155"/>
  <c r="AH155"/>
  <c r="AI155"/>
  <c r="AK155"/>
  <c r="U156"/>
  <c r="V156"/>
  <c r="W156"/>
  <c r="X156"/>
  <c r="Y156"/>
  <c r="Z156"/>
  <c r="AA156"/>
  <c r="AB156"/>
  <c r="AC156"/>
  <c r="AD156"/>
  <c r="AE156"/>
  <c r="AF156"/>
  <c r="AG156"/>
  <c r="AH156"/>
  <c r="AI156"/>
  <c r="AK156"/>
  <c r="U157"/>
  <c r="V157"/>
  <c r="W157"/>
  <c r="X157"/>
  <c r="Y157"/>
  <c r="Z157"/>
  <c r="AA157"/>
  <c r="AB157"/>
  <c r="AC157"/>
  <c r="AD157"/>
  <c r="AE157"/>
  <c r="AF157"/>
  <c r="AG157"/>
  <c r="AH157"/>
  <c r="AI157"/>
  <c r="AK157"/>
  <c r="U158"/>
  <c r="V158"/>
  <c r="W158"/>
  <c r="X158"/>
  <c r="Y158"/>
  <c r="Z158"/>
  <c r="AA158"/>
  <c r="AB158"/>
  <c r="AC158"/>
  <c r="AD158"/>
  <c r="AE158"/>
  <c r="AF158"/>
  <c r="AG158"/>
  <c r="AH158"/>
  <c r="AI158"/>
  <c r="AK158"/>
  <c r="U159"/>
  <c r="V159"/>
  <c r="W159"/>
  <c r="X159"/>
  <c r="Y159"/>
  <c r="Z159"/>
  <c r="AA159"/>
  <c r="AB159"/>
  <c r="AC159"/>
  <c r="AD159"/>
  <c r="AE159"/>
  <c r="AF159"/>
  <c r="AG159"/>
  <c r="AH159"/>
  <c r="AI159"/>
  <c r="AK159"/>
  <c r="U160"/>
  <c r="V160"/>
  <c r="W160"/>
  <c r="X160"/>
  <c r="Y160"/>
  <c r="Z160"/>
  <c r="AA160"/>
  <c r="AB160"/>
  <c r="AC160"/>
  <c r="AD160"/>
  <c r="AE160"/>
  <c r="AF160"/>
  <c r="AG160"/>
  <c r="AH160"/>
  <c r="AI160"/>
  <c r="AK160"/>
  <c r="U161"/>
  <c r="V161"/>
  <c r="W161"/>
  <c r="X161"/>
  <c r="Y161"/>
  <c r="Z161"/>
  <c r="AA161"/>
  <c r="AB161"/>
  <c r="AC161"/>
  <c r="AD161"/>
  <c r="AE161"/>
  <c r="AF161"/>
  <c r="AG161"/>
  <c r="AH161"/>
  <c r="AI161"/>
  <c r="AK161"/>
  <c r="U165"/>
  <c r="V165"/>
  <c r="W165"/>
  <c r="X165"/>
  <c r="Y165"/>
  <c r="Z165"/>
  <c r="AA165"/>
  <c r="AB165"/>
  <c r="AC165"/>
  <c r="AD165"/>
  <c r="AE165"/>
  <c r="AF165"/>
  <c r="AG165"/>
  <c r="AH165"/>
  <c r="AI165"/>
  <c r="AK165"/>
  <c r="U166"/>
  <c r="V166"/>
  <c r="W166"/>
  <c r="X166"/>
  <c r="Y166"/>
  <c r="Z166"/>
  <c r="AA166"/>
  <c r="AB166"/>
  <c r="AC166"/>
  <c r="AD166"/>
  <c r="AE166"/>
  <c r="AF166"/>
  <c r="AG166"/>
  <c r="AH166"/>
  <c r="AI166"/>
  <c r="AK166"/>
  <c r="U167"/>
  <c r="V167"/>
  <c r="W167"/>
  <c r="X167"/>
  <c r="Y167"/>
  <c r="Z167"/>
  <c r="AA167"/>
  <c r="AB167"/>
  <c r="AC167"/>
  <c r="AD167"/>
  <c r="AE167"/>
  <c r="AF167"/>
  <c r="AG167"/>
  <c r="AH167"/>
  <c r="AI167"/>
  <c r="AK167"/>
  <c r="U168"/>
  <c r="V168"/>
  <c r="W168"/>
  <c r="X168"/>
  <c r="Y168"/>
  <c r="Z168"/>
  <c r="AA168"/>
  <c r="AB168"/>
  <c r="AC168"/>
  <c r="AD168"/>
  <c r="AE168"/>
  <c r="AF168"/>
  <c r="AG168"/>
  <c r="AH168"/>
  <c r="AI168"/>
  <c r="AK168"/>
  <c r="U169"/>
  <c r="V169"/>
  <c r="W169"/>
  <c r="X169"/>
  <c r="Y169"/>
  <c r="Z169"/>
  <c r="AA169"/>
  <c r="AB169"/>
  <c r="AC169"/>
  <c r="AD169"/>
  <c r="AE169"/>
  <c r="AF169"/>
  <c r="AG169"/>
  <c r="AH169"/>
  <c r="AI169"/>
  <c r="AK169"/>
  <c r="U170"/>
  <c r="V170"/>
  <c r="W170"/>
  <c r="X170"/>
  <c r="Y170"/>
  <c r="Z170"/>
  <c r="AA170"/>
  <c r="AB170"/>
  <c r="AC170"/>
  <c r="AD170"/>
  <c r="AE170"/>
  <c r="AF170"/>
  <c r="AG170"/>
  <c r="AH170"/>
  <c r="AI170"/>
  <c r="AK170"/>
  <c r="U171"/>
  <c r="V171"/>
  <c r="W171"/>
  <c r="X171"/>
  <c r="Y171"/>
  <c r="Z171"/>
  <c r="AA171"/>
  <c r="AB171"/>
  <c r="AC171"/>
  <c r="AD171"/>
  <c r="AE171"/>
  <c r="AF171"/>
  <c r="AG171"/>
  <c r="AH171"/>
  <c r="AI171"/>
  <c r="AJ171"/>
  <c r="AK171"/>
  <c r="U172"/>
  <c r="V172"/>
  <c r="W172"/>
  <c r="X172"/>
  <c r="Y172"/>
  <c r="Z172"/>
  <c r="AA172"/>
  <c r="AB172"/>
  <c r="AC172"/>
  <c r="AD172"/>
  <c r="AE172"/>
  <c r="AF172"/>
  <c r="AG172"/>
  <c r="AH172"/>
  <c r="AI172"/>
  <c r="AJ172"/>
  <c r="AK172"/>
  <c r="U173"/>
  <c r="V173"/>
  <c r="W173"/>
  <c r="X173"/>
  <c r="Y173"/>
  <c r="Z173"/>
  <c r="AA173"/>
  <c r="AB173"/>
  <c r="AC173"/>
  <c r="AD173"/>
  <c r="AE173"/>
  <c r="AF173"/>
  <c r="AG173"/>
  <c r="AH173"/>
  <c r="AI173"/>
  <c r="AK173"/>
  <c r="U174"/>
  <c r="V174"/>
  <c r="W174"/>
  <c r="X174"/>
  <c r="Y174"/>
  <c r="Z174"/>
  <c r="AA174"/>
  <c r="AB174"/>
  <c r="AC174"/>
  <c r="AD174"/>
  <c r="AE174"/>
  <c r="AF174"/>
  <c r="AG174"/>
  <c r="AH174"/>
  <c r="AI174"/>
  <c r="AK174"/>
  <c r="U175"/>
  <c r="V175"/>
  <c r="W175"/>
  <c r="X175"/>
  <c r="Y175"/>
  <c r="Z175"/>
  <c r="AA175"/>
  <c r="AB175"/>
  <c r="AC175"/>
  <c r="AD175"/>
  <c r="AE175"/>
  <c r="AF175"/>
  <c r="AG175"/>
  <c r="AH175"/>
  <c r="AI175"/>
  <c r="AK175"/>
  <c r="U177"/>
  <c r="V177"/>
  <c r="W177"/>
  <c r="X177"/>
  <c r="Y177"/>
  <c r="Z177"/>
  <c r="AA177"/>
  <c r="AB177"/>
  <c r="AC177"/>
  <c r="AD177"/>
  <c r="AE177"/>
  <c r="AF177"/>
  <c r="AG177"/>
  <c r="AH177"/>
  <c r="AI177"/>
  <c r="AK177"/>
  <c r="U178"/>
  <c r="V178"/>
  <c r="W178"/>
  <c r="X178"/>
  <c r="Y178"/>
  <c r="Z178"/>
  <c r="AA178"/>
  <c r="AB178"/>
  <c r="AC178"/>
  <c r="AD178"/>
  <c r="AE178"/>
  <c r="AF178"/>
  <c r="AG178"/>
  <c r="AH178"/>
  <c r="AI178"/>
  <c r="AK178"/>
  <c r="U179"/>
  <c r="V179"/>
  <c r="W179"/>
  <c r="X179"/>
  <c r="Y179"/>
  <c r="Z179"/>
  <c r="AA179"/>
  <c r="AB179"/>
  <c r="AC179"/>
  <c r="AD179"/>
  <c r="AE179"/>
  <c r="AF179"/>
  <c r="AG179"/>
  <c r="AH179"/>
  <c r="AI179"/>
  <c r="AK179"/>
  <c r="U181"/>
  <c r="V181"/>
  <c r="W181"/>
  <c r="X181"/>
  <c r="Y181"/>
  <c r="Z181"/>
  <c r="AA181"/>
  <c r="AB181"/>
  <c r="AC181"/>
  <c r="AD181"/>
  <c r="AE181"/>
  <c r="AF181"/>
  <c r="AG181"/>
  <c r="AH181"/>
  <c r="AI181"/>
  <c r="AK181"/>
  <c r="U182"/>
  <c r="V182"/>
  <c r="W182"/>
  <c r="X182"/>
  <c r="Y182"/>
  <c r="Z182"/>
  <c r="AA182"/>
  <c r="AB182"/>
  <c r="AC182"/>
  <c r="AD182"/>
  <c r="AE182"/>
  <c r="AF182"/>
  <c r="AG182"/>
  <c r="AH182"/>
  <c r="AI182"/>
  <c r="AK182"/>
  <c r="U183"/>
  <c r="V183"/>
  <c r="W183"/>
  <c r="X183"/>
  <c r="Y183"/>
  <c r="Z183"/>
  <c r="AA183"/>
  <c r="AB183"/>
  <c r="AC183"/>
  <c r="AD183"/>
  <c r="AE183"/>
  <c r="AF183"/>
  <c r="AG183"/>
  <c r="AH183"/>
  <c r="AI183"/>
  <c r="AK183"/>
  <c r="U184"/>
  <c r="V184"/>
  <c r="W184"/>
  <c r="X184"/>
  <c r="Y184"/>
  <c r="Z184"/>
  <c r="AA184"/>
  <c r="AB184"/>
  <c r="AC184"/>
  <c r="AD184"/>
  <c r="AE184"/>
  <c r="AF184"/>
  <c r="AG184"/>
  <c r="AH184"/>
  <c r="AI184"/>
  <c r="AK184"/>
  <c r="U185"/>
  <c r="V185"/>
  <c r="W185"/>
  <c r="X185"/>
  <c r="Y185"/>
  <c r="Z185"/>
  <c r="AA185"/>
  <c r="AB185"/>
  <c r="AC185"/>
  <c r="AD185"/>
  <c r="AE185"/>
  <c r="AF185"/>
  <c r="AG185"/>
  <c r="AH185"/>
  <c r="AI185"/>
  <c r="AK185"/>
  <c r="U186"/>
  <c r="V186"/>
  <c r="W186"/>
  <c r="X186"/>
  <c r="Y186"/>
  <c r="Z186"/>
  <c r="AA186"/>
  <c r="AB186"/>
  <c r="AC186"/>
  <c r="AD186"/>
  <c r="AE186"/>
  <c r="AF186"/>
  <c r="AG186"/>
  <c r="AH186"/>
  <c r="AI186"/>
  <c r="AK186"/>
  <c r="U187"/>
  <c r="V187"/>
  <c r="W187"/>
  <c r="X187"/>
  <c r="Y187"/>
  <c r="Z187"/>
  <c r="AA187"/>
  <c r="AB187"/>
  <c r="AC187"/>
  <c r="AD187"/>
  <c r="AE187"/>
  <c r="AF187"/>
  <c r="AG187"/>
  <c r="AH187"/>
  <c r="AI187"/>
  <c r="AK187"/>
  <c r="U189"/>
  <c r="V189"/>
  <c r="W189"/>
  <c r="X189"/>
  <c r="Y189"/>
  <c r="Z189"/>
  <c r="AA189"/>
  <c r="AB189"/>
  <c r="AC189"/>
  <c r="AD189"/>
  <c r="AE189"/>
  <c r="AF189"/>
  <c r="AG189"/>
  <c r="AH189"/>
  <c r="AI189"/>
  <c r="AK189"/>
  <c r="U190"/>
  <c r="V190"/>
  <c r="W190"/>
  <c r="X190"/>
  <c r="Y190"/>
  <c r="Z190"/>
  <c r="AA190"/>
  <c r="AB190"/>
  <c r="AC190"/>
  <c r="AD190"/>
  <c r="AE190"/>
  <c r="AF190"/>
  <c r="AG190"/>
  <c r="AH190"/>
  <c r="AI190"/>
  <c r="AK190"/>
  <c r="U191"/>
  <c r="V191"/>
  <c r="W191"/>
  <c r="X191"/>
  <c r="Y191"/>
  <c r="Z191"/>
  <c r="AA191"/>
  <c r="AB191"/>
  <c r="AC191"/>
  <c r="AD191"/>
  <c r="AE191"/>
  <c r="AF191"/>
  <c r="AG191"/>
  <c r="AH191"/>
  <c r="AI191"/>
  <c r="AK191"/>
  <c r="U192"/>
  <c r="V192"/>
  <c r="W192"/>
  <c r="X192"/>
  <c r="Y192"/>
  <c r="Z192"/>
  <c r="AA192"/>
  <c r="AB192"/>
  <c r="AC192"/>
  <c r="AD192"/>
  <c r="AE192"/>
  <c r="AF192"/>
  <c r="AG192"/>
  <c r="AH192"/>
  <c r="AI192"/>
  <c r="AK192"/>
  <c r="U193"/>
  <c r="V193"/>
  <c r="W193"/>
  <c r="X193"/>
  <c r="Y193"/>
  <c r="Z193"/>
  <c r="AA193"/>
  <c r="AB193"/>
  <c r="AC193"/>
  <c r="AD193"/>
  <c r="AE193"/>
  <c r="AF193"/>
  <c r="AG193"/>
  <c r="AH193"/>
  <c r="AI193"/>
  <c r="AK193"/>
  <c r="U194"/>
  <c r="V194"/>
  <c r="W194"/>
  <c r="X194"/>
  <c r="Z194"/>
  <c r="AA194"/>
  <c r="AB194"/>
  <c r="AC194"/>
  <c r="AD194"/>
  <c r="AF194"/>
  <c r="AG194"/>
  <c r="AH194"/>
  <c r="AI194"/>
  <c r="AJ194"/>
  <c r="U195"/>
  <c r="V195"/>
  <c r="W195"/>
  <c r="X195"/>
  <c r="Y195"/>
  <c r="Z195"/>
  <c r="AA195"/>
  <c r="AB195"/>
  <c r="AC195"/>
  <c r="AD195"/>
  <c r="AE195"/>
  <c r="AF195"/>
  <c r="AG195"/>
  <c r="AH195"/>
  <c r="AI195"/>
  <c r="AK195"/>
  <c r="AP195"/>
  <c r="U196"/>
  <c r="V196"/>
  <c r="W196"/>
  <c r="X196"/>
  <c r="Y196"/>
  <c r="Z196"/>
  <c r="AA196"/>
  <c r="AB196"/>
  <c r="AC196"/>
  <c r="AD196"/>
  <c r="AE196"/>
  <c r="AF196"/>
  <c r="AG196"/>
  <c r="AH196"/>
  <c r="AI196"/>
  <c r="AK196"/>
  <c r="U197"/>
  <c r="V197"/>
  <c r="W197"/>
  <c r="X197"/>
  <c r="Y197"/>
  <c r="Z197"/>
  <c r="AA197"/>
  <c r="AB197"/>
  <c r="AC197"/>
  <c r="AD197"/>
  <c r="AE197"/>
  <c r="AF197"/>
  <c r="AG197"/>
  <c r="AH197"/>
  <c r="AI197"/>
  <c r="AK197"/>
  <c r="U198"/>
  <c r="V198"/>
  <c r="W198"/>
  <c r="X198"/>
  <c r="Y198"/>
  <c r="Z198"/>
  <c r="AA198"/>
  <c r="AB198"/>
  <c r="AC198"/>
  <c r="AD198"/>
  <c r="AE198"/>
  <c r="AF198"/>
  <c r="AG198"/>
  <c r="AH198"/>
  <c r="AI198"/>
  <c r="AK198"/>
  <c r="U202"/>
  <c r="V202"/>
  <c r="W202"/>
  <c r="Y202"/>
  <c r="Z202"/>
  <c r="AA202"/>
  <c r="AC202"/>
  <c r="AD202"/>
  <c r="AE202"/>
  <c r="AG202"/>
  <c r="AH202"/>
  <c r="AI202"/>
  <c r="AK202"/>
  <c r="U203"/>
  <c r="V203"/>
  <c r="W203"/>
  <c r="X203"/>
  <c r="Y203"/>
  <c r="Z203"/>
  <c r="AA203"/>
  <c r="AB203"/>
  <c r="AC203"/>
  <c r="AD203"/>
  <c r="AE203"/>
  <c r="AF203"/>
  <c r="AG203"/>
  <c r="AH203"/>
  <c r="AI203"/>
  <c r="AK203"/>
  <c r="U204"/>
  <c r="V204"/>
  <c r="W204"/>
  <c r="X204"/>
  <c r="Y204"/>
  <c r="Z204"/>
  <c r="AA204"/>
  <c r="AB204"/>
  <c r="AC204"/>
  <c r="AD204"/>
  <c r="AE204"/>
  <c r="AF204"/>
  <c r="AG204"/>
  <c r="AH204"/>
  <c r="AI204"/>
  <c r="AK204"/>
  <c r="U205"/>
  <c r="V205"/>
  <c r="W205"/>
  <c r="X205"/>
  <c r="Y205"/>
  <c r="Z205"/>
  <c r="AA205"/>
  <c r="AB205"/>
  <c r="AC205"/>
  <c r="AD205"/>
  <c r="AE205"/>
  <c r="AF205"/>
  <c r="AG205"/>
  <c r="AH205"/>
  <c r="AI205"/>
  <c r="AK205"/>
  <c r="U206"/>
  <c r="V206"/>
  <c r="W206"/>
  <c r="X206"/>
  <c r="Y206"/>
  <c r="Z206"/>
  <c r="AA206"/>
  <c r="AB206"/>
  <c r="AC206"/>
  <c r="AD206"/>
  <c r="AE206"/>
  <c r="AF206"/>
  <c r="AG206"/>
  <c r="AH206"/>
  <c r="AI206"/>
  <c r="AK206"/>
  <c r="U207"/>
  <c r="V207"/>
  <c r="W207"/>
  <c r="X207"/>
  <c r="Y207"/>
  <c r="Z207"/>
  <c r="AA207"/>
  <c r="AB207"/>
  <c r="AC207"/>
  <c r="AD207"/>
  <c r="AE207"/>
  <c r="AF207"/>
  <c r="AG207"/>
  <c r="AH207"/>
  <c r="AI207"/>
  <c r="AK207"/>
  <c r="U208"/>
  <c r="V208"/>
  <c r="W208"/>
  <c r="X208"/>
  <c r="Y208"/>
  <c r="Z208"/>
  <c r="AA208"/>
  <c r="AB208"/>
  <c r="AC208"/>
  <c r="AD208"/>
  <c r="AE208"/>
  <c r="AF208"/>
  <c r="AG208"/>
  <c r="AH208"/>
  <c r="AI208"/>
  <c r="AK208"/>
  <c r="U209"/>
  <c r="V209"/>
  <c r="W209"/>
  <c r="X209"/>
  <c r="Y209"/>
  <c r="Z209"/>
  <c r="AA209"/>
  <c r="AB209"/>
  <c r="AC209"/>
  <c r="AD209"/>
  <c r="AE209"/>
  <c r="AF209"/>
  <c r="AG209"/>
  <c r="AH209"/>
  <c r="AI209"/>
  <c r="AK209"/>
  <c r="U210"/>
  <c r="V210"/>
  <c r="W210"/>
  <c r="X210"/>
  <c r="Y210"/>
  <c r="Z210"/>
  <c r="AA210"/>
  <c r="AB210"/>
  <c r="AC210"/>
  <c r="AD210"/>
  <c r="AE210"/>
  <c r="AF210"/>
  <c r="AG210"/>
  <c r="AH210"/>
  <c r="AI210"/>
  <c r="AK210"/>
  <c r="U211"/>
  <c r="V211"/>
  <c r="W211"/>
  <c r="X211"/>
  <c r="Y211"/>
  <c r="Z211"/>
  <c r="AA211"/>
  <c r="AB211"/>
  <c r="AC211"/>
  <c r="AD211"/>
  <c r="AE211"/>
  <c r="AF211"/>
  <c r="AG211"/>
  <c r="AH211"/>
  <c r="AI211"/>
  <c r="AK211"/>
  <c r="U215"/>
  <c r="V215"/>
  <c r="W215"/>
  <c r="X215"/>
  <c r="Y215"/>
  <c r="Z215"/>
  <c r="AA215"/>
  <c r="AB215"/>
  <c r="AC215"/>
  <c r="AD215"/>
  <c r="AE215"/>
  <c r="AF215"/>
  <c r="AG215"/>
  <c r="AH215"/>
  <c r="AI215"/>
  <c r="AK215"/>
  <c r="U216"/>
  <c r="V216"/>
  <c r="W216"/>
  <c r="X216"/>
  <c r="Y216"/>
  <c r="Z216"/>
  <c r="AA216"/>
  <c r="AB216"/>
  <c r="AC216"/>
  <c r="AD216"/>
  <c r="AE216"/>
  <c r="AF216"/>
  <c r="AG216"/>
  <c r="AH216"/>
  <c r="AI216"/>
  <c r="AK216"/>
  <c r="U217"/>
  <c r="V217"/>
  <c r="W217"/>
  <c r="X217"/>
  <c r="Y217"/>
  <c r="Z217"/>
  <c r="AA217"/>
  <c r="AB217"/>
  <c r="AC217"/>
  <c r="AD217"/>
  <c r="AE217"/>
  <c r="AF217"/>
  <c r="AG217"/>
  <c r="AH217"/>
  <c r="AI217"/>
  <c r="AK217"/>
  <c r="U218"/>
  <c r="V218"/>
  <c r="W218"/>
  <c r="X218"/>
  <c r="Y218"/>
  <c r="Z218"/>
  <c r="AA218"/>
  <c r="AB218"/>
  <c r="AC218"/>
  <c r="AD218"/>
  <c r="AE218"/>
  <c r="AF218"/>
  <c r="AG218"/>
  <c r="AH218"/>
  <c r="AI218"/>
  <c r="AK218"/>
  <c r="U219"/>
  <c r="V219"/>
  <c r="W219"/>
  <c r="X219"/>
  <c r="Y219"/>
  <c r="Z219"/>
  <c r="AA219"/>
  <c r="AB219"/>
  <c r="AC219"/>
  <c r="AD219"/>
  <c r="AE219"/>
  <c r="AF219"/>
  <c r="AG219"/>
  <c r="AH219"/>
  <c r="AI219"/>
  <c r="AK219"/>
  <c r="U220"/>
  <c r="V220"/>
  <c r="W220"/>
  <c r="X220"/>
  <c r="Y220"/>
  <c r="Z220"/>
  <c r="AA220"/>
  <c r="AB220"/>
  <c r="AC220"/>
  <c r="AD220"/>
  <c r="AE220"/>
  <c r="AF220"/>
  <c r="AG220"/>
  <c r="AH220"/>
  <c r="AI220"/>
  <c r="AK220"/>
  <c r="U221"/>
  <c r="V221"/>
  <c r="W221"/>
  <c r="X221"/>
  <c r="Y221"/>
  <c r="Z221"/>
  <c r="AA221"/>
  <c r="AB221"/>
  <c r="AC221"/>
  <c r="AD221"/>
  <c r="AE221"/>
  <c r="AF221"/>
  <c r="AG221"/>
  <c r="AH221"/>
  <c r="AI221"/>
  <c r="AK221"/>
  <c r="U232"/>
  <c r="V232"/>
  <c r="W232"/>
  <c r="X232"/>
  <c r="Y232"/>
  <c r="Z232"/>
  <c r="AA232"/>
  <c r="AB232"/>
  <c r="AC232"/>
  <c r="AD232"/>
  <c r="AE232"/>
  <c r="AF232"/>
  <c r="AG232"/>
  <c r="AH232"/>
  <c r="AI232"/>
  <c r="AK232"/>
  <c r="U233"/>
  <c r="V233"/>
  <c r="W233"/>
  <c r="X233"/>
  <c r="Y233"/>
  <c r="Z233"/>
  <c r="AA233"/>
  <c r="AB233"/>
  <c r="AC233"/>
  <c r="AD233"/>
  <c r="AE233"/>
  <c r="AF233"/>
  <c r="AG233"/>
  <c r="AH233"/>
  <c r="AI233"/>
  <c r="AJ233"/>
  <c r="AK233"/>
  <c r="U234"/>
  <c r="V234"/>
  <c r="W234"/>
  <c r="X234"/>
  <c r="Y234"/>
  <c r="AF234"/>
  <c r="AH234"/>
  <c r="AI234"/>
  <c r="AK234"/>
  <c r="U235"/>
  <c r="V235"/>
  <c r="W235"/>
  <c r="X235"/>
  <c r="Y235"/>
  <c r="Z235"/>
  <c r="AA235"/>
  <c r="AB235"/>
  <c r="AC235"/>
  <c r="AD235"/>
  <c r="AE235"/>
  <c r="AF235"/>
  <c r="AG235"/>
  <c r="AH235"/>
  <c r="AI235"/>
  <c r="AK235"/>
  <c r="U236"/>
  <c r="V236"/>
  <c r="W236"/>
  <c r="X236"/>
  <c r="Y236"/>
  <c r="Z236"/>
  <c r="AA236"/>
  <c r="AB236"/>
  <c r="AC236"/>
  <c r="AD236"/>
  <c r="AE236"/>
  <c r="AF236"/>
  <c r="AG236"/>
  <c r="AH236"/>
  <c r="AI236"/>
  <c r="AK236"/>
  <c r="U237"/>
  <c r="V237"/>
  <c r="W237"/>
  <c r="X237"/>
  <c r="Y237"/>
  <c r="Z237"/>
  <c r="AA237"/>
  <c r="AB237"/>
  <c r="AC237"/>
  <c r="AD237"/>
  <c r="AE237"/>
  <c r="AF237"/>
  <c r="AG237"/>
  <c r="AH237"/>
  <c r="AI237"/>
  <c r="AK237"/>
  <c r="U239"/>
  <c r="V239"/>
  <c r="W239"/>
  <c r="X239"/>
  <c r="Y239"/>
  <c r="Z239"/>
  <c r="AA239"/>
  <c r="AB239"/>
  <c r="AC239"/>
  <c r="AD239"/>
  <c r="AE239"/>
  <c r="AF239"/>
  <c r="AG239"/>
  <c r="AH239"/>
  <c r="AI239"/>
  <c r="AK239"/>
  <c r="U240"/>
  <c r="V240"/>
  <c r="W240"/>
  <c r="X240"/>
  <c r="Y240"/>
  <c r="Z240"/>
  <c r="AA240"/>
  <c r="AB240"/>
  <c r="AC240"/>
  <c r="AD240"/>
  <c r="AE240"/>
  <c r="AF240"/>
  <c r="AG240"/>
  <c r="AH240"/>
  <c r="AI240"/>
  <c r="AK240"/>
  <c r="U241"/>
  <c r="V241"/>
  <c r="W241"/>
  <c r="X241"/>
  <c r="Y241"/>
  <c r="Z241"/>
  <c r="AA241"/>
  <c r="AB241"/>
  <c r="AC241"/>
  <c r="AD241"/>
  <c r="AE241"/>
  <c r="AF241"/>
  <c r="AG241"/>
  <c r="AH241"/>
  <c r="AI241"/>
  <c r="AK241"/>
  <c r="U242"/>
  <c r="V242"/>
  <c r="W242"/>
  <c r="X242"/>
  <c r="Y242"/>
  <c r="Z242"/>
  <c r="AA242"/>
  <c r="AB242"/>
  <c r="AC242"/>
  <c r="AD242"/>
  <c r="AE242"/>
  <c r="AF242"/>
  <c r="AG242"/>
  <c r="AH242"/>
  <c r="AI242"/>
  <c r="AK242"/>
  <c r="U243"/>
  <c r="V243"/>
  <c r="W243"/>
  <c r="X243"/>
  <c r="Y243"/>
  <c r="Z243"/>
  <c r="AA243"/>
  <c r="AB243"/>
  <c r="AC243"/>
  <c r="AD243"/>
  <c r="AE243"/>
  <c r="AF243"/>
  <c r="AG243"/>
  <c r="AH243"/>
  <c r="AI243"/>
  <c r="AK243"/>
  <c r="U244"/>
  <c r="V244"/>
  <c r="W244"/>
  <c r="X244"/>
  <c r="Y244"/>
  <c r="Z244"/>
  <c r="AA244"/>
  <c r="AB244"/>
  <c r="AC244"/>
  <c r="AD244"/>
  <c r="AE244"/>
  <c r="AF244"/>
  <c r="AG244"/>
  <c r="AH244"/>
  <c r="AI244"/>
  <c r="AK244"/>
  <c r="U249"/>
  <c r="V249"/>
  <c r="W249"/>
  <c r="X249"/>
  <c r="Y249"/>
  <c r="Z249"/>
  <c r="AA249"/>
  <c r="AB249"/>
  <c r="AC249"/>
  <c r="AD249"/>
  <c r="AE249"/>
  <c r="AF249"/>
  <c r="AG249"/>
  <c r="AH249"/>
  <c r="AI249"/>
  <c r="AK249"/>
  <c r="U250"/>
  <c r="V250"/>
  <c r="W250"/>
  <c r="X250"/>
  <c r="Y250"/>
  <c r="Z250"/>
  <c r="AA250"/>
  <c r="AB250"/>
  <c r="AC250"/>
  <c r="AD250"/>
  <c r="AE250"/>
  <c r="AF250"/>
  <c r="AG250"/>
  <c r="AH250"/>
  <c r="AI250"/>
  <c r="AK250"/>
  <c r="U251"/>
  <c r="V251"/>
  <c r="W251"/>
  <c r="X251"/>
  <c r="Y251"/>
  <c r="Z251"/>
  <c r="AA251"/>
  <c r="AB251"/>
  <c r="AC251"/>
  <c r="AD251"/>
  <c r="AE251"/>
  <c r="AF251"/>
  <c r="AG251"/>
  <c r="AH251"/>
  <c r="AI251"/>
  <c r="AK251"/>
  <c r="U252"/>
  <c r="V252"/>
  <c r="W252"/>
  <c r="X252"/>
  <c r="Y252"/>
  <c r="Z252"/>
  <c r="AA252"/>
  <c r="AB252"/>
  <c r="AC252"/>
  <c r="AD252"/>
  <c r="AE252"/>
  <c r="AF252"/>
  <c r="AG252"/>
  <c r="AH252"/>
  <c r="AI252"/>
  <c r="AK252"/>
  <c r="U253"/>
  <c r="V253"/>
  <c r="W253"/>
  <c r="X253"/>
  <c r="Y253"/>
  <c r="Z253"/>
  <c r="AA253"/>
  <c r="AB253"/>
  <c r="AC253"/>
  <c r="AD253"/>
  <c r="AE253"/>
  <c r="AF253"/>
  <c r="AG253"/>
  <c r="AH253"/>
  <c r="AI253"/>
  <c r="AK253"/>
  <c r="U255"/>
  <c r="V255"/>
  <c r="W255"/>
  <c r="X255"/>
  <c r="Y255"/>
  <c r="Z255"/>
  <c r="AA255"/>
  <c r="AB255"/>
  <c r="AC255"/>
  <c r="AD255"/>
  <c r="AE255"/>
  <c r="AF255"/>
  <c r="AG255"/>
  <c r="AH255"/>
  <c r="AI255"/>
  <c r="AK255"/>
  <c r="U256"/>
  <c r="V256"/>
  <c r="W256"/>
  <c r="X256"/>
  <c r="Y256"/>
  <c r="Z256"/>
  <c r="AA256"/>
  <c r="AB256"/>
  <c r="AC256"/>
  <c r="AD256"/>
  <c r="AE256"/>
  <c r="AF256"/>
  <c r="AG256"/>
  <c r="AH256"/>
  <c r="AI256"/>
  <c r="U258"/>
  <c r="V258"/>
  <c r="W258"/>
  <c r="X258"/>
  <c r="Y258"/>
  <c r="Z258"/>
  <c r="AA258"/>
  <c r="AB258"/>
  <c r="AC258"/>
  <c r="AD258"/>
  <c r="AE258"/>
  <c r="AF258"/>
  <c r="AG258"/>
  <c r="AH258"/>
  <c r="AI258"/>
  <c r="AK258"/>
  <c r="U259"/>
  <c r="V259"/>
  <c r="W259"/>
  <c r="X259"/>
  <c r="Y259"/>
  <c r="Z259"/>
  <c r="AA259"/>
  <c r="AB259"/>
  <c r="AC259"/>
  <c r="AD259"/>
  <c r="AE259"/>
  <c r="AF259"/>
  <c r="AG259"/>
  <c r="AH259"/>
  <c r="AI259"/>
  <c r="AK259"/>
  <c r="U260"/>
  <c r="V260"/>
  <c r="W260"/>
  <c r="X260"/>
  <c r="Y260"/>
  <c r="Z260"/>
  <c r="AA260"/>
  <c r="AB260"/>
  <c r="AC260"/>
  <c r="AD260"/>
  <c r="AE260"/>
  <c r="AF260"/>
  <c r="AG260"/>
  <c r="AH260"/>
  <c r="AI260"/>
  <c r="AK260"/>
  <c r="U261"/>
  <c r="V261"/>
  <c r="W261"/>
  <c r="X261"/>
  <c r="Y261"/>
  <c r="Z261"/>
  <c r="AA261"/>
  <c r="AB261"/>
  <c r="AC261"/>
  <c r="AD261"/>
  <c r="AE261"/>
  <c r="AF261"/>
  <c r="AG261"/>
  <c r="AH261"/>
  <c r="AI261"/>
  <c r="AK261"/>
  <c r="U262"/>
  <c r="V262"/>
  <c r="W262"/>
  <c r="X262"/>
  <c r="Y262"/>
  <c r="Z262"/>
  <c r="AA262"/>
  <c r="AC262"/>
  <c r="AD262"/>
  <c r="AE262"/>
  <c r="AF262"/>
  <c r="AG262"/>
  <c r="AH262"/>
  <c r="AI262"/>
  <c r="AK262"/>
  <c r="U263"/>
  <c r="V263"/>
  <c r="W263"/>
  <c r="X263"/>
  <c r="Y263"/>
  <c r="Z263"/>
  <c r="AA263"/>
  <c r="AB263"/>
  <c r="AC263"/>
  <c r="AD263"/>
  <c r="AE263"/>
  <c r="AF263"/>
  <c r="AG263"/>
  <c r="AH263"/>
  <c r="AI263"/>
  <c r="AK263"/>
  <c r="U265"/>
  <c r="V265"/>
  <c r="W265"/>
  <c r="Y265"/>
  <c r="Z265"/>
  <c r="AA265"/>
  <c r="AC265"/>
  <c r="AD265"/>
  <c r="AE265"/>
  <c r="AF265"/>
  <c r="AG265"/>
  <c r="AH265"/>
  <c r="AI265"/>
  <c r="AK265"/>
  <c r="U266"/>
  <c r="V266"/>
  <c r="W266"/>
  <c r="X266"/>
  <c r="Y266"/>
  <c r="Z266"/>
  <c r="AA266"/>
  <c r="AB266"/>
  <c r="AC266"/>
  <c r="AD266"/>
  <c r="AE266"/>
  <c r="AF266"/>
  <c r="AG266"/>
  <c r="AH266"/>
  <c r="AI266"/>
  <c r="AK266"/>
  <c r="U267"/>
  <c r="V267"/>
  <c r="W267"/>
  <c r="X267"/>
  <c r="Y267"/>
  <c r="Z267"/>
  <c r="AA267"/>
  <c r="AB267"/>
  <c r="AC267"/>
  <c r="AD267"/>
  <c r="AE267"/>
  <c r="AF267"/>
  <c r="AG267"/>
  <c r="AH267"/>
  <c r="AI267"/>
  <c r="AK267"/>
  <c r="U268"/>
  <c r="V268"/>
  <c r="W268"/>
  <c r="X268"/>
  <c r="Y268"/>
  <c r="Z268"/>
  <c r="AA268"/>
  <c r="AB268"/>
  <c r="AC268"/>
  <c r="AD268"/>
  <c r="AE268"/>
  <c r="AF268"/>
  <c r="AG268"/>
  <c r="AH268"/>
  <c r="AI268"/>
  <c r="AK268"/>
  <c r="U270"/>
  <c r="V270"/>
  <c r="W270"/>
  <c r="Y270"/>
  <c r="Z270"/>
  <c r="AA270"/>
  <c r="AC270"/>
  <c r="AD270"/>
  <c r="AE270"/>
  <c r="AG270"/>
  <c r="AH270"/>
  <c r="AI270"/>
  <c r="AK270"/>
  <c r="U271"/>
  <c r="V271"/>
  <c r="W271"/>
  <c r="X271"/>
  <c r="Y271"/>
  <c r="Z271"/>
  <c r="AA271"/>
  <c r="AB271"/>
  <c r="AC271"/>
  <c r="AD271"/>
  <c r="AE271"/>
  <c r="AF271"/>
  <c r="AG271"/>
  <c r="AH271"/>
  <c r="AI271"/>
  <c r="AK271"/>
  <c r="U272"/>
  <c r="V272"/>
  <c r="W272"/>
  <c r="X272"/>
  <c r="Y272"/>
  <c r="Z272"/>
  <c r="AA272"/>
  <c r="AB272"/>
  <c r="AC272"/>
  <c r="AD272"/>
  <c r="AE272"/>
  <c r="AF272"/>
  <c r="AG272"/>
  <c r="AH272"/>
  <c r="AI272"/>
  <c r="AK272"/>
  <c r="U278"/>
  <c r="V278"/>
  <c r="W278"/>
  <c r="X278"/>
  <c r="Y278"/>
  <c r="Z278"/>
  <c r="AA278"/>
  <c r="AB278"/>
  <c r="AC278"/>
  <c r="AD278"/>
  <c r="AE278"/>
  <c r="AF278"/>
  <c r="AG278"/>
  <c r="AH278"/>
  <c r="AI278"/>
  <c r="AK278"/>
  <c r="U279"/>
  <c r="V279"/>
  <c r="W279"/>
  <c r="X279"/>
  <c r="Y279"/>
  <c r="Z279"/>
  <c r="AA279"/>
  <c r="AB279"/>
  <c r="AC279"/>
  <c r="AD279"/>
  <c r="AE279"/>
  <c r="AF279"/>
  <c r="AG279"/>
  <c r="AH279"/>
  <c r="AI279"/>
  <c r="AK279"/>
  <c r="U280"/>
  <c r="V280"/>
  <c r="W280"/>
  <c r="X280"/>
  <c r="Y280"/>
  <c r="Z280"/>
  <c r="AA280"/>
  <c r="AB280"/>
  <c r="AC280"/>
  <c r="AD280"/>
  <c r="AE280"/>
  <c r="AF280"/>
  <c r="AG280"/>
  <c r="AH280"/>
  <c r="AI280"/>
  <c r="AK280"/>
  <c r="U281"/>
  <c r="V281"/>
  <c r="W281"/>
  <c r="X281"/>
  <c r="Y281"/>
  <c r="Z281"/>
  <c r="AA281"/>
  <c r="AB281"/>
  <c r="AC281"/>
  <c r="AD281"/>
  <c r="AE281"/>
  <c r="AF281"/>
  <c r="AG281"/>
  <c r="AH281"/>
  <c r="AI281"/>
  <c r="AK281"/>
  <c r="U282"/>
  <c r="V282"/>
  <c r="W282"/>
  <c r="X282"/>
  <c r="Y282"/>
  <c r="Z282"/>
  <c r="AA282"/>
  <c r="AB282"/>
  <c r="AC282"/>
  <c r="AD282"/>
  <c r="AE282"/>
  <c r="AF282"/>
  <c r="AG282"/>
  <c r="AH282"/>
  <c r="AI282"/>
  <c r="AK282"/>
  <c r="U283"/>
  <c r="V283"/>
  <c r="W283"/>
  <c r="X283"/>
  <c r="Y283"/>
  <c r="Z283"/>
  <c r="AA283"/>
  <c r="AB283"/>
  <c r="AC283"/>
  <c r="AD283"/>
  <c r="AE283"/>
  <c r="AF283"/>
  <c r="AG283"/>
  <c r="AH283"/>
  <c r="AI283"/>
  <c r="AK283"/>
  <c r="U284"/>
  <c r="V284"/>
  <c r="W284"/>
  <c r="X284"/>
  <c r="Y284"/>
  <c r="Z284"/>
  <c r="AA284"/>
  <c r="AB284"/>
  <c r="AC284"/>
  <c r="AD284"/>
  <c r="AE284"/>
  <c r="AF284"/>
  <c r="AG284"/>
  <c r="AH284"/>
  <c r="AI284"/>
  <c r="AK284"/>
  <c r="U285"/>
  <c r="V285"/>
  <c r="W285"/>
  <c r="X285"/>
  <c r="Y285"/>
  <c r="Z285"/>
  <c r="AA285"/>
  <c r="AB285"/>
  <c r="AC285"/>
  <c r="AD285"/>
  <c r="AE285"/>
  <c r="AF285"/>
  <c r="AG285"/>
  <c r="AH285"/>
  <c r="AI285"/>
  <c r="AK285"/>
  <c r="U287"/>
  <c r="V287"/>
  <c r="W287"/>
  <c r="X287"/>
  <c r="Y287"/>
  <c r="Z287"/>
  <c r="AA287"/>
  <c r="AB287"/>
  <c r="AC287"/>
  <c r="AD287"/>
  <c r="AE287"/>
  <c r="AF287"/>
  <c r="AG287"/>
  <c r="AH287"/>
  <c r="AI287"/>
  <c r="AK287"/>
  <c r="U288"/>
  <c r="V288"/>
  <c r="W288"/>
  <c r="X288"/>
  <c r="Y288"/>
  <c r="Z288"/>
  <c r="AA288"/>
  <c r="AB288"/>
  <c r="AC288"/>
  <c r="AD288"/>
  <c r="AE288"/>
  <c r="AF288"/>
  <c r="AG288"/>
  <c r="AH288"/>
  <c r="AI288"/>
  <c r="AK288"/>
  <c r="U292"/>
  <c r="V292"/>
  <c r="W292"/>
  <c r="X292"/>
  <c r="Y292"/>
  <c r="Z292"/>
  <c r="AA292"/>
  <c r="AB292"/>
  <c r="AC292"/>
  <c r="AD292"/>
  <c r="AE292"/>
  <c r="AF292"/>
  <c r="AG292"/>
  <c r="AH292"/>
  <c r="AI292"/>
  <c r="AK292"/>
  <c r="U293"/>
  <c r="V293"/>
  <c r="W293"/>
  <c r="X293"/>
  <c r="Y293"/>
  <c r="Z293"/>
  <c r="AA293"/>
  <c r="AB293"/>
  <c r="AC293"/>
  <c r="AD293"/>
  <c r="AE293"/>
  <c r="AF293"/>
  <c r="AG293"/>
  <c r="AH293"/>
  <c r="AI293"/>
  <c r="AK293"/>
  <c r="U294"/>
  <c r="V294"/>
  <c r="W294"/>
  <c r="Y294"/>
  <c r="Z294"/>
  <c r="AA294"/>
  <c r="AB294"/>
  <c r="AC294"/>
  <c r="AD294"/>
  <c r="AE294"/>
  <c r="AF294"/>
  <c r="AG294"/>
  <c r="AH294"/>
  <c r="AI294"/>
  <c r="AK294"/>
  <c r="U295"/>
  <c r="V295"/>
  <c r="W295"/>
  <c r="X295"/>
  <c r="Y295"/>
  <c r="Z295"/>
  <c r="AA295"/>
  <c r="AB295"/>
  <c r="AC295"/>
  <c r="AD295"/>
  <c r="AE295"/>
  <c r="AF295"/>
  <c r="AG295"/>
  <c r="AH295"/>
  <c r="AI295"/>
  <c r="AK295"/>
  <c r="U296"/>
  <c r="V296"/>
  <c r="W296"/>
  <c r="X296"/>
  <c r="Y296"/>
  <c r="Z296"/>
  <c r="AA296"/>
  <c r="AB296"/>
  <c r="AC296"/>
  <c r="AD296"/>
  <c r="AE296"/>
  <c r="AF296"/>
  <c r="AG296"/>
  <c r="AH296"/>
  <c r="AI296"/>
  <c r="AK296"/>
  <c r="U297"/>
  <c r="V297"/>
  <c r="W297"/>
  <c r="X297"/>
  <c r="Y297"/>
  <c r="Z297"/>
  <c r="AA297"/>
  <c r="AB297"/>
  <c r="AC297"/>
  <c r="AD297"/>
  <c r="AE297"/>
  <c r="AF297"/>
  <c r="AG297"/>
  <c r="AH297"/>
  <c r="AI297"/>
  <c r="AK297"/>
  <c r="U298"/>
  <c r="V298"/>
  <c r="W298"/>
  <c r="X298"/>
  <c r="Y298"/>
  <c r="Z298"/>
  <c r="AA298"/>
  <c r="AB298"/>
  <c r="AC298"/>
  <c r="AD298"/>
  <c r="AE298"/>
  <c r="AF298"/>
  <c r="AG298"/>
  <c r="AH298"/>
  <c r="AI298"/>
  <c r="AK298"/>
  <c r="U299"/>
  <c r="V299"/>
  <c r="W299"/>
  <c r="X299"/>
  <c r="Y299"/>
  <c r="Z299"/>
  <c r="AA299"/>
  <c r="AB299"/>
  <c r="AC299"/>
  <c r="AD299"/>
  <c r="AE299"/>
  <c r="AF299"/>
  <c r="AG299"/>
  <c r="AH299"/>
  <c r="AI299"/>
  <c r="AK299"/>
  <c r="U300"/>
  <c r="V300"/>
  <c r="W300"/>
  <c r="X300"/>
  <c r="Y300"/>
  <c r="Z300"/>
  <c r="AA300"/>
  <c r="AB300"/>
  <c r="AC300"/>
  <c r="AD300"/>
  <c r="AE300"/>
  <c r="AF300"/>
  <c r="AG300"/>
  <c r="AH300"/>
  <c r="AI300"/>
  <c r="AK300"/>
  <c r="U301"/>
  <c r="V301"/>
  <c r="W301"/>
  <c r="X301"/>
  <c r="Y301"/>
  <c r="Z301"/>
  <c r="AA301"/>
  <c r="AB301"/>
  <c r="AC301"/>
  <c r="AD301"/>
  <c r="AE301"/>
  <c r="AF301"/>
  <c r="AG301"/>
  <c r="AH301"/>
  <c r="AI301"/>
  <c r="AK301"/>
  <c r="U302"/>
  <c r="V302"/>
  <c r="W302"/>
  <c r="X302"/>
  <c r="Y302"/>
  <c r="Z302"/>
  <c r="AA302"/>
  <c r="AB302"/>
  <c r="AC302"/>
  <c r="AD302"/>
  <c r="AE302"/>
  <c r="AF302"/>
  <c r="AG302"/>
  <c r="AH302"/>
  <c r="AI302"/>
  <c r="AK302"/>
  <c r="U303"/>
  <c r="V303"/>
  <c r="W303"/>
  <c r="X303"/>
  <c r="Y303"/>
  <c r="Z303"/>
  <c r="AA303"/>
  <c r="AB303"/>
  <c r="AC303"/>
  <c r="AD303"/>
  <c r="AE303"/>
  <c r="AF303"/>
  <c r="AG303"/>
  <c r="AH303"/>
  <c r="AI303"/>
  <c r="AK303"/>
  <c r="U305"/>
  <c r="V305"/>
  <c r="W305"/>
  <c r="X305"/>
  <c r="Y305"/>
  <c r="Z305"/>
  <c r="AA305"/>
  <c r="AB305"/>
  <c r="AC305"/>
  <c r="AD305"/>
  <c r="AE305"/>
  <c r="AF305"/>
  <c r="AG305"/>
  <c r="AH305"/>
  <c r="AI305"/>
  <c r="AK305"/>
  <c r="U306"/>
  <c r="V306"/>
  <c r="W306"/>
  <c r="X306"/>
  <c r="Y306"/>
  <c r="Z306"/>
  <c r="AA306"/>
  <c r="AB306"/>
  <c r="AC306"/>
  <c r="AD306"/>
  <c r="AE306"/>
  <c r="AF306"/>
  <c r="AG306"/>
  <c r="AH306"/>
  <c r="AI306"/>
  <c r="AK306"/>
  <c r="U308"/>
  <c r="V308"/>
  <c r="W308"/>
  <c r="X308"/>
  <c r="Y308"/>
  <c r="Z308"/>
  <c r="AA308"/>
  <c r="AB308"/>
  <c r="AC308"/>
  <c r="AD308"/>
  <c r="AE308"/>
  <c r="AF308"/>
  <c r="AG308"/>
  <c r="AH308"/>
  <c r="AI308"/>
  <c r="AK308"/>
  <c r="U309"/>
  <c r="V309"/>
  <c r="W309"/>
  <c r="X309"/>
  <c r="Y309"/>
  <c r="Z309"/>
  <c r="AA309"/>
  <c r="AB309"/>
  <c r="AC309"/>
  <c r="AD309"/>
  <c r="AE309"/>
  <c r="AF309"/>
  <c r="AG309"/>
  <c r="AH309"/>
  <c r="AI309"/>
  <c r="AK309"/>
  <c r="U310"/>
  <c r="V310"/>
  <c r="W310"/>
  <c r="X310"/>
  <c r="Y310"/>
  <c r="Z310"/>
  <c r="AA310"/>
  <c r="AB310"/>
  <c r="AC310"/>
  <c r="AD310"/>
  <c r="AE310"/>
  <c r="AF310"/>
  <c r="AG310"/>
  <c r="AH310"/>
  <c r="AI310"/>
  <c r="AK310"/>
  <c r="U311"/>
  <c r="V311"/>
  <c r="W311"/>
  <c r="X311"/>
  <c r="Y311"/>
  <c r="Z311"/>
  <c r="AA311"/>
  <c r="AB311"/>
  <c r="AC311"/>
  <c r="AD311"/>
  <c r="AE311"/>
  <c r="AF311"/>
  <c r="AG311"/>
  <c r="AH311"/>
  <c r="AI311"/>
  <c r="AK311"/>
  <c r="U312"/>
  <c r="V312"/>
  <c r="W312"/>
  <c r="X312"/>
  <c r="Y312"/>
  <c r="Z312"/>
  <c r="AA312"/>
  <c r="AB312"/>
  <c r="AD312"/>
  <c r="AE312"/>
  <c r="AF312"/>
  <c r="AG312"/>
  <c r="AH312"/>
  <c r="AI312"/>
  <c r="AK312"/>
  <c r="U314"/>
  <c r="V314"/>
  <c r="W314"/>
  <c r="Y314"/>
  <c r="Z314"/>
  <c r="AA314"/>
  <c r="AB314"/>
  <c r="AC314"/>
  <c r="AD314"/>
  <c r="AE314"/>
  <c r="AG314"/>
  <c r="AH314"/>
  <c r="AI314"/>
  <c r="AK314"/>
  <c r="U315"/>
  <c r="V315"/>
  <c r="W315"/>
  <c r="X315"/>
  <c r="Y315"/>
  <c r="Z315"/>
  <c r="AA315"/>
  <c r="AB315"/>
  <c r="AC315"/>
  <c r="AD315"/>
  <c r="AE315"/>
  <c r="AF315"/>
  <c r="AG315"/>
  <c r="AH315"/>
  <c r="AI315"/>
  <c r="AK315"/>
  <c r="U316"/>
  <c r="V316"/>
  <c r="W316"/>
  <c r="X316"/>
  <c r="Y316"/>
  <c r="Z316"/>
  <c r="AA316"/>
  <c r="AB316"/>
  <c r="AC316"/>
  <c r="AD316"/>
  <c r="AE316"/>
  <c r="AF316"/>
  <c r="AG316"/>
  <c r="AH316"/>
  <c r="AI316"/>
  <c r="AK316"/>
  <c r="U317"/>
  <c r="V317"/>
  <c r="W317"/>
  <c r="X317"/>
  <c r="Y317"/>
  <c r="Z317"/>
  <c r="AA317"/>
  <c r="AB317"/>
  <c r="AC317"/>
  <c r="AD317"/>
  <c r="AE317"/>
  <c r="AG317"/>
  <c r="AH317"/>
  <c r="AI317"/>
  <c r="AK317"/>
  <c r="U318"/>
  <c r="V318"/>
  <c r="W318"/>
  <c r="X318"/>
  <c r="Y318"/>
  <c r="Z318"/>
  <c r="AA318"/>
  <c r="AB318"/>
  <c r="AC318"/>
  <c r="AD318"/>
  <c r="AE318"/>
  <c r="AG318"/>
  <c r="AH318"/>
  <c r="AI318"/>
  <c r="AK318"/>
  <c r="U319"/>
  <c r="V319"/>
  <c r="W319"/>
  <c r="X319"/>
  <c r="Y319"/>
  <c r="Z319"/>
  <c r="AA319"/>
  <c r="AB319"/>
  <c r="AC319"/>
  <c r="AD319"/>
  <c r="AE319"/>
  <c r="AG319"/>
  <c r="AH319"/>
  <c r="AI319"/>
  <c r="AK319"/>
  <c r="U320"/>
  <c r="V320"/>
  <c r="W320"/>
  <c r="X320"/>
  <c r="Y320"/>
  <c r="Z320"/>
  <c r="AA320"/>
  <c r="AB320"/>
  <c r="AC320"/>
  <c r="AD320"/>
  <c r="AE320"/>
  <c r="AG320"/>
  <c r="AH320"/>
  <c r="AI320"/>
  <c r="AK320"/>
  <c r="AJ109" l="1"/>
  <c r="AH109"/>
  <c r="AF109"/>
  <c r="AD109"/>
  <c r="AB109"/>
  <c r="Z109"/>
  <c r="X109"/>
  <c r="V109"/>
  <c r="AB270"/>
  <c r="AB265"/>
  <c r="AF270"/>
  <c r="X270"/>
  <c r="X265"/>
  <c r="AK109"/>
  <c r="AI109"/>
  <c r="AG109"/>
  <c r="AE109"/>
  <c r="AC109"/>
  <c r="AA109"/>
  <c r="Y109"/>
  <c r="W109"/>
  <c r="U109"/>
</calcChain>
</file>

<file path=xl/sharedStrings.xml><?xml version="1.0" encoding="utf-8"?>
<sst xmlns="http://schemas.openxmlformats.org/spreadsheetml/2006/main" count="1246" uniqueCount="519">
  <si>
    <t xml:space="preserve">  </t>
  </si>
  <si>
    <t>***PPC (Statistics)***</t>
  </si>
  <si>
    <t>TECHNOLOGICAL PARAMETERS  -</t>
  </si>
  <si>
    <t xml:space="preserve">TECHNO ECONOMIC PARAMETERS </t>
  </si>
  <si>
    <t>23-24</t>
  </si>
  <si>
    <t>-</t>
  </si>
  <si>
    <t>A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</si>
  <si>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</si>
  <si>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</si>
  <si>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</si>
  <si>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</si>
  <si>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</si>
  <si>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</si>
  <si>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</si>
  <si>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</si>
  <si>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</si>
  <si>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</si>
  <si>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</si>
  <si>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</si>
  <si>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</si>
  <si>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</si>
  <si>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</si>
  <si>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</si>
  <si>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</si>
  <si>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</si>
  <si>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Norm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</si>
  <si>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</si>
  <si>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</si>
  <si>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</si>
  <si>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</si>
  <si>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</si>
  <si>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</si>
  <si>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</si>
  <si>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</si>
  <si>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</si>
  <si>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</si>
  <si>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</si>
  <si>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Qr.</t>
  </si>
  <si>
    <t>Jan</t>
  </si>
  <si>
    <t>Feb</t>
  </si>
  <si>
    <t>Mar</t>
  </si>
  <si>
    <t>4th Qr.</t>
  </si>
  <si>
    <t>Cum.</t>
  </si>
  <si>
    <t>BATTERY - (1-5)</t>
  </si>
  <si>
    <t>2023-24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</si>
  <si>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</si>
  <si>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</si>
  <si>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</si>
  <si>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</si>
  <si>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</si>
  <si>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</si>
  <si>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</si>
  <si>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</si>
  <si>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</si>
  <si>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</si>
  <si>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</si>
  <si>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</si>
  <si>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</si>
  <si>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</si>
  <si>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</si>
  <si>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</si>
  <si>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</si>
  <si>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</si>
  <si>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>B</t>
  </si>
  <si>
    <t xml:space="preserve">COAL CHEMICALS </t>
  </si>
  <si>
    <t>1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</si>
  <si>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</si>
  <si>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</si>
  <si>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</si>
  <si>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</si>
  <si>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</si>
  <si>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</si>
  <si>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C</t>
  </si>
  <si>
    <t>SINTER PLANT-I</t>
  </si>
  <si>
    <t>July</t>
  </si>
  <si>
    <t>FeO in Sinter</t>
  </si>
  <si>
    <t>Fe in Sinter</t>
  </si>
  <si>
    <t>CaO in Sinter</t>
  </si>
  <si>
    <t>Basicity  (CaO/ SiO2)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</si>
  <si>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</si>
  <si>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</si>
  <si>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</si>
  <si>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</si>
  <si>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</si>
  <si>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</si>
  <si>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</si>
  <si>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</si>
  <si>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</si>
  <si>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</t>
  </si>
  <si>
    <t>N/Coke thro Sinter-Dry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</si>
  <si>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</si>
  <si>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</si>
  <si>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</si>
  <si>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</si>
  <si>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</si>
  <si>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</si>
  <si>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</si>
  <si>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</si>
  <si>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</si>
  <si>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D</t>
  </si>
  <si>
    <t>SINTER PLANT - II</t>
  </si>
  <si>
    <t>Limestone Consumption</t>
  </si>
  <si>
    <t>Dolomite Consumption</t>
  </si>
  <si>
    <t>Coke Breeze Cons.</t>
  </si>
  <si>
    <t>Lime Consumption</t>
  </si>
  <si>
    <t>Flux (-3mm)</t>
  </si>
  <si>
    <t>Coke Breeze (-3mm)</t>
  </si>
  <si>
    <t>Page: 3</t>
  </si>
  <si>
    <t>E</t>
  </si>
  <si>
    <t>SINTER PLANT - III</t>
  </si>
  <si>
    <t>Coke Breeze Con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</si>
  <si>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</si>
  <si>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</si>
  <si>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</si>
  <si>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</si>
  <si>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</si>
  <si>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</si>
  <si>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</si>
  <si>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</si>
  <si>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</si>
  <si>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</si>
  <si>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</si>
  <si>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</si>
  <si>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</si>
  <si>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</si>
  <si>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</si>
  <si>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</si>
  <si>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Carbon Rate</t>
  </si>
  <si>
    <t>Sinter.-wet</t>
  </si>
  <si>
    <t>Iron Ore( Lump).-wet</t>
  </si>
  <si>
    <t xml:space="preserve">Iron Ore Fines 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</si>
  <si>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</si>
  <si>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</si>
  <si>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</si>
  <si>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</si>
  <si>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</si>
  <si>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</si>
  <si>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N/C --BF- 1</t>
  </si>
  <si>
    <t>N/C --BF- 4</t>
  </si>
  <si>
    <t>N/C --BF- 5</t>
  </si>
  <si>
    <t>N/C -SHOP</t>
  </si>
  <si>
    <t>Sinter in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</si>
  <si>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</si>
  <si>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</si>
  <si>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</si>
  <si>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</si>
  <si>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</si>
  <si>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</si>
  <si>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</si>
  <si>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</si>
  <si>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</si>
  <si>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</si>
  <si>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</si>
  <si>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</si>
  <si>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</si>
  <si>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</si>
  <si>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</si>
  <si>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</si>
  <si>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</si>
  <si>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</si>
  <si>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</si>
  <si>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 xml:space="preserve"> </t>
  </si>
  <si>
    <t>Page: 4</t>
  </si>
  <si>
    <t>F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</si>
  <si>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</si>
  <si>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</si>
  <si>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</si>
  <si>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</si>
  <si>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</si>
  <si>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</si>
  <si>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</si>
  <si>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</si>
  <si>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</si>
  <si>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</si>
  <si>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</si>
  <si>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</si>
  <si>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Kg / Tonne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</si>
  <si>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</si>
  <si>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</si>
  <si>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</si>
  <si>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</si>
  <si>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</si>
  <si>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</si>
  <si>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</si>
  <si>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</si>
  <si>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</si>
  <si>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</si>
  <si>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</si>
  <si>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</si>
  <si>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</si>
  <si>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</si>
  <si>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</si>
  <si>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</si>
  <si>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</si>
  <si>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</si>
  <si>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</si>
  <si>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 xml:space="preserve">   </t>
  </si>
  <si>
    <t>Page: 5</t>
  </si>
  <si>
    <t>G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</si>
  <si>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</si>
  <si>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</si>
  <si>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</si>
  <si>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</si>
  <si>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</si>
  <si>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</si>
  <si>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CONSP</t>
  </si>
  <si>
    <t>Refractory Consmn.</t>
  </si>
  <si>
    <t xml:space="preserve">Mettalic Yield </t>
  </si>
  <si>
    <t>Blow Weight</t>
  </si>
  <si>
    <t>Oxygen Cons.(BOF II)</t>
  </si>
  <si>
    <t>Oxygen Cons.(CCM II)</t>
  </si>
  <si>
    <t>H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</si>
  <si>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</si>
  <si>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</si>
  <si>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</si>
  <si>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</si>
  <si>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</si>
  <si>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</si>
  <si>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</si>
  <si>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</si>
  <si>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</si>
  <si>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</si>
  <si>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</si>
  <si>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</t>
  </si>
  <si>
    <t>T/Hr.</t>
  </si>
  <si>
    <t>Page: 6</t>
  </si>
  <si>
    <t>NEW PLATE MILL</t>
  </si>
  <si>
    <t>Normalising  Production</t>
  </si>
  <si>
    <t>I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</si>
  <si>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</si>
  <si>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</si>
  <si>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</si>
  <si>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</si>
  <si>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</si>
  <si>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</si>
  <si>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</si>
  <si>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J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</si>
  <si>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</si>
  <si>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</si>
  <si>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</si>
  <si>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</si>
  <si>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</si>
  <si>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</si>
  <si>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</si>
  <si>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K</t>
  </si>
  <si>
    <t>SW PIPE PLANT</t>
  </si>
  <si>
    <t>Utili. on Avail. Time</t>
  </si>
  <si>
    <t>Page: 7</t>
  </si>
  <si>
    <t>L</t>
  </si>
  <si>
    <t>COLD ROLLING MILL</t>
  </si>
  <si>
    <t>Acid Cons.in Pick Input</t>
  </si>
  <si>
    <t>Kg/T</t>
  </si>
  <si>
    <t>S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</si>
  <si>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</si>
  <si>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</si>
  <si>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</si>
  <si>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</si>
  <si>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</si>
  <si>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</si>
  <si>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M</t>
  </si>
  <si>
    <t>SILICON STEEL MILL</t>
  </si>
  <si>
    <t>Yield from HRC-CRNO</t>
  </si>
  <si>
    <t>Acid cons. in AP line</t>
  </si>
  <si>
    <t>BUST Availability</t>
  </si>
  <si>
    <t>Util.on Avl.Time(BUST)</t>
  </si>
  <si>
    <t>Rolling Rate(BUST)</t>
  </si>
  <si>
    <t>T/Hr</t>
  </si>
  <si>
    <t>Rolling Rate(Rev Mill)</t>
  </si>
  <si>
    <t>N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</si>
  <si>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</si>
  <si>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</si>
  <si>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</si>
  <si>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</si>
  <si>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</si>
  <si>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</si>
  <si>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</si>
  <si>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</si>
  <si>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>O</t>
  </si>
  <si>
    <t xml:space="preserve"> C P P - II</t>
  </si>
  <si>
    <t>P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</si>
  <si>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</si>
  <si>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</si>
  <si>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</si>
  <si>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</si>
  <si>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</si>
  <si>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</si>
  <si>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</si>
  <si>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</si>
  <si>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</si>
  <si>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</si>
  <si>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</si>
  <si>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</si>
  <si>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</si>
  <si>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</si>
  <si>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</si>
  <si>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</si>
  <si>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</si>
  <si>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</si>
  <si>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</si>
  <si>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 xml:space="preserve"> HM Prod.(Incl.GCP)</t>
  </si>
  <si>
    <t>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</si>
  <si>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</si>
  <si>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</si>
  <si>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</si>
  <si>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</si>
  <si>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</si>
  <si>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</si>
  <si>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</si>
  <si>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</si>
  <si>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Tandem Mill</t>
  </si>
  <si>
    <t>Saleable Steel</t>
  </si>
  <si>
    <t>KWH/TSS</t>
  </si>
  <si>
    <t>Q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</si>
  <si>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</si>
  <si>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</si>
  <si>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</si>
  <si>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</si>
  <si>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</si>
  <si>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</si>
  <si>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</si>
  <si>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R</t>
  </si>
  <si>
    <t>GENERAL</t>
  </si>
  <si>
    <t xml:space="preserve">**Energy consumption. </t>
  </si>
  <si>
    <t>G.Cal/TCS</t>
  </si>
  <si>
    <t>Coal to H M Ratio **</t>
  </si>
  <si>
    <t>H M to Slab Ratio-Total</t>
  </si>
  <si>
    <t>coke screen loss</t>
  </si>
  <si>
    <t>BF Fuel Rate</t>
  </si>
  <si>
    <t>BF#1</t>
  </si>
  <si>
    <t xml:space="preserve">BF#4 </t>
  </si>
  <si>
    <t>BF#5</t>
  </si>
  <si>
    <t>SHOP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</si>
  <si>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</si>
  <si>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</si>
  <si>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</si>
  <si>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</si>
  <si>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</si>
  <si>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</si>
  <si>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</si>
  <si>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>De Sulphurised. Heats</t>
  </si>
  <si>
    <t>Nos.</t>
  </si>
  <si>
    <t xml:space="preserve">Sp. CO2 Emmission </t>
  </si>
  <si>
    <t>T/TCS</t>
  </si>
  <si>
    <t>Labour Productivity</t>
  </si>
  <si>
    <t>TCS/M/Yr</t>
  </si>
  <si>
    <t>**  Current Month data is provisional</t>
  </si>
  <si>
    <t>Slabs Rolled -  HSM2</t>
  </si>
  <si>
    <t>PRODN. PERFORMANCE - 2023-24</t>
  </si>
  <si>
    <t>Statistical Section, RSP.</t>
  </si>
  <si>
    <t>Page:-9</t>
  </si>
  <si>
    <t xml:space="preserve">   P R O D U C T S</t>
  </si>
  <si>
    <t>1ST QR</t>
  </si>
  <si>
    <t>2ND QR.</t>
  </si>
  <si>
    <t>3RD QR</t>
  </si>
  <si>
    <t>4TH QR</t>
  </si>
  <si>
    <t>CUM</t>
  </si>
  <si>
    <t>Nov.</t>
  </si>
  <si>
    <t>Apr-Nov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</si>
  <si>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</si>
  <si>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</si>
  <si>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</si>
  <si>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</si>
  <si>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</si>
  <si>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</si>
  <si>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</si>
  <si>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 xml:space="preserve"> Hot Metal</t>
  </si>
  <si>
    <t>BF#5 -Prodn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</si>
  <si>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</si>
  <si>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</si>
  <si>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</si>
  <si>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</si>
  <si>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</si>
  <si>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New  SMS</t>
  </si>
  <si>
    <t>SMS-II Total</t>
  </si>
  <si>
    <t xml:space="preserve"> Total Crude Steel</t>
  </si>
  <si>
    <t>Total Slabs</t>
  </si>
  <si>
    <t xml:space="preserve"> H R Coils (Total)hsm1+hsm2</t>
  </si>
  <si>
    <t>hrp2</t>
  </si>
  <si>
    <t xml:space="preserve"> Plates (PM)</t>
  </si>
  <si>
    <t>New Plate Mill</t>
  </si>
  <si>
    <t xml:space="preserve"> H R Coils for Sale hsm1+hsm2</t>
  </si>
  <si>
    <t xml:space="preserve"> H R Plates/Sheets</t>
  </si>
  <si>
    <t xml:space="preserve"> ERW Pipes</t>
  </si>
  <si>
    <t xml:space="preserve"> SW Pipes</t>
  </si>
  <si>
    <t xml:space="preserve"> C R Sheets/Coils</t>
  </si>
  <si>
    <t xml:space="preserve"> Galvanised Sheets</t>
  </si>
  <si>
    <t xml:space="preserve"> E T Plates</t>
  </si>
  <si>
    <t xml:space="preserve"> CRNO Sheets/Coils</t>
  </si>
  <si>
    <t xml:space="preserve"> Slabs for Sale</t>
  </si>
  <si>
    <t xml:space="preserve"> Slabs for Conversion</t>
  </si>
  <si>
    <t>Billet</t>
  </si>
  <si>
    <t>Product</t>
  </si>
  <si>
    <t>Saleable Steel Total</t>
  </si>
  <si>
    <t xml:space="preserve"> Gr.Slag - S G P</t>
  </si>
  <si>
    <t xml:space="preserve">       - Cast House</t>
  </si>
  <si>
    <t xml:space="preserve">        - Total</t>
  </si>
  <si>
    <t>Avg.Power Gen. CPP-I</t>
  </si>
  <si>
    <t>Avg.Power Gen. CPP-I I</t>
  </si>
  <si>
    <t>Avg.Power Gen. CPP-I I I</t>
  </si>
  <si>
    <t>Avg.Power Gen. Solar</t>
  </si>
  <si>
    <t>Avg.Power Gen. Total</t>
  </si>
  <si>
    <t>Net drawal from GRIDCO.</t>
  </si>
  <si>
    <t>RMHP-Despatch</t>
  </si>
  <si>
    <t>With Sinter</t>
  </si>
  <si>
    <t>Without Sinter</t>
  </si>
  <si>
    <t>Sized Ore</t>
  </si>
  <si>
    <t>HSM 1 HR COIL TOTAL</t>
  </si>
  <si>
    <t>HSM 1 HR COIL SALE</t>
  </si>
  <si>
    <t>HSM 2 HR COIL TOTAL</t>
  </si>
  <si>
    <t>HSM 2 HR COIL SALE</t>
  </si>
  <si>
    <t>BF-1</t>
  </si>
  <si>
    <t>BF-4</t>
  </si>
  <si>
    <t>BF-5</t>
  </si>
  <si>
    <t>Ferro- Mn Consmn LC</t>
  </si>
  <si>
    <t>HOT STRIP MILL2</t>
  </si>
  <si>
    <t>EXTERNAL  CONSUMPTION  - 2023-24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</si>
  <si>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</si>
  <si>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</si>
  <si>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</si>
  <si>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</si>
  <si>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</si>
  <si>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</si>
  <si>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</si>
  <si>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</si>
  <si>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</si>
  <si>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</si>
  <si>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</si>
  <si>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</si>
  <si>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JACKAL SLAB-ASP</t>
  </si>
  <si>
    <t>SPADE  SLAB - ASP</t>
  </si>
  <si>
    <t>SPADE M2 SLAB - ASP</t>
  </si>
  <si>
    <t>SPADE  SLAB - BSL</t>
  </si>
  <si>
    <t>SAIL RATH -ASP</t>
  </si>
  <si>
    <t>MDN SLAB - HYDERABAD</t>
  </si>
  <si>
    <t>HSB SLAB - ASP</t>
  </si>
  <si>
    <t>DMR 249 B-Hyderabad</t>
  </si>
  <si>
    <t>DMR 249 A - BSP</t>
  </si>
  <si>
    <t>DMR 249 B - ASP</t>
  </si>
  <si>
    <t>DMR 292 A - ASP</t>
  </si>
  <si>
    <t>DMR 249 BK - ASP</t>
  </si>
  <si>
    <t>DMR 249 BK - BSL</t>
  </si>
  <si>
    <t>15CDV6(M) -  Hyderabad</t>
  </si>
  <si>
    <t>DMR 292 A - BSL</t>
  </si>
  <si>
    <t>SAIL ARMCC-ASP</t>
  </si>
  <si>
    <t>SAIL ARMFORGED-ASP</t>
  </si>
  <si>
    <t>SPADE  FORGED SLAB - ASP</t>
  </si>
  <si>
    <t>JACKAL FORGED SLAB-ASP</t>
  </si>
  <si>
    <t xml:space="preserve"> SLABS - TOTAL-OPM</t>
  </si>
  <si>
    <t>DMR 249 A - D BSP</t>
  </si>
  <si>
    <t>IS 2002 GR-II - M BSL</t>
  </si>
  <si>
    <t>AB3 MSLAB -BSL</t>
  </si>
  <si>
    <t>AB3 KM MSLAB -BSL</t>
  </si>
  <si>
    <t xml:space="preserve"> SLABS - TOTAL-NPM</t>
  </si>
  <si>
    <t>BSL SLAB - BOKARO</t>
  </si>
  <si>
    <t xml:space="preserve"> SLABS - TOTAL-HSM</t>
  </si>
  <si>
    <t xml:space="preserve"> SLABS - TOTAL-HSM+PM</t>
  </si>
  <si>
    <t>S/STEEL COIL-HSM-ASP</t>
  </si>
  <si>
    <t>HR COIL-D/LINE-BOKARO</t>
  </si>
  <si>
    <t>HR COIL-SWPP-BOKARO</t>
  </si>
  <si>
    <t>TMBP COIL - CRM</t>
  </si>
  <si>
    <t>JACKAL PLATE - ASP</t>
  </si>
  <si>
    <t>DMR 249B PLATE- BSP</t>
  </si>
  <si>
    <t>DESP.PERFORMANCE  - 2023-24</t>
  </si>
  <si>
    <t>Page:-10</t>
  </si>
  <si>
    <t>2ND QR</t>
  </si>
  <si>
    <t xml:space="preserve"> SALEABLE STEEL</t>
  </si>
  <si>
    <t xml:space="preserve"> Slabs &amp; Billet</t>
  </si>
  <si>
    <t xml:space="preserve"> Plates</t>
  </si>
  <si>
    <t>NPM Pkates</t>
  </si>
  <si>
    <t xml:space="preserve"> H R Coils</t>
  </si>
  <si>
    <t xml:space="preserve"> H R Plates/Sheets+(HR PLATES SRP HSM2)</t>
  </si>
  <si>
    <t xml:space="preserve"> E R W Pipes</t>
  </si>
  <si>
    <t xml:space="preserve"> S W Pipes</t>
  </si>
  <si>
    <t>Galvanised sheets</t>
  </si>
  <si>
    <t>TOT. SAL.STEEL</t>
  </si>
  <si>
    <t xml:space="preserve"> Sal.Steel - Road</t>
  </si>
  <si>
    <t>Sal.Steel-Rail</t>
  </si>
  <si>
    <t>Gross Desp. - Road</t>
  </si>
  <si>
    <t>Gross Desp. - Rail</t>
  </si>
  <si>
    <t>Gross Despatches</t>
  </si>
  <si>
    <t>Billet-long Products</t>
  </si>
  <si>
    <t xml:space="preserve"> Slabs-Export</t>
  </si>
  <si>
    <t xml:space="preserve"> Slabs-BSP</t>
  </si>
  <si>
    <t xml:space="preserve"> Slabs-BSL</t>
  </si>
  <si>
    <t xml:space="preserve"> Slabs-Salem</t>
  </si>
  <si>
    <t xml:space="preserve"> Slabs-Tata</t>
  </si>
  <si>
    <t>Hard Coke-BSL</t>
  </si>
  <si>
    <t>Hard Coke-BSP</t>
  </si>
  <si>
    <t>Hard Coke-DSP</t>
  </si>
  <si>
    <t>Hard Coke-IISCO</t>
  </si>
  <si>
    <t>Sinter- ISP</t>
  </si>
  <si>
    <t>Slabs For Conversion  JSL</t>
  </si>
  <si>
    <t>Slabs For Conversion  AVON</t>
  </si>
  <si>
    <t>HR Coil sale JSL</t>
  </si>
  <si>
    <t>Total Slab IPT</t>
  </si>
  <si>
    <t>Sinter-BSL&amp;BSP</t>
  </si>
  <si>
    <t>Sinter-DSP</t>
  </si>
  <si>
    <t xml:space="preserve">HR Coil sale  </t>
  </si>
  <si>
    <t xml:space="preserve">  PM Plates - Export</t>
  </si>
  <si>
    <t>NEW  PM Plates - Export</t>
  </si>
  <si>
    <t>as</t>
  </si>
  <si>
    <t>HR Plate</t>
  </si>
  <si>
    <t>COKE</t>
  </si>
  <si>
    <t>HARD COKE-BSL</t>
  </si>
  <si>
    <t>HARD COKE -DSP</t>
  </si>
  <si>
    <t>HARD COKE -BSP</t>
  </si>
  <si>
    <t>HARD COKE -IISCO</t>
  </si>
  <si>
    <t>HARD COKE -NRG</t>
  </si>
  <si>
    <t>HARD COKE -NMAG</t>
  </si>
  <si>
    <t>BRZ COKE NMAG</t>
  </si>
  <si>
    <t>NUT COKE NMAG</t>
  </si>
  <si>
    <t>HSM SLAB BSL</t>
  </si>
  <si>
    <t>HSM SLAB BSP</t>
  </si>
  <si>
    <t>PM SLAB BSL</t>
  </si>
  <si>
    <t>PM SLAB BSP</t>
  </si>
  <si>
    <t>sinter iisco</t>
  </si>
  <si>
    <t>H.R.Coil 2 Production</t>
  </si>
  <si>
    <t>PAGE-11</t>
  </si>
  <si>
    <t>PAGE-12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</si>
</sst>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Times New Roman"/>
      <family val="1"/>
    </font>
    <font>
      <sz val="16"/>
      <color rgb="FFFF0000"/>
      <name val="Times New Roman"/>
      <family val="1"/>
    </font>
    <font>
      <sz val="12"/>
      <name val="Arial"/>
      <family val="2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1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" fontId="2" fillId="2" borderId="1" xfId="0" quotePrefix="1" applyNumberFormat="1" applyFont="1" applyFill="1" applyBorder="1" applyAlignment="1">
      <alignment horizontal="center" vertical="center"/>
    </xf>
    <xf numFmtId="2" fontId="2" fillId="2" borderId="1" xfId="0" quotePrefix="1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/>
    </xf>
    <xf numFmtId="0" fontId="2" fillId="2" borderId="1" xfId="0" quotePrefix="1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164" fontId="2" fillId="2" borderId="1" xfId="0" quotePrefix="1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2" fillId="2" borderId="1" xfId="0" quotePrefix="1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0" fontId="2" fillId="2" borderId="1" xfId="0" applyNumberFormat="1" applyFont="1" applyFill="1" applyBorder="1" applyAlignment="1">
      <alignment horizontal="center" vertical="center"/>
    </xf>
    <xf numFmtId="0" fontId="2" fillId="2" borderId="1" xfId="0" quotePrefix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quotePrefix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/>
    <xf numFmtId="0" fontId="2" fillId="3" borderId="1" xfId="0" applyFont="1" applyFill="1" applyBorder="1"/>
    <xf numFmtId="0" fontId="2" fillId="0" borderId="1" xfId="0" applyFont="1" applyFill="1" applyBorder="1"/>
    <xf numFmtId="0" fontId="2" fillId="4" borderId="1" xfId="0" applyFont="1" applyFill="1" applyBorder="1"/>
    <xf numFmtId="0" fontId="5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5" fillId="2" borderId="0" xfId="0" applyNumberFormat="1" applyFont="1" applyFill="1" applyAlignment="1">
      <alignment horizontal="center"/>
    </xf>
    <xf numFmtId="2" fontId="5" fillId="0" borderId="0" xfId="0" applyNumberFormat="1" applyFont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2" borderId="1" xfId="2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5" xfId="2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\E%20DRIVE\NEWTECHNOPARA%202023-24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K1"/>
      <sheetName val="TK2"/>
      <sheetName val="MDTECH"/>
      <sheetName val="sms2 uti"/>
      <sheetName val="JPC"/>
      <sheetName val="HSM2"/>
      <sheetName val="Sheet2"/>
      <sheetName val="RECIVE PAGE-12"/>
      <sheetName val="Sheet1"/>
      <sheetName val="Sheet3"/>
    </sheetNames>
    <sheetDataSet>
      <sheetData sheetId="0">
        <row r="6">
          <cell r="C6">
            <v>10284</v>
          </cell>
          <cell r="D6">
            <v>10604</v>
          </cell>
          <cell r="E6">
            <v>10162</v>
          </cell>
          <cell r="F6">
            <v>31050</v>
          </cell>
          <cell r="G6">
            <v>10631</v>
          </cell>
          <cell r="H6">
            <v>10466</v>
          </cell>
          <cell r="I6">
            <v>10110</v>
          </cell>
          <cell r="J6">
            <v>31207</v>
          </cell>
          <cell r="K6">
            <v>10445</v>
          </cell>
          <cell r="L6">
            <v>10200</v>
          </cell>
          <cell r="M6">
            <v>10420</v>
          </cell>
          <cell r="N6">
            <v>31065</v>
          </cell>
          <cell r="S6">
            <v>93322</v>
          </cell>
        </row>
        <row r="7">
          <cell r="C7">
            <v>166292</v>
          </cell>
          <cell r="D7">
            <v>171347</v>
          </cell>
          <cell r="E7">
            <v>161622</v>
          </cell>
          <cell r="F7">
            <v>499261</v>
          </cell>
          <cell r="G7">
            <v>164158</v>
          </cell>
          <cell r="H7">
            <v>159542</v>
          </cell>
          <cell r="I7">
            <v>153057</v>
          </cell>
          <cell r="J7">
            <v>476757</v>
          </cell>
          <cell r="K7">
            <v>157704</v>
          </cell>
          <cell r="L7">
            <v>158851</v>
          </cell>
          <cell r="M7">
            <v>162277</v>
          </cell>
          <cell r="N7">
            <v>478832</v>
          </cell>
          <cell r="S7">
            <v>1454850</v>
          </cell>
        </row>
        <row r="8">
          <cell r="C8">
            <v>181266</v>
          </cell>
          <cell r="D8">
            <v>185680</v>
          </cell>
          <cell r="E8">
            <v>175749</v>
          </cell>
          <cell r="F8">
            <v>542695</v>
          </cell>
          <cell r="G8">
            <v>180880</v>
          </cell>
          <cell r="H8">
            <v>177752</v>
          </cell>
          <cell r="I8">
            <v>169004</v>
          </cell>
          <cell r="J8">
            <v>527636</v>
          </cell>
          <cell r="K8">
            <v>174315</v>
          </cell>
          <cell r="L8">
            <v>172147</v>
          </cell>
          <cell r="N8">
            <v>522374</v>
          </cell>
          <cell r="S8">
            <v>1592705</v>
          </cell>
        </row>
        <row r="9">
          <cell r="C9">
            <v>167804</v>
          </cell>
          <cell r="D9">
            <v>166303</v>
          </cell>
          <cell r="E9">
            <v>153072</v>
          </cell>
          <cell r="F9">
            <v>487179</v>
          </cell>
          <cell r="G9">
            <v>156537</v>
          </cell>
          <cell r="H9">
            <v>156443</v>
          </cell>
          <cell r="I9">
            <v>144844</v>
          </cell>
          <cell r="J9">
            <v>457824</v>
          </cell>
          <cell r="K9">
            <v>149367</v>
          </cell>
          <cell r="L9">
            <v>149738</v>
          </cell>
          <cell r="N9">
            <v>453909</v>
          </cell>
          <cell r="S9">
            <v>1398912</v>
          </cell>
        </row>
        <row r="10">
          <cell r="C10">
            <v>128712</v>
          </cell>
          <cell r="D10">
            <v>133137</v>
          </cell>
          <cell r="E10">
            <v>125276</v>
          </cell>
          <cell r="F10">
            <v>387125</v>
          </cell>
          <cell r="G10">
            <v>126846</v>
          </cell>
          <cell r="H10">
            <v>123516</v>
          </cell>
          <cell r="I10">
            <v>118473</v>
          </cell>
          <cell r="J10">
            <v>368835</v>
          </cell>
          <cell r="K10">
            <v>122374</v>
          </cell>
          <cell r="L10">
            <v>123272</v>
          </cell>
          <cell r="M10">
            <v>125444</v>
          </cell>
          <cell r="N10">
            <v>371090</v>
          </cell>
          <cell r="S10">
            <v>1127050</v>
          </cell>
        </row>
        <row r="11">
          <cell r="C11">
            <v>115594</v>
          </cell>
          <cell r="D11">
            <v>119099</v>
          </cell>
          <cell r="E11">
            <v>112329</v>
          </cell>
          <cell r="F11">
            <v>347022</v>
          </cell>
          <cell r="G11">
            <v>114090</v>
          </cell>
          <cell r="H11">
            <v>110203</v>
          </cell>
          <cell r="I11">
            <v>105709</v>
          </cell>
          <cell r="J11">
            <v>330002</v>
          </cell>
          <cell r="K11">
            <v>109234</v>
          </cell>
          <cell r="L11">
            <v>108084</v>
          </cell>
          <cell r="M11">
            <v>111584</v>
          </cell>
          <cell r="N11">
            <v>328902</v>
          </cell>
          <cell r="S11">
            <v>1005926</v>
          </cell>
        </row>
        <row r="12">
          <cell r="C12">
            <v>3065</v>
          </cell>
          <cell r="D12">
            <v>2337</v>
          </cell>
          <cell r="E12">
            <v>3997</v>
          </cell>
          <cell r="F12">
            <v>9399</v>
          </cell>
          <cell r="G12">
            <v>2098</v>
          </cell>
          <cell r="H12">
            <v>1008</v>
          </cell>
          <cell r="I12">
            <v>706</v>
          </cell>
          <cell r="J12">
            <v>3812</v>
          </cell>
          <cell r="K12">
            <v>1745</v>
          </cell>
          <cell r="L12">
            <v>2438</v>
          </cell>
          <cell r="M12">
            <v>2190</v>
          </cell>
          <cell r="N12">
            <v>6373</v>
          </cell>
          <cell r="S12">
            <v>19584</v>
          </cell>
        </row>
        <row r="13">
          <cell r="C13">
            <v>79977</v>
          </cell>
          <cell r="D13">
            <v>82879</v>
          </cell>
          <cell r="E13">
            <v>76647</v>
          </cell>
          <cell r="F13">
            <v>239503</v>
          </cell>
          <cell r="G13">
            <v>79802</v>
          </cell>
          <cell r="H13">
            <v>78187.526857142861</v>
          </cell>
          <cell r="I13">
            <v>75777</v>
          </cell>
          <cell r="J13">
            <v>233766.52685714286</v>
          </cell>
          <cell r="K13">
            <v>78452</v>
          </cell>
          <cell r="L13">
            <v>77434.954285714281</v>
          </cell>
          <cell r="M13">
            <v>79217.754285714269</v>
          </cell>
          <cell r="N13">
            <v>235104.70857142855</v>
          </cell>
          <cell r="S13">
            <v>708374.23542857147</v>
          </cell>
        </row>
        <row r="14">
          <cell r="C14">
            <v>4268</v>
          </cell>
          <cell r="D14">
            <v>4249</v>
          </cell>
          <cell r="E14">
            <v>4254</v>
          </cell>
          <cell r="F14">
            <v>4257</v>
          </cell>
          <cell r="G14">
            <v>4262</v>
          </cell>
          <cell r="H14">
            <v>4248</v>
          </cell>
          <cell r="I14">
            <v>4250</v>
          </cell>
          <cell r="J14">
            <v>4253.333333333333</v>
          </cell>
          <cell r="K14">
            <v>4250</v>
          </cell>
          <cell r="L14">
            <v>4253.3323917137486</v>
          </cell>
          <cell r="M14">
            <v>4255</v>
          </cell>
          <cell r="N14">
            <v>4252.7774639045829</v>
          </cell>
          <cell r="S14">
            <v>4254.3702657459717</v>
          </cell>
        </row>
        <row r="15">
          <cell r="C15">
            <v>8.5</v>
          </cell>
          <cell r="D15">
            <v>8.3000000000000007</v>
          </cell>
          <cell r="E15">
            <v>8.3000000000000007</v>
          </cell>
          <cell r="F15">
            <v>8.3666666666666671</v>
          </cell>
          <cell r="G15">
            <v>8.3000000000000007</v>
          </cell>
          <cell r="H15">
            <v>8.4</v>
          </cell>
          <cell r="I15">
            <v>8.4</v>
          </cell>
          <cell r="J15">
            <v>8.3666666666666671</v>
          </cell>
          <cell r="K15">
            <v>8.6</v>
          </cell>
          <cell r="L15">
            <v>8.1999999999999993</v>
          </cell>
          <cell r="M15">
            <v>8</v>
          </cell>
          <cell r="N15">
            <v>8.2666666666666657</v>
          </cell>
          <cell r="S15">
            <v>8.3333333333333339</v>
          </cell>
        </row>
        <row r="16">
          <cell r="C16">
            <v>5.3</v>
          </cell>
          <cell r="D16">
            <v>5.2</v>
          </cell>
          <cell r="E16">
            <v>5.2</v>
          </cell>
          <cell r="F16">
            <v>5.2333333333333334</v>
          </cell>
          <cell r="G16">
            <v>5.0999999999999996</v>
          </cell>
          <cell r="H16">
            <v>5.2</v>
          </cell>
          <cell r="I16">
            <v>5.0999999999999996</v>
          </cell>
          <cell r="J16">
            <v>5.1333333333333337</v>
          </cell>
          <cell r="K16">
            <v>5.0999999999999996</v>
          </cell>
          <cell r="L16">
            <v>5</v>
          </cell>
          <cell r="M16">
            <v>5.0999999999999996</v>
          </cell>
          <cell r="N16">
            <v>5.0666666666666664</v>
          </cell>
          <cell r="S16">
            <v>5.1444444444444439</v>
          </cell>
        </row>
        <row r="18">
          <cell r="C18">
            <v>2743</v>
          </cell>
          <cell r="D18">
            <v>2828</v>
          </cell>
          <cell r="E18">
            <v>2558</v>
          </cell>
          <cell r="F18">
            <v>8129</v>
          </cell>
          <cell r="G18">
            <v>2746</v>
          </cell>
          <cell r="H18">
            <v>2777</v>
          </cell>
          <cell r="I18">
            <v>2693</v>
          </cell>
          <cell r="J18">
            <v>8216</v>
          </cell>
          <cell r="K18">
            <v>2821</v>
          </cell>
          <cell r="L18">
            <v>2727</v>
          </cell>
          <cell r="M18">
            <v>2746</v>
          </cell>
          <cell r="N18">
            <v>8294</v>
          </cell>
          <cell r="S18">
            <v>24639</v>
          </cell>
        </row>
        <row r="19">
          <cell r="C19">
            <v>83802</v>
          </cell>
          <cell r="D19">
            <v>87538</v>
          </cell>
          <cell r="E19">
            <v>78556</v>
          </cell>
          <cell r="F19">
            <v>249896</v>
          </cell>
          <cell r="G19">
            <v>86088</v>
          </cell>
          <cell r="H19">
            <v>84788</v>
          </cell>
          <cell r="I19">
            <v>83596</v>
          </cell>
          <cell r="J19">
            <v>254472</v>
          </cell>
          <cell r="K19">
            <v>88278</v>
          </cell>
          <cell r="L19">
            <v>82846</v>
          </cell>
          <cell r="M19">
            <v>84563</v>
          </cell>
          <cell r="N19">
            <v>255687</v>
          </cell>
          <cell r="S19">
            <v>760055</v>
          </cell>
        </row>
        <row r="20">
          <cell r="C20">
            <v>91216</v>
          </cell>
          <cell r="D20">
            <v>95443</v>
          </cell>
          <cell r="E20">
            <v>85189</v>
          </cell>
          <cell r="F20">
            <v>271848</v>
          </cell>
          <cell r="G20">
            <v>94806</v>
          </cell>
          <cell r="H20">
            <v>94189</v>
          </cell>
          <cell r="I20">
            <v>92232</v>
          </cell>
          <cell r="J20">
            <v>281227</v>
          </cell>
          <cell r="K20">
            <v>97148</v>
          </cell>
          <cell r="L20">
            <v>90353</v>
          </cell>
          <cell r="M20">
            <v>92170</v>
          </cell>
          <cell r="N20">
            <v>279671</v>
          </cell>
          <cell r="S20">
            <v>832746</v>
          </cell>
        </row>
        <row r="21">
          <cell r="C21">
            <v>64874</v>
          </cell>
          <cell r="D21">
            <v>68047</v>
          </cell>
          <cell r="E21">
            <v>60888</v>
          </cell>
          <cell r="F21">
            <v>193809</v>
          </cell>
          <cell r="G21">
            <v>66526</v>
          </cell>
          <cell r="H21">
            <v>65646</v>
          </cell>
          <cell r="I21">
            <v>64705</v>
          </cell>
          <cell r="J21">
            <v>196877</v>
          </cell>
          <cell r="K21">
            <v>68504</v>
          </cell>
          <cell r="L21">
            <v>64296</v>
          </cell>
          <cell r="M21">
            <v>65386</v>
          </cell>
          <cell r="N21">
            <v>198186</v>
          </cell>
          <cell r="S21">
            <v>588872</v>
          </cell>
        </row>
        <row r="22">
          <cell r="C22">
            <v>57854</v>
          </cell>
          <cell r="D22">
            <v>60406</v>
          </cell>
          <cell r="E22">
            <v>54208</v>
          </cell>
          <cell r="F22">
            <v>172468</v>
          </cell>
          <cell r="G22">
            <v>59021</v>
          </cell>
          <cell r="H22">
            <v>57896</v>
          </cell>
          <cell r="I22">
            <v>54965</v>
          </cell>
          <cell r="J22">
            <v>171882</v>
          </cell>
          <cell r="K22">
            <v>57646</v>
          </cell>
          <cell r="L22">
            <v>55346</v>
          </cell>
          <cell r="M22">
            <v>56506</v>
          </cell>
          <cell r="N22">
            <v>169498</v>
          </cell>
          <cell r="S22">
            <v>513848</v>
          </cell>
        </row>
        <row r="23">
          <cell r="C23">
            <v>84512</v>
          </cell>
          <cell r="D23">
            <v>88381</v>
          </cell>
          <cell r="E23">
            <v>77822</v>
          </cell>
          <cell r="F23">
            <v>250715</v>
          </cell>
          <cell r="G23">
            <v>85485</v>
          </cell>
          <cell r="H23">
            <v>86145</v>
          </cell>
          <cell r="I23">
            <v>83199</v>
          </cell>
          <cell r="J23">
            <v>254829</v>
          </cell>
          <cell r="K23">
            <v>87167</v>
          </cell>
          <cell r="L23">
            <v>81386</v>
          </cell>
          <cell r="M23">
            <v>83094</v>
          </cell>
          <cell r="N23">
            <v>251647</v>
          </cell>
          <cell r="S23">
            <v>757191</v>
          </cell>
        </row>
        <row r="24">
          <cell r="C24">
            <v>7020</v>
          </cell>
          <cell r="D24">
            <v>7641</v>
          </cell>
          <cell r="E24">
            <v>6680</v>
          </cell>
          <cell r="F24">
            <v>21341</v>
          </cell>
          <cell r="G24">
            <v>7505</v>
          </cell>
          <cell r="H24">
            <v>7750</v>
          </cell>
          <cell r="I24">
            <v>9740</v>
          </cell>
          <cell r="J24">
            <v>24995</v>
          </cell>
          <cell r="K24">
            <v>10858</v>
          </cell>
          <cell r="L24">
            <v>8950</v>
          </cell>
          <cell r="M24">
            <v>8880</v>
          </cell>
          <cell r="N24">
            <v>28688</v>
          </cell>
          <cell r="S24">
            <v>75024</v>
          </cell>
        </row>
        <row r="25">
          <cell r="C25">
            <v>6.9</v>
          </cell>
          <cell r="D25">
            <v>6.9</v>
          </cell>
          <cell r="E25">
            <v>7</v>
          </cell>
          <cell r="F25">
            <v>6.9333333333333336</v>
          </cell>
          <cell r="G25">
            <v>7</v>
          </cell>
          <cell r="H25">
            <v>7</v>
          </cell>
          <cell r="I25">
            <v>7</v>
          </cell>
          <cell r="J25">
            <v>7</v>
          </cell>
          <cell r="K25">
            <v>7</v>
          </cell>
          <cell r="L25">
            <v>7</v>
          </cell>
          <cell r="M25">
            <v>6.9</v>
          </cell>
          <cell r="N25">
            <v>6.9666666666666659</v>
          </cell>
          <cell r="S25">
            <v>6.9666666666666659</v>
          </cell>
        </row>
        <row r="27">
          <cell r="C27">
            <v>7962</v>
          </cell>
          <cell r="D27">
            <v>8206</v>
          </cell>
          <cell r="E27">
            <v>7720</v>
          </cell>
          <cell r="F27">
            <v>23888</v>
          </cell>
          <cell r="G27">
            <v>8135</v>
          </cell>
          <cell r="H27">
            <v>7678</v>
          </cell>
          <cell r="I27">
            <v>7426</v>
          </cell>
          <cell r="J27">
            <v>23239</v>
          </cell>
          <cell r="K27">
            <v>7699</v>
          </cell>
          <cell r="L27">
            <v>7504</v>
          </cell>
          <cell r="M27">
            <v>7538</v>
          </cell>
          <cell r="N27">
            <v>22741</v>
          </cell>
          <cell r="S27">
            <v>69868</v>
          </cell>
        </row>
        <row r="28">
          <cell r="C28">
            <v>313</v>
          </cell>
          <cell r="D28">
            <v>472</v>
          </cell>
          <cell r="E28">
            <v>781</v>
          </cell>
          <cell r="F28">
            <v>1566</v>
          </cell>
          <cell r="G28">
            <v>671</v>
          </cell>
          <cell r="H28">
            <v>860</v>
          </cell>
          <cell r="I28">
            <v>636</v>
          </cell>
          <cell r="J28">
            <v>2167</v>
          </cell>
          <cell r="K28">
            <v>744</v>
          </cell>
          <cell r="L28">
            <v>713</v>
          </cell>
          <cell r="M28">
            <v>715</v>
          </cell>
          <cell r="N28">
            <v>2172</v>
          </cell>
          <cell r="S28">
            <v>5905</v>
          </cell>
        </row>
        <row r="29">
          <cell r="C29">
            <v>1258</v>
          </cell>
          <cell r="D29">
            <v>931</v>
          </cell>
          <cell r="E29">
            <v>561</v>
          </cell>
          <cell r="F29">
            <v>2750</v>
          </cell>
          <cell r="G29">
            <v>0</v>
          </cell>
          <cell r="H29">
            <v>1612</v>
          </cell>
          <cell r="I29">
            <v>339</v>
          </cell>
          <cell r="K29">
            <v>206</v>
          </cell>
          <cell r="L29">
            <v>953</v>
          </cell>
          <cell r="M29">
            <v>1563</v>
          </cell>
          <cell r="S29">
            <v>7423</v>
          </cell>
        </row>
        <row r="30">
          <cell r="C30">
            <v>1025</v>
          </cell>
          <cell r="D30">
            <v>710</v>
          </cell>
          <cell r="E30">
            <v>974</v>
          </cell>
          <cell r="F30">
            <v>2709</v>
          </cell>
          <cell r="G30">
            <v>968</v>
          </cell>
          <cell r="H30">
            <v>974</v>
          </cell>
          <cell r="I30">
            <v>1051</v>
          </cell>
          <cell r="J30">
            <v>2993</v>
          </cell>
          <cell r="K30">
            <v>1069</v>
          </cell>
          <cell r="L30">
            <v>1072</v>
          </cell>
          <cell r="M30">
            <v>1238</v>
          </cell>
          <cell r="N30">
            <v>3379</v>
          </cell>
          <cell r="S30">
            <v>9081</v>
          </cell>
        </row>
        <row r="31">
          <cell r="C31">
            <v>2</v>
          </cell>
          <cell r="D31">
            <v>481</v>
          </cell>
          <cell r="E31">
            <v>176</v>
          </cell>
          <cell r="F31">
            <v>659</v>
          </cell>
          <cell r="G31">
            <v>0</v>
          </cell>
          <cell r="H31">
            <v>537</v>
          </cell>
          <cell r="I31">
            <v>113</v>
          </cell>
          <cell r="K31">
            <v>69</v>
          </cell>
          <cell r="L31">
            <v>317</v>
          </cell>
          <cell r="M31">
            <v>520</v>
          </cell>
          <cell r="S31">
            <v>2215</v>
          </cell>
        </row>
        <row r="34">
          <cell r="C34">
            <v>123849</v>
          </cell>
          <cell r="D34">
            <v>124035</v>
          </cell>
          <cell r="E34">
            <v>114269</v>
          </cell>
          <cell r="F34">
            <v>362153</v>
          </cell>
          <cell r="G34">
            <v>126229</v>
          </cell>
          <cell r="H34">
            <v>120274</v>
          </cell>
          <cell r="I34">
            <v>120243</v>
          </cell>
          <cell r="J34">
            <v>366746</v>
          </cell>
          <cell r="K34">
            <v>116755</v>
          </cell>
          <cell r="L34">
            <v>123160</v>
          </cell>
          <cell r="M34">
            <v>128766</v>
          </cell>
          <cell r="N34">
            <v>368681</v>
          </cell>
          <cell r="R34">
            <v>0</v>
          </cell>
          <cell r="S34">
            <v>1097580</v>
          </cell>
        </row>
        <row r="35">
          <cell r="C35">
            <v>105596</v>
          </cell>
          <cell r="D35">
            <v>106248</v>
          </cell>
          <cell r="E35">
            <v>98376</v>
          </cell>
          <cell r="F35">
            <v>310220</v>
          </cell>
          <cell r="G35">
            <v>105790</v>
          </cell>
          <cell r="H35">
            <v>103396</v>
          </cell>
          <cell r="I35">
            <v>109438</v>
          </cell>
          <cell r="J35">
            <v>318624</v>
          </cell>
          <cell r="K35">
            <v>102632</v>
          </cell>
          <cell r="L35">
            <v>107035</v>
          </cell>
          <cell r="M35">
            <v>108901</v>
          </cell>
          <cell r="N35">
            <v>318568</v>
          </cell>
          <cell r="R35">
            <v>0</v>
          </cell>
          <cell r="S35">
            <v>947412</v>
          </cell>
        </row>
        <row r="36">
          <cell r="C36">
            <v>16648</v>
          </cell>
          <cell r="D36">
            <v>17536</v>
          </cell>
          <cell r="E36">
            <v>14911</v>
          </cell>
          <cell r="F36">
            <v>49095</v>
          </cell>
          <cell r="G36">
            <v>18880</v>
          </cell>
          <cell r="H36">
            <v>22038</v>
          </cell>
          <cell r="I36">
            <v>17029</v>
          </cell>
          <cell r="J36">
            <v>57947</v>
          </cell>
          <cell r="K36">
            <v>18536</v>
          </cell>
          <cell r="L36">
            <v>17926</v>
          </cell>
          <cell r="M36">
            <v>20816</v>
          </cell>
          <cell r="N36">
            <v>57278</v>
          </cell>
          <cell r="R36">
            <v>0</v>
          </cell>
          <cell r="S36">
            <v>164320</v>
          </cell>
        </row>
        <row r="37">
          <cell r="C37">
            <v>11647</v>
          </cell>
          <cell r="D37">
            <v>11152</v>
          </cell>
          <cell r="E37">
            <v>8993</v>
          </cell>
          <cell r="F37">
            <v>31792</v>
          </cell>
          <cell r="G37">
            <v>10447</v>
          </cell>
          <cell r="H37">
            <v>10655</v>
          </cell>
          <cell r="I37">
            <v>11128</v>
          </cell>
          <cell r="J37">
            <v>32230</v>
          </cell>
          <cell r="K37">
            <v>10588</v>
          </cell>
          <cell r="L37">
            <v>13065</v>
          </cell>
          <cell r="M37">
            <v>15085</v>
          </cell>
          <cell r="N37">
            <v>38738</v>
          </cell>
          <cell r="R37">
            <v>0</v>
          </cell>
          <cell r="S37">
            <v>102760</v>
          </cell>
        </row>
        <row r="38">
          <cell r="C38">
            <v>673</v>
          </cell>
          <cell r="D38">
            <v>671</v>
          </cell>
          <cell r="E38">
            <v>411</v>
          </cell>
          <cell r="F38">
            <v>1755</v>
          </cell>
          <cell r="G38">
            <v>739</v>
          </cell>
          <cell r="H38">
            <v>879</v>
          </cell>
          <cell r="I38">
            <v>324</v>
          </cell>
          <cell r="J38">
            <v>1942</v>
          </cell>
          <cell r="K38">
            <v>572</v>
          </cell>
          <cell r="L38">
            <v>226</v>
          </cell>
          <cell r="M38">
            <v>426</v>
          </cell>
          <cell r="N38">
            <v>1224</v>
          </cell>
          <cell r="R38">
            <v>0</v>
          </cell>
          <cell r="S38">
            <v>4921</v>
          </cell>
        </row>
        <row r="39">
          <cell r="C39">
            <v>11596</v>
          </cell>
          <cell r="D39">
            <v>10946</v>
          </cell>
          <cell r="E39">
            <v>13022</v>
          </cell>
          <cell r="F39">
            <v>35564</v>
          </cell>
          <cell r="G39">
            <v>13775</v>
          </cell>
          <cell r="H39">
            <v>9577</v>
          </cell>
          <cell r="I39">
            <v>10628</v>
          </cell>
          <cell r="J39">
            <v>33980</v>
          </cell>
          <cell r="K39">
            <v>12257</v>
          </cell>
          <cell r="L39">
            <v>8668</v>
          </cell>
          <cell r="M39">
            <v>8055</v>
          </cell>
          <cell r="N39">
            <v>28980</v>
          </cell>
          <cell r="R39">
            <v>0</v>
          </cell>
          <cell r="S39">
            <v>98524</v>
          </cell>
        </row>
        <row r="40">
          <cell r="C40">
            <v>620</v>
          </cell>
          <cell r="D40">
            <v>1521</v>
          </cell>
          <cell r="E40">
            <v>822</v>
          </cell>
          <cell r="F40">
            <v>2963</v>
          </cell>
          <cell r="G40">
            <v>90</v>
          </cell>
          <cell r="H40">
            <v>92</v>
          </cell>
          <cell r="I40">
            <v>0</v>
          </cell>
          <cell r="J40">
            <v>182</v>
          </cell>
          <cell r="K40">
            <v>0</v>
          </cell>
          <cell r="L40">
            <v>338</v>
          </cell>
          <cell r="M40">
            <v>612</v>
          </cell>
          <cell r="N40">
            <v>950</v>
          </cell>
          <cell r="R40">
            <v>0</v>
          </cell>
          <cell r="S40">
            <v>4095</v>
          </cell>
        </row>
        <row r="41">
          <cell r="C41">
            <v>8669</v>
          </cell>
          <cell r="D41">
            <v>8806</v>
          </cell>
          <cell r="E41">
            <v>8342</v>
          </cell>
          <cell r="F41">
            <v>25817</v>
          </cell>
          <cell r="G41">
            <v>9088</v>
          </cell>
          <cell r="H41">
            <v>8780</v>
          </cell>
          <cell r="I41">
            <v>8706</v>
          </cell>
          <cell r="J41">
            <v>26574</v>
          </cell>
          <cell r="K41">
            <v>8453</v>
          </cell>
          <cell r="L41">
            <v>8991</v>
          </cell>
          <cell r="M41">
            <v>9271</v>
          </cell>
          <cell r="N41">
            <v>26715</v>
          </cell>
          <cell r="R41">
            <v>0</v>
          </cell>
          <cell r="S41">
            <v>79106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R42">
            <v>0</v>
          </cell>
          <cell r="S42">
            <v>0</v>
          </cell>
        </row>
        <row r="43">
          <cell r="C43">
            <v>36124</v>
          </cell>
          <cell r="D43">
            <v>36223</v>
          </cell>
          <cell r="E43">
            <v>33382</v>
          </cell>
          <cell r="F43">
            <v>105729</v>
          </cell>
          <cell r="G43">
            <v>36803</v>
          </cell>
          <cell r="H43">
            <v>35825</v>
          </cell>
          <cell r="I43">
            <v>36019</v>
          </cell>
          <cell r="J43">
            <v>108647</v>
          </cell>
          <cell r="K43">
            <v>34992</v>
          </cell>
          <cell r="L43">
            <v>36046</v>
          </cell>
          <cell r="M43">
            <v>37592</v>
          </cell>
          <cell r="N43">
            <v>108630</v>
          </cell>
          <cell r="R43">
            <v>0</v>
          </cell>
          <cell r="S43">
            <v>323006</v>
          </cell>
        </row>
        <row r="44">
          <cell r="C44">
            <v>192134</v>
          </cell>
          <cell r="D44">
            <v>193579</v>
          </cell>
          <cell r="E44">
            <v>178455</v>
          </cell>
          <cell r="F44">
            <v>564168</v>
          </cell>
          <cell r="G44">
            <v>196607</v>
          </cell>
          <cell r="H44">
            <v>191445</v>
          </cell>
          <cell r="I44">
            <v>193272</v>
          </cell>
          <cell r="J44">
            <v>581324</v>
          </cell>
          <cell r="K44">
            <v>188134</v>
          </cell>
          <cell r="L44">
            <v>192986</v>
          </cell>
          <cell r="M44">
            <v>201259</v>
          </cell>
          <cell r="N44">
            <v>582379</v>
          </cell>
          <cell r="R44">
            <v>0</v>
          </cell>
          <cell r="S44">
            <v>1727871</v>
          </cell>
        </row>
        <row r="45">
          <cell r="C45">
            <v>1396.25</v>
          </cell>
          <cell r="D45">
            <v>1456</v>
          </cell>
          <cell r="E45">
            <v>1415</v>
          </cell>
          <cell r="F45">
            <v>4267.25</v>
          </cell>
          <cell r="G45">
            <v>1438.25</v>
          </cell>
          <cell r="H45">
            <v>1442.5</v>
          </cell>
          <cell r="I45">
            <v>1393.67</v>
          </cell>
          <cell r="J45">
            <v>4274.42</v>
          </cell>
          <cell r="K45">
            <v>1444</v>
          </cell>
          <cell r="L45">
            <v>1404</v>
          </cell>
          <cell r="M45">
            <v>1442.33</v>
          </cell>
          <cell r="N45">
            <v>4290.33</v>
          </cell>
          <cell r="R45">
            <v>0</v>
          </cell>
          <cell r="S45">
            <v>12832</v>
          </cell>
        </row>
        <row r="46">
          <cell r="C46">
            <v>1381.5</v>
          </cell>
          <cell r="D46">
            <v>1395.25</v>
          </cell>
          <cell r="E46">
            <v>1276.6600000000001</v>
          </cell>
          <cell r="F46">
            <v>4053.41</v>
          </cell>
          <cell r="G46">
            <v>1413.33</v>
          </cell>
          <cell r="H46">
            <v>1364.75</v>
          </cell>
          <cell r="I46">
            <v>1370.67</v>
          </cell>
          <cell r="J46">
            <v>4148.75</v>
          </cell>
          <cell r="K46">
            <v>1322.25</v>
          </cell>
          <cell r="L46">
            <v>1377.17</v>
          </cell>
          <cell r="M46">
            <v>1437.17</v>
          </cell>
          <cell r="N46">
            <v>4136.59</v>
          </cell>
          <cell r="R46">
            <v>0</v>
          </cell>
          <cell r="S46">
            <v>12338.75</v>
          </cell>
        </row>
        <row r="47">
          <cell r="C47">
            <v>9.8699999999999992</v>
          </cell>
          <cell r="D47">
            <v>9.85</v>
          </cell>
          <cell r="E47">
            <v>9.81</v>
          </cell>
          <cell r="F47">
            <v>9.8433333333333337</v>
          </cell>
          <cell r="G47">
            <v>9.83</v>
          </cell>
          <cell r="H47">
            <v>9.76</v>
          </cell>
          <cell r="I47">
            <v>9.81</v>
          </cell>
          <cell r="J47">
            <v>9.7999999999999989</v>
          </cell>
          <cell r="K47">
            <v>9.8000000000000007</v>
          </cell>
          <cell r="L47">
            <v>9.68</v>
          </cell>
          <cell r="M47">
            <v>9.73</v>
          </cell>
          <cell r="N47">
            <v>9.7366666666666664</v>
          </cell>
          <cell r="R47" t="e">
            <v>#DIV/0!</v>
          </cell>
          <cell r="S47">
            <v>9.793333333333333</v>
          </cell>
        </row>
        <row r="48">
          <cell r="C48">
            <v>53.25</v>
          </cell>
          <cell r="D48">
            <v>53.25</v>
          </cell>
          <cell r="E48">
            <v>53.23</v>
          </cell>
          <cell r="F48">
            <v>53.243333333333332</v>
          </cell>
          <cell r="G48">
            <v>53.04</v>
          </cell>
          <cell r="H48">
            <v>52.44</v>
          </cell>
          <cell r="I48">
            <v>53.33</v>
          </cell>
          <cell r="J48">
            <v>52.936666666666667</v>
          </cell>
          <cell r="K48">
            <v>53.49</v>
          </cell>
          <cell r="L48">
            <v>52.98</v>
          </cell>
          <cell r="M48">
            <v>52.88</v>
          </cell>
          <cell r="N48">
            <v>53.116666666666667</v>
          </cell>
          <cell r="R48" t="e">
            <v>#DIV/0!</v>
          </cell>
          <cell r="S48">
            <v>53.098888888888887</v>
          </cell>
        </row>
        <row r="49">
          <cell r="C49">
            <v>10.87</v>
          </cell>
          <cell r="D49">
            <v>11.02</v>
          </cell>
          <cell r="E49">
            <v>10.77</v>
          </cell>
          <cell r="F49">
            <v>10.886666666666665</v>
          </cell>
          <cell r="G49">
            <v>10.88</v>
          </cell>
          <cell r="H49">
            <v>11.69</v>
          </cell>
          <cell r="I49">
            <v>10.82</v>
          </cell>
          <cell r="J49">
            <v>11.13</v>
          </cell>
          <cell r="K49">
            <v>10.72</v>
          </cell>
          <cell r="L49">
            <v>10.84</v>
          </cell>
          <cell r="M49">
            <v>11.03</v>
          </cell>
          <cell r="N49">
            <v>10.863333333333335</v>
          </cell>
          <cell r="R49" t="e">
            <v>#DIV/0!</v>
          </cell>
          <cell r="S49">
            <v>10.96</v>
          </cell>
        </row>
        <row r="50">
          <cell r="C50">
            <v>1.69</v>
          </cell>
          <cell r="D50">
            <v>1.69</v>
          </cell>
          <cell r="E50">
            <v>1.68</v>
          </cell>
          <cell r="F50">
            <v>1.6866666666666665</v>
          </cell>
          <cell r="G50">
            <v>1.66</v>
          </cell>
          <cell r="H50">
            <v>1.6</v>
          </cell>
          <cell r="I50">
            <v>1.7</v>
          </cell>
          <cell r="J50">
            <v>1.6533333333333333</v>
          </cell>
          <cell r="K50">
            <v>1.72</v>
          </cell>
          <cell r="L50">
            <v>1.66</v>
          </cell>
          <cell r="M50">
            <v>1.65</v>
          </cell>
          <cell r="N50">
            <v>1.6766666666666665</v>
          </cell>
          <cell r="R50" t="e">
            <v>#DIV/0!</v>
          </cell>
          <cell r="S50">
            <v>1.6722222222222223</v>
          </cell>
        </row>
        <row r="51">
          <cell r="C51">
            <v>85.69</v>
          </cell>
          <cell r="D51">
            <v>86.35</v>
          </cell>
          <cell r="E51">
            <v>85.32</v>
          </cell>
          <cell r="F51">
            <v>85.786666666666676</v>
          </cell>
          <cell r="G51">
            <v>85.77</v>
          </cell>
          <cell r="H51">
            <v>84.61</v>
          </cell>
          <cell r="I51">
            <v>85.55</v>
          </cell>
          <cell r="J51">
            <v>85.31</v>
          </cell>
          <cell r="K51">
            <v>85.38</v>
          </cell>
          <cell r="L51">
            <v>85.32</v>
          </cell>
          <cell r="M51">
            <v>85.6</v>
          </cell>
          <cell r="N51">
            <v>85.433333333333323</v>
          </cell>
          <cell r="R51" t="e">
            <v>#DIV/0!</v>
          </cell>
          <cell r="S51">
            <v>85.51</v>
          </cell>
        </row>
        <row r="52">
          <cell r="C52">
            <v>79.930000000000007</v>
          </cell>
          <cell r="D52">
            <v>79.680000000000007</v>
          </cell>
          <cell r="E52">
            <v>78.819999999999993</v>
          </cell>
          <cell r="F52">
            <v>79.476666666666674</v>
          </cell>
          <cell r="G52">
            <v>77.930000000000007</v>
          </cell>
          <cell r="H52">
            <v>62.36</v>
          </cell>
          <cell r="I52">
            <v>75.790000000000006</v>
          </cell>
          <cell r="J52">
            <v>72.026666666666685</v>
          </cell>
          <cell r="K52">
            <v>73.41</v>
          </cell>
          <cell r="L52">
            <v>80.760000000000005</v>
          </cell>
          <cell r="M52">
            <v>66.959999999999994</v>
          </cell>
          <cell r="N52">
            <v>73.709999999999994</v>
          </cell>
          <cell r="R52" t="e">
            <v>#DIV/0!</v>
          </cell>
          <cell r="S52">
            <v>75.071111111111122</v>
          </cell>
        </row>
        <row r="53">
          <cell r="C53">
            <v>72.319999999999993</v>
          </cell>
          <cell r="D53">
            <v>72.42</v>
          </cell>
          <cell r="E53">
            <v>72.489999999999995</v>
          </cell>
          <cell r="F53">
            <v>72.410000000000011</v>
          </cell>
          <cell r="G53">
            <v>72.48</v>
          </cell>
          <cell r="H53">
            <v>72.34</v>
          </cell>
          <cell r="I53">
            <v>72.489999999999995</v>
          </cell>
          <cell r="J53">
            <v>72.436666666666667</v>
          </cell>
          <cell r="K53">
            <v>72.47</v>
          </cell>
          <cell r="L53">
            <v>72.319999999999993</v>
          </cell>
          <cell r="M53">
            <v>72.13</v>
          </cell>
          <cell r="N53">
            <v>72.306666666666658</v>
          </cell>
          <cell r="R53" t="e">
            <v>#DIV/0!</v>
          </cell>
          <cell r="S53">
            <v>72.384444444444455</v>
          </cell>
        </row>
        <row r="56">
          <cell r="C56">
            <v>169847</v>
          </cell>
          <cell r="D56">
            <v>177465</v>
          </cell>
          <cell r="E56">
            <v>116003</v>
          </cell>
          <cell r="F56">
            <v>463315</v>
          </cell>
          <cell r="G56">
            <v>176068</v>
          </cell>
          <cell r="H56">
            <v>173135</v>
          </cell>
          <cell r="I56">
            <v>168135</v>
          </cell>
          <cell r="J56">
            <v>517338</v>
          </cell>
          <cell r="K56">
            <v>170057</v>
          </cell>
          <cell r="L56">
            <v>171845</v>
          </cell>
          <cell r="M56">
            <v>178428</v>
          </cell>
          <cell r="N56">
            <v>520330</v>
          </cell>
          <cell r="R56">
            <v>0</v>
          </cell>
          <cell r="S56">
            <v>1500983</v>
          </cell>
        </row>
        <row r="57">
          <cell r="C57">
            <v>129761</v>
          </cell>
          <cell r="D57">
            <v>136867</v>
          </cell>
          <cell r="E57">
            <v>90208</v>
          </cell>
          <cell r="F57">
            <v>356836</v>
          </cell>
          <cell r="G57">
            <v>133483</v>
          </cell>
          <cell r="H57">
            <v>131072</v>
          </cell>
          <cell r="I57">
            <v>129504</v>
          </cell>
          <cell r="J57">
            <v>394059</v>
          </cell>
          <cell r="K57">
            <v>125480</v>
          </cell>
          <cell r="L57">
            <v>131559</v>
          </cell>
          <cell r="M57">
            <v>137931</v>
          </cell>
          <cell r="N57">
            <v>394970</v>
          </cell>
          <cell r="R57">
            <v>0</v>
          </cell>
          <cell r="S57">
            <v>1145865</v>
          </cell>
        </row>
        <row r="58">
          <cell r="C58">
            <v>16874</v>
          </cell>
          <cell r="D58">
            <v>16072</v>
          </cell>
          <cell r="E58">
            <v>11561</v>
          </cell>
          <cell r="F58">
            <v>44507</v>
          </cell>
          <cell r="G58">
            <v>17930</v>
          </cell>
          <cell r="H58">
            <v>21407</v>
          </cell>
          <cell r="I58">
            <v>17170</v>
          </cell>
          <cell r="J58">
            <v>56507</v>
          </cell>
          <cell r="K58">
            <v>19072</v>
          </cell>
          <cell r="L58">
            <v>19209</v>
          </cell>
          <cell r="M58">
            <v>18573</v>
          </cell>
          <cell r="N58">
            <v>56854</v>
          </cell>
          <cell r="R58">
            <v>0</v>
          </cell>
          <cell r="S58">
            <v>157868</v>
          </cell>
        </row>
        <row r="59">
          <cell r="C59">
            <v>13103</v>
          </cell>
          <cell r="D59">
            <v>14246</v>
          </cell>
          <cell r="E59">
            <v>8509</v>
          </cell>
          <cell r="F59">
            <v>35858</v>
          </cell>
          <cell r="G59">
            <v>13992</v>
          </cell>
          <cell r="H59">
            <v>13524</v>
          </cell>
          <cell r="I59">
            <v>11938</v>
          </cell>
          <cell r="J59">
            <v>39454</v>
          </cell>
          <cell r="K59">
            <v>13626</v>
          </cell>
          <cell r="L59">
            <v>14394</v>
          </cell>
          <cell r="M59">
            <v>14786</v>
          </cell>
          <cell r="N59">
            <v>42806</v>
          </cell>
          <cell r="R59">
            <v>0</v>
          </cell>
          <cell r="S59">
            <v>118118</v>
          </cell>
        </row>
        <row r="60">
          <cell r="C60">
            <v>11889</v>
          </cell>
          <cell r="D60">
            <v>12600</v>
          </cell>
          <cell r="E60">
            <v>8468</v>
          </cell>
          <cell r="F60">
            <v>32957</v>
          </cell>
          <cell r="G60">
            <v>12677</v>
          </cell>
          <cell r="H60">
            <v>12639</v>
          </cell>
          <cell r="I60">
            <v>12173</v>
          </cell>
          <cell r="J60">
            <v>37489</v>
          </cell>
          <cell r="K60">
            <v>12312</v>
          </cell>
          <cell r="L60">
            <v>12545</v>
          </cell>
          <cell r="M60">
            <v>12847</v>
          </cell>
          <cell r="N60">
            <v>37704</v>
          </cell>
          <cell r="R60">
            <v>0</v>
          </cell>
          <cell r="S60">
            <v>108150</v>
          </cell>
        </row>
        <row r="61">
          <cell r="C61">
            <v>1875</v>
          </cell>
          <cell r="D61">
            <v>2092</v>
          </cell>
          <cell r="E61">
            <v>1480</v>
          </cell>
          <cell r="F61">
            <v>5447</v>
          </cell>
          <cell r="G61">
            <v>2176</v>
          </cell>
          <cell r="H61">
            <v>2218</v>
          </cell>
          <cell r="I61">
            <v>2015</v>
          </cell>
          <cell r="J61">
            <v>6409</v>
          </cell>
          <cell r="K61">
            <v>1934</v>
          </cell>
          <cell r="L61">
            <v>2197</v>
          </cell>
          <cell r="M61">
            <v>1967</v>
          </cell>
          <cell r="N61">
            <v>6098</v>
          </cell>
          <cell r="R61">
            <v>0</v>
          </cell>
          <cell r="S61">
            <v>17954</v>
          </cell>
        </row>
        <row r="62">
          <cell r="C62">
            <v>947</v>
          </cell>
          <cell r="D62">
            <v>949</v>
          </cell>
          <cell r="E62">
            <v>429</v>
          </cell>
          <cell r="F62">
            <v>2325</v>
          </cell>
          <cell r="G62">
            <v>1081</v>
          </cell>
          <cell r="H62">
            <v>1281</v>
          </cell>
          <cell r="I62">
            <v>456</v>
          </cell>
          <cell r="J62">
            <v>2818</v>
          </cell>
          <cell r="K62">
            <v>808</v>
          </cell>
          <cell r="L62">
            <v>314</v>
          </cell>
          <cell r="M62">
            <v>594</v>
          </cell>
          <cell r="N62">
            <v>1716</v>
          </cell>
          <cell r="R62">
            <v>0</v>
          </cell>
          <cell r="S62">
            <v>6859</v>
          </cell>
        </row>
        <row r="63">
          <cell r="C63">
            <v>873</v>
          </cell>
          <cell r="D63">
            <v>2152</v>
          </cell>
          <cell r="E63">
            <v>857</v>
          </cell>
          <cell r="F63">
            <v>3882</v>
          </cell>
          <cell r="G63">
            <v>132</v>
          </cell>
          <cell r="H63">
            <v>135</v>
          </cell>
          <cell r="I63">
            <v>0</v>
          </cell>
          <cell r="J63">
            <v>267</v>
          </cell>
          <cell r="K63">
            <v>0</v>
          </cell>
          <cell r="L63">
            <v>469</v>
          </cell>
          <cell r="M63">
            <v>852</v>
          </cell>
          <cell r="N63">
            <v>1321</v>
          </cell>
          <cell r="R63">
            <v>0</v>
          </cell>
          <cell r="S63">
            <v>5470</v>
          </cell>
        </row>
        <row r="64">
          <cell r="C64">
            <v>46232</v>
          </cell>
          <cell r="D64">
            <v>44194</v>
          </cell>
          <cell r="E64">
            <v>29140</v>
          </cell>
          <cell r="F64">
            <v>119566</v>
          </cell>
          <cell r="G64">
            <v>49765</v>
          </cell>
          <cell r="H64">
            <v>48603</v>
          </cell>
          <cell r="I64">
            <v>44882</v>
          </cell>
          <cell r="J64">
            <v>143250</v>
          </cell>
          <cell r="K64">
            <v>45401</v>
          </cell>
          <cell r="L64">
            <v>39050</v>
          </cell>
          <cell r="M64">
            <v>44378</v>
          </cell>
          <cell r="N64">
            <v>128829</v>
          </cell>
          <cell r="R64">
            <v>0</v>
          </cell>
          <cell r="S64">
            <v>391645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R65">
            <v>0</v>
          </cell>
          <cell r="S65">
            <v>0</v>
          </cell>
        </row>
        <row r="66">
          <cell r="C66">
            <v>29733</v>
          </cell>
          <cell r="D66">
            <v>31212</v>
          </cell>
          <cell r="E66">
            <v>20036</v>
          </cell>
          <cell r="F66">
            <v>80981</v>
          </cell>
          <cell r="G66">
            <v>30869</v>
          </cell>
          <cell r="H66">
            <v>31109</v>
          </cell>
          <cell r="I66">
            <v>26500</v>
          </cell>
          <cell r="J66">
            <v>88478</v>
          </cell>
          <cell r="K66">
            <v>27861</v>
          </cell>
          <cell r="L66">
            <v>27564</v>
          </cell>
          <cell r="M66">
            <v>28712</v>
          </cell>
          <cell r="N66">
            <v>84137</v>
          </cell>
          <cell r="R66">
            <v>0</v>
          </cell>
          <cell r="S66">
            <v>253596</v>
          </cell>
        </row>
        <row r="67">
          <cell r="C67">
            <v>252076</v>
          </cell>
          <cell r="D67">
            <v>261058</v>
          </cell>
          <cell r="E67">
            <v>170892</v>
          </cell>
          <cell r="F67">
            <v>684026</v>
          </cell>
          <cell r="G67">
            <v>263560</v>
          </cell>
          <cell r="H67">
            <v>262285</v>
          </cell>
          <cell r="I67">
            <v>244638</v>
          </cell>
          <cell r="J67">
            <v>770483</v>
          </cell>
          <cell r="K67">
            <v>246640</v>
          </cell>
          <cell r="L67">
            <v>248260</v>
          </cell>
          <cell r="M67">
            <v>261339</v>
          </cell>
          <cell r="N67">
            <v>756239</v>
          </cell>
          <cell r="R67">
            <v>0</v>
          </cell>
          <cell r="S67">
            <v>2210748</v>
          </cell>
        </row>
        <row r="68">
          <cell r="C68">
            <v>696.75</v>
          </cell>
          <cell r="D68">
            <v>725.25</v>
          </cell>
          <cell r="E68">
            <v>504</v>
          </cell>
          <cell r="F68">
            <v>1926</v>
          </cell>
          <cell r="G68">
            <v>720.83</v>
          </cell>
          <cell r="H68">
            <v>735.5</v>
          </cell>
          <cell r="I68">
            <v>697.5</v>
          </cell>
          <cell r="J68">
            <v>2153.83</v>
          </cell>
          <cell r="K68">
            <v>719.75</v>
          </cell>
          <cell r="L68">
            <v>699.5</v>
          </cell>
          <cell r="M68">
            <v>723</v>
          </cell>
          <cell r="N68">
            <v>2142.25</v>
          </cell>
          <cell r="R68">
            <v>0</v>
          </cell>
          <cell r="S68">
            <v>6222.08</v>
          </cell>
        </row>
        <row r="69">
          <cell r="C69">
            <v>676.67</v>
          </cell>
          <cell r="D69">
            <v>707.58</v>
          </cell>
          <cell r="E69">
            <v>461</v>
          </cell>
          <cell r="F69">
            <v>1845.25</v>
          </cell>
          <cell r="G69">
            <v>701.25</v>
          </cell>
          <cell r="H69">
            <v>689.83</v>
          </cell>
          <cell r="I69">
            <v>670.67</v>
          </cell>
          <cell r="J69">
            <v>2061.75</v>
          </cell>
          <cell r="K69">
            <v>679.58</v>
          </cell>
          <cell r="L69">
            <v>684.83</v>
          </cell>
          <cell r="M69">
            <v>711.5</v>
          </cell>
          <cell r="N69">
            <v>2075.91</v>
          </cell>
          <cell r="R69">
            <v>0</v>
          </cell>
          <cell r="S69">
            <v>5982.91</v>
          </cell>
        </row>
        <row r="70">
          <cell r="C70">
            <v>10.29</v>
          </cell>
          <cell r="D70">
            <v>10.26</v>
          </cell>
          <cell r="E70">
            <v>10.16</v>
          </cell>
          <cell r="F70">
            <v>10.236666666666666</v>
          </cell>
          <cell r="G70">
            <v>10.14</v>
          </cell>
          <cell r="H70">
            <v>10.050000000000001</v>
          </cell>
          <cell r="I70">
            <v>10.37</v>
          </cell>
          <cell r="J70">
            <v>10.186666666666667</v>
          </cell>
          <cell r="K70">
            <v>10.71</v>
          </cell>
          <cell r="L70">
            <v>10.65</v>
          </cell>
          <cell r="M70">
            <v>10.6</v>
          </cell>
          <cell r="N70">
            <v>10.653333333333334</v>
          </cell>
          <cell r="R70" t="e">
            <v>#DIV/0!</v>
          </cell>
          <cell r="S70">
            <v>10.358888888888888</v>
          </cell>
        </row>
        <row r="71">
          <cell r="C71">
            <v>53.24</v>
          </cell>
          <cell r="D71">
            <v>53.42</v>
          </cell>
          <cell r="E71">
            <v>53.4</v>
          </cell>
          <cell r="F71">
            <v>53.353333333333332</v>
          </cell>
          <cell r="G71">
            <v>53.11</v>
          </cell>
          <cell r="H71">
            <v>52.26</v>
          </cell>
          <cell r="I71">
            <v>53.65</v>
          </cell>
          <cell r="J71">
            <v>53.006666666666668</v>
          </cell>
          <cell r="K71">
            <v>53.49</v>
          </cell>
          <cell r="L71">
            <v>53.19</v>
          </cell>
          <cell r="M71">
            <v>52.82</v>
          </cell>
          <cell r="N71">
            <v>53.166666666666664</v>
          </cell>
          <cell r="R71" t="e">
            <v>#DIV/0!</v>
          </cell>
          <cell r="S71">
            <v>53.175555555555555</v>
          </cell>
        </row>
        <row r="72">
          <cell r="C72">
            <v>11</v>
          </cell>
          <cell r="D72">
            <v>10.72</v>
          </cell>
          <cell r="E72">
            <v>10.66</v>
          </cell>
          <cell r="F72">
            <v>10.793333333333331</v>
          </cell>
          <cell r="G72">
            <v>10.88</v>
          </cell>
          <cell r="H72">
            <v>11.92</v>
          </cell>
          <cell r="I72">
            <v>10.68</v>
          </cell>
          <cell r="J72">
            <v>11.160000000000002</v>
          </cell>
          <cell r="K72">
            <v>10.72</v>
          </cell>
          <cell r="L72">
            <v>10.66</v>
          </cell>
          <cell r="M72">
            <v>11.01</v>
          </cell>
          <cell r="N72">
            <v>10.796666666666667</v>
          </cell>
          <cell r="R72" t="e">
            <v>#DIV/0!</v>
          </cell>
          <cell r="S72">
            <v>10.916666666666666</v>
          </cell>
        </row>
        <row r="73">
          <cell r="C73">
            <v>1.69</v>
          </cell>
          <cell r="D73">
            <v>1.73</v>
          </cell>
          <cell r="E73">
            <v>1.71</v>
          </cell>
          <cell r="F73">
            <v>1.71</v>
          </cell>
          <cell r="G73">
            <v>1.66</v>
          </cell>
          <cell r="H73">
            <v>1.61</v>
          </cell>
          <cell r="I73">
            <v>1.74</v>
          </cell>
          <cell r="J73">
            <v>1.67</v>
          </cell>
          <cell r="K73">
            <v>1.74</v>
          </cell>
          <cell r="L73">
            <v>1.68</v>
          </cell>
          <cell r="M73">
            <v>1.65</v>
          </cell>
          <cell r="N73">
            <v>1.6900000000000002</v>
          </cell>
          <cell r="R73" t="e">
            <v>#DIV/0!</v>
          </cell>
          <cell r="S73">
            <v>1.6900000000000002</v>
          </cell>
        </row>
        <row r="74">
          <cell r="C74">
            <v>90.21</v>
          </cell>
          <cell r="D74">
            <v>88.11</v>
          </cell>
          <cell r="E74">
            <v>85.38</v>
          </cell>
          <cell r="F74">
            <v>87.899999999999991</v>
          </cell>
          <cell r="G74">
            <v>87</v>
          </cell>
          <cell r="H74">
            <v>85.63</v>
          </cell>
          <cell r="I74">
            <v>86.9</v>
          </cell>
          <cell r="J74">
            <v>86.509999999999991</v>
          </cell>
          <cell r="K74">
            <v>89.18</v>
          </cell>
          <cell r="L74">
            <v>84.74</v>
          </cell>
          <cell r="M74">
            <v>83.24</v>
          </cell>
          <cell r="N74">
            <v>85.720000000000013</v>
          </cell>
          <cell r="R74" t="e">
            <v>#DIV/0!</v>
          </cell>
          <cell r="S74">
            <v>86.710000000000008</v>
          </cell>
        </row>
        <row r="75">
          <cell r="C75">
            <v>75.86</v>
          </cell>
          <cell r="D75">
            <v>75.599999999999994</v>
          </cell>
          <cell r="E75">
            <v>74.67</v>
          </cell>
          <cell r="F75">
            <v>75.376666666666665</v>
          </cell>
          <cell r="G75">
            <v>73.03</v>
          </cell>
          <cell r="H75">
            <v>69.349999999999994</v>
          </cell>
          <cell r="I75">
            <v>75.83</v>
          </cell>
          <cell r="J75">
            <v>72.736666666666665</v>
          </cell>
          <cell r="K75">
            <v>72.239999999999995</v>
          </cell>
          <cell r="L75">
            <v>73.48</v>
          </cell>
          <cell r="M75">
            <v>76.5</v>
          </cell>
          <cell r="N75">
            <v>74.073333333333338</v>
          </cell>
          <cell r="R75" t="e">
            <v>#DIV/0!</v>
          </cell>
          <cell r="S75">
            <v>74.062222222222218</v>
          </cell>
        </row>
        <row r="76">
          <cell r="C76">
            <v>74.319999999999993</v>
          </cell>
          <cell r="D76">
            <v>74.290000000000006</v>
          </cell>
          <cell r="E76">
            <v>74.09</v>
          </cell>
          <cell r="F76">
            <v>74.233333333333334</v>
          </cell>
          <cell r="G76">
            <v>74.069999999999993</v>
          </cell>
          <cell r="H76">
            <v>74.31</v>
          </cell>
          <cell r="I76">
            <v>74.17</v>
          </cell>
          <cell r="J76">
            <v>74.183333333333337</v>
          </cell>
          <cell r="K76">
            <v>74.17</v>
          </cell>
          <cell r="L76">
            <v>74.11</v>
          </cell>
          <cell r="M76">
            <v>74.25</v>
          </cell>
          <cell r="N76">
            <v>74.176666666666662</v>
          </cell>
          <cell r="R76" t="e">
            <v>#DIV/0!</v>
          </cell>
          <cell r="S76">
            <v>74.197777777777773</v>
          </cell>
        </row>
        <row r="81">
          <cell r="C81">
            <v>312188</v>
          </cell>
          <cell r="D81">
            <v>311230</v>
          </cell>
          <cell r="E81">
            <v>299705</v>
          </cell>
          <cell r="F81">
            <v>923123</v>
          </cell>
          <cell r="G81">
            <v>322619</v>
          </cell>
          <cell r="H81">
            <v>310671</v>
          </cell>
          <cell r="I81">
            <v>250181</v>
          </cell>
          <cell r="J81">
            <v>883471</v>
          </cell>
          <cell r="K81">
            <v>316833</v>
          </cell>
          <cell r="L81">
            <v>315029</v>
          </cell>
          <cell r="M81">
            <v>294625</v>
          </cell>
          <cell r="N81">
            <v>926487</v>
          </cell>
          <cell r="R81">
            <v>0</v>
          </cell>
          <cell r="S81">
            <v>2733081</v>
          </cell>
        </row>
        <row r="82">
          <cell r="C82">
            <v>239942</v>
          </cell>
          <cell r="D82">
            <v>249232</v>
          </cell>
          <cell r="E82">
            <v>239387</v>
          </cell>
          <cell r="F82">
            <v>728561</v>
          </cell>
          <cell r="G82">
            <v>243078</v>
          </cell>
          <cell r="H82">
            <v>234544</v>
          </cell>
          <cell r="I82">
            <v>189561</v>
          </cell>
          <cell r="J82">
            <v>667183</v>
          </cell>
          <cell r="K82">
            <v>215555</v>
          </cell>
          <cell r="L82">
            <v>230261</v>
          </cell>
          <cell r="M82">
            <v>222253</v>
          </cell>
          <cell r="N82">
            <v>668069</v>
          </cell>
          <cell r="R82">
            <v>0</v>
          </cell>
          <cell r="S82">
            <v>2063813</v>
          </cell>
        </row>
        <row r="83">
          <cell r="C83">
            <v>27228</v>
          </cell>
          <cell r="D83">
            <v>24719</v>
          </cell>
          <cell r="E83">
            <v>22714</v>
          </cell>
          <cell r="F83">
            <v>74661</v>
          </cell>
          <cell r="G83">
            <v>27351</v>
          </cell>
          <cell r="H83">
            <v>27459</v>
          </cell>
          <cell r="I83">
            <v>18750</v>
          </cell>
          <cell r="J83">
            <v>73560</v>
          </cell>
          <cell r="K83">
            <v>26863</v>
          </cell>
          <cell r="L83">
            <v>27746</v>
          </cell>
          <cell r="M83">
            <v>26414</v>
          </cell>
          <cell r="N83">
            <v>81023</v>
          </cell>
          <cell r="R83">
            <v>0</v>
          </cell>
          <cell r="S83">
            <v>229244</v>
          </cell>
        </row>
        <row r="84">
          <cell r="C84">
            <v>26496</v>
          </cell>
          <cell r="D84">
            <v>27094</v>
          </cell>
          <cell r="E84">
            <v>26134</v>
          </cell>
          <cell r="F84">
            <v>79724</v>
          </cell>
          <cell r="G84">
            <v>27575</v>
          </cell>
          <cell r="H84">
            <v>28838</v>
          </cell>
          <cell r="I84">
            <v>24703</v>
          </cell>
          <cell r="J84">
            <v>81116</v>
          </cell>
          <cell r="K84">
            <v>32475</v>
          </cell>
          <cell r="L84">
            <v>34504</v>
          </cell>
          <cell r="M84">
            <v>31328</v>
          </cell>
          <cell r="N84">
            <v>98307</v>
          </cell>
          <cell r="R84">
            <v>0</v>
          </cell>
          <cell r="S84">
            <v>259147</v>
          </cell>
        </row>
        <row r="85">
          <cell r="C85">
            <v>21853</v>
          </cell>
          <cell r="D85">
            <v>22097</v>
          </cell>
          <cell r="E85">
            <v>21878</v>
          </cell>
          <cell r="F85">
            <v>65828</v>
          </cell>
          <cell r="G85">
            <v>23229</v>
          </cell>
          <cell r="H85">
            <v>22679</v>
          </cell>
          <cell r="I85">
            <v>18113</v>
          </cell>
          <cell r="J85">
            <v>64021</v>
          </cell>
          <cell r="K85">
            <v>22939</v>
          </cell>
          <cell r="L85">
            <v>22997</v>
          </cell>
          <cell r="M85">
            <v>21213</v>
          </cell>
          <cell r="N85">
            <v>67149</v>
          </cell>
          <cell r="R85">
            <v>0</v>
          </cell>
          <cell r="S85">
            <v>196998</v>
          </cell>
        </row>
        <row r="86">
          <cell r="C86">
            <v>7019</v>
          </cell>
          <cell r="D86">
            <v>7225</v>
          </cell>
          <cell r="E86">
            <v>7748</v>
          </cell>
          <cell r="F86">
            <v>21992</v>
          </cell>
          <cell r="G86">
            <v>8023</v>
          </cell>
          <cell r="H86">
            <v>8265</v>
          </cell>
          <cell r="I86">
            <v>6330</v>
          </cell>
          <cell r="J86">
            <v>22618</v>
          </cell>
          <cell r="K86">
            <v>8236</v>
          </cell>
          <cell r="L86">
            <v>8390</v>
          </cell>
          <cell r="M86">
            <v>7268</v>
          </cell>
          <cell r="N86">
            <v>23894</v>
          </cell>
          <cell r="R86">
            <v>0</v>
          </cell>
          <cell r="S86">
            <v>68504</v>
          </cell>
        </row>
        <row r="87">
          <cell r="C87">
            <v>1785</v>
          </cell>
          <cell r="D87">
            <v>4270</v>
          </cell>
          <cell r="E87">
            <v>2497</v>
          </cell>
          <cell r="F87">
            <v>8552</v>
          </cell>
          <cell r="G87">
            <v>263</v>
          </cell>
          <cell r="H87">
            <v>0</v>
          </cell>
          <cell r="I87">
            <v>0</v>
          </cell>
          <cell r="J87">
            <v>263</v>
          </cell>
          <cell r="K87">
            <v>0</v>
          </cell>
          <cell r="L87">
            <v>960</v>
          </cell>
          <cell r="M87">
            <v>1553</v>
          </cell>
          <cell r="N87">
            <v>2513</v>
          </cell>
          <cell r="R87">
            <v>0</v>
          </cell>
          <cell r="S87">
            <v>11328</v>
          </cell>
        </row>
        <row r="88">
          <cell r="C88">
            <v>71632</v>
          </cell>
          <cell r="D88">
            <v>58709</v>
          </cell>
          <cell r="E88">
            <v>55689</v>
          </cell>
          <cell r="F88">
            <v>186030</v>
          </cell>
          <cell r="G88">
            <v>77703</v>
          </cell>
          <cell r="H88">
            <v>71917</v>
          </cell>
          <cell r="I88">
            <v>60328</v>
          </cell>
          <cell r="J88">
            <v>209948</v>
          </cell>
          <cell r="K88">
            <v>96892</v>
          </cell>
          <cell r="L88">
            <v>74413</v>
          </cell>
          <cell r="M88">
            <v>63552</v>
          </cell>
          <cell r="N88">
            <v>234857</v>
          </cell>
          <cell r="R88">
            <v>0</v>
          </cell>
          <cell r="S88">
            <v>630835</v>
          </cell>
        </row>
        <row r="89">
          <cell r="C89">
            <v>69844</v>
          </cell>
          <cell r="D89">
            <v>74967</v>
          </cell>
          <cell r="E89">
            <v>73327</v>
          </cell>
          <cell r="F89">
            <v>218138</v>
          </cell>
          <cell r="G89">
            <v>78924</v>
          </cell>
          <cell r="H89">
            <v>73520</v>
          </cell>
          <cell r="I89">
            <v>61182</v>
          </cell>
          <cell r="J89">
            <v>213626</v>
          </cell>
          <cell r="K89">
            <v>81413</v>
          </cell>
          <cell r="L89">
            <v>79664</v>
          </cell>
          <cell r="M89">
            <v>67428</v>
          </cell>
          <cell r="N89">
            <v>228505</v>
          </cell>
          <cell r="R89">
            <v>0</v>
          </cell>
          <cell r="S89">
            <v>660269</v>
          </cell>
        </row>
        <row r="90">
          <cell r="C90">
            <v>465799</v>
          </cell>
          <cell r="D90">
            <v>468313</v>
          </cell>
          <cell r="E90">
            <v>449374</v>
          </cell>
          <cell r="F90">
            <v>1383486</v>
          </cell>
          <cell r="G90">
            <v>486146</v>
          </cell>
          <cell r="H90">
            <v>467222</v>
          </cell>
          <cell r="I90">
            <v>378967</v>
          </cell>
          <cell r="J90">
            <v>1332335</v>
          </cell>
          <cell r="K90">
            <v>484373</v>
          </cell>
          <cell r="L90">
            <v>478935</v>
          </cell>
          <cell r="M90">
            <v>441009</v>
          </cell>
          <cell r="N90">
            <v>1404317</v>
          </cell>
          <cell r="R90">
            <v>0</v>
          </cell>
          <cell r="S90">
            <v>4120138</v>
          </cell>
        </row>
        <row r="91">
          <cell r="C91">
            <v>695.17</v>
          </cell>
          <cell r="D91">
            <v>709</v>
          </cell>
          <cell r="E91">
            <v>692.33</v>
          </cell>
          <cell r="F91">
            <v>2096.5</v>
          </cell>
          <cell r="G91">
            <v>722</v>
          </cell>
          <cell r="H91">
            <v>712</v>
          </cell>
          <cell r="I91">
            <v>594</v>
          </cell>
          <cell r="J91">
            <v>2028</v>
          </cell>
          <cell r="K91">
            <v>730.5</v>
          </cell>
          <cell r="L91">
            <v>696.5</v>
          </cell>
          <cell r="M91">
            <v>723.5</v>
          </cell>
          <cell r="N91">
            <v>2150.5</v>
          </cell>
          <cell r="R91">
            <v>0</v>
          </cell>
          <cell r="S91">
            <v>6275</v>
          </cell>
        </row>
        <row r="92">
          <cell r="C92">
            <v>689.75</v>
          </cell>
          <cell r="D92">
            <v>684.83</v>
          </cell>
          <cell r="E92">
            <v>658</v>
          </cell>
          <cell r="F92">
            <v>2032.58</v>
          </cell>
          <cell r="G92">
            <v>701.42</v>
          </cell>
          <cell r="H92">
            <v>672.08</v>
          </cell>
          <cell r="I92">
            <v>548.66999999999996</v>
          </cell>
          <cell r="J92">
            <v>1922.17</v>
          </cell>
          <cell r="K92">
            <v>694.33</v>
          </cell>
          <cell r="L92">
            <v>687.25</v>
          </cell>
          <cell r="M92">
            <v>642.25</v>
          </cell>
          <cell r="N92">
            <v>2023.83</v>
          </cell>
          <cell r="R92">
            <v>0</v>
          </cell>
          <cell r="S92">
            <v>5978.58</v>
          </cell>
        </row>
        <row r="93">
          <cell r="C93">
            <v>10.15</v>
          </cell>
          <cell r="D93">
            <v>10.18</v>
          </cell>
          <cell r="E93">
            <v>10.26</v>
          </cell>
          <cell r="F93">
            <v>10.196666666666665</v>
          </cell>
          <cell r="G93">
            <v>10.34</v>
          </cell>
          <cell r="H93">
            <v>10.06</v>
          </cell>
          <cell r="I93">
            <v>10.43</v>
          </cell>
          <cell r="J93">
            <v>10.276666666666666</v>
          </cell>
          <cell r="K93">
            <v>10.74</v>
          </cell>
          <cell r="L93">
            <v>10.58</v>
          </cell>
          <cell r="M93">
            <v>10.45</v>
          </cell>
          <cell r="N93">
            <v>10.59</v>
          </cell>
          <cell r="R93" t="e">
            <v>#DIV/0!</v>
          </cell>
          <cell r="S93">
            <v>10.354444444444445</v>
          </cell>
        </row>
        <row r="94">
          <cell r="C94">
            <v>53.31</v>
          </cell>
          <cell r="D94">
            <v>53.43</v>
          </cell>
          <cell r="E94">
            <v>53.4</v>
          </cell>
          <cell r="F94">
            <v>53.38</v>
          </cell>
          <cell r="G94">
            <v>52.91</v>
          </cell>
          <cell r="H94">
            <v>52.18</v>
          </cell>
          <cell r="I94">
            <v>53.62</v>
          </cell>
          <cell r="J94">
            <v>52.903333333333336</v>
          </cell>
          <cell r="K94">
            <v>53.27</v>
          </cell>
          <cell r="L94">
            <v>53.32</v>
          </cell>
          <cell r="M94">
            <v>52.65</v>
          </cell>
          <cell r="N94">
            <v>53.080000000000005</v>
          </cell>
          <cell r="R94" t="e">
            <v>#DIV/0!</v>
          </cell>
          <cell r="S94">
            <v>53.121111111111105</v>
          </cell>
        </row>
        <row r="95">
          <cell r="C95">
            <v>10.95</v>
          </cell>
          <cell r="D95">
            <v>10.74</v>
          </cell>
          <cell r="E95">
            <v>10.7</v>
          </cell>
          <cell r="F95">
            <v>10.796666666666667</v>
          </cell>
          <cell r="G95">
            <v>11.11</v>
          </cell>
          <cell r="H95">
            <v>12.01</v>
          </cell>
          <cell r="I95">
            <v>10.63</v>
          </cell>
          <cell r="J95">
            <v>11.25</v>
          </cell>
          <cell r="K95">
            <v>10.84</v>
          </cell>
          <cell r="L95">
            <v>10.57</v>
          </cell>
          <cell r="M95">
            <v>11.13</v>
          </cell>
          <cell r="N95">
            <v>10.846666666666666</v>
          </cell>
          <cell r="R95" t="e">
            <v>#DIV/0!</v>
          </cell>
          <cell r="S95">
            <v>10.964444444444446</v>
          </cell>
        </row>
        <row r="96">
          <cell r="C96">
            <v>1.68</v>
          </cell>
          <cell r="D96">
            <v>1.74</v>
          </cell>
          <cell r="E96">
            <v>1.71</v>
          </cell>
          <cell r="F96">
            <v>1.71</v>
          </cell>
          <cell r="G96">
            <v>1.64</v>
          </cell>
          <cell r="H96">
            <v>1.61</v>
          </cell>
          <cell r="I96">
            <v>1.73</v>
          </cell>
          <cell r="J96">
            <v>1.6600000000000001</v>
          </cell>
          <cell r="K96">
            <v>1.73</v>
          </cell>
          <cell r="L96">
            <v>1.69</v>
          </cell>
          <cell r="M96">
            <v>1.64</v>
          </cell>
          <cell r="N96">
            <v>1.6866666666666665</v>
          </cell>
          <cell r="R96" t="e">
            <v>#DIV/0!</v>
          </cell>
          <cell r="S96">
            <v>1.6855555555555555</v>
          </cell>
        </row>
        <row r="97">
          <cell r="C97">
            <v>74.569999999999993</v>
          </cell>
          <cell r="D97">
            <v>74.44</v>
          </cell>
          <cell r="E97">
            <v>74.400000000000006</v>
          </cell>
          <cell r="F97">
            <v>74.47</v>
          </cell>
          <cell r="G97">
            <v>74.349999999999994</v>
          </cell>
          <cell r="H97">
            <v>74.510000000000005</v>
          </cell>
          <cell r="I97">
            <v>74.33</v>
          </cell>
          <cell r="J97">
            <v>74.396666666666661</v>
          </cell>
          <cell r="K97">
            <v>74.569999999999993</v>
          </cell>
          <cell r="L97">
            <v>74.39</v>
          </cell>
          <cell r="M97">
            <v>74.36</v>
          </cell>
          <cell r="N97">
            <v>74.44</v>
          </cell>
          <cell r="R97" t="e">
            <v>#DIV/0!</v>
          </cell>
          <cell r="S97">
            <v>74.435555555555553</v>
          </cell>
        </row>
        <row r="101">
          <cell r="C101">
            <v>67879</v>
          </cell>
          <cell r="D101">
            <v>78974</v>
          </cell>
          <cell r="E101">
            <v>72920</v>
          </cell>
          <cell r="F101">
            <v>219773</v>
          </cell>
          <cell r="G101">
            <v>71879</v>
          </cell>
          <cell r="H101">
            <v>72869</v>
          </cell>
          <cell r="I101">
            <v>53509</v>
          </cell>
          <cell r="J101">
            <v>198257</v>
          </cell>
          <cell r="K101">
            <v>69857</v>
          </cell>
          <cell r="L101">
            <v>63271</v>
          </cell>
          <cell r="M101">
            <v>73410</v>
          </cell>
          <cell r="N101">
            <v>206538</v>
          </cell>
          <cell r="R101">
            <v>0</v>
          </cell>
          <cell r="S101">
            <v>624568</v>
          </cell>
        </row>
        <row r="102">
          <cell r="C102">
            <v>63445</v>
          </cell>
          <cell r="D102">
            <v>67178</v>
          </cell>
          <cell r="E102">
            <v>47944</v>
          </cell>
          <cell r="F102">
            <v>178567</v>
          </cell>
          <cell r="G102">
            <v>66563</v>
          </cell>
          <cell r="H102">
            <v>67629</v>
          </cell>
          <cell r="I102">
            <v>64109</v>
          </cell>
          <cell r="J102">
            <v>198301</v>
          </cell>
          <cell r="K102">
            <v>67430</v>
          </cell>
          <cell r="L102">
            <v>62293</v>
          </cell>
          <cell r="M102">
            <v>64262</v>
          </cell>
          <cell r="N102">
            <v>193985</v>
          </cell>
          <cell r="R102">
            <v>0</v>
          </cell>
          <cell r="S102">
            <v>570853</v>
          </cell>
        </row>
        <row r="103">
          <cell r="C103">
            <v>242160</v>
          </cell>
          <cell r="D103">
            <v>247969</v>
          </cell>
          <cell r="E103">
            <v>224339</v>
          </cell>
          <cell r="F103">
            <v>714468</v>
          </cell>
          <cell r="G103">
            <v>252629</v>
          </cell>
          <cell r="H103">
            <v>235339</v>
          </cell>
          <cell r="I103">
            <v>214848</v>
          </cell>
          <cell r="J103">
            <v>702816</v>
          </cell>
          <cell r="K103">
            <v>249793</v>
          </cell>
          <cell r="L103">
            <v>234635</v>
          </cell>
          <cell r="M103">
            <v>219675</v>
          </cell>
          <cell r="N103">
            <v>704103</v>
          </cell>
          <cell r="R103">
            <v>0</v>
          </cell>
          <cell r="S103">
            <v>2121387</v>
          </cell>
        </row>
        <row r="104">
          <cell r="C104">
            <v>700</v>
          </cell>
          <cell r="D104">
            <v>729.83</v>
          </cell>
          <cell r="E104">
            <v>707.08</v>
          </cell>
          <cell r="F104">
            <v>2136.91</v>
          </cell>
          <cell r="G104">
            <v>731.5</v>
          </cell>
          <cell r="H104">
            <v>744</v>
          </cell>
          <cell r="I104">
            <v>632.16999999999996</v>
          </cell>
          <cell r="J104">
            <v>2107.67</v>
          </cell>
          <cell r="K104">
            <v>732</v>
          </cell>
          <cell r="L104">
            <v>698.17</v>
          </cell>
          <cell r="M104">
            <v>730.08</v>
          </cell>
          <cell r="N104">
            <v>2160.25</v>
          </cell>
          <cell r="R104">
            <v>0</v>
          </cell>
          <cell r="S104">
            <v>6404.83</v>
          </cell>
        </row>
        <row r="105">
          <cell r="C105">
            <v>707.83</v>
          </cell>
          <cell r="D105">
            <v>729.17</v>
          </cell>
          <cell r="E105">
            <v>631.33000000000004</v>
          </cell>
          <cell r="F105">
            <v>2068.33</v>
          </cell>
          <cell r="G105">
            <v>729.25</v>
          </cell>
          <cell r="H105">
            <v>727.83</v>
          </cell>
          <cell r="I105">
            <v>707.33</v>
          </cell>
          <cell r="J105">
            <v>2164.41</v>
          </cell>
          <cell r="K105">
            <v>731.5</v>
          </cell>
          <cell r="L105">
            <v>706.17</v>
          </cell>
          <cell r="M105">
            <v>728.83</v>
          </cell>
          <cell r="N105">
            <v>2166.5</v>
          </cell>
          <cell r="R105">
            <v>0</v>
          </cell>
          <cell r="S105">
            <v>6399.24</v>
          </cell>
        </row>
        <row r="106">
          <cell r="C106">
            <v>701.75</v>
          </cell>
          <cell r="D106">
            <v>732.17</v>
          </cell>
          <cell r="E106">
            <v>702.17</v>
          </cell>
          <cell r="F106">
            <v>2136.09</v>
          </cell>
          <cell r="G106">
            <v>732.83</v>
          </cell>
          <cell r="H106">
            <v>728.67</v>
          </cell>
          <cell r="I106">
            <v>707.33</v>
          </cell>
          <cell r="J106">
            <v>2168.83</v>
          </cell>
          <cell r="K106">
            <v>744</v>
          </cell>
          <cell r="L106">
            <v>702.83</v>
          </cell>
          <cell r="M106">
            <v>729.5</v>
          </cell>
          <cell r="N106">
            <v>2176.33</v>
          </cell>
          <cell r="R106">
            <v>0</v>
          </cell>
          <cell r="S106">
            <v>6481.25</v>
          </cell>
        </row>
        <row r="107">
          <cell r="C107">
            <v>156268</v>
          </cell>
          <cell r="D107">
            <v>161050</v>
          </cell>
          <cell r="E107">
            <v>141564</v>
          </cell>
          <cell r="F107">
            <v>458882</v>
          </cell>
          <cell r="G107">
            <v>159783</v>
          </cell>
          <cell r="H107">
            <v>158385</v>
          </cell>
          <cell r="I107">
            <v>141904</v>
          </cell>
          <cell r="J107">
            <v>460072</v>
          </cell>
          <cell r="K107">
            <v>160788</v>
          </cell>
          <cell r="L107">
            <v>150673</v>
          </cell>
          <cell r="M107">
            <v>149888</v>
          </cell>
          <cell r="N107">
            <v>461349</v>
          </cell>
          <cell r="R107">
            <v>0</v>
          </cell>
          <cell r="S107">
            <v>1380303</v>
          </cell>
        </row>
        <row r="108">
          <cell r="C108">
            <v>5766</v>
          </cell>
          <cell r="D108">
            <v>7415</v>
          </cell>
          <cell r="E108">
            <v>7511</v>
          </cell>
          <cell r="F108">
            <v>20692</v>
          </cell>
          <cell r="G108">
            <v>7249</v>
          </cell>
          <cell r="H108">
            <v>7422</v>
          </cell>
          <cell r="I108">
            <v>4138</v>
          </cell>
          <cell r="J108">
            <v>18809</v>
          </cell>
          <cell r="K108">
            <v>6203</v>
          </cell>
          <cell r="L108">
            <v>5569</v>
          </cell>
          <cell r="M108">
            <v>6646</v>
          </cell>
          <cell r="N108">
            <v>18418</v>
          </cell>
          <cell r="R108">
            <v>0</v>
          </cell>
          <cell r="S108">
            <v>57919</v>
          </cell>
        </row>
        <row r="109">
          <cell r="C109">
            <v>5229</v>
          </cell>
          <cell r="D109">
            <v>5338</v>
          </cell>
          <cell r="E109">
            <v>3548</v>
          </cell>
          <cell r="F109">
            <v>14115</v>
          </cell>
          <cell r="G109">
            <v>5396</v>
          </cell>
          <cell r="H109">
            <v>5306</v>
          </cell>
          <cell r="I109">
            <v>4442</v>
          </cell>
          <cell r="J109">
            <v>15144</v>
          </cell>
          <cell r="K109">
            <v>5368</v>
          </cell>
          <cell r="L109">
            <v>5233</v>
          </cell>
          <cell r="M109">
            <v>4991</v>
          </cell>
          <cell r="N109">
            <v>15592</v>
          </cell>
          <cell r="R109">
            <v>0</v>
          </cell>
          <cell r="S109">
            <v>44851</v>
          </cell>
        </row>
        <row r="110">
          <cell r="C110">
            <v>36309</v>
          </cell>
          <cell r="D110">
            <v>37069</v>
          </cell>
          <cell r="E110">
            <v>35670</v>
          </cell>
          <cell r="F110">
            <v>109048</v>
          </cell>
          <cell r="G110">
            <v>39758</v>
          </cell>
          <cell r="H110">
            <v>33314</v>
          </cell>
          <cell r="I110">
            <v>30718</v>
          </cell>
          <cell r="J110">
            <v>103790</v>
          </cell>
          <cell r="K110">
            <v>35928</v>
          </cell>
          <cell r="L110">
            <v>34426</v>
          </cell>
          <cell r="M110">
            <v>32862</v>
          </cell>
          <cell r="N110">
            <v>103216</v>
          </cell>
          <cell r="R110">
            <v>0</v>
          </cell>
          <cell r="S110">
            <v>316054</v>
          </cell>
        </row>
        <row r="111">
          <cell r="C111">
            <v>461965</v>
          </cell>
          <cell r="D111">
            <v>484140</v>
          </cell>
          <cell r="E111">
            <v>417227</v>
          </cell>
          <cell r="F111">
            <v>1363332</v>
          </cell>
          <cell r="G111">
            <v>490970</v>
          </cell>
          <cell r="H111">
            <v>476213</v>
          </cell>
          <cell r="I111">
            <v>399287</v>
          </cell>
          <cell r="J111">
            <v>1366470</v>
          </cell>
          <cell r="K111">
            <v>456972</v>
          </cell>
          <cell r="L111">
            <v>440675</v>
          </cell>
          <cell r="M111">
            <v>442396</v>
          </cell>
          <cell r="N111">
            <v>1340043</v>
          </cell>
          <cell r="R111">
            <v>0</v>
          </cell>
          <cell r="S111">
            <v>4069845</v>
          </cell>
        </row>
        <row r="112">
          <cell r="C112">
            <v>166380</v>
          </cell>
          <cell r="D112">
            <v>185009</v>
          </cell>
          <cell r="E112">
            <v>134633</v>
          </cell>
          <cell r="F112">
            <v>486022</v>
          </cell>
          <cell r="G112">
            <v>105779</v>
          </cell>
          <cell r="H112">
            <v>144075</v>
          </cell>
          <cell r="I112">
            <v>151120</v>
          </cell>
          <cell r="J112">
            <v>400974</v>
          </cell>
          <cell r="K112">
            <v>190358</v>
          </cell>
          <cell r="L112">
            <v>187000</v>
          </cell>
          <cell r="M112">
            <v>178616</v>
          </cell>
          <cell r="N112">
            <v>555974</v>
          </cell>
          <cell r="R112">
            <v>0</v>
          </cell>
          <cell r="S112">
            <v>1442970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R113">
            <v>0</v>
          </cell>
          <cell r="S113">
            <v>0</v>
          </cell>
        </row>
        <row r="115">
          <cell r="C115">
            <v>19407</v>
          </cell>
          <cell r="D115">
            <v>12180</v>
          </cell>
          <cell r="E115">
            <v>48723</v>
          </cell>
          <cell r="F115">
            <v>80310</v>
          </cell>
          <cell r="G115">
            <v>87745</v>
          </cell>
          <cell r="H115">
            <v>40767</v>
          </cell>
          <cell r="I115">
            <v>30452</v>
          </cell>
          <cell r="J115">
            <v>158964</v>
          </cell>
          <cell r="K115">
            <v>27688</v>
          </cell>
          <cell r="L115">
            <v>0</v>
          </cell>
          <cell r="M115">
            <v>2071</v>
          </cell>
          <cell r="N115">
            <v>29759</v>
          </cell>
          <cell r="R115">
            <v>0</v>
          </cell>
          <cell r="S115">
            <v>269033</v>
          </cell>
        </row>
        <row r="116">
          <cell r="C116">
            <v>2153</v>
          </cell>
          <cell r="D116">
            <v>2138</v>
          </cell>
          <cell r="E116">
            <v>2185</v>
          </cell>
          <cell r="F116">
            <v>6476</v>
          </cell>
          <cell r="G116">
            <v>1821</v>
          </cell>
          <cell r="H116">
            <v>2325</v>
          </cell>
          <cell r="I116">
            <v>2016</v>
          </cell>
          <cell r="J116">
            <v>6162</v>
          </cell>
          <cell r="K116">
            <v>554</v>
          </cell>
          <cell r="L116">
            <v>1006</v>
          </cell>
          <cell r="M116">
            <v>1717</v>
          </cell>
          <cell r="N116">
            <v>3277</v>
          </cell>
          <cell r="R116">
            <v>0</v>
          </cell>
          <cell r="S116">
            <v>15915</v>
          </cell>
        </row>
        <row r="117">
          <cell r="C117">
            <v>30</v>
          </cell>
          <cell r="D117">
            <v>0</v>
          </cell>
          <cell r="E117">
            <v>0</v>
          </cell>
          <cell r="F117">
            <v>30</v>
          </cell>
          <cell r="G117">
            <v>0</v>
          </cell>
          <cell r="H117">
            <v>145</v>
          </cell>
          <cell r="I117">
            <v>15</v>
          </cell>
          <cell r="J117">
            <v>160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R117">
            <v>0</v>
          </cell>
          <cell r="S117">
            <v>190</v>
          </cell>
        </row>
        <row r="120">
          <cell r="C120">
            <v>1111</v>
          </cell>
          <cell r="D120">
            <v>1104</v>
          </cell>
          <cell r="E120">
            <v>1078</v>
          </cell>
          <cell r="F120">
            <v>1097.6666666666667</v>
          </cell>
          <cell r="G120">
            <v>1097</v>
          </cell>
          <cell r="H120">
            <v>1100</v>
          </cell>
          <cell r="I120">
            <v>1089</v>
          </cell>
          <cell r="J120">
            <v>1095.3333333333333</v>
          </cell>
          <cell r="K120">
            <v>1072</v>
          </cell>
          <cell r="L120">
            <v>1092</v>
          </cell>
          <cell r="M120">
            <v>1098</v>
          </cell>
          <cell r="N120">
            <v>1087.3333333333333</v>
          </cell>
          <cell r="R120" t="e">
            <v>#DIV/0!</v>
          </cell>
        </row>
        <row r="121">
          <cell r="C121">
            <v>143644</v>
          </cell>
          <cell r="D121">
            <v>150134</v>
          </cell>
          <cell r="E121">
            <v>132903</v>
          </cell>
          <cell r="F121">
            <v>426681</v>
          </cell>
          <cell r="G121">
            <v>152345</v>
          </cell>
          <cell r="H121">
            <v>151851</v>
          </cell>
          <cell r="I121">
            <v>133146</v>
          </cell>
          <cell r="J121">
            <v>437342</v>
          </cell>
          <cell r="K121">
            <v>152418</v>
          </cell>
          <cell r="L121">
            <v>142703</v>
          </cell>
          <cell r="M121">
            <v>141013</v>
          </cell>
          <cell r="N121">
            <v>436134</v>
          </cell>
          <cell r="R121">
            <v>0</v>
          </cell>
          <cell r="S121">
            <v>1300157</v>
          </cell>
        </row>
        <row r="122">
          <cell r="C122">
            <v>0.99</v>
          </cell>
          <cell r="D122">
            <v>1</v>
          </cell>
          <cell r="E122">
            <v>1</v>
          </cell>
          <cell r="F122">
            <v>0.9966666666666667</v>
          </cell>
          <cell r="G122">
            <v>0.99</v>
          </cell>
          <cell r="H122">
            <v>0.99</v>
          </cell>
          <cell r="I122">
            <v>1</v>
          </cell>
          <cell r="J122">
            <v>0.99333333333333329</v>
          </cell>
          <cell r="K122">
            <v>1</v>
          </cell>
          <cell r="L122">
            <v>1</v>
          </cell>
          <cell r="M122">
            <v>1</v>
          </cell>
          <cell r="N122">
            <v>1</v>
          </cell>
          <cell r="R122" t="e">
            <v>#DIV/0!</v>
          </cell>
          <cell r="S122">
            <v>0.9966666666666667</v>
          </cell>
        </row>
        <row r="123">
          <cell r="C123">
            <v>67</v>
          </cell>
          <cell r="D123">
            <v>59</v>
          </cell>
          <cell r="E123">
            <v>34</v>
          </cell>
          <cell r="F123">
            <v>160</v>
          </cell>
          <cell r="G123">
            <v>53</v>
          </cell>
          <cell r="H123">
            <v>65</v>
          </cell>
          <cell r="I123">
            <v>53</v>
          </cell>
          <cell r="J123">
            <v>171</v>
          </cell>
          <cell r="K123">
            <v>93</v>
          </cell>
          <cell r="L123">
            <v>55</v>
          </cell>
          <cell r="M123">
            <v>34</v>
          </cell>
          <cell r="N123">
            <v>182</v>
          </cell>
          <cell r="R123">
            <v>0</v>
          </cell>
          <cell r="S123">
            <v>513</v>
          </cell>
        </row>
        <row r="124">
          <cell r="C124">
            <v>15</v>
          </cell>
          <cell r="D124">
            <v>21</v>
          </cell>
          <cell r="E124">
            <v>16</v>
          </cell>
          <cell r="F124">
            <v>52</v>
          </cell>
          <cell r="G124">
            <v>32</v>
          </cell>
          <cell r="H124">
            <v>26</v>
          </cell>
          <cell r="I124">
            <v>38</v>
          </cell>
          <cell r="J124">
            <v>96</v>
          </cell>
          <cell r="K124">
            <v>14</v>
          </cell>
          <cell r="L124">
            <v>20</v>
          </cell>
          <cell r="M124">
            <v>17</v>
          </cell>
          <cell r="N124">
            <v>51</v>
          </cell>
          <cell r="R124">
            <v>0</v>
          </cell>
          <cell r="S124">
            <v>199</v>
          </cell>
        </row>
        <row r="125">
          <cell r="C125">
            <v>975</v>
          </cell>
          <cell r="D125">
            <v>1004</v>
          </cell>
          <cell r="E125">
            <v>859</v>
          </cell>
          <cell r="F125">
            <v>2838</v>
          </cell>
          <cell r="G125">
            <v>1019</v>
          </cell>
          <cell r="H125">
            <v>1025</v>
          </cell>
          <cell r="I125">
            <v>902</v>
          </cell>
          <cell r="J125">
            <v>2946</v>
          </cell>
          <cell r="K125">
            <v>1048</v>
          </cell>
          <cell r="L125">
            <v>1022</v>
          </cell>
          <cell r="M125">
            <v>1012</v>
          </cell>
          <cell r="N125">
            <v>3082</v>
          </cell>
          <cell r="R125">
            <v>0</v>
          </cell>
          <cell r="S125">
            <v>8866</v>
          </cell>
        </row>
        <row r="126">
          <cell r="C126">
            <v>635244</v>
          </cell>
          <cell r="D126">
            <v>670245</v>
          </cell>
          <cell r="E126">
            <v>586560</v>
          </cell>
          <cell r="F126">
            <v>1892049</v>
          </cell>
          <cell r="G126">
            <v>664623</v>
          </cell>
          <cell r="H126">
            <v>638951.71032198705</v>
          </cell>
          <cell r="I126">
            <v>565518.02461563493</v>
          </cell>
          <cell r="J126">
            <v>1869092.734937622</v>
          </cell>
          <cell r="K126">
            <v>658057</v>
          </cell>
          <cell r="L126">
            <v>612757.5314413493</v>
          </cell>
          <cell r="M126">
            <v>607672.1993071211</v>
          </cell>
          <cell r="N126">
            <v>1878486.7307484704</v>
          </cell>
          <cell r="R126">
            <v>0</v>
          </cell>
          <cell r="S126">
            <v>5639628.4656860922</v>
          </cell>
        </row>
        <row r="127">
          <cell r="C127">
            <v>2</v>
          </cell>
          <cell r="D127">
            <v>3</v>
          </cell>
          <cell r="E127">
            <v>1</v>
          </cell>
          <cell r="F127">
            <v>6</v>
          </cell>
          <cell r="G127">
            <v>2</v>
          </cell>
          <cell r="H127">
            <v>1</v>
          </cell>
          <cell r="I127">
            <v>1</v>
          </cell>
          <cell r="J127">
            <v>4</v>
          </cell>
          <cell r="K127">
            <v>1</v>
          </cell>
          <cell r="L127">
            <v>2</v>
          </cell>
          <cell r="M127">
            <v>1</v>
          </cell>
          <cell r="N127">
            <v>4</v>
          </cell>
          <cell r="R127">
            <v>0</v>
          </cell>
          <cell r="S127">
            <v>14</v>
          </cell>
        </row>
        <row r="128">
          <cell r="C128">
            <v>1351</v>
          </cell>
          <cell r="D128">
            <v>1482</v>
          </cell>
          <cell r="E128">
            <v>717</v>
          </cell>
          <cell r="F128">
            <v>3550</v>
          </cell>
          <cell r="G128">
            <v>805</v>
          </cell>
          <cell r="H128">
            <v>723</v>
          </cell>
          <cell r="I128">
            <v>567</v>
          </cell>
          <cell r="J128">
            <v>2095</v>
          </cell>
          <cell r="K128">
            <v>767</v>
          </cell>
          <cell r="L128">
            <v>690</v>
          </cell>
          <cell r="M128">
            <v>385</v>
          </cell>
          <cell r="N128">
            <v>1842</v>
          </cell>
          <cell r="R128">
            <v>0</v>
          </cell>
          <cell r="S128">
            <v>7487</v>
          </cell>
        </row>
        <row r="129">
          <cell r="C129">
            <v>0</v>
          </cell>
          <cell r="D129">
            <v>3</v>
          </cell>
          <cell r="E129">
            <v>0</v>
          </cell>
          <cell r="F129">
            <v>3</v>
          </cell>
          <cell r="G129">
            <v>3</v>
          </cell>
          <cell r="H129">
            <v>0</v>
          </cell>
          <cell r="I129">
            <v>0</v>
          </cell>
          <cell r="J129">
            <v>3</v>
          </cell>
          <cell r="K129">
            <v>2</v>
          </cell>
          <cell r="L129">
            <v>0</v>
          </cell>
          <cell r="M129">
            <v>1</v>
          </cell>
          <cell r="N129">
            <v>3</v>
          </cell>
          <cell r="R129">
            <v>0</v>
          </cell>
          <cell r="S129">
            <v>9</v>
          </cell>
        </row>
        <row r="130">
          <cell r="C130">
            <v>0</v>
          </cell>
          <cell r="D130">
            <v>1648</v>
          </cell>
          <cell r="E130">
            <v>0</v>
          </cell>
          <cell r="F130">
            <v>1648</v>
          </cell>
          <cell r="G130">
            <v>1196</v>
          </cell>
          <cell r="H130">
            <v>0</v>
          </cell>
          <cell r="I130">
            <v>0</v>
          </cell>
          <cell r="J130">
            <v>1196</v>
          </cell>
          <cell r="K130">
            <v>806</v>
          </cell>
          <cell r="L130">
            <v>0</v>
          </cell>
          <cell r="M130">
            <v>387</v>
          </cell>
          <cell r="N130">
            <v>1193</v>
          </cell>
          <cell r="R130">
            <v>0</v>
          </cell>
          <cell r="S130">
            <v>4037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1</v>
          </cell>
          <cell r="H131">
            <v>0</v>
          </cell>
          <cell r="I131">
            <v>0</v>
          </cell>
          <cell r="J131">
            <v>1</v>
          </cell>
          <cell r="K131">
            <v>1</v>
          </cell>
          <cell r="L131">
            <v>0</v>
          </cell>
          <cell r="M131">
            <v>0</v>
          </cell>
          <cell r="N131">
            <v>1</v>
          </cell>
          <cell r="R131">
            <v>0</v>
          </cell>
          <cell r="S131">
            <v>2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2668</v>
          </cell>
          <cell r="H132">
            <v>0</v>
          </cell>
          <cell r="I132">
            <v>0</v>
          </cell>
          <cell r="J132">
            <v>2668</v>
          </cell>
          <cell r="K132">
            <v>2194</v>
          </cell>
          <cell r="L132">
            <v>0</v>
          </cell>
          <cell r="M132">
            <v>0</v>
          </cell>
          <cell r="N132">
            <v>2194</v>
          </cell>
          <cell r="R132">
            <v>0</v>
          </cell>
          <cell r="S132">
            <v>4862</v>
          </cell>
        </row>
        <row r="134">
          <cell r="C134">
            <v>70</v>
          </cell>
          <cell r="D134">
            <v>70</v>
          </cell>
          <cell r="E134">
            <v>69</v>
          </cell>
          <cell r="F134">
            <v>209</v>
          </cell>
          <cell r="G134">
            <v>71</v>
          </cell>
          <cell r="H134">
            <v>70</v>
          </cell>
          <cell r="I134">
            <v>69</v>
          </cell>
          <cell r="J134">
            <v>210</v>
          </cell>
          <cell r="K134">
            <v>70</v>
          </cell>
          <cell r="L134">
            <v>70</v>
          </cell>
          <cell r="M134">
            <v>70</v>
          </cell>
          <cell r="N134">
            <v>210</v>
          </cell>
          <cell r="S134">
            <v>629</v>
          </cell>
        </row>
        <row r="135">
          <cell r="C135">
            <v>43943</v>
          </cell>
          <cell r="D135">
            <v>37169</v>
          </cell>
          <cell r="E135">
            <v>41533</v>
          </cell>
          <cell r="F135">
            <v>122645</v>
          </cell>
          <cell r="G135">
            <v>47416</v>
          </cell>
          <cell r="H135">
            <v>41993</v>
          </cell>
          <cell r="I135">
            <v>44373</v>
          </cell>
          <cell r="J135">
            <v>133782</v>
          </cell>
          <cell r="K135">
            <v>43952</v>
          </cell>
          <cell r="L135">
            <v>35541</v>
          </cell>
          <cell r="M135">
            <v>36373</v>
          </cell>
          <cell r="N135">
            <v>115866</v>
          </cell>
          <cell r="S135">
            <v>372293</v>
          </cell>
        </row>
        <row r="136">
          <cell r="C136">
            <v>640</v>
          </cell>
          <cell r="D136">
            <v>537</v>
          </cell>
          <cell r="E136">
            <v>603</v>
          </cell>
          <cell r="F136">
            <v>1780</v>
          </cell>
          <cell r="G136">
            <v>685</v>
          </cell>
          <cell r="H136">
            <v>613</v>
          </cell>
          <cell r="I136">
            <v>650</v>
          </cell>
          <cell r="J136">
            <v>1948</v>
          </cell>
          <cell r="K136">
            <v>640</v>
          </cell>
          <cell r="L136">
            <v>531</v>
          </cell>
          <cell r="M136">
            <v>526</v>
          </cell>
          <cell r="N136">
            <v>1697</v>
          </cell>
          <cell r="S136">
            <v>5425</v>
          </cell>
        </row>
        <row r="137">
          <cell r="C137">
            <v>47182</v>
          </cell>
          <cell r="D137">
            <v>39848</v>
          </cell>
          <cell r="E137">
            <v>44597</v>
          </cell>
          <cell r="F137">
            <v>131627</v>
          </cell>
          <cell r="G137">
            <v>50879</v>
          </cell>
          <cell r="H137">
            <v>45050</v>
          </cell>
          <cell r="I137">
            <v>47642</v>
          </cell>
          <cell r="J137">
            <v>143571</v>
          </cell>
          <cell r="K137">
            <v>47203</v>
          </cell>
          <cell r="L137">
            <v>38185</v>
          </cell>
          <cell r="M137">
            <v>39095</v>
          </cell>
          <cell r="N137">
            <v>124483</v>
          </cell>
          <cell r="S137">
            <v>399681</v>
          </cell>
        </row>
        <row r="138">
          <cell r="C138">
            <v>2542</v>
          </cell>
          <cell r="D138">
            <v>2262</v>
          </cell>
          <cell r="E138">
            <v>2470</v>
          </cell>
          <cell r="F138">
            <v>7274</v>
          </cell>
          <cell r="G138">
            <v>2806</v>
          </cell>
          <cell r="H138">
            <v>2468</v>
          </cell>
          <cell r="I138">
            <v>2578</v>
          </cell>
          <cell r="J138">
            <v>7852</v>
          </cell>
          <cell r="K138">
            <v>2571</v>
          </cell>
          <cell r="L138">
            <v>2086</v>
          </cell>
          <cell r="M138">
            <v>2117</v>
          </cell>
          <cell r="N138">
            <v>6774</v>
          </cell>
          <cell r="S138">
            <v>21900</v>
          </cell>
        </row>
        <row r="139">
          <cell r="C139">
            <v>3228</v>
          </cell>
          <cell r="D139">
            <v>2410</v>
          </cell>
          <cell r="E139">
            <v>2903</v>
          </cell>
          <cell r="F139">
            <v>8541</v>
          </cell>
          <cell r="G139">
            <v>3243</v>
          </cell>
          <cell r="H139">
            <v>2787</v>
          </cell>
          <cell r="I139">
            <v>3248</v>
          </cell>
          <cell r="J139">
            <v>9278</v>
          </cell>
          <cell r="K139">
            <v>3161</v>
          </cell>
          <cell r="L139">
            <v>2545</v>
          </cell>
          <cell r="M139">
            <v>2596</v>
          </cell>
          <cell r="N139">
            <v>8302</v>
          </cell>
          <cell r="S139">
            <v>26121</v>
          </cell>
        </row>
        <row r="140">
          <cell r="C140">
            <v>1120</v>
          </cell>
          <cell r="D140">
            <v>900</v>
          </cell>
          <cell r="E140">
            <v>1094</v>
          </cell>
          <cell r="F140">
            <v>3114</v>
          </cell>
          <cell r="G140">
            <v>1239</v>
          </cell>
          <cell r="H140">
            <v>1036</v>
          </cell>
          <cell r="I140">
            <v>1226</v>
          </cell>
          <cell r="J140">
            <v>3501</v>
          </cell>
          <cell r="K140">
            <v>1164</v>
          </cell>
          <cell r="L140">
            <v>947</v>
          </cell>
          <cell r="M140">
            <v>926</v>
          </cell>
          <cell r="N140">
            <v>3037</v>
          </cell>
          <cell r="S140">
            <v>9652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N141">
            <v>0</v>
          </cell>
          <cell r="S141">
            <v>0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9.3070000000000004</v>
          </cell>
          <cell r="N142">
            <v>9.3070000000000004</v>
          </cell>
          <cell r="S142">
            <v>9.3070000000000004</v>
          </cell>
        </row>
        <row r="143">
          <cell r="C143">
            <v>281</v>
          </cell>
          <cell r="D143">
            <v>322</v>
          </cell>
          <cell r="E143">
            <v>271</v>
          </cell>
          <cell r="F143">
            <v>874</v>
          </cell>
          <cell r="G143">
            <v>316</v>
          </cell>
          <cell r="H143">
            <v>301</v>
          </cell>
          <cell r="I143">
            <v>237</v>
          </cell>
          <cell r="J143">
            <v>854</v>
          </cell>
          <cell r="K143">
            <v>281</v>
          </cell>
          <cell r="L143">
            <v>244</v>
          </cell>
          <cell r="M143">
            <v>201</v>
          </cell>
          <cell r="N143">
            <v>726</v>
          </cell>
          <cell r="S143">
            <v>2454</v>
          </cell>
        </row>
        <row r="144">
          <cell r="C144">
            <v>284</v>
          </cell>
          <cell r="D144">
            <v>239</v>
          </cell>
          <cell r="E144">
            <v>249</v>
          </cell>
          <cell r="F144">
            <v>772</v>
          </cell>
          <cell r="G144">
            <v>278</v>
          </cell>
          <cell r="H144">
            <v>259</v>
          </cell>
          <cell r="I144">
            <v>260</v>
          </cell>
          <cell r="J144">
            <v>797</v>
          </cell>
          <cell r="K144">
            <v>295</v>
          </cell>
          <cell r="L144">
            <v>252</v>
          </cell>
          <cell r="M144">
            <v>234</v>
          </cell>
          <cell r="N144">
            <v>781</v>
          </cell>
          <cell r="S144">
            <v>2350</v>
          </cell>
        </row>
        <row r="145">
          <cell r="C145">
            <v>623</v>
          </cell>
          <cell r="D145">
            <v>497</v>
          </cell>
          <cell r="E145">
            <v>583</v>
          </cell>
          <cell r="F145">
            <v>1703</v>
          </cell>
          <cell r="G145">
            <v>604</v>
          </cell>
          <cell r="H145">
            <v>431</v>
          </cell>
          <cell r="I145">
            <v>611</v>
          </cell>
          <cell r="J145">
            <v>1646</v>
          </cell>
          <cell r="K145">
            <v>480</v>
          </cell>
          <cell r="L145">
            <v>372</v>
          </cell>
          <cell r="M145">
            <v>481</v>
          </cell>
          <cell r="N145">
            <v>1333</v>
          </cell>
          <cell r="S145">
            <v>4682</v>
          </cell>
        </row>
        <row r="146">
          <cell r="C146">
            <v>394</v>
          </cell>
          <cell r="D146">
            <v>619</v>
          </cell>
          <cell r="E146">
            <v>503</v>
          </cell>
          <cell r="F146">
            <v>1516</v>
          </cell>
          <cell r="G146">
            <v>445</v>
          </cell>
          <cell r="H146">
            <v>536</v>
          </cell>
          <cell r="I146">
            <v>651</v>
          </cell>
          <cell r="J146">
            <v>1632</v>
          </cell>
          <cell r="K146">
            <v>347</v>
          </cell>
          <cell r="L146">
            <v>704</v>
          </cell>
          <cell r="M146">
            <v>392</v>
          </cell>
          <cell r="N146">
            <v>1443</v>
          </cell>
          <cell r="S146">
            <v>4591</v>
          </cell>
        </row>
        <row r="147">
          <cell r="C147">
            <v>2551020</v>
          </cell>
          <cell r="D147">
            <v>2143570</v>
          </cell>
          <cell r="E147">
            <v>2425330</v>
          </cell>
          <cell r="F147">
            <v>7119920</v>
          </cell>
          <cell r="G147">
            <v>2726190</v>
          </cell>
          <cell r="H147">
            <v>2376720</v>
          </cell>
          <cell r="I147">
            <v>2622130</v>
          </cell>
          <cell r="J147">
            <v>7725040</v>
          </cell>
          <cell r="K147">
            <v>2549780</v>
          </cell>
          <cell r="L147">
            <v>2056080</v>
          </cell>
          <cell r="M147">
            <v>2124330</v>
          </cell>
          <cell r="N147">
            <v>6730190</v>
          </cell>
          <cell r="S147">
            <v>21575150</v>
          </cell>
        </row>
        <row r="148">
          <cell r="C148">
            <v>174150</v>
          </cell>
          <cell r="D148">
            <v>149447</v>
          </cell>
          <cell r="E148">
            <v>166030</v>
          </cell>
          <cell r="F148">
            <v>489627</v>
          </cell>
          <cell r="G148">
            <v>189530</v>
          </cell>
          <cell r="H148">
            <v>164340</v>
          </cell>
          <cell r="I148">
            <v>181390</v>
          </cell>
          <cell r="J148">
            <v>535260</v>
          </cell>
          <cell r="K148">
            <v>176180</v>
          </cell>
          <cell r="L148">
            <v>141870</v>
          </cell>
          <cell r="M148">
            <v>145640</v>
          </cell>
          <cell r="N148">
            <v>463690</v>
          </cell>
          <cell r="S148">
            <v>1488577</v>
          </cell>
        </row>
        <row r="149">
          <cell r="C149">
            <v>2356600</v>
          </cell>
          <cell r="D149">
            <v>1940300</v>
          </cell>
          <cell r="E149">
            <v>2225100</v>
          </cell>
          <cell r="F149">
            <v>6522000</v>
          </cell>
          <cell r="G149">
            <v>2504400</v>
          </cell>
          <cell r="H149">
            <v>2216000</v>
          </cell>
          <cell r="I149">
            <v>2426500</v>
          </cell>
          <cell r="J149">
            <v>7146900</v>
          </cell>
          <cell r="K149">
            <v>2216000</v>
          </cell>
          <cell r="L149">
            <v>1944400</v>
          </cell>
          <cell r="M149">
            <v>1924000</v>
          </cell>
          <cell r="N149">
            <v>6084400</v>
          </cell>
          <cell r="S149">
            <v>19753300</v>
          </cell>
        </row>
        <row r="150">
          <cell r="D150">
            <v>1</v>
          </cell>
          <cell r="F150">
            <v>1</v>
          </cell>
          <cell r="H150">
            <v>1</v>
          </cell>
          <cell r="J150">
            <v>1</v>
          </cell>
          <cell r="L150">
            <v>1</v>
          </cell>
          <cell r="N150">
            <v>1</v>
          </cell>
          <cell r="S150">
            <v>3</v>
          </cell>
        </row>
        <row r="151">
          <cell r="D151">
            <v>1947</v>
          </cell>
          <cell r="F151">
            <v>1947</v>
          </cell>
          <cell r="H151">
            <v>1696</v>
          </cell>
          <cell r="J151">
            <v>1696</v>
          </cell>
          <cell r="L151">
            <v>1852</v>
          </cell>
          <cell r="N151">
            <v>1852</v>
          </cell>
          <cell r="S151">
            <v>5495</v>
          </cell>
        </row>
        <row r="152">
          <cell r="C152">
            <v>44328</v>
          </cell>
          <cell r="D152">
            <v>37559</v>
          </cell>
          <cell r="E152">
            <v>41983</v>
          </cell>
          <cell r="F152">
            <v>123870</v>
          </cell>
          <cell r="G152">
            <v>47841</v>
          </cell>
          <cell r="H152">
            <v>42485</v>
          </cell>
          <cell r="I152">
            <v>48506</v>
          </cell>
          <cell r="J152">
            <v>138832</v>
          </cell>
          <cell r="K152">
            <v>44450</v>
          </cell>
          <cell r="L152">
            <v>36027</v>
          </cell>
          <cell r="M152">
            <v>36787</v>
          </cell>
          <cell r="N152">
            <v>117264</v>
          </cell>
          <cell r="S152">
            <v>379966</v>
          </cell>
        </row>
        <row r="153">
          <cell r="C153">
            <v>49724</v>
          </cell>
          <cell r="D153">
            <v>42110</v>
          </cell>
          <cell r="E153">
            <v>47067</v>
          </cell>
          <cell r="F153">
            <v>138901</v>
          </cell>
          <cell r="G153">
            <v>53685</v>
          </cell>
          <cell r="H153">
            <v>47518</v>
          </cell>
          <cell r="I153">
            <v>50220</v>
          </cell>
          <cell r="J153">
            <v>151423</v>
          </cell>
          <cell r="K153">
            <v>49774</v>
          </cell>
          <cell r="L153">
            <v>40271</v>
          </cell>
          <cell r="M153">
            <v>41212</v>
          </cell>
          <cell r="N153">
            <v>131257</v>
          </cell>
          <cell r="S153">
            <v>421581</v>
          </cell>
        </row>
        <row r="154">
          <cell r="C154">
            <v>44717</v>
          </cell>
          <cell r="D154">
            <v>37895</v>
          </cell>
          <cell r="E154">
            <v>42355</v>
          </cell>
          <cell r="F154">
            <v>124967</v>
          </cell>
          <cell r="G154">
            <v>48262</v>
          </cell>
          <cell r="H154">
            <v>42855</v>
          </cell>
          <cell r="I154">
            <v>45249</v>
          </cell>
          <cell r="J154">
            <v>136366</v>
          </cell>
          <cell r="K154">
            <v>44845</v>
          </cell>
          <cell r="L154">
            <v>36364</v>
          </cell>
          <cell r="M154">
            <v>37121</v>
          </cell>
          <cell r="N154">
            <v>118330</v>
          </cell>
          <cell r="S154">
            <v>379663</v>
          </cell>
        </row>
        <row r="155">
          <cell r="C155">
            <v>735.51</v>
          </cell>
          <cell r="D155">
            <v>598.4</v>
          </cell>
          <cell r="E155">
            <v>678</v>
          </cell>
          <cell r="F155">
            <v>2011.9099999999999</v>
          </cell>
          <cell r="G155">
            <v>760</v>
          </cell>
          <cell r="H155">
            <v>684.4</v>
          </cell>
          <cell r="I155">
            <v>757</v>
          </cell>
          <cell r="J155">
            <v>2201.4</v>
          </cell>
          <cell r="K155">
            <v>725.4</v>
          </cell>
          <cell r="L155">
            <v>603</v>
          </cell>
          <cell r="M155">
            <v>596.20000000000005</v>
          </cell>
          <cell r="N155">
            <v>1924.6000000000001</v>
          </cell>
          <cell r="S155">
            <v>6137.91</v>
          </cell>
        </row>
        <row r="156">
          <cell r="C156">
            <v>695.12</v>
          </cell>
          <cell r="D156">
            <v>581.04999999999995</v>
          </cell>
          <cell r="E156">
            <v>635.12</v>
          </cell>
          <cell r="F156">
            <v>1911.29</v>
          </cell>
          <cell r="G156">
            <v>742.63</v>
          </cell>
          <cell r="H156">
            <v>667.04</v>
          </cell>
          <cell r="I156">
            <v>739.23</v>
          </cell>
          <cell r="J156">
            <v>2148.9</v>
          </cell>
          <cell r="K156">
            <v>708.1</v>
          </cell>
          <cell r="L156">
            <v>585.25</v>
          </cell>
          <cell r="M156">
            <v>578.44000000000005</v>
          </cell>
          <cell r="N156">
            <v>1871.79</v>
          </cell>
          <cell r="S156">
            <v>5931.98</v>
          </cell>
        </row>
        <row r="157">
          <cell r="C157">
            <v>1440</v>
          </cell>
          <cell r="D157">
            <v>1488</v>
          </cell>
          <cell r="E157">
            <v>1440</v>
          </cell>
          <cell r="F157">
            <v>4368</v>
          </cell>
          <cell r="G157">
            <v>1488</v>
          </cell>
          <cell r="H157">
            <v>1488</v>
          </cell>
          <cell r="I157">
            <v>1440</v>
          </cell>
          <cell r="J157">
            <v>4416</v>
          </cell>
          <cell r="K157">
            <v>1488</v>
          </cell>
          <cell r="L157">
            <v>1440</v>
          </cell>
          <cell r="M157">
            <v>1488</v>
          </cell>
          <cell r="N157">
            <v>4416</v>
          </cell>
          <cell r="S157">
            <v>13200</v>
          </cell>
        </row>
        <row r="158">
          <cell r="C158">
            <v>1.0720014541158294</v>
          </cell>
          <cell r="D158">
            <v>1.070060957598217</v>
          </cell>
          <cell r="E158">
            <v>1.0719917311667708</v>
          </cell>
          <cell r="F158">
            <v>1.0713513809602724</v>
          </cell>
          <cell r="G158">
            <v>1.0714300755996378</v>
          </cell>
          <cell r="H158">
            <v>1.071012528825809</v>
          </cell>
          <cell r="I158">
            <v>1.072003960217812</v>
          </cell>
          <cell r="J158">
            <v>1.0714821882144194</v>
          </cell>
          <cell r="K158">
            <v>1.072259324883013</v>
          </cell>
          <cell r="L158">
            <v>1.0722810367583051</v>
          </cell>
          <cell r="M158">
            <v>1.0727711769064017</v>
          </cell>
          <cell r="N158">
            <v>1.0724371795159067</v>
          </cell>
          <cell r="S158">
            <v>1.0717549514375659</v>
          </cell>
        </row>
        <row r="161">
          <cell r="C161">
            <v>298408</v>
          </cell>
          <cell r="D161">
            <v>312673</v>
          </cell>
          <cell r="E161">
            <v>269025</v>
          </cell>
          <cell r="F161">
            <v>880106</v>
          </cell>
          <cell r="G161">
            <v>323036</v>
          </cell>
          <cell r="H161">
            <v>313916</v>
          </cell>
          <cell r="I161">
            <v>259715</v>
          </cell>
          <cell r="J161">
            <v>896667</v>
          </cell>
          <cell r="K161">
            <v>319138</v>
          </cell>
          <cell r="L161">
            <v>309841</v>
          </cell>
          <cell r="M161">
            <v>303570</v>
          </cell>
          <cell r="N161">
            <v>932549</v>
          </cell>
          <cell r="R161">
            <v>0</v>
          </cell>
          <cell r="S161">
            <v>2709322</v>
          </cell>
        </row>
        <row r="162">
          <cell r="C162">
            <v>1871</v>
          </cell>
          <cell r="D162">
            <v>1964</v>
          </cell>
          <cell r="E162">
            <v>1681</v>
          </cell>
          <cell r="F162">
            <v>5516</v>
          </cell>
          <cell r="G162">
            <v>2033</v>
          </cell>
          <cell r="H162">
            <v>1968</v>
          </cell>
          <cell r="I162">
            <v>1635</v>
          </cell>
          <cell r="J162">
            <v>5636</v>
          </cell>
          <cell r="K162">
            <v>2024</v>
          </cell>
          <cell r="L162">
            <v>1956</v>
          </cell>
          <cell r="M162">
            <v>1928</v>
          </cell>
          <cell r="N162">
            <v>5908</v>
          </cell>
          <cell r="S162">
            <v>17060</v>
          </cell>
        </row>
        <row r="163">
          <cell r="C163">
            <v>1</v>
          </cell>
          <cell r="D163">
            <v>2</v>
          </cell>
          <cell r="E163">
            <v>2</v>
          </cell>
          <cell r="F163">
            <v>5</v>
          </cell>
          <cell r="G163">
            <v>2</v>
          </cell>
          <cell r="H163">
            <v>4</v>
          </cell>
          <cell r="I163">
            <v>3</v>
          </cell>
          <cell r="J163">
            <v>9</v>
          </cell>
          <cell r="K163">
            <v>2</v>
          </cell>
          <cell r="L163">
            <v>4</v>
          </cell>
          <cell r="M163">
            <v>1</v>
          </cell>
          <cell r="N163">
            <v>7</v>
          </cell>
          <cell r="S163">
            <v>21</v>
          </cell>
        </row>
        <row r="164">
          <cell r="C164">
            <v>308754</v>
          </cell>
          <cell r="D164">
            <v>325998</v>
          </cell>
          <cell r="E164">
            <v>277866</v>
          </cell>
          <cell r="F164">
            <v>912618</v>
          </cell>
          <cell r="G164">
            <v>330156</v>
          </cell>
          <cell r="H164">
            <v>322560</v>
          </cell>
          <cell r="I164">
            <v>266319</v>
          </cell>
          <cell r="J164">
            <v>919035</v>
          </cell>
          <cell r="K164">
            <v>328412</v>
          </cell>
          <cell r="L164">
            <v>315971</v>
          </cell>
          <cell r="M164">
            <v>310992</v>
          </cell>
          <cell r="N164">
            <v>955375</v>
          </cell>
          <cell r="S164">
            <v>2787028</v>
          </cell>
        </row>
        <row r="165">
          <cell r="C165">
            <v>23965</v>
          </cell>
          <cell r="D165">
            <v>23255</v>
          </cell>
          <cell r="E165">
            <v>22105</v>
          </cell>
          <cell r="F165">
            <v>69325</v>
          </cell>
          <cell r="G165">
            <v>29994</v>
          </cell>
          <cell r="H165">
            <v>27412</v>
          </cell>
          <cell r="I165">
            <v>23274</v>
          </cell>
          <cell r="J165">
            <v>80680</v>
          </cell>
          <cell r="K165">
            <v>27484</v>
          </cell>
          <cell r="L165">
            <v>29399</v>
          </cell>
          <cell r="M165">
            <v>27498</v>
          </cell>
          <cell r="N165">
            <v>84381</v>
          </cell>
          <cell r="S165">
            <v>234386</v>
          </cell>
        </row>
        <row r="167">
          <cell r="C167">
            <v>22</v>
          </cell>
          <cell r="D167">
            <v>8</v>
          </cell>
          <cell r="E167">
            <v>21</v>
          </cell>
          <cell r="F167">
            <v>51</v>
          </cell>
          <cell r="G167">
            <v>77</v>
          </cell>
          <cell r="H167">
            <v>74</v>
          </cell>
          <cell r="I167">
            <v>74</v>
          </cell>
          <cell r="J167">
            <v>225</v>
          </cell>
          <cell r="K167">
            <v>223</v>
          </cell>
          <cell r="L167">
            <v>189</v>
          </cell>
          <cell r="M167">
            <v>118</v>
          </cell>
          <cell r="N167">
            <v>530</v>
          </cell>
          <cell r="S167">
            <v>806</v>
          </cell>
        </row>
        <row r="168">
          <cell r="C168">
            <v>693</v>
          </cell>
          <cell r="D168">
            <v>732</v>
          </cell>
          <cell r="E168">
            <v>599</v>
          </cell>
          <cell r="F168">
            <v>2024</v>
          </cell>
          <cell r="G168">
            <v>757.35199999999998</v>
          </cell>
          <cell r="H168">
            <v>807</v>
          </cell>
          <cell r="I168">
            <v>682</v>
          </cell>
          <cell r="J168">
            <v>2246.3519999999999</v>
          </cell>
          <cell r="K168">
            <v>746</v>
          </cell>
          <cell r="L168">
            <v>698</v>
          </cell>
          <cell r="M168">
            <v>759</v>
          </cell>
          <cell r="N168">
            <v>2203</v>
          </cell>
          <cell r="S168">
            <v>6473.3519999999999</v>
          </cell>
        </row>
        <row r="169">
          <cell r="C169">
            <v>18999</v>
          </cell>
          <cell r="D169">
            <v>20400</v>
          </cell>
          <cell r="E169">
            <v>17771</v>
          </cell>
          <cell r="F169">
            <v>57170</v>
          </cell>
          <cell r="G169">
            <v>21085</v>
          </cell>
          <cell r="H169">
            <v>20115</v>
          </cell>
          <cell r="I169">
            <v>17926</v>
          </cell>
          <cell r="J169">
            <v>59126</v>
          </cell>
          <cell r="K169">
            <v>20335</v>
          </cell>
          <cell r="L169">
            <v>19607</v>
          </cell>
          <cell r="M169">
            <v>19683</v>
          </cell>
          <cell r="N169">
            <v>59625</v>
          </cell>
          <cell r="S169">
            <v>175921</v>
          </cell>
        </row>
        <row r="170">
          <cell r="C170">
            <v>11.37</v>
          </cell>
          <cell r="D170">
            <v>0</v>
          </cell>
          <cell r="E170">
            <v>0</v>
          </cell>
          <cell r="F170">
            <v>11.37</v>
          </cell>
          <cell r="G170">
            <v>439</v>
          </cell>
          <cell r="H170">
            <v>85</v>
          </cell>
          <cell r="I170">
            <v>520</v>
          </cell>
          <cell r="J170">
            <v>1044</v>
          </cell>
          <cell r="K170">
            <v>1083</v>
          </cell>
          <cell r="L170">
            <v>1304</v>
          </cell>
          <cell r="M170">
            <v>591</v>
          </cell>
          <cell r="N170">
            <v>2978</v>
          </cell>
          <cell r="R170">
            <v>0</v>
          </cell>
          <cell r="S170">
            <v>4033.37</v>
          </cell>
        </row>
        <row r="171">
          <cell r="C171">
            <v>0</v>
          </cell>
          <cell r="D171">
            <v>0</v>
          </cell>
          <cell r="E171">
            <v>14.019</v>
          </cell>
          <cell r="F171">
            <v>14.019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R171">
            <v>0</v>
          </cell>
          <cell r="S171">
            <v>14.019</v>
          </cell>
        </row>
        <row r="172"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S172">
            <v>0</v>
          </cell>
        </row>
        <row r="173">
          <cell r="C173">
            <v>8245</v>
          </cell>
          <cell r="D173">
            <v>9009</v>
          </cell>
          <cell r="E173">
            <v>7167</v>
          </cell>
          <cell r="F173">
            <v>24421</v>
          </cell>
          <cell r="G173">
            <v>9050</v>
          </cell>
          <cell r="H173">
            <v>8136</v>
          </cell>
          <cell r="I173">
            <v>7604</v>
          </cell>
          <cell r="J173">
            <v>24790</v>
          </cell>
          <cell r="K173">
            <v>9169</v>
          </cell>
          <cell r="L173">
            <v>8704</v>
          </cell>
          <cell r="M173">
            <v>9025</v>
          </cell>
          <cell r="N173">
            <v>26898</v>
          </cell>
          <cell r="S173">
            <v>76109</v>
          </cell>
        </row>
        <row r="174">
          <cell r="C174">
            <v>4701</v>
          </cell>
          <cell r="D174">
            <v>5547</v>
          </cell>
          <cell r="E174">
            <v>4723</v>
          </cell>
          <cell r="F174">
            <v>14971</v>
          </cell>
          <cell r="G174">
            <v>4669.7</v>
          </cell>
          <cell r="H174">
            <v>4138</v>
          </cell>
          <cell r="I174">
            <v>3443</v>
          </cell>
          <cell r="J174">
            <v>12250.7</v>
          </cell>
          <cell r="K174">
            <v>3401</v>
          </cell>
          <cell r="L174">
            <v>3327</v>
          </cell>
          <cell r="M174">
            <v>3828</v>
          </cell>
          <cell r="N174">
            <v>10556</v>
          </cell>
          <cell r="S174">
            <v>37777.699999999997</v>
          </cell>
        </row>
        <row r="175">
          <cell r="C175">
            <v>1427</v>
          </cell>
          <cell r="D175">
            <v>1171</v>
          </cell>
          <cell r="E175">
            <v>1837</v>
          </cell>
          <cell r="F175">
            <v>4435</v>
          </cell>
          <cell r="G175">
            <v>1648</v>
          </cell>
          <cell r="H175">
            <v>1101</v>
          </cell>
          <cell r="I175">
            <v>1759</v>
          </cell>
          <cell r="J175">
            <v>4508</v>
          </cell>
          <cell r="K175">
            <v>1248</v>
          </cell>
          <cell r="L175">
            <v>1185</v>
          </cell>
          <cell r="M175">
            <v>1146</v>
          </cell>
          <cell r="N175">
            <v>3579</v>
          </cell>
          <cell r="S175">
            <v>12522</v>
          </cell>
        </row>
        <row r="176">
          <cell r="C176">
            <v>16758000</v>
          </cell>
          <cell r="D176">
            <v>17361440</v>
          </cell>
          <cell r="E176">
            <v>15112990</v>
          </cell>
          <cell r="F176">
            <v>49232430</v>
          </cell>
          <cell r="G176">
            <v>18017050</v>
          </cell>
          <cell r="H176">
            <v>17334270</v>
          </cell>
          <cell r="I176">
            <v>14690620</v>
          </cell>
          <cell r="J176">
            <v>50041940</v>
          </cell>
          <cell r="K176">
            <v>17828280</v>
          </cell>
          <cell r="L176">
            <v>17314120</v>
          </cell>
          <cell r="M176">
            <v>16979450</v>
          </cell>
          <cell r="N176">
            <v>52121850</v>
          </cell>
          <cell r="S176">
            <v>151396220</v>
          </cell>
        </row>
        <row r="177">
          <cell r="C177">
            <v>1184870</v>
          </cell>
          <cell r="D177">
            <v>1236182</v>
          </cell>
          <cell r="E177">
            <v>1068840</v>
          </cell>
          <cell r="F177">
            <v>3489892</v>
          </cell>
          <cell r="G177">
            <v>1280230</v>
          </cell>
          <cell r="H177">
            <v>1234430</v>
          </cell>
          <cell r="I177">
            <v>1046000</v>
          </cell>
          <cell r="J177">
            <v>3560660</v>
          </cell>
          <cell r="K177">
            <v>1264200</v>
          </cell>
          <cell r="L177">
            <v>1230790</v>
          </cell>
          <cell r="M177">
            <v>1203630</v>
          </cell>
          <cell r="N177">
            <v>3698620</v>
          </cell>
          <cell r="S177">
            <v>10749172</v>
          </cell>
        </row>
        <row r="178">
          <cell r="C178">
            <v>14167300</v>
          </cell>
          <cell r="D178">
            <v>14785600</v>
          </cell>
          <cell r="E178">
            <v>12743600</v>
          </cell>
          <cell r="F178">
            <v>41696500</v>
          </cell>
          <cell r="G178">
            <v>15311100</v>
          </cell>
          <cell r="H178">
            <v>14651100</v>
          </cell>
          <cell r="I178">
            <v>12469200</v>
          </cell>
          <cell r="J178">
            <v>42431400</v>
          </cell>
          <cell r="K178">
            <v>14651100</v>
          </cell>
          <cell r="L178">
            <v>14734400</v>
          </cell>
          <cell r="M178">
            <v>14328600</v>
          </cell>
          <cell r="N178">
            <v>43714100</v>
          </cell>
          <cell r="S178">
            <v>127842000</v>
          </cell>
        </row>
        <row r="179">
          <cell r="C179">
            <v>1</v>
          </cell>
          <cell r="E179">
            <v>1</v>
          </cell>
          <cell r="F179">
            <v>2</v>
          </cell>
          <cell r="I179">
            <v>1</v>
          </cell>
          <cell r="J179">
            <v>1</v>
          </cell>
          <cell r="N179">
            <v>0</v>
          </cell>
          <cell r="S179">
            <v>3</v>
          </cell>
        </row>
        <row r="180">
          <cell r="C180">
            <v>6961</v>
          </cell>
          <cell r="E180">
            <v>4884</v>
          </cell>
          <cell r="F180">
            <v>11845</v>
          </cell>
          <cell r="I180">
            <v>4245</v>
          </cell>
          <cell r="J180">
            <v>4245</v>
          </cell>
          <cell r="N180">
            <v>0</v>
          </cell>
          <cell r="S180">
            <v>16090</v>
          </cell>
        </row>
        <row r="181">
          <cell r="C181">
            <v>332794</v>
          </cell>
          <cell r="D181">
            <v>349761</v>
          </cell>
          <cell r="E181">
            <v>300602</v>
          </cell>
          <cell r="F181">
            <v>983157</v>
          </cell>
          <cell r="G181">
            <v>360844</v>
          </cell>
          <cell r="H181">
            <v>350649</v>
          </cell>
          <cell r="I181">
            <v>290129</v>
          </cell>
          <cell r="J181">
            <v>1001622</v>
          </cell>
          <cell r="K181">
            <v>356354</v>
          </cell>
          <cell r="L181">
            <v>346060</v>
          </cell>
          <cell r="M181">
            <v>338757</v>
          </cell>
          <cell r="N181">
            <v>1041171</v>
          </cell>
          <cell r="S181">
            <v>3025950</v>
          </cell>
        </row>
        <row r="182">
          <cell r="C182">
            <v>302946</v>
          </cell>
          <cell r="D182">
            <v>317802</v>
          </cell>
          <cell r="E182">
            <v>273620</v>
          </cell>
          <cell r="F182">
            <v>894368</v>
          </cell>
          <cell r="G182">
            <v>328115</v>
          </cell>
          <cell r="H182">
            <v>319201</v>
          </cell>
          <cell r="I182">
            <v>264097</v>
          </cell>
          <cell r="J182">
            <v>911413</v>
          </cell>
          <cell r="K182">
            <v>324307</v>
          </cell>
          <cell r="L182">
            <v>315094</v>
          </cell>
          <cell r="M182">
            <v>308309</v>
          </cell>
          <cell r="N182">
            <v>947710</v>
          </cell>
          <cell r="S182">
            <v>2753491</v>
          </cell>
        </row>
        <row r="183">
          <cell r="C183">
            <v>302871</v>
          </cell>
          <cell r="D183">
            <v>317294</v>
          </cell>
          <cell r="E183">
            <v>272989</v>
          </cell>
          <cell r="F183">
            <v>893154</v>
          </cell>
          <cell r="G183">
            <v>327768</v>
          </cell>
          <cell r="H183">
            <v>318524</v>
          </cell>
          <cell r="I183">
            <v>263561</v>
          </cell>
          <cell r="J183">
            <v>909853</v>
          </cell>
          <cell r="K183">
            <v>323849</v>
          </cell>
          <cell r="L183">
            <v>314404</v>
          </cell>
          <cell r="M183">
            <v>308042</v>
          </cell>
          <cell r="N183">
            <v>946295</v>
          </cell>
          <cell r="S183">
            <v>2749302</v>
          </cell>
        </row>
        <row r="185">
          <cell r="C185">
            <v>1.0346706522613334</v>
          </cell>
          <cell r="D185">
            <v>1.0426164075567765</v>
          </cell>
          <cell r="E185">
            <v>1.0328631168107054</v>
          </cell>
          <cell r="F185">
            <v>1.0367167255429384</v>
          </cell>
          <cell r="G185">
            <v>1.0220408870837925</v>
          </cell>
          <cell r="H185">
            <v>1.0275360287465436</v>
          </cell>
          <cell r="I185">
            <v>1.0254278728606356</v>
          </cell>
          <cell r="J185">
            <v>1.0250015962303241</v>
          </cell>
          <cell r="K185">
            <v>1.0290595291065308</v>
          </cell>
          <cell r="L185">
            <v>1.0197843410007068</v>
          </cell>
          <cell r="M185">
            <v>1.0244490562308528</v>
          </cell>
          <cell r="N185">
            <v>1.0244309754460301</v>
          </cell>
          <cell r="S185">
            <v>1.0286809762737688</v>
          </cell>
        </row>
        <row r="188">
          <cell r="C188">
            <v>8975</v>
          </cell>
          <cell r="D188">
            <v>9919</v>
          </cell>
          <cell r="E188">
            <v>7983</v>
          </cell>
          <cell r="F188">
            <v>26877</v>
          </cell>
          <cell r="G188">
            <v>8895</v>
          </cell>
          <cell r="H188">
            <v>6874</v>
          </cell>
          <cell r="I188">
            <v>5723</v>
          </cell>
          <cell r="J188">
            <v>21492</v>
          </cell>
          <cell r="K188">
            <v>9442</v>
          </cell>
          <cell r="L188">
            <v>7982</v>
          </cell>
          <cell r="M188">
            <v>7530</v>
          </cell>
          <cell r="N188">
            <v>24954</v>
          </cell>
          <cell r="S188">
            <v>73323</v>
          </cell>
        </row>
        <row r="189">
          <cell r="C189">
            <v>46418</v>
          </cell>
          <cell r="D189">
            <v>52297</v>
          </cell>
          <cell r="E189">
            <v>40411</v>
          </cell>
          <cell r="F189">
            <v>139126</v>
          </cell>
          <cell r="G189">
            <v>45706</v>
          </cell>
          <cell r="H189">
            <v>36850</v>
          </cell>
          <cell r="I189">
            <v>29792</v>
          </cell>
          <cell r="J189">
            <v>112348</v>
          </cell>
          <cell r="K189">
            <v>50339</v>
          </cell>
          <cell r="L189">
            <v>42901</v>
          </cell>
          <cell r="M189">
            <v>40116</v>
          </cell>
          <cell r="N189">
            <v>133356</v>
          </cell>
          <cell r="R189">
            <v>0</v>
          </cell>
          <cell r="S189">
            <v>384830</v>
          </cell>
        </row>
        <row r="190">
          <cell r="C190">
            <v>43478</v>
          </cell>
          <cell r="D190">
            <v>48866</v>
          </cell>
          <cell r="E190">
            <v>37246</v>
          </cell>
          <cell r="F190">
            <v>129590</v>
          </cell>
          <cell r="G190">
            <v>42292</v>
          </cell>
          <cell r="H190">
            <v>33996</v>
          </cell>
          <cell r="I190">
            <v>27405</v>
          </cell>
          <cell r="J190">
            <v>103693</v>
          </cell>
          <cell r="K190">
            <v>46364</v>
          </cell>
          <cell r="L190">
            <v>39657</v>
          </cell>
          <cell r="M190">
            <v>37285</v>
          </cell>
          <cell r="N190">
            <v>123306</v>
          </cell>
          <cell r="R190">
            <v>0</v>
          </cell>
          <cell r="S190">
            <v>356589</v>
          </cell>
        </row>
        <row r="191">
          <cell r="C191">
            <v>1321</v>
          </cell>
          <cell r="D191">
            <v>1666</v>
          </cell>
          <cell r="E191">
            <v>955</v>
          </cell>
          <cell r="F191">
            <v>3942</v>
          </cell>
          <cell r="G191">
            <v>1402</v>
          </cell>
          <cell r="H191">
            <v>907</v>
          </cell>
          <cell r="I191">
            <v>619</v>
          </cell>
          <cell r="J191">
            <v>2928</v>
          </cell>
          <cell r="K191">
            <v>910</v>
          </cell>
          <cell r="L191">
            <v>965</v>
          </cell>
          <cell r="M191">
            <v>1123</v>
          </cell>
          <cell r="N191">
            <v>2998</v>
          </cell>
          <cell r="R191">
            <v>0</v>
          </cell>
          <cell r="S191">
            <v>9868</v>
          </cell>
        </row>
        <row r="192"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21</v>
          </cell>
          <cell r="H192">
            <v>0</v>
          </cell>
          <cell r="I192">
            <v>0</v>
          </cell>
          <cell r="J192">
            <v>21</v>
          </cell>
          <cell r="K192">
            <v>3</v>
          </cell>
          <cell r="L192">
            <v>0</v>
          </cell>
          <cell r="M192">
            <v>0</v>
          </cell>
          <cell r="N192">
            <v>3</v>
          </cell>
          <cell r="S192">
            <v>24</v>
          </cell>
        </row>
        <row r="193">
          <cell r="C193">
            <v>16948</v>
          </cell>
          <cell r="D193">
            <v>20308</v>
          </cell>
          <cell r="E193">
            <v>19040</v>
          </cell>
          <cell r="F193">
            <v>56296</v>
          </cell>
          <cell r="G193">
            <v>18110</v>
          </cell>
          <cell r="H193">
            <v>15814</v>
          </cell>
          <cell r="I193">
            <v>12524</v>
          </cell>
          <cell r="J193">
            <v>46448</v>
          </cell>
          <cell r="K193">
            <v>22503</v>
          </cell>
          <cell r="L193">
            <v>15452</v>
          </cell>
          <cell r="M193">
            <v>16383</v>
          </cell>
          <cell r="N193">
            <v>54338</v>
          </cell>
          <cell r="S193">
            <v>157082</v>
          </cell>
        </row>
        <row r="194"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S194">
            <v>0</v>
          </cell>
        </row>
        <row r="195">
          <cell r="C195">
            <v>693</v>
          </cell>
          <cell r="D195">
            <v>916</v>
          </cell>
          <cell r="E195">
            <v>1552</v>
          </cell>
          <cell r="F195">
            <v>3161</v>
          </cell>
          <cell r="G195">
            <v>800</v>
          </cell>
          <cell r="H195">
            <v>748</v>
          </cell>
          <cell r="I195">
            <v>236</v>
          </cell>
          <cell r="J195">
            <v>1784</v>
          </cell>
          <cell r="K195">
            <v>1327</v>
          </cell>
          <cell r="L195">
            <v>724</v>
          </cell>
          <cell r="M195">
            <v>1054</v>
          </cell>
          <cell r="N195">
            <v>3105</v>
          </cell>
          <cell r="S195">
            <v>8050</v>
          </cell>
        </row>
        <row r="196">
          <cell r="C196">
            <v>656</v>
          </cell>
          <cell r="D196">
            <v>680</v>
          </cell>
          <cell r="E196">
            <v>656</v>
          </cell>
          <cell r="F196">
            <v>1992</v>
          </cell>
          <cell r="G196">
            <v>680</v>
          </cell>
          <cell r="H196">
            <v>680</v>
          </cell>
          <cell r="I196">
            <v>432</v>
          </cell>
          <cell r="J196">
            <v>1792</v>
          </cell>
          <cell r="K196">
            <v>680</v>
          </cell>
          <cell r="L196">
            <v>595</v>
          </cell>
          <cell r="M196">
            <v>575</v>
          </cell>
          <cell r="N196">
            <v>1850</v>
          </cell>
          <cell r="S196">
            <v>5634</v>
          </cell>
        </row>
        <row r="197">
          <cell r="C197">
            <v>590.5</v>
          </cell>
          <cell r="D197">
            <v>623.98</v>
          </cell>
          <cell r="E197">
            <v>512.09</v>
          </cell>
          <cell r="F197">
            <v>1726.5700000000002</v>
          </cell>
          <cell r="G197">
            <v>612.41999999999996</v>
          </cell>
          <cell r="H197">
            <v>623.11</v>
          </cell>
          <cell r="I197">
            <v>384.33</v>
          </cell>
          <cell r="J197">
            <v>1619.86</v>
          </cell>
          <cell r="K197">
            <v>612.58000000000004</v>
          </cell>
          <cell r="L197">
            <v>544.12</v>
          </cell>
          <cell r="M197">
            <v>516.04</v>
          </cell>
          <cell r="N197">
            <v>1672.74</v>
          </cell>
          <cell r="S197">
            <v>5019.17</v>
          </cell>
        </row>
        <row r="198">
          <cell r="C198">
            <v>231</v>
          </cell>
          <cell r="E198">
            <v>96</v>
          </cell>
          <cell r="F198">
            <v>327</v>
          </cell>
          <cell r="G198">
            <v>781</v>
          </cell>
          <cell r="H198">
            <v>221</v>
          </cell>
          <cell r="I198">
            <v>104</v>
          </cell>
          <cell r="J198">
            <v>1106</v>
          </cell>
          <cell r="K198">
            <v>189</v>
          </cell>
          <cell r="L198">
            <v>88</v>
          </cell>
          <cell r="M198">
            <v>547</v>
          </cell>
          <cell r="N198">
            <v>824</v>
          </cell>
          <cell r="R198">
            <v>0</v>
          </cell>
          <cell r="S198">
            <v>2257</v>
          </cell>
        </row>
        <row r="199">
          <cell r="C199">
            <v>47</v>
          </cell>
          <cell r="D199">
            <v>123</v>
          </cell>
          <cell r="E199">
            <v>99</v>
          </cell>
          <cell r="F199">
            <v>269</v>
          </cell>
          <cell r="G199">
            <v>105</v>
          </cell>
          <cell r="H199">
            <v>186</v>
          </cell>
          <cell r="I199">
            <v>304</v>
          </cell>
          <cell r="J199">
            <v>595</v>
          </cell>
          <cell r="K199">
            <v>191</v>
          </cell>
          <cell r="L199">
            <v>182</v>
          </cell>
          <cell r="M199">
            <v>121</v>
          </cell>
          <cell r="N199">
            <v>494</v>
          </cell>
          <cell r="R199">
            <v>0</v>
          </cell>
          <cell r="S199">
            <v>1358</v>
          </cell>
        </row>
        <row r="202">
          <cell r="C202">
            <v>3980</v>
          </cell>
          <cell r="D202">
            <v>7257</v>
          </cell>
          <cell r="E202">
            <v>6691</v>
          </cell>
          <cell r="F202">
            <v>17928</v>
          </cell>
          <cell r="G202">
            <v>7924</v>
          </cell>
          <cell r="H202">
            <v>7578</v>
          </cell>
          <cell r="I202">
            <v>7278</v>
          </cell>
          <cell r="J202">
            <v>22780</v>
          </cell>
          <cell r="K202">
            <v>6111</v>
          </cell>
          <cell r="L202">
            <v>6485</v>
          </cell>
          <cell r="M202">
            <v>6637</v>
          </cell>
          <cell r="N202">
            <v>19233</v>
          </cell>
          <cell r="S202">
            <v>59941</v>
          </cell>
        </row>
        <row r="203">
          <cell r="C203">
            <v>53994</v>
          </cell>
          <cell r="D203">
            <v>92842</v>
          </cell>
          <cell r="E203">
            <v>83004</v>
          </cell>
          <cell r="F203">
            <v>229840</v>
          </cell>
          <cell r="G203">
            <v>99063</v>
          </cell>
          <cell r="H203">
            <v>93609</v>
          </cell>
          <cell r="I203">
            <v>91952</v>
          </cell>
          <cell r="J203">
            <v>284624</v>
          </cell>
          <cell r="K203">
            <v>75057</v>
          </cell>
          <cell r="L203">
            <v>80330</v>
          </cell>
          <cell r="M203">
            <v>80529</v>
          </cell>
          <cell r="N203">
            <v>235916</v>
          </cell>
          <cell r="S203">
            <v>750380</v>
          </cell>
        </row>
        <row r="204">
          <cell r="C204">
            <v>47910</v>
          </cell>
          <cell r="D204">
            <v>83694</v>
          </cell>
          <cell r="E204">
            <v>75214</v>
          </cell>
          <cell r="F204">
            <v>206818</v>
          </cell>
          <cell r="G204">
            <v>90143</v>
          </cell>
          <cell r="H204">
            <v>83671</v>
          </cell>
          <cell r="I204">
            <v>82785</v>
          </cell>
          <cell r="J204">
            <v>256599</v>
          </cell>
          <cell r="K204">
            <v>65936</v>
          </cell>
          <cell r="L204">
            <v>72068</v>
          </cell>
          <cell r="M204">
            <v>72645</v>
          </cell>
          <cell r="N204">
            <v>210649</v>
          </cell>
          <cell r="S204">
            <v>674066</v>
          </cell>
        </row>
        <row r="205">
          <cell r="C205">
            <v>401</v>
          </cell>
          <cell r="D205">
            <v>433</v>
          </cell>
          <cell r="E205">
            <v>0</v>
          </cell>
          <cell r="F205">
            <v>834</v>
          </cell>
          <cell r="G205">
            <v>57</v>
          </cell>
          <cell r="H205">
            <v>458</v>
          </cell>
          <cell r="I205">
            <v>432</v>
          </cell>
          <cell r="J205">
            <v>947</v>
          </cell>
          <cell r="K205">
            <v>705</v>
          </cell>
          <cell r="L205">
            <v>0</v>
          </cell>
          <cell r="M205">
            <v>0</v>
          </cell>
          <cell r="N205">
            <v>705</v>
          </cell>
          <cell r="S205">
            <v>2486</v>
          </cell>
        </row>
        <row r="206">
          <cell r="C206">
            <v>0</v>
          </cell>
          <cell r="D206">
            <v>13</v>
          </cell>
          <cell r="E206">
            <v>224</v>
          </cell>
          <cell r="G206">
            <v>205</v>
          </cell>
          <cell r="H206">
            <v>125</v>
          </cell>
          <cell r="I206">
            <v>148</v>
          </cell>
          <cell r="K206">
            <v>109</v>
          </cell>
          <cell r="L206">
            <v>184</v>
          </cell>
          <cell r="M206">
            <v>126</v>
          </cell>
          <cell r="S206">
            <v>1134</v>
          </cell>
        </row>
        <row r="207">
          <cell r="C207">
            <v>25836</v>
          </cell>
          <cell r="D207">
            <v>55003</v>
          </cell>
          <cell r="E207">
            <v>46589</v>
          </cell>
          <cell r="F207">
            <v>127428</v>
          </cell>
          <cell r="G207">
            <v>59395</v>
          </cell>
          <cell r="H207">
            <v>56497</v>
          </cell>
          <cell r="I207">
            <v>48333</v>
          </cell>
          <cell r="J207">
            <v>164225</v>
          </cell>
          <cell r="K207">
            <v>48118</v>
          </cell>
          <cell r="L207">
            <v>48489</v>
          </cell>
          <cell r="M207">
            <v>42637</v>
          </cell>
          <cell r="N207">
            <v>139244</v>
          </cell>
          <cell r="S207">
            <v>430897</v>
          </cell>
        </row>
        <row r="208">
          <cell r="C208">
            <v>0</v>
          </cell>
          <cell r="D208">
            <v>1392</v>
          </cell>
          <cell r="E208">
            <v>724</v>
          </cell>
          <cell r="F208">
            <v>2116</v>
          </cell>
          <cell r="G208">
            <v>515</v>
          </cell>
          <cell r="H208">
            <v>307</v>
          </cell>
          <cell r="I208">
            <v>240</v>
          </cell>
          <cell r="J208">
            <v>1062</v>
          </cell>
          <cell r="K208">
            <v>787</v>
          </cell>
          <cell r="L208">
            <v>292</v>
          </cell>
          <cell r="M208">
            <v>392</v>
          </cell>
          <cell r="N208">
            <v>1471</v>
          </cell>
          <cell r="S208">
            <v>4649</v>
          </cell>
        </row>
        <row r="209">
          <cell r="C209">
            <v>23378</v>
          </cell>
          <cell r="D209">
            <v>26666</v>
          </cell>
          <cell r="E209">
            <v>21413</v>
          </cell>
          <cell r="F209">
            <v>71457</v>
          </cell>
          <cell r="G209">
            <v>26017</v>
          </cell>
          <cell r="H209">
            <v>22776</v>
          </cell>
          <cell r="I209">
            <v>30180</v>
          </cell>
          <cell r="J209">
            <v>78973</v>
          </cell>
          <cell r="K209">
            <v>26825</v>
          </cell>
          <cell r="L209">
            <v>2160</v>
          </cell>
          <cell r="M209">
            <v>5046</v>
          </cell>
          <cell r="N209">
            <v>34031</v>
          </cell>
          <cell r="S209">
            <v>184461</v>
          </cell>
        </row>
        <row r="210">
          <cell r="C210">
            <v>379.5</v>
          </cell>
          <cell r="D210">
            <v>695.75</v>
          </cell>
          <cell r="E210">
            <v>667.13</v>
          </cell>
          <cell r="F210">
            <v>1742.38</v>
          </cell>
          <cell r="G210">
            <v>713.5</v>
          </cell>
          <cell r="H210">
            <v>699.15</v>
          </cell>
          <cell r="I210">
            <v>686.25</v>
          </cell>
          <cell r="J210">
            <v>2098.9</v>
          </cell>
          <cell r="K210">
            <v>574.66999999999996</v>
          </cell>
          <cell r="L210">
            <v>578.5</v>
          </cell>
          <cell r="M210">
            <v>615.33000000000004</v>
          </cell>
          <cell r="N210">
            <v>1768.5</v>
          </cell>
          <cell r="S210">
            <v>5609.7800000000007</v>
          </cell>
        </row>
        <row r="211">
          <cell r="C211">
            <v>357.5</v>
          </cell>
          <cell r="D211">
            <v>654.08000000000004</v>
          </cell>
          <cell r="E211">
            <v>608.58000000000004</v>
          </cell>
          <cell r="F211">
            <v>1620.16</v>
          </cell>
          <cell r="G211">
            <v>677.55</v>
          </cell>
          <cell r="H211">
            <v>636.38</v>
          </cell>
          <cell r="I211">
            <v>630.66999999999996</v>
          </cell>
          <cell r="J211">
            <v>1944.6</v>
          </cell>
          <cell r="K211">
            <v>530.5</v>
          </cell>
          <cell r="L211">
            <v>553.41999999999996</v>
          </cell>
          <cell r="M211">
            <v>568.08000000000004</v>
          </cell>
          <cell r="N211">
            <v>1652</v>
          </cell>
          <cell r="S211">
            <v>5216.76</v>
          </cell>
        </row>
        <row r="214">
          <cell r="C214">
            <v>3443</v>
          </cell>
          <cell r="D214">
            <v>2904</v>
          </cell>
          <cell r="E214">
            <v>1485</v>
          </cell>
          <cell r="F214">
            <v>7832</v>
          </cell>
          <cell r="G214">
            <v>3326</v>
          </cell>
          <cell r="H214">
            <v>1746</v>
          </cell>
          <cell r="I214">
            <v>391</v>
          </cell>
          <cell r="J214">
            <v>5463</v>
          </cell>
          <cell r="K214">
            <v>722</v>
          </cell>
          <cell r="L214">
            <v>2516</v>
          </cell>
          <cell r="M214">
            <v>1990</v>
          </cell>
          <cell r="N214">
            <v>5228</v>
          </cell>
          <cell r="S214">
            <v>18523</v>
          </cell>
        </row>
        <row r="215">
          <cell r="C215">
            <v>1</v>
          </cell>
          <cell r="D215">
            <v>1</v>
          </cell>
          <cell r="E215">
            <v>3</v>
          </cell>
          <cell r="F215">
            <v>5</v>
          </cell>
          <cell r="G215">
            <v>0</v>
          </cell>
          <cell r="H215">
            <v>1</v>
          </cell>
          <cell r="I215">
            <v>0</v>
          </cell>
          <cell r="J215">
            <v>1</v>
          </cell>
          <cell r="K215">
            <v>0</v>
          </cell>
          <cell r="L215">
            <v>6</v>
          </cell>
          <cell r="M215">
            <v>1</v>
          </cell>
          <cell r="N215">
            <v>7</v>
          </cell>
          <cell r="S215">
            <v>13</v>
          </cell>
        </row>
        <row r="216">
          <cell r="C216">
            <v>55675</v>
          </cell>
          <cell r="D216">
            <v>47164</v>
          </cell>
          <cell r="E216">
            <v>23578</v>
          </cell>
          <cell r="F216">
            <v>126417</v>
          </cell>
          <cell r="G216">
            <v>53228</v>
          </cell>
          <cell r="H216">
            <v>26862</v>
          </cell>
          <cell r="I216">
            <v>6177</v>
          </cell>
          <cell r="J216">
            <v>86267</v>
          </cell>
          <cell r="K216">
            <v>12218</v>
          </cell>
          <cell r="L216">
            <v>40752</v>
          </cell>
          <cell r="M216">
            <v>32362</v>
          </cell>
          <cell r="N216">
            <v>85332</v>
          </cell>
          <cell r="S216">
            <v>298016</v>
          </cell>
        </row>
        <row r="217">
          <cell r="C217">
            <v>54388</v>
          </cell>
          <cell r="D217">
            <v>46068</v>
          </cell>
          <cell r="E217">
            <v>23013</v>
          </cell>
          <cell r="F217">
            <v>123469</v>
          </cell>
          <cell r="G217">
            <v>52010</v>
          </cell>
          <cell r="H217">
            <v>26237</v>
          </cell>
          <cell r="I217">
            <v>6036</v>
          </cell>
          <cell r="J217">
            <v>84283</v>
          </cell>
          <cell r="K217">
            <v>11939</v>
          </cell>
          <cell r="L217">
            <v>39756</v>
          </cell>
          <cell r="M217">
            <v>31612</v>
          </cell>
          <cell r="N217">
            <v>83307</v>
          </cell>
          <cell r="S217">
            <v>291059</v>
          </cell>
        </row>
        <row r="218">
          <cell r="C218">
            <v>610</v>
          </cell>
          <cell r="D218">
            <v>726</v>
          </cell>
          <cell r="E218">
            <v>720</v>
          </cell>
          <cell r="F218">
            <v>2056</v>
          </cell>
          <cell r="G218">
            <v>723.75</v>
          </cell>
          <cell r="H218">
            <v>744</v>
          </cell>
          <cell r="I218">
            <v>720</v>
          </cell>
          <cell r="J218">
            <v>2187.75</v>
          </cell>
          <cell r="K218">
            <v>744</v>
          </cell>
          <cell r="L218">
            <v>720</v>
          </cell>
          <cell r="M218">
            <v>731.5</v>
          </cell>
          <cell r="N218">
            <v>2195.5</v>
          </cell>
          <cell r="S218">
            <v>6439.25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S219">
            <v>0</v>
          </cell>
        </row>
        <row r="220"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S220">
            <v>0</v>
          </cell>
        </row>
        <row r="221">
          <cell r="C221">
            <v>610</v>
          </cell>
          <cell r="D221">
            <v>726</v>
          </cell>
          <cell r="E221">
            <v>720</v>
          </cell>
          <cell r="F221">
            <v>2056</v>
          </cell>
          <cell r="G221">
            <v>723.75</v>
          </cell>
          <cell r="H221">
            <v>744</v>
          </cell>
          <cell r="I221">
            <v>720</v>
          </cell>
          <cell r="J221">
            <v>2187.75</v>
          </cell>
          <cell r="K221">
            <v>744</v>
          </cell>
          <cell r="L221">
            <v>720</v>
          </cell>
          <cell r="M221">
            <v>731.5</v>
          </cell>
          <cell r="N221">
            <v>2195.5</v>
          </cell>
          <cell r="S221">
            <v>6439.25</v>
          </cell>
        </row>
        <row r="222">
          <cell r="C222">
            <v>364.33</v>
          </cell>
          <cell r="D222">
            <v>308.83</v>
          </cell>
          <cell r="E222">
            <v>178.42</v>
          </cell>
          <cell r="F222">
            <v>851.57999999999993</v>
          </cell>
          <cell r="G222">
            <v>350.92</v>
          </cell>
          <cell r="H222">
            <v>182.17</v>
          </cell>
          <cell r="I222">
            <v>43.25</v>
          </cell>
          <cell r="J222">
            <v>576.34</v>
          </cell>
          <cell r="K222">
            <v>81.33</v>
          </cell>
          <cell r="L222">
            <v>275.33</v>
          </cell>
          <cell r="M222">
            <v>218.5</v>
          </cell>
          <cell r="N222">
            <v>575.16</v>
          </cell>
          <cell r="S222">
            <v>2003.08</v>
          </cell>
        </row>
        <row r="226">
          <cell r="C226">
            <v>3058</v>
          </cell>
          <cell r="D226">
            <v>3723</v>
          </cell>
          <cell r="E226">
            <v>1246</v>
          </cell>
          <cell r="F226">
            <v>8027</v>
          </cell>
          <cell r="G226">
            <v>2384</v>
          </cell>
          <cell r="H226">
            <v>3385</v>
          </cell>
          <cell r="I226">
            <v>3258</v>
          </cell>
          <cell r="J226">
            <v>9027</v>
          </cell>
          <cell r="K226">
            <v>4575</v>
          </cell>
          <cell r="L226">
            <v>3231</v>
          </cell>
          <cell r="M226">
            <v>2843</v>
          </cell>
          <cell r="N226">
            <v>10649</v>
          </cell>
          <cell r="R226">
            <v>0</v>
          </cell>
          <cell r="S226">
            <v>27703</v>
          </cell>
        </row>
        <row r="227">
          <cell r="C227">
            <v>2928</v>
          </cell>
          <cell r="D227">
            <v>3538</v>
          </cell>
          <cell r="E227">
            <v>1201</v>
          </cell>
          <cell r="F227">
            <v>7667</v>
          </cell>
          <cell r="G227">
            <v>2337</v>
          </cell>
          <cell r="H227">
            <v>3150</v>
          </cell>
          <cell r="I227">
            <v>3137</v>
          </cell>
          <cell r="K227">
            <v>4434</v>
          </cell>
          <cell r="L227">
            <v>3166</v>
          </cell>
          <cell r="M227">
            <v>2785</v>
          </cell>
          <cell r="N227">
            <v>10385</v>
          </cell>
          <cell r="S227">
            <v>26676</v>
          </cell>
        </row>
        <row r="228">
          <cell r="C228">
            <v>67</v>
          </cell>
          <cell r="D228">
            <v>29</v>
          </cell>
          <cell r="E228">
            <v>23</v>
          </cell>
          <cell r="F228">
            <v>119</v>
          </cell>
          <cell r="G228">
            <v>61</v>
          </cell>
          <cell r="H228">
            <v>53</v>
          </cell>
          <cell r="I228">
            <v>96</v>
          </cell>
          <cell r="J228">
            <v>210</v>
          </cell>
          <cell r="K228">
            <v>75</v>
          </cell>
          <cell r="L228">
            <v>200</v>
          </cell>
          <cell r="M228">
            <v>129</v>
          </cell>
          <cell r="N228">
            <v>404</v>
          </cell>
          <cell r="S228">
            <v>733</v>
          </cell>
        </row>
        <row r="229">
          <cell r="C229">
            <v>2810</v>
          </cell>
          <cell r="D229">
            <v>3409</v>
          </cell>
          <cell r="E229">
            <v>1140</v>
          </cell>
          <cell r="F229">
            <v>7359</v>
          </cell>
          <cell r="G229">
            <v>2191</v>
          </cell>
          <cell r="H229">
            <v>3049</v>
          </cell>
          <cell r="I229">
            <v>3006</v>
          </cell>
          <cell r="J229">
            <v>8246</v>
          </cell>
          <cell r="K229">
            <v>4207</v>
          </cell>
          <cell r="L229">
            <v>2878</v>
          </cell>
          <cell r="M229">
            <v>2558</v>
          </cell>
          <cell r="N229">
            <v>9643</v>
          </cell>
          <cell r="R229">
            <v>0</v>
          </cell>
          <cell r="S229">
            <v>25248</v>
          </cell>
        </row>
        <row r="230">
          <cell r="F230">
            <v>0</v>
          </cell>
          <cell r="N230">
            <v>0</v>
          </cell>
          <cell r="S230">
            <v>0</v>
          </cell>
        </row>
        <row r="231">
          <cell r="F231">
            <v>0</v>
          </cell>
          <cell r="N231">
            <v>0</v>
          </cell>
          <cell r="S231">
            <v>0</v>
          </cell>
        </row>
        <row r="232">
          <cell r="C232">
            <v>416</v>
          </cell>
          <cell r="D232">
            <v>416</v>
          </cell>
          <cell r="E232">
            <v>416</v>
          </cell>
          <cell r="F232">
            <v>1248</v>
          </cell>
          <cell r="G232">
            <v>432</v>
          </cell>
          <cell r="H232">
            <v>448</v>
          </cell>
          <cell r="I232">
            <v>448</v>
          </cell>
          <cell r="J232">
            <v>1328</v>
          </cell>
          <cell r="K232">
            <v>448</v>
          </cell>
          <cell r="L232">
            <v>416</v>
          </cell>
          <cell r="M232">
            <v>432</v>
          </cell>
          <cell r="N232">
            <v>1296</v>
          </cell>
          <cell r="S232">
            <v>3872</v>
          </cell>
        </row>
        <row r="233">
          <cell r="C233">
            <v>167</v>
          </cell>
          <cell r="D233">
            <v>273</v>
          </cell>
          <cell r="E233">
            <v>92</v>
          </cell>
          <cell r="F233">
            <v>532</v>
          </cell>
          <cell r="G233">
            <v>132</v>
          </cell>
          <cell r="H233">
            <v>319</v>
          </cell>
          <cell r="I233">
            <v>200</v>
          </cell>
          <cell r="J233">
            <v>651</v>
          </cell>
          <cell r="K233">
            <v>249</v>
          </cell>
          <cell r="L233">
            <v>170</v>
          </cell>
          <cell r="M233">
            <v>153</v>
          </cell>
          <cell r="N233">
            <v>572</v>
          </cell>
          <cell r="S233">
            <v>1755</v>
          </cell>
        </row>
        <row r="236">
          <cell r="C236">
            <v>1620</v>
          </cell>
          <cell r="D236">
            <v>2290</v>
          </cell>
          <cell r="E236">
            <v>2315</v>
          </cell>
          <cell r="F236">
            <v>6225</v>
          </cell>
          <cell r="G236">
            <v>2211</v>
          </cell>
          <cell r="H236">
            <v>2780</v>
          </cell>
          <cell r="I236">
            <v>3280</v>
          </cell>
          <cell r="J236">
            <v>8271</v>
          </cell>
          <cell r="K236">
            <v>3230</v>
          </cell>
          <cell r="L236">
            <v>3060</v>
          </cell>
          <cell r="M236">
            <v>2220</v>
          </cell>
          <cell r="N236">
            <v>8510</v>
          </cell>
          <cell r="S236">
            <v>23006</v>
          </cell>
        </row>
        <row r="237">
          <cell r="C237">
            <v>1565</v>
          </cell>
          <cell r="D237">
            <v>2180</v>
          </cell>
          <cell r="E237">
            <v>2285</v>
          </cell>
          <cell r="F237">
            <v>6030</v>
          </cell>
          <cell r="G237">
            <v>2085</v>
          </cell>
          <cell r="H237">
            <v>2671</v>
          </cell>
          <cell r="I237">
            <v>3133</v>
          </cell>
          <cell r="J237">
            <v>7889</v>
          </cell>
          <cell r="K237">
            <v>3109</v>
          </cell>
          <cell r="L237">
            <v>2919</v>
          </cell>
          <cell r="M237">
            <v>2121</v>
          </cell>
          <cell r="N237">
            <v>8149</v>
          </cell>
          <cell r="S237">
            <v>22068</v>
          </cell>
        </row>
        <row r="238">
          <cell r="C238">
            <v>38</v>
          </cell>
          <cell r="D238">
            <v>23</v>
          </cell>
          <cell r="E238">
            <v>4</v>
          </cell>
          <cell r="F238">
            <v>65</v>
          </cell>
          <cell r="G238">
            <v>25</v>
          </cell>
          <cell r="H238">
            <v>24</v>
          </cell>
          <cell r="I238">
            <v>47</v>
          </cell>
          <cell r="J238">
            <v>96</v>
          </cell>
          <cell r="K238">
            <v>53</v>
          </cell>
          <cell r="L238">
            <v>21</v>
          </cell>
          <cell r="M238">
            <v>22</v>
          </cell>
          <cell r="N238">
            <v>96</v>
          </cell>
          <cell r="S238">
            <v>257</v>
          </cell>
        </row>
        <row r="239">
          <cell r="C239">
            <v>1507</v>
          </cell>
          <cell r="D239">
            <v>2084</v>
          </cell>
          <cell r="E239">
            <v>2135</v>
          </cell>
          <cell r="F239">
            <v>5726</v>
          </cell>
          <cell r="G239">
            <v>2035</v>
          </cell>
          <cell r="H239">
            <v>2568</v>
          </cell>
          <cell r="I239">
            <v>3015</v>
          </cell>
          <cell r="J239">
            <v>7618</v>
          </cell>
          <cell r="K239">
            <v>3003</v>
          </cell>
          <cell r="L239">
            <v>2821</v>
          </cell>
          <cell r="M239">
            <v>2041</v>
          </cell>
          <cell r="N239">
            <v>7865</v>
          </cell>
          <cell r="S239">
            <v>21209</v>
          </cell>
        </row>
        <row r="240">
          <cell r="F240">
            <v>0</v>
          </cell>
          <cell r="J240">
            <v>0</v>
          </cell>
          <cell r="N240">
            <v>0</v>
          </cell>
          <cell r="S240">
            <v>0</v>
          </cell>
        </row>
        <row r="241">
          <cell r="F241">
            <v>0</v>
          </cell>
          <cell r="J241">
            <v>0</v>
          </cell>
          <cell r="N241">
            <v>0</v>
          </cell>
          <cell r="S241">
            <v>0</v>
          </cell>
        </row>
        <row r="242">
          <cell r="C242">
            <v>1248</v>
          </cell>
          <cell r="D242">
            <v>1248</v>
          </cell>
          <cell r="E242">
            <v>1248</v>
          </cell>
          <cell r="F242">
            <v>3744</v>
          </cell>
          <cell r="G242">
            <v>1296</v>
          </cell>
          <cell r="H242">
            <v>1248</v>
          </cell>
          <cell r="I242">
            <v>1248</v>
          </cell>
          <cell r="J242">
            <v>3792</v>
          </cell>
          <cell r="K242">
            <v>1296</v>
          </cell>
          <cell r="L242">
            <v>1200</v>
          </cell>
          <cell r="M242">
            <v>1296</v>
          </cell>
          <cell r="N242">
            <v>3792</v>
          </cell>
          <cell r="S242">
            <v>11328</v>
          </cell>
        </row>
        <row r="243">
          <cell r="C243">
            <v>646</v>
          </cell>
          <cell r="D243">
            <v>917.5</v>
          </cell>
          <cell r="E243">
            <v>1060</v>
          </cell>
          <cell r="F243">
            <v>2623.5</v>
          </cell>
          <cell r="G243">
            <v>894</v>
          </cell>
          <cell r="H243">
            <v>1035</v>
          </cell>
          <cell r="I243">
            <v>913.5</v>
          </cell>
          <cell r="J243">
            <v>2842.5</v>
          </cell>
          <cell r="K243">
            <v>952.5</v>
          </cell>
          <cell r="L243">
            <v>991</v>
          </cell>
          <cell r="M243">
            <v>645</v>
          </cell>
          <cell r="N243">
            <v>2588.5</v>
          </cell>
          <cell r="S243">
            <v>8054.5</v>
          </cell>
        </row>
        <row r="246">
          <cell r="C246">
            <v>9683</v>
          </cell>
          <cell r="D246">
            <v>10647</v>
          </cell>
          <cell r="E246">
            <v>5353</v>
          </cell>
          <cell r="F246">
            <v>25683</v>
          </cell>
          <cell r="G246">
            <v>3018</v>
          </cell>
          <cell r="H246">
            <v>0</v>
          </cell>
          <cell r="I246">
            <v>3834</v>
          </cell>
          <cell r="J246">
            <v>6852</v>
          </cell>
          <cell r="K246">
            <v>6353</v>
          </cell>
          <cell r="L246">
            <v>5602</v>
          </cell>
          <cell r="M246">
            <v>7254</v>
          </cell>
          <cell r="N246">
            <v>19209</v>
          </cell>
          <cell r="S246">
            <v>51744</v>
          </cell>
        </row>
        <row r="247">
          <cell r="C247">
            <v>9316</v>
          </cell>
          <cell r="D247">
            <v>10220</v>
          </cell>
          <cell r="E247">
            <v>5154</v>
          </cell>
          <cell r="F247">
            <v>24690</v>
          </cell>
          <cell r="G247">
            <v>2918</v>
          </cell>
          <cell r="H247">
            <v>0</v>
          </cell>
          <cell r="I247">
            <v>3666</v>
          </cell>
          <cell r="J247">
            <v>6584</v>
          </cell>
          <cell r="K247">
            <v>6051</v>
          </cell>
          <cell r="L247">
            <v>5370</v>
          </cell>
          <cell r="M247">
            <v>7003</v>
          </cell>
          <cell r="N247">
            <v>18424</v>
          </cell>
          <cell r="S247">
            <v>49698</v>
          </cell>
        </row>
        <row r="248">
          <cell r="C248">
            <v>9222</v>
          </cell>
          <cell r="D248">
            <v>10250</v>
          </cell>
          <cell r="E248">
            <v>4954</v>
          </cell>
          <cell r="F248">
            <v>24426</v>
          </cell>
          <cell r="G248">
            <v>2779</v>
          </cell>
          <cell r="H248">
            <v>0</v>
          </cell>
          <cell r="I248">
            <v>3556</v>
          </cell>
          <cell r="J248">
            <v>6335</v>
          </cell>
          <cell r="K248">
            <v>6161</v>
          </cell>
          <cell r="L248">
            <v>5318</v>
          </cell>
          <cell r="M248">
            <v>6425</v>
          </cell>
          <cell r="N248">
            <v>17904</v>
          </cell>
          <cell r="S248">
            <v>48665</v>
          </cell>
        </row>
        <row r="249">
          <cell r="C249">
            <v>8175</v>
          </cell>
          <cell r="D249">
            <v>9005</v>
          </cell>
          <cell r="E249">
            <v>3881</v>
          </cell>
          <cell r="F249">
            <v>21061</v>
          </cell>
          <cell r="G249">
            <v>3144</v>
          </cell>
          <cell r="H249">
            <v>0</v>
          </cell>
          <cell r="I249">
            <v>1996</v>
          </cell>
          <cell r="J249">
            <v>5140</v>
          </cell>
          <cell r="K249">
            <v>5895</v>
          </cell>
          <cell r="L249">
            <v>4823</v>
          </cell>
          <cell r="M249">
            <v>5094</v>
          </cell>
          <cell r="N249">
            <v>15812</v>
          </cell>
          <cell r="S249">
            <v>42013</v>
          </cell>
        </row>
        <row r="256">
          <cell r="C256">
            <v>186.35</v>
          </cell>
          <cell r="D256">
            <v>295.59800000000001</v>
          </cell>
          <cell r="E256">
            <v>125.565</v>
          </cell>
          <cell r="F256">
            <v>607.51299999999992</v>
          </cell>
          <cell r="G256">
            <v>114.6</v>
          </cell>
          <cell r="H256">
            <v>0</v>
          </cell>
          <cell r="I256">
            <v>119.565</v>
          </cell>
          <cell r="J256">
            <v>234.16499999999999</v>
          </cell>
          <cell r="K256">
            <v>138.88</v>
          </cell>
          <cell r="L256">
            <v>159.24600000000001</v>
          </cell>
          <cell r="M256">
            <v>146.125</v>
          </cell>
          <cell r="N256">
            <v>444.25099999999998</v>
          </cell>
          <cell r="S256">
            <v>1285.9289999999999</v>
          </cell>
        </row>
        <row r="257">
          <cell r="C257">
            <v>268.63</v>
          </cell>
          <cell r="D257">
            <v>265.15199999999999</v>
          </cell>
          <cell r="E257">
            <v>147.697</v>
          </cell>
          <cell r="F257">
            <v>681.47899999999993</v>
          </cell>
          <cell r="G257">
            <v>104.96</v>
          </cell>
          <cell r="H257">
            <v>0</v>
          </cell>
          <cell r="I257">
            <v>85.364000000000004</v>
          </cell>
          <cell r="J257">
            <v>190.32400000000001</v>
          </cell>
          <cell r="K257">
            <v>185.40600000000001</v>
          </cell>
          <cell r="L257">
            <v>163.626</v>
          </cell>
          <cell r="M257">
            <v>191.285</v>
          </cell>
          <cell r="N257">
            <v>540.31700000000001</v>
          </cell>
          <cell r="S257">
            <v>1412.12</v>
          </cell>
        </row>
        <row r="258">
          <cell r="C258">
            <v>244.34</v>
          </cell>
          <cell r="D258">
            <v>255.45500000000001</v>
          </cell>
          <cell r="E258">
            <v>111.123</v>
          </cell>
          <cell r="F258">
            <v>610.91800000000001</v>
          </cell>
          <cell r="G258">
            <v>102.063</v>
          </cell>
          <cell r="H258">
            <v>0</v>
          </cell>
          <cell r="I258">
            <v>61.015999999999998</v>
          </cell>
          <cell r="J258">
            <v>163.07900000000001</v>
          </cell>
          <cell r="K258">
            <v>179.41499999999999</v>
          </cell>
          <cell r="L258">
            <v>151.11600000000001</v>
          </cell>
          <cell r="M258">
            <v>165.845</v>
          </cell>
          <cell r="N258">
            <v>496.37599999999998</v>
          </cell>
          <cell r="S258">
            <v>1270.373</v>
          </cell>
        </row>
        <row r="259">
          <cell r="F259">
            <v>0</v>
          </cell>
          <cell r="J259">
            <v>0</v>
          </cell>
          <cell r="N259">
            <v>0</v>
          </cell>
        </row>
        <row r="260">
          <cell r="C260">
            <v>1884424</v>
          </cell>
          <cell r="D260">
            <v>1993614</v>
          </cell>
          <cell r="E260">
            <v>1230603</v>
          </cell>
          <cell r="F260">
            <v>5108641</v>
          </cell>
          <cell r="G260">
            <v>839550</v>
          </cell>
          <cell r="H260">
            <v>0</v>
          </cell>
          <cell r="I260">
            <v>508385</v>
          </cell>
          <cell r="J260">
            <v>1347935</v>
          </cell>
          <cell r="K260">
            <v>1311914</v>
          </cell>
          <cell r="L260">
            <v>1208540</v>
          </cell>
          <cell r="M260">
            <v>1282956</v>
          </cell>
          <cell r="N260">
            <v>3803410</v>
          </cell>
          <cell r="S260">
            <v>10259986</v>
          </cell>
        </row>
        <row r="265">
          <cell r="C265">
            <v>87.03</v>
          </cell>
          <cell r="D265">
            <v>86.29</v>
          </cell>
          <cell r="E265">
            <v>86.09</v>
          </cell>
          <cell r="F265">
            <v>86.469999999999985</v>
          </cell>
          <cell r="G265">
            <v>86.76</v>
          </cell>
          <cell r="H265">
            <v>0</v>
          </cell>
          <cell r="I265">
            <v>86.44</v>
          </cell>
          <cell r="J265">
            <v>57.733333333333327</v>
          </cell>
          <cell r="K265">
            <v>88.23</v>
          </cell>
          <cell r="L265">
            <v>87.42</v>
          </cell>
          <cell r="M265">
            <v>87.42</v>
          </cell>
          <cell r="N265">
            <v>87.69</v>
          </cell>
        </row>
        <row r="269">
          <cell r="C269">
            <v>5681</v>
          </cell>
          <cell r="D269">
            <v>6142</v>
          </cell>
          <cell r="E269">
            <v>5765</v>
          </cell>
          <cell r="F269">
            <v>17588</v>
          </cell>
          <cell r="G269">
            <v>7256</v>
          </cell>
          <cell r="H269">
            <v>5606</v>
          </cell>
          <cell r="I269">
            <v>3901</v>
          </cell>
          <cell r="J269">
            <v>16763</v>
          </cell>
          <cell r="K269">
            <v>6185</v>
          </cell>
          <cell r="L269">
            <v>5364</v>
          </cell>
          <cell r="M269">
            <v>3362</v>
          </cell>
          <cell r="N269">
            <v>14911</v>
          </cell>
          <cell r="S269">
            <v>49262</v>
          </cell>
        </row>
        <row r="270">
          <cell r="C270">
            <v>151</v>
          </cell>
          <cell r="D270">
            <v>161</v>
          </cell>
          <cell r="E270">
            <v>130</v>
          </cell>
          <cell r="F270">
            <v>442</v>
          </cell>
          <cell r="G270">
            <v>142</v>
          </cell>
          <cell r="H270">
            <v>144</v>
          </cell>
          <cell r="I270">
            <v>85</v>
          </cell>
          <cell r="J270">
            <v>371</v>
          </cell>
          <cell r="K270">
            <v>129</v>
          </cell>
          <cell r="L270">
            <v>120</v>
          </cell>
          <cell r="M270">
            <v>80</v>
          </cell>
          <cell r="N270">
            <v>329</v>
          </cell>
          <cell r="S270">
            <v>1142</v>
          </cell>
        </row>
        <row r="271">
          <cell r="C271">
            <v>5724</v>
          </cell>
          <cell r="D271">
            <v>6228</v>
          </cell>
          <cell r="E271">
            <v>5538</v>
          </cell>
          <cell r="G271">
            <v>7095</v>
          </cell>
          <cell r="H271">
            <v>5496</v>
          </cell>
          <cell r="I271">
            <v>3859</v>
          </cell>
          <cell r="K271">
            <v>6126</v>
          </cell>
          <cell r="L271">
            <v>229</v>
          </cell>
          <cell r="M271">
            <v>3274</v>
          </cell>
          <cell r="S271">
            <v>43569</v>
          </cell>
        </row>
        <row r="272">
          <cell r="C272">
            <v>624</v>
          </cell>
          <cell r="D272">
            <v>624</v>
          </cell>
          <cell r="E272">
            <v>624</v>
          </cell>
          <cell r="F272">
            <v>1872</v>
          </cell>
          <cell r="G272">
            <v>304</v>
          </cell>
          <cell r="H272">
            <v>246</v>
          </cell>
          <cell r="I272">
            <v>173</v>
          </cell>
          <cell r="J272">
            <v>723</v>
          </cell>
          <cell r="K272">
            <v>292</v>
          </cell>
          <cell r="L272">
            <v>236</v>
          </cell>
          <cell r="M272">
            <v>150</v>
          </cell>
          <cell r="N272">
            <v>678</v>
          </cell>
          <cell r="S272">
            <v>3273</v>
          </cell>
        </row>
        <row r="273">
          <cell r="C273">
            <v>270</v>
          </cell>
          <cell r="D273">
            <v>266</v>
          </cell>
          <cell r="E273">
            <v>240.5</v>
          </cell>
          <cell r="F273">
            <v>776.5</v>
          </cell>
          <cell r="G273">
            <v>300</v>
          </cell>
          <cell r="H273">
            <v>246</v>
          </cell>
          <cell r="I273">
            <v>173</v>
          </cell>
          <cell r="J273">
            <v>719</v>
          </cell>
          <cell r="K273">
            <v>292</v>
          </cell>
          <cell r="L273">
            <v>236</v>
          </cell>
          <cell r="M273">
            <v>150</v>
          </cell>
          <cell r="N273">
            <v>678</v>
          </cell>
          <cell r="S273">
            <v>2173.5</v>
          </cell>
        </row>
        <row r="274">
          <cell r="C274">
            <v>5527</v>
          </cell>
          <cell r="D274">
            <v>5837</v>
          </cell>
          <cell r="E274">
            <v>5551</v>
          </cell>
          <cell r="G274">
            <v>6839</v>
          </cell>
          <cell r="H274">
            <v>5298</v>
          </cell>
          <cell r="I274">
            <v>3713</v>
          </cell>
          <cell r="K274">
            <v>5928</v>
          </cell>
          <cell r="L274">
            <v>5131</v>
          </cell>
          <cell r="M274">
            <v>3229</v>
          </cell>
          <cell r="N274">
            <v>14288</v>
          </cell>
          <cell r="S274">
            <v>47053</v>
          </cell>
        </row>
        <row r="275">
          <cell r="C275">
            <v>327.5</v>
          </cell>
          <cell r="D275">
            <v>349</v>
          </cell>
          <cell r="E275">
            <v>343.75</v>
          </cell>
          <cell r="G275">
            <v>431.25</v>
          </cell>
          <cell r="H275">
            <v>315.5</v>
          </cell>
          <cell r="I275">
            <v>233</v>
          </cell>
          <cell r="K275">
            <v>386.75</v>
          </cell>
          <cell r="L275">
            <v>319</v>
          </cell>
          <cell r="M275">
            <v>204</v>
          </cell>
          <cell r="N275">
            <v>909.75</v>
          </cell>
          <cell r="S275">
            <v>2909.75</v>
          </cell>
        </row>
        <row r="276">
          <cell r="C276">
            <v>87.04</v>
          </cell>
          <cell r="D276">
            <v>88.28</v>
          </cell>
          <cell r="E276">
            <v>88.28</v>
          </cell>
          <cell r="F276">
            <v>87.866666666666674</v>
          </cell>
          <cell r="G276">
            <v>88.3</v>
          </cell>
          <cell r="H276">
            <v>88.34</v>
          </cell>
          <cell r="I276">
            <v>88.8</v>
          </cell>
          <cell r="J276">
            <v>88.48</v>
          </cell>
          <cell r="K276">
            <v>88.85</v>
          </cell>
          <cell r="L276">
            <v>88.88</v>
          </cell>
          <cell r="M276">
            <v>88.83</v>
          </cell>
          <cell r="N276">
            <v>88.853333333333339</v>
          </cell>
          <cell r="S276">
            <v>88.4</v>
          </cell>
        </row>
        <row r="279"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S279">
            <v>0</v>
          </cell>
        </row>
        <row r="280">
          <cell r="F280">
            <v>0</v>
          </cell>
          <cell r="J280">
            <v>0</v>
          </cell>
          <cell r="N280">
            <v>0</v>
          </cell>
        </row>
        <row r="281">
          <cell r="C281">
            <v>261360</v>
          </cell>
          <cell r="D281">
            <v>268584</v>
          </cell>
          <cell r="E281">
            <v>238320</v>
          </cell>
          <cell r="F281">
            <v>768264</v>
          </cell>
          <cell r="G281">
            <v>262632</v>
          </cell>
          <cell r="H281">
            <v>258912</v>
          </cell>
          <cell r="I281">
            <v>223920</v>
          </cell>
          <cell r="J281">
            <v>745464</v>
          </cell>
          <cell r="K281">
            <v>229896</v>
          </cell>
          <cell r="L281">
            <v>226080</v>
          </cell>
          <cell r="M281">
            <v>255936</v>
          </cell>
          <cell r="N281">
            <v>711912</v>
          </cell>
          <cell r="S281">
            <v>2225640</v>
          </cell>
        </row>
        <row r="282">
          <cell r="C282">
            <v>720</v>
          </cell>
          <cell r="D282">
            <v>744</v>
          </cell>
          <cell r="E282">
            <v>720</v>
          </cell>
          <cell r="F282">
            <v>2184</v>
          </cell>
          <cell r="G282">
            <v>744</v>
          </cell>
          <cell r="H282">
            <v>744</v>
          </cell>
          <cell r="I282">
            <v>720</v>
          </cell>
          <cell r="J282">
            <v>2208</v>
          </cell>
          <cell r="K282">
            <v>744</v>
          </cell>
          <cell r="L282">
            <v>720</v>
          </cell>
          <cell r="M282">
            <v>744</v>
          </cell>
          <cell r="N282">
            <v>2208</v>
          </cell>
          <cell r="S282">
            <v>6600</v>
          </cell>
        </row>
        <row r="283">
          <cell r="C283">
            <v>167282718</v>
          </cell>
          <cell r="D283">
            <v>160805820</v>
          </cell>
          <cell r="E283">
            <v>139573020</v>
          </cell>
          <cell r="F283">
            <v>467661558</v>
          </cell>
          <cell r="G283">
            <v>150889945</v>
          </cell>
          <cell r="H283">
            <v>140749848</v>
          </cell>
          <cell r="I283">
            <v>127701644</v>
          </cell>
          <cell r="J283">
            <v>419341437</v>
          </cell>
          <cell r="K283">
            <v>130576828</v>
          </cell>
          <cell r="L283">
            <v>124422794</v>
          </cell>
          <cell r="M283">
            <v>155141334</v>
          </cell>
          <cell r="N283">
            <v>410140956</v>
          </cell>
          <cell r="S283">
            <v>1297143951</v>
          </cell>
        </row>
        <row r="284">
          <cell r="C284">
            <v>140400</v>
          </cell>
          <cell r="D284">
            <v>136896</v>
          </cell>
          <cell r="E284">
            <v>105840</v>
          </cell>
          <cell r="F284">
            <v>383136</v>
          </cell>
          <cell r="G284">
            <v>121272</v>
          </cell>
          <cell r="H284">
            <v>115320</v>
          </cell>
          <cell r="I284">
            <v>88560</v>
          </cell>
          <cell r="J284">
            <v>325152</v>
          </cell>
          <cell r="K284">
            <v>90024</v>
          </cell>
          <cell r="L284">
            <v>90720</v>
          </cell>
          <cell r="M284">
            <v>113832</v>
          </cell>
          <cell r="N284">
            <v>294576</v>
          </cell>
          <cell r="S284">
            <v>1002864</v>
          </cell>
        </row>
        <row r="285">
          <cell r="C285">
            <v>33311800</v>
          </cell>
          <cell r="D285">
            <v>32478100</v>
          </cell>
          <cell r="E285">
            <v>25068400</v>
          </cell>
          <cell r="F285">
            <v>90858300</v>
          </cell>
          <cell r="G285">
            <v>28538900</v>
          </cell>
          <cell r="H285">
            <v>26879100</v>
          </cell>
          <cell r="I285">
            <v>20962100</v>
          </cell>
          <cell r="J285">
            <v>76380100</v>
          </cell>
          <cell r="K285">
            <v>21252900</v>
          </cell>
          <cell r="L285">
            <v>21419000</v>
          </cell>
          <cell r="M285">
            <v>26994000</v>
          </cell>
          <cell r="N285">
            <v>69665900</v>
          </cell>
          <cell r="S285">
            <v>236904300</v>
          </cell>
        </row>
        <row r="286">
          <cell r="C286">
            <v>5969.8</v>
          </cell>
          <cell r="D286">
            <v>6332.1</v>
          </cell>
          <cell r="E286">
            <v>5706.9</v>
          </cell>
          <cell r="F286">
            <v>18008.800000000003</v>
          </cell>
          <cell r="G286">
            <v>6348.8</v>
          </cell>
          <cell r="H286">
            <v>6528.3</v>
          </cell>
          <cell r="I286">
            <v>5891.1</v>
          </cell>
          <cell r="J286">
            <v>18768.2</v>
          </cell>
          <cell r="K286">
            <v>6332.9</v>
          </cell>
          <cell r="L286">
            <v>6197</v>
          </cell>
          <cell r="M286">
            <v>6089</v>
          </cell>
          <cell r="N286">
            <v>18618.900000000001</v>
          </cell>
          <cell r="S286">
            <v>55395.9</v>
          </cell>
        </row>
        <row r="287">
          <cell r="C287">
            <v>226800</v>
          </cell>
          <cell r="D287">
            <v>217248</v>
          </cell>
          <cell r="E287">
            <v>186480</v>
          </cell>
          <cell r="F287">
            <v>630528</v>
          </cell>
          <cell r="G287">
            <v>204600</v>
          </cell>
          <cell r="H287">
            <v>198648</v>
          </cell>
          <cell r="I287">
            <v>165600</v>
          </cell>
          <cell r="J287">
            <v>568848</v>
          </cell>
          <cell r="K287">
            <v>174096</v>
          </cell>
          <cell r="L287">
            <v>174240</v>
          </cell>
          <cell r="M287">
            <v>211296</v>
          </cell>
          <cell r="N287">
            <v>559632</v>
          </cell>
          <cell r="S287">
            <v>1759008</v>
          </cell>
        </row>
        <row r="290">
          <cell r="C290">
            <v>0</v>
          </cell>
          <cell r="D290">
            <v>0</v>
          </cell>
          <cell r="E290">
            <v>0</v>
          </cell>
          <cell r="G290">
            <v>0</v>
          </cell>
          <cell r="H290">
            <v>0</v>
          </cell>
          <cell r="I290">
            <v>0</v>
          </cell>
          <cell r="K290">
            <v>0</v>
          </cell>
          <cell r="L290">
            <v>0</v>
          </cell>
          <cell r="M290">
            <v>0</v>
          </cell>
          <cell r="S290">
            <v>0</v>
          </cell>
        </row>
        <row r="291">
          <cell r="C291">
            <v>193349</v>
          </cell>
          <cell r="D291">
            <v>186263</v>
          </cell>
          <cell r="E291">
            <v>218111</v>
          </cell>
          <cell r="F291">
            <v>597723</v>
          </cell>
          <cell r="G291">
            <v>194581</v>
          </cell>
          <cell r="H291">
            <v>237777</v>
          </cell>
          <cell r="I291">
            <v>187560</v>
          </cell>
          <cell r="J291">
            <v>619918</v>
          </cell>
          <cell r="K291">
            <v>255772</v>
          </cell>
          <cell r="L291">
            <v>358570</v>
          </cell>
          <cell r="M291">
            <v>242098</v>
          </cell>
          <cell r="N291">
            <v>856440</v>
          </cell>
          <cell r="S291">
            <v>2074081</v>
          </cell>
        </row>
        <row r="292">
          <cell r="C292">
            <v>109884276</v>
          </cell>
          <cell r="D292">
            <v>117666486</v>
          </cell>
          <cell r="E292">
            <v>156827745</v>
          </cell>
          <cell r="F292">
            <v>384378507</v>
          </cell>
          <cell r="G292">
            <v>132074828</v>
          </cell>
          <cell r="H292">
            <v>175926835</v>
          </cell>
          <cell r="I292">
            <v>135694908</v>
          </cell>
          <cell r="J292">
            <v>443696571</v>
          </cell>
          <cell r="K292">
            <v>192340200</v>
          </cell>
          <cell r="L292">
            <v>248534150</v>
          </cell>
          <cell r="M292">
            <v>176428100</v>
          </cell>
          <cell r="N292">
            <v>617302450</v>
          </cell>
          <cell r="S292">
            <v>1445377528</v>
          </cell>
        </row>
        <row r="293">
          <cell r="C293">
            <v>185499</v>
          </cell>
          <cell r="D293">
            <v>178009</v>
          </cell>
          <cell r="E293">
            <v>209156</v>
          </cell>
          <cell r="F293">
            <v>572664</v>
          </cell>
          <cell r="G293">
            <v>193738</v>
          </cell>
          <cell r="H293">
            <v>229553</v>
          </cell>
          <cell r="I293">
            <v>167043</v>
          </cell>
          <cell r="J293">
            <v>590334</v>
          </cell>
          <cell r="K293">
            <v>236080</v>
          </cell>
          <cell r="L293">
            <v>335092</v>
          </cell>
          <cell r="M293">
            <v>220777</v>
          </cell>
          <cell r="N293">
            <v>791949</v>
          </cell>
          <cell r="S293">
            <v>1954947</v>
          </cell>
        </row>
        <row r="294">
          <cell r="C294">
            <v>43388110</v>
          </cell>
          <cell r="D294">
            <v>41940370</v>
          </cell>
          <cell r="E294">
            <v>49578620</v>
          </cell>
          <cell r="F294">
            <v>134907100</v>
          </cell>
          <cell r="G294">
            <v>45087780</v>
          </cell>
          <cell r="H294">
            <v>53531410</v>
          </cell>
          <cell r="I294">
            <v>41578370</v>
          </cell>
          <cell r="J294">
            <v>140197560</v>
          </cell>
          <cell r="K294">
            <v>60790100</v>
          </cell>
          <cell r="L294">
            <v>81876170</v>
          </cell>
          <cell r="M294">
            <v>56185120</v>
          </cell>
          <cell r="N294">
            <v>198851390</v>
          </cell>
          <cell r="S294">
            <v>473956050</v>
          </cell>
        </row>
        <row r="295">
          <cell r="C295">
            <v>6242.33</v>
          </cell>
          <cell r="D295">
            <v>6389.15</v>
          </cell>
          <cell r="E295">
            <v>6973.92</v>
          </cell>
          <cell r="F295">
            <v>19605.400000000001</v>
          </cell>
          <cell r="G295">
            <v>6409.29</v>
          </cell>
          <cell r="H295">
            <v>7662.47</v>
          </cell>
          <cell r="I295">
            <v>6285.92</v>
          </cell>
          <cell r="J295">
            <v>20357.68</v>
          </cell>
          <cell r="K295">
            <v>8432.43</v>
          </cell>
          <cell r="L295">
            <v>9976.18</v>
          </cell>
          <cell r="M295">
            <v>7206.11</v>
          </cell>
          <cell r="N295">
            <v>25614.720000000001</v>
          </cell>
          <cell r="S295">
            <v>65577.8</v>
          </cell>
        </row>
        <row r="299">
          <cell r="C299">
            <v>178720200</v>
          </cell>
          <cell r="D299">
            <v>184782900</v>
          </cell>
          <cell r="E299">
            <v>171787800</v>
          </cell>
          <cell r="F299">
            <v>535290900</v>
          </cell>
          <cell r="G299">
            <v>178452600</v>
          </cell>
          <cell r="H299">
            <v>174493200</v>
          </cell>
          <cell r="I299">
            <v>169062900</v>
          </cell>
          <cell r="J299">
            <v>522008700</v>
          </cell>
          <cell r="K299">
            <v>175490700</v>
          </cell>
          <cell r="L299">
            <v>172341300</v>
          </cell>
          <cell r="M299">
            <v>175908300</v>
          </cell>
          <cell r="N299">
            <v>523740300</v>
          </cell>
          <cell r="S299">
            <v>1581039900</v>
          </cell>
        </row>
        <row r="300">
          <cell r="C300">
            <v>5800000</v>
          </cell>
          <cell r="D300">
            <v>5792000</v>
          </cell>
          <cell r="E300">
            <v>5316000</v>
          </cell>
          <cell r="G300">
            <v>5508000</v>
          </cell>
          <cell r="H300">
            <v>5460000</v>
          </cell>
          <cell r="I300">
            <v>5336000</v>
          </cell>
          <cell r="K300">
            <v>5284000</v>
          </cell>
          <cell r="L300">
            <v>5476000</v>
          </cell>
          <cell r="M300">
            <v>5584000</v>
          </cell>
          <cell r="N300">
            <v>16344000</v>
          </cell>
          <cell r="S300">
            <v>49556000</v>
          </cell>
        </row>
        <row r="301">
          <cell r="C301">
            <v>3356000</v>
          </cell>
          <cell r="D301">
            <v>3444000</v>
          </cell>
          <cell r="E301">
            <v>2432000</v>
          </cell>
          <cell r="F301">
            <v>9232000</v>
          </cell>
          <cell r="G301">
            <v>3464000</v>
          </cell>
          <cell r="H301">
            <v>3692000</v>
          </cell>
          <cell r="I301">
            <v>3444000</v>
          </cell>
          <cell r="J301">
            <v>10600000</v>
          </cell>
          <cell r="K301">
            <v>3300000</v>
          </cell>
          <cell r="L301">
            <v>3348000</v>
          </cell>
          <cell r="M301">
            <v>3452000</v>
          </cell>
          <cell r="N301">
            <v>10100000</v>
          </cell>
          <cell r="S301">
            <v>29932000</v>
          </cell>
        </row>
        <row r="302">
          <cell r="C302">
            <v>5800000</v>
          </cell>
          <cell r="D302">
            <v>5948000</v>
          </cell>
          <cell r="E302">
            <v>5772000</v>
          </cell>
          <cell r="F302">
            <v>17520000</v>
          </cell>
          <cell r="G302">
            <v>5668000</v>
          </cell>
          <cell r="H302">
            <v>6028000</v>
          </cell>
          <cell r="I302">
            <v>5124000</v>
          </cell>
          <cell r="J302">
            <v>16820000</v>
          </cell>
          <cell r="K302">
            <v>5848000</v>
          </cell>
          <cell r="L302">
            <v>5812000</v>
          </cell>
          <cell r="M302">
            <v>6024000</v>
          </cell>
          <cell r="N302">
            <v>17684000</v>
          </cell>
          <cell r="S302">
            <v>52024000</v>
          </cell>
        </row>
        <row r="303">
          <cell r="C303">
            <v>250233300</v>
          </cell>
          <cell r="D303">
            <v>271944000</v>
          </cell>
          <cell r="E303">
            <v>220929300</v>
          </cell>
          <cell r="F303">
            <v>743106600</v>
          </cell>
          <cell r="G303">
            <v>248329800</v>
          </cell>
          <cell r="H303">
            <v>242414100</v>
          </cell>
          <cell r="I303">
            <v>216101700</v>
          </cell>
          <cell r="J303">
            <v>706845600</v>
          </cell>
          <cell r="K303">
            <v>251601300</v>
          </cell>
          <cell r="L303">
            <v>234437400</v>
          </cell>
          <cell r="M303">
            <v>243015300</v>
          </cell>
          <cell r="N303">
            <v>729054000</v>
          </cell>
          <cell r="S303">
            <v>2179006200</v>
          </cell>
        </row>
        <row r="304">
          <cell r="C304">
            <v>16896000</v>
          </cell>
          <cell r="D304">
            <v>18932000</v>
          </cell>
          <cell r="G304">
            <v>16500000</v>
          </cell>
          <cell r="H304">
            <v>13376000</v>
          </cell>
          <cell r="I304">
            <v>10876000</v>
          </cell>
          <cell r="K304">
            <v>18224000</v>
          </cell>
          <cell r="L304">
            <v>15616000</v>
          </cell>
          <cell r="M304">
            <v>14644000</v>
          </cell>
          <cell r="S304">
            <v>139732000</v>
          </cell>
        </row>
        <row r="305">
          <cell r="C305">
            <v>18928000</v>
          </cell>
          <cell r="D305">
            <v>16084000</v>
          </cell>
          <cell r="E305">
            <v>8252000</v>
          </cell>
          <cell r="F305">
            <v>43264000</v>
          </cell>
          <cell r="G305">
            <v>18524000</v>
          </cell>
          <cell r="H305">
            <v>9940000</v>
          </cell>
          <cell r="I305">
            <v>2316000</v>
          </cell>
          <cell r="J305">
            <v>30780000</v>
          </cell>
          <cell r="K305">
            <v>4520000</v>
          </cell>
          <cell r="L305">
            <v>14672000</v>
          </cell>
          <cell r="M305">
            <v>11972000</v>
          </cell>
          <cell r="N305">
            <v>31164000</v>
          </cell>
          <cell r="S305">
            <v>105208000</v>
          </cell>
        </row>
        <row r="306">
          <cell r="C306">
            <v>18248000</v>
          </cell>
          <cell r="D306">
            <v>30636000</v>
          </cell>
          <cell r="E306">
            <v>27556000</v>
          </cell>
          <cell r="G306">
            <v>32492000</v>
          </cell>
          <cell r="H306">
            <v>29860000</v>
          </cell>
          <cell r="I306">
            <v>29332000</v>
          </cell>
          <cell r="J306">
            <v>91684000</v>
          </cell>
          <cell r="K306">
            <v>23268000</v>
          </cell>
          <cell r="L306">
            <v>24820000</v>
          </cell>
          <cell r="M306">
            <v>24884000</v>
          </cell>
          <cell r="N306">
            <v>72972000</v>
          </cell>
          <cell r="S306">
            <v>241096000</v>
          </cell>
        </row>
        <row r="308">
          <cell r="C308">
            <v>4035552</v>
          </cell>
          <cell r="D308">
            <v>4160644</v>
          </cell>
          <cell r="E308">
            <v>3867813</v>
          </cell>
          <cell r="F308">
            <v>12064009</v>
          </cell>
          <cell r="G308">
            <v>4123845</v>
          </cell>
          <cell r="H308">
            <v>4088133</v>
          </cell>
          <cell r="I308">
            <v>4014383</v>
          </cell>
          <cell r="J308">
            <v>12226361</v>
          </cell>
          <cell r="K308">
            <v>4187120</v>
          </cell>
          <cell r="L308">
            <v>4065102</v>
          </cell>
          <cell r="M308">
            <v>4126273</v>
          </cell>
          <cell r="N308">
            <v>12378495</v>
          </cell>
          <cell r="S308">
            <v>36668865</v>
          </cell>
        </row>
        <row r="309">
          <cell r="C309">
            <v>5608.8789999999999</v>
          </cell>
          <cell r="D309">
            <v>5738.5060000000003</v>
          </cell>
          <cell r="E309">
            <v>5543.6059999999998</v>
          </cell>
          <cell r="F309">
            <v>16890.991000000002</v>
          </cell>
          <cell r="G309">
            <v>5724.9520000000002</v>
          </cell>
          <cell r="H309">
            <v>5638.6019999999999</v>
          </cell>
          <cell r="I309">
            <v>5454.473</v>
          </cell>
          <cell r="J309">
            <v>16818.027000000002</v>
          </cell>
          <cell r="K309">
            <v>5625.17</v>
          </cell>
          <cell r="L309">
            <v>5411.7539999999999</v>
          </cell>
          <cell r="M309">
            <v>5527.4809999999998</v>
          </cell>
          <cell r="N309">
            <v>16564.404999999999</v>
          </cell>
          <cell r="S309">
            <v>50273.423000000003</v>
          </cell>
        </row>
        <row r="310">
          <cell r="C310">
            <v>4085309.5000000256</v>
          </cell>
          <cell r="D310">
            <v>4087996</v>
          </cell>
          <cell r="E310">
            <v>3890248</v>
          </cell>
          <cell r="F310">
            <v>12063553.500000026</v>
          </cell>
          <cell r="G310">
            <v>4146818</v>
          </cell>
          <cell r="H310">
            <v>4052661.299999998</v>
          </cell>
          <cell r="I310">
            <v>4027114.0000000005</v>
          </cell>
          <cell r="J310">
            <v>12226593.299999999</v>
          </cell>
          <cell r="K310">
            <v>3975505.2000000016</v>
          </cell>
          <cell r="L310">
            <v>4069586.7999999989</v>
          </cell>
          <cell r="M310">
            <v>4207758.5999999996</v>
          </cell>
          <cell r="N310">
            <v>12252850.6</v>
          </cell>
          <cell r="S310">
            <v>36542997.400000028</v>
          </cell>
        </row>
        <row r="311">
          <cell r="C311">
            <v>7043710.7999999998</v>
          </cell>
          <cell r="D311">
            <v>7297230</v>
          </cell>
          <cell r="E311">
            <v>5103286</v>
          </cell>
          <cell r="F311">
            <v>19444226.800000001</v>
          </cell>
          <cell r="G311">
            <v>7288785</v>
          </cell>
          <cell r="H311">
            <v>7188812.6400000006</v>
          </cell>
          <cell r="I311">
            <v>6961456.8799999952</v>
          </cell>
          <cell r="J311">
            <v>21439054.519999996</v>
          </cell>
          <cell r="K311">
            <v>7072377.2000000048</v>
          </cell>
          <cell r="L311">
            <v>7012884.9200000074</v>
          </cell>
          <cell r="M311">
            <v>7290097.6399999904</v>
          </cell>
          <cell r="N311">
            <v>21375359.760000002</v>
          </cell>
          <cell r="S311">
            <v>62258641.079999998</v>
          </cell>
        </row>
        <row r="312">
          <cell r="C312">
            <v>10292635.000000007</v>
          </cell>
          <cell r="D312">
            <v>10282208</v>
          </cell>
          <cell r="E312">
            <v>10087621</v>
          </cell>
          <cell r="F312">
            <v>30662464.000000007</v>
          </cell>
          <cell r="G312">
            <v>10603028</v>
          </cell>
          <cell r="H312">
            <v>10272825.999999994</v>
          </cell>
          <cell r="I312">
            <v>9228197</v>
          </cell>
          <cell r="J312">
            <v>30104050.999999993</v>
          </cell>
          <cell r="K312">
            <v>10368478</v>
          </cell>
          <cell r="L312">
            <v>10231521.99999998</v>
          </cell>
          <cell r="M312">
            <v>9942711.0000000186</v>
          </cell>
          <cell r="N312">
            <v>30542710.999999996</v>
          </cell>
          <cell r="S312">
            <v>91309226</v>
          </cell>
        </row>
        <row r="313">
          <cell r="C313">
            <v>4676108.0089999912</v>
          </cell>
          <cell r="D313">
            <v>5024704</v>
          </cell>
          <cell r="E313">
            <v>4566037</v>
          </cell>
          <cell r="G313">
            <v>4691659</v>
          </cell>
          <cell r="H313">
            <v>4893447.6740000034</v>
          </cell>
          <cell r="I313">
            <v>4511920.8670000043</v>
          </cell>
          <cell r="J313">
            <v>14097027.541000007</v>
          </cell>
          <cell r="K313">
            <v>4818770.427000002</v>
          </cell>
          <cell r="L313">
            <v>4665435.4539999776</v>
          </cell>
          <cell r="M313">
            <v>4864115.4000000954</v>
          </cell>
          <cell r="N313">
            <v>14348321.281000074</v>
          </cell>
          <cell r="S313">
            <v>42712197.831000075</v>
          </cell>
        </row>
        <row r="314">
          <cell r="C314">
            <v>9478563.5999999885</v>
          </cell>
          <cell r="D314">
            <v>9677370</v>
          </cell>
          <cell r="E314">
            <v>9474945</v>
          </cell>
          <cell r="F314">
            <v>28630878.599999987</v>
          </cell>
          <cell r="G314">
            <v>9839662</v>
          </cell>
          <cell r="H314">
            <v>9664074.9999999851</v>
          </cell>
          <cell r="I314">
            <v>9111912.000000013</v>
          </cell>
          <cell r="J314">
            <v>28615649</v>
          </cell>
          <cell r="K314">
            <v>9767735.1999999918</v>
          </cell>
          <cell r="L314">
            <v>9380681.6000000238</v>
          </cell>
          <cell r="M314">
            <v>9313631.1999999918</v>
          </cell>
          <cell r="N314">
            <v>28462048.000000007</v>
          </cell>
          <cell r="S314">
            <v>85708575.599999994</v>
          </cell>
        </row>
        <row r="315">
          <cell r="C315">
            <v>5733041</v>
          </cell>
          <cell r="D315">
            <v>5258825</v>
          </cell>
          <cell r="E315">
            <v>5580908</v>
          </cell>
          <cell r="F315">
            <v>16572774</v>
          </cell>
          <cell r="G315">
            <v>6130570</v>
          </cell>
          <cell r="H315">
            <v>5634314</v>
          </cell>
          <cell r="I315">
            <v>5769485</v>
          </cell>
          <cell r="J315">
            <v>17534369</v>
          </cell>
          <cell r="K315">
            <v>5732556</v>
          </cell>
          <cell r="L315">
            <v>5132341</v>
          </cell>
          <cell r="M315">
            <v>5237427</v>
          </cell>
          <cell r="N315">
            <v>16102324</v>
          </cell>
          <cell r="S315">
            <v>50209467</v>
          </cell>
        </row>
        <row r="316">
          <cell r="C316">
            <v>17418177</v>
          </cell>
          <cell r="D316">
            <v>17868449</v>
          </cell>
          <cell r="E316">
            <v>16075484</v>
          </cell>
          <cell r="F316">
            <v>51362110</v>
          </cell>
          <cell r="G316">
            <v>18345541</v>
          </cell>
          <cell r="H316">
            <v>17904151</v>
          </cell>
          <cell r="I316">
            <v>15728140</v>
          </cell>
          <cell r="J316">
            <v>51977832</v>
          </cell>
          <cell r="K316">
            <v>18019622</v>
          </cell>
          <cell r="L316">
            <v>17577834</v>
          </cell>
          <cell r="M316">
            <v>17437035</v>
          </cell>
          <cell r="N316">
            <v>53034491</v>
          </cell>
          <cell r="S316">
            <v>156374433</v>
          </cell>
        </row>
        <row r="317">
          <cell r="C317">
            <v>3455619.9500000053</v>
          </cell>
          <cell r="D317">
            <v>3829221</v>
          </cell>
          <cell r="E317">
            <v>3102343</v>
          </cell>
          <cell r="F317">
            <v>10387183.950000005</v>
          </cell>
          <cell r="G317">
            <v>3411958</v>
          </cell>
          <cell r="H317">
            <v>2969918.2999999942</v>
          </cell>
          <cell r="I317">
            <v>2552707.1500000013</v>
          </cell>
          <cell r="J317">
            <v>8934583.4499999955</v>
          </cell>
          <cell r="K317">
            <v>3651198.5000000088</v>
          </cell>
          <cell r="L317">
            <v>3204026.2499999981</v>
          </cell>
          <cell r="M317">
            <v>3105430.8000000007</v>
          </cell>
          <cell r="N317">
            <v>9960655.5500000082</v>
          </cell>
          <cell r="S317">
            <v>29282422.950000007</v>
          </cell>
        </row>
        <row r="318">
          <cell r="C318">
            <v>6735161.999999987</v>
          </cell>
          <cell r="D318">
            <v>10376698</v>
          </cell>
          <cell r="E318">
            <v>9633762</v>
          </cell>
          <cell r="F318">
            <v>26745621.999999985</v>
          </cell>
          <cell r="G318">
            <v>10814240</v>
          </cell>
          <cell r="H318">
            <v>10368799.999999993</v>
          </cell>
          <cell r="I318">
            <v>10316732</v>
          </cell>
          <cell r="J318">
            <v>31499771.999999993</v>
          </cell>
          <cell r="K318">
            <v>8766357.9999999963</v>
          </cell>
          <cell r="L318">
            <v>8904090.0000000149</v>
          </cell>
          <cell r="M318">
            <v>8941579.9999999851</v>
          </cell>
          <cell r="N318">
            <v>26612027.999999996</v>
          </cell>
          <cell r="S318">
            <v>84857421.99999997</v>
          </cell>
        </row>
        <row r="319">
          <cell r="C319">
            <v>6665307.0070000021</v>
          </cell>
          <cell r="D319">
            <v>5871660</v>
          </cell>
          <cell r="E319">
            <v>4736896</v>
          </cell>
          <cell r="F319">
            <v>17273863.007000003</v>
          </cell>
          <cell r="G319">
            <v>6586926</v>
          </cell>
          <cell r="H319">
            <v>5372934.3530000132</v>
          </cell>
          <cell r="I319">
            <v>2446244.3539999877</v>
          </cell>
          <cell r="J319">
            <v>14406104.707</v>
          </cell>
          <cell r="K319">
            <v>3822648.3590000044</v>
          </cell>
          <cell r="L319">
            <v>5018066.3499999922</v>
          </cell>
          <cell r="M319">
            <v>4807283.8300000057</v>
          </cell>
          <cell r="N319">
            <v>13647998.539000003</v>
          </cell>
          <cell r="S319">
            <v>45327966.253000006</v>
          </cell>
        </row>
        <row r="320">
          <cell r="C320">
            <v>2225019.200000003</v>
          </cell>
          <cell r="D320">
            <v>2409235</v>
          </cell>
          <cell r="E320">
            <v>1343533</v>
          </cell>
          <cell r="F320">
            <v>5977787.200000003</v>
          </cell>
          <cell r="G320">
            <v>1131789</v>
          </cell>
          <cell r="H320">
            <v>173427.90000000026</v>
          </cell>
          <cell r="I320">
            <v>1313917.1000000029</v>
          </cell>
          <cell r="J320">
            <v>2619134.0000000033</v>
          </cell>
          <cell r="K320">
            <v>1968113.0000000014</v>
          </cell>
          <cell r="L320">
            <v>1738188.999999996</v>
          </cell>
          <cell r="M320">
            <v>2011042.0000000019</v>
          </cell>
          <cell r="N320">
            <v>5717343.9999999991</v>
          </cell>
          <cell r="S320">
            <v>14314265.200000007</v>
          </cell>
        </row>
        <row r="321">
          <cell r="C321">
            <v>151432304</v>
          </cell>
          <cell r="D321">
            <v>160878951</v>
          </cell>
          <cell r="E321">
            <v>151366128</v>
          </cell>
          <cell r="F321">
            <v>463677383</v>
          </cell>
          <cell r="G321">
            <v>166310516</v>
          </cell>
          <cell r="H321">
            <v>159217611</v>
          </cell>
          <cell r="I321">
            <v>147363406</v>
          </cell>
          <cell r="J321">
            <v>472891533</v>
          </cell>
          <cell r="K321">
            <v>158087405</v>
          </cell>
          <cell r="L321">
            <v>149163739</v>
          </cell>
          <cell r="M321">
            <v>149919895</v>
          </cell>
          <cell r="N321">
            <v>457171039</v>
          </cell>
          <cell r="S321">
            <v>1393739955</v>
          </cell>
        </row>
        <row r="324">
          <cell r="C324">
            <v>90.7</v>
          </cell>
          <cell r="D324">
            <v>90.9</v>
          </cell>
          <cell r="E324">
            <v>90.8</v>
          </cell>
          <cell r="F324">
            <v>90.800000000000011</v>
          </cell>
          <cell r="G324">
            <v>90.6</v>
          </cell>
          <cell r="H324">
            <v>90.4</v>
          </cell>
          <cell r="I324">
            <v>90.5</v>
          </cell>
          <cell r="J324">
            <v>90.5</v>
          </cell>
          <cell r="K324">
            <v>90.8</v>
          </cell>
          <cell r="L324">
            <v>90.8</v>
          </cell>
          <cell r="M324">
            <v>90.5</v>
          </cell>
          <cell r="N324">
            <v>90.7</v>
          </cell>
          <cell r="S324">
            <v>90.666666666666657</v>
          </cell>
        </row>
        <row r="325">
          <cell r="C325">
            <v>81.400000000000006</v>
          </cell>
          <cell r="D325">
            <v>82.2</v>
          </cell>
          <cell r="E325">
            <v>81.599999999999994</v>
          </cell>
          <cell r="F325">
            <v>81.733333333333334</v>
          </cell>
          <cell r="G325">
            <v>81.3</v>
          </cell>
          <cell r="H325">
            <v>80.400000000000006</v>
          </cell>
          <cell r="I325">
            <v>81</v>
          </cell>
          <cell r="J325">
            <v>80.899999999999991</v>
          </cell>
          <cell r="K325">
            <v>80.8</v>
          </cell>
          <cell r="L325">
            <v>81.2</v>
          </cell>
          <cell r="M325">
            <v>81.2</v>
          </cell>
          <cell r="N325">
            <v>81.066666666666663</v>
          </cell>
          <cell r="S325">
            <v>81.233333333333334</v>
          </cell>
        </row>
        <row r="326">
          <cell r="C326">
            <v>0.55000000000000004</v>
          </cell>
          <cell r="D326">
            <v>1.37</v>
          </cell>
          <cell r="E326">
            <v>0.79</v>
          </cell>
          <cell r="F326">
            <v>0.90333333333333332</v>
          </cell>
          <cell r="G326">
            <v>0.08</v>
          </cell>
          <cell r="H326">
            <v>0.04</v>
          </cell>
          <cell r="I326">
            <v>0</v>
          </cell>
          <cell r="J326">
            <v>0.04</v>
          </cell>
          <cell r="K326">
            <v>0</v>
          </cell>
          <cell r="L326">
            <v>0.26</v>
          </cell>
          <cell r="M326">
            <v>0.5</v>
          </cell>
          <cell r="N326">
            <v>0.25333333333333335</v>
          </cell>
          <cell r="S326">
            <v>0.39888888888888885</v>
          </cell>
        </row>
        <row r="327">
          <cell r="C327">
            <v>0.27</v>
          </cell>
          <cell r="D327">
            <v>0.28000000000000003</v>
          </cell>
          <cell r="E327">
            <v>0.16</v>
          </cell>
          <cell r="F327">
            <v>0.23666666666666669</v>
          </cell>
          <cell r="G327">
            <v>0.31</v>
          </cell>
          <cell r="H327">
            <v>0.35</v>
          </cell>
          <cell r="I327">
            <v>0.14000000000000001</v>
          </cell>
          <cell r="J327">
            <v>0.26666666666666666</v>
          </cell>
          <cell r="K327">
            <v>0.24</v>
          </cell>
          <cell r="L327">
            <v>0.08</v>
          </cell>
          <cell r="M327">
            <v>0.17</v>
          </cell>
          <cell r="N327">
            <v>0.16333333333333333</v>
          </cell>
          <cell r="S327">
            <v>0.22222222222222227</v>
          </cell>
        </row>
        <row r="328">
          <cell r="C328">
            <v>0.4</v>
          </cell>
          <cell r="D328">
            <v>0.3</v>
          </cell>
          <cell r="E328">
            <v>0.3</v>
          </cell>
          <cell r="F328">
            <v>0.33333333333333331</v>
          </cell>
          <cell r="G328">
            <v>0.4</v>
          </cell>
          <cell r="H328">
            <v>0.75</v>
          </cell>
          <cell r="I328">
            <v>0.3</v>
          </cell>
          <cell r="J328">
            <v>0.48333333333333334</v>
          </cell>
          <cell r="L328">
            <v>0.6</v>
          </cell>
          <cell r="M328">
            <v>0.8</v>
          </cell>
          <cell r="N328">
            <v>0.6</v>
          </cell>
          <cell r="S328">
            <v>0.47222222222222221</v>
          </cell>
        </row>
        <row r="331">
          <cell r="C331">
            <v>300616</v>
          </cell>
          <cell r="D331">
            <v>346468</v>
          </cell>
          <cell r="E331">
            <v>325890</v>
          </cell>
          <cell r="F331">
            <v>972974</v>
          </cell>
          <cell r="G331">
            <v>408776</v>
          </cell>
          <cell r="H331">
            <v>366599</v>
          </cell>
          <cell r="I331">
            <v>329827</v>
          </cell>
          <cell r="J331">
            <v>1105202</v>
          </cell>
          <cell r="K331">
            <v>351657</v>
          </cell>
          <cell r="L331">
            <v>307440</v>
          </cell>
          <cell r="M331">
            <v>319325</v>
          </cell>
          <cell r="N331">
            <v>978422</v>
          </cell>
          <cell r="S331">
            <v>3056598</v>
          </cell>
        </row>
        <row r="333">
          <cell r="C333">
            <v>1.0389999999999999</v>
          </cell>
          <cell r="D333">
            <v>1.046</v>
          </cell>
          <cell r="E333">
            <v>1.038</v>
          </cell>
          <cell r="F333">
            <v>1.0410000000000001</v>
          </cell>
          <cell r="G333">
            <v>1.028</v>
          </cell>
          <cell r="H333">
            <v>1.0329999999999999</v>
          </cell>
          <cell r="I333">
            <v>1.0720000000000001</v>
          </cell>
          <cell r="J333">
            <v>1.0443333333333333</v>
          </cell>
          <cell r="K333">
            <v>1.054</v>
          </cell>
          <cell r="L333">
            <v>1.0249999999999999</v>
          </cell>
          <cell r="M333">
            <v>1.03</v>
          </cell>
          <cell r="N333">
            <v>1.0363333333333333</v>
          </cell>
          <cell r="S333">
            <v>1.034</v>
          </cell>
        </row>
        <row r="334">
          <cell r="C334">
            <v>6.0839999999999996</v>
          </cell>
          <cell r="D334">
            <v>5.9808000000000003</v>
          </cell>
          <cell r="E334">
            <v>6.0510000000000002</v>
          </cell>
          <cell r="G334">
            <v>5.8810000000000002</v>
          </cell>
          <cell r="H334">
            <v>6.0335999999999999</v>
          </cell>
          <cell r="I334">
            <v>6.0606</v>
          </cell>
          <cell r="J334">
            <v>6.2640000000000002</v>
          </cell>
          <cell r="K334">
            <v>6.0218999999999996</v>
          </cell>
          <cell r="L334">
            <v>6.09</v>
          </cell>
          <cell r="M334">
            <v>6.0408999999999997</v>
          </cell>
          <cell r="S334">
            <v>6.0250000000000004</v>
          </cell>
        </row>
        <row r="335">
          <cell r="C335">
            <v>1552</v>
          </cell>
          <cell r="D335">
            <v>1505</v>
          </cell>
          <cell r="E335">
            <v>1384</v>
          </cell>
          <cell r="F335">
            <v>4441</v>
          </cell>
          <cell r="G335">
            <v>1506</v>
          </cell>
          <cell r="H335">
            <v>1290</v>
          </cell>
          <cell r="I335">
            <v>674</v>
          </cell>
          <cell r="J335">
            <v>3470</v>
          </cell>
          <cell r="K335">
            <v>1080</v>
          </cell>
          <cell r="L335">
            <v>1226</v>
          </cell>
          <cell r="M335">
            <v>1165</v>
          </cell>
          <cell r="N335">
            <v>3471</v>
          </cell>
          <cell r="S335">
            <v>11382</v>
          </cell>
        </row>
        <row r="336">
          <cell r="C336">
            <v>720</v>
          </cell>
          <cell r="D336">
            <v>744</v>
          </cell>
          <cell r="E336">
            <v>720</v>
          </cell>
          <cell r="F336">
            <v>2184</v>
          </cell>
          <cell r="G336">
            <v>744</v>
          </cell>
          <cell r="H336">
            <v>744</v>
          </cell>
          <cell r="I336">
            <v>720</v>
          </cell>
          <cell r="J336">
            <v>2208</v>
          </cell>
          <cell r="K336">
            <v>744</v>
          </cell>
          <cell r="L336">
            <v>720</v>
          </cell>
          <cell r="M336">
            <v>744</v>
          </cell>
          <cell r="N336">
            <v>2208</v>
          </cell>
          <cell r="S336">
            <v>6600</v>
          </cell>
        </row>
        <row r="337">
          <cell r="C337">
            <v>1</v>
          </cell>
          <cell r="D337">
            <v>1</v>
          </cell>
          <cell r="E337">
            <v>1</v>
          </cell>
          <cell r="F337">
            <v>1</v>
          </cell>
          <cell r="G337">
            <v>1</v>
          </cell>
          <cell r="H337">
            <v>1</v>
          </cell>
          <cell r="I337">
            <v>1</v>
          </cell>
          <cell r="J337">
            <v>1</v>
          </cell>
          <cell r="K337">
            <v>1</v>
          </cell>
          <cell r="L337">
            <v>1</v>
          </cell>
          <cell r="M337">
            <v>1</v>
          </cell>
          <cell r="N337">
            <v>1</v>
          </cell>
          <cell r="R337">
            <v>1</v>
          </cell>
          <cell r="S337">
            <v>1</v>
          </cell>
        </row>
        <row r="342">
          <cell r="C342">
            <v>1066854</v>
          </cell>
          <cell r="D342">
            <v>1075372</v>
          </cell>
          <cell r="E342">
            <v>994771</v>
          </cell>
          <cell r="F342">
            <v>3136997</v>
          </cell>
          <cell r="G342">
            <v>1053713</v>
          </cell>
          <cell r="H342">
            <v>1060840</v>
          </cell>
          <cell r="I342">
            <v>982652</v>
          </cell>
          <cell r="J342">
            <v>3097205</v>
          </cell>
          <cell r="K342">
            <v>1054000</v>
          </cell>
          <cell r="L342">
            <v>1044066</v>
          </cell>
          <cell r="M342">
            <v>1055687</v>
          </cell>
          <cell r="S342">
            <v>9387955</v>
          </cell>
        </row>
        <row r="343">
          <cell r="C343">
            <v>20713</v>
          </cell>
          <cell r="D343">
            <v>19972</v>
          </cell>
          <cell r="E343">
            <v>20064</v>
          </cell>
          <cell r="F343">
            <v>60749</v>
          </cell>
          <cell r="G343">
            <v>23300</v>
          </cell>
          <cell r="H343">
            <v>23092</v>
          </cell>
          <cell r="I343">
            <v>20171</v>
          </cell>
          <cell r="J343">
            <v>66563</v>
          </cell>
          <cell r="K343">
            <v>21370</v>
          </cell>
          <cell r="L343">
            <v>21135</v>
          </cell>
          <cell r="M343">
            <v>20547</v>
          </cell>
          <cell r="S343">
            <v>190364</v>
          </cell>
        </row>
        <row r="344">
          <cell r="C344">
            <v>271</v>
          </cell>
          <cell r="D344">
            <v>294</v>
          </cell>
          <cell r="E344">
            <v>271</v>
          </cell>
          <cell r="F344">
            <v>836</v>
          </cell>
          <cell r="G344">
            <v>199</v>
          </cell>
          <cell r="H344">
            <v>156</v>
          </cell>
          <cell r="I344">
            <v>132</v>
          </cell>
          <cell r="J344">
            <v>487</v>
          </cell>
          <cell r="K344">
            <v>129</v>
          </cell>
          <cell r="L344">
            <v>176</v>
          </cell>
          <cell r="M344">
            <v>233</v>
          </cell>
          <cell r="S344">
            <v>1861</v>
          </cell>
        </row>
        <row r="348">
          <cell r="C348">
            <v>79977</v>
          </cell>
          <cell r="D348">
            <v>82879</v>
          </cell>
          <cell r="E348">
            <v>76647</v>
          </cell>
          <cell r="F348">
            <v>239503</v>
          </cell>
          <cell r="G348">
            <v>79802</v>
          </cell>
          <cell r="H348">
            <v>78187.526857142861</v>
          </cell>
          <cell r="I348">
            <v>75777</v>
          </cell>
          <cell r="J348">
            <v>233766.52685714286</v>
          </cell>
          <cell r="K348">
            <v>78452</v>
          </cell>
          <cell r="L348">
            <v>77434.954285714281</v>
          </cell>
          <cell r="M348">
            <v>79218</v>
          </cell>
          <cell r="S348">
            <v>708374.48114285711</v>
          </cell>
        </row>
        <row r="402">
          <cell r="C402">
            <v>1.9902736462398689</v>
          </cell>
          <cell r="D402">
            <v>2.0191294810691285</v>
          </cell>
          <cell r="E402">
            <v>1.8808086813168057</v>
          </cell>
          <cell r="F402">
            <v>1.9647457456995041</v>
          </cell>
          <cell r="G402">
            <v>2.0014122492083763</v>
          </cell>
          <cell r="H402">
            <v>1.9225682574024539</v>
          </cell>
          <cell r="I402">
            <v>1.8047493878497514</v>
          </cell>
          <cell r="J402">
            <v>1.9116165442248649</v>
          </cell>
          <cell r="K402">
            <v>1.9630860570242317</v>
          </cell>
          <cell r="L402">
            <v>1.9200689862125992</v>
          </cell>
          <cell r="M402">
            <v>1.834406595541469</v>
          </cell>
          <cell r="N402">
            <v>1.9059118573825371</v>
          </cell>
          <cell r="O402" t="e">
            <v>#DIV/0!</v>
          </cell>
          <cell r="P402" t="e">
            <v>#DIV/0!</v>
          </cell>
          <cell r="Q402" t="e">
            <v>#DIV/0!</v>
          </cell>
          <cell r="R402" t="e">
            <v>#DIV/0!</v>
          </cell>
          <cell r="S402">
            <v>1.9271797941978552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415"/>
  <sheetViews>
    <sheetView tabSelected="1" topLeftCell="A175" zoomScale="80" zoomScaleNormal="80" workbookViewId="0">
      <selection activeCell="AN198" sqref="AN198"/>
    </sheetView>
  </sheetViews>
  <sheetFormatPr defaultRowHeight="20.25"/>
  <cols>
    <col min="1" max="1" width="9.140625" style="1"/>
    <col min="2" max="2" width="48.85546875" style="1" bestFit="1" customWidth="1"/>
    <col min="3" max="3" width="21.28515625" style="1" customWidth="1"/>
    <col min="4" max="16" width="0" style="1" hidden="1" customWidth="1"/>
    <col min="17" max="17" width="11.42578125" style="1" hidden="1" customWidth="1"/>
    <col min="18" max="18" width="15.28515625" style="1" customWidth="1"/>
    <col min="19" max="19" width="13.5703125" style="1" customWidth="1"/>
    <col min="20" max="20" width="14.28515625" style="1" customWidth="1"/>
    <col min="21" max="21" width="16.85546875" style="1" customWidth="1"/>
    <col min="22" max="22" width="14" style="1" customWidth="1"/>
    <col min="23" max="23" width="16.5703125" style="1" customWidth="1"/>
    <col min="24" max="24" width="0" style="1" hidden="1" customWidth="1"/>
    <col min="25" max="25" width="14" style="1" customWidth="1"/>
    <col min="26" max="26" width="16" style="1" customWidth="1"/>
    <col min="27" max="27" width="17.28515625" style="1" customWidth="1"/>
    <col min="28" max="28" width="0" style="1" hidden="1" customWidth="1"/>
    <col min="29" max="29" width="15" style="1" customWidth="1"/>
    <col min="30" max="31" width="12.5703125" style="1" customWidth="1"/>
    <col min="32" max="36" width="0" style="1" hidden="1" customWidth="1"/>
    <col min="37" max="37" width="13.42578125" style="1" customWidth="1"/>
    <col min="38" max="16384" width="9.140625" style="2"/>
  </cols>
  <sheetData>
    <row r="1" spans="1:37" ht="21" customHeight="1">
      <c r="A1" s="1" t="s">
        <v>0</v>
      </c>
    </row>
    <row r="2" spans="1:37" ht="71.25" customHeight="1">
      <c r="B2" s="8" t="s">
        <v>1</v>
      </c>
      <c r="C2" s="3"/>
      <c r="D2" s="3"/>
      <c r="E2" s="3"/>
      <c r="F2" s="3"/>
      <c r="G2" s="3"/>
      <c r="H2" s="3"/>
      <c r="I2" s="4" t="s">
        <v>2</v>
      </c>
      <c r="J2" s="3"/>
      <c r="K2" s="5" t="s">
        <v>3</v>
      </c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4</v>
      </c>
      <c r="W2" s="6" t="s">
        <v>5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 s="1" customFormat="1">
      <c r="A3" s="7" t="s">
        <v>6</v>
      </c>
      <c r="B3" s="8" t="s">
        <v>7</v>
      </c>
      <c r="C3" s="8" t="s">
        <v>8</v>
      </c>
      <c r="D3" s="3" t="s">
        <v>9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  <c r="J3" s="3" t="s">
        <v>15</v>
      </c>
      <c r="K3" s="3" t="s">
        <v>16</v>
      </c>
      <c r="L3" s="3" t="s">
        <v>17</v>
      </c>
      <c r="M3" s="3" t="s">
        <v>18</v>
      </c>
      <c r="N3" s="3" t="s">
        <v>19</v>
      </c>
      <c r="O3" s="3" t="s">
        <v>20</v>
      </c>
      <c r="P3" s="3" t="s">
        <v>21</v>
      </c>
      <c r="Q3" s="3" t="s">
        <v>22</v>
      </c>
      <c r="R3" s="3" t="s">
        <v>23</v>
      </c>
      <c r="S3" s="3" t="s">
        <v>24</v>
      </c>
      <c r="T3" s="3" t="s">
        <v>25</v>
      </c>
      <c r="U3" s="3" t="s">
        <v>26</v>
      </c>
      <c r="V3" s="3" t="s">
        <v>27</v>
      </c>
      <c r="W3" s="3" t="s">
        <v>28</v>
      </c>
      <c r="X3" s="3" t="s">
        <v>29</v>
      </c>
      <c r="Y3" s="3" t="s">
        <v>30</v>
      </c>
      <c r="Z3" s="3" t="s">
        <v>31</v>
      </c>
      <c r="AA3" s="3" t="s">
        <v>32</v>
      </c>
      <c r="AB3" s="3" t="s">
        <v>33</v>
      </c>
      <c r="AC3" s="3" t="s">
        <v>34</v>
      </c>
      <c r="AD3" s="3" t="s">
        <v>35</v>
      </c>
      <c r="AE3" s="3" t="s">
        <v>36</v>
      </c>
      <c r="AF3" s="3" t="s">
        <v>37</v>
      </c>
      <c r="AG3" s="3" t="s">
        <v>38</v>
      </c>
      <c r="AH3" s="3" t="s">
        <v>39</v>
      </c>
      <c r="AI3" s="3" t="s">
        <v>40</v>
      </c>
      <c r="AJ3" s="3" t="s">
        <v>41</v>
      </c>
      <c r="AK3" s="3" t="s">
        <v>42</v>
      </c>
    </row>
    <row r="4" spans="1:37">
      <c r="B4" s="8" t="s">
        <v>43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 t="s">
        <v>44</v>
      </c>
      <c r="U4" s="3">
        <v>2023</v>
      </c>
      <c r="V4" s="3">
        <v>2023</v>
      </c>
      <c r="W4" s="3">
        <v>2023</v>
      </c>
      <c r="X4" s="3">
        <v>2023</v>
      </c>
      <c r="Y4" s="3">
        <v>2023</v>
      </c>
      <c r="Z4" s="3">
        <v>2023</v>
      </c>
      <c r="AA4" s="3">
        <v>2023</v>
      </c>
      <c r="AB4" s="3">
        <v>2023</v>
      </c>
      <c r="AC4" s="3">
        <v>2023</v>
      </c>
      <c r="AD4" s="3">
        <v>2023</v>
      </c>
      <c r="AE4" s="3">
        <v>2023</v>
      </c>
      <c r="AF4" s="3">
        <v>2023</v>
      </c>
      <c r="AG4" s="3">
        <v>2024</v>
      </c>
      <c r="AH4" s="3">
        <v>2024</v>
      </c>
      <c r="AI4" s="3">
        <v>2024</v>
      </c>
      <c r="AJ4" s="3">
        <v>2024</v>
      </c>
      <c r="AK4" s="3" t="s">
        <v>45</v>
      </c>
    </row>
    <row r="5" spans="1:37">
      <c r="A5" s="1">
        <v>1</v>
      </c>
      <c r="B5" s="8" t="s">
        <v>46</v>
      </c>
      <c r="C5" s="3" t="s">
        <v>47</v>
      </c>
      <c r="D5" s="9">
        <v>77.03893350791256</v>
      </c>
      <c r="E5" s="9">
        <v>75.5</v>
      </c>
      <c r="F5" s="3">
        <v>74.709999999999994</v>
      </c>
      <c r="G5" s="9">
        <v>74.333516538718385</v>
      </c>
      <c r="H5" s="9">
        <v>72.648362439426691</v>
      </c>
      <c r="I5" s="9">
        <v>72.73582333696838</v>
      </c>
      <c r="J5" s="9">
        <v>72.492790983727275</v>
      </c>
      <c r="K5" s="9">
        <v>73.751619183543667</v>
      </c>
      <c r="L5" s="9">
        <v>74.302602620496856</v>
      </c>
      <c r="M5" s="9">
        <v>75.195495049252898</v>
      </c>
      <c r="N5" s="9">
        <v>76.788311418479722</v>
      </c>
      <c r="O5" s="9">
        <v>77.526701737605606</v>
      </c>
      <c r="P5" s="9">
        <v>77.681894898791001</v>
      </c>
      <c r="Q5" s="9">
        <v>77.306846440572102</v>
      </c>
      <c r="R5" s="9">
        <v>77.257597045323436</v>
      </c>
      <c r="S5" s="9">
        <v>77.414250419552815</v>
      </c>
      <c r="T5" s="9">
        <v>77.599999999999994</v>
      </c>
      <c r="U5" s="9">
        <f>(([1]TK1!C10)/[1]TK1!C7)*100</f>
        <v>77.401197892863166</v>
      </c>
      <c r="V5" s="9">
        <f>(([1]TK1!D10)/[1]TK1!D7)*100</f>
        <v>77.7002223558043</v>
      </c>
      <c r="W5" s="9">
        <f>(([1]TK1!E10)/[1]TK1!E7)*100</f>
        <v>77.511724888938389</v>
      </c>
      <c r="X5" s="9">
        <f>(([1]TK1!F10)/[1]TK1!F7)*100</f>
        <v>77.539603534023286</v>
      </c>
      <c r="Y5" s="9">
        <f>(([1]TK1!G10)/[1]TK1!G7)*100</f>
        <v>77.270678249004007</v>
      </c>
      <c r="Z5" s="9">
        <f>(([1]TK1!H10)/[1]TK1!H7)*100</f>
        <v>77.419112208697399</v>
      </c>
      <c r="AA5" s="9">
        <f>(([1]TK1!I10)/[1]TK1!I7)*100</f>
        <v>77.404496364099657</v>
      </c>
      <c r="AB5" s="9">
        <f>(([1]TK1!J10)/[1]TK1!J7)*100</f>
        <v>77.363310869059077</v>
      </c>
      <c r="AC5" s="9">
        <f>(([1]TK1!K10)/[1]TK1!K7)*100</f>
        <v>77.597270836503824</v>
      </c>
      <c r="AD5" s="9">
        <f>(([1]TK1!L10)/[1]TK1!L7)*100</f>
        <v>77.602281383182984</v>
      </c>
      <c r="AE5" s="9">
        <f>(([1]TK1!M10)/[1]TK1!M7)*100</f>
        <v>77.302390357228688</v>
      </c>
      <c r="AF5" s="9">
        <f>(([1]TK1!N10)/[1]TK1!N7)*100</f>
        <v>77.498997560731112</v>
      </c>
      <c r="AG5" s="9" t="e">
        <f>(([1]TK1!O10)/[1]TK1!O7)*100</f>
        <v>#DIV/0!</v>
      </c>
      <c r="AH5" s="9" t="e">
        <f>(([1]TK1!P10)/[1]TK1!P7)*100</f>
        <v>#DIV/0!</v>
      </c>
      <c r="AI5" s="9" t="e">
        <f>(([1]TK1!Q10)/[1]TK1!Q7)*100</f>
        <v>#DIV/0!</v>
      </c>
      <c r="AJ5" s="9"/>
      <c r="AK5" s="9">
        <f>(([1]TK1!S10)/[1]TK1!S7)*100</f>
        <v>77.468467539608895</v>
      </c>
    </row>
    <row r="6" spans="1:37">
      <c r="A6" s="1">
        <v>2</v>
      </c>
      <c r="B6" s="8" t="s">
        <v>48</v>
      </c>
      <c r="C6" s="8" t="s">
        <v>49</v>
      </c>
      <c r="D6" s="9">
        <v>11.285878876361014</v>
      </c>
      <c r="E6" s="9">
        <v>10.79</v>
      </c>
      <c r="F6" s="3">
        <v>10.58</v>
      </c>
      <c r="G6" s="9">
        <v>10.531531116637499</v>
      </c>
      <c r="H6" s="9">
        <v>10.374253197337634</v>
      </c>
      <c r="I6" s="9">
        <v>10.431599857460213</v>
      </c>
      <c r="J6" s="9">
        <v>10.216721829337017</v>
      </c>
      <c r="K6" s="9">
        <v>10.331218356484486</v>
      </c>
      <c r="L6" s="9">
        <v>10.261403202542926</v>
      </c>
      <c r="M6" s="9">
        <v>10.419584785298358</v>
      </c>
      <c r="N6" s="9">
        <v>10.834750388378049</v>
      </c>
      <c r="O6" s="9">
        <v>10.863095021967249</v>
      </c>
      <c r="P6" s="9">
        <v>10.906473029783225</v>
      </c>
      <c r="Q6" s="9">
        <v>10.876820096558887</v>
      </c>
      <c r="R6" s="9">
        <v>10.944045503021686</v>
      </c>
      <c r="S6" s="9">
        <v>11.195826479446286</v>
      </c>
      <c r="T6" s="9">
        <v>12.49</v>
      </c>
      <c r="U6" s="9">
        <f>(([1]TK1!C11+[1]TK1!C12)/[1]TK1!C6)</f>
        <v>11.538214702450409</v>
      </c>
      <c r="V6" s="9">
        <f>(([1]TK1!D11+[1]TK1!D12)/[1]TK1!D6)</f>
        <v>11.451904941531497</v>
      </c>
      <c r="W6" s="9">
        <f>(([1]TK1!E11+[1]TK1!E12)/[1]TK1!E6)</f>
        <v>11.447156071639441</v>
      </c>
      <c r="X6" s="9">
        <f>(([1]TK1!F11+[1]TK1!F12)/[1]TK1!F6)</f>
        <v>11.478937198067634</v>
      </c>
      <c r="Y6" s="9">
        <f>(([1]TK1!G11+[1]TK1!G12)/[1]TK1!G6)</f>
        <v>10.929169410215408</v>
      </c>
      <c r="Z6" s="9">
        <f>(([1]TK1!H11+[1]TK1!H12)/[1]TK1!H6)</f>
        <v>10.625931587999236</v>
      </c>
      <c r="AA6" s="9">
        <f>(([1]TK1!I11+[1]TK1!I12)/[1]TK1!I6)</f>
        <v>10.525717111770524</v>
      </c>
      <c r="AB6" s="9">
        <f>(([1]TK1!J11+[1]TK1!J12)/[1]TK1!J6)</f>
        <v>10.696766751049443</v>
      </c>
      <c r="AC6" s="9">
        <f>(([1]TK1!K11+[1]TK1!K12)/[1]TK1!K6)</f>
        <v>10.62508377213978</v>
      </c>
      <c r="AD6" s="9">
        <f>(([1]TK1!L11+[1]TK1!L12)/[1]TK1!L6)</f>
        <v>10.835490196078432</v>
      </c>
      <c r="AE6" s="9">
        <f>(([1]TK1!M11+[1]TK1!M12)/[1]TK1!M6)</f>
        <v>10.918809980806142</v>
      </c>
      <c r="AF6" s="9">
        <f>(([1]TK1!N11+[1]TK1!N12)/[1]TK1!N6)</f>
        <v>10.79269274102688</v>
      </c>
      <c r="AG6" s="9" t="e">
        <f>(([1]TK1!O11+[1]TK1!O12)/[1]TK1!O6)</f>
        <v>#DIV/0!</v>
      </c>
      <c r="AH6" s="9" t="e">
        <f>(([1]TK1!P11+[1]TK1!P12)/[1]TK1!P6)</f>
        <v>#DIV/0!</v>
      </c>
      <c r="AI6" s="9" t="e">
        <f>(([1]TK1!Q11+[1]TK1!Q12)/[1]TK1!Q6)</f>
        <v>#DIV/0!</v>
      </c>
      <c r="AJ6" s="9"/>
      <c r="AK6" s="9">
        <f>(([1]TK1!S11+[1]TK1!S12)/[1]TK1!S6)</f>
        <v>10.98894151432674</v>
      </c>
    </row>
    <row r="7" spans="1:37">
      <c r="A7" s="1">
        <v>3</v>
      </c>
      <c r="B7" s="8" t="s">
        <v>48</v>
      </c>
      <c r="C7" s="3" t="s">
        <v>50</v>
      </c>
      <c r="D7" s="9">
        <v>71.436476483297227</v>
      </c>
      <c r="E7" s="9">
        <v>68.77</v>
      </c>
      <c r="F7" s="9">
        <v>68.05</v>
      </c>
      <c r="G7" s="9">
        <v>67.573730317733293</v>
      </c>
      <c r="H7" s="9">
        <v>66.504069934231566</v>
      </c>
      <c r="I7" s="9">
        <v>66.981568390715069</v>
      </c>
      <c r="J7" s="9">
        <v>65.371989302520689</v>
      </c>
      <c r="K7" s="9">
        <v>65.843022579369077</v>
      </c>
      <c r="L7" s="9">
        <v>65.466352902562178</v>
      </c>
      <c r="M7" s="9">
        <v>66.767987326552927</v>
      </c>
      <c r="N7" s="9">
        <v>69.630478600975181</v>
      </c>
      <c r="O7" s="9">
        <v>70.137306476871004</v>
      </c>
      <c r="P7" s="9">
        <v>70.445595141049637</v>
      </c>
      <c r="Q7" s="9">
        <v>68.312191456551588</v>
      </c>
      <c r="R7" s="9">
        <v>68.366967750340876</v>
      </c>
      <c r="S7" s="9">
        <v>69.603231730000161</v>
      </c>
      <c r="T7" s="9">
        <v>71</v>
      </c>
      <c r="U7" s="9">
        <f>(([1]TK1!C11+[1]TK1!C12)/[1]TK1!C7)*100</f>
        <v>71.355807856060423</v>
      </c>
      <c r="V7" s="9">
        <f>(([1]TK1!D11+[1]TK1!D12)/[1]TK1!D7)*100</f>
        <v>70.871389636235236</v>
      </c>
      <c r="W7" s="9">
        <f>(([1]TK1!E11+[1]TK1!E12)/[1]TK1!E7)*100</f>
        <v>71.974112435188275</v>
      </c>
      <c r="X7" s="9">
        <f>(([1]TK1!F11+[1]TK1!F12)/[1]TK1!F7)*100</f>
        <v>71.389713997287998</v>
      </c>
      <c r="Y7" s="9">
        <f>(([1]TK1!G11+[1]TK1!G12)/[1]TK1!G7)*100</f>
        <v>70.778152755272359</v>
      </c>
      <c r="Z7" s="9">
        <f>(([1]TK1!H11+[1]TK1!H12)/[1]TK1!H7)*100</f>
        <v>69.706409597472756</v>
      </c>
      <c r="AA7" s="9">
        <f>(([1]TK1!I11+[1]TK1!I12)/[1]TK1!I7)*100</f>
        <v>69.526385594909087</v>
      </c>
      <c r="AB7" s="9">
        <f>(([1]TK1!J11+[1]TK1!J12)/[1]TK1!J7)*100</f>
        <v>70.017640013675731</v>
      </c>
      <c r="AC7" s="9">
        <f>(([1]TK1!K11+[1]TK1!K12)/[1]TK1!K7)*100</f>
        <v>70.371709024501598</v>
      </c>
      <c r="AD7" s="9">
        <f>(([1]TK1!L11+[1]TK1!L12)/[1]TK1!L7)*100</f>
        <v>69.575891873516696</v>
      </c>
      <c r="AE7" s="9">
        <f>(([1]TK1!M11+[1]TK1!M12)/[1]TK1!M7)*100</f>
        <v>70.110983072154397</v>
      </c>
      <c r="AF7" s="9">
        <f>(([1]TK1!N11+[1]TK1!N12)/[1]TK1!N7)*100</f>
        <v>70.019338724228959</v>
      </c>
      <c r="AG7" s="9" t="e">
        <f>(([1]TK1!O11+[1]TK1!O12)/[1]TK1!O7)*100</f>
        <v>#DIV/0!</v>
      </c>
      <c r="AH7" s="9" t="e">
        <f>(([1]TK1!P11+[1]TK1!P12)/[1]TK1!P7)*100</f>
        <v>#DIV/0!</v>
      </c>
      <c r="AI7" s="9" t="e">
        <f>(([1]TK1!Q11+[1]TK1!Q12)/[1]TK1!Q7)*100</f>
        <v>#DIV/0!</v>
      </c>
      <c r="AJ7" s="9"/>
      <c r="AK7" s="9">
        <f>(([1]TK1!S11+[1]TK1!S12)/[1]TK1!S7)*100</f>
        <v>70.489053854349251</v>
      </c>
    </row>
    <row r="8" spans="1:37">
      <c r="A8" s="1">
        <v>4</v>
      </c>
      <c r="B8" s="8" t="s">
        <v>51</v>
      </c>
      <c r="C8" s="8" t="s">
        <v>49</v>
      </c>
      <c r="D8" s="9">
        <v>10.847320187859493</v>
      </c>
      <c r="E8" s="9">
        <v>10.6</v>
      </c>
      <c r="F8" s="9">
        <v>10.32</v>
      </c>
      <c r="G8" s="9">
        <v>10.226351662521875</v>
      </c>
      <c r="H8" s="9">
        <v>10.119549003127295</v>
      </c>
      <c r="I8" s="9">
        <v>10.147938101339722</v>
      </c>
      <c r="J8" s="9">
        <v>10.088839679024693</v>
      </c>
      <c r="K8" s="9">
        <v>10.191078151369597</v>
      </c>
      <c r="L8" s="9">
        <v>10.154017877649263</v>
      </c>
      <c r="M8" s="9">
        <v>10.202987548099298</v>
      </c>
      <c r="N8" s="9">
        <v>10.66773733047823</v>
      </c>
      <c r="O8" s="9">
        <v>10.69811372136088</v>
      </c>
      <c r="P8" s="9">
        <v>10.756899202758792</v>
      </c>
      <c r="Q8" s="9">
        <v>10.553847929369674</v>
      </c>
      <c r="R8" s="9">
        <v>10.575747521428289</v>
      </c>
      <c r="S8" s="9">
        <v>10.876510835101438</v>
      </c>
      <c r="T8" s="9">
        <v>11.25</v>
      </c>
      <c r="U8" s="9">
        <f>(([1]TK1!C11)/[1]TK1!C6)</f>
        <v>11.240178918708674</v>
      </c>
      <c r="V8" s="9">
        <f>(([1]TK1!D11)/[1]TK1!D6)</f>
        <v>11.231516408902301</v>
      </c>
      <c r="W8" s="9">
        <f>(([1]TK1!E11)/[1]TK1!E6)</f>
        <v>11.053827986616808</v>
      </c>
      <c r="X8" s="9">
        <f>(([1]TK1!F11)/[1]TK1!F6)</f>
        <v>11.176231884057971</v>
      </c>
      <c r="Y8" s="9">
        <f>(([1]TK1!G11)/[1]TK1!G6)</f>
        <v>10.73182202991252</v>
      </c>
      <c r="Z8" s="9">
        <f>(([1]TK1!H11)/[1]TK1!H6)</f>
        <v>10.529619721001337</v>
      </c>
      <c r="AA8" s="9">
        <f>(([1]TK1!I11)/[1]TK1!I6)</f>
        <v>10.455885262116716</v>
      </c>
      <c r="AB8" s="9">
        <f>(([1]TK1!J11)/[1]TK1!J6)</f>
        <v>10.574614669785625</v>
      </c>
      <c r="AC8" s="9">
        <f>(([1]TK1!K11)/[1]TK1!K6)</f>
        <v>10.458018190521781</v>
      </c>
      <c r="AD8" s="9">
        <f>(([1]TK1!L11)/[1]TK1!L6)</f>
        <v>10.596470588235293</v>
      </c>
      <c r="AE8" s="9">
        <f>(([1]TK1!M11)/[1]TK1!M6)</f>
        <v>10.708637236084453</v>
      </c>
      <c r="AF8" s="9">
        <f>(([1]TK1!N11)/[1]TK1!N6)</f>
        <v>10.587542250120714</v>
      </c>
      <c r="AG8" s="9" t="e">
        <f>(([1]TK1!O11)/[1]TK1!O6)</f>
        <v>#DIV/0!</v>
      </c>
      <c r="AH8" s="9" t="e">
        <f>(([1]TK1!P11)/[1]TK1!P6)</f>
        <v>#DIV/0!</v>
      </c>
      <c r="AI8" s="9" t="e">
        <f>(([1]TK1!Q11)/[1]TK1!Q6)</f>
        <v>#DIV/0!</v>
      </c>
      <c r="AJ8" s="9"/>
      <c r="AK8" s="9">
        <f>(([1]TK1!S11)/[1]TK1!S6)</f>
        <v>10.779087460620218</v>
      </c>
    </row>
    <row r="9" spans="1:37">
      <c r="A9" s="1">
        <v>5</v>
      </c>
      <c r="B9" s="8" t="s">
        <v>51</v>
      </c>
      <c r="C9" s="3" t="s">
        <v>50</v>
      </c>
      <c r="D9" s="9">
        <v>68.660521878352341</v>
      </c>
      <c r="E9" s="9">
        <v>67.55</v>
      </c>
      <c r="F9" s="9">
        <v>66.34</v>
      </c>
      <c r="G9" s="9">
        <v>65.615599643044987</v>
      </c>
      <c r="H9" s="9">
        <v>64.871290665970264</v>
      </c>
      <c r="I9" s="9">
        <v>65.160169029443836</v>
      </c>
      <c r="J9" s="9">
        <v>64.553731675284993</v>
      </c>
      <c r="K9" s="9">
        <v>64.949879643921832</v>
      </c>
      <c r="L9" s="9">
        <v>64.781249175783103</v>
      </c>
      <c r="M9" s="9">
        <v>65.380047030824613</v>
      </c>
      <c r="N9" s="9">
        <v>68.557154459917811</v>
      </c>
      <c r="O9" s="9">
        <v>69.072108757419755</v>
      </c>
      <c r="P9" s="9">
        <v>69.479488386511591</v>
      </c>
      <c r="Q9" s="9">
        <v>66.283755174227949</v>
      </c>
      <c r="R9" s="9">
        <v>66.06622656435448</v>
      </c>
      <c r="S9" s="9">
        <v>67.618081207245012</v>
      </c>
      <c r="T9" s="10">
        <v>69.5</v>
      </c>
      <c r="U9" s="9">
        <f>(([1]TK1!C11)/[1]TK1!C7)*100</f>
        <v>69.512664469727952</v>
      </c>
      <c r="V9" s="9">
        <f>(([1]TK1!D11)/[1]TK1!D7)*100</f>
        <v>69.507490647633162</v>
      </c>
      <c r="W9" s="9">
        <f>(([1]TK1!E11)/[1]TK1!E7)*100</f>
        <v>69.501058024278876</v>
      </c>
      <c r="X9" s="9">
        <f>(([1]TK1!F11)/[1]TK1!F7)*100</f>
        <v>69.507131540416736</v>
      </c>
      <c r="Y9" s="9">
        <f>(([1]TK1!G11)/[1]TK1!G7)*100</f>
        <v>69.500115742150854</v>
      </c>
      <c r="Z9" s="9">
        <f>(([1]TK1!H11)/[1]TK1!H7)*100</f>
        <v>69.074601045492727</v>
      </c>
      <c r="AA9" s="9">
        <f>(([1]TK1!I11)/[1]TK1!I7)*100</f>
        <v>69.065119530632373</v>
      </c>
      <c r="AB9" s="9">
        <f>(([1]TK1!J11)/[1]TK1!J7)*100</f>
        <v>69.218071260621244</v>
      </c>
      <c r="AC9" s="9">
        <f>(([1]TK1!K11)/[1]TK1!K7)*100</f>
        <v>69.265205701821131</v>
      </c>
      <c r="AD9" s="9">
        <f>(([1]TK1!L11)/[1]TK1!L7)*100</f>
        <v>68.041120295119327</v>
      </c>
      <c r="AE9" s="9">
        <f>(([1]TK1!M11)/[1]TK1!M7)*100</f>
        <v>68.761438774441231</v>
      </c>
      <c r="AF9" s="9">
        <f>(([1]TK1!N11)/[1]TK1!N7)*100</f>
        <v>68.688391753266274</v>
      </c>
      <c r="AG9" s="9" t="e">
        <f>(([1]TK1!O11)/[1]TK1!O7)*100</f>
        <v>#DIV/0!</v>
      </c>
      <c r="AH9" s="9" t="e">
        <f>(([1]TK1!P11)/[1]TK1!P7)*100</f>
        <v>#DIV/0!</v>
      </c>
      <c r="AI9" s="9" t="e">
        <f>(([1]TK1!Q11)/[1]TK1!Q7)*100</f>
        <v>#DIV/0!</v>
      </c>
      <c r="AJ9" s="9"/>
      <c r="AK9" s="9">
        <f>(([1]TK1!S11)/[1]TK1!S7)*100</f>
        <v>69.142935697838269</v>
      </c>
    </row>
    <row r="10" spans="1:37">
      <c r="A10" s="1">
        <v>6</v>
      </c>
      <c r="B10" s="8" t="s">
        <v>52</v>
      </c>
      <c r="C10" s="8" t="s">
        <v>53</v>
      </c>
      <c r="D10" s="11">
        <v>320.0005121584752</v>
      </c>
      <c r="E10" s="11">
        <v>319</v>
      </c>
      <c r="F10" s="11">
        <v>318</v>
      </c>
      <c r="G10" s="11">
        <v>324.61384047735834</v>
      </c>
      <c r="H10" s="11">
        <v>318.45093483008407</v>
      </c>
      <c r="I10" s="11">
        <v>309.01522822869606</v>
      </c>
      <c r="J10" s="11">
        <v>314.76865634500086</v>
      </c>
      <c r="K10" s="11">
        <v>312.49092194233282</v>
      </c>
      <c r="L10" s="11">
        <v>309.50467548267613</v>
      </c>
      <c r="M10" s="11">
        <v>302.41027250374725</v>
      </c>
      <c r="N10" s="11">
        <v>298.90326273055075</v>
      </c>
      <c r="O10" s="11">
        <v>299.81391706443918</v>
      </c>
      <c r="P10" s="11">
        <v>304.92819268604052</v>
      </c>
      <c r="Q10" s="11">
        <v>316.71280371863617</v>
      </c>
      <c r="R10" s="11">
        <v>318.99158586192118</v>
      </c>
      <c r="S10" s="11">
        <v>319.72036067804009</v>
      </c>
      <c r="T10" s="3">
        <v>317</v>
      </c>
      <c r="U10" s="11">
        <f>(([1]TK1!C13)/([1]TK1!C7+[1]TK1!C19))*1000</f>
        <v>319.78775980231433</v>
      </c>
      <c r="V10" s="11">
        <f>(([1]TK1!D13)/([1]TK1!D7+[1]TK1!D19)*1000)</f>
        <v>320.13828533905013</v>
      </c>
      <c r="W10" s="11">
        <f>(([1]TK1!E13)/([1]TK1!E7+[1]TK1!E19)*1000)</f>
        <v>319.12581502052643</v>
      </c>
      <c r="X10" s="11">
        <f>(([1]TK1!F13)/([1]TK1!F7+[1]TK1!F19)*1000)</f>
        <v>319.6966723931032</v>
      </c>
      <c r="Y10" s="11">
        <f>(([1]TK1!G13)/([1]TK1!G7+[1]TK1!G19)*1000)</f>
        <v>318.89420809923035</v>
      </c>
      <c r="Z10" s="11">
        <f>(([1]TK1!H13)/([1]TK1!H7+[1]TK1!H19)*1000)</f>
        <v>320.00788628961999</v>
      </c>
      <c r="AA10" s="11">
        <f>(([1]TK1!I13)/([1]TK1!I7+[1]TK1!I19)*1000)</f>
        <v>320.20299763789177</v>
      </c>
      <c r="AB10" s="11">
        <f>(([1]TK1!J13)/([1]TK1!J7+[1]TK1!J19)*1000)</f>
        <v>319.68990132659241</v>
      </c>
      <c r="AC10" s="11">
        <f>(([1]TK1!K13)/([1]TK1!K7+[1]TK1!K19)*1000)</f>
        <v>318.93390573293976</v>
      </c>
      <c r="AD10" s="11">
        <f>(([1]TK1!L13)/([1]TK1!L7+[1]TK1!L19)*1000)</f>
        <v>320.38028724276381</v>
      </c>
      <c r="AE10" s="11">
        <f>(([1]TK1!M13)/([1]TK1!M7+[1]TK1!M19)*1000)</f>
        <v>320.92754126443964</v>
      </c>
      <c r="AF10" s="11">
        <f>(([1]TK1!N13)/([1]TK1!N7+[1]TK1!N19)*1000)</f>
        <v>320.07981899913898</v>
      </c>
      <c r="AG10" s="11" t="e">
        <f>(([1]TK1!O13)/([1]TK1!O7+[1]TK1!O19)*1000)</f>
        <v>#DIV/0!</v>
      </c>
      <c r="AH10" s="11" t="e">
        <f>(([1]TK1!P13)/([1]TK1!P7+[1]TK1!P19)*1000)</f>
        <v>#DIV/0!</v>
      </c>
      <c r="AI10" s="11" t="e">
        <f>(([1]TK1!Q13)/([1]TK1!Q7+[1]TK1!Q19)*1000)</f>
        <v>#DIV/0!</v>
      </c>
      <c r="AJ10" s="11"/>
      <c r="AK10" s="11">
        <f>(([1]TK1!S13)/([1]TK1!S7+[1]TK1!S19)*1000)</f>
        <v>319.82149818099265</v>
      </c>
    </row>
    <row r="11" spans="1:37">
      <c r="A11" s="1">
        <v>7</v>
      </c>
      <c r="B11" s="8" t="s">
        <v>54</v>
      </c>
      <c r="C11" s="8" t="s">
        <v>49</v>
      </c>
      <c r="D11" s="9">
        <v>15.79848199679865</v>
      </c>
      <c r="E11" s="9">
        <v>15.69</v>
      </c>
      <c r="F11" s="9">
        <v>15.55</v>
      </c>
      <c r="G11" s="9">
        <v>15.585244542691351</v>
      </c>
      <c r="H11" s="9">
        <v>15.599426031515261</v>
      </c>
      <c r="I11" s="9">
        <v>15.573836367358389</v>
      </c>
      <c r="J11" s="9">
        <v>15.628592518513226</v>
      </c>
      <c r="K11" s="9">
        <v>15.690680578995197</v>
      </c>
      <c r="L11" s="9">
        <v>15.67431626719093</v>
      </c>
      <c r="M11" s="9">
        <v>15.605659542106039</v>
      </c>
      <c r="N11" s="9">
        <v>15.560356048200864</v>
      </c>
      <c r="O11" s="9">
        <v>15.488326495043752</v>
      </c>
      <c r="P11" s="9">
        <v>15.482122065894607</v>
      </c>
      <c r="Q11" s="9">
        <v>15.922223931985613</v>
      </c>
      <c r="R11" s="9">
        <v>16.007797132361656</v>
      </c>
      <c r="S11" s="9">
        <v>16.085210702394292</v>
      </c>
      <c r="T11" s="9">
        <v>16.18</v>
      </c>
      <c r="U11" s="9">
        <f>[1]TK1!C7/[1]TK1!C6</f>
        <v>16.169972773239984</v>
      </c>
      <c r="V11" s="9">
        <f>[1]TK1!D7/[1]TK1!D6</f>
        <v>16.158713692946058</v>
      </c>
      <c r="W11" s="9">
        <f>[1]TK1!E7/[1]TK1!E6</f>
        <v>15.904546349143869</v>
      </c>
      <c r="X11" s="9">
        <f>[1]TK1!F7/[1]TK1!F6</f>
        <v>16.07925925925926</v>
      </c>
      <c r="Y11" s="9">
        <f>[1]TK1!G7/[1]TK1!G6</f>
        <v>15.441444831154172</v>
      </c>
      <c r="Z11" s="9">
        <f>[1]TK1!H7/[1]TK1!H6</f>
        <v>15.243837187081979</v>
      </c>
      <c r="AA11" s="9">
        <f>[1]TK1!I7/[1]TK1!I6</f>
        <v>15.139169139465876</v>
      </c>
      <c r="AB11" s="9">
        <f>[1]TK1!J7/[1]TK1!J6</f>
        <v>15.277245489793957</v>
      </c>
      <c r="AC11" s="9">
        <f>[1]TK1!K7/[1]TK1!K6</f>
        <v>15.098516036381044</v>
      </c>
      <c r="AD11" s="9">
        <f>[1]TK1!L7/[1]TK1!L6</f>
        <v>15.573627450980393</v>
      </c>
      <c r="AE11" s="9">
        <f>[1]TK1!M7/[1]TK1!M6</f>
        <v>15.573608445297506</v>
      </c>
      <c r="AF11" s="9">
        <f>[1]TK1!N7/[1]TK1!N6</f>
        <v>15.41387413487848</v>
      </c>
      <c r="AG11" s="9" t="e">
        <f>[1]TK1!O7/[1]TK1!O6</f>
        <v>#DIV/0!</v>
      </c>
      <c r="AH11" s="9" t="e">
        <f>[1]TK1!P7/[1]TK1!P6</f>
        <v>#DIV/0!</v>
      </c>
      <c r="AI11" s="9" t="e">
        <f>[1]TK1!Q7/[1]TK1!Q6</f>
        <v>#DIV/0!</v>
      </c>
      <c r="AJ11" s="9"/>
      <c r="AK11" s="9">
        <f>[1]TK1!S7/[1]TK1!S6</f>
        <v>15.58957159083603</v>
      </c>
    </row>
    <row r="12" spans="1:37">
      <c r="A12" s="1">
        <v>8</v>
      </c>
      <c r="B12" s="8" t="s">
        <v>55</v>
      </c>
      <c r="C12" s="8" t="s">
        <v>47</v>
      </c>
      <c r="D12" s="9">
        <v>68.546313909760997</v>
      </c>
      <c r="E12" s="9">
        <v>74.28</v>
      </c>
      <c r="F12" s="9">
        <v>76.430000000000007</v>
      </c>
      <c r="G12" s="9">
        <v>74.429621673338417</v>
      </c>
      <c r="H12" s="9">
        <v>75.851588209790108</v>
      </c>
      <c r="I12" s="9">
        <v>74.250801395957126</v>
      </c>
      <c r="J12" s="9">
        <v>78.358787061054045</v>
      </c>
      <c r="K12" s="9">
        <v>84.696346907986836</v>
      </c>
      <c r="L12" s="9">
        <v>88.700791018880182</v>
      </c>
      <c r="M12" s="9">
        <v>80.694406531215151</v>
      </c>
      <c r="N12" s="9">
        <v>81.240174683186154</v>
      </c>
      <c r="O12" s="9">
        <v>87.659131101486793</v>
      </c>
      <c r="P12" s="9">
        <v>89.180622034881026</v>
      </c>
      <c r="Q12" s="9">
        <v>90.82</v>
      </c>
      <c r="R12" s="9">
        <v>90.82</v>
      </c>
      <c r="S12" s="9">
        <v>88.628518012150437</v>
      </c>
      <c r="T12" s="9">
        <v>85</v>
      </c>
      <c r="U12" s="9">
        <f>[1]TK1!C9/[1]TK1!C8*100</f>
        <v>92.573345249522802</v>
      </c>
      <c r="V12" s="9">
        <f>[1]TK1!D9/[1]TK1!D8*100</f>
        <v>89.564304179233091</v>
      </c>
      <c r="W12" s="9">
        <f>[1]TK1!E9/[1]TK1!E8*100</f>
        <v>87.096939385145873</v>
      </c>
      <c r="X12" s="9">
        <f>[1]TK1!F9/[1]TK1!F8*100</f>
        <v>89.770312975059653</v>
      </c>
      <c r="Y12" s="9">
        <f>[1]TK1!G9/[1]TK1!G8*100</f>
        <v>86.541906236178676</v>
      </c>
      <c r="Z12" s="9">
        <f>[1]TK1!H9/[1]TK1!H8*100</f>
        <v>88.011949232638727</v>
      </c>
      <c r="AA12" s="9">
        <f>[1]TK1!I9/[1]TK1!I8*100</f>
        <v>85.704480367328586</v>
      </c>
      <c r="AB12" s="9">
        <f>[1]TK1!J9/[1]TK1!J8*100</f>
        <v>86.768908868993023</v>
      </c>
      <c r="AC12" s="9">
        <f>[1]TK1!K9/[1]TK1!K8*100</f>
        <v>85.687978659323633</v>
      </c>
      <c r="AD12" s="9">
        <f>[1]TK1!L9/[1]TK1!L8*100</f>
        <v>86.982636932389184</v>
      </c>
      <c r="AE12" s="9">
        <v>92</v>
      </c>
      <c r="AF12" s="9">
        <f>[1]TK1!N9/[1]TK1!N8*100</f>
        <v>86.893490104790814</v>
      </c>
      <c r="AG12" s="9" t="e">
        <f>[1]TK1!O9/[1]TK1!O8*100</f>
        <v>#DIV/0!</v>
      </c>
      <c r="AH12" s="9" t="e">
        <f>[1]TK1!P9/[1]TK1!P8*100</f>
        <v>#DIV/0!</v>
      </c>
      <c r="AI12" s="9" t="e">
        <f>[1]TK1!Q9/[1]TK1!Q8*100</f>
        <v>#DIV/0!</v>
      </c>
      <c r="AJ12" s="9"/>
      <c r="AK12" s="9">
        <f>[1]TK1!S9/[1]TK1!S8*100</f>
        <v>87.832461127452973</v>
      </c>
    </row>
    <row r="13" spans="1:37">
      <c r="A13" s="1">
        <v>9</v>
      </c>
      <c r="B13" s="8" t="s">
        <v>56</v>
      </c>
      <c r="C13" s="8" t="s">
        <v>47</v>
      </c>
      <c r="D13" s="9">
        <v>8.6308333333333334</v>
      </c>
      <c r="E13" s="9">
        <v>8.7200000000000006</v>
      </c>
      <c r="F13" s="9">
        <v>8.4</v>
      </c>
      <c r="G13" s="9">
        <v>8.4</v>
      </c>
      <c r="H13" s="9">
        <v>8.1958333333333329</v>
      </c>
      <c r="I13" s="9">
        <v>8.1091666666666669</v>
      </c>
      <c r="J13" s="9">
        <v>8.2008333333333336</v>
      </c>
      <c r="K13" s="9">
        <v>7.9666666666666668</v>
      </c>
      <c r="L13" s="9">
        <v>8.2916666666666661</v>
      </c>
      <c r="M13" s="9">
        <v>9.0250000000000004</v>
      </c>
      <c r="N13" s="9">
        <v>8.9833333333333343</v>
      </c>
      <c r="O13" s="9">
        <v>9.1166666666666654</v>
      </c>
      <c r="P13" s="9">
        <v>8.9499999999999993</v>
      </c>
      <c r="Q13" s="9">
        <v>8.35</v>
      </c>
      <c r="R13" s="9">
        <v>8.2750000000000004</v>
      </c>
      <c r="S13" s="9">
        <v>8.4583333333333321</v>
      </c>
      <c r="T13" s="9">
        <v>8.9</v>
      </c>
      <c r="U13" s="9">
        <f>[1]TK1!C15/[1]TK1!C337</f>
        <v>8.5</v>
      </c>
      <c r="V13" s="9">
        <f>[1]TK1!D15/[1]TK1!D337</f>
        <v>8.3000000000000007</v>
      </c>
      <c r="W13" s="9">
        <f>[1]TK1!E15/[1]TK1!E337</f>
        <v>8.3000000000000007</v>
      </c>
      <c r="X13" s="9">
        <f>[1]TK1!F15/[1]TK1!F337</f>
        <v>8.3666666666666671</v>
      </c>
      <c r="Y13" s="9">
        <f>[1]TK1!G15/[1]TK1!G337</f>
        <v>8.3000000000000007</v>
      </c>
      <c r="Z13" s="9">
        <f>[1]TK1!H15/[1]TK1!H337</f>
        <v>8.4</v>
      </c>
      <c r="AA13" s="9">
        <f>[1]TK1!I15/[1]TK1!I337</f>
        <v>8.4</v>
      </c>
      <c r="AB13" s="9">
        <f>[1]TK1!J15/[1]TK1!J337</f>
        <v>8.3666666666666671</v>
      </c>
      <c r="AC13" s="9">
        <f>[1]TK1!K15/[1]TK1!K337</f>
        <v>8.6</v>
      </c>
      <c r="AD13" s="9">
        <f>[1]TK1!L15/[1]TK1!L337</f>
        <v>8.1999999999999993</v>
      </c>
      <c r="AE13" s="9">
        <f>[1]TK1!M15/[1]TK1!M337</f>
        <v>8</v>
      </c>
      <c r="AF13" s="9">
        <f>[1]TK1!N15/[1]TK1!N337</f>
        <v>8.2666666666666657</v>
      </c>
      <c r="AG13" s="9" t="e">
        <f>[1]TK1!O15/[1]TK1!O337</f>
        <v>#DIV/0!</v>
      </c>
      <c r="AH13" s="9" t="e">
        <f>[1]TK1!P15/[1]TK1!P337</f>
        <v>#DIV/0!</v>
      </c>
      <c r="AI13" s="9" t="e">
        <f>[1]TK1!Q15/[1]TK1!Q337</f>
        <v>#DIV/0!</v>
      </c>
      <c r="AJ13" s="9"/>
      <c r="AK13" s="9">
        <f>[1]TK1!S15/[1]TK1!S337</f>
        <v>8.3333333333333339</v>
      </c>
    </row>
    <row r="14" spans="1:37">
      <c r="A14" s="1">
        <v>10</v>
      </c>
      <c r="B14" s="8" t="s">
        <v>57</v>
      </c>
      <c r="C14" s="8" t="s">
        <v>58</v>
      </c>
      <c r="D14" s="11">
        <v>4450.5</v>
      </c>
      <c r="E14" s="11">
        <v>4386</v>
      </c>
      <c r="F14" s="11">
        <v>4378</v>
      </c>
      <c r="G14" s="11">
        <v>4343.166666666667</v>
      </c>
      <c r="H14" s="11">
        <v>4370.25</v>
      </c>
      <c r="I14" s="11">
        <v>4373.5</v>
      </c>
      <c r="J14" s="11">
        <v>4373.166666666667</v>
      </c>
      <c r="K14" s="11">
        <v>4362.583333333333</v>
      </c>
      <c r="L14" s="11">
        <v>4327.5</v>
      </c>
      <c r="M14" s="11">
        <v>4388.916666666667</v>
      </c>
      <c r="N14" s="11">
        <v>4411.416666666667</v>
      </c>
      <c r="O14" s="11">
        <v>4339.583333333333</v>
      </c>
      <c r="P14" s="11">
        <v>4281.583333333333</v>
      </c>
      <c r="Q14" s="11">
        <v>4284.416666666667</v>
      </c>
      <c r="R14" s="11">
        <v>4282.416666666667</v>
      </c>
      <c r="S14" s="11">
        <v>4269.4254345837144</v>
      </c>
      <c r="T14" s="3">
        <v>4200</v>
      </c>
      <c r="U14" s="11">
        <f>[1]TK1!C14/[1]TK1!C337</f>
        <v>4268</v>
      </c>
      <c r="V14" s="11">
        <f>[1]TK1!D14/[1]TK1!D337</f>
        <v>4249</v>
      </c>
      <c r="W14" s="11">
        <f>[1]TK1!E14/[1]TK1!E337</f>
        <v>4254</v>
      </c>
      <c r="X14" s="11">
        <f>[1]TK1!F14/[1]TK1!F337</f>
        <v>4257</v>
      </c>
      <c r="Y14" s="11">
        <f>[1]TK1!G14/[1]TK1!G337</f>
        <v>4262</v>
      </c>
      <c r="Z14" s="11">
        <f>[1]TK1!H14/[1]TK1!H337</f>
        <v>4248</v>
      </c>
      <c r="AA14" s="11">
        <f>[1]TK1!I14/[1]TK1!I337</f>
        <v>4250</v>
      </c>
      <c r="AB14" s="11">
        <f>[1]TK1!J14/[1]TK1!J337</f>
        <v>4253.333333333333</v>
      </c>
      <c r="AC14" s="11">
        <f>[1]TK1!K14/[1]TK1!K337</f>
        <v>4250</v>
      </c>
      <c r="AD14" s="11">
        <f>[1]TK1!L14/[1]TK1!L337</f>
        <v>4253.3323917137486</v>
      </c>
      <c r="AE14" s="11">
        <f>[1]TK1!M14/[1]TK1!M337</f>
        <v>4255</v>
      </c>
      <c r="AF14" s="11">
        <f>[1]TK1!N14/[1]TK1!N337</f>
        <v>4252.7774639045829</v>
      </c>
      <c r="AG14" s="11" t="e">
        <f>[1]TK1!O14/[1]TK1!O337</f>
        <v>#DIV/0!</v>
      </c>
      <c r="AH14" s="11" t="e">
        <f>[1]TK1!P14/[1]TK1!P337</f>
        <v>#DIV/0!</v>
      </c>
      <c r="AI14" s="11" t="e">
        <f>[1]TK1!Q14/[1]TK1!Q337</f>
        <v>#DIV/0!</v>
      </c>
      <c r="AJ14" s="11"/>
      <c r="AK14" s="11">
        <f>[1]TK1!S14/[1]TK1!S337</f>
        <v>4254.3702657459717</v>
      </c>
    </row>
    <row r="15" spans="1:37">
      <c r="A15" s="1">
        <v>11</v>
      </c>
      <c r="B15" s="8" t="s">
        <v>59</v>
      </c>
      <c r="C15" s="8" t="s">
        <v>47</v>
      </c>
      <c r="D15" s="9">
        <v>4.3250000000000002</v>
      </c>
      <c r="E15" s="9">
        <v>4.88</v>
      </c>
      <c r="F15" s="9">
        <v>5.2</v>
      </c>
      <c r="G15" s="12">
        <v>5.5</v>
      </c>
      <c r="H15" s="12">
        <v>5.2750000000000004</v>
      </c>
      <c r="I15" s="12">
        <v>5.2166666666666659</v>
      </c>
      <c r="J15" s="12">
        <v>5.0333333333333323</v>
      </c>
      <c r="K15" s="12">
        <v>5.1833333333333336</v>
      </c>
      <c r="L15" s="12">
        <v>6.4083333333333323</v>
      </c>
      <c r="M15" s="12">
        <v>4.7666666666666666</v>
      </c>
      <c r="N15" s="9">
        <v>4.5749999999999993</v>
      </c>
      <c r="O15" s="9">
        <v>4.3999999999999995</v>
      </c>
      <c r="P15" s="9">
        <v>4.7</v>
      </c>
      <c r="Q15" s="9">
        <v>4.9083333333333332</v>
      </c>
      <c r="R15" s="9">
        <v>4.8416666666666668</v>
      </c>
      <c r="S15" s="9">
        <v>5.0668344007319313</v>
      </c>
      <c r="T15" s="9">
        <v>5.5</v>
      </c>
      <c r="U15" s="9">
        <f>[1]TK1!C16/[1]TK1!C337</f>
        <v>5.3</v>
      </c>
      <c r="V15" s="9">
        <f>[1]TK1!D16/[1]TK1!D337</f>
        <v>5.2</v>
      </c>
      <c r="W15" s="9">
        <f>[1]TK1!E16/[1]TK1!E337</f>
        <v>5.2</v>
      </c>
      <c r="X15" s="9">
        <f>[1]TK1!F16/[1]TK1!F337</f>
        <v>5.2333333333333334</v>
      </c>
      <c r="Y15" s="9">
        <f>[1]TK1!G16/[1]TK1!G337</f>
        <v>5.0999999999999996</v>
      </c>
      <c r="Z15" s="9">
        <f>[1]TK1!H16/[1]TK1!H337</f>
        <v>5.2</v>
      </c>
      <c r="AA15" s="9">
        <f>[1]TK1!I16/[1]TK1!I337</f>
        <v>5.0999999999999996</v>
      </c>
      <c r="AB15" s="9">
        <f>[1]TK1!J16/[1]TK1!J337</f>
        <v>5.1333333333333337</v>
      </c>
      <c r="AC15" s="9">
        <f>[1]TK1!K16/[1]TK1!K337</f>
        <v>5.0999999999999996</v>
      </c>
      <c r="AD15" s="9">
        <f>[1]TK1!L16/[1]TK1!L337</f>
        <v>5</v>
      </c>
      <c r="AE15" s="9">
        <f>[1]TK1!M16/[1]TK1!M337</f>
        <v>5.0999999999999996</v>
      </c>
      <c r="AF15" s="9">
        <f>[1]TK1!N16/[1]TK1!N337</f>
        <v>5.0666666666666664</v>
      </c>
      <c r="AG15" s="9" t="e">
        <f>[1]TK1!O16/[1]TK1!O337</f>
        <v>#DIV/0!</v>
      </c>
      <c r="AH15" s="9" t="e">
        <f>[1]TK1!P16/[1]TK1!P337</f>
        <v>#DIV/0!</v>
      </c>
      <c r="AI15" s="9" t="e">
        <f>[1]TK1!Q16/[1]TK1!Q337</f>
        <v>#DIV/0!</v>
      </c>
      <c r="AJ15" s="9"/>
      <c r="AK15" s="9">
        <f>[1]TK1!S16/[1]TK1!S337</f>
        <v>5.1444444444444439</v>
      </c>
    </row>
    <row r="16" spans="1:37">
      <c r="B16" s="8" t="s">
        <v>60</v>
      </c>
      <c r="C16" s="8"/>
      <c r="D16" s="9"/>
      <c r="E16" s="9"/>
      <c r="F16" s="9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9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42">
      <c r="A17" s="1">
        <v>1</v>
      </c>
      <c r="B17" s="8" t="s">
        <v>54</v>
      </c>
      <c r="C17" s="8" t="s">
        <v>49</v>
      </c>
      <c r="D17" s="9"/>
      <c r="E17" s="9"/>
      <c r="F17" s="9"/>
      <c r="G17" s="12"/>
      <c r="H17" s="12"/>
      <c r="I17" s="12"/>
      <c r="J17" s="12">
        <v>30.012472017908539</v>
      </c>
      <c r="K17" s="9">
        <v>29.953559499376233</v>
      </c>
      <c r="L17" s="9">
        <v>29.274853161139688</v>
      </c>
      <c r="M17" s="9">
        <v>29.954111852359873</v>
      </c>
      <c r="N17" s="9">
        <v>30.562756052141527</v>
      </c>
      <c r="O17" s="9">
        <v>30.159059987631416</v>
      </c>
      <c r="P17" s="9">
        <v>30.353610650960182</v>
      </c>
      <c r="Q17" s="9">
        <v>30.650552310817673</v>
      </c>
      <c r="R17" s="9">
        <v>30.598272799657011</v>
      </c>
      <c r="S17" s="9">
        <v>30.788719975676496</v>
      </c>
      <c r="T17" s="9">
        <v>30.71</v>
      </c>
      <c r="U17" s="9">
        <f>[1]TK1!C19/[1]TK1!C18</f>
        <v>30.551221290557784</v>
      </c>
      <c r="V17" s="9">
        <f>[1]TK1!D19/[1]TK1!D18</f>
        <v>30.954031117397452</v>
      </c>
      <c r="W17" s="9">
        <f>[1]TK1!E19/[1]TK1!E18</f>
        <v>30.709929632525409</v>
      </c>
      <c r="X17" s="9">
        <f>[1]TK1!F19/[1]TK1!F18</f>
        <v>30.741296592446794</v>
      </c>
      <c r="Y17" s="9">
        <f>[1]TK1!G19/[1]TK1!G18</f>
        <v>31.350327749453751</v>
      </c>
      <c r="Z17" s="9">
        <f>[1]TK1!H19/[1]TK1!H18</f>
        <v>30.532229024126757</v>
      </c>
      <c r="AA17" s="9">
        <f>[1]TK1!I19/[1]TK1!I18</f>
        <v>31.041960638692906</v>
      </c>
      <c r="AB17" s="9">
        <f>[1]TK1!J19/[1]TK1!J18</f>
        <v>30.97273612463486</v>
      </c>
      <c r="AC17" s="9">
        <f>[1]TK1!K19/[1]TK1!K18</f>
        <v>31.293158454448776</v>
      </c>
      <c r="AD17" s="9">
        <f>[1]TK1!L19/[1]TK1!L18</f>
        <v>30.379904657132379</v>
      </c>
      <c r="AE17" s="9">
        <f>[1]TK1!M19/[1]TK1!M18</f>
        <v>30.79497450837582</v>
      </c>
      <c r="AF17" s="9">
        <f>[1]TK1!N19/[1]TK1!N18</f>
        <v>30.827947914154812</v>
      </c>
      <c r="AG17" s="9" t="e">
        <f>[1]TK1!O19/[1]TK1!O18</f>
        <v>#DIV/0!</v>
      </c>
      <c r="AH17" s="9" t="e">
        <f>[1]TK1!P19/[1]TK1!P18</f>
        <v>#DIV/0!</v>
      </c>
      <c r="AI17" s="9" t="e">
        <f>[1]TK1!Q19/[1]TK1!Q18</f>
        <v>#DIV/0!</v>
      </c>
      <c r="AJ17" s="9"/>
      <c r="AK17" s="9">
        <f>[1]TK1!S19/[1]TK1!S18</f>
        <v>30.847639920451318</v>
      </c>
    </row>
    <row r="18" spans="1:42">
      <c r="A18" s="1">
        <v>2</v>
      </c>
      <c r="B18" s="8" t="s">
        <v>46</v>
      </c>
      <c r="C18" s="3" t="s">
        <v>47</v>
      </c>
      <c r="D18" s="9"/>
      <c r="E18" s="9"/>
      <c r="F18" s="9"/>
      <c r="G18" s="12"/>
      <c r="H18" s="12"/>
      <c r="I18" s="12"/>
      <c r="J18" s="12">
        <v>75.510000000000005</v>
      </c>
      <c r="K18" s="9">
        <v>75.384782807302273</v>
      </c>
      <c r="L18" s="9">
        <v>75.702377584730812</v>
      </c>
      <c r="M18" s="9">
        <v>74.942447870050827</v>
      </c>
      <c r="N18" s="9">
        <v>75.436768582720987</v>
      </c>
      <c r="O18" s="9">
        <v>75.993598156137736</v>
      </c>
      <c r="P18" s="9">
        <v>76.761124928875844</v>
      </c>
      <c r="Q18" s="9">
        <v>76.691434992207036</v>
      </c>
      <c r="R18" s="9">
        <v>77.10257457293956</v>
      </c>
      <c r="S18" s="9">
        <v>77.373521317031404</v>
      </c>
      <c r="T18" s="9">
        <v>77.5</v>
      </c>
      <c r="U18" s="9">
        <f>(([1]TK1!C21)/[1]TK1!C19)*100</f>
        <v>77.413426887186461</v>
      </c>
      <c r="V18" s="9">
        <f>(([1]TK1!D21)/[1]TK1!D19)*100</f>
        <v>77.734241129566584</v>
      </c>
      <c r="W18" s="9">
        <f>(([1]TK1!E21)/[1]TK1!E19)*100</f>
        <v>77.509038138398097</v>
      </c>
      <c r="X18" s="9">
        <f>(([1]TK1!F21)/[1]TK1!F19)*100</f>
        <v>77.555863239107467</v>
      </c>
      <c r="Y18" s="9">
        <f>(([1]TK1!G21)/[1]TK1!G19)*100</f>
        <v>77.276740079918227</v>
      </c>
      <c r="Z18" s="9">
        <f>(([1]TK1!H21)/[1]TK1!H19)*100</f>
        <v>77.423692031891306</v>
      </c>
      <c r="AA18" s="9">
        <f>(([1]TK1!I21)/[1]TK1!I19)*100</f>
        <v>77.402028805205987</v>
      </c>
      <c r="AB18" s="9">
        <f>(([1]TK1!J21)/[1]TK1!J19)*100</f>
        <v>77.366861580055954</v>
      </c>
      <c r="AC18" s="9">
        <f>(([1]TK1!K21)/[1]TK1!K19)*100</f>
        <v>77.600308117537779</v>
      </c>
      <c r="AD18" s="9">
        <f>(([1]TK1!L21)/[1]TK1!L19)*100</f>
        <v>77.609057769838003</v>
      </c>
      <c r="AE18" s="9">
        <f>(([1]TK1!M21)/[1]TK1!M19)*100</f>
        <v>77.32223312796377</v>
      </c>
      <c r="AF18" s="9">
        <f>(([1]TK1!N21)/[1]TK1!N19)*100</f>
        <v>77.51117577350432</v>
      </c>
      <c r="AG18" s="9" t="e">
        <f>(([1]TK1!O21)/[1]TK1!O19)*100</f>
        <v>#DIV/0!</v>
      </c>
      <c r="AH18" s="9" t="e">
        <f>(([1]TK1!P21)/[1]TK1!P19)*100</f>
        <v>#DIV/0!</v>
      </c>
      <c r="AI18" s="9" t="e">
        <f>(([1]TK1!Q21)/[1]TK1!Q19)*100</f>
        <v>#DIV/0!</v>
      </c>
      <c r="AJ18" s="9"/>
      <c r="AK18" s="9">
        <f>(([1]TK1!S21)/[1]TK1!S19)*100</f>
        <v>77.47755096670636</v>
      </c>
    </row>
    <row r="19" spans="1:42">
      <c r="A19" s="1">
        <v>3</v>
      </c>
      <c r="B19" s="8" t="s">
        <v>46</v>
      </c>
      <c r="C19" s="8" t="s">
        <v>49</v>
      </c>
      <c r="D19" s="9"/>
      <c r="E19" s="9"/>
      <c r="F19" s="9"/>
      <c r="G19" s="12"/>
      <c r="H19" s="12"/>
      <c r="I19" s="12"/>
      <c r="J19" s="12">
        <v>22.66</v>
      </c>
      <c r="K19" s="9">
        <v>22.580425771660831</v>
      </c>
      <c r="L19" s="9">
        <v>22.161759877421474</v>
      </c>
      <c r="M19" s="9">
        <v>22.448344659891514</v>
      </c>
      <c r="N19" s="9">
        <v>23.055555555555557</v>
      </c>
      <c r="O19" s="9">
        <v>22.918954854669142</v>
      </c>
      <c r="P19" s="9">
        <v>23.299772992208112</v>
      </c>
      <c r="Q19" s="9">
        <v>23.506348400203148</v>
      </c>
      <c r="R19" s="9">
        <v>23.592056103387026</v>
      </c>
      <c r="S19" s="9">
        <v>23.82231681362116</v>
      </c>
      <c r="T19" s="9">
        <v>23.8</v>
      </c>
      <c r="U19" s="9">
        <f>[1]TK1!C21/[1]TK1!C18</f>
        <v>23.650747356908493</v>
      </c>
      <c r="V19" s="9">
        <f>[1]TK1!D21/[1]TK1!D18</f>
        <v>24.061881188118811</v>
      </c>
      <c r="W19" s="9">
        <f>[1]TK1!E21/[1]TK1!E18</f>
        <v>23.802971071149337</v>
      </c>
      <c r="X19" s="9">
        <f>[1]TK1!F21/[1]TK1!F18</f>
        <v>23.841677943166442</v>
      </c>
      <c r="Y19" s="9">
        <f>[1]TK1!G21/[1]TK1!G18</f>
        <v>24.226511289147851</v>
      </c>
      <c r="Z19" s="9">
        <f>[1]TK1!H21/[1]TK1!H18</f>
        <v>23.639178970111629</v>
      </c>
      <c r="AA19" s="9">
        <f>[1]TK1!I21/[1]TK1!I18</f>
        <v>24.027107315261791</v>
      </c>
      <c r="AB19" s="9">
        <f>[1]TK1!J21/[1]TK1!J18</f>
        <v>23.962633885102239</v>
      </c>
      <c r="AC19" s="9">
        <f>[1]TK1!K21/[1]TK1!K18</f>
        <v>24.283587380361574</v>
      </c>
      <c r="AD19" s="9">
        <f>[1]TK1!L21/[1]TK1!L18</f>
        <v>23.577557755775576</v>
      </c>
      <c r="AE19" s="9">
        <f>[1]TK1!M21/[1]TK1!M18</f>
        <v>23.811361981063364</v>
      </c>
      <c r="AF19" s="9">
        <f>[1]TK1!N21/[1]TK1!N18</f>
        <v>23.895104895104897</v>
      </c>
      <c r="AG19" s="9" t="e">
        <f>[1]TK1!O21/[1]TK1!O18</f>
        <v>#DIV/0!</v>
      </c>
      <c r="AH19" s="9" t="e">
        <f>[1]TK1!P21/[1]TK1!P18</f>
        <v>#DIV/0!</v>
      </c>
      <c r="AI19" s="9" t="e">
        <f>[1]TK1!Q21/[1]TK1!Q18</f>
        <v>#DIV/0!</v>
      </c>
      <c r="AJ19" s="9"/>
      <c r="AK19" s="9">
        <f>[1]TK1!S21/[1]TK1!S18</f>
        <v>23.899995941393726</v>
      </c>
    </row>
    <row r="20" spans="1:42">
      <c r="A20" s="1">
        <v>4</v>
      </c>
      <c r="B20" s="8" t="s">
        <v>61</v>
      </c>
      <c r="C20" s="8" t="s">
        <v>49</v>
      </c>
      <c r="D20" s="9"/>
      <c r="E20" s="9"/>
      <c r="F20" s="9"/>
      <c r="G20" s="12"/>
      <c r="H20" s="12"/>
      <c r="I20" s="12"/>
      <c r="J20" s="12">
        <v>18.88</v>
      </c>
      <c r="K20" s="9">
        <v>19.160730814117269</v>
      </c>
      <c r="L20" s="9">
        <v>18.906497391558133</v>
      </c>
      <c r="M20" s="9">
        <v>19.191096701789387</v>
      </c>
      <c r="N20" s="9">
        <v>19.678957169459963</v>
      </c>
      <c r="O20" s="9">
        <v>19.619264069264069</v>
      </c>
      <c r="P20" s="9">
        <v>19.78541628320756</v>
      </c>
      <c r="Q20" s="9">
        <v>19.489366429659725</v>
      </c>
      <c r="R20" s="9">
        <v>19.608348134991118</v>
      </c>
      <c r="S20" s="9">
        <v>20.073882639100031</v>
      </c>
      <c r="T20" s="9">
        <v>21.18</v>
      </c>
      <c r="U20" s="9">
        <f>[1]TK1!C22/[1]TK1!C18</f>
        <v>21.091505650747358</v>
      </c>
      <c r="V20" s="9">
        <f>[1]TK1!D22/[1]TK1!D18</f>
        <v>21.359971711456861</v>
      </c>
      <c r="W20" s="9">
        <f>[1]TK1!E22/[1]TK1!E18</f>
        <v>21.191555903049256</v>
      </c>
      <c r="X20" s="9">
        <f>[1]TK1!F22/[1]TK1!F18</f>
        <v>21.216385779308649</v>
      </c>
      <c r="Y20" s="9">
        <f>[1]TK1!G22/[1]TK1!G18</f>
        <v>21.493445010924983</v>
      </c>
      <c r="Z20" s="9">
        <f>[1]TK1!H22/[1]TK1!H18</f>
        <v>20.848397551314367</v>
      </c>
      <c r="AA20" s="9">
        <f>[1]TK1!I22/[1]TK1!I18</f>
        <v>20.410323059784627</v>
      </c>
      <c r="AB20" s="9">
        <f>[1]TK1!J22/[1]TK1!J18</f>
        <v>20.920399221032131</v>
      </c>
      <c r="AC20" s="9">
        <f>[1]TK1!K22/[1]TK1!K18</f>
        <v>20.434597660404112</v>
      </c>
      <c r="AD20" s="9">
        <f>[1]TK1!L22/[1]TK1!L18</f>
        <v>20.295562889622296</v>
      </c>
      <c r="AE20" s="9">
        <f>[1]TK1!M22/[1]TK1!M18</f>
        <v>20.577567370721049</v>
      </c>
      <c r="AF20" s="9">
        <f>[1]TK1!N22/[1]TK1!N18</f>
        <v>20.436218953460333</v>
      </c>
      <c r="AG20" s="9" t="e">
        <f>[1]TK1!O22/[1]TK1!O18</f>
        <v>#DIV/0!</v>
      </c>
      <c r="AH20" s="9" t="e">
        <f>[1]TK1!P22/[1]TK1!P18</f>
        <v>#DIV/0!</v>
      </c>
      <c r="AI20" s="9" t="e">
        <f>[1]TK1!Q22/[1]TK1!Q18</f>
        <v>#DIV/0!</v>
      </c>
      <c r="AJ20" s="9"/>
      <c r="AK20" s="9">
        <f>[1]TK1!S22/[1]TK1!S18</f>
        <v>20.855067169933843</v>
      </c>
    </row>
    <row r="21" spans="1:42">
      <c r="A21" s="1">
        <v>5</v>
      </c>
      <c r="B21" s="8" t="s">
        <v>51</v>
      </c>
      <c r="C21" s="3" t="s">
        <v>50</v>
      </c>
      <c r="D21" s="9"/>
      <c r="E21" s="9"/>
      <c r="F21" s="9"/>
      <c r="G21" s="12"/>
      <c r="H21" s="12"/>
      <c r="I21" s="12"/>
      <c r="J21" s="9">
        <v>62.91</v>
      </c>
      <c r="K21" s="9">
        <v>63.968126440920258</v>
      </c>
      <c r="L21" s="9">
        <v>64.582723224911618</v>
      </c>
      <c r="M21" s="9">
        <v>64.06832155925683</v>
      </c>
      <c r="N21" s="9">
        <v>64.388686464946815</v>
      </c>
      <c r="O21" s="9">
        <v>65.052637838547227</v>
      </c>
      <c r="P21" s="9">
        <v>65.183073311186732</v>
      </c>
      <c r="Q21" s="9">
        <v>63.585694091330389</v>
      </c>
      <c r="R21" s="9">
        <v>64.08318620916053</v>
      </c>
      <c r="S21" s="9">
        <v>65.198821694954091</v>
      </c>
      <c r="T21" s="9">
        <v>69</v>
      </c>
      <c r="U21" s="9">
        <f>(([1]TK1!C22)/[1]TK1!C19)*100</f>
        <v>69.036538507434187</v>
      </c>
      <c r="V21" s="9">
        <f>(([1]TK1!D22)/[1]TK1!D19)*100</f>
        <v>69.005460485731902</v>
      </c>
      <c r="W21" s="9">
        <f>(([1]TK1!E22)/[1]TK1!E19)*100</f>
        <v>69.005550180762768</v>
      </c>
      <c r="X21" s="9">
        <f>(([1]TK1!F22)/[1]TK1!F19)*100</f>
        <v>69.015910618817429</v>
      </c>
      <c r="Y21" s="9">
        <f>(([1]TK1!G22)/[1]TK1!G19)*100</f>
        <v>68.558916457578292</v>
      </c>
      <c r="Z21" s="9">
        <f>(([1]TK1!H22)/[1]TK1!H19)*100</f>
        <v>68.28324762938152</v>
      </c>
      <c r="AA21" s="9">
        <f>(([1]TK1!I22)/[1]TK1!I19)*100</f>
        <v>65.750753624575339</v>
      </c>
      <c r="AB21" s="9">
        <f>(([1]TK1!J22)/[1]TK1!J19)*100</f>
        <v>67.544562859568046</v>
      </c>
      <c r="AC21" s="9">
        <f>(([1]TK1!K22)/[1]TK1!K19)*100</f>
        <v>65.300527877840466</v>
      </c>
      <c r="AD21" s="9">
        <f>(([1]TK1!L22)/[1]TK1!L19)*100</f>
        <v>66.805880790864975</v>
      </c>
      <c r="AE21" s="9">
        <f>(([1]TK1!M22)/[1]TK1!M19)*100</f>
        <v>66.821186570958929</v>
      </c>
      <c r="AF21" s="9">
        <f>(([1]TK1!N22)/[1]TK1!N19)*100</f>
        <v>66.291207609303555</v>
      </c>
      <c r="AG21" s="9" t="e">
        <f>(([1]TK1!O22)/[1]TK1!O19)*100</f>
        <v>#DIV/0!</v>
      </c>
      <c r="AH21" s="9" t="e">
        <f>(([1]TK1!P22)/[1]TK1!P19)*100</f>
        <v>#DIV/0!</v>
      </c>
      <c r="AI21" s="9" t="e">
        <f>(([1]TK1!Q22)/[1]TK1!Q19)*100</f>
        <v>#DIV/0!</v>
      </c>
      <c r="AJ21" s="9"/>
      <c r="AK21" s="9">
        <f>(([1]TK1!S22)/[1]TK1!S19)*100</f>
        <v>67.606686358224081</v>
      </c>
    </row>
    <row r="22" spans="1:42">
      <c r="A22" s="1">
        <v>6</v>
      </c>
      <c r="B22" s="8" t="s">
        <v>62</v>
      </c>
      <c r="C22" s="8" t="s">
        <v>49</v>
      </c>
      <c r="D22" s="9"/>
      <c r="E22" s="9"/>
      <c r="F22" s="9"/>
      <c r="G22" s="12"/>
      <c r="H22" s="12"/>
      <c r="I22" s="12"/>
      <c r="J22" s="12">
        <v>3.78</v>
      </c>
      <c r="K22" s="9">
        <v>3.4196949575435633</v>
      </c>
      <c r="L22" s="9">
        <v>3.2552624858633394</v>
      </c>
      <c r="M22" s="9">
        <v>3.2572479581021261</v>
      </c>
      <c r="N22" s="9">
        <v>3.3759776536312849</v>
      </c>
      <c r="O22" s="9">
        <v>3.2996907854050712</v>
      </c>
      <c r="P22" s="9">
        <v>3.5143873857291856</v>
      </c>
      <c r="Q22" s="9">
        <v>4.017013712544439</v>
      </c>
      <c r="R22" s="9">
        <v>3.9837079683959087</v>
      </c>
      <c r="S22" s="9">
        <v>3.7484341745211309</v>
      </c>
      <c r="T22" s="9">
        <v>2.62</v>
      </c>
      <c r="U22" s="9">
        <f>[1]TK1!C24/[1]TK1!C18</f>
        <v>2.5592417061611372</v>
      </c>
      <c r="V22" s="9">
        <f>[1]TK1!D24/[1]TK1!D18</f>
        <v>2.7019094766619518</v>
      </c>
      <c r="W22" s="9">
        <f>[1]TK1!E24/[1]TK1!E18</f>
        <v>2.6114151681000783</v>
      </c>
      <c r="X22" s="9">
        <f>[1]TK1!F24/[1]TK1!F18</f>
        <v>2.6252921638577931</v>
      </c>
      <c r="Y22" s="9">
        <f>[1]TK1!G24/[1]TK1!G18</f>
        <v>2.7330662782228696</v>
      </c>
      <c r="Z22" s="9">
        <f>[1]TK1!H24/[1]TK1!H18</f>
        <v>2.790781418797263</v>
      </c>
      <c r="AA22" s="9">
        <f>[1]TK1!I24/[1]TK1!I18</f>
        <v>3.616784255477163</v>
      </c>
      <c r="AB22" s="9">
        <f>[1]TK1!J24/[1]TK1!J18</f>
        <v>3.042234664070107</v>
      </c>
      <c r="AC22" s="9">
        <f>[1]TK1!K24/[1]TK1!K18</f>
        <v>3.8489897199574621</v>
      </c>
      <c r="AD22" s="9">
        <f>[1]TK1!L24/[1]TK1!L18</f>
        <v>3.2819948661532821</v>
      </c>
      <c r="AE22" s="9">
        <f>[1]TK1!M24/[1]TK1!M18</f>
        <v>3.2337946103423163</v>
      </c>
      <c r="AF22" s="9">
        <f>[1]TK1!N24/[1]TK1!N18</f>
        <v>3.4588859416445623</v>
      </c>
      <c r="AG22" s="9" t="e">
        <f>[1]TK1!O24/[1]TK1!O18</f>
        <v>#DIV/0!</v>
      </c>
      <c r="AH22" s="9" t="e">
        <f>[1]TK1!P24/[1]TK1!P18</f>
        <v>#DIV/0!</v>
      </c>
      <c r="AI22" s="9" t="e">
        <f>[1]TK1!Q24/[1]TK1!Q18</f>
        <v>#DIV/0!</v>
      </c>
      <c r="AJ22" s="9"/>
      <c r="AK22" s="9">
        <f>[1]TK1!S24/[1]TK1!S18</f>
        <v>3.0449287714598805</v>
      </c>
    </row>
    <row r="23" spans="1:42">
      <c r="A23" s="1">
        <v>7</v>
      </c>
      <c r="B23" s="8" t="s">
        <v>62</v>
      </c>
      <c r="C23" s="3" t="s">
        <v>50</v>
      </c>
      <c r="D23" s="9"/>
      <c r="E23" s="9"/>
      <c r="F23" s="9"/>
      <c r="G23" s="12"/>
      <c r="H23" s="12"/>
      <c r="I23" s="12"/>
      <c r="J23" s="12">
        <v>12.6</v>
      </c>
      <c r="K23" s="9">
        <v>11.416656366382021</v>
      </c>
      <c r="L23" s="9">
        <v>11.119654359819204</v>
      </c>
      <c r="M23" s="9">
        <v>10.87412631079399</v>
      </c>
      <c r="N23" s="9">
        <v>11.046051108321858</v>
      </c>
      <c r="O23" s="9">
        <v>10.940960317590513</v>
      </c>
      <c r="P23" s="9">
        <v>11.57815268220163</v>
      </c>
      <c r="Q23" s="9">
        <v>13.105844461819668</v>
      </c>
      <c r="R23" s="9">
        <v>13.019388363779031</v>
      </c>
      <c r="S23" s="9">
        <v>12.17469962207732</v>
      </c>
      <c r="T23" s="9">
        <v>8.5</v>
      </c>
      <c r="U23" s="9">
        <f>(([1]TK1!C24)/[1]TK1!C19)*100</f>
        <v>8.3768883797522733</v>
      </c>
      <c r="V23" s="9">
        <f>(([1]TK1!D24)/[1]TK1!D19)*100</f>
        <v>8.7287806438346767</v>
      </c>
      <c r="W23" s="9">
        <f>(([1]TK1!E24)/[1]TK1!E19)*100</f>
        <v>8.5034879576353184</v>
      </c>
      <c r="X23" s="9">
        <f>(([1]TK1!F24)/[1]TK1!F19)*100</f>
        <v>8.5399526202900411</v>
      </c>
      <c r="Y23" s="9">
        <f>(([1]TK1!G24)/[1]TK1!G19)*100</f>
        <v>8.7178236223399317</v>
      </c>
      <c r="Z23" s="9">
        <f>(([1]TK1!H24)/[1]TK1!H19)*100</f>
        <v>9.1404444025097895</v>
      </c>
      <c r="AA23" s="9">
        <f>(([1]TK1!I24)/[1]TK1!I19)*100</f>
        <v>11.651275180630652</v>
      </c>
      <c r="AB23" s="9">
        <f>(([1]TK1!J24)/[1]TK1!J19)*100</f>
        <v>9.8222987204879129</v>
      </c>
      <c r="AC23" s="9">
        <f>(([1]TK1!K24)/[1]TK1!K19)*100</f>
        <v>12.29978023969732</v>
      </c>
      <c r="AD23" s="9">
        <f>(([1]TK1!L24)/[1]TK1!L19)*100</f>
        <v>10.803176978973033</v>
      </c>
      <c r="AE23" s="9">
        <f>(([1]TK1!M24)/[1]TK1!M19)*100</f>
        <v>10.501046557004837</v>
      </c>
      <c r="AF23" s="9">
        <f>(([1]TK1!N24)/[1]TK1!N19)*100</f>
        <v>11.219968164200761</v>
      </c>
      <c r="AG23" s="9" t="e">
        <f>(([1]TK1!O24)/[1]TK1!O19)*100</f>
        <v>#DIV/0!</v>
      </c>
      <c r="AH23" s="9" t="e">
        <f>(([1]TK1!P24)/[1]TK1!P19)*100</f>
        <v>#DIV/0!</v>
      </c>
      <c r="AI23" s="9" t="e">
        <f>(([1]TK1!Q24)/[1]TK1!Q19)*100</f>
        <v>#DIV/0!</v>
      </c>
      <c r="AJ23" s="9"/>
      <c r="AK23" s="9">
        <f>(([1]TK1!S24)/[1]TK1!S19)*100</f>
        <v>9.8708646084822806</v>
      </c>
    </row>
    <row r="24" spans="1:42">
      <c r="A24" s="1">
        <v>8</v>
      </c>
      <c r="B24" s="8" t="s">
        <v>55</v>
      </c>
      <c r="C24" s="8" t="s">
        <v>47</v>
      </c>
      <c r="D24" s="9"/>
      <c r="E24" s="9"/>
      <c r="F24" s="9"/>
      <c r="G24" s="12"/>
      <c r="H24" s="12"/>
      <c r="I24" s="12"/>
      <c r="J24" s="12">
        <v>98.36</v>
      </c>
      <c r="K24" s="9">
        <v>93.648935544289401</v>
      </c>
      <c r="L24" s="9">
        <v>95.782955919384023</v>
      </c>
      <c r="M24" s="9">
        <v>93.389879276437298</v>
      </c>
      <c r="N24" s="9">
        <v>92.587636229579957</v>
      </c>
      <c r="O24" s="9">
        <v>92.166045340427786</v>
      </c>
      <c r="P24" s="9">
        <v>92.344960157358884</v>
      </c>
      <c r="Q24" s="9">
        <v>94.212169624331295</v>
      </c>
      <c r="R24" s="9">
        <v>91.017744940479133</v>
      </c>
      <c r="S24" s="9">
        <v>91.537451099253857</v>
      </c>
      <c r="T24" s="9">
        <v>90</v>
      </c>
      <c r="U24" s="9">
        <f>[1]TK1!C23/[1]TK1!C20*100</f>
        <v>92.650412208384495</v>
      </c>
      <c r="V24" s="9">
        <f>[1]TK1!D23/[1]TK1!D20*100</f>
        <v>92.600819337196029</v>
      </c>
      <c r="W24" s="9">
        <f>[1]TK1!E23/[1]TK1!E20*100</f>
        <v>91.352169881087931</v>
      </c>
      <c r="X24" s="9">
        <f>[1]TK1!F23/[1]TK1!F20*100</f>
        <v>92.226170507048053</v>
      </c>
      <c r="Y24" s="9">
        <f>[1]TK1!G23/[1]TK1!G20*100</f>
        <v>90.168343775710397</v>
      </c>
      <c r="Z24" s="9">
        <f>[1]TK1!H23/[1]TK1!H20*100</f>
        <v>91.459724596290442</v>
      </c>
      <c r="AA24" s="9">
        <f>[1]TK1!I23/[1]TK1!I20*100</f>
        <v>90.206219099661723</v>
      </c>
      <c r="AB24" s="9">
        <f>[1]TK1!J23/[1]TK1!J20*100</f>
        <v>90.613276819082088</v>
      </c>
      <c r="AC24" s="9">
        <f>[1]TK1!K23/[1]TK1!K20*100</f>
        <v>89.725985094906733</v>
      </c>
      <c r="AD24" s="9">
        <f>[1]TK1!L23/[1]TK1!L20*100</f>
        <v>90.075592398702867</v>
      </c>
      <c r="AE24" s="9">
        <f>[1]TK1!M23/[1]TK1!M20*100</f>
        <v>90.152978192470428</v>
      </c>
      <c r="AF24" s="9">
        <f>[1]TK1!N23/[1]TK1!N20*100</f>
        <v>89.979654665660718</v>
      </c>
      <c r="AG24" s="9" t="e">
        <f>[1]TK1!O23/[1]TK1!O20*100</f>
        <v>#DIV/0!</v>
      </c>
      <c r="AH24" s="9" t="e">
        <f>[1]TK1!P23/[1]TK1!P20*100</f>
        <v>#DIV/0!</v>
      </c>
      <c r="AI24" s="9" t="e">
        <f>[1]TK1!Q23/[1]TK1!Q20*100</f>
        <v>#DIV/0!</v>
      </c>
      <c r="AJ24" s="9"/>
      <c r="AK24" s="9">
        <f>[1]TK1!S23/[1]TK1!S20*100</f>
        <v>90.927005353373062</v>
      </c>
    </row>
    <row r="25" spans="1:42">
      <c r="A25" s="1">
        <v>9</v>
      </c>
      <c r="B25" s="8" t="s">
        <v>56</v>
      </c>
      <c r="C25" s="8" t="s">
        <v>47</v>
      </c>
      <c r="D25" s="9"/>
      <c r="E25" s="9"/>
      <c r="F25" s="9"/>
      <c r="G25" s="12"/>
      <c r="H25" s="12"/>
      <c r="I25" s="12"/>
      <c r="J25" s="12"/>
      <c r="K25" s="9">
        <v>6.625</v>
      </c>
      <c r="L25" s="9">
        <v>6.7416666666666671</v>
      </c>
      <c r="M25" s="9">
        <v>6.3500000000000005</v>
      </c>
      <c r="N25" s="9">
        <v>6.1499999999999995</v>
      </c>
      <c r="O25" s="9">
        <v>6.4916666666666671</v>
      </c>
      <c r="P25" s="9">
        <v>6.8416666666666677</v>
      </c>
      <c r="Q25" s="9">
        <v>6.966666666666665</v>
      </c>
      <c r="R25" s="9">
        <v>7.0249999999999995</v>
      </c>
      <c r="S25" s="9">
        <v>6.92</v>
      </c>
      <c r="T25" s="9">
        <v>6.5</v>
      </c>
      <c r="U25" s="9">
        <f>[1]TK1!C25</f>
        <v>6.9</v>
      </c>
      <c r="V25" s="9">
        <f>[1]TK1!D25</f>
        <v>6.9</v>
      </c>
      <c r="W25" s="9">
        <f>[1]TK1!E25</f>
        <v>7</v>
      </c>
      <c r="X25" s="9">
        <f>[1]TK1!F25</f>
        <v>6.9333333333333336</v>
      </c>
      <c r="Y25" s="9">
        <f>[1]TK1!G25</f>
        <v>7</v>
      </c>
      <c r="Z25" s="9">
        <f>[1]TK1!H25</f>
        <v>7</v>
      </c>
      <c r="AA25" s="9">
        <f>[1]TK1!I25</f>
        <v>7</v>
      </c>
      <c r="AB25" s="9">
        <f>[1]TK1!J25</f>
        <v>7</v>
      </c>
      <c r="AC25" s="9">
        <f>[1]TK1!K25</f>
        <v>7</v>
      </c>
      <c r="AD25" s="9">
        <f>[1]TK1!L25</f>
        <v>7</v>
      </c>
      <c r="AE25" s="9">
        <f>[1]TK1!M25</f>
        <v>6.9</v>
      </c>
      <c r="AF25" s="9">
        <f>[1]TK1!N25</f>
        <v>6.9666666666666659</v>
      </c>
      <c r="AG25" s="9">
        <f>[1]TK1!O25</f>
        <v>0</v>
      </c>
      <c r="AH25" s="9">
        <f>[1]TK1!P25</f>
        <v>0</v>
      </c>
      <c r="AI25" s="9">
        <f>[1]TK1!Q25</f>
        <v>0</v>
      </c>
      <c r="AJ25" s="9"/>
      <c r="AK25" s="9">
        <f>[1]TK1!S25</f>
        <v>6.9666666666666659</v>
      </c>
    </row>
    <row r="26" spans="1:42">
      <c r="A26" s="7" t="s">
        <v>63</v>
      </c>
      <c r="B26" s="8" t="s">
        <v>64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42">
      <c r="A27" s="7" t="s">
        <v>65</v>
      </c>
      <c r="B27" s="8" t="s">
        <v>66</v>
      </c>
      <c r="C27" s="3" t="s">
        <v>50</v>
      </c>
      <c r="D27" s="9">
        <v>3.1521127372142703</v>
      </c>
      <c r="E27" s="9">
        <v>3.2</v>
      </c>
      <c r="F27" s="9">
        <v>3.18</v>
      </c>
      <c r="G27" s="9">
        <v>3.1504923890967187</v>
      </c>
      <c r="H27" s="9">
        <v>3.1775048577573886</v>
      </c>
      <c r="I27" s="9">
        <v>3.1863900140208754</v>
      </c>
      <c r="J27" s="9">
        <v>3.1924337577993991</v>
      </c>
      <c r="K27" s="9">
        <v>3.0741990492729898</v>
      </c>
      <c r="L27" s="9">
        <v>2.8455109546371746</v>
      </c>
      <c r="M27" s="9">
        <v>2.8298694102138491</v>
      </c>
      <c r="N27" s="9">
        <v>2.8466089263015899</v>
      </c>
      <c r="O27" s="9">
        <v>2.8691885441527445</v>
      </c>
      <c r="P27" s="9">
        <v>3.2091519132813238</v>
      </c>
      <c r="Q27" s="9">
        <v>3.1774287571685376</v>
      </c>
      <c r="R27" s="9">
        <v>3.0602845212845597</v>
      </c>
      <c r="S27" s="9">
        <v>3.1549120461535423</v>
      </c>
      <c r="T27" s="3">
        <v>3.2</v>
      </c>
      <c r="U27" s="9">
        <f>(([1]TK1!C27)/([1]TK1!C7+[1]TK1!C19)*100)</f>
        <v>3.1836029652850524</v>
      </c>
      <c r="V27" s="9">
        <f>(([1]TK1!D27)/([1]TK1!D7+[1]TK1!D19)*100)</f>
        <v>3.1697471850435517</v>
      </c>
      <c r="W27" s="9">
        <f>(([1]TK1!E27)/([1]TK1!E7+[1]TK1!E19)*100)+0.02</f>
        <v>3.2342827403009435</v>
      </c>
      <c r="X27" s="9">
        <f>(([1]TK1!F27)/([1]TK1!F7+[1]TK1!F19)*100)</f>
        <v>3.1886507100647798</v>
      </c>
      <c r="Y27" s="9">
        <f>(([1]TK1!G27)/([1]TK1!G7+[1]TK1!G19)*100)</f>
        <v>3.250801211607778</v>
      </c>
      <c r="Z27" s="9">
        <f>(([1]TK1!H27)/([1]TK1!H7+[1]TK1!H19)*100)</f>
        <v>3.142471247902427</v>
      </c>
      <c r="AA27" s="9">
        <f>(([1]TK1!I27)/([1]TK1!I7+[1]TK1!I19)*100)</f>
        <v>3.1379276831478999</v>
      </c>
      <c r="AB27" s="9">
        <f>(([1]TK1!J27)/([1]TK1!J7+[1]TK1!J19)*100)</f>
        <v>3.1780741737540494</v>
      </c>
      <c r="AC27" s="9">
        <f>(([1]TK1!K27)/([1]TK1!K7+[1]TK1!K19)*100)</f>
        <v>3.1299038141002189</v>
      </c>
      <c r="AD27" s="9">
        <f>(([1]TK1!L27)/([1]TK1!L7+[1]TK1!L19)*100)</f>
        <v>3.1047137531702917</v>
      </c>
      <c r="AE27" s="9">
        <f>(([1]TK1!M27)/([1]TK1!M7+[1]TK1!M19)*100)</f>
        <v>3.0538000324096584</v>
      </c>
      <c r="AF27" s="9">
        <f>(([1]TK1!N27)/([1]TK1!N7+[1]TK1!N19)*100)</f>
        <v>3.0960397212325343</v>
      </c>
      <c r="AG27" s="9" t="e">
        <f>(([1]TK1!O27)/([1]TK1!O7+[1]TK1!O19)*100)</f>
        <v>#DIV/0!</v>
      </c>
      <c r="AH27" s="9" t="e">
        <f>(([1]TK1!P27)/([1]TK1!P7+[1]TK1!P19)*100)</f>
        <v>#DIV/0!</v>
      </c>
      <c r="AI27" s="9" t="e">
        <f>(([1]TK1!Q27)/([1]TK1!Q7+[1]TK1!Q19)*100)</f>
        <v>#DIV/0!</v>
      </c>
      <c r="AJ27" s="9"/>
      <c r="AK27" s="9">
        <f>(([1]TK1!S27)/([1]TK1!S7+[1]TK1!S19)*100)</f>
        <v>3.1544468047162293</v>
      </c>
    </row>
    <row r="28" spans="1:42">
      <c r="A28" s="7">
        <v>2</v>
      </c>
      <c r="B28" s="8" t="s">
        <v>67</v>
      </c>
      <c r="C28" s="3" t="s">
        <v>50</v>
      </c>
      <c r="D28" s="9">
        <v>0.79334461195366746</v>
      </c>
      <c r="E28" s="9">
        <v>0.82</v>
      </c>
      <c r="F28" s="9">
        <v>0.65</v>
      </c>
      <c r="G28" s="9">
        <v>0.52814369606029621</v>
      </c>
      <c r="H28" s="9">
        <v>0.56089319632426859</v>
      </c>
      <c r="I28" s="9">
        <v>0.46955327932699797</v>
      </c>
      <c r="J28" s="9">
        <v>0.34336145839998944</v>
      </c>
      <c r="K28" s="9">
        <v>0.41983716378510172</v>
      </c>
      <c r="L28" s="9">
        <v>0.30917291117799273</v>
      </c>
      <c r="M28" s="9">
        <v>0.44237778422699903</v>
      </c>
      <c r="N28" s="9">
        <v>0.25600308687780116</v>
      </c>
      <c r="O28" s="9">
        <v>0.42643073489558425</v>
      </c>
      <c r="P28" s="9">
        <v>0.18195750395309085</v>
      </c>
      <c r="Q28" s="9">
        <v>0.10716563862937856</v>
      </c>
      <c r="R28" s="9">
        <v>0.18469656119990627</v>
      </c>
      <c r="S28" s="9">
        <v>0.26224800943091786</v>
      </c>
      <c r="T28" s="3">
        <v>0.53100000000000003</v>
      </c>
      <c r="U28" s="9">
        <f>(([1]TK1!C28)/([1]TK1!C7+[1]TK1!C19)*100)</f>
        <v>0.12515294249362238</v>
      </c>
      <c r="V28" s="9">
        <f>(([1]TK1!D28)/([1]TK1!D7+[1]TK1!D19)*100)</f>
        <v>0.1823203352840064</v>
      </c>
      <c r="W28" s="9">
        <f>(([1]TK1!E28)/([1]TK1!E7+[1]TK1!E19)*100)</f>
        <v>0.32517549484132602</v>
      </c>
      <c r="X28" s="9">
        <f>(([1]TK1!F28)/[1]TK1!F7)*100</f>
        <v>0.31366359479310424</v>
      </c>
      <c r="Y28" s="9">
        <f>(([1]TK1!G28)/([1]TK1!G7+[1]TK1!G19)*100)</f>
        <v>0.26813615402443997</v>
      </c>
      <c r="Z28" s="9">
        <f>(([1]TK1!H28)/([1]TK1!H7+[1]TK1!H19)*100)</f>
        <v>0.35198297384684646</v>
      </c>
      <c r="AA28" s="9">
        <f>(([1]TK1!I28)/([1]TK1!I7+[1]TK1!I19)*100)</f>
        <v>0.2687479136119128</v>
      </c>
      <c r="AB28" s="9">
        <f>(([1]TK1!J28)/[1]TK1!J7)*100</f>
        <v>0.45452924655537302</v>
      </c>
      <c r="AC28" s="9">
        <f>(([1]TK1!K28)/([1]TK1!K7+[1]TK1!K19)*100)</f>
        <v>0.30246115569431908</v>
      </c>
      <c r="AD28" s="9">
        <f>(([1]TK1!L28)/([1]TK1!L7+[1]TK1!L19)*100)</f>
        <v>0.2949974554917934</v>
      </c>
      <c r="AE28" s="9">
        <f>(([1]TK1!M28)/([1]TK1!M7+[1]TK1!M19)*100)</f>
        <v>0.28966131907308379</v>
      </c>
      <c r="AF28" s="9">
        <f>(([1]TK1!N28)/[1]TK1!N7)*100</f>
        <v>0.45360376917165102</v>
      </c>
      <c r="AG28" s="9" t="e">
        <f>(([1]TK1!O28)/([1]TK1!O7+[1]TK1!O19)*100)</f>
        <v>#DIV/0!</v>
      </c>
      <c r="AH28" s="9" t="e">
        <f>(([1]TK1!P28)/([1]TK1!P7+[1]TK1!P19)*100)</f>
        <v>#DIV/0!</v>
      </c>
      <c r="AI28" s="9" t="e">
        <f>(([1]TK1!Q28)/([1]TK1!Q7+[1]TK1!Q19)*100)</f>
        <v>#DIV/0!</v>
      </c>
      <c r="AJ28" s="9"/>
      <c r="AK28" s="9">
        <f>(([1]TK1!S28)/([1]TK1!S7+[1]TK1!S19)*100)</f>
        <v>0.26660285655592453</v>
      </c>
    </row>
    <row r="29" spans="1:42">
      <c r="A29" s="7">
        <v>3</v>
      </c>
      <c r="B29" s="8" t="s">
        <v>68</v>
      </c>
      <c r="C29" s="8" t="s">
        <v>69</v>
      </c>
      <c r="D29" s="11">
        <v>312.27171127950714</v>
      </c>
      <c r="E29" s="11">
        <v>325</v>
      </c>
      <c r="F29" s="11">
        <v>361</v>
      </c>
      <c r="G29" s="11">
        <v>365.30253577705247</v>
      </c>
      <c r="H29" s="11">
        <v>370.4286964129484</v>
      </c>
      <c r="I29" s="11">
        <v>395.5208113247412</v>
      </c>
      <c r="J29" s="11">
        <v>346.19354838709677</v>
      </c>
      <c r="K29" s="11">
        <v>365.20509193776519</v>
      </c>
      <c r="L29" s="11">
        <v>377.51761087409466</v>
      </c>
      <c r="M29" s="11">
        <v>251.05117423853963</v>
      </c>
      <c r="N29" s="11">
        <v>360.23054755043228</v>
      </c>
      <c r="O29" s="11" t="s">
        <v>70</v>
      </c>
      <c r="P29" s="11" t="s">
        <v>70</v>
      </c>
      <c r="Q29" s="11" t="s">
        <v>70</v>
      </c>
      <c r="R29" s="11" t="s">
        <v>70</v>
      </c>
      <c r="S29" s="11">
        <v>309.22124470511568</v>
      </c>
      <c r="T29" s="3">
        <v>370</v>
      </c>
      <c r="U29" s="11">
        <f xml:space="preserve"> IF([1]TK1!C29=0,"-",(([1]TK1!C31)/[1]TK1!C29)*1000)</f>
        <v>1.589825119236884</v>
      </c>
      <c r="V29" s="11">
        <f xml:space="preserve"> IF([1]TK1!D29=0,"-",(([1]TK1!D31)/[1]TK1!D29)*1000)</f>
        <v>516.64876476906556</v>
      </c>
      <c r="W29" s="11">
        <f xml:space="preserve"> IF([1]TK1!E29=0,"-",(([1]TK1!E31)/[1]TK1!E29)*1000)</f>
        <v>313.72549019607845</v>
      </c>
      <c r="X29" s="11">
        <f xml:space="preserve"> IF([1]TK1!F29=0,"-",(([1]TK1!F31)/[1]TK1!F29)*1000)</f>
        <v>239.63636363636365</v>
      </c>
      <c r="Y29" s="11" t="str">
        <f xml:space="preserve"> IF([1]TK1!G29=0,"-",(([1]TK1!G31)/[1]TK1!G29)*1000)</f>
        <v>-</v>
      </c>
      <c r="Z29" s="11">
        <f xml:space="preserve"> IF([1]TK1!H29=0,"-",(([1]TK1!H31)/[1]TK1!H29)*1000)</f>
        <v>333.12655086848633</v>
      </c>
      <c r="AA29" s="11">
        <f xml:space="preserve"> IF([1]TK1!I29=0,"-",(([1]TK1!I31)/[1]TK1!I29)*1000)</f>
        <v>333.33333333333331</v>
      </c>
      <c r="AB29" s="9" t="str">
        <f>IF([1]TK1!J26=0,"--",(([1]TK1!J26/125)/[1]TK1!J38))</f>
        <v>--</v>
      </c>
      <c r="AC29" s="11">
        <f xml:space="preserve"> IF([1]TK1!K29=0,"-",(([1]TK1!K31)/[1]TK1!K29)*1000)</f>
        <v>334.95145631067965</v>
      </c>
      <c r="AD29" s="11">
        <f xml:space="preserve"> IF([1]TK1!L29=0,"-",(([1]TK1!L31)/[1]TK1!L29)*1000)</f>
        <v>332.63378803777545</v>
      </c>
      <c r="AE29" s="11">
        <f xml:space="preserve"> IF([1]TK1!M29=0,"-",(([1]TK1!M31)/[1]TK1!M29)*1000)</f>
        <v>332.69353806781834</v>
      </c>
      <c r="AF29" s="9" t="str">
        <f>IF([1]TK1!N26=0,"--",(([1]TK1!N26/125)/[1]TK1!N38))</f>
        <v>--</v>
      </c>
      <c r="AG29" s="11" t="str">
        <f xml:space="preserve"> IF([1]TK1!O29=0,"-",(([1]TK1!O31)/[1]TK1!O29)*1000)</f>
        <v>-</v>
      </c>
      <c r="AH29" s="11" t="str">
        <f xml:space="preserve"> IF([1]TK1!P29=0,"-",(([1]TK1!P31)/[1]TK1!P29)*1000)</f>
        <v>-</v>
      </c>
      <c r="AI29" s="11" t="str">
        <f xml:space="preserve"> IF([1]TK1!Q29=0,"-",(([1]TK1!Q31)/[1]TK1!Q29)*1000)</f>
        <v>-</v>
      </c>
      <c r="AJ29" s="13"/>
      <c r="AK29" s="11">
        <f>IF([1]TK1!S29=0,"--",([1]TK1!S31/[1]TK1!S29)*1000)</f>
        <v>298.39687457901118</v>
      </c>
    </row>
    <row r="30" spans="1:42">
      <c r="A30" s="7">
        <v>4</v>
      </c>
      <c r="B30" s="8" t="s">
        <v>71</v>
      </c>
      <c r="C30" s="8" t="s">
        <v>69</v>
      </c>
      <c r="D30" s="11">
        <v>788.43589923514139</v>
      </c>
      <c r="E30" s="11">
        <v>783</v>
      </c>
      <c r="F30" s="11">
        <v>786</v>
      </c>
      <c r="G30" s="11">
        <v>774.8974263334577</v>
      </c>
      <c r="H30" s="11">
        <v>795.58632626568578</v>
      </c>
      <c r="I30" s="11">
        <v>784.44790046656294</v>
      </c>
      <c r="J30" s="11">
        <v>784.49933441798544</v>
      </c>
      <c r="K30" s="11">
        <v>790.61460771030909</v>
      </c>
      <c r="L30" s="11">
        <v>795.07109004739345</v>
      </c>
      <c r="M30" s="11">
        <v>796.11969746793818</v>
      </c>
      <c r="N30" s="11">
        <v>797.62845849802363</v>
      </c>
      <c r="O30" s="11">
        <v>1115.035733919736</v>
      </c>
      <c r="P30" s="11">
        <v>1025.553319919517</v>
      </c>
      <c r="Q30" s="11">
        <v>3609.4695621217516</v>
      </c>
      <c r="R30" s="11">
        <v>1842.8775948460986</v>
      </c>
      <c r="S30" s="11">
        <v>1599.3219487694626</v>
      </c>
      <c r="T30" s="3">
        <v>785</v>
      </c>
      <c r="U30" s="11">
        <f>(([1]TK1!C30)/[1]TK1!C28)*1000</f>
        <v>3274.7603833865815</v>
      </c>
      <c r="V30" s="11">
        <f>(([1]TK1!D30)/[1]TK1!D28)*1000</f>
        <v>1504.2372881355932</v>
      </c>
      <c r="W30" s="11">
        <f>(([1]TK1!E30)/[1]TK1!E28)*1000</f>
        <v>1247.1190781049936</v>
      </c>
      <c r="X30" s="11">
        <f>(([1]TK1!F30)/[1]TK1!F28)*1000</f>
        <v>1729.8850574712644</v>
      </c>
      <c r="Y30" s="11">
        <f>(([1]TK1!G30)/[1]TK1!G28)*1000</f>
        <v>1442.6229508196723</v>
      </c>
      <c r="Z30" s="11">
        <f>(([1]TK1!H30)/[1]TK1!H28)*1000</f>
        <v>1132.5581395348838</v>
      </c>
      <c r="AA30" s="11">
        <f>(([1]TK1!I30)/[1]TK1!I28)*1000</f>
        <v>1652.51572327044</v>
      </c>
      <c r="AB30" s="11">
        <f>(([1]TK1!J30)/[1]TK1!J28)*1000</f>
        <v>1381.1721273650207</v>
      </c>
      <c r="AC30" s="11">
        <f>(([1]TK1!K30)/[1]TK1!K28)*1000</f>
        <v>1436.8279569892472</v>
      </c>
      <c r="AD30" s="11">
        <f>(([1]TK1!L30)/[1]TK1!L28)*1000</f>
        <v>1503.5063113604488</v>
      </c>
      <c r="AE30" s="11">
        <f>(([1]TK1!M30)/[1]TK1!M28)*1000</f>
        <v>1731.4685314685314</v>
      </c>
      <c r="AF30" s="11">
        <f>(([1]TK1!N30)/[1]TK1!N28)*1000</f>
        <v>1555.7090239410682</v>
      </c>
      <c r="AG30" s="11" t="e">
        <f>(([1]TK1!O30)/[1]TK1!O28)*1000</f>
        <v>#DIV/0!</v>
      </c>
      <c r="AH30" s="11" t="e">
        <f>(([1]TK1!P30)/[1]TK1!P28)*1000</f>
        <v>#DIV/0!</v>
      </c>
      <c r="AI30" s="11" t="e">
        <f>(([1]TK1!Q30)/[1]TK1!Q28)*1000</f>
        <v>#DIV/0!</v>
      </c>
      <c r="AJ30" s="11"/>
      <c r="AK30" s="11">
        <f>(([1]TK1!S30)/[1]TK1!S28)*1000</f>
        <v>1537.8492802709568</v>
      </c>
    </row>
    <row r="31" spans="1:42">
      <c r="A31" s="1">
        <v>2</v>
      </c>
      <c r="B31" s="3" t="s">
        <v>324</v>
      </c>
      <c r="C31" s="6" t="s">
        <v>70</v>
      </c>
      <c r="D31" s="3">
        <v>1.006</v>
      </c>
      <c r="E31" s="3">
        <v>0.98299999999999998</v>
      </c>
      <c r="F31" s="19">
        <v>0.97</v>
      </c>
      <c r="G31" s="19">
        <v>0.96599999999999997</v>
      </c>
      <c r="H31" s="19">
        <v>0.96599999999999997</v>
      </c>
      <c r="I31" s="19">
        <v>0.95599999999999996</v>
      </c>
      <c r="J31" s="19">
        <v>0.96</v>
      </c>
      <c r="K31" s="19">
        <v>0.96399999999999997</v>
      </c>
      <c r="L31" s="19">
        <v>0.995</v>
      </c>
      <c r="M31" s="19">
        <v>0.99358333333333315</v>
      </c>
      <c r="N31" s="19">
        <v>0.94599999999999995</v>
      </c>
      <c r="O31" s="19">
        <v>0.94199999999999995</v>
      </c>
      <c r="P31" s="19">
        <v>0.95799999999999996</v>
      </c>
      <c r="Q31" s="19">
        <v>0.93799999999999994</v>
      </c>
      <c r="R31" s="19">
        <v>0.96899999999999997</v>
      </c>
      <c r="S31" s="19">
        <v>0.96699999999999997</v>
      </c>
      <c r="T31" s="19">
        <v>0.91600000000000004</v>
      </c>
      <c r="U31" s="19">
        <v>0.99399999999999999</v>
      </c>
      <c r="V31" s="19">
        <v>0.98699999999999999</v>
      </c>
      <c r="W31" s="19">
        <v>0.98599999999999999</v>
      </c>
      <c r="X31" s="19">
        <v>0.98899999999999999</v>
      </c>
      <c r="Y31" s="19">
        <v>0.95</v>
      </c>
      <c r="Z31" s="19">
        <v>0.996</v>
      </c>
      <c r="AA31" s="19">
        <v>0.99299999999999999</v>
      </c>
      <c r="AB31" s="19">
        <v>0.97899999999999998</v>
      </c>
      <c r="AC31" s="19">
        <v>0.99099999999999999</v>
      </c>
      <c r="AD31" s="19">
        <v>0.96</v>
      </c>
      <c r="AE31" s="19">
        <v>0.95899999999999996</v>
      </c>
      <c r="AF31" s="19">
        <v>0.98099999999999998</v>
      </c>
      <c r="AG31" s="19">
        <v>0</v>
      </c>
      <c r="AH31" s="19">
        <v>0</v>
      </c>
      <c r="AI31" s="19">
        <v>0</v>
      </c>
      <c r="AJ31" s="19"/>
      <c r="AK31" s="19">
        <v>0.97899999999999998</v>
      </c>
    </row>
    <row r="32" spans="1:42" s="34" customFormat="1">
      <c r="A32" s="26">
        <v>4</v>
      </c>
      <c r="B32" s="28" t="s">
        <v>326</v>
      </c>
      <c r="C32" s="27"/>
      <c r="D32" s="28"/>
      <c r="E32" s="28"/>
      <c r="F32" s="28"/>
      <c r="G32" s="28"/>
      <c r="H32" s="28"/>
      <c r="I32" s="28"/>
      <c r="J32" s="28"/>
      <c r="K32" s="29"/>
      <c r="L32" s="29"/>
      <c r="M32" s="29"/>
      <c r="N32" s="29"/>
      <c r="O32" s="29"/>
      <c r="P32" s="29"/>
      <c r="Q32" s="29"/>
      <c r="R32" s="29"/>
      <c r="S32" s="29">
        <v>14.78</v>
      </c>
      <c r="T32" s="30"/>
      <c r="U32" s="9">
        <v>17.100000000000001</v>
      </c>
      <c r="V32" s="31">
        <v>17.100000000000001</v>
      </c>
      <c r="W32" s="31">
        <v>15.1</v>
      </c>
      <c r="X32" s="31"/>
      <c r="Y32" s="31">
        <v>14.61</v>
      </c>
      <c r="Z32" s="31">
        <v>13.8</v>
      </c>
      <c r="AA32" s="31">
        <v>13.2</v>
      </c>
      <c r="AB32" s="31"/>
      <c r="AC32" s="31">
        <v>14.5</v>
      </c>
      <c r="AD32" s="31">
        <v>14.1</v>
      </c>
      <c r="AE32" s="31">
        <v>13.9</v>
      </c>
      <c r="AF32" s="31"/>
      <c r="AG32" s="31"/>
      <c r="AH32" s="31"/>
      <c r="AI32" s="31"/>
      <c r="AJ32" s="31"/>
      <c r="AK32" s="31">
        <v>14.9</v>
      </c>
      <c r="AL32" s="32"/>
      <c r="AM32" s="33"/>
      <c r="AO32" s="35"/>
      <c r="AP32" s="35"/>
    </row>
    <row r="33" spans="1:37" s="1" customFormat="1">
      <c r="A33" s="7" t="s">
        <v>72</v>
      </c>
      <c r="B33" s="3" t="s">
        <v>73</v>
      </c>
      <c r="C33" s="8" t="s">
        <v>8</v>
      </c>
      <c r="D33" s="3" t="s">
        <v>9</v>
      </c>
      <c r="E33" s="6" t="s">
        <v>10</v>
      </c>
      <c r="F33" s="6" t="s">
        <v>11</v>
      </c>
      <c r="G33" s="6" t="s">
        <v>12</v>
      </c>
      <c r="H33" s="6" t="s">
        <v>13</v>
      </c>
      <c r="I33" s="3" t="s">
        <v>14</v>
      </c>
      <c r="J33" s="3" t="s">
        <v>15</v>
      </c>
      <c r="K33" s="3" t="s">
        <v>16</v>
      </c>
      <c r="L33" s="3" t="s">
        <v>17</v>
      </c>
      <c r="M33" s="3" t="s">
        <v>18</v>
      </c>
      <c r="N33" s="3" t="s">
        <v>19</v>
      </c>
      <c r="O33" s="3" t="s">
        <v>20</v>
      </c>
      <c r="P33" s="3" t="s">
        <v>21</v>
      </c>
      <c r="Q33" s="3" t="s">
        <v>22</v>
      </c>
      <c r="R33" s="3" t="s">
        <v>23</v>
      </c>
      <c r="S33" s="3" t="s">
        <v>24</v>
      </c>
      <c r="T33" s="3" t="s">
        <v>25</v>
      </c>
      <c r="U33" s="3" t="s">
        <v>26</v>
      </c>
      <c r="V33" s="3" t="s">
        <v>27</v>
      </c>
      <c r="W33" s="3" t="s">
        <v>28</v>
      </c>
      <c r="X33" s="3" t="s">
        <v>29</v>
      </c>
      <c r="Y33" s="3" t="s">
        <v>74</v>
      </c>
      <c r="Z33" s="3" t="s">
        <v>31</v>
      </c>
      <c r="AA33" s="3" t="s">
        <v>32</v>
      </c>
      <c r="AB33" s="3" t="s">
        <v>33</v>
      </c>
      <c r="AC33" s="3" t="s">
        <v>34</v>
      </c>
      <c r="AD33" s="3" t="s">
        <v>35</v>
      </c>
      <c r="AE33" s="3" t="s">
        <v>36</v>
      </c>
      <c r="AF33" s="3" t="s">
        <v>37</v>
      </c>
      <c r="AG33" s="3" t="s">
        <v>38</v>
      </c>
      <c r="AH33" s="3" t="s">
        <v>39</v>
      </c>
      <c r="AI33" s="3" t="s">
        <v>40</v>
      </c>
      <c r="AJ33" s="3" t="s">
        <v>41</v>
      </c>
      <c r="AK33" s="3" t="s">
        <v>42</v>
      </c>
    </row>
    <row r="34" spans="1:37">
      <c r="A34" s="7">
        <v>1</v>
      </c>
      <c r="B34" s="8" t="s">
        <v>75</v>
      </c>
      <c r="C34" s="8" t="s">
        <v>47</v>
      </c>
      <c r="D34" s="9">
        <v>9.4</v>
      </c>
      <c r="E34" s="9">
        <v>9.4</v>
      </c>
      <c r="F34" s="9">
        <v>9.4</v>
      </c>
      <c r="G34" s="9">
        <v>9.2941666666666674</v>
      </c>
      <c r="H34" s="9">
        <v>9.3975000000000009</v>
      </c>
      <c r="I34" s="9">
        <v>9.3000000000000007</v>
      </c>
      <c r="J34" s="9">
        <v>9.3591666666666669</v>
      </c>
      <c r="K34" s="9">
        <v>9.4</v>
      </c>
      <c r="L34" s="9">
        <v>9.5550000000000015</v>
      </c>
      <c r="M34" s="9">
        <v>9.6690000000000005</v>
      </c>
      <c r="N34" s="9">
        <v>9.8125000000000018</v>
      </c>
      <c r="O34" s="9">
        <v>9.7766666666666655</v>
      </c>
      <c r="P34" s="9">
        <v>9.7233333333333345</v>
      </c>
      <c r="Q34" s="9">
        <v>9.76</v>
      </c>
      <c r="R34" s="9">
        <v>9.7211111111111101</v>
      </c>
      <c r="S34" s="9">
        <v>9.7391666666666676</v>
      </c>
      <c r="T34" s="14">
        <v>9.5</v>
      </c>
      <c r="U34" s="9">
        <f>[1]TK1!C47</f>
        <v>9.8699999999999992</v>
      </c>
      <c r="V34" s="9">
        <f>[1]TK1!D47</f>
        <v>9.85</v>
      </c>
      <c r="W34" s="9">
        <f>[1]TK1!E47</f>
        <v>9.81</v>
      </c>
      <c r="X34" s="9">
        <f>[1]TK1!F47</f>
        <v>9.8433333333333337</v>
      </c>
      <c r="Y34" s="9">
        <f>[1]TK1!G47</f>
        <v>9.83</v>
      </c>
      <c r="Z34" s="9">
        <f>[1]TK1!H47</f>
        <v>9.76</v>
      </c>
      <c r="AA34" s="9">
        <f>[1]TK1!I47</f>
        <v>9.81</v>
      </c>
      <c r="AB34" s="9">
        <f>[1]TK1!J47</f>
        <v>9.7999999999999989</v>
      </c>
      <c r="AC34" s="9">
        <f>[1]TK1!K47</f>
        <v>9.8000000000000007</v>
      </c>
      <c r="AD34" s="9">
        <f>[1]TK1!L47</f>
        <v>9.68</v>
      </c>
      <c r="AE34" s="9">
        <f>[1]TK1!M47</f>
        <v>9.73</v>
      </c>
      <c r="AF34" s="9">
        <f>[1]TK1!N47</f>
        <v>9.7366666666666664</v>
      </c>
      <c r="AG34" s="9">
        <f>[1]TK1!O47</f>
        <v>0</v>
      </c>
      <c r="AH34" s="9">
        <f>[1]TK1!P47</f>
        <v>0</v>
      </c>
      <c r="AI34" s="9">
        <f>[1]TK1!Q47</f>
        <v>0</v>
      </c>
      <c r="AJ34" s="9" t="e">
        <f>[1]TK1!R47</f>
        <v>#DIV/0!</v>
      </c>
      <c r="AK34" s="9">
        <f>[1]TK1!S47/[1]TK1!S337</f>
        <v>9.793333333333333</v>
      </c>
    </row>
    <row r="35" spans="1:37">
      <c r="A35" s="7">
        <v>2</v>
      </c>
      <c r="B35" s="8" t="s">
        <v>76</v>
      </c>
      <c r="C35" s="8" t="s">
        <v>47</v>
      </c>
      <c r="D35" s="9">
        <v>53</v>
      </c>
      <c r="E35" s="9">
        <v>53.4</v>
      </c>
      <c r="F35" s="9">
        <v>53.2</v>
      </c>
      <c r="G35" s="9">
        <v>53.08</v>
      </c>
      <c r="H35" s="9">
        <v>53.747500000000002</v>
      </c>
      <c r="I35" s="9">
        <v>53.166666666666664</v>
      </c>
      <c r="J35" s="9">
        <v>53.954166666666673</v>
      </c>
      <c r="K35" s="9">
        <v>54.141666666666666</v>
      </c>
      <c r="L35" s="9">
        <v>54.307500000000012</v>
      </c>
      <c r="M35" s="9">
        <v>54.846000000000004</v>
      </c>
      <c r="N35" s="9">
        <v>54.439166666666672</v>
      </c>
      <c r="O35" s="9">
        <v>54.180833333333332</v>
      </c>
      <c r="P35" s="9">
        <v>53.014166666666661</v>
      </c>
      <c r="Q35" s="9">
        <v>54.12</v>
      </c>
      <c r="R35" s="9">
        <v>53.070833333333333</v>
      </c>
      <c r="S35" s="9">
        <v>53.065000000000005</v>
      </c>
      <c r="T35" s="12">
        <v>54</v>
      </c>
      <c r="U35" s="9">
        <f>[1]TK1!C48</f>
        <v>53.25</v>
      </c>
      <c r="V35" s="9">
        <f>[1]TK1!D48</f>
        <v>53.25</v>
      </c>
      <c r="W35" s="9">
        <f>[1]TK1!E48</f>
        <v>53.23</v>
      </c>
      <c r="X35" s="9">
        <f>[1]TK1!F48</f>
        <v>53.243333333333332</v>
      </c>
      <c r="Y35" s="9">
        <f>[1]TK1!G48</f>
        <v>53.04</v>
      </c>
      <c r="Z35" s="9">
        <f>[1]TK1!H48</f>
        <v>52.44</v>
      </c>
      <c r="AA35" s="9">
        <f>[1]TK1!I48</f>
        <v>53.33</v>
      </c>
      <c r="AB35" s="9">
        <f>[1]TK1!J48</f>
        <v>52.936666666666667</v>
      </c>
      <c r="AC35" s="9">
        <f>[1]TK1!K48</f>
        <v>53.49</v>
      </c>
      <c r="AD35" s="9">
        <f>[1]TK1!L48</f>
        <v>52.98</v>
      </c>
      <c r="AE35" s="9">
        <f>[1]TK1!M48</f>
        <v>52.88</v>
      </c>
      <c r="AF35" s="9">
        <f>[1]TK1!N48</f>
        <v>53.116666666666667</v>
      </c>
      <c r="AG35" s="9">
        <f>[1]TK1!O48</f>
        <v>0</v>
      </c>
      <c r="AH35" s="9">
        <f>[1]TK1!P48</f>
        <v>0</v>
      </c>
      <c r="AI35" s="9">
        <f>[1]TK1!Q48</f>
        <v>0</v>
      </c>
      <c r="AJ35" s="9" t="e">
        <f>[1]TK1!R48</f>
        <v>#DIV/0!</v>
      </c>
      <c r="AK35" s="9">
        <f>[1]TK1!S48/[1]TK1!S337</f>
        <v>53.098888888888887</v>
      </c>
    </row>
    <row r="36" spans="1:37">
      <c r="A36" s="7">
        <v>3</v>
      </c>
      <c r="B36" s="8" t="s">
        <v>77</v>
      </c>
      <c r="C36" s="8" t="s">
        <v>47</v>
      </c>
      <c r="D36" s="9">
        <v>10.7</v>
      </c>
      <c r="E36" s="9">
        <v>10.5</v>
      </c>
      <c r="F36" s="9">
        <v>10.8</v>
      </c>
      <c r="G36" s="9">
        <v>10.949166666666668</v>
      </c>
      <c r="H36" s="9">
        <v>10.828333333333333</v>
      </c>
      <c r="I36" s="9">
        <v>11.172499999999999</v>
      </c>
      <c r="J36" s="9">
        <v>10.946666666666665</v>
      </c>
      <c r="K36" s="9">
        <v>10.954166666666666</v>
      </c>
      <c r="L36" s="9">
        <v>10.9825</v>
      </c>
      <c r="M36" s="9">
        <v>10.224</v>
      </c>
      <c r="N36" s="9">
        <v>10.68</v>
      </c>
      <c r="O36" s="9">
        <v>11.066666666666665</v>
      </c>
      <c r="P36" s="9">
        <v>11.823333333333332</v>
      </c>
      <c r="Q36" s="9">
        <v>10.6</v>
      </c>
      <c r="R36" s="9">
        <v>11.327500000000001</v>
      </c>
      <c r="S36" s="9">
        <v>10.967500000000001</v>
      </c>
      <c r="T36" s="6">
        <v>9.6999999999999993</v>
      </c>
      <c r="U36" s="9">
        <f>[1]TK1!C49</f>
        <v>10.87</v>
      </c>
      <c r="V36" s="9">
        <f>[1]TK1!D49</f>
        <v>11.02</v>
      </c>
      <c r="W36" s="9">
        <f>[1]TK1!E49</f>
        <v>10.77</v>
      </c>
      <c r="X36" s="9">
        <f>[1]TK1!F49</f>
        <v>10.886666666666665</v>
      </c>
      <c r="Y36" s="9">
        <f>[1]TK1!G49</f>
        <v>10.88</v>
      </c>
      <c r="Z36" s="9">
        <f>[1]TK1!H49</f>
        <v>11.69</v>
      </c>
      <c r="AA36" s="9">
        <f>[1]TK1!I49</f>
        <v>10.82</v>
      </c>
      <c r="AB36" s="9">
        <f>[1]TK1!J49</f>
        <v>11.13</v>
      </c>
      <c r="AC36" s="9">
        <f>[1]TK1!K49</f>
        <v>10.72</v>
      </c>
      <c r="AD36" s="9">
        <f>[1]TK1!L49</f>
        <v>10.84</v>
      </c>
      <c r="AE36" s="9">
        <f>[1]TK1!M49</f>
        <v>11.03</v>
      </c>
      <c r="AF36" s="9">
        <f>[1]TK1!N49</f>
        <v>10.863333333333335</v>
      </c>
      <c r="AG36" s="9">
        <f>[1]TK1!O49</f>
        <v>0</v>
      </c>
      <c r="AH36" s="9">
        <f>[1]TK1!P49</f>
        <v>0</v>
      </c>
      <c r="AI36" s="9">
        <f>[1]TK1!Q49</f>
        <v>0</v>
      </c>
      <c r="AJ36" s="9" t="e">
        <f>[1]TK1!R49</f>
        <v>#DIV/0!</v>
      </c>
      <c r="AK36" s="9">
        <f>[1]TK1!S49/[1]TK1!S337</f>
        <v>10.96</v>
      </c>
    </row>
    <row r="37" spans="1:37">
      <c r="A37" s="7">
        <v>4</v>
      </c>
      <c r="B37" s="8" t="s">
        <v>78</v>
      </c>
      <c r="C37" s="8"/>
      <c r="D37" s="9">
        <v>1.8166666666666664</v>
      </c>
      <c r="E37" s="9">
        <v>1.9</v>
      </c>
      <c r="F37" s="9">
        <v>1.8</v>
      </c>
      <c r="G37" s="9">
        <v>1.8033333333333335</v>
      </c>
      <c r="H37" s="9">
        <v>1.8266666666666669</v>
      </c>
      <c r="I37" s="9">
        <v>1.7658333333333331</v>
      </c>
      <c r="J37" s="9">
        <v>1.780833333333333</v>
      </c>
      <c r="K37" s="9">
        <v>1.8041666666666667</v>
      </c>
      <c r="L37" s="9">
        <v>1.8199999999999996</v>
      </c>
      <c r="M37" s="9">
        <v>1.7039999999999995</v>
      </c>
      <c r="N37" s="9">
        <v>1.7150000000000001</v>
      </c>
      <c r="O37" s="9">
        <v>1.718333333333333</v>
      </c>
      <c r="P37" s="9">
        <v>1.7008333333333334</v>
      </c>
      <c r="Q37" s="9">
        <v>1.75</v>
      </c>
      <c r="R37" s="9">
        <v>1.6691666666666665</v>
      </c>
      <c r="S37" s="9">
        <v>1.7075000000000002</v>
      </c>
      <c r="T37" s="3">
        <v>1.76</v>
      </c>
      <c r="U37" s="9">
        <f>[1]TK1!C50</f>
        <v>1.69</v>
      </c>
      <c r="V37" s="9">
        <f>[1]TK1!D50</f>
        <v>1.69</v>
      </c>
      <c r="W37" s="9">
        <f>[1]TK1!E50</f>
        <v>1.68</v>
      </c>
      <c r="X37" s="9">
        <f>[1]TK1!F50</f>
        <v>1.6866666666666665</v>
      </c>
      <c r="Y37" s="9">
        <f>[1]TK1!G50</f>
        <v>1.66</v>
      </c>
      <c r="Z37" s="9">
        <f>[1]TK1!H50</f>
        <v>1.6</v>
      </c>
      <c r="AA37" s="9">
        <f>[1]TK1!I50</f>
        <v>1.7</v>
      </c>
      <c r="AB37" s="9">
        <f>[1]TK1!J50</f>
        <v>1.6533333333333333</v>
      </c>
      <c r="AC37" s="9">
        <f>[1]TK1!K50</f>
        <v>1.72</v>
      </c>
      <c r="AD37" s="9">
        <f>[1]TK1!L50</f>
        <v>1.66</v>
      </c>
      <c r="AE37" s="9">
        <f>[1]TK1!M50</f>
        <v>1.65</v>
      </c>
      <c r="AF37" s="9">
        <f>[1]TK1!N50</f>
        <v>1.6766666666666665</v>
      </c>
      <c r="AG37" s="9">
        <f>[1]TK1!O50</f>
        <v>0</v>
      </c>
      <c r="AH37" s="9">
        <f>[1]TK1!P50</f>
        <v>0</v>
      </c>
      <c r="AI37" s="9">
        <f>[1]TK1!Q50</f>
        <v>0</v>
      </c>
      <c r="AJ37" s="9" t="e">
        <f>[1]TK1!R50</f>
        <v>#DIV/0!</v>
      </c>
      <c r="AK37" s="9">
        <f>[1]TK1!S50/[1]TK1!S337</f>
        <v>1.6722222222222223</v>
      </c>
    </row>
    <row r="38" spans="1:37">
      <c r="A38" s="7">
        <v>5</v>
      </c>
      <c r="B38" s="8" t="s">
        <v>79</v>
      </c>
      <c r="C38" s="8" t="s">
        <v>80</v>
      </c>
      <c r="D38" s="9">
        <v>0.89431578452688565</v>
      </c>
      <c r="E38" s="9">
        <v>0.92</v>
      </c>
      <c r="F38" s="9">
        <v>0.91</v>
      </c>
      <c r="G38" s="9">
        <v>0.91695526429142826</v>
      </c>
      <c r="H38" s="9">
        <v>0.87436281859070464</v>
      </c>
      <c r="I38" s="9">
        <v>0.8407718402853116</v>
      </c>
      <c r="J38" s="9">
        <v>0.80919005063344429</v>
      </c>
      <c r="K38" s="9">
        <v>0.88286785409959811</v>
      </c>
      <c r="L38" s="9">
        <v>0.84495247325699796</v>
      </c>
      <c r="M38" s="9">
        <v>0.82726684234272529</v>
      </c>
      <c r="N38" s="9">
        <v>0.80943352198303098</v>
      </c>
      <c r="O38" s="9">
        <v>0.75680786062257455</v>
      </c>
      <c r="P38" s="9">
        <v>0.67485386601375263</v>
      </c>
      <c r="Q38" s="9">
        <v>0.77659422523247168</v>
      </c>
      <c r="R38" s="9">
        <v>0.74102680740154925</v>
      </c>
      <c r="S38" s="9">
        <v>0.71869473014452911</v>
      </c>
      <c r="T38" s="9">
        <v>0.7</v>
      </c>
      <c r="U38" s="9">
        <f>([1]TK1!C34/125)/[1]TK1!C46</f>
        <v>0.71718566775244297</v>
      </c>
      <c r="V38" s="9">
        <f>([1]TK1!D34/125)/[1]TK1!D46</f>
        <v>0.71118437555993552</v>
      </c>
      <c r="W38" s="9">
        <f>([1]TK1!E34/125)/[1]TK1!E46</f>
        <v>0.7160496921654943</v>
      </c>
      <c r="X38" s="9">
        <f>([1]TK1!F34/125)/[1]TK1!F46</f>
        <v>0.71476213854507697</v>
      </c>
      <c r="Y38" s="9">
        <f>([1]TK1!G34/125)/[1]TK1!G46</f>
        <v>0.7145054587392895</v>
      </c>
      <c r="Z38" s="9">
        <f>(([1]TK1!H34/125)/[1]TK1!H46)</f>
        <v>0.70503169078585826</v>
      </c>
      <c r="AA38" s="9">
        <f>(([1]TK1!I34/125)/[1]TK1!I46)</f>
        <v>0.70180568627021811</v>
      </c>
      <c r="AB38" s="9">
        <f>([1]TK1!J34/125)/[1]TK1!J46</f>
        <v>0.7071932509792106</v>
      </c>
      <c r="AC38" s="9">
        <f>(([1]TK1!K34/125)/[1]TK1!K46)</f>
        <v>0.70640196634524477</v>
      </c>
      <c r="AD38" s="9">
        <f>(([1]TK1!L34/125)/[1]TK1!L46)</f>
        <v>0.71543818119767344</v>
      </c>
      <c r="AE38" s="9">
        <f>(([1]TK1!M34/125)/[1]TK1!M46)</f>
        <v>0.71677532929298549</v>
      </c>
      <c r="AF38" s="9">
        <f>([1]TK1!N34/125)/[1]TK1!N46</f>
        <v>0.71301434273157349</v>
      </c>
      <c r="AG38" s="9" t="e">
        <f>(([1]TK1!O34/125)/[1]TK1!O46)</f>
        <v>#DIV/0!</v>
      </c>
      <c r="AH38" s="9" t="e">
        <f>(([1]TK1!P34/125)/[1]TK1!P46)</f>
        <v>#DIV/0!</v>
      </c>
      <c r="AI38" s="9" t="e">
        <f>(([1]TK1!Q34/125)/[1]TK1!Q46)</f>
        <v>#DIV/0!</v>
      </c>
      <c r="AJ38" s="9" t="e">
        <f>([1]TK1!R34/125)/[1]TK1!R46</f>
        <v>#DIV/0!</v>
      </c>
      <c r="AK38" s="9">
        <f>([1]TK1!S34/125)/[1]TK1!S46</f>
        <v>0.71163124303515346</v>
      </c>
    </row>
    <row r="39" spans="1:37">
      <c r="A39" s="7">
        <v>6</v>
      </c>
      <c r="B39" s="8" t="s">
        <v>81</v>
      </c>
      <c r="C39" s="8" t="s">
        <v>82</v>
      </c>
      <c r="D39" s="11">
        <v>843.57616024539959</v>
      </c>
      <c r="E39" s="11">
        <v>817</v>
      </c>
      <c r="F39" s="11">
        <v>811</v>
      </c>
      <c r="G39" s="11">
        <v>801.08374313712864</v>
      </c>
      <c r="H39" s="11">
        <v>799.1801113176615</v>
      </c>
      <c r="I39" s="11">
        <v>798.44631325284217</v>
      </c>
      <c r="J39" s="11">
        <v>797.80276820845052</v>
      </c>
      <c r="K39" s="11">
        <v>796.54254884996487</v>
      </c>
      <c r="L39" s="11">
        <v>830.36755040797595</v>
      </c>
      <c r="M39" s="11">
        <v>832.85329016633409</v>
      </c>
      <c r="N39" s="11">
        <v>943.78176920451301</v>
      </c>
      <c r="O39" s="11">
        <v>895.83507594134176</v>
      </c>
      <c r="P39" s="11">
        <v>891.84129143878249</v>
      </c>
      <c r="Q39" s="11">
        <v>846</v>
      </c>
      <c r="R39" s="11">
        <v>847.50887149891344</v>
      </c>
      <c r="S39" s="15">
        <v>853.58083950861646</v>
      </c>
      <c r="T39" s="11">
        <v>870</v>
      </c>
      <c r="U39" s="15">
        <f>[1]TK1!C35/[1]TK1!C34*1000</f>
        <v>852.6189149690349</v>
      </c>
      <c r="V39" s="15">
        <f>[1]TK1!D35/[1]TK1!D34*1000</f>
        <v>856.59692828637083</v>
      </c>
      <c r="W39" s="15">
        <f>[1]TK1!E35/[1]TK1!E34*1000</f>
        <v>860.91590895168429</v>
      </c>
      <c r="X39" s="15">
        <f>[1]TK1!F35/[1]TK1!F34*1000</f>
        <v>856.59928262364247</v>
      </c>
      <c r="Y39" s="11">
        <f>([1]TK1!G35/[1]TK1!G34)*1000</f>
        <v>838.07999746492487</v>
      </c>
      <c r="Z39" s="11">
        <f>([1]TK1!H35/[1]TK1!H34)*1000</f>
        <v>859.67041920947179</v>
      </c>
      <c r="AA39" s="11">
        <f>([1]TK1!I35/[1]TK1!I34)*1000</f>
        <v>910.1402992273978</v>
      </c>
      <c r="AB39" s="15">
        <f>[1]TK1!J35/[1]TK1!J34*1000</f>
        <v>868.78657163268315</v>
      </c>
      <c r="AC39" s="11">
        <f>([1]TK1!K35/[1]TK1!K34)*1000</f>
        <v>879.03730032975034</v>
      </c>
      <c r="AD39" s="11">
        <f>([1]TK1!L35/[1]TK1!L34)*1000</f>
        <v>869.07275089314714</v>
      </c>
      <c r="AE39" s="11">
        <f>([1]TK1!M35/[1]TK1!M34)*1000</f>
        <v>845.72790954133859</v>
      </c>
      <c r="AF39" s="15">
        <f>[1]TK1!N35/[1]TK1!N34*1000</f>
        <v>864.07490486355414</v>
      </c>
      <c r="AG39" s="11" t="e">
        <f>([1]TK1!O35/[1]TK1!O34)*1000</f>
        <v>#DIV/0!</v>
      </c>
      <c r="AH39" s="11" t="e">
        <f>([1]TK1!P35/[1]TK1!P34)*1000</f>
        <v>#DIV/0!</v>
      </c>
      <c r="AI39" s="11" t="e">
        <f>([1]TK1!Q35/[1]TK1!Q34)*1000</f>
        <v>#DIV/0!</v>
      </c>
      <c r="AJ39" s="15" t="e">
        <f>[1]TK1!R35/[1]TK1!R34*1000</f>
        <v>#DIV/0!</v>
      </c>
      <c r="AK39" s="15">
        <f>[1]TK1!S35/[1]TK1!S34*1000</f>
        <v>863.18263816760509</v>
      </c>
    </row>
    <row r="40" spans="1:37">
      <c r="A40" s="7">
        <v>7</v>
      </c>
      <c r="B40" s="8" t="s">
        <v>83</v>
      </c>
      <c r="C40" s="8" t="s">
        <v>82</v>
      </c>
      <c r="D40" s="11">
        <v>77.220731535093918</v>
      </c>
      <c r="E40" s="11">
        <v>82</v>
      </c>
      <c r="F40" s="11">
        <v>75</v>
      </c>
      <c r="G40" s="11">
        <v>64.62802700052255</v>
      </c>
      <c r="H40" s="11">
        <v>66.089972283809942</v>
      </c>
      <c r="I40" s="11">
        <v>93.250094242903586</v>
      </c>
      <c r="J40" s="11">
        <v>90.554400707110034</v>
      </c>
      <c r="K40" s="11">
        <v>89.139555004162645</v>
      </c>
      <c r="L40" s="11">
        <v>87.544331737804129</v>
      </c>
      <c r="M40" s="11">
        <v>80.185651820633524</v>
      </c>
      <c r="N40" s="11">
        <v>93.657075557277594</v>
      </c>
      <c r="O40" s="11">
        <v>112.80825978012227</v>
      </c>
      <c r="P40" s="11">
        <v>115.00100360765867</v>
      </c>
      <c r="Q40" s="11">
        <v>129</v>
      </c>
      <c r="R40" s="11">
        <v>152.56947043752518</v>
      </c>
      <c r="S40" s="15">
        <v>135.53329085893137</v>
      </c>
      <c r="T40" s="11">
        <v>128</v>
      </c>
      <c r="U40" s="11">
        <f>([1]TK1!C36/[1]TK1!C34)*1000</f>
        <v>134.42175552487305</v>
      </c>
      <c r="V40" s="11">
        <f>([1]TK1!D36/[1]TK1!D34)*1000</f>
        <v>141.37944934897408</v>
      </c>
      <c r="W40" s="11">
        <f>([1]TK1!E36/[1]TK1!E34)*1000</f>
        <v>130.49033421137841</v>
      </c>
      <c r="X40" s="11">
        <f>([1]TK1!F36/[1]TK1!F34)*1000</f>
        <v>135.56425046872457</v>
      </c>
      <c r="Y40" s="11">
        <f>([1]TK1!G36/[1]TK1!G34)*1000</f>
        <v>149.56943333148484</v>
      </c>
      <c r="Z40" s="11">
        <f>([1]TK1!H36/[1]TK1!H34)*1000</f>
        <v>183.23162113174916</v>
      </c>
      <c r="AA40" s="11">
        <f>([1]TK1!I36/[1]TK1!I34)*1000</f>
        <v>141.62154969520054</v>
      </c>
      <c r="AB40" s="11">
        <f>([1]TK1!J36/[1]TK1!J34)*1000</f>
        <v>158.00308660489821</v>
      </c>
      <c r="AC40" s="11">
        <f>([1]TK1!K36/[1]TK1!K34)*1000</f>
        <v>158.75979615434028</v>
      </c>
      <c r="AD40" s="11">
        <f>([1]TK1!L36/[1]TK1!L34)*1000</f>
        <v>145.55050341019813</v>
      </c>
      <c r="AE40" s="11">
        <f>([1]TK1!M36/[1]TK1!M34)*1000</f>
        <v>161.65758041719087</v>
      </c>
      <c r="AF40" s="11">
        <f>([1]TK1!N36/[1]TK1!N34)*1000</f>
        <v>155.35924010187668</v>
      </c>
      <c r="AG40" s="11" t="e">
        <f>([1]TK1!O36/[1]TK1!O34)*1000</f>
        <v>#DIV/0!</v>
      </c>
      <c r="AH40" s="11" t="e">
        <f>([1]TK1!P36/[1]TK1!P34)*1000</f>
        <v>#DIV/0!</v>
      </c>
      <c r="AI40" s="11" t="e">
        <f>([1]TK1!Q36/[1]TK1!Q34)*1000</f>
        <v>#DIV/0!</v>
      </c>
      <c r="AJ40" s="11" t="e">
        <f>([1]TK1!R36/[1]TK1!R34)*1000</f>
        <v>#DIV/0!</v>
      </c>
      <c r="AK40" s="15">
        <f>[1]TK1!S36/[1]TK1!S34*1000</f>
        <v>149.71118278394286</v>
      </c>
    </row>
    <row r="41" spans="1:37">
      <c r="A41" s="7">
        <v>8</v>
      </c>
      <c r="B41" s="8" t="s">
        <v>84</v>
      </c>
      <c r="C41" s="8" t="s">
        <v>82</v>
      </c>
      <c r="D41" s="11">
        <v>143.49963708975542</v>
      </c>
      <c r="E41" s="11">
        <v>123</v>
      </c>
      <c r="F41" s="11">
        <v>127</v>
      </c>
      <c r="G41" s="11">
        <v>143.71049598785979</v>
      </c>
      <c r="H41" s="11">
        <v>151.85576327258281</v>
      </c>
      <c r="I41" s="11">
        <v>139.85576431875594</v>
      </c>
      <c r="J41" s="11">
        <v>141.92026403997815</v>
      </c>
      <c r="K41" s="11">
        <v>142.60924925317096</v>
      </c>
      <c r="L41" s="11">
        <v>141.55774906376331</v>
      </c>
      <c r="M41" s="11">
        <v>144.46506539863609</v>
      </c>
      <c r="N41" s="11">
        <v>142.95027321900264</v>
      </c>
      <c r="O41" s="11">
        <v>135.29184289737219</v>
      </c>
      <c r="P41" s="11">
        <v>131.83674411912557</v>
      </c>
      <c r="Q41" s="11">
        <v>107.0054040898506</v>
      </c>
      <c r="R41" s="11">
        <v>96.638405538484747</v>
      </c>
      <c r="S41" s="11">
        <v>94.348069476575162</v>
      </c>
      <c r="T41" s="11">
        <v>93</v>
      </c>
      <c r="U41" s="11">
        <f>([1]TK1!C37/[1]TK1!C34)*1000</f>
        <v>94.041938166638403</v>
      </c>
      <c r="V41" s="11">
        <f>([1]TK1!D37/[1]TK1!D34)*1000</f>
        <v>89.910106018462528</v>
      </c>
      <c r="W41" s="11">
        <f>([1]TK1!E37/[1]TK1!E34)*1000</f>
        <v>78.700259913012275</v>
      </c>
      <c r="X41" s="11">
        <f>([1]TK1!F37/[1]TK1!F34)*1000</f>
        <v>87.786101454357677</v>
      </c>
      <c r="Y41" s="11">
        <f>([1]TK1!G37/[1]TK1!G34)*1000</f>
        <v>82.762281250742703</v>
      </c>
      <c r="Z41" s="11">
        <f>([1]TK1!H37/[1]TK1!H34)*1000</f>
        <v>88.589387565059781</v>
      </c>
      <c r="AA41" s="11">
        <f>([1]TK1!I37/[1]TK1!I34)*1000</f>
        <v>92.545927829478643</v>
      </c>
      <c r="AB41" s="11">
        <f>([1]TK1!J37/[1]TK1!J34)*1000</f>
        <v>87.880985750355833</v>
      </c>
      <c r="AC41" s="11">
        <f>([1]TK1!K37/[1]TK1!K34)*1000</f>
        <v>90.685623742023893</v>
      </c>
      <c r="AD41" s="11">
        <f>([1]TK1!L37/[1]TK1!L34)*1000</f>
        <v>106.08151997401754</v>
      </c>
      <c r="AE41" s="11">
        <f>([1]TK1!M37/[1]TK1!M34)*1000</f>
        <v>117.15049003618967</v>
      </c>
      <c r="AF41" s="11">
        <f>([1]TK1!N37/[1]TK1!N34)*1000</f>
        <v>105.071864294607</v>
      </c>
      <c r="AG41" s="11" t="e">
        <f>([1]TK1!O37/[1]TK1!O34)*1000</f>
        <v>#DIV/0!</v>
      </c>
      <c r="AH41" s="11" t="e">
        <f>([1]TK1!P37/[1]TK1!P34)*1000</f>
        <v>#DIV/0!</v>
      </c>
      <c r="AI41" s="11" t="e">
        <f>([1]TK1!Q37/[1]TK1!Q34)*1000</f>
        <v>#DIV/0!</v>
      </c>
      <c r="AJ41" s="11" t="e">
        <f>([1]TK1!R37/[1]TK1!R34)*1000</f>
        <v>#DIV/0!</v>
      </c>
      <c r="AK41" s="11">
        <f>([1]TK1!S37/[1]TK1!S34)*1000</f>
        <v>93.624154959091825</v>
      </c>
    </row>
    <row r="42" spans="1:37">
      <c r="A42" s="7">
        <v>9</v>
      </c>
      <c r="B42" s="8" t="s">
        <v>85</v>
      </c>
      <c r="C42" s="8" t="s">
        <v>82</v>
      </c>
      <c r="D42" s="11">
        <v>10.11287986521415</v>
      </c>
      <c r="E42" s="11">
        <v>10</v>
      </c>
      <c r="F42" s="11">
        <v>10</v>
      </c>
      <c r="G42" s="11">
        <v>10.586180485465388</v>
      </c>
      <c r="H42" s="11">
        <v>12.802697645118856</v>
      </c>
      <c r="I42" s="11">
        <v>10.111294703724973</v>
      </c>
      <c r="J42" s="11">
        <v>12.695171427662007</v>
      </c>
      <c r="K42" s="11">
        <v>12.295336195497804</v>
      </c>
      <c r="L42" s="11">
        <v>8.0789166935343868</v>
      </c>
      <c r="M42" s="11">
        <v>5.653022058800282</v>
      </c>
      <c r="N42" s="11">
        <v>4.6310390317253853</v>
      </c>
      <c r="O42" s="11">
        <v>12.689823048006275</v>
      </c>
      <c r="P42" s="11">
        <v>10.025418806364115</v>
      </c>
      <c r="Q42" s="11">
        <v>6.7282854598454556</v>
      </c>
      <c r="R42" s="11">
        <v>9.3074572818829928</v>
      </c>
      <c r="S42" s="11">
        <v>5.6428067744609249</v>
      </c>
      <c r="T42" s="3">
        <v>6</v>
      </c>
      <c r="U42" s="11">
        <f>([1]TK1!C38/[1]TK1!C34)*1000</f>
        <v>5.4340366090965615</v>
      </c>
      <c r="V42" s="11">
        <f>([1]TK1!D38/[1]TK1!D34)*1000</f>
        <v>5.4097633732414234</v>
      </c>
      <c r="W42" s="11">
        <f>([1]TK1!E38/[1]TK1!E34)*1000</f>
        <v>3.5967760284941672</v>
      </c>
      <c r="X42" s="11">
        <f>([1]TK1!F38/[1]TK1!F34)*1000</f>
        <v>4.8460181194136185</v>
      </c>
      <c r="Y42" s="11">
        <f>([1]TK1!G38/[1]TK1!G34)*1000</f>
        <v>5.8544391542355561</v>
      </c>
      <c r="Z42" s="11">
        <f>([1]TK1!H38/[1]TK1!H34)*1000</f>
        <v>7.3083126860335561</v>
      </c>
      <c r="AA42" s="11">
        <f>([1]TK1!I38/[1]TK1!I34)*1000</f>
        <v>2.694543549312642</v>
      </c>
      <c r="AB42" s="11">
        <f>([1]TK1!J38/[1]TK1!J34)*1000</f>
        <v>5.2952179437539879</v>
      </c>
      <c r="AC42" s="11">
        <f>([1]TK1!K38/[1]TK1!K34)*1000</f>
        <v>4.899147788103293</v>
      </c>
      <c r="AD42" s="11">
        <f>([1]TK1!L38/[1]TK1!L34)*1000</f>
        <v>1.8350113673270543</v>
      </c>
      <c r="AE42" s="11">
        <f>([1]TK1!M38/[1]TK1!M34)*1000</f>
        <v>3.3083267322119196</v>
      </c>
      <c r="AF42" s="11">
        <f>([1]TK1!N38/[1]TK1!N34)*1000</f>
        <v>3.3199432571789704</v>
      </c>
      <c r="AG42" s="11" t="e">
        <f>([1]TK1!O38/[1]TK1!O34)*1000</f>
        <v>#DIV/0!</v>
      </c>
      <c r="AH42" s="11" t="e">
        <f>([1]TK1!P38/[1]TK1!P34)*1000</f>
        <v>#DIV/0!</v>
      </c>
      <c r="AI42" s="11" t="e">
        <f>([1]TK1!Q38/[1]TK1!Q34)*1000</f>
        <v>#DIV/0!</v>
      </c>
      <c r="AJ42" s="11" t="e">
        <f>([1]TK1!R38/[1]TK1!R34)*1000</f>
        <v>#DIV/0!</v>
      </c>
      <c r="AK42" s="11">
        <f>([1]TK1!S38/[1]TK1!S34)*1000</f>
        <v>4.4835000637766722</v>
      </c>
    </row>
    <row r="43" spans="1:37">
      <c r="A43" s="7">
        <v>10</v>
      </c>
      <c r="B43" s="8" t="s">
        <v>86</v>
      </c>
      <c r="C43" s="8" t="s">
        <v>82</v>
      </c>
      <c r="D43" s="12">
        <v>37.713763986823565</v>
      </c>
      <c r="E43" s="12">
        <v>35</v>
      </c>
      <c r="F43" s="12">
        <v>38</v>
      </c>
      <c r="G43" s="12">
        <v>39.148610246168602</v>
      </c>
      <c r="H43" s="12">
        <v>33.87702081493422</v>
      </c>
      <c r="I43" s="12">
        <v>34.008476576674965</v>
      </c>
      <c r="J43" s="12">
        <v>24.145310131897567</v>
      </c>
      <c r="K43" s="11">
        <v>19.135147488532297</v>
      </c>
      <c r="L43" s="11">
        <v>24.007341087770641</v>
      </c>
      <c r="M43" s="11">
        <v>24.290921967428726</v>
      </c>
      <c r="N43" s="11">
        <v>12.463214605300788</v>
      </c>
      <c r="O43" s="11">
        <v>13.217151384449027</v>
      </c>
      <c r="P43" s="11">
        <v>15.633187617790677</v>
      </c>
      <c r="Q43" s="11">
        <v>3.5311882913230339</v>
      </c>
      <c r="R43" s="11">
        <v>7.2836239238864566</v>
      </c>
      <c r="S43" s="11">
        <v>5.9745091732337032</v>
      </c>
      <c r="T43" s="11">
        <v>4</v>
      </c>
      <c r="U43" s="11">
        <f>([1]TK1!C40/[1]TK1!C34)*1000</f>
        <v>5.006096133194454</v>
      </c>
      <c r="V43" s="11">
        <f>([1]TK1!D40/[1]TK1!D34)*1000</f>
        <v>12.262667795380336</v>
      </c>
      <c r="W43" s="11">
        <f>([1]TK1!E40/[1]TK1!E34)*1000</f>
        <v>7.1935520569883344</v>
      </c>
      <c r="X43" s="11">
        <f>([1]TK1!F40/[1]TK1!F34)*1000</f>
        <v>8.1816248933461821</v>
      </c>
      <c r="Y43" s="11">
        <f>([1]TK1!G40/[1]TK1!G34)*1000</f>
        <v>0.71298988346576464</v>
      </c>
      <c r="Z43" s="11">
        <f>([1]TK1!H40/[1]TK1!H34)*1000</f>
        <v>0.76492009910703895</v>
      </c>
      <c r="AA43" s="11">
        <f>([1]TK1!I40/[1]TK1!I34)*1000</f>
        <v>0</v>
      </c>
      <c r="AB43" s="11">
        <f>([1]TK1!J40/[1]TK1!J34)*1000</f>
        <v>0.49625626455366928</v>
      </c>
      <c r="AC43" s="11">
        <f>([1]TK1!K40/[1]TK1!K34)*1000</f>
        <v>0</v>
      </c>
      <c r="AD43" s="11">
        <f>([1]TK1!L40/[1]TK1!L34)*1000</f>
        <v>2.7443975316661251</v>
      </c>
      <c r="AE43" s="11">
        <f>([1]TK1!M40/[1]TK1!M34)*1000</f>
        <v>4.7528074181072641</v>
      </c>
      <c r="AF43" s="11">
        <f>([1]TK1!N40/[1]TK1!N34)*1000</f>
        <v>2.5767533450326976</v>
      </c>
      <c r="AG43" s="11" t="e">
        <f>([1]TK1!O40/[1]TK1!O34)*1000</f>
        <v>#DIV/0!</v>
      </c>
      <c r="AH43" s="11" t="e">
        <f>([1]TK1!P40/[1]TK1!P34)*1000</f>
        <v>#DIV/0!</v>
      </c>
      <c r="AI43" s="11" t="e">
        <f>([1]TK1!Q40/[1]TK1!Q34)*1000</f>
        <v>#DIV/0!</v>
      </c>
      <c r="AJ43" s="11" t="e">
        <f>([1]TK1!R40/[1]TK1!R34)*1000</f>
        <v>#DIV/0!</v>
      </c>
      <c r="AK43" s="11">
        <f>([1]TK1!S40/[1]TK1!S34)*1000</f>
        <v>3.7309353304542721</v>
      </c>
    </row>
    <row r="44" spans="1:37">
      <c r="A44" s="7">
        <v>11</v>
      </c>
      <c r="B44" s="8" t="s">
        <v>87</v>
      </c>
      <c r="C44" s="8" t="s">
        <v>82</v>
      </c>
      <c r="D44" s="11">
        <v>111.73431685841246</v>
      </c>
      <c r="E44" s="11">
        <v>141</v>
      </c>
      <c r="F44" s="11">
        <v>139</v>
      </c>
      <c r="G44" s="11">
        <v>135.33403483153305</v>
      </c>
      <c r="H44" s="11">
        <v>137.14950753840569</v>
      </c>
      <c r="I44" s="11">
        <v>123.58186449455857</v>
      </c>
      <c r="J44" s="11">
        <v>135.15521897640437</v>
      </c>
      <c r="K44" s="11">
        <v>146.44052302518816</v>
      </c>
      <c r="L44" s="11">
        <v>118.92686193298778</v>
      </c>
      <c r="M44" s="11">
        <v>116.27267294991005</v>
      </c>
      <c r="N44" s="11">
        <v>21.725292668751557</v>
      </c>
      <c r="O44" s="11">
        <v>103.69335917848306</v>
      </c>
      <c r="P44" s="11">
        <v>52.571278347475619</v>
      </c>
      <c r="Q44" s="11">
        <v>119</v>
      </c>
      <c r="R44" s="11">
        <v>91.289392211650906</v>
      </c>
      <c r="S44" s="11">
        <v>92.540330063216757</v>
      </c>
      <c r="T44" s="11">
        <v>84</v>
      </c>
      <c r="U44" s="11">
        <f>([1]TK1!C39/[1]TK1!C34)*1000</f>
        <v>93.630146387940144</v>
      </c>
      <c r="V44" s="11">
        <f>([1]TK1!D39/[1]TK1!D34)*1000</f>
        <v>88.249284476155921</v>
      </c>
      <c r="W44" s="11">
        <f>([1]TK1!E39/[1]TK1!E34)*1000</f>
        <v>113.95916652810475</v>
      </c>
      <c r="X44" s="11">
        <f>([1]TK1!F39/[1]TK1!F34)*1000</f>
        <v>98.201588831239832</v>
      </c>
      <c r="Y44" s="11">
        <f>([1]TK1!G39/[1]TK1!G34)*1000</f>
        <v>109.12706271934341</v>
      </c>
      <c r="Z44" s="11">
        <f>([1]TK1!H39/[1]TK1!H34)*1000</f>
        <v>79.626519447262083</v>
      </c>
      <c r="AA44" s="11">
        <f>([1]TK1!I39/[1]TK1!I34)*1000</f>
        <v>88.387681611403579</v>
      </c>
      <c r="AB44" s="11">
        <f>([1]TK1!J39/[1]TK1!J34)*1000</f>
        <v>92.652680601833424</v>
      </c>
      <c r="AC44" s="11">
        <f>([1]TK1!K39/[1]TK1!K34)*1000</f>
        <v>104.9805147531155</v>
      </c>
      <c r="AD44" s="11">
        <f>([1]TK1!L39/[1]TK1!L34)*1000</f>
        <v>70.37999350438453</v>
      </c>
      <c r="AE44" s="11">
        <f>([1]TK1!M39/[1]TK1!M34)*1000</f>
        <v>62.555332929500025</v>
      </c>
      <c r="AF44" s="11">
        <f>([1]TK1!N39/[1]TK1!N34)*1000</f>
        <v>78.604538883207979</v>
      </c>
      <c r="AG44" s="11" t="e">
        <f>([1]TK1!O39/[1]TK1!O34)*1000</f>
        <v>#DIV/0!</v>
      </c>
      <c r="AH44" s="11" t="e">
        <f>([1]TK1!P39/[1]TK1!P34)*1000</f>
        <v>#DIV/0!</v>
      </c>
      <c r="AI44" s="11" t="e">
        <f>([1]TK1!Q39/[1]TK1!Q34)*1000</f>
        <v>#DIV/0!</v>
      </c>
      <c r="AJ44" s="11" t="e">
        <f>([1]TK1!R39/[1]TK1!R34)*1000</f>
        <v>#DIV/0!</v>
      </c>
      <c r="AK44" s="11">
        <f>([1]TK1!S39/[1]TK1!S34)*1000</f>
        <v>89.764755188687843</v>
      </c>
    </row>
    <row r="45" spans="1:37">
      <c r="A45" s="7">
        <v>12</v>
      </c>
      <c r="B45" s="8" t="s">
        <v>88</v>
      </c>
      <c r="C45" s="8" t="s">
        <v>82</v>
      </c>
      <c r="D45" s="11">
        <v>72.333102340688967</v>
      </c>
      <c r="E45" s="11">
        <v>68</v>
      </c>
      <c r="F45" s="11">
        <v>67</v>
      </c>
      <c r="G45" s="11">
        <v>68.690274228530939</v>
      </c>
      <c r="H45" s="11">
        <v>69.011185977076323</v>
      </c>
      <c r="I45" s="11">
        <v>68.574307446774782</v>
      </c>
      <c r="J45" s="11">
        <v>68.725316644753107</v>
      </c>
      <c r="K45" s="11">
        <v>69.206157462576925</v>
      </c>
      <c r="L45" s="11">
        <v>69.244314377123587</v>
      </c>
      <c r="M45" s="11">
        <v>67.969053814367143</v>
      </c>
      <c r="N45" s="11">
        <v>68.254012183384233</v>
      </c>
      <c r="O45" s="11">
        <v>72.628265041283143</v>
      </c>
      <c r="P45" s="11">
        <v>63.154179004527784</v>
      </c>
      <c r="Q45" s="11">
        <v>69</v>
      </c>
      <c r="R45" s="11">
        <v>70.05074816549299</v>
      </c>
      <c r="S45" s="11">
        <v>70.287660980045288</v>
      </c>
      <c r="T45" s="11">
        <v>71</v>
      </c>
      <c r="U45" s="11">
        <f>([1]TK1!C41/[1]TK1!C34)*1000</f>
        <v>69.996528030101175</v>
      </c>
      <c r="V45" s="11">
        <f>([1]TK1!D41/[1]TK1!D34)*1000</f>
        <v>70.996089813359134</v>
      </c>
      <c r="W45" s="11">
        <f>([1]TK1!E41/[1]TK1!E34)*1000</f>
        <v>73.003176714594517</v>
      </c>
      <c r="X45" s="11">
        <f>([1]TK1!F41/[1]TK1!F34)*1000</f>
        <v>71.287549737265735</v>
      </c>
      <c r="Y45" s="11">
        <f>([1]TK1!G41/[1]TK1!G34)*1000</f>
        <v>71.996134010409648</v>
      </c>
      <c r="Z45" s="11">
        <f>([1]TK1!H41/[1]TK1!H34)*1000</f>
        <v>72.999983371302193</v>
      </c>
      <c r="AA45" s="11">
        <f>([1]TK1!I41/[1]TK1!I34)*1000</f>
        <v>72.403383149123016</v>
      </c>
      <c r="AB45" s="11">
        <f>([1]TK1!J41/[1]TK1!J34)*1000</f>
        <v>72.458867990380256</v>
      </c>
      <c r="AC45" s="11">
        <f>([1]TK1!K41/[1]TK1!K34)*1000</f>
        <v>72.399468973491508</v>
      </c>
      <c r="AD45" s="11">
        <f>([1]TK1!L41/[1]TK1!L34)*1000</f>
        <v>73.002598246183823</v>
      </c>
      <c r="AE45" s="11">
        <f>([1]TK1!M41/[1]TK1!M34)*1000</f>
        <v>71.99881956417066</v>
      </c>
      <c r="AF45" s="11">
        <f>([1]TK1!N41/[1]TK1!N34)*1000</f>
        <v>72.461016434261609</v>
      </c>
      <c r="AG45" s="11" t="e">
        <f>([1]TK1!O41/[1]TK1!O34)*1000</f>
        <v>#DIV/0!</v>
      </c>
      <c r="AH45" s="11" t="e">
        <f>([1]TK1!P41/[1]TK1!P34)*1000</f>
        <v>#DIV/0!</v>
      </c>
      <c r="AI45" s="11" t="e">
        <f>([1]TK1!Q41/[1]TK1!Q34)*1000</f>
        <v>#DIV/0!</v>
      </c>
      <c r="AJ45" s="11" t="e">
        <f>([1]TK1!R41/[1]TK1!R34)*1000</f>
        <v>#DIV/0!</v>
      </c>
      <c r="AK45" s="11">
        <f>([1]TK1!S41/[1]TK1!S34)*1000</f>
        <v>72.07310628837989</v>
      </c>
    </row>
    <row r="46" spans="1:37">
      <c r="A46" s="7">
        <v>13</v>
      </c>
      <c r="B46" s="8" t="s">
        <v>89</v>
      </c>
      <c r="C46" s="8" t="s">
        <v>82</v>
      </c>
      <c r="D46" s="11">
        <v>19.306825011577001</v>
      </c>
      <c r="E46" s="11">
        <v>23</v>
      </c>
      <c r="F46" s="11">
        <v>19.5</v>
      </c>
      <c r="G46" s="11">
        <v>18.960494198323563</v>
      </c>
      <c r="H46" s="11">
        <v>18.076253490256786</v>
      </c>
      <c r="I46" s="11">
        <v>16.118883459401566</v>
      </c>
      <c r="J46" s="11">
        <v>15.246447922864284</v>
      </c>
      <c r="K46" s="11">
        <v>12.427561664408495</v>
      </c>
      <c r="L46" s="11">
        <v>5.5864189876243149</v>
      </c>
      <c r="M46" s="11">
        <v>5.396928777613021</v>
      </c>
      <c r="N46" s="11">
        <v>14.428177381710164</v>
      </c>
      <c r="O46" s="11">
        <v>2.1856850358765105</v>
      </c>
      <c r="P46" s="11">
        <v>0</v>
      </c>
      <c r="Q46" s="11">
        <v>7</v>
      </c>
      <c r="R46" s="11">
        <v>0</v>
      </c>
      <c r="S46" s="11">
        <v>0</v>
      </c>
      <c r="T46" s="11">
        <v>15</v>
      </c>
      <c r="U46" s="11">
        <f>([1]TK1!C42/[1]TK1!C34)*1000</f>
        <v>0</v>
      </c>
      <c r="V46" s="11">
        <f>([1]TK1!D42/[1]TK1!D34)*1000</f>
        <v>0</v>
      </c>
      <c r="W46" s="11">
        <f>([1]TK1!E42/[1]TK1!E34)*1000</f>
        <v>0</v>
      </c>
      <c r="X46" s="11">
        <f>([1]TK1!F42/[1]TK1!F34)*1000</f>
        <v>0</v>
      </c>
      <c r="Y46" s="11">
        <f>([1]TK1!G42/[1]TK1!G34)*1000</f>
        <v>0</v>
      </c>
      <c r="Z46" s="11">
        <f>([1]TK1!H42/[1]TK1!H34)*1000</f>
        <v>0</v>
      </c>
      <c r="AA46" s="11">
        <f>([1]TK1!I42/[1]TK1!I34)*1000</f>
        <v>0</v>
      </c>
      <c r="AB46" s="11">
        <f>([1]TK1!J42/[1]TK1!J34)*1000</f>
        <v>0</v>
      </c>
      <c r="AC46" s="11">
        <f>([1]TK1!K42/[1]TK1!K34)*1000</f>
        <v>0</v>
      </c>
      <c r="AD46" s="11">
        <f>([1]TK1!L42/[1]TK1!L34)*1000</f>
        <v>0</v>
      </c>
      <c r="AE46" s="11">
        <f>([1]TK1!M42/[1]TK1!M34)*1000</f>
        <v>0</v>
      </c>
      <c r="AF46" s="11">
        <f>([1]TK1!N42/[1]TK1!N34)*1000</f>
        <v>0</v>
      </c>
      <c r="AG46" s="11" t="e">
        <f>([1]TK1!O42/[1]TK1!O34)*1000</f>
        <v>#DIV/0!</v>
      </c>
      <c r="AH46" s="11" t="e">
        <f>([1]TK1!P42/[1]TK1!P34)*1000</f>
        <v>#DIV/0!</v>
      </c>
      <c r="AI46" s="11" t="e">
        <f>([1]TK1!Q42/[1]TK1!Q34)*1000</f>
        <v>#DIV/0!</v>
      </c>
      <c r="AJ46" s="11" t="e">
        <f>([1]TK1!R42/[1]TK1!R34)*1000</f>
        <v>#DIV/0!</v>
      </c>
      <c r="AK46" s="11">
        <f>([1]TK1!S42/[1]TK1!S34)*1000</f>
        <v>0</v>
      </c>
    </row>
    <row r="47" spans="1:37">
      <c r="A47" s="7">
        <v>14</v>
      </c>
      <c r="B47" s="8" t="s">
        <v>90</v>
      </c>
      <c r="C47" s="8" t="s">
        <v>91</v>
      </c>
      <c r="D47" s="12">
        <v>86.062879170879683</v>
      </c>
      <c r="E47" s="12">
        <v>70.7</v>
      </c>
      <c r="F47" s="12">
        <v>76.13</v>
      </c>
      <c r="G47" s="9">
        <v>73.401084010840108</v>
      </c>
      <c r="H47" s="9">
        <v>82.438494169845185</v>
      </c>
      <c r="I47" s="9">
        <v>80.360806950726015</v>
      </c>
      <c r="J47" s="9">
        <v>50.104077285838109</v>
      </c>
      <c r="K47" s="9">
        <v>32.048504821498888</v>
      </c>
      <c r="L47" s="9">
        <v>17.416001368613141</v>
      </c>
      <c r="M47" s="9">
        <v>19.164536340852127</v>
      </c>
      <c r="N47" s="9">
        <v>18.345148401826485</v>
      </c>
      <c r="O47" s="9">
        <v>50.840805017893565</v>
      </c>
      <c r="P47" s="9">
        <v>38.717299842431252</v>
      </c>
      <c r="Q47" s="9">
        <v>92.91</v>
      </c>
      <c r="R47" s="9">
        <v>90.145701782280156</v>
      </c>
      <c r="S47" s="9">
        <v>88.419174548581253</v>
      </c>
      <c r="T47" s="12">
        <v>90</v>
      </c>
      <c r="U47" s="9">
        <f>(([1]TK1!C46/([1]TK1!C45))*100)</f>
        <v>98.94359892569382</v>
      </c>
      <c r="V47" s="9">
        <f>(([1]TK1!D46/([1]TK1!D45))*100)</f>
        <v>95.827609890109883</v>
      </c>
      <c r="W47" s="9">
        <f>(([1]TK1!E46/([1]TK1!E45))*100)</f>
        <v>90.223321554770322</v>
      </c>
      <c r="X47" s="9">
        <f>(([1]TK1!F46/([1]TK1!F45))*100)</f>
        <v>94.988810123615906</v>
      </c>
      <c r="Y47" s="9">
        <f>(([1]TK1!G46/([1]TK1!G45))*100)</f>
        <v>98.267338779767073</v>
      </c>
      <c r="Z47" s="9">
        <f>(([1]TK1!H46/([1]TK1!H45))*100)</f>
        <v>94.610051993067586</v>
      </c>
      <c r="AA47" s="9">
        <f>(([1]TK1!I46/([1]TK1!I45))*100)</f>
        <v>98.34968105792619</v>
      </c>
      <c r="AB47" s="9">
        <f>(([1]TK1!J46/([1]TK1!J45))*100)</f>
        <v>97.059951993486834</v>
      </c>
      <c r="AC47" s="9">
        <f>(([1]TK1!K46/([1]TK1!K45))*100)</f>
        <v>91.568559556786695</v>
      </c>
      <c r="AD47" s="9">
        <f>(([1]TK1!L46/([1]TK1!L45))*100)</f>
        <v>98.089031339031337</v>
      </c>
      <c r="AE47" s="9">
        <f>(([1]TK1!M46/([1]TK1!M45))*100)</f>
        <v>99.64224553326909</v>
      </c>
      <c r="AF47" s="9">
        <f>(([1]TK1!N46/([1]TK1!N45))*100)</f>
        <v>96.416592663035246</v>
      </c>
      <c r="AG47" s="9" t="e">
        <f>(([1]TK1!O46/([1]TK1!O45))*100)</f>
        <v>#DIV/0!</v>
      </c>
      <c r="AH47" s="9" t="e">
        <f>(([1]TK1!P46/([1]TK1!P45))*100)</f>
        <v>#DIV/0!</v>
      </c>
      <c r="AI47" s="9" t="e">
        <f>(([1]TK1!Q46/([1]TK1!Q45))*100)</f>
        <v>#DIV/0!</v>
      </c>
      <c r="AJ47" s="9" t="e">
        <f>(([1]TK1!R46/([1]TK1!R45))*100)</f>
        <v>#DIV/0!</v>
      </c>
      <c r="AK47" s="9">
        <f>(([1]TK1!S46/([1]TK1!S45))*100)</f>
        <v>96.156094139650875</v>
      </c>
    </row>
    <row r="48" spans="1:37">
      <c r="A48" s="7">
        <v>15</v>
      </c>
      <c r="B48" s="8" t="s">
        <v>92</v>
      </c>
      <c r="C48" s="16" t="s">
        <v>93</v>
      </c>
      <c r="D48" s="9">
        <v>85.783333333333317</v>
      </c>
      <c r="E48" s="9">
        <v>85.5</v>
      </c>
      <c r="F48" s="9">
        <v>85</v>
      </c>
      <c r="G48" s="9">
        <v>83.922499999999999</v>
      </c>
      <c r="H48" s="9">
        <v>84.683333333333337</v>
      </c>
      <c r="I48" s="9">
        <v>85.56583333333333</v>
      </c>
      <c r="J48" s="9">
        <v>85.506666666666661</v>
      </c>
      <c r="K48" s="9">
        <v>85.446666666666673</v>
      </c>
      <c r="L48" s="9">
        <v>86.097499999999982</v>
      </c>
      <c r="M48" s="9">
        <v>85.921428571428578</v>
      </c>
      <c r="N48" s="9">
        <v>84.477500000000006</v>
      </c>
      <c r="O48" s="9">
        <v>83.634166666666673</v>
      </c>
      <c r="P48" s="9">
        <v>83.878333333333345</v>
      </c>
      <c r="Q48" s="9">
        <v>85.89</v>
      </c>
      <c r="R48" s="9">
        <v>85.231666666666669</v>
      </c>
      <c r="S48" s="9">
        <v>86.015000000000001</v>
      </c>
      <c r="T48" s="3" t="s">
        <v>94</v>
      </c>
      <c r="U48" s="9">
        <f>[1]TK1!C51</f>
        <v>85.69</v>
      </c>
      <c r="V48" s="9">
        <f>[1]TK1!D51</f>
        <v>86.35</v>
      </c>
      <c r="W48" s="9">
        <f>[1]TK1!E51</f>
        <v>85.32</v>
      </c>
      <c r="X48" s="9">
        <f>[1]TK1!F51</f>
        <v>85.786666666666676</v>
      </c>
      <c r="Y48" s="9">
        <f>([1]TK1!G51)</f>
        <v>85.77</v>
      </c>
      <c r="Z48" s="9">
        <f>([1]TK1!H51)</f>
        <v>84.61</v>
      </c>
      <c r="AA48" s="9">
        <f>([1]TK1!I51)</f>
        <v>85.55</v>
      </c>
      <c r="AB48" s="9">
        <f>[1]TK1!J51</f>
        <v>85.31</v>
      </c>
      <c r="AC48" s="9">
        <f>([1]TK1!K51)</f>
        <v>85.38</v>
      </c>
      <c r="AD48" s="9">
        <f>([1]TK1!L51)</f>
        <v>85.32</v>
      </c>
      <c r="AE48" s="9">
        <f>([1]TK1!M51)</f>
        <v>85.6</v>
      </c>
      <c r="AF48" s="9">
        <f>[1]TK1!N51</f>
        <v>85.433333333333323</v>
      </c>
      <c r="AG48" s="9">
        <f>([1]TK1!O51)</f>
        <v>0</v>
      </c>
      <c r="AH48" s="9">
        <f>([1]TK1!P51)</f>
        <v>0</v>
      </c>
      <c r="AI48" s="9">
        <f>([1]TK1!Q51)</f>
        <v>0</v>
      </c>
      <c r="AJ48" s="9" t="e">
        <f>[1]TK1!R51</f>
        <v>#DIV/0!</v>
      </c>
      <c r="AK48" s="9">
        <f>[1]TK1!S51/[1]TK1!S337</f>
        <v>85.51</v>
      </c>
    </row>
    <row r="49" spans="1:37">
      <c r="A49" s="7">
        <v>16</v>
      </c>
      <c r="B49" s="8" t="s">
        <v>95</v>
      </c>
      <c r="C49" s="16" t="s">
        <v>93</v>
      </c>
      <c r="D49" s="9">
        <v>66.61666666666666</v>
      </c>
      <c r="E49" s="9">
        <v>81</v>
      </c>
      <c r="F49" s="9">
        <v>81.2</v>
      </c>
      <c r="G49" s="9">
        <v>81.310833333333335</v>
      </c>
      <c r="H49" s="9">
        <v>81.717500000000001</v>
      </c>
      <c r="I49" s="9">
        <v>81.27</v>
      </c>
      <c r="J49" s="9">
        <v>82.791666666666671</v>
      </c>
      <c r="K49" s="9">
        <v>82.72</v>
      </c>
      <c r="L49" s="9">
        <v>82.171666666666667</v>
      </c>
      <c r="M49" s="9">
        <v>82.31</v>
      </c>
      <c r="N49" s="9">
        <v>82.31</v>
      </c>
      <c r="O49" s="9">
        <v>82.31</v>
      </c>
      <c r="P49" s="9">
        <v>75.715833333333322</v>
      </c>
      <c r="Q49" s="9">
        <v>78.95</v>
      </c>
      <c r="R49" s="9">
        <v>80.41</v>
      </c>
      <c r="S49" s="9">
        <v>80.318333333333314</v>
      </c>
      <c r="T49" s="3" t="s">
        <v>96</v>
      </c>
      <c r="U49" s="9">
        <f>[1]TK1!C52</f>
        <v>79.930000000000007</v>
      </c>
      <c r="V49" s="9">
        <f>[1]TK1!D52</f>
        <v>79.680000000000007</v>
      </c>
      <c r="W49" s="9">
        <f>[1]TK1!E52</f>
        <v>78.819999999999993</v>
      </c>
      <c r="X49" s="9">
        <f>[1]TK1!F52</f>
        <v>79.476666666666674</v>
      </c>
      <c r="Y49" s="9">
        <f>([1]TK1!G52)</f>
        <v>77.930000000000007</v>
      </c>
      <c r="Z49" s="9">
        <f>([1]TK1!H52)</f>
        <v>62.36</v>
      </c>
      <c r="AA49" s="9">
        <f>([1]TK1!I52)</f>
        <v>75.790000000000006</v>
      </c>
      <c r="AB49" s="9">
        <f>[1]TK1!J52</f>
        <v>72.026666666666685</v>
      </c>
      <c r="AC49" s="9">
        <f>([1]TK1!K52)</f>
        <v>73.41</v>
      </c>
      <c r="AD49" s="9">
        <f>([1]TK1!L52)</f>
        <v>80.760000000000005</v>
      </c>
      <c r="AE49" s="9">
        <f>([1]TK1!M52)</f>
        <v>66.959999999999994</v>
      </c>
      <c r="AF49" s="9">
        <f>[1]TK1!N52</f>
        <v>73.709999999999994</v>
      </c>
      <c r="AG49" s="9">
        <f>([1]TK1!O52)</f>
        <v>0</v>
      </c>
      <c r="AH49" s="9">
        <f>([1]TK1!P52)</f>
        <v>0</v>
      </c>
      <c r="AI49" s="9">
        <f>([1]TK1!Q52)</f>
        <v>0</v>
      </c>
      <c r="AJ49" s="9" t="e">
        <f>[1]TK1!R52</f>
        <v>#DIV/0!</v>
      </c>
      <c r="AK49" s="9">
        <f>[1]TK1!S52/[1]TK1!S337</f>
        <v>75.071111111111122</v>
      </c>
    </row>
    <row r="50" spans="1:37">
      <c r="A50" s="7">
        <v>17</v>
      </c>
      <c r="B50" s="8" t="s">
        <v>97</v>
      </c>
      <c r="C50" s="8" t="s">
        <v>47</v>
      </c>
      <c r="D50" s="9">
        <v>70.474999999999994</v>
      </c>
      <c r="E50" s="9">
        <v>70.2</v>
      </c>
      <c r="F50" s="9">
        <v>70.3</v>
      </c>
      <c r="G50" s="9">
        <v>70.196666666666673</v>
      </c>
      <c r="H50" s="9">
        <v>70.053333333333327</v>
      </c>
      <c r="I50" s="9">
        <v>70.076666666666668</v>
      </c>
      <c r="J50" s="9">
        <v>70.240000000000009</v>
      </c>
      <c r="K50" s="9">
        <v>70.164166666666659</v>
      </c>
      <c r="L50" s="9">
        <v>70.207499999999996</v>
      </c>
      <c r="M50" s="9">
        <v>71</v>
      </c>
      <c r="N50" s="9">
        <v>70.19916666666667</v>
      </c>
      <c r="O50" s="9">
        <v>71.005833333333342</v>
      </c>
      <c r="P50" s="9">
        <v>70.852500000000006</v>
      </c>
      <c r="Q50" s="9">
        <v>70.989999999999995</v>
      </c>
      <c r="R50" s="9">
        <v>70.276363636363655</v>
      </c>
      <c r="S50" s="9">
        <v>71.53416666666665</v>
      </c>
      <c r="T50" s="12">
        <v>72</v>
      </c>
      <c r="U50" s="9">
        <f>[1]TK1!C53</f>
        <v>72.319999999999993</v>
      </c>
      <c r="V50" s="9">
        <f>[1]TK1!D53</f>
        <v>72.42</v>
      </c>
      <c r="W50" s="9">
        <f>[1]TK1!E53</f>
        <v>72.489999999999995</v>
      </c>
      <c r="X50" s="9">
        <f>[1]TK1!F53</f>
        <v>72.410000000000011</v>
      </c>
      <c r="Y50" s="9">
        <f>([1]TK1!G53)</f>
        <v>72.48</v>
      </c>
      <c r="Z50" s="9">
        <f>([1]TK1!H53)</f>
        <v>72.34</v>
      </c>
      <c r="AA50" s="9">
        <f>([1]TK1!I53)</f>
        <v>72.489999999999995</v>
      </c>
      <c r="AB50" s="9">
        <f>[1]TK1!J53</f>
        <v>72.436666666666667</v>
      </c>
      <c r="AC50" s="9">
        <f>([1]TK1!K53)</f>
        <v>72.47</v>
      </c>
      <c r="AD50" s="9">
        <f>([1]TK1!L53)</f>
        <v>72.319999999999993</v>
      </c>
      <c r="AE50" s="9">
        <f>([1]TK1!M53)</f>
        <v>72.13</v>
      </c>
      <c r="AF50" s="9">
        <f>[1]TK1!N53</f>
        <v>72.306666666666658</v>
      </c>
      <c r="AG50" s="9">
        <f>([1]TK1!O53)</f>
        <v>0</v>
      </c>
      <c r="AH50" s="9">
        <f>([1]TK1!P53)</f>
        <v>0</v>
      </c>
      <c r="AI50" s="9">
        <f>([1]TK1!Q53)</f>
        <v>0</v>
      </c>
      <c r="AJ50" s="9" t="e">
        <f>[1]TK1!R53</f>
        <v>#DIV/0!</v>
      </c>
      <c r="AK50" s="9">
        <f>[1]TK1!S53/[1]TK1!S337</f>
        <v>72.384444444444455</v>
      </c>
    </row>
    <row r="51" spans="1:37">
      <c r="A51" s="7">
        <v>18</v>
      </c>
      <c r="B51" s="8" t="s">
        <v>98</v>
      </c>
      <c r="C51" s="8" t="s">
        <v>47</v>
      </c>
      <c r="D51" s="9">
        <v>24.868082706497642</v>
      </c>
      <c r="E51" s="9">
        <v>23.3</v>
      </c>
      <c r="F51" s="9">
        <v>20.84</v>
      </c>
      <c r="G51" s="9">
        <v>21.006409611208269</v>
      </c>
      <c r="H51" s="9">
        <v>20.452765645676305</v>
      </c>
      <c r="I51" s="9">
        <v>20.525307826105117</v>
      </c>
      <c r="J51" s="9">
        <v>20.489155828030071</v>
      </c>
      <c r="K51" s="9">
        <v>20.980099383152837</v>
      </c>
      <c r="L51" s="9">
        <v>20.966245939745441</v>
      </c>
      <c r="M51" s="9">
        <v>19.474781424409983</v>
      </c>
      <c r="N51" s="9">
        <v>19.407706127441614</v>
      </c>
      <c r="O51" s="9">
        <v>18.419598817626433</v>
      </c>
      <c r="P51" s="9">
        <v>19.137755916687365</v>
      </c>
      <c r="Q51" s="9">
        <v>19.059999999999999</v>
      </c>
      <c r="R51" s="9">
        <v>18.572548525519604</v>
      </c>
      <c r="S51" s="9">
        <v>18.72360765292267</v>
      </c>
      <c r="T51" s="3">
        <v>19</v>
      </c>
      <c r="U51" s="9">
        <f>[1]TK1!C43/[1]TK1!C44*100</f>
        <v>18.801461480008744</v>
      </c>
      <c r="V51" s="9">
        <f>[1]TK1!D43/[1]TK1!D44*100</f>
        <v>18.712257011349369</v>
      </c>
      <c r="W51" s="9">
        <f>[1]TK1!E43/[1]TK1!E44*100</f>
        <v>18.706116387884901</v>
      </c>
      <c r="X51" s="9">
        <f>[1]TK1!F43/[1]TK1!F44*100</f>
        <v>18.740694261283871</v>
      </c>
      <c r="Y51" s="9">
        <f>[1]TK1!G43/[1]TK1!G44*100</f>
        <v>18.719069005681384</v>
      </c>
      <c r="Z51" s="9">
        <f>[1]TK1!H43/[1]TK1!H44*100</f>
        <v>18.712946276998615</v>
      </c>
      <c r="AA51" s="9">
        <f>[1]TK1!I43/[1]TK1!I44*100</f>
        <v>18.636429487975494</v>
      </c>
      <c r="AB51" s="9">
        <f>[1]TK1!J43/[1]TK1!J44*100</f>
        <v>18.689577584961224</v>
      </c>
      <c r="AC51" s="9">
        <f>[1]TK1!K43/[1]TK1!K44*100</f>
        <v>18.599508860705669</v>
      </c>
      <c r="AD51" s="9">
        <f>[1]TK1!L43/[1]TK1!L44*100</f>
        <v>18.678038821468913</v>
      </c>
      <c r="AE51" s="9">
        <f>[1]TK1!M43/[1]TK1!M44*100</f>
        <v>18.678419350190552</v>
      </c>
      <c r="AF51" s="9">
        <f>[1]TK1!N43/[1]TK1!N44*100</f>
        <v>18.652801697863421</v>
      </c>
      <c r="AG51" s="9" t="e">
        <f>[1]TK1!O43/[1]TK1!O44*100</f>
        <v>#DIV/0!</v>
      </c>
      <c r="AH51" s="9" t="e">
        <f>[1]TK1!P43/[1]TK1!P44*100</f>
        <v>#DIV/0!</v>
      </c>
      <c r="AI51" s="9" t="e">
        <f>[1]TK1!Q43/[1]TK1!Q44*100</f>
        <v>#DIV/0!</v>
      </c>
      <c r="AJ51" s="9" t="e">
        <f>[1]TK1!R43/[1]TK1!R44*100</f>
        <v>#DIV/0!</v>
      </c>
      <c r="AK51" s="9">
        <f>[1]TK1!S43/[1]TK1!S44*100</f>
        <v>18.693872401354035</v>
      </c>
    </row>
    <row r="52" spans="1:37">
      <c r="A52" s="7" t="s">
        <v>99</v>
      </c>
      <c r="B52" s="3" t="s">
        <v>100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spans="1:37">
      <c r="A53" s="7">
        <v>1</v>
      </c>
      <c r="B53" s="8" t="s">
        <v>75</v>
      </c>
      <c r="C53" s="8" t="s">
        <v>47</v>
      </c>
      <c r="D53" s="9">
        <v>9.7583333333333346</v>
      </c>
      <c r="E53" s="9">
        <v>9.6999999999999993</v>
      </c>
      <c r="F53" s="9">
        <v>9.6999999999999993</v>
      </c>
      <c r="G53" s="9">
        <v>9.7433333333333341</v>
      </c>
      <c r="H53" s="9">
        <v>9.6816666666666666</v>
      </c>
      <c r="I53" s="9">
        <v>9.4133333333333322</v>
      </c>
      <c r="J53" s="9">
        <v>9.8441666666666663</v>
      </c>
      <c r="K53" s="9">
        <v>10.015833333333333</v>
      </c>
      <c r="L53" s="9">
        <v>9.9599999999999991</v>
      </c>
      <c r="M53" s="9">
        <v>10.048333333333332</v>
      </c>
      <c r="N53" s="9">
        <v>10.361666666666666</v>
      </c>
      <c r="O53" s="9">
        <v>9.7583333333333329</v>
      </c>
      <c r="P53" s="9">
        <v>10.220000000000001</v>
      </c>
      <c r="Q53" s="9">
        <v>9.8241666666666667</v>
      </c>
      <c r="R53" s="9">
        <v>9.8708333333333318</v>
      </c>
      <c r="S53" s="9">
        <v>10.112500000000001</v>
      </c>
      <c r="T53" s="6">
        <v>9.5</v>
      </c>
      <c r="U53" s="9">
        <f>([1]TK1!C70)</f>
        <v>10.29</v>
      </c>
      <c r="V53" s="9">
        <f>([1]TK1!D70)</f>
        <v>10.26</v>
      </c>
      <c r="W53" s="9">
        <f>([1]TK1!E70)</f>
        <v>10.16</v>
      </c>
      <c r="X53" s="9">
        <f>([1]TK1!F70)</f>
        <v>10.236666666666666</v>
      </c>
      <c r="Y53" s="9">
        <f>([1]TK1!G70)</f>
        <v>10.14</v>
      </c>
      <c r="Z53" s="9">
        <f>([1]TK1!H70)</f>
        <v>10.050000000000001</v>
      </c>
      <c r="AA53" s="9">
        <f>([1]TK1!I70)</f>
        <v>10.37</v>
      </c>
      <c r="AB53" s="9">
        <f>([1]TK1!J70)</f>
        <v>10.186666666666667</v>
      </c>
      <c r="AC53" s="9">
        <f>([1]TK1!K70)</f>
        <v>10.71</v>
      </c>
      <c r="AD53" s="9">
        <f>([1]TK1!L70)</f>
        <v>10.65</v>
      </c>
      <c r="AE53" s="9">
        <f>([1]TK1!M70)</f>
        <v>10.6</v>
      </c>
      <c r="AF53" s="9">
        <f>([1]TK1!N70)</f>
        <v>10.653333333333334</v>
      </c>
      <c r="AG53" s="9">
        <f>([1]TK1!O70)</f>
        <v>0</v>
      </c>
      <c r="AH53" s="9">
        <f>([1]TK1!P70)</f>
        <v>0</v>
      </c>
      <c r="AI53" s="9">
        <f>([1]TK1!Q70)</f>
        <v>0</v>
      </c>
      <c r="AJ53" s="9" t="e">
        <f>([1]TK1!R70)</f>
        <v>#DIV/0!</v>
      </c>
      <c r="AK53" s="9">
        <f>([1]TK1!S70)/[1]TK1!S337</f>
        <v>10.358888888888888</v>
      </c>
    </row>
    <row r="54" spans="1:37">
      <c r="A54" s="7">
        <v>2</v>
      </c>
      <c r="B54" s="8" t="s">
        <v>76</v>
      </c>
      <c r="C54" s="8" t="s">
        <v>47</v>
      </c>
      <c r="D54" s="9">
        <v>53.291666666666664</v>
      </c>
      <c r="E54" s="9">
        <v>53.5</v>
      </c>
      <c r="F54" s="9">
        <v>53.3</v>
      </c>
      <c r="G54" s="9">
        <v>53.093333333333334</v>
      </c>
      <c r="H54" s="9">
        <v>53.81583333333333</v>
      </c>
      <c r="I54" s="9">
        <v>53.32</v>
      </c>
      <c r="J54" s="9">
        <v>54.111666666666672</v>
      </c>
      <c r="K54" s="9">
        <v>54.379166666666663</v>
      </c>
      <c r="L54" s="9">
        <v>54.732499999999995</v>
      </c>
      <c r="M54" s="9">
        <v>54.985833333333339</v>
      </c>
      <c r="N54" s="9">
        <v>55.085833333333333</v>
      </c>
      <c r="O54" s="9">
        <v>54.508333333333347</v>
      </c>
      <c r="P54" s="9">
        <v>52.896666666666668</v>
      </c>
      <c r="Q54" s="9">
        <v>54.552499999999988</v>
      </c>
      <c r="R54" s="9">
        <v>53.510833333333331</v>
      </c>
      <c r="S54" s="9">
        <v>53.347499999999989</v>
      </c>
      <c r="T54" s="12">
        <v>54</v>
      </c>
      <c r="U54" s="9">
        <f>([1]TK1!C71)</f>
        <v>53.24</v>
      </c>
      <c r="V54" s="9">
        <f>([1]TK1!D71)</f>
        <v>53.42</v>
      </c>
      <c r="W54" s="9">
        <f>([1]TK1!E71)</f>
        <v>53.4</v>
      </c>
      <c r="X54" s="9">
        <f>([1]TK1!F71)</f>
        <v>53.353333333333332</v>
      </c>
      <c r="Y54" s="9">
        <f>([1]TK1!G71)</f>
        <v>53.11</v>
      </c>
      <c r="Z54" s="9">
        <f>([1]TK1!H71)</f>
        <v>52.26</v>
      </c>
      <c r="AA54" s="9">
        <f>([1]TK1!I71)</f>
        <v>53.65</v>
      </c>
      <c r="AB54" s="9">
        <f>([1]TK1!J71)</f>
        <v>53.006666666666668</v>
      </c>
      <c r="AC54" s="9">
        <f>([1]TK1!K71)</f>
        <v>53.49</v>
      </c>
      <c r="AD54" s="9">
        <f>([1]TK1!L71)</f>
        <v>53.19</v>
      </c>
      <c r="AE54" s="9">
        <f>([1]TK1!M71)</f>
        <v>52.82</v>
      </c>
      <c r="AF54" s="9">
        <f>([1]TK1!N71)</f>
        <v>53.166666666666664</v>
      </c>
      <c r="AG54" s="9">
        <f>([1]TK1!O71)</f>
        <v>0</v>
      </c>
      <c r="AH54" s="9">
        <f>([1]TK1!P71)</f>
        <v>0</v>
      </c>
      <c r="AI54" s="9">
        <f>([1]TK1!Q71)</f>
        <v>0</v>
      </c>
      <c r="AJ54" s="9" t="e">
        <f>([1]TK1!R71)</f>
        <v>#DIV/0!</v>
      </c>
      <c r="AK54" s="9">
        <f>([1]TK1!S71)/[1]TK1!S337</f>
        <v>53.175555555555555</v>
      </c>
    </row>
    <row r="55" spans="1:37">
      <c r="A55" s="7">
        <v>3</v>
      </c>
      <c r="B55" s="8" t="s">
        <v>77</v>
      </c>
      <c r="C55" s="8" t="s">
        <v>47</v>
      </c>
      <c r="D55" s="9">
        <v>10.333333333333334</v>
      </c>
      <c r="E55" s="9">
        <v>10.4</v>
      </c>
      <c r="F55" s="9">
        <v>10.6</v>
      </c>
      <c r="G55" s="9">
        <v>10.751666666666667</v>
      </c>
      <c r="H55" s="9">
        <v>10.76</v>
      </c>
      <c r="I55" s="9">
        <v>11.0625</v>
      </c>
      <c r="J55" s="9">
        <v>10.789166666666667</v>
      </c>
      <c r="K55" s="9">
        <v>10.706666666666665</v>
      </c>
      <c r="L55" s="9">
        <v>10.452499999999999</v>
      </c>
      <c r="M55" s="9">
        <v>10.155000000000001</v>
      </c>
      <c r="N55" s="9">
        <v>10.265833333333333</v>
      </c>
      <c r="O55" s="9">
        <v>10.643333333333333</v>
      </c>
      <c r="P55" s="9">
        <v>11.673333333333332</v>
      </c>
      <c r="Q55" s="9">
        <v>10.202500000000001</v>
      </c>
      <c r="R55" s="9">
        <v>11.000833333333333</v>
      </c>
      <c r="S55" s="9">
        <v>10.828333333333333</v>
      </c>
      <c r="T55" s="6">
        <v>9.6999999999999993</v>
      </c>
      <c r="U55" s="9">
        <f>([1]TK1!C72)</f>
        <v>11</v>
      </c>
      <c r="V55" s="9">
        <f>([1]TK1!D72)</f>
        <v>10.72</v>
      </c>
      <c r="W55" s="9">
        <f>([1]TK1!E72)</f>
        <v>10.66</v>
      </c>
      <c r="X55" s="9">
        <f>([1]TK1!F72)</f>
        <v>10.793333333333331</v>
      </c>
      <c r="Y55" s="9">
        <f>([1]TK1!G72)</f>
        <v>10.88</v>
      </c>
      <c r="Z55" s="9">
        <f>([1]TK1!H72)</f>
        <v>11.92</v>
      </c>
      <c r="AA55" s="9">
        <f>([1]TK1!I72)</f>
        <v>10.68</v>
      </c>
      <c r="AB55" s="9">
        <f>([1]TK1!J72)</f>
        <v>11.160000000000002</v>
      </c>
      <c r="AC55" s="9">
        <f>([1]TK1!K72)</f>
        <v>10.72</v>
      </c>
      <c r="AD55" s="9">
        <f>([1]TK1!L72)</f>
        <v>10.66</v>
      </c>
      <c r="AE55" s="9">
        <f>([1]TK1!M72)</f>
        <v>11.01</v>
      </c>
      <c r="AF55" s="9">
        <f>([1]TK1!N72)</f>
        <v>10.796666666666667</v>
      </c>
      <c r="AG55" s="9">
        <f>([1]TK1!O72)</f>
        <v>0</v>
      </c>
      <c r="AH55" s="9">
        <f>([1]TK1!P72)</f>
        <v>0</v>
      </c>
      <c r="AI55" s="9">
        <f>([1]TK1!Q72)</f>
        <v>0</v>
      </c>
      <c r="AJ55" s="9" t="e">
        <f>([1]TK1!R72)</f>
        <v>#DIV/0!</v>
      </c>
      <c r="AK55" s="9">
        <f>([1]TK1!S72)/[1]TK1!S337</f>
        <v>10.916666666666666</v>
      </c>
    </row>
    <row r="56" spans="1:37">
      <c r="A56" s="7">
        <v>4</v>
      </c>
      <c r="B56" s="8" t="s">
        <v>78</v>
      </c>
      <c r="C56" s="8"/>
      <c r="D56" s="9">
        <v>1.8916666666666666</v>
      </c>
      <c r="E56" s="9">
        <v>1.9</v>
      </c>
      <c r="F56" s="9">
        <v>1.8</v>
      </c>
      <c r="G56" s="9">
        <v>1.8525</v>
      </c>
      <c r="H56" s="9">
        <v>1.8174999999999999</v>
      </c>
      <c r="I56" s="9">
        <v>1.7775000000000001</v>
      </c>
      <c r="J56" s="9">
        <v>1.7849999999999999</v>
      </c>
      <c r="K56" s="9">
        <v>1.8058333333333334</v>
      </c>
      <c r="L56" s="9">
        <v>1.7841666666666665</v>
      </c>
      <c r="M56" s="9">
        <v>1.7233333333333334</v>
      </c>
      <c r="N56" s="9">
        <v>1.7958333333333334</v>
      </c>
      <c r="O56" s="9">
        <v>1.8066666666666669</v>
      </c>
      <c r="P56" s="9">
        <v>1.7249999999999999</v>
      </c>
      <c r="Q56" s="9">
        <v>1.781666666666667</v>
      </c>
      <c r="R56" s="9">
        <v>1.7041666666666666</v>
      </c>
      <c r="S56" s="9">
        <v>1.7483333333333331</v>
      </c>
      <c r="T56" s="3">
        <v>1.76</v>
      </c>
      <c r="U56" s="9">
        <f>([1]TK1!C73)</f>
        <v>1.69</v>
      </c>
      <c r="V56" s="9">
        <f>([1]TK1!D73)</f>
        <v>1.73</v>
      </c>
      <c r="W56" s="9">
        <f>([1]TK1!E73)</f>
        <v>1.71</v>
      </c>
      <c r="X56" s="9">
        <f>([1]TK1!F73)</f>
        <v>1.71</v>
      </c>
      <c r="Y56" s="9">
        <f>([1]TK1!G73)</f>
        <v>1.66</v>
      </c>
      <c r="Z56" s="9">
        <f>([1]TK1!H73)</f>
        <v>1.61</v>
      </c>
      <c r="AA56" s="9">
        <f>([1]TK1!I73)</f>
        <v>1.74</v>
      </c>
      <c r="AB56" s="9">
        <f>([1]TK1!J73)</f>
        <v>1.67</v>
      </c>
      <c r="AC56" s="9">
        <f>([1]TK1!K73)</f>
        <v>1.74</v>
      </c>
      <c r="AD56" s="9">
        <f>([1]TK1!L73)</f>
        <v>1.68</v>
      </c>
      <c r="AE56" s="9">
        <f>([1]TK1!M73)</f>
        <v>1.65</v>
      </c>
      <c r="AF56" s="9">
        <f>([1]TK1!N73)</f>
        <v>1.6900000000000002</v>
      </c>
      <c r="AG56" s="9">
        <f>([1]TK1!O73)</f>
        <v>0</v>
      </c>
      <c r="AH56" s="9">
        <f>([1]TK1!P73)</f>
        <v>0</v>
      </c>
      <c r="AI56" s="9">
        <f>([1]TK1!Q73)</f>
        <v>0</v>
      </c>
      <c r="AJ56" s="9" t="e">
        <f>([1]TK1!R73)</f>
        <v>#DIV/0!</v>
      </c>
      <c r="AK56" s="9">
        <f>([1]TK1!S73)/[1]TK1!S337</f>
        <v>1.6900000000000002</v>
      </c>
    </row>
    <row r="57" spans="1:37">
      <c r="A57" s="7">
        <v>5</v>
      </c>
      <c r="B57" s="8" t="s">
        <v>79</v>
      </c>
      <c r="C57" s="8" t="s">
        <v>80</v>
      </c>
      <c r="D57" s="9">
        <v>1.3028575395482431</v>
      </c>
      <c r="E57" s="9">
        <v>1.3</v>
      </c>
      <c r="F57" s="9">
        <v>1.3</v>
      </c>
      <c r="G57" s="9">
        <v>1.2915793123518844</v>
      </c>
      <c r="H57" s="9">
        <v>1.2874985646284802</v>
      </c>
      <c r="I57" s="9">
        <v>1.2727068742968466</v>
      </c>
      <c r="J57" s="9">
        <v>1.2656430424887184</v>
      </c>
      <c r="K57" s="9">
        <v>1.2894302877745143</v>
      </c>
      <c r="L57" s="9">
        <v>1.2896221748475523</v>
      </c>
      <c r="M57" s="9">
        <v>1.2813115168431419</v>
      </c>
      <c r="N57" s="9">
        <v>1.2803303372868791</v>
      </c>
      <c r="O57" s="9">
        <v>1.3027246600021014</v>
      </c>
      <c r="P57" s="9">
        <v>1.3001395033562784</v>
      </c>
      <c r="Q57" s="9">
        <v>1.3012590436355416</v>
      </c>
      <c r="R57" s="9">
        <v>1.3044019859492437</v>
      </c>
      <c r="S57" s="9">
        <v>1.3089795964944313</v>
      </c>
      <c r="T57" s="9">
        <v>1.24</v>
      </c>
      <c r="U57" s="9">
        <f>(([1]TK1!C56/192)/[1]TK1!C69)</f>
        <v>1.3073134491948315</v>
      </c>
      <c r="V57" s="9">
        <f>(([1]TK1!D56/192)/[1]TK1!D69)</f>
        <v>1.3062789719890329</v>
      </c>
      <c r="W57" s="9">
        <f>(([1]TK1!E56/192)/[1]TK1!E69)</f>
        <v>1.310590654374548</v>
      </c>
      <c r="X57" s="9">
        <f>(([1]TK1!F56/192)/[1]TK1!F69)</f>
        <v>1.3077355146095833</v>
      </c>
      <c r="Y57" s="9">
        <f>(([1]TK1!G56/192)/[1]TK1!G69)</f>
        <v>1.3076945929887107</v>
      </c>
      <c r="Z57" s="9">
        <f>(([1]TK1!H56/192)/[1]TK1!H69)</f>
        <v>1.3071985730783913</v>
      </c>
      <c r="AA57" s="9">
        <f>(([1]TK1!I56/192)/[1]TK1!I69)</f>
        <v>1.3057138756765623</v>
      </c>
      <c r="AB57" s="9">
        <f>(([1]TK1!J56/192)/[1]TK1!J69)</f>
        <v>1.3068843215714805</v>
      </c>
      <c r="AC57" s="9">
        <f>(([1]TK1!K56/192)/[1]TK1!K69)</f>
        <v>1.303324909012429</v>
      </c>
      <c r="AD57" s="9">
        <f>(([1]TK1!L56/192)/[1]TK1!L69)</f>
        <v>1.3069317081124754</v>
      </c>
      <c r="AE57" s="9">
        <f>(([1]TK1!M56/192)/[1]TK1!M69)</f>
        <v>1.3061314125087842</v>
      </c>
      <c r="AF57" s="9">
        <f>(([1]TK1!N56/192)/[1]TK1!N69)</f>
        <v>1.3054766744865305</v>
      </c>
      <c r="AG57" s="9" t="e">
        <f>(([1]TK1!O56/192)/[1]TK1!O69)</f>
        <v>#DIV/0!</v>
      </c>
      <c r="AH57" s="9" t="e">
        <f>(([1]TK1!P56/192)/[1]TK1!P69)</f>
        <v>#DIV/0!</v>
      </c>
      <c r="AI57" s="9" t="e">
        <f>(([1]TK1!Q56/192)/[1]TK1!Q69)</f>
        <v>#DIV/0!</v>
      </c>
      <c r="AJ57" s="9" t="e">
        <f>(([1]TK1!R56/192)/[1]TK1!R69)</f>
        <v>#DIV/0!</v>
      </c>
      <c r="AK57" s="9">
        <f>(([1]TK1!S56/192)/[1]TK1!S69)</f>
        <v>1.306658430707911</v>
      </c>
    </row>
    <row r="58" spans="1:37">
      <c r="A58" s="7">
        <v>6</v>
      </c>
      <c r="B58" s="8" t="s">
        <v>81</v>
      </c>
      <c r="C58" s="8" t="s">
        <v>82</v>
      </c>
      <c r="D58" s="11">
        <v>792.89538097775414</v>
      </c>
      <c r="E58" s="11">
        <v>797</v>
      </c>
      <c r="F58" s="11">
        <v>794</v>
      </c>
      <c r="G58" s="11">
        <v>778.03574037897079</v>
      </c>
      <c r="H58" s="11">
        <v>794.87658919174169</v>
      </c>
      <c r="I58" s="11">
        <v>780.05065335679706</v>
      </c>
      <c r="J58" s="11">
        <v>786.10023016276773</v>
      </c>
      <c r="K58" s="11">
        <v>789.34372208781008</v>
      </c>
      <c r="L58" s="11">
        <v>792.21177962585807</v>
      </c>
      <c r="M58" s="11">
        <v>801.92329005654585</v>
      </c>
      <c r="N58" s="11">
        <v>818.97243738084853</v>
      </c>
      <c r="O58" s="11">
        <v>766.63357369282755</v>
      </c>
      <c r="P58" s="11">
        <v>756.86469535834556</v>
      </c>
      <c r="Q58" s="11">
        <v>805.29086165030242</v>
      </c>
      <c r="R58" s="11">
        <v>764.73319146896313</v>
      </c>
      <c r="S58" s="11">
        <v>781.19997888367277</v>
      </c>
      <c r="T58" s="11">
        <v>783</v>
      </c>
      <c r="U58" s="11">
        <f>([1]TK1!C57/[1]TK1!C56)*1000</f>
        <v>763.98758882994696</v>
      </c>
      <c r="V58" s="11">
        <f>([1]TK1!D57/[1]TK1!D56)*1000</f>
        <v>771.23376440424875</v>
      </c>
      <c r="W58" s="11">
        <f>([1]TK1!E57/[1]TK1!E56)*1000</f>
        <v>777.6350611622114</v>
      </c>
      <c r="X58" s="11">
        <f>([1]TK1!F57/[1]TK1!F56)*1000</f>
        <v>770.18011504052322</v>
      </c>
      <c r="Y58" s="11">
        <f>([1]TK1!G57/[1]TK1!G56)*1000</f>
        <v>758.13322125542402</v>
      </c>
      <c r="Z58" s="11">
        <f>([1]TK1!H57/[1]TK1!H56)*1000</f>
        <v>757.05085626822995</v>
      </c>
      <c r="AA58" s="11">
        <f>([1]TK1!I57/[1]TK1!I56)*1000</f>
        <v>770.23820144526724</v>
      </c>
      <c r="AB58" s="11">
        <f>([1]TK1!J57/[1]TK1!J56)*1000</f>
        <v>761.70511348480113</v>
      </c>
      <c r="AC58" s="11">
        <f>([1]TK1!K57/[1]TK1!K56)*1000</f>
        <v>737.87024350658896</v>
      </c>
      <c r="AD58" s="11">
        <f>([1]TK1!L57/[1]TK1!L56)*1000</f>
        <v>765.56780819924927</v>
      </c>
      <c r="AE58" s="11">
        <f>([1]TK1!M57/[1]TK1!M56)*1000</f>
        <v>773.03450131145337</v>
      </c>
      <c r="AF58" s="11">
        <f>([1]TK1!N57/[1]TK1!N56)*1000</f>
        <v>759.07597101839224</v>
      </c>
      <c r="AG58" s="11" t="e">
        <f>([1]TK1!O57/[1]TK1!O56)*1000</f>
        <v>#DIV/0!</v>
      </c>
      <c r="AH58" s="11" t="e">
        <f>([1]TK1!P57/[1]TK1!P56)*1000</f>
        <v>#DIV/0!</v>
      </c>
      <c r="AI58" s="11" t="e">
        <f>([1]TK1!Q57/[1]TK1!Q56)*1000</f>
        <v>#DIV/0!</v>
      </c>
      <c r="AJ58" s="11" t="e">
        <f>([1]TK1!R57/[1]TK1!R56)*1000</f>
        <v>#DIV/0!</v>
      </c>
      <c r="AK58" s="11">
        <f>([1]TK1!S57/[1]TK1!S56)*1000</f>
        <v>763.40971216862556</v>
      </c>
    </row>
    <row r="59" spans="1:37">
      <c r="A59" s="7">
        <v>7</v>
      </c>
      <c r="B59" s="7" t="s">
        <v>101</v>
      </c>
      <c r="C59" s="8" t="s">
        <v>82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>
        <v>101.3205937949963</v>
      </c>
      <c r="T59" s="11">
        <v>188</v>
      </c>
      <c r="U59" s="11">
        <f>[1]TK1!C58/[1]TK1!C56*1000</f>
        <v>99.348236942660165</v>
      </c>
      <c r="V59" s="11">
        <f>[1]TK1!D58/[1]TK1!D56*1000</f>
        <v>90.564336629757975</v>
      </c>
      <c r="W59" s="11">
        <f>[1]TK1!E58/[1]TK1!E56*1000</f>
        <v>99.661215658215724</v>
      </c>
      <c r="X59" s="11">
        <f>[1]TK1!F58/[1]TK1!F56*1000</f>
        <v>96.062074398627274</v>
      </c>
      <c r="Y59" s="11">
        <f>[1]TK1!G58/[1]TK1!G56*1000</f>
        <v>101.83565440625213</v>
      </c>
      <c r="Z59" s="11">
        <f>[1]TK1!H58/[1]TK1!H56*1000</f>
        <v>123.64339965922545</v>
      </c>
      <c r="AA59" s="11">
        <f>[1]TK1!I58/[1]TK1!I56*1000</f>
        <v>102.12031998096766</v>
      </c>
      <c r="AB59" s="11">
        <f>[1]TK1!J58/[1]TK1!J56*1000</f>
        <v>109.22646316334774</v>
      </c>
      <c r="AC59" s="11">
        <f>[1]TK1!K58/[1]TK1!K56*1000</f>
        <v>112.15063184696895</v>
      </c>
      <c r="AD59" s="11">
        <f>[1]TK1!L58/[1]TK1!L56*1000</f>
        <v>111.78096540487067</v>
      </c>
      <c r="AE59" s="11">
        <f>[1]TK1!M58/[1]TK1!M56*1000</f>
        <v>104.09240702131953</v>
      </c>
      <c r="AF59" s="11">
        <f>[1]TK1!N58/[1]TK1!N56*1000</f>
        <v>109.26527396075568</v>
      </c>
      <c r="AG59" s="11" t="e">
        <f>[1]TK1!O58/[1]TK1!O56*1000</f>
        <v>#DIV/0!</v>
      </c>
      <c r="AH59" s="11" t="e">
        <f>[1]TK1!P58/[1]TK1!P56*1000</f>
        <v>#DIV/0!</v>
      </c>
      <c r="AI59" s="11" t="e">
        <f>[1]TK1!Q58/[1]TK1!Q56*1000</f>
        <v>#DIV/0!</v>
      </c>
      <c r="AJ59" s="11" t="e">
        <f>[1]TK1!R58/[1]TK1!R56*1000</f>
        <v>#DIV/0!</v>
      </c>
      <c r="AK59" s="11">
        <f>[1]TK1!S58/[1]TK1!S56*1000</f>
        <v>105.17640772746927</v>
      </c>
    </row>
    <row r="60" spans="1:37">
      <c r="A60" s="7">
        <v>8</v>
      </c>
      <c r="B60" s="7" t="s">
        <v>102</v>
      </c>
      <c r="C60" s="8" t="s">
        <v>82</v>
      </c>
      <c r="D60" s="11">
        <v>176.02217097375782</v>
      </c>
      <c r="E60" s="11">
        <v>173</v>
      </c>
      <c r="F60" s="11">
        <v>174</v>
      </c>
      <c r="G60" s="11">
        <v>170.69215608706034</v>
      </c>
      <c r="H60" s="11">
        <v>176.33925214624225</v>
      </c>
      <c r="I60" s="11">
        <v>172.23666064301477</v>
      </c>
      <c r="J60" s="11">
        <v>181.22816195165564</v>
      </c>
      <c r="K60" s="11">
        <v>190.15247101468128</v>
      </c>
      <c r="L60" s="11">
        <v>188.67803330316059</v>
      </c>
      <c r="M60" s="11">
        <v>189.9850208919139</v>
      </c>
      <c r="N60" s="11">
        <v>191.03854520803895</v>
      </c>
      <c r="O60" s="11">
        <v>178.78812095430709</v>
      </c>
      <c r="P60" s="11">
        <v>174.44013914377737</v>
      </c>
      <c r="Q60" s="11">
        <v>187.26995761881059</v>
      </c>
      <c r="R60" s="11">
        <v>199.72603225087067</v>
      </c>
      <c r="S60" s="11">
        <v>79.973730514013056</v>
      </c>
      <c r="T60" s="11"/>
      <c r="U60" s="11">
        <f>[1]TK1!C59/[1]TK1!C56*1000</f>
        <v>77.145901899945244</v>
      </c>
      <c r="V60" s="11">
        <f>[1]TK1!D59/[1]TK1!D56*1000</f>
        <v>80.274983799622461</v>
      </c>
      <c r="W60" s="11">
        <f>[1]TK1!E59/[1]TK1!E56*1000</f>
        <v>73.351551252984848</v>
      </c>
      <c r="X60" s="11">
        <f>[1]TK1!F59/[1]TK1!F56*1000</f>
        <v>77.394429275978553</v>
      </c>
      <c r="Y60" s="11">
        <f>[1]TK1!G59/[1]TK1!G56*1000</f>
        <v>79.469295953836024</v>
      </c>
      <c r="Z60" s="11">
        <f>[1]TK1!H59/[1]TK1!H56*1000</f>
        <v>78.1124555982326</v>
      </c>
      <c r="AA60" s="11">
        <f>[1]TK1!I59/[1]TK1!I56*1000</f>
        <v>71.002468254676302</v>
      </c>
      <c r="AB60" s="11">
        <f>[1]TK1!J59/[1]TK1!J56*1000</f>
        <v>76.263487313903099</v>
      </c>
      <c r="AC60" s="11">
        <f>[1]TK1!K59/[1]TK1!K56*1000</f>
        <v>80.126075374727293</v>
      </c>
      <c r="AD60" s="11">
        <f>[1]TK1!L59/[1]TK1!L56*1000</f>
        <v>83.761529285111592</v>
      </c>
      <c r="AE60" s="11">
        <f>[1]TK1!M59/[1]TK1!M56*1000</f>
        <v>82.868159705875755</v>
      </c>
      <c r="AF60" s="11">
        <f>[1]TK1!N59/[1]TK1!N56*1000</f>
        <v>82.267022850883095</v>
      </c>
      <c r="AG60" s="11" t="e">
        <f>[1]TK1!O59/[1]TK1!O56*1000</f>
        <v>#DIV/0!</v>
      </c>
      <c r="AH60" s="11" t="e">
        <f>[1]TK1!P59/[1]TK1!P56*1000</f>
        <v>#DIV/0!</v>
      </c>
      <c r="AI60" s="11" t="e">
        <f>[1]TK1!Q59/[1]TK1!Q56*1000</f>
        <v>#DIV/0!</v>
      </c>
      <c r="AJ60" s="11" t="e">
        <f>[1]TK1!R59/[1]TK1!R56*1000</f>
        <v>#DIV/0!</v>
      </c>
      <c r="AK60" s="11">
        <f>[1]TK1!S59/[1]TK1!S56*1000</f>
        <v>78.693762687518785</v>
      </c>
    </row>
    <row r="61" spans="1:37">
      <c r="A61" s="7">
        <v>9</v>
      </c>
      <c r="B61" s="8" t="s">
        <v>87</v>
      </c>
      <c r="C61" s="8" t="s">
        <v>82</v>
      </c>
      <c r="D61" s="11">
        <v>147.07262804715597</v>
      </c>
      <c r="E61" s="11">
        <v>142</v>
      </c>
      <c r="F61" s="11">
        <v>138</v>
      </c>
      <c r="G61" s="11">
        <v>151.93963267822713</v>
      </c>
      <c r="H61" s="11">
        <v>144.12782309931114</v>
      </c>
      <c r="I61" s="11">
        <v>160.19478986533272</v>
      </c>
      <c r="J61" s="11">
        <v>144.42488969744471</v>
      </c>
      <c r="K61" s="11">
        <v>147.18233217999079</v>
      </c>
      <c r="L61" s="11">
        <v>140.73873708229615</v>
      </c>
      <c r="M61" s="11">
        <v>120.35501971506559</v>
      </c>
      <c r="N61" s="11">
        <v>122.58342334713846</v>
      </c>
      <c r="O61" s="11">
        <v>187.71656431409434</v>
      </c>
      <c r="P61" s="11">
        <v>230.29102178864105</v>
      </c>
      <c r="Q61" s="11">
        <v>244.95000226234106</v>
      </c>
      <c r="R61" s="11">
        <v>265.20317798420598</v>
      </c>
      <c r="S61" s="11">
        <v>263.58939786017987</v>
      </c>
      <c r="T61" s="11">
        <v>242</v>
      </c>
      <c r="U61" s="11">
        <f>([1]TK1!C64/[1]TK1!C56)*1000</f>
        <v>272.19791930384406</v>
      </c>
      <c r="V61" s="11">
        <f>([1]TK1!D64/[1]TK1!D56)*1000</f>
        <v>249.02938607612768</v>
      </c>
      <c r="W61" s="11">
        <f>([1]TK1!E64/[1]TK1!E56)*1000</f>
        <v>251.20039998965544</v>
      </c>
      <c r="X61" s="11">
        <f>([1]TK1!F64/[1]TK1!F56)*1000</f>
        <v>258.06632636543173</v>
      </c>
      <c r="Y61" s="11">
        <f>([1]TK1!G64/[1]TK1!G56)*1000</f>
        <v>282.64647749733058</v>
      </c>
      <c r="Z61" s="11">
        <f>([1]TK1!H64/[1]TK1!H56)*1000</f>
        <v>280.72313512576892</v>
      </c>
      <c r="AA61" s="11">
        <f>([1]TK1!I64/[1]TK1!I56)*1000</f>
        <v>266.94025634163023</v>
      </c>
      <c r="AB61" s="11">
        <f>([1]TK1!J64/[1]TK1!J56)*1000</f>
        <v>276.89827540215487</v>
      </c>
      <c r="AC61" s="11">
        <f>([1]TK1!K64/[1]TK1!K56)*1000</f>
        <v>266.97519067136312</v>
      </c>
      <c r="AD61" s="11">
        <f>([1]TK1!L64/[1]TK1!L56)*1000</f>
        <v>227.23966365038262</v>
      </c>
      <c r="AE61" s="11">
        <f>([1]TK1!M64/[1]TK1!M56)*1000</f>
        <v>248.71656914833994</v>
      </c>
      <c r="AF61" s="11">
        <f>([1]TK1!N64/[1]TK1!N56)*1000</f>
        <v>247.59095189591221</v>
      </c>
      <c r="AG61" s="11" t="e">
        <f>([1]TK1!O64/[1]TK1!O56)*1000</f>
        <v>#DIV/0!</v>
      </c>
      <c r="AH61" s="11" t="e">
        <f>([1]TK1!P64/[1]TK1!P56)*1000</f>
        <v>#DIV/0!</v>
      </c>
      <c r="AI61" s="11" t="e">
        <f>([1]TK1!Q64/[1]TK1!Q56)*1000</f>
        <v>#DIV/0!</v>
      </c>
      <c r="AJ61" s="11" t="e">
        <f>([1]TK1!R64/[1]TK1!R56)*1000</f>
        <v>#DIV/0!</v>
      </c>
      <c r="AK61" s="11">
        <f>([1]TK1!S64/[1]TK1!S56)*1000</f>
        <v>260.92567337538128</v>
      </c>
    </row>
    <row r="62" spans="1:37">
      <c r="A62" s="7">
        <v>10</v>
      </c>
      <c r="B62" s="8" t="s">
        <v>103</v>
      </c>
      <c r="C62" s="8" t="s">
        <v>82</v>
      </c>
      <c r="D62" s="11">
        <v>65.925969095510851</v>
      </c>
      <c r="E62" s="11">
        <v>66</v>
      </c>
      <c r="F62" s="11">
        <v>66</v>
      </c>
      <c r="G62" s="11">
        <v>66.813501694661554</v>
      </c>
      <c r="H62" s="11">
        <v>66.254044098848951</v>
      </c>
      <c r="I62" s="11">
        <v>65.825703870822906</v>
      </c>
      <c r="J62" s="11">
        <v>65.331231247966372</v>
      </c>
      <c r="K62" s="11">
        <v>65.785508641397186</v>
      </c>
      <c r="L62" s="11">
        <v>65.950417703854569</v>
      </c>
      <c r="M62" s="11">
        <v>64.219926669782069</v>
      </c>
      <c r="N62" s="11">
        <v>65.062038660401583</v>
      </c>
      <c r="O62" s="11">
        <v>72.799419694725003</v>
      </c>
      <c r="P62" s="11">
        <v>62.737000862574043</v>
      </c>
      <c r="Q62" s="11">
        <v>66.945387086557176</v>
      </c>
      <c r="R62" s="11">
        <v>69.991517316554166</v>
      </c>
      <c r="S62" s="11">
        <v>70.38711167873349</v>
      </c>
      <c r="T62" s="11">
        <v>71</v>
      </c>
      <c r="U62" s="11">
        <f>([1]TK1!C60/[1]TK1!C56)*1000</f>
        <v>69.998292580969931</v>
      </c>
      <c r="V62" s="11">
        <f>([1]TK1!D60/[1]TK1!D56)*1000</f>
        <v>70.999915476291108</v>
      </c>
      <c r="W62" s="11">
        <f>([1]TK1!E60/[1]TK1!E56)*1000</f>
        <v>72.998112117790058</v>
      </c>
      <c r="X62" s="11">
        <f>([1]TK1!F60/[1]TK1!F56)*1000</f>
        <v>71.13303044365064</v>
      </c>
      <c r="Y62" s="11">
        <f>([1]TK1!G60/[1]TK1!G56)*1000</f>
        <v>72.000590680873302</v>
      </c>
      <c r="Z62" s="11">
        <f>([1]TK1!H60/[1]TK1!H56)*1000</f>
        <v>73.000837496751089</v>
      </c>
      <c r="AA62" s="11">
        <f>([1]TK1!I60/[1]TK1!I56)*1000</f>
        <v>72.400154637642359</v>
      </c>
      <c r="AB62" s="11">
        <f>([1]TK1!J60/[1]TK1!J56)*1000</f>
        <v>72.465196834564637</v>
      </c>
      <c r="AC62" s="11">
        <f>([1]TK1!K60/[1]TK1!K56)*1000</f>
        <v>72.399254367653199</v>
      </c>
      <c r="AD62" s="11">
        <f>([1]TK1!L60/[1]TK1!L56)*1000</f>
        <v>73.001833047222789</v>
      </c>
      <c r="AE62" s="11">
        <f>([1]TK1!M60/[1]TK1!M56)*1000</f>
        <v>72.001031228282557</v>
      </c>
      <c r="AF62" s="11">
        <f>([1]TK1!N60/[1]TK1!N56)*1000</f>
        <v>72.461706993638657</v>
      </c>
      <c r="AG62" s="11" t="e">
        <f>([1]TK1!O60/[1]TK1!O56)*1000</f>
        <v>#DIV/0!</v>
      </c>
      <c r="AH62" s="11" t="e">
        <f>([1]TK1!P60/[1]TK1!P56)*1000</f>
        <v>#DIV/0!</v>
      </c>
      <c r="AI62" s="11" t="e">
        <f>([1]TK1!Q60/[1]TK1!Q56)*1000</f>
        <v>#DIV/0!</v>
      </c>
      <c r="AJ62" s="11" t="e">
        <f>([1]TK1!R60/[1]TK1!R56)*1000</f>
        <v>#DIV/0!</v>
      </c>
      <c r="AK62" s="11">
        <f>([1]TK1!S60/[1]TK1!S56)*1000</f>
        <v>72.052781410582256</v>
      </c>
    </row>
    <row r="63" spans="1:37">
      <c r="A63" s="7">
        <v>11</v>
      </c>
      <c r="B63" s="8" t="s">
        <v>104</v>
      </c>
      <c r="C63" s="8" t="s">
        <v>82</v>
      </c>
      <c r="D63" s="11">
        <v>14.539034401225523</v>
      </c>
      <c r="E63" s="11">
        <v>13</v>
      </c>
      <c r="F63" s="11">
        <v>13</v>
      </c>
      <c r="G63" s="11">
        <v>11.113436168766601</v>
      </c>
      <c r="H63" s="11">
        <v>11.528501435172606</v>
      </c>
      <c r="I63" s="11">
        <v>14.202288496998078</v>
      </c>
      <c r="J63" s="11">
        <v>12.75333034918706</v>
      </c>
      <c r="K63" s="11">
        <v>11.727997606597466</v>
      </c>
      <c r="L63" s="11">
        <v>10.553386889944935</v>
      </c>
      <c r="M63" s="11">
        <v>11.814757220764175</v>
      </c>
      <c r="N63" s="11">
        <v>14.218261011688828</v>
      </c>
      <c r="O63" s="11">
        <v>14.221782348638065</v>
      </c>
      <c r="P63" s="11">
        <v>14.233519647927256</v>
      </c>
      <c r="Q63" s="11">
        <v>15.345911949685535</v>
      </c>
      <c r="R63" s="11">
        <v>14.309578346022622</v>
      </c>
      <c r="S63" s="11">
        <v>12.064397048944837</v>
      </c>
      <c r="T63" s="11">
        <v>73</v>
      </c>
      <c r="U63" s="11">
        <f>([1]TK1!C61/[1]TK1!C56)*1000</f>
        <v>11.039347177165331</v>
      </c>
      <c r="V63" s="11">
        <f>([1]TK1!D61/[1]TK1!D56)*1000</f>
        <v>11.788239934634998</v>
      </c>
      <c r="W63" s="11">
        <f>([1]TK1!E61/[1]TK1!E56)*1000</f>
        <v>12.75829073386033</v>
      </c>
      <c r="X63" s="11">
        <f>([1]TK1!F61/[1]TK1!F56)*1000</f>
        <v>11.756580296342662</v>
      </c>
      <c r="Y63" s="11">
        <f>([1]TK1!G61/[1]TK1!G56)*1000</f>
        <v>12.35886134902424</v>
      </c>
      <c r="Z63" s="11">
        <f>([1]TK1!H61/[1]TK1!H56)*1000</f>
        <v>12.810812371848556</v>
      </c>
      <c r="AA63" s="11">
        <f>([1]TK1!I61/[1]TK1!I56)*1000</f>
        <v>11.984417283730336</v>
      </c>
      <c r="AB63" s="11">
        <f>([1]TK1!J61/[1]TK1!J56)*1000</f>
        <v>12.388419176631139</v>
      </c>
      <c r="AC63" s="11">
        <f>([1]TK1!K61/[1]TK1!K56)*1000</f>
        <v>11.372657403106016</v>
      </c>
      <c r="AD63" s="11">
        <f>([1]TK1!L61/[1]TK1!L56)*1000</f>
        <v>12.784776979254561</v>
      </c>
      <c r="AE63" s="11">
        <f>([1]TK1!M61/[1]TK1!M56)*1000</f>
        <v>11.024054520590939</v>
      </c>
      <c r="AF63" s="11">
        <f>([1]TK1!N61/[1]TK1!N56)*1000</f>
        <v>11.719485710991101</v>
      </c>
      <c r="AG63" s="11" t="e">
        <f>([1]TK1!O61/[1]TK1!O56)*1000</f>
        <v>#DIV/0!</v>
      </c>
      <c r="AH63" s="11" t="e">
        <f>([1]TK1!P61/[1]TK1!P56)*1000</f>
        <v>#DIV/0!</v>
      </c>
      <c r="AI63" s="11" t="e">
        <f>([1]TK1!Q61/[1]TK1!Q56)*1000</f>
        <v>#DIV/0!</v>
      </c>
      <c r="AJ63" s="11" t="e">
        <f>([1]TK1!R61/[1]TK1!R56)*1000</f>
        <v>#DIV/0!</v>
      </c>
      <c r="AK63" s="11">
        <f>([1]TK1!S61/[1]TK1!S56)*1000</f>
        <v>11.961494567226945</v>
      </c>
    </row>
    <row r="64" spans="1:37">
      <c r="A64" s="7">
        <v>12</v>
      </c>
      <c r="B64" s="8" t="s">
        <v>85</v>
      </c>
      <c r="C64" s="8" t="s">
        <v>82</v>
      </c>
      <c r="D64" s="12">
        <v>9.6155046956174228</v>
      </c>
      <c r="E64" s="12">
        <v>10.4</v>
      </c>
      <c r="F64" s="12">
        <v>10</v>
      </c>
      <c r="G64" s="12">
        <v>10.194444402016385</v>
      </c>
      <c r="H64" s="12">
        <v>12.591722217153695</v>
      </c>
      <c r="I64" s="12">
        <v>9.7331839425599131</v>
      </c>
      <c r="J64" s="12">
        <v>13.565881021249158</v>
      </c>
      <c r="K64" s="11">
        <v>10.573571112672026</v>
      </c>
      <c r="L64" s="11">
        <v>7.0799860451082441</v>
      </c>
      <c r="M64" s="11">
        <v>5.5220464820804853</v>
      </c>
      <c r="N64" s="11">
        <v>7.5774435355613337</v>
      </c>
      <c r="O64" s="11">
        <v>17.139189252877451</v>
      </c>
      <c r="P64" s="11">
        <v>12.173508391493321</v>
      </c>
      <c r="Q64" s="11">
        <v>9.5428562810129254</v>
      </c>
      <c r="R64" s="11">
        <v>9.4226564763308112</v>
      </c>
      <c r="S64" s="11">
        <v>5.6481332149656636</v>
      </c>
      <c r="T64" s="11">
        <v>6</v>
      </c>
      <c r="U64" s="11">
        <f>([1]TK1!C62/[1]TK1!C56)*1000</f>
        <v>5.5756062809469702</v>
      </c>
      <c r="V64" s="11">
        <f>([1]TK1!D62/[1]TK1!D56)*1000</f>
        <v>5.3475333164285912</v>
      </c>
      <c r="W64" s="11">
        <f>([1]TK1!E62/[1]TK1!E56)*1000</f>
        <v>3.6981802194770825</v>
      </c>
      <c r="X64" s="11">
        <f>([1]TK1!F62/[1]TK1!F56)*1000</f>
        <v>5.0181841727550367</v>
      </c>
      <c r="Y64" s="11">
        <f>([1]TK1!G62/[1]TK1!G56)*1000</f>
        <v>6.1396733080400754</v>
      </c>
      <c r="Z64" s="11">
        <f>([1]TK1!H62/[1]TK1!H56)*1000</f>
        <v>7.3988506079071241</v>
      </c>
      <c r="AA64" s="11">
        <f>([1]TK1!I62/[1]TK1!I56)*1000</f>
        <v>2.7121063431171382</v>
      </c>
      <c r="AB64" s="11">
        <f>([1]TK1!J62/[1]TK1!J56)*1000</f>
        <v>5.447115812099633</v>
      </c>
      <c r="AC64" s="11">
        <f>([1]TK1!K62/[1]TK1!K56)*1000</f>
        <v>4.7513480774093395</v>
      </c>
      <c r="AD64" s="11">
        <f>([1]TK1!L62/[1]TK1!L56)*1000</f>
        <v>1.8272280252553172</v>
      </c>
      <c r="AE64" s="11">
        <f>([1]TK1!M62/[1]TK1!M56)*1000</f>
        <v>3.329073912166252</v>
      </c>
      <c r="AF64" s="11">
        <f>([1]TK1!N62/[1]TK1!N56)*1000</f>
        <v>3.2979070974189457</v>
      </c>
      <c r="AG64" s="11" t="e">
        <f>([1]TK1!O62/[1]TK1!O56)*1000</f>
        <v>#DIV/0!</v>
      </c>
      <c r="AH64" s="11" t="e">
        <f>([1]TK1!P62/[1]TK1!P56)*1000</f>
        <v>#DIV/0!</v>
      </c>
      <c r="AI64" s="11" t="e">
        <f>([1]TK1!Q62/[1]TK1!Q56)*1000</f>
        <v>#DIV/0!</v>
      </c>
      <c r="AJ64" s="11" t="e">
        <f>([1]TK1!R62/[1]TK1!R56)*1000</f>
        <v>#DIV/0!</v>
      </c>
      <c r="AK64" s="11">
        <f>([1]TK1!S62/[1]TK1!S56)*1000</f>
        <v>4.5696720082772417</v>
      </c>
    </row>
    <row r="65" spans="1:37">
      <c r="A65" s="7">
        <v>13</v>
      </c>
      <c r="B65" s="8" t="s">
        <v>86</v>
      </c>
      <c r="C65" s="8" t="s">
        <v>82</v>
      </c>
      <c r="D65" s="11">
        <v>35.760893998934328</v>
      </c>
      <c r="E65" s="11">
        <v>36</v>
      </c>
      <c r="F65" s="11">
        <v>38</v>
      </c>
      <c r="G65" s="11">
        <v>38.469860888575937</v>
      </c>
      <c r="H65" s="11">
        <v>32.771361915140844</v>
      </c>
      <c r="I65" s="11">
        <v>32.342646771965782</v>
      </c>
      <c r="J65" s="11">
        <v>21.753707262441285</v>
      </c>
      <c r="K65" s="11">
        <v>16.34136770814364</v>
      </c>
      <c r="L65" s="11">
        <v>20.203948857207514</v>
      </c>
      <c r="M65" s="11">
        <v>31.172198044146665</v>
      </c>
      <c r="N65" s="11">
        <v>30.613740358571576</v>
      </c>
      <c r="O65" s="11">
        <v>15.91229030017274</v>
      </c>
      <c r="P65" s="11">
        <v>13.700044333999566</v>
      </c>
      <c r="Q65" s="11">
        <v>4.5427808696439076</v>
      </c>
      <c r="R65" s="11">
        <v>8.7046504696738864</v>
      </c>
      <c r="S65" s="11">
        <v>6.3101978783902961</v>
      </c>
      <c r="T65" s="11">
        <v>6</v>
      </c>
      <c r="U65" s="11">
        <f>([1]TK1!C63/[1]TK1!C56)*1000</f>
        <v>5.1399200456881777</v>
      </c>
      <c r="V65" s="11">
        <f>([1]TK1!D63/[1]TK1!D56)*1000</f>
        <v>12.126334770236385</v>
      </c>
      <c r="W65" s="11">
        <f>([1]TK1!E63/[1]TK1!E56)*1000</f>
        <v>7.3877399722420973</v>
      </c>
      <c r="X65" s="11">
        <f>([1]TK1!F63/[1]TK1!F56)*1000</f>
        <v>8.3787487994129268</v>
      </c>
      <c r="Y65" s="11">
        <f>([1]TK1!G63/[1]TK1!G56)*1000</f>
        <v>0.74971033918713226</v>
      </c>
      <c r="Z65" s="11">
        <f>([1]TK1!H63/[1]TK1!H56)*1000</f>
        <v>0.7797383544632801</v>
      </c>
      <c r="AA65" s="11">
        <f>([1]TK1!I63/[1]TK1!I56)*1000</f>
        <v>0</v>
      </c>
      <c r="AB65" s="11">
        <f>([1]TK1!J63/[1]TK1!J56)*1000</f>
        <v>0.51610359184904264</v>
      </c>
      <c r="AC65" s="11">
        <f>([1]TK1!K63/[1]TK1!K56)*1000</f>
        <v>0</v>
      </c>
      <c r="AD65" s="11">
        <f>([1]TK1!L63/[1]TK1!L56)*1000</f>
        <v>2.7292036428176552</v>
      </c>
      <c r="AE65" s="11">
        <f>([1]TK1!M63/[1]TK1!M56)*1000</f>
        <v>4.7750353083596737</v>
      </c>
      <c r="AF65" s="11">
        <f>([1]TK1!N63/[1]TK1!N56)*1000</f>
        <v>2.5387734706820675</v>
      </c>
      <c r="AG65" s="11" t="e">
        <f>([1]TK1!O63/[1]TK1!O56)*1000</f>
        <v>#DIV/0!</v>
      </c>
      <c r="AH65" s="11" t="e">
        <f>([1]TK1!P63/[1]TK1!P56)*1000</f>
        <v>#DIV/0!</v>
      </c>
      <c r="AI65" s="11" t="e">
        <f>([1]TK1!Q63/[1]TK1!Q56)*1000</f>
        <v>#DIV/0!</v>
      </c>
      <c r="AJ65" s="11" t="e">
        <f>([1]TK1!R63/[1]TK1!R56)*1000</f>
        <v>#DIV/0!</v>
      </c>
      <c r="AK65" s="11">
        <f>([1]TK1!S63/[1]TK1!S56)*1000</f>
        <v>3.644278449522746</v>
      </c>
    </row>
    <row r="66" spans="1:37">
      <c r="A66" s="7">
        <v>14</v>
      </c>
      <c r="B66" s="8" t="s">
        <v>89</v>
      </c>
      <c r="C66" s="8" t="s">
        <v>82</v>
      </c>
      <c r="D66" s="11">
        <v>21.120391800985747</v>
      </c>
      <c r="E66" s="11">
        <v>24</v>
      </c>
      <c r="F66" s="11">
        <v>18</v>
      </c>
      <c r="G66" s="11">
        <v>20.479515138925589</v>
      </c>
      <c r="H66" s="11">
        <v>21.392242749195191</v>
      </c>
      <c r="I66" s="11">
        <v>20.139362453317574</v>
      </c>
      <c r="J66" s="11">
        <v>18.558633380851969</v>
      </c>
      <c r="K66" s="11">
        <v>23.11725504478958</v>
      </c>
      <c r="L66" s="11">
        <v>15.063975635513314</v>
      </c>
      <c r="M66" s="11">
        <v>0.12853925703166866</v>
      </c>
      <c r="N66" s="11">
        <v>3.9370560751327286</v>
      </c>
      <c r="O66" s="11">
        <v>0.52354518983892029</v>
      </c>
      <c r="P66" s="11">
        <v>0</v>
      </c>
      <c r="Q66" s="11">
        <v>7</v>
      </c>
      <c r="R66" s="11">
        <v>0</v>
      </c>
      <c r="S66" s="11">
        <v>0</v>
      </c>
      <c r="T66" s="11">
        <v>15</v>
      </c>
      <c r="U66" s="11">
        <f>([1]TK1!C65/[1]TK1!C56)*1000</f>
        <v>0</v>
      </c>
      <c r="V66" s="11">
        <f>([1]TK1!D65/[1]TK1!D56)*1000</f>
        <v>0</v>
      </c>
      <c r="W66" s="11">
        <f>([1]TK1!E65/[1]TK1!E56)*1000</f>
        <v>0</v>
      </c>
      <c r="X66" s="11">
        <f>([1]TK1!F65/[1]TK1!F56)*1000</f>
        <v>0</v>
      </c>
      <c r="Y66" s="11">
        <f>([1]TK1!G65/[1]TK1!G56)*1000</f>
        <v>0</v>
      </c>
      <c r="Z66" s="11">
        <f>([1]TK1!H65/[1]TK1!H56)*1000</f>
        <v>0</v>
      </c>
      <c r="AA66" s="11">
        <f>([1]TK1!I65/[1]TK1!I56)*1000</f>
        <v>0</v>
      </c>
      <c r="AB66" s="11">
        <f>([1]TK1!J65/[1]TK1!J56)*1000</f>
        <v>0</v>
      </c>
      <c r="AC66" s="11">
        <f>([1]TK1!K65/[1]TK1!K56)*1000</f>
        <v>0</v>
      </c>
      <c r="AD66" s="11">
        <f>([1]TK1!L65/[1]TK1!L56)*1000</f>
        <v>0</v>
      </c>
      <c r="AE66" s="11">
        <f>([1]TK1!M65/[1]TK1!M56)*1000</f>
        <v>0</v>
      </c>
      <c r="AF66" s="11">
        <f>([1]TK1!N65/[1]TK1!N56)*1000</f>
        <v>0</v>
      </c>
      <c r="AG66" s="11" t="e">
        <f>([1]TK1!O65/[1]TK1!O56)*1000</f>
        <v>#DIV/0!</v>
      </c>
      <c r="AH66" s="11" t="e">
        <f>([1]TK1!P65/[1]TK1!P56)*1000</f>
        <v>#DIV/0!</v>
      </c>
      <c r="AI66" s="11" t="e">
        <f>([1]TK1!Q65/[1]TK1!Q56)*1000</f>
        <v>#DIV/0!</v>
      </c>
      <c r="AJ66" s="11" t="e">
        <f>([1]TK1!R65/[1]TK1!R56)*1000</f>
        <v>#DIV/0!</v>
      </c>
      <c r="AK66" s="11">
        <f>([1]TK1!S65/[1]TK1!S56)*1000</f>
        <v>0</v>
      </c>
    </row>
    <row r="67" spans="1:37">
      <c r="A67" s="7">
        <v>15</v>
      </c>
      <c r="B67" s="8" t="s">
        <v>90</v>
      </c>
      <c r="C67" s="8" t="s">
        <v>91</v>
      </c>
      <c r="D67" s="12">
        <v>95.024762394803119</v>
      </c>
      <c r="E67" s="12">
        <v>95.2</v>
      </c>
      <c r="F67" s="12">
        <v>96.13</v>
      </c>
      <c r="G67" s="12">
        <v>96.262216102101746</v>
      </c>
      <c r="H67" s="12">
        <v>97.179128076616934</v>
      </c>
      <c r="I67" s="12">
        <v>92.872126155623107</v>
      </c>
      <c r="J67" s="12">
        <v>82.398994049968749</v>
      </c>
      <c r="K67" s="9">
        <v>89.539035636793528</v>
      </c>
      <c r="L67" s="9">
        <v>81.502787057397796</v>
      </c>
      <c r="M67" s="9">
        <v>83.114040211007335</v>
      </c>
      <c r="N67" s="9">
        <v>80.572524828760976</v>
      </c>
      <c r="O67" s="9">
        <v>92.292209903917211</v>
      </c>
      <c r="P67" s="9">
        <v>91.357118784642623</v>
      </c>
      <c r="Q67" s="9">
        <v>77.1445415106121</v>
      </c>
      <c r="R67" s="9">
        <v>92.587598635683193</v>
      </c>
      <c r="S67" s="9">
        <v>97.510459630278035</v>
      </c>
      <c r="T67" s="12">
        <v>95</v>
      </c>
      <c r="U67" s="9">
        <f>(([1]TK1!C69/([1]TK1!C68))*100)</f>
        <v>97.118048080373157</v>
      </c>
      <c r="V67" s="9">
        <f>(([1]TK1!D69/([1]TK1!D68))*100)</f>
        <v>97.563598759048602</v>
      </c>
      <c r="W67" s="9">
        <f>(([1]TK1!E69/([1]TK1!E68))*100)</f>
        <v>91.468253968253961</v>
      </c>
      <c r="X67" s="9">
        <f>(([1]TK1!F69/([1]TK1!F68))*100)</f>
        <v>95.807372793354105</v>
      </c>
      <c r="Y67" s="9">
        <f>(([1]TK1!G69/([1]TK1!G68))*100)</f>
        <v>97.283686860979699</v>
      </c>
      <c r="Z67" s="9">
        <f>(([1]TK1!H69/([1]TK1!H68))*100)</f>
        <v>93.790618626784507</v>
      </c>
      <c r="AA67" s="9">
        <f>(([1]TK1!I69/([1]TK1!I68))*100)</f>
        <v>96.153405017921145</v>
      </c>
      <c r="AB67" s="9">
        <f>(([1]TK1!J69/([1]TK1!J68))*100)</f>
        <v>95.724825079045246</v>
      </c>
      <c r="AC67" s="9">
        <f>(([1]TK1!K69/([1]TK1!K68))*100)</f>
        <v>94.418895449808971</v>
      </c>
      <c r="AD67" s="9">
        <f>(([1]TK1!L69/([1]TK1!L68))*100)</f>
        <v>97.90278770550394</v>
      </c>
      <c r="AE67" s="9">
        <f>(([1]TK1!M69/([1]TK1!M68))*100)</f>
        <v>98.409405255878283</v>
      </c>
      <c r="AF67" s="9">
        <f>(([1]TK1!N69/([1]TK1!N68))*100)</f>
        <v>96.903255922511363</v>
      </c>
      <c r="AG67" s="9" t="e">
        <f>(([1]TK1!O69/([1]TK1!O68))*100)</f>
        <v>#DIV/0!</v>
      </c>
      <c r="AH67" s="9" t="e">
        <f>(([1]TK1!P69/([1]TK1!P68))*100)</f>
        <v>#DIV/0!</v>
      </c>
      <c r="AI67" s="9" t="e">
        <f>(([1]TK1!Q69/([1]TK1!Q68))*100)</f>
        <v>#DIV/0!</v>
      </c>
      <c r="AJ67" s="9" t="e">
        <f>(([1]TK1!R69/([1]TK1!R68))*100)</f>
        <v>#DIV/0!</v>
      </c>
      <c r="AK67" s="9">
        <f>(([1]TK1!S69/([1]TK1!S68))*100)</f>
        <v>96.156108568195847</v>
      </c>
    </row>
    <row r="68" spans="1:37">
      <c r="A68" s="7">
        <v>16</v>
      </c>
      <c r="B68" s="8" t="s">
        <v>105</v>
      </c>
      <c r="C68" s="8" t="s">
        <v>47</v>
      </c>
      <c r="D68" s="9">
        <v>90.1</v>
      </c>
      <c r="E68" s="9">
        <v>90</v>
      </c>
      <c r="F68" s="9">
        <v>90.3</v>
      </c>
      <c r="G68" s="9">
        <v>90.34333333333332</v>
      </c>
      <c r="H68" s="9">
        <v>90.431666666666658</v>
      </c>
      <c r="I68" s="9">
        <v>88.419166666666669</v>
      </c>
      <c r="J68" s="9">
        <v>88.081666666666663</v>
      </c>
      <c r="K68" s="9">
        <v>87.554166666666674</v>
      </c>
      <c r="L68" s="9">
        <v>87.509166666666673</v>
      </c>
      <c r="M68" s="9">
        <v>89.951666666666654</v>
      </c>
      <c r="N68" s="9">
        <v>88.788333333333313</v>
      </c>
      <c r="O68" s="9">
        <v>88.172499999999999</v>
      </c>
      <c r="P68" s="9">
        <v>89.311666666666667</v>
      </c>
      <c r="Q68" s="9">
        <v>90.115833333333342</v>
      </c>
      <c r="R68" s="9">
        <v>89.30083333333333</v>
      </c>
      <c r="S68" s="9">
        <v>89.259166666666658</v>
      </c>
      <c r="T68" s="12">
        <v>90</v>
      </c>
      <c r="U68" s="9">
        <f>([1]TK1!C74)</f>
        <v>90.21</v>
      </c>
      <c r="V68" s="9">
        <f>([1]TK1!D74)</f>
        <v>88.11</v>
      </c>
      <c r="W68" s="9">
        <f>([1]TK1!E74)</f>
        <v>85.38</v>
      </c>
      <c r="X68" s="9">
        <f>([1]TK1!F74)</f>
        <v>87.899999999999991</v>
      </c>
      <c r="Y68" s="9">
        <f>([1]TK1!G74)</f>
        <v>87</v>
      </c>
      <c r="Z68" s="9">
        <f>([1]TK1!H74)</f>
        <v>85.63</v>
      </c>
      <c r="AA68" s="9">
        <f>([1]TK1!I74)</f>
        <v>86.9</v>
      </c>
      <c r="AB68" s="9">
        <f>([1]TK1!J74)</f>
        <v>86.509999999999991</v>
      </c>
      <c r="AC68" s="9">
        <f>([1]TK1!K74)</f>
        <v>89.18</v>
      </c>
      <c r="AD68" s="9">
        <f>([1]TK1!L74)</f>
        <v>84.74</v>
      </c>
      <c r="AE68" s="9">
        <f>([1]TK1!M74)</f>
        <v>83.24</v>
      </c>
      <c r="AF68" s="9">
        <f>([1]TK1!N74)</f>
        <v>85.720000000000013</v>
      </c>
      <c r="AG68" s="9">
        <f>([1]TK1!O74)</f>
        <v>0</v>
      </c>
      <c r="AH68" s="9">
        <f>([1]TK1!P74)</f>
        <v>0</v>
      </c>
      <c r="AI68" s="9">
        <f>([1]TK1!Q74)</f>
        <v>0</v>
      </c>
      <c r="AJ68" s="9" t="e">
        <f>([1]TK1!R74)</f>
        <v>#DIV/0!</v>
      </c>
      <c r="AK68" s="9">
        <f>([1]TK1!S74)/[1]TK1!S337</f>
        <v>86.710000000000008</v>
      </c>
    </row>
    <row r="69" spans="1:37">
      <c r="A69" s="7">
        <v>17</v>
      </c>
      <c r="B69" s="8" t="s">
        <v>106</v>
      </c>
      <c r="C69" s="8" t="s">
        <v>47</v>
      </c>
      <c r="D69" s="9">
        <v>80.625</v>
      </c>
      <c r="E69" s="9">
        <v>80.7</v>
      </c>
      <c r="F69" s="9">
        <v>80.8</v>
      </c>
      <c r="G69" s="9">
        <v>80.652500000000003</v>
      </c>
      <c r="H69" s="9">
        <v>80.534999999999997</v>
      </c>
      <c r="I69" s="9">
        <v>77.520833333333329</v>
      </c>
      <c r="J69" s="9">
        <v>73.970000000000013</v>
      </c>
      <c r="K69" s="9">
        <v>75.969166666666666</v>
      </c>
      <c r="L69" s="9">
        <v>78.39500000000001</v>
      </c>
      <c r="M69" s="9">
        <v>81.952500000000001</v>
      </c>
      <c r="N69" s="9">
        <v>80.37166666666667</v>
      </c>
      <c r="O69" s="9">
        <v>79.303333333333327</v>
      </c>
      <c r="P69" s="9">
        <v>82.099166666666648</v>
      </c>
      <c r="Q69" s="9">
        <v>82.782500000000013</v>
      </c>
      <c r="R69" s="9">
        <v>78.71916666666668</v>
      </c>
      <c r="S69" s="9">
        <v>75.716666666666683</v>
      </c>
      <c r="T69" s="12">
        <v>81</v>
      </c>
      <c r="U69" s="9">
        <f>([1]TK1!C75)</f>
        <v>75.86</v>
      </c>
      <c r="V69" s="9">
        <f>([1]TK1!D75)</f>
        <v>75.599999999999994</v>
      </c>
      <c r="W69" s="9">
        <f>([1]TK1!E75)</f>
        <v>74.67</v>
      </c>
      <c r="X69" s="9">
        <f>([1]TK1!F75)</f>
        <v>75.376666666666665</v>
      </c>
      <c r="Y69" s="9">
        <f>([1]TK1!G75)</f>
        <v>73.03</v>
      </c>
      <c r="Z69" s="9">
        <f>([1]TK1!H75)</f>
        <v>69.349999999999994</v>
      </c>
      <c r="AA69" s="9">
        <f>([1]TK1!I75)</f>
        <v>75.83</v>
      </c>
      <c r="AB69" s="9">
        <f>([1]TK1!J75)</f>
        <v>72.736666666666665</v>
      </c>
      <c r="AC69" s="9">
        <f>([1]TK1!K75)</f>
        <v>72.239999999999995</v>
      </c>
      <c r="AD69" s="9">
        <f>([1]TK1!L75)</f>
        <v>73.48</v>
      </c>
      <c r="AE69" s="9">
        <f>([1]TK1!M75)</f>
        <v>76.5</v>
      </c>
      <c r="AF69" s="9">
        <f>([1]TK1!N75)</f>
        <v>74.073333333333338</v>
      </c>
      <c r="AG69" s="9">
        <f>([1]TK1!O75)</f>
        <v>0</v>
      </c>
      <c r="AH69" s="9">
        <f>([1]TK1!P75)</f>
        <v>0</v>
      </c>
      <c r="AI69" s="9">
        <f>([1]TK1!Q75)</f>
        <v>0</v>
      </c>
      <c r="AJ69" s="9" t="e">
        <f>([1]TK1!R75)</f>
        <v>#DIV/0!</v>
      </c>
      <c r="AK69" s="9">
        <f>([1]TK1!S75)/[1]TK1!S337</f>
        <v>74.062222222222218</v>
      </c>
    </row>
    <row r="70" spans="1:37">
      <c r="A70" s="7">
        <v>18</v>
      </c>
      <c r="B70" s="8" t="s">
        <v>97</v>
      </c>
      <c r="C70" s="8" t="s">
        <v>47</v>
      </c>
      <c r="D70" s="9">
        <v>73.733333333333334</v>
      </c>
      <c r="E70" s="9">
        <v>73.900000000000006</v>
      </c>
      <c r="F70" s="9">
        <v>73.900000000000006</v>
      </c>
      <c r="G70" s="9">
        <v>73.735833333333332</v>
      </c>
      <c r="H70" s="9">
        <v>73.44916666666667</v>
      </c>
      <c r="I70" s="9">
        <v>72.485833333333332</v>
      </c>
      <c r="J70" s="9">
        <v>72.80083333333333</v>
      </c>
      <c r="K70" s="9">
        <v>72.995833333333337</v>
      </c>
      <c r="L70" s="9">
        <v>73.26166666666667</v>
      </c>
      <c r="M70" s="9">
        <v>73.597500000000011</v>
      </c>
      <c r="N70" s="9">
        <v>74.710000000000022</v>
      </c>
      <c r="O70" s="9">
        <v>74.447499999999991</v>
      </c>
      <c r="P70" s="9">
        <v>74.283333333333331</v>
      </c>
      <c r="Q70" s="9">
        <v>73.726666666666659</v>
      </c>
      <c r="R70" s="9">
        <v>73.782727272727271</v>
      </c>
      <c r="S70" s="9">
        <v>73.910833333333329</v>
      </c>
      <c r="T70" s="12">
        <v>74</v>
      </c>
      <c r="U70" s="9">
        <f>([1]TK1!C76)</f>
        <v>74.319999999999993</v>
      </c>
      <c r="V70" s="9">
        <f>([1]TK1!D76)</f>
        <v>74.290000000000006</v>
      </c>
      <c r="W70" s="9">
        <f>([1]TK1!E76)</f>
        <v>74.09</v>
      </c>
      <c r="X70" s="9">
        <f>([1]TK1!F76)</f>
        <v>74.233333333333334</v>
      </c>
      <c r="Y70" s="9">
        <f>([1]TK1!G76)</f>
        <v>74.069999999999993</v>
      </c>
      <c r="Z70" s="9">
        <f>([1]TK1!H76)</f>
        <v>74.31</v>
      </c>
      <c r="AA70" s="9">
        <f>([1]TK1!I76)</f>
        <v>74.17</v>
      </c>
      <c r="AB70" s="9">
        <f>([1]TK1!J76)</f>
        <v>74.183333333333337</v>
      </c>
      <c r="AC70" s="9">
        <f>([1]TK1!K76)</f>
        <v>74.17</v>
      </c>
      <c r="AD70" s="9">
        <f>([1]TK1!L76)</f>
        <v>74.11</v>
      </c>
      <c r="AE70" s="9">
        <f>([1]TK1!M76)</f>
        <v>74.25</v>
      </c>
      <c r="AF70" s="9">
        <f>([1]TK1!N76)</f>
        <v>74.176666666666662</v>
      </c>
      <c r="AG70" s="9">
        <f>([1]TK1!O76)</f>
        <v>0</v>
      </c>
      <c r="AH70" s="9">
        <f>([1]TK1!P76)</f>
        <v>0</v>
      </c>
      <c r="AI70" s="9">
        <f>([1]TK1!Q76)</f>
        <v>0</v>
      </c>
      <c r="AJ70" s="9" t="e">
        <f>([1]TK1!R76)</f>
        <v>#DIV/0!</v>
      </c>
      <c r="AK70" s="9">
        <f>([1]TK1!S76)/[1]TK1!S337</f>
        <v>74.197777777777773</v>
      </c>
    </row>
    <row r="71" spans="1:37">
      <c r="A71" s="7">
        <v>19</v>
      </c>
      <c r="B71" s="8" t="s">
        <v>98</v>
      </c>
      <c r="C71" s="8" t="s">
        <v>47</v>
      </c>
      <c r="D71" s="9">
        <v>18.410779110560757</v>
      </c>
      <c r="E71" s="9">
        <v>17.8</v>
      </c>
      <c r="F71" s="9">
        <v>16.920000000000002</v>
      </c>
      <c r="G71" s="9">
        <v>17.993230683830369</v>
      </c>
      <c r="H71" s="9">
        <v>18.174514204572372</v>
      </c>
      <c r="I71" s="9">
        <v>17.151905554840972</v>
      </c>
      <c r="J71" s="9">
        <v>16.568831180335248</v>
      </c>
      <c r="K71" s="9">
        <v>16.412519713908271</v>
      </c>
      <c r="L71" s="9">
        <v>16.435793578404422</v>
      </c>
      <c r="M71" s="9">
        <v>16.019595940596599</v>
      </c>
      <c r="N71" s="9">
        <v>14.524949043090194</v>
      </c>
      <c r="O71" s="9">
        <v>8.9923213053780859</v>
      </c>
      <c r="P71" s="9">
        <v>10.786850233736169</v>
      </c>
      <c r="Q71" s="9">
        <v>10.361671937079381</v>
      </c>
      <c r="R71" s="9">
        <v>10.181840572099681</v>
      </c>
      <c r="S71" s="9">
        <v>10.300831795246369</v>
      </c>
      <c r="T71" s="3">
        <v>20</v>
      </c>
      <c r="U71" s="9">
        <f>([1]TK1!C66/[1]TK1!C67)*100</f>
        <v>11.795252225519288</v>
      </c>
      <c r="V71" s="9">
        <f>([1]TK1!D66/[1]TK1!D67)*100</f>
        <v>11.95596380880877</v>
      </c>
      <c r="W71" s="9">
        <f>([1]TK1!E66/[1]TK1!E67)*100</f>
        <v>11.724363925754277</v>
      </c>
      <c r="X71" s="9">
        <f>([1]TK1!F66/[1]TK1!F67)*100</f>
        <v>11.838877469569869</v>
      </c>
      <c r="Y71" s="9">
        <f>([1]TK1!G66/[1]TK1!G67)*100</f>
        <v>11.712323569585672</v>
      </c>
      <c r="Z71" s="9">
        <f>([1]TK1!H66/[1]TK1!H67)*100</f>
        <v>11.860762148045065</v>
      </c>
      <c r="AA71" s="9">
        <f>([1]TK1!I66/[1]TK1!I67)*100</f>
        <v>10.832331853595925</v>
      </c>
      <c r="AB71" s="9">
        <f>([1]TK1!J66/[1]TK1!J67)*100</f>
        <v>11.483446098096909</v>
      </c>
      <c r="AC71" s="9">
        <f>([1]TK1!K66/[1]TK1!K67)*100</f>
        <v>11.29622121310412</v>
      </c>
      <c r="AD71" s="9">
        <f>([1]TK1!L66/[1]TK1!L67)*100</f>
        <v>11.10287601707887</v>
      </c>
      <c r="AE71" s="9">
        <f>([1]TK1!M66/[1]TK1!M67)*100</f>
        <v>10.986496466275604</v>
      </c>
      <c r="AF71" s="9">
        <f>([1]TK1!N66/[1]TK1!N67)*100</f>
        <v>11.125715547598048</v>
      </c>
      <c r="AG71" s="9" t="e">
        <f>([1]TK1!O66/[1]TK1!O67)*100</f>
        <v>#DIV/0!</v>
      </c>
      <c r="AH71" s="9" t="e">
        <f>([1]TK1!P66/[1]TK1!P67)*100</f>
        <v>#DIV/0!</v>
      </c>
      <c r="AI71" s="9" t="e">
        <f>([1]TK1!Q66/[1]TK1!Q67)*100</f>
        <v>#DIV/0!</v>
      </c>
      <c r="AJ71" s="9" t="e">
        <f>([1]TK1!R66/[1]TK1!R67)*100</f>
        <v>#DIV/0!</v>
      </c>
      <c r="AK71" s="9">
        <f>([1]TK1!S66/[1]TK1!S67)*100</f>
        <v>11.471049617595492</v>
      </c>
    </row>
    <row r="72" spans="1:37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 t="s">
        <v>44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 t="s">
        <v>107</v>
      </c>
    </row>
    <row r="73" spans="1:37" s="1" customFormat="1">
      <c r="B73" s="3"/>
      <c r="C73" s="8" t="s">
        <v>8</v>
      </c>
      <c r="D73" s="3" t="s">
        <v>9</v>
      </c>
      <c r="E73" s="6" t="s">
        <v>10</v>
      </c>
      <c r="F73" s="6" t="s">
        <v>11</v>
      </c>
      <c r="G73" s="6" t="s">
        <v>12</v>
      </c>
      <c r="H73" s="6" t="s">
        <v>13</v>
      </c>
      <c r="I73" s="3" t="s">
        <v>14</v>
      </c>
      <c r="J73" s="3" t="s">
        <v>15</v>
      </c>
      <c r="K73" s="3" t="s">
        <v>16</v>
      </c>
      <c r="L73" s="3" t="s">
        <v>17</v>
      </c>
      <c r="M73" s="3" t="s">
        <v>18</v>
      </c>
      <c r="N73" s="3" t="s">
        <v>19</v>
      </c>
      <c r="O73" s="3" t="s">
        <v>20</v>
      </c>
      <c r="P73" s="3" t="s">
        <v>21</v>
      </c>
      <c r="Q73" s="3" t="s">
        <v>22</v>
      </c>
      <c r="R73" s="3" t="s">
        <v>23</v>
      </c>
      <c r="S73" s="3" t="s">
        <v>24</v>
      </c>
      <c r="T73" s="3" t="s">
        <v>25</v>
      </c>
      <c r="U73" s="3" t="s">
        <v>26</v>
      </c>
      <c r="V73" s="3" t="s">
        <v>27</v>
      </c>
      <c r="W73" s="3" t="s">
        <v>28</v>
      </c>
      <c r="X73" s="3" t="s">
        <v>29</v>
      </c>
      <c r="Y73" s="3" t="s">
        <v>74</v>
      </c>
      <c r="Z73" s="3" t="s">
        <v>31</v>
      </c>
      <c r="AA73" s="3" t="s">
        <v>32</v>
      </c>
      <c r="AB73" s="3" t="s">
        <v>33</v>
      </c>
      <c r="AC73" s="3" t="s">
        <v>34</v>
      </c>
      <c r="AD73" s="3" t="s">
        <v>35</v>
      </c>
      <c r="AE73" s="3" t="s">
        <v>36</v>
      </c>
      <c r="AF73" s="3" t="s">
        <v>37</v>
      </c>
      <c r="AG73" s="3" t="s">
        <v>38</v>
      </c>
      <c r="AH73" s="3" t="s">
        <v>39</v>
      </c>
      <c r="AI73" s="3" t="s">
        <v>40</v>
      </c>
      <c r="AJ73" s="3" t="s">
        <v>41</v>
      </c>
      <c r="AK73" s="3" t="s">
        <v>42</v>
      </c>
    </row>
    <row r="74" spans="1:37">
      <c r="A74" s="7" t="s">
        <v>108</v>
      </c>
      <c r="B74" s="17" t="s">
        <v>109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1:37">
      <c r="A75" s="7">
        <v>1</v>
      </c>
      <c r="B75" s="8" t="s">
        <v>75</v>
      </c>
      <c r="C75" s="8" t="s">
        <v>47</v>
      </c>
      <c r="D75" s="9"/>
      <c r="E75" s="9"/>
      <c r="F75" s="9"/>
      <c r="G75" s="9"/>
      <c r="H75" s="9"/>
      <c r="I75" s="9"/>
      <c r="J75" s="9"/>
      <c r="K75" s="9">
        <v>9.745000000000001</v>
      </c>
      <c r="L75" s="9">
        <v>9.7841666666666676</v>
      </c>
      <c r="M75" s="9">
        <v>10.059166666666664</v>
      </c>
      <c r="N75" s="9">
        <v>10.208333333333334</v>
      </c>
      <c r="O75" s="9">
        <v>9.83</v>
      </c>
      <c r="P75" s="9">
        <v>10.176666666666668</v>
      </c>
      <c r="Q75" s="9">
        <v>9.6958333333333346</v>
      </c>
      <c r="R75" s="9">
        <v>9.894166666666667</v>
      </c>
      <c r="S75" s="9">
        <v>10.106666666666667</v>
      </c>
      <c r="T75" s="6">
        <v>9.5</v>
      </c>
      <c r="U75" s="9">
        <f>([1]TK1!C93)</f>
        <v>10.15</v>
      </c>
      <c r="V75" s="9">
        <f>([1]TK1!D93)</f>
        <v>10.18</v>
      </c>
      <c r="W75" s="9">
        <f>([1]TK1!E93)</f>
        <v>10.26</v>
      </c>
      <c r="X75" s="9">
        <f>[1]TK1!F93</f>
        <v>10.196666666666665</v>
      </c>
      <c r="Y75" s="9">
        <f>([1]TK1!G93)</f>
        <v>10.34</v>
      </c>
      <c r="Z75" s="9">
        <f>([1]TK1!H93)</f>
        <v>10.06</v>
      </c>
      <c r="AA75" s="9">
        <f>([1]TK1!I93)</f>
        <v>10.43</v>
      </c>
      <c r="AB75" s="9">
        <f>[1]TK1!J93</f>
        <v>10.276666666666666</v>
      </c>
      <c r="AC75" s="9">
        <f>([1]TK1!K93)</f>
        <v>10.74</v>
      </c>
      <c r="AD75" s="9">
        <f>([1]TK1!L93)</f>
        <v>10.58</v>
      </c>
      <c r="AE75" s="9">
        <f>([1]TK1!M93)</f>
        <v>10.45</v>
      </c>
      <c r="AF75" s="9">
        <f>[1]TK1!N93</f>
        <v>10.59</v>
      </c>
      <c r="AG75" s="9">
        <f>([1]TK1!O93)</f>
        <v>0</v>
      </c>
      <c r="AH75" s="9">
        <f>([1]TK1!P93)</f>
        <v>0</v>
      </c>
      <c r="AI75" s="9">
        <f>([1]TK1!Q93)</f>
        <v>0</v>
      </c>
      <c r="AJ75" s="9" t="e">
        <f>[1]TK1!R93</f>
        <v>#DIV/0!</v>
      </c>
      <c r="AK75" s="9">
        <f>([1]TK1!S93)/[1]TK1!S337</f>
        <v>10.354444444444445</v>
      </c>
    </row>
    <row r="76" spans="1:37">
      <c r="A76" s="7">
        <v>2</v>
      </c>
      <c r="B76" s="8" t="s">
        <v>76</v>
      </c>
      <c r="C76" s="8" t="s">
        <v>47</v>
      </c>
      <c r="D76" s="9"/>
      <c r="E76" s="9"/>
      <c r="F76" s="9"/>
      <c r="G76" s="9"/>
      <c r="H76" s="9"/>
      <c r="I76" s="9"/>
      <c r="J76" s="9"/>
      <c r="K76" s="9">
        <v>54.06333333333334</v>
      </c>
      <c r="L76" s="9">
        <v>54.52</v>
      </c>
      <c r="M76" s="9">
        <v>54.742500000000014</v>
      </c>
      <c r="N76" s="9">
        <v>55.218333333333327</v>
      </c>
      <c r="O76" s="9">
        <v>54.677500000000002</v>
      </c>
      <c r="P76" s="9">
        <v>53.1</v>
      </c>
      <c r="Q76" s="9">
        <v>54.633333333333326</v>
      </c>
      <c r="R76" s="9">
        <v>53.49583333333333</v>
      </c>
      <c r="S76" s="9">
        <v>53.392499999999991</v>
      </c>
      <c r="T76" s="12">
        <v>54</v>
      </c>
      <c r="U76" s="9">
        <f>([1]TK1!C94)</f>
        <v>53.31</v>
      </c>
      <c r="V76" s="9">
        <f>([1]TK1!D94)</f>
        <v>53.43</v>
      </c>
      <c r="W76" s="9">
        <f>([1]TK1!E94)</f>
        <v>53.4</v>
      </c>
      <c r="X76" s="9">
        <f>([1]TK1!F94)</f>
        <v>53.38</v>
      </c>
      <c r="Y76" s="9">
        <f>([1]TK1!G94)</f>
        <v>52.91</v>
      </c>
      <c r="Z76" s="9">
        <f>([1]TK1!H94)</f>
        <v>52.18</v>
      </c>
      <c r="AA76" s="9">
        <f>([1]TK1!I94)</f>
        <v>53.62</v>
      </c>
      <c r="AB76" s="9">
        <f>([1]TK1!J94)</f>
        <v>52.903333333333336</v>
      </c>
      <c r="AC76" s="9">
        <f>([1]TK1!K94)</f>
        <v>53.27</v>
      </c>
      <c r="AD76" s="9">
        <f>([1]TK1!L94)</f>
        <v>53.32</v>
      </c>
      <c r="AE76" s="9">
        <f>([1]TK1!M94)</f>
        <v>52.65</v>
      </c>
      <c r="AF76" s="9">
        <f>([1]TK1!N94)</f>
        <v>53.080000000000005</v>
      </c>
      <c r="AG76" s="9">
        <f>([1]TK1!O94)</f>
        <v>0</v>
      </c>
      <c r="AH76" s="9">
        <f>([1]TK1!P94)</f>
        <v>0</v>
      </c>
      <c r="AI76" s="9">
        <f>([1]TK1!Q94)</f>
        <v>0</v>
      </c>
      <c r="AJ76" s="9" t="e">
        <f>([1]TK1!R94)</f>
        <v>#DIV/0!</v>
      </c>
      <c r="AK76" s="9">
        <f>([1]TK1!S94)/[1]TK1!S337</f>
        <v>53.121111111111105</v>
      </c>
    </row>
    <row r="77" spans="1:37">
      <c r="A77" s="7">
        <v>3</v>
      </c>
      <c r="B77" s="8" t="s">
        <v>77</v>
      </c>
      <c r="C77" s="8" t="s">
        <v>47</v>
      </c>
      <c r="D77" s="9"/>
      <c r="E77" s="9"/>
      <c r="F77" s="9"/>
      <c r="G77" s="9"/>
      <c r="H77" s="9"/>
      <c r="I77" s="9"/>
      <c r="J77" s="9"/>
      <c r="K77" s="9">
        <v>10.864166666666666</v>
      </c>
      <c r="L77" s="9">
        <v>10.620000000000001</v>
      </c>
      <c r="M77" s="9">
        <v>10.341666666666667</v>
      </c>
      <c r="N77" s="9">
        <v>10.260833333333332</v>
      </c>
      <c r="O77" s="9">
        <v>10.626666666666665</v>
      </c>
      <c r="P77" s="9">
        <v>11.569166666666666</v>
      </c>
      <c r="Q77" s="9">
        <v>10.129166666666666</v>
      </c>
      <c r="R77" s="9">
        <v>11.011666666666665</v>
      </c>
      <c r="S77" s="9">
        <v>10.776666666666666</v>
      </c>
      <c r="T77" s="6">
        <v>9.6999999999999993</v>
      </c>
      <c r="U77" s="9">
        <f>([1]TK1!C95)</f>
        <v>10.95</v>
      </c>
      <c r="V77" s="9">
        <f>([1]TK1!D95)</f>
        <v>10.74</v>
      </c>
      <c r="W77" s="9">
        <f>([1]TK1!E95)</f>
        <v>10.7</v>
      </c>
      <c r="X77" s="9">
        <f>([1]TK1!F95)</f>
        <v>10.796666666666667</v>
      </c>
      <c r="Y77" s="9">
        <f>([1]TK1!G95)</f>
        <v>11.11</v>
      </c>
      <c r="Z77" s="9">
        <f>([1]TK1!H95)</f>
        <v>12.01</v>
      </c>
      <c r="AA77" s="9">
        <f>([1]TK1!I95)</f>
        <v>10.63</v>
      </c>
      <c r="AB77" s="9">
        <f>([1]TK1!J95)</f>
        <v>11.25</v>
      </c>
      <c r="AC77" s="9">
        <f>([1]TK1!K95)</f>
        <v>10.84</v>
      </c>
      <c r="AD77" s="9">
        <f>([1]TK1!L95)</f>
        <v>10.57</v>
      </c>
      <c r="AE77" s="9">
        <f>([1]TK1!M95)</f>
        <v>11.13</v>
      </c>
      <c r="AF77" s="9">
        <f>([1]TK1!N95)</f>
        <v>10.846666666666666</v>
      </c>
      <c r="AG77" s="9">
        <f>([1]TK1!O95)</f>
        <v>0</v>
      </c>
      <c r="AH77" s="9">
        <f>([1]TK1!P95)</f>
        <v>0</v>
      </c>
      <c r="AI77" s="9">
        <f>([1]TK1!Q95)</f>
        <v>0</v>
      </c>
      <c r="AJ77" s="9" t="e">
        <f>([1]TK1!R95)</f>
        <v>#DIV/0!</v>
      </c>
      <c r="AK77" s="9">
        <f>([1]TK1!S95)/[1]TK1!S337</f>
        <v>10.964444444444446</v>
      </c>
    </row>
    <row r="78" spans="1:37">
      <c r="A78" s="7">
        <v>4</v>
      </c>
      <c r="B78" s="8" t="s">
        <v>78</v>
      </c>
      <c r="C78" s="8"/>
      <c r="D78" s="9"/>
      <c r="E78" s="9"/>
      <c r="F78" s="9"/>
      <c r="G78" s="9"/>
      <c r="H78" s="9"/>
      <c r="I78" s="9"/>
      <c r="J78" s="9"/>
      <c r="K78" s="9">
        <v>1.76</v>
      </c>
      <c r="L78" s="9">
        <v>1.7566666666666666</v>
      </c>
      <c r="M78" s="9">
        <v>1.7141666666666664</v>
      </c>
      <c r="N78" s="9">
        <v>1.8</v>
      </c>
      <c r="O78" s="9">
        <v>1.8250000000000002</v>
      </c>
      <c r="P78" s="9">
        <v>1.7324999999999999</v>
      </c>
      <c r="Q78" s="9">
        <v>1.781666666666667</v>
      </c>
      <c r="R78" s="9">
        <v>1.7008333333333336</v>
      </c>
      <c r="S78" s="9">
        <v>1.7408333333333335</v>
      </c>
      <c r="T78" s="3">
        <v>1.76</v>
      </c>
      <c r="U78" s="9">
        <f>([1]TK1!C96)</f>
        <v>1.68</v>
      </c>
      <c r="V78" s="9">
        <f>([1]TK1!D96)</f>
        <v>1.74</v>
      </c>
      <c r="W78" s="9">
        <f>([1]TK1!E96)</f>
        <v>1.71</v>
      </c>
      <c r="X78" s="9">
        <f>([1]TK1!F96)</f>
        <v>1.71</v>
      </c>
      <c r="Y78" s="9">
        <f>([1]TK1!G96)</f>
        <v>1.64</v>
      </c>
      <c r="Z78" s="9">
        <f>([1]TK1!H96)</f>
        <v>1.61</v>
      </c>
      <c r="AA78" s="9">
        <f>([1]TK1!I96)</f>
        <v>1.73</v>
      </c>
      <c r="AB78" s="9">
        <f>([1]TK1!J96)</f>
        <v>1.6600000000000001</v>
      </c>
      <c r="AC78" s="9">
        <f>([1]TK1!K96)</f>
        <v>1.73</v>
      </c>
      <c r="AD78" s="9">
        <f>([1]TK1!L96)</f>
        <v>1.69</v>
      </c>
      <c r="AE78" s="9">
        <f>([1]TK1!M96)</f>
        <v>1.64</v>
      </c>
      <c r="AF78" s="9">
        <f>([1]TK1!N96)</f>
        <v>1.6866666666666665</v>
      </c>
      <c r="AG78" s="9">
        <f>([1]TK1!O96)</f>
        <v>0</v>
      </c>
      <c r="AH78" s="9">
        <f>([1]TK1!P96)</f>
        <v>0</v>
      </c>
      <c r="AI78" s="9">
        <f>([1]TK1!Q96)</f>
        <v>0</v>
      </c>
      <c r="AJ78" s="9" t="e">
        <f>([1]TK1!R96)</f>
        <v>#DIV/0!</v>
      </c>
      <c r="AK78" s="9">
        <f>([1]TK1!S96)/[1]TK1!S337</f>
        <v>1.6855555555555555</v>
      </c>
    </row>
    <row r="79" spans="1:37">
      <c r="A79" s="7">
        <v>5</v>
      </c>
      <c r="B79" s="8" t="s">
        <v>79</v>
      </c>
      <c r="C79" s="8" t="s">
        <v>80</v>
      </c>
      <c r="D79" s="9"/>
      <c r="E79" s="9"/>
      <c r="F79" s="9"/>
      <c r="G79" s="9"/>
      <c r="H79" s="9"/>
      <c r="I79" s="9"/>
      <c r="J79" s="9"/>
      <c r="K79" s="9">
        <v>1.0295379001739813</v>
      </c>
      <c r="L79" s="9">
        <v>1.2185016975828664</v>
      </c>
      <c r="M79" s="9">
        <v>1.2086609330583493</v>
      </c>
      <c r="N79" s="9">
        <v>1.2904579005960151</v>
      </c>
      <c r="O79" s="9">
        <v>1.2897807952888043</v>
      </c>
      <c r="P79" s="9">
        <v>1.2966026200362766</v>
      </c>
      <c r="Q79" s="9">
        <v>1.2921581008699938</v>
      </c>
      <c r="R79" s="9">
        <v>1.3044931205735391</v>
      </c>
      <c r="S79" s="9">
        <v>1.2761099984200204</v>
      </c>
      <c r="T79" s="9">
        <v>1.28</v>
      </c>
      <c r="U79" s="9">
        <f>(([1]TK1!C81/360)/[1]TK1!C92)</f>
        <v>1.2572510168740687</v>
      </c>
      <c r="V79" s="9">
        <f>(([1]TK1!D81/360)/[1]TK1!D92)</f>
        <v>1.2623976428862314</v>
      </c>
      <c r="W79" s="9">
        <f>(([1]TK1!E81/360)/[1]TK1!E92)</f>
        <v>1.2652186761229314</v>
      </c>
      <c r="X79" s="9">
        <f>(([1]TK1!F81/360)/[1]TK1!F92)</f>
        <v>1.2615643938027312</v>
      </c>
      <c r="Y79" s="9">
        <f>(([1]TK1!G81/360)/[1]TK1!G92)</f>
        <v>1.2776423382408386</v>
      </c>
      <c r="Z79" s="9">
        <f>(([1]TK1!H81/360)/[1]TK1!H92)</f>
        <v>1.2840361266515889</v>
      </c>
      <c r="AA79" s="9">
        <f>(([1]TK1!I81/360)/[1]TK1!I92)</f>
        <v>1.2666032810655261</v>
      </c>
      <c r="AB79" s="9">
        <f>(([1]TK1!J81/360)/[1]TK1!J92)</f>
        <v>1.2767268821754116</v>
      </c>
      <c r="AC79" s="9">
        <f>(([1]TK1!K81/360)/[1]TK1!K92)</f>
        <v>1.2675408907387937</v>
      </c>
      <c r="AD79" s="9">
        <f>(([1]TK1!L81/360)/[1]TK1!L92)</f>
        <v>1.273307465340932</v>
      </c>
      <c r="AE79" s="9">
        <f>(([1]TK1!M81/360)/[1]TK1!M92)</f>
        <v>1.2742744690973575</v>
      </c>
      <c r="AF79" s="9">
        <f>(([1]TK1!N81/360)/[1]TK1!N92)</f>
        <v>1.2716359575656058</v>
      </c>
      <c r="AG79" s="9" t="e">
        <f>(([1]TK1!O81/360)/[1]TK1!O92)</f>
        <v>#DIV/0!</v>
      </c>
      <c r="AH79" s="9" t="e">
        <f>(([1]TK1!P81/360)/[1]TK1!P92)</f>
        <v>#DIV/0!</v>
      </c>
      <c r="AI79" s="9" t="e">
        <f>(([1]TK1!Q81/360)/[1]TK1!Q92)</f>
        <v>#DIV/0!</v>
      </c>
      <c r="AJ79" s="9" t="e">
        <f>(([1]TK1!R81/360)/[1]TK1!R92)</f>
        <v>#DIV/0!</v>
      </c>
      <c r="AK79" s="9">
        <f>(([1]TK1!S81/360)/[1]TK1!S92)</f>
        <v>1.2698486374133433</v>
      </c>
    </row>
    <row r="80" spans="1:37">
      <c r="A80" s="7">
        <v>6</v>
      </c>
      <c r="B80" s="8" t="s">
        <v>81</v>
      </c>
      <c r="C80" s="8" t="s">
        <v>82</v>
      </c>
      <c r="D80" s="11"/>
      <c r="E80" s="11"/>
      <c r="F80" s="11"/>
      <c r="G80" s="11"/>
      <c r="H80" s="11"/>
      <c r="I80" s="11"/>
      <c r="J80" s="11"/>
      <c r="K80" s="11">
        <v>758.907714841342</v>
      </c>
      <c r="L80" s="11">
        <v>683.50700547165832</v>
      </c>
      <c r="M80" s="11">
        <v>674.60759952050341</v>
      </c>
      <c r="N80" s="11">
        <v>699.22258019330445</v>
      </c>
      <c r="O80" s="11">
        <v>731.44273024883796</v>
      </c>
      <c r="P80" s="11">
        <v>708.42542662572907</v>
      </c>
      <c r="Q80" s="11">
        <v>759.8941697920219</v>
      </c>
      <c r="R80" s="11">
        <v>746.39467192417283</v>
      </c>
      <c r="S80" s="11">
        <v>780.41512654074177</v>
      </c>
      <c r="T80" s="3">
        <v>760</v>
      </c>
      <c r="U80" s="11">
        <f>([1]TK1!C82/[1]TK1!C81)*1000</f>
        <v>768.58175202121799</v>
      </c>
      <c r="V80" s="11">
        <f>([1]TK1!D82/[1]TK1!D81)*1000</f>
        <v>800.7968383510588</v>
      </c>
      <c r="W80" s="11">
        <f>([1]TK1!E82/[1]TK1!E81)*1000</f>
        <v>798.74209639478818</v>
      </c>
      <c r="X80" s="11">
        <f>([1]TK1!F82/[1]TK1!F81)*1000</f>
        <v>789.23502068521748</v>
      </c>
      <c r="Y80" s="11">
        <f>([1]TK1!G82/[1]TK1!G81)*1000</f>
        <v>753.45221453169222</v>
      </c>
      <c r="Z80" s="11">
        <f>([1]TK1!H82/[1]TK1!H81)*1000</f>
        <v>754.95942653160421</v>
      </c>
      <c r="AA80" s="11">
        <f>([1]TK1!I82/[1]TK1!I81)*1000</f>
        <v>757.69542850975893</v>
      </c>
      <c r="AB80" s="11">
        <f>([1]TK1!J82/[1]TK1!J81)*1000</f>
        <v>755.18381474887121</v>
      </c>
      <c r="AC80" s="11">
        <f>([1]TK1!K82/[1]TK1!K81)*1000</f>
        <v>680.34264107589809</v>
      </c>
      <c r="AD80" s="11">
        <f>([1]TK1!L82/[1]TK1!L81)*1000</f>
        <v>730.9200105387124</v>
      </c>
      <c r="AE80" s="11">
        <f>([1]TK1!M82/[1]TK1!M81)*1000</f>
        <v>754.35893084429358</v>
      </c>
      <c r="AF80" s="11">
        <f>([1]TK1!N82/[1]TK1!N81)*1000</f>
        <v>721.07757583214868</v>
      </c>
      <c r="AG80" s="11" t="e">
        <f>([1]TK1!O82/[1]TK1!O81)*1000</f>
        <v>#DIV/0!</v>
      </c>
      <c r="AH80" s="11" t="e">
        <f>([1]TK1!P82/[1]TK1!P81)*1000</f>
        <v>#DIV/0!</v>
      </c>
      <c r="AI80" s="11" t="e">
        <f>([1]TK1!Q82/[1]TK1!Q81)*1000</f>
        <v>#DIV/0!</v>
      </c>
      <c r="AJ80" s="11" t="e">
        <f>([1]TK1!R82/[1]TK1!R81)*1000</f>
        <v>#DIV/0!</v>
      </c>
      <c r="AK80" s="11">
        <f>([1]TK1!S82/[1]TK1!S81)*1000</f>
        <v>755.12324735344475</v>
      </c>
    </row>
    <row r="81" spans="1:37">
      <c r="A81" s="7">
        <v>7</v>
      </c>
      <c r="B81" s="8" t="s">
        <v>83</v>
      </c>
      <c r="C81" s="8" t="s">
        <v>82</v>
      </c>
      <c r="D81" s="11"/>
      <c r="E81" s="11"/>
      <c r="F81" s="11"/>
      <c r="G81" s="11"/>
      <c r="H81" s="11"/>
      <c r="I81" s="11"/>
      <c r="J81" s="11"/>
      <c r="K81" s="11">
        <v>92.491053243271239</v>
      </c>
      <c r="L81" s="11">
        <v>74.752352161485078</v>
      </c>
      <c r="M81" s="11">
        <v>55.865715998201885</v>
      </c>
      <c r="N81" s="11">
        <v>56.153426298477044</v>
      </c>
      <c r="O81" s="11">
        <v>70.790340850873278</v>
      </c>
      <c r="P81" s="11">
        <v>86.214821254704475</v>
      </c>
      <c r="Q81" s="11">
        <v>74</v>
      </c>
      <c r="R81" s="11">
        <v>90.301226865238846</v>
      </c>
      <c r="S81" s="11">
        <v>85.080360226627704</v>
      </c>
      <c r="T81" s="3">
        <v>85</v>
      </c>
      <c r="U81" s="11">
        <f>([1]TK1!C83/[1]TK1!C81)*1000</f>
        <v>87.216677130447039</v>
      </c>
      <c r="V81" s="11">
        <f>([1]TK1!D83/[1]TK1!D81)*1000</f>
        <v>79.423577418629307</v>
      </c>
      <c r="W81" s="11">
        <f>([1]TK1!E83/[1]TK1!E81)*1000</f>
        <v>75.787858060426075</v>
      </c>
      <c r="X81" s="11">
        <f>([1]TK1!F83/[1]TK1!F81)*1000</f>
        <v>80.878712804252515</v>
      </c>
      <c r="Y81" s="11">
        <f>([1]TK1!G83/[1]TK1!G81)*1000</f>
        <v>84.778019893434674</v>
      </c>
      <c r="Z81" s="11">
        <f>([1]TK1!H83/[1]TK1!H81)*1000</f>
        <v>88.386106202381299</v>
      </c>
      <c r="AA81" s="11">
        <f>([1]TK1!I83/[1]TK1!I81)*1000</f>
        <v>74.945739284757835</v>
      </c>
      <c r="AB81" s="11">
        <f>([1]TK1!J83/[1]TK1!J81)*1000</f>
        <v>83.262495316767613</v>
      </c>
      <c r="AC81" s="11">
        <f>([1]TK1!K83/[1]TK1!K81)*1000</f>
        <v>84.785991358223413</v>
      </c>
      <c r="AD81" s="11">
        <f>([1]TK1!L83/[1]TK1!L81)*1000</f>
        <v>88.07443124283796</v>
      </c>
      <c r="AE81" s="11">
        <f>([1]TK1!M83/[1]TK1!M81)*1000</f>
        <v>89.652948663555378</v>
      </c>
      <c r="AF81" s="11">
        <f>([1]TK1!N83/[1]TK1!N81)*1000</f>
        <v>87.451847678380815</v>
      </c>
      <c r="AG81" s="11" t="e">
        <f>([1]TK1!O83/[1]TK1!O81)*1000</f>
        <v>#DIV/0!</v>
      </c>
      <c r="AH81" s="11" t="e">
        <f>([1]TK1!P83/[1]TK1!P81)*1000</f>
        <v>#DIV/0!</v>
      </c>
      <c r="AI81" s="11" t="e">
        <f>([1]TK1!Q83/[1]TK1!Q81)*1000</f>
        <v>#DIV/0!</v>
      </c>
      <c r="AJ81" s="11" t="e">
        <f>([1]TK1!R83/[1]TK1!R81)*1000</f>
        <v>#DIV/0!</v>
      </c>
      <c r="AK81" s="11">
        <f>[1]TK1!S83/[1]TK1!S81*1000</f>
        <v>83.877499422812576</v>
      </c>
    </row>
    <row r="82" spans="1:37">
      <c r="A82" s="7">
        <v>8</v>
      </c>
      <c r="B82" s="8" t="s">
        <v>84</v>
      </c>
      <c r="C82" s="8" t="s">
        <v>82</v>
      </c>
      <c r="D82" s="11"/>
      <c r="E82" s="11"/>
      <c r="F82" s="11"/>
      <c r="G82" s="11"/>
      <c r="H82" s="11"/>
      <c r="I82" s="11"/>
      <c r="J82" s="11"/>
      <c r="K82" s="11">
        <v>127.9279360732245</v>
      </c>
      <c r="L82" s="11">
        <v>100.79648551836718</v>
      </c>
      <c r="M82" s="11">
        <v>104.75656810349133</v>
      </c>
      <c r="N82" s="11">
        <v>106.63590235278775</v>
      </c>
      <c r="O82" s="11">
        <v>84.545293465972932</v>
      </c>
      <c r="P82" s="11">
        <v>95.18174657635582</v>
      </c>
      <c r="Q82" s="11">
        <v>77.732833276508686</v>
      </c>
      <c r="R82" s="11">
        <v>97.060492761856196</v>
      </c>
      <c r="S82" s="11">
        <v>83.658600265687113</v>
      </c>
      <c r="T82" s="3">
        <v>95</v>
      </c>
      <c r="U82" s="11">
        <f>([1]TK1!C84/[1]TK1!C81)*1000</f>
        <v>84.871936141043207</v>
      </c>
      <c r="V82" s="11">
        <f>([1]TK1!D84/[1]TK1!D81)*1000</f>
        <v>87.05458985316325</v>
      </c>
      <c r="W82" s="11">
        <f>([1]TK1!E84/[1]TK1!E81)*1000</f>
        <v>87.199079094442865</v>
      </c>
      <c r="X82" s="11">
        <f>([1]TK1!F84/[1]TK1!F81)*1000</f>
        <v>86.36335569582819</v>
      </c>
      <c r="Y82" s="11">
        <f>([1]TK1!G84/[1]TK1!G81)*1000</f>
        <v>85.472337339090373</v>
      </c>
      <c r="Z82" s="11">
        <f>([1]TK1!H84/[1]TK1!H81)*1000</f>
        <v>92.824885489794667</v>
      </c>
      <c r="AA82" s="11">
        <f>([1]TK1!I84/[1]TK1!I81)*1000</f>
        <v>98.740511869406546</v>
      </c>
      <c r="AB82" s="11">
        <f>([1]TK1!J84/[1]TK1!J81)*1000</f>
        <v>91.815124661703663</v>
      </c>
      <c r="AC82" s="11">
        <f>([1]TK1!K84/[1]TK1!K81)*1000</f>
        <v>102.49879273939268</v>
      </c>
      <c r="AD82" s="11">
        <f>([1]TK1!L84/[1]TK1!L81)*1000</f>
        <v>109.52642455139052</v>
      </c>
      <c r="AE82" s="11">
        <f>([1]TK1!M84/[1]TK1!M81)*1000</f>
        <v>106.33177768349597</v>
      </c>
      <c r="AF82" s="11">
        <f>([1]TK1!N84/[1]TK1!N81)*1000</f>
        <v>106.10726324276541</v>
      </c>
      <c r="AG82" s="11" t="e">
        <f>([1]TK1!O84/[1]TK1!O81)*1000</f>
        <v>#DIV/0!</v>
      </c>
      <c r="AH82" s="11" t="e">
        <f>([1]TK1!P84/[1]TK1!P81)*1000</f>
        <v>#DIV/0!</v>
      </c>
      <c r="AI82" s="11" t="e">
        <f>([1]TK1!Q84/[1]TK1!Q81)*1000</f>
        <v>#DIV/0!</v>
      </c>
      <c r="AJ82" s="11" t="e">
        <f>([1]TK1!R84/[1]TK1!R81)*1000</f>
        <v>#DIV/0!</v>
      </c>
      <c r="AK82" s="11">
        <f>([1]TK1!S84/[1]TK1!S81)*1000</f>
        <v>94.818631427315907</v>
      </c>
    </row>
    <row r="83" spans="1:37">
      <c r="A83" s="7">
        <v>9</v>
      </c>
      <c r="B83" s="8" t="s">
        <v>87</v>
      </c>
      <c r="C83" s="8" t="s">
        <v>82</v>
      </c>
      <c r="D83" s="11"/>
      <c r="E83" s="11"/>
      <c r="F83" s="11"/>
      <c r="G83" s="11"/>
      <c r="H83" s="11"/>
      <c r="I83" s="11"/>
      <c r="J83" s="11"/>
      <c r="K83" s="11">
        <v>200.11350915059649</v>
      </c>
      <c r="L83" s="11">
        <v>244.43308921495162</v>
      </c>
      <c r="M83" s="11">
        <v>252.04909844663104</v>
      </c>
      <c r="N83" s="11">
        <v>264.59956479947448</v>
      </c>
      <c r="O83" s="11">
        <v>254.33189300143616</v>
      </c>
      <c r="P83" s="11">
        <v>260.82933984503251</v>
      </c>
      <c r="Q83" s="11">
        <v>265.79120354585751</v>
      </c>
      <c r="R83" s="11">
        <v>230.79219932962482</v>
      </c>
      <c r="S83" s="11">
        <v>195.45874268799386</v>
      </c>
      <c r="T83" s="3">
        <v>255</v>
      </c>
      <c r="U83" s="11">
        <f>([1]TK1!C88/[1]TK1!C81)*1000</f>
        <v>229.45148436198701</v>
      </c>
      <c r="V83" s="11">
        <f>([1]TK1!D88/[1]TK1!D81)*1000</f>
        <v>188.63541432381197</v>
      </c>
      <c r="W83" s="11">
        <f>([1]TK1!E88/[1]TK1!E81)*1000</f>
        <v>185.81271583723995</v>
      </c>
      <c r="X83" s="11">
        <f>([1]TK1!F88/[1]TK1!F81)*1000</f>
        <v>201.52244067150315</v>
      </c>
      <c r="Y83" s="11">
        <f>([1]TK1!G88/[1]TK1!G81)*1000</f>
        <v>240.8506628561864</v>
      </c>
      <c r="Z83" s="11">
        <f>([1]TK1!H88/[1]TK1!H81)*1000</f>
        <v>231.48926034293513</v>
      </c>
      <c r="AA83" s="11">
        <f>([1]TK1!I88/[1]TK1!I81)*1000</f>
        <v>241.13741651044643</v>
      </c>
      <c r="AB83" s="11">
        <f>([1]TK1!J88/[1]TK1!J81)*1000</f>
        <v>237.63994517080923</v>
      </c>
      <c r="AC83" s="11">
        <f>([1]TK1!K88/[1]TK1!K81)*1000</f>
        <v>305.81410396013041</v>
      </c>
      <c r="AD83" s="11">
        <f>([1]TK1!L88/[1]TK1!L81)*1000</f>
        <v>236.209999714312</v>
      </c>
      <c r="AE83" s="11">
        <f>([1]TK1!M88/[1]TK1!M81)*1000</f>
        <v>215.70470937632584</v>
      </c>
      <c r="AF83" s="11">
        <f>([1]TK1!N88/[1]TK1!N81)*1000</f>
        <v>253.49195401554476</v>
      </c>
      <c r="AG83" s="11" t="e">
        <f>([1]TK1!O88/[1]TK1!O81)*1000</f>
        <v>#DIV/0!</v>
      </c>
      <c r="AH83" s="11" t="e">
        <f>([1]TK1!P88/[1]TK1!P81)*1000</f>
        <v>#DIV/0!</v>
      </c>
      <c r="AI83" s="11" t="e">
        <f>([1]TK1!Q88/[1]TK1!Q81)*1000</f>
        <v>#DIV/0!</v>
      </c>
      <c r="AJ83" s="11" t="e">
        <f>([1]TK1!R88/[1]TK1!R81)*1000</f>
        <v>#DIV/0!</v>
      </c>
      <c r="AK83" s="11">
        <f>([1]TK1!S88/[1]TK1!S81)*1000</f>
        <v>230.8146008113188</v>
      </c>
    </row>
    <row r="84" spans="1:37">
      <c r="A84" s="7">
        <v>10</v>
      </c>
      <c r="B84" s="8" t="s">
        <v>110</v>
      </c>
      <c r="C84" s="8" t="s">
        <v>82</v>
      </c>
      <c r="D84" s="11"/>
      <c r="E84" s="11"/>
      <c r="F84" s="11"/>
      <c r="G84" s="11"/>
      <c r="H84" s="11"/>
      <c r="I84" s="11"/>
      <c r="J84" s="11"/>
      <c r="K84" s="11">
        <v>72.887094149306037</v>
      </c>
      <c r="L84" s="11">
        <v>70.365080154393027</v>
      </c>
      <c r="M84" s="11">
        <v>64.990822136756407</v>
      </c>
      <c r="N84" s="11">
        <v>65.222116494631237</v>
      </c>
      <c r="O84" s="11">
        <v>72.881492178561913</v>
      </c>
      <c r="P84" s="11">
        <v>61.071978604953948</v>
      </c>
      <c r="Q84" s="11">
        <v>67.363927719058978</v>
      </c>
      <c r="R84" s="11">
        <v>70.017500467559458</v>
      </c>
      <c r="S84" s="11">
        <v>70.381633762297056</v>
      </c>
      <c r="T84" s="11">
        <v>71</v>
      </c>
      <c r="U84" s="11">
        <f>([1]TK1!C85/[1]TK1!C81)*1000</f>
        <v>69.999487488308318</v>
      </c>
      <c r="V84" s="11">
        <f>([1]TK1!D85/[1]TK1!D81)*1000</f>
        <v>70.998939690903825</v>
      </c>
      <c r="W84" s="11">
        <f>([1]TK1!E85/[1]TK1!E81)*1000</f>
        <v>72.998448474333088</v>
      </c>
      <c r="X84" s="11">
        <f>([1]TK1!F85/[1]TK1!F81)*1000</f>
        <v>71.3101071038204</v>
      </c>
      <c r="Y84" s="11">
        <f>([1]TK1!G85/[1]TK1!G81)*1000</f>
        <v>72.001339040788054</v>
      </c>
      <c r="Z84" s="11">
        <f>([1]TK1!H85/[1]TK1!H81)*1000</f>
        <v>73.000054720266775</v>
      </c>
      <c r="AA84" s="11">
        <f>([1]TK1!I85/[1]TK1!I81)*1000</f>
        <v>72.399582702123666</v>
      </c>
      <c r="AB84" s="11">
        <f>([1]TK1!J85/[1]TK1!J81)*1000</f>
        <v>72.465310123365683</v>
      </c>
      <c r="AC84" s="11">
        <f>([1]TK1!K85/[1]TK1!K81)*1000</f>
        <v>72.400917833685256</v>
      </c>
      <c r="AD84" s="11">
        <f>([1]TK1!L85/[1]TK1!L81)*1000</f>
        <v>72.999628605620444</v>
      </c>
      <c r="AE84" s="11">
        <f>([1]TK1!M85/[1]TK1!M81)*1000</f>
        <v>72</v>
      </c>
      <c r="AF84" s="11">
        <f>([1]TK1!N85/[1]TK1!N81)*1000</f>
        <v>72.477001835967471</v>
      </c>
      <c r="AG84" s="11" t="e">
        <f>([1]TK1!O85/[1]TK1!O81)*1000</f>
        <v>#DIV/0!</v>
      </c>
      <c r="AH84" s="11" t="e">
        <f>([1]TK1!P85/[1]TK1!P81)*1000</f>
        <v>#DIV/0!</v>
      </c>
      <c r="AI84" s="11" t="e">
        <f>([1]TK1!Q85/[1]TK1!Q81)*1000</f>
        <v>#DIV/0!</v>
      </c>
      <c r="AJ84" s="11" t="e">
        <f>([1]TK1!R85/[1]TK1!R81)*1000</f>
        <v>#DIV/0!</v>
      </c>
      <c r="AK84" s="11">
        <f>([1]TK1!S85/[1]TK1!S81)*1000</f>
        <v>72.079093155307135</v>
      </c>
    </row>
    <row r="85" spans="1:37">
      <c r="A85" s="7">
        <v>11</v>
      </c>
      <c r="B85" s="8" t="s">
        <v>104</v>
      </c>
      <c r="C85" s="8" t="s">
        <v>82</v>
      </c>
      <c r="D85" s="11"/>
      <c r="E85" s="11"/>
      <c r="F85" s="11"/>
      <c r="G85" s="11"/>
      <c r="H85" s="11"/>
      <c r="I85" s="11"/>
      <c r="J85" s="11"/>
      <c r="K85" s="12">
        <v>7.8055007142610568</v>
      </c>
      <c r="L85" s="12">
        <v>10.142887272864449</v>
      </c>
      <c r="M85" s="12">
        <v>16.331601818091006</v>
      </c>
      <c r="N85" s="12">
        <v>22.961839048258476</v>
      </c>
      <c r="O85" s="12">
        <v>22.28117776994052</v>
      </c>
      <c r="P85" s="12">
        <v>22.523978542955657</v>
      </c>
      <c r="Q85" s="12">
        <v>26.571019434026592</v>
      </c>
      <c r="R85" s="12">
        <v>25.434695552768464</v>
      </c>
      <c r="S85" s="12">
        <v>23.584247282782719</v>
      </c>
      <c r="T85" s="3">
        <v>70</v>
      </c>
      <c r="U85" s="12">
        <f>([1]TK1!C86/[1]TK1!C81)*1000</f>
        <v>22.483247274078437</v>
      </c>
      <c r="V85" s="12">
        <f>([1]TK1!D86/[1]TK1!D81)*1000</f>
        <v>23.214343090319055</v>
      </c>
      <c r="W85" s="12">
        <f>([1]TK1!E86/[1]TK1!E81)*1000</f>
        <v>25.852087886421646</v>
      </c>
      <c r="X85" s="12">
        <f>([1]TK1!F86/[1]TK1!F81)*1000</f>
        <v>23.823477478082552</v>
      </c>
      <c r="Y85" s="12">
        <f>([1]TK1!G86/[1]TK1!G81)*1000</f>
        <v>24.868343153998989</v>
      </c>
      <c r="Z85" s="12">
        <f>([1]TK1!H86/[1]TK1!H81)*1000</f>
        <v>26.603706171480443</v>
      </c>
      <c r="AA85" s="12">
        <f>([1]TK1!I86/[1]TK1!I81)*1000</f>
        <v>25.301681582534247</v>
      </c>
      <c r="AB85" s="12">
        <f>([1]TK1!J86/[1]TK1!J81)*1000</f>
        <v>25.601293081493338</v>
      </c>
      <c r="AC85" s="12">
        <f>([1]TK1!K86/[1]TK1!K81)*1000</f>
        <v>25.994766959249823</v>
      </c>
      <c r="AD85" s="12">
        <f>([1]TK1!L86/[1]TK1!L81)*1000</f>
        <v>26.632468756844606</v>
      </c>
      <c r="AE85" s="12">
        <f>([1]TK1!M86/[1]TK1!M81)*1000</f>
        <v>24.668646584641493</v>
      </c>
      <c r="AF85" s="12">
        <f>([1]TK1!N86/[1]TK1!N81)*1000</f>
        <v>25.789892356827458</v>
      </c>
      <c r="AG85" s="12" t="e">
        <f>([1]TK1!O86/[1]TK1!O81)*1000</f>
        <v>#DIV/0!</v>
      </c>
      <c r="AH85" s="12" t="e">
        <f>([1]TK1!P86/[1]TK1!P81)*1000</f>
        <v>#DIV/0!</v>
      </c>
      <c r="AI85" s="12" t="e">
        <f>([1]TK1!Q86/[1]TK1!Q81)*1000</f>
        <v>#DIV/0!</v>
      </c>
      <c r="AJ85" s="12" t="e">
        <f>([1]TK1!R86/[1]TK1!R81)*1000</f>
        <v>#DIV/0!</v>
      </c>
      <c r="AK85" s="11">
        <f>([1]TK1!S86/[1]TK1!S81)*1000</f>
        <v>25.064752929020397</v>
      </c>
    </row>
    <row r="86" spans="1:37">
      <c r="A86" s="7"/>
      <c r="B86" s="8" t="s">
        <v>86</v>
      </c>
      <c r="C86" s="8"/>
      <c r="D86" s="11"/>
      <c r="E86" s="11"/>
      <c r="F86" s="11"/>
      <c r="G86" s="11"/>
      <c r="H86" s="11"/>
      <c r="I86" s="11"/>
      <c r="J86" s="11"/>
      <c r="K86" s="18" t="s">
        <v>70</v>
      </c>
      <c r="L86" s="12">
        <v>12</v>
      </c>
      <c r="M86" s="12">
        <v>27.828904650117376</v>
      </c>
      <c r="N86" s="12">
        <v>13.348846308040825</v>
      </c>
      <c r="O86" s="12">
        <v>8.1206187860566512</v>
      </c>
      <c r="P86" s="12">
        <v>11.492510183923562</v>
      </c>
      <c r="Q86" s="12">
        <v>4.8436413228776001</v>
      </c>
      <c r="R86" s="12">
        <v>1.3247967126932019</v>
      </c>
      <c r="S86" s="12">
        <v>7.0042546064201696</v>
      </c>
      <c r="T86" s="3">
        <v>4</v>
      </c>
      <c r="U86" s="12">
        <f>([1]TK1!C87/[1]TK1!C81)*1000</f>
        <v>5.7177085602265301</v>
      </c>
      <c r="V86" s="12">
        <f>([1]TK1!D87/[1]TK1!D81)*1000</f>
        <v>13.719757092825242</v>
      </c>
      <c r="W86" s="12">
        <f>([1]TK1!E87/[1]TK1!E81)*1000</f>
        <v>8.3315260005672247</v>
      </c>
      <c r="X86" s="12">
        <f>([1]TK1!F87/[1]TK1!F81)*1000</f>
        <v>9.264204228472261</v>
      </c>
      <c r="Y86" s="12">
        <f>([1]TK1!G87/[1]TK1!G81)*1000</f>
        <v>0.81520307235469702</v>
      </c>
      <c r="Z86" s="12">
        <f>([1]TK1!H87/[1]TK1!H81)*1000</f>
        <v>0</v>
      </c>
      <c r="AA86" s="12">
        <f>([1]TK1!I87/[1]TK1!I81)*1000</f>
        <v>0</v>
      </c>
      <c r="AB86" s="12">
        <f>([1]TK1!J87/[1]TK1!J81)*1000</f>
        <v>0.297689454435969</v>
      </c>
      <c r="AC86" s="12">
        <f>([1]TK1!K87/[1]TK1!K81)*1000</f>
        <v>0</v>
      </c>
      <c r="AD86" s="12">
        <f>([1]TK1!L87/[1]TK1!L81)*1000</f>
        <v>3.0473384989953303</v>
      </c>
      <c r="AE86" s="12">
        <f>([1]TK1!M87/[1]TK1!M81)*1000</f>
        <v>5.2711073398387782</v>
      </c>
      <c r="AF86" s="12">
        <f>([1]TK1!N87/[1]TK1!N81)*1000</f>
        <v>2.71239639627971</v>
      </c>
      <c r="AG86" s="12" t="e">
        <f>([1]TK1!O87/[1]TK1!O81)*1000</f>
        <v>#DIV/0!</v>
      </c>
      <c r="AH86" s="12" t="e">
        <f>([1]TK1!P87/[1]TK1!P81)*1000</f>
        <v>#DIV/0!</v>
      </c>
      <c r="AI86" s="12" t="e">
        <f>([1]TK1!Q87/[1]TK1!Q81)*1000</f>
        <v>#DIV/0!</v>
      </c>
      <c r="AJ86" s="12" t="e">
        <f>([1]TK1!R87/[1]TK1!R81)*1000</f>
        <v>#DIV/0!</v>
      </c>
      <c r="AK86" s="12">
        <f>([1]TK1!S87/[1]TK1!S81)*1000</f>
        <v>4.1447728772034198</v>
      </c>
    </row>
    <row r="87" spans="1:37">
      <c r="A87" s="7">
        <v>12</v>
      </c>
      <c r="B87" s="8" t="s">
        <v>90</v>
      </c>
      <c r="C87" s="8" t="s">
        <v>91</v>
      </c>
      <c r="D87" s="12"/>
      <c r="E87" s="12"/>
      <c r="F87" s="12"/>
      <c r="G87" s="12"/>
      <c r="H87" s="12"/>
      <c r="I87" s="12"/>
      <c r="J87" s="12"/>
      <c r="K87" s="9">
        <v>77.550220063455768</v>
      </c>
      <c r="L87" s="9">
        <v>79.180767036283967</v>
      </c>
      <c r="M87" s="9">
        <v>87.74875088201081</v>
      </c>
      <c r="N87" s="9">
        <v>83.455780370161861</v>
      </c>
      <c r="O87" s="9">
        <v>90.190481834884139</v>
      </c>
      <c r="P87" s="9">
        <v>91.679047959016316</v>
      </c>
      <c r="Q87" s="9">
        <v>93.52302770539346</v>
      </c>
      <c r="R87" s="9">
        <v>94.028202534658178</v>
      </c>
      <c r="S87" s="9">
        <v>95.042289133879351</v>
      </c>
      <c r="T87" s="12">
        <v>95</v>
      </c>
      <c r="U87" s="9">
        <f>(([1]TK1!C92/([1]TK1!C91))*100)</f>
        <v>99.22033459441576</v>
      </c>
      <c r="V87" s="9">
        <f>(([1]TK1!D92/([1]TK1!D91))*100)</f>
        <v>96.590973201692535</v>
      </c>
      <c r="W87" s="9">
        <f>(([1]TK1!E92/([1]TK1!E91))*100)</f>
        <v>95.041381999913327</v>
      </c>
      <c r="X87" s="9">
        <f>(([1]TK1!F92/([1]TK1!F91))*100)</f>
        <v>96.951108991175758</v>
      </c>
      <c r="Y87" s="9">
        <f>(([1]TK1!G92/([1]TK1!G91))*100)</f>
        <v>97.149584487534625</v>
      </c>
      <c r="Z87" s="9">
        <f>(([1]TK1!H92/([1]TK1!H91))*100)</f>
        <v>94.393258426966298</v>
      </c>
      <c r="AA87" s="9">
        <f>(([1]TK1!I92/([1]TK1!I91))*100)</f>
        <v>92.368686868686865</v>
      </c>
      <c r="AB87" s="9">
        <f>(([1]TK1!J92/([1]TK1!J91))*100)</f>
        <v>94.78155818540435</v>
      </c>
      <c r="AC87" s="9">
        <f>(([1]TK1!K92/([1]TK1!K91))*100)</f>
        <v>95.048596851471601</v>
      </c>
      <c r="AD87" s="9">
        <f>(([1]TK1!L92/([1]TK1!L91))*100)</f>
        <v>98.671931083991382</v>
      </c>
      <c r="AE87" s="9">
        <f>(([1]TK1!M92/([1]TK1!M91))*100)</f>
        <v>88.769868693849347</v>
      </c>
      <c r="AF87" s="9">
        <f>(([1]TK1!N92/([1]TK1!N91))*100)</f>
        <v>94.1097419204836</v>
      </c>
      <c r="AG87" s="9" t="e">
        <f>(([1]TK1!O92/([1]TK1!O91))*100)</f>
        <v>#DIV/0!</v>
      </c>
      <c r="AH87" s="9" t="e">
        <f>(([1]TK1!P92/([1]TK1!P91))*100)</f>
        <v>#DIV/0!</v>
      </c>
      <c r="AI87" s="9" t="e">
        <f>(([1]TK1!Q92/([1]TK1!Q91))*100)</f>
        <v>#DIV/0!</v>
      </c>
      <c r="AJ87" s="9" t="e">
        <f>(([1]TK1!R92/([1]TK1!R91))*100)</f>
        <v>#DIV/0!</v>
      </c>
      <c r="AK87" s="9">
        <f>(([1]TK1!S92/([1]TK1!S91))*100)</f>
        <v>95.276175298804773</v>
      </c>
    </row>
    <row r="88" spans="1:37">
      <c r="A88" s="7">
        <v>13</v>
      </c>
      <c r="B88" s="8" t="s">
        <v>97</v>
      </c>
      <c r="C88" s="8" t="s">
        <v>47</v>
      </c>
      <c r="D88" s="9"/>
      <c r="E88" s="9"/>
      <c r="F88" s="9"/>
      <c r="G88" s="9"/>
      <c r="H88" s="9"/>
      <c r="I88" s="9"/>
      <c r="J88" s="9"/>
      <c r="K88" s="9">
        <v>72.558333333333337</v>
      </c>
      <c r="L88" s="9">
        <v>73.107500000000002</v>
      </c>
      <c r="M88" s="9">
        <v>74.185833333333335</v>
      </c>
      <c r="N88" s="9">
        <v>74.997499999999988</v>
      </c>
      <c r="O88" s="9">
        <v>74.575000000000003</v>
      </c>
      <c r="P88" s="9">
        <v>74.311666666666667</v>
      </c>
      <c r="Q88" s="9">
        <v>73.740833333333342</v>
      </c>
      <c r="R88" s="9">
        <v>73.444166666666675</v>
      </c>
      <c r="S88" s="9">
        <v>73.686666666666667</v>
      </c>
      <c r="T88" s="12">
        <v>74</v>
      </c>
      <c r="U88" s="9">
        <f>([1]TK1!C97)</f>
        <v>74.569999999999993</v>
      </c>
      <c r="V88" s="9">
        <f>([1]TK1!D97)</f>
        <v>74.44</v>
      </c>
      <c r="W88" s="9">
        <f>([1]TK1!E97)</f>
        <v>74.400000000000006</v>
      </c>
      <c r="X88" s="9">
        <f>([1]TK1!F97)</f>
        <v>74.47</v>
      </c>
      <c r="Y88" s="9">
        <f>([1]TK1!G97)</f>
        <v>74.349999999999994</v>
      </c>
      <c r="Z88" s="9">
        <f>([1]TK1!H97)</f>
        <v>74.510000000000005</v>
      </c>
      <c r="AA88" s="9">
        <f>([1]TK1!I97)</f>
        <v>74.33</v>
      </c>
      <c r="AB88" s="9">
        <f>([1]TK1!J97)</f>
        <v>74.396666666666661</v>
      </c>
      <c r="AC88" s="9">
        <f>([1]TK1!K97)</f>
        <v>74.569999999999993</v>
      </c>
      <c r="AD88" s="9">
        <f>([1]TK1!L97)</f>
        <v>74.39</v>
      </c>
      <c r="AE88" s="9">
        <f>([1]TK1!M97)</f>
        <v>74.36</v>
      </c>
      <c r="AF88" s="9">
        <f>([1]TK1!N97)</f>
        <v>74.44</v>
      </c>
      <c r="AG88" s="9">
        <f>([1]TK1!O97)</f>
        <v>0</v>
      </c>
      <c r="AH88" s="9">
        <f>([1]TK1!P97)</f>
        <v>0</v>
      </c>
      <c r="AI88" s="9">
        <f>([1]TK1!Q97)</f>
        <v>0</v>
      </c>
      <c r="AJ88" s="9" t="e">
        <f>([1]TK1!R97)</f>
        <v>#DIV/0!</v>
      </c>
      <c r="AK88" s="9">
        <f>([1]TK1!S97)/[1]TK1!S337</f>
        <v>74.435555555555553</v>
      </c>
    </row>
    <row r="89" spans="1:37">
      <c r="A89" s="7">
        <v>14</v>
      </c>
      <c r="B89" s="8" t="s">
        <v>98</v>
      </c>
      <c r="C89" s="8" t="s">
        <v>47</v>
      </c>
      <c r="D89" s="9"/>
      <c r="E89" s="9"/>
      <c r="F89" s="9"/>
      <c r="G89" s="9"/>
      <c r="H89" s="9"/>
      <c r="I89" s="9"/>
      <c r="J89" s="9"/>
      <c r="K89" s="9">
        <v>18.546176674842446</v>
      </c>
      <c r="L89" s="9">
        <v>16.315513684432538</v>
      </c>
      <c r="M89" s="9">
        <v>15.716288656194319</v>
      </c>
      <c r="N89" s="9">
        <v>14.069537693159385</v>
      </c>
      <c r="O89" s="9">
        <v>16.226458920630531</v>
      </c>
      <c r="P89" s="9">
        <v>14.528371125823764</v>
      </c>
      <c r="Q89" s="9">
        <v>16.803756432869925</v>
      </c>
      <c r="R89" s="9">
        <v>15.057107421188057</v>
      </c>
      <c r="S89" s="9">
        <v>14.414357999980442</v>
      </c>
      <c r="T89" s="3">
        <v>20</v>
      </c>
      <c r="U89" s="9">
        <f>([1]TK1!C89/[1]TK1!C90)*100</f>
        <v>14.994450395986252</v>
      </c>
      <c r="V89" s="9">
        <f>([1]TK1!D89/[1]TK1!D90)*100</f>
        <v>16.007883616299356</v>
      </c>
      <c r="W89" s="9">
        <f>([1]TK1!E89/[1]TK1!E90)*100</f>
        <v>16.317588467512582</v>
      </c>
      <c r="X89" s="9">
        <f>([1]TK1!F89/[1]TK1!F90)*100</f>
        <v>15.767271949264394</v>
      </c>
      <c r="Y89" s="9">
        <f>([1]TK1!G89/[1]TK1!G90)*100</f>
        <v>16.234629103191224</v>
      </c>
      <c r="Z89" s="9">
        <f>([1]TK1!H89/[1]TK1!H90)*100</f>
        <v>15.735560397412792</v>
      </c>
      <c r="AA89" s="9">
        <f>([1]TK1!I89/[1]TK1!I90)*100</f>
        <v>16.144413629682795</v>
      </c>
      <c r="AB89" s="9">
        <f>([1]TK1!J89/[1]TK1!J90)*100</f>
        <v>16.033955424123814</v>
      </c>
      <c r="AC89" s="9">
        <f>([1]TK1!K89/[1]TK1!K90)*100</f>
        <v>16.80791456171174</v>
      </c>
      <c r="AD89" s="9">
        <f>([1]TK1!L89/[1]TK1!L90)*100</f>
        <v>16.633572405441239</v>
      </c>
      <c r="AE89" s="9">
        <f>([1]TK1!M89/[1]TK1!M90)*100</f>
        <v>15.289483888083916</v>
      </c>
      <c r="AF89" s="9">
        <f>([1]TK1!N89/[1]TK1!N90)*100</f>
        <v>16.271611039387832</v>
      </c>
      <c r="AG89" s="9" t="e">
        <f>([1]TK1!O89/[1]TK1!O90)*100</f>
        <v>#DIV/0!</v>
      </c>
      <c r="AH89" s="9" t="e">
        <f>([1]TK1!P89/[1]TK1!P90)*100</f>
        <v>#DIV/0!</v>
      </c>
      <c r="AI89" s="9" t="e">
        <f>([1]TK1!Q89/[1]TK1!Q90)*100</f>
        <v>#DIV/0!</v>
      </c>
      <c r="AJ89" s="9" t="e">
        <f>([1]TK1!R89/[1]TK1!R90)*100</f>
        <v>#DIV/0!</v>
      </c>
      <c r="AK89" s="9">
        <f>([1]TK1!S89/[1]TK1!S90)*100</f>
        <v>16.025409828505744</v>
      </c>
    </row>
    <row r="90" spans="1:37">
      <c r="A90" s="7"/>
      <c r="B90" s="8"/>
      <c r="C90" s="8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3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</row>
    <row r="91" spans="1:37">
      <c r="A91" s="7"/>
      <c r="B91" s="8"/>
      <c r="C91" s="8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3" t="s">
        <v>44</v>
      </c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</row>
    <row r="92" spans="1:37" s="1" customFormat="1">
      <c r="A92" s="7" t="s">
        <v>108</v>
      </c>
      <c r="B92" s="8" t="s">
        <v>111</v>
      </c>
      <c r="C92" s="8" t="s">
        <v>8</v>
      </c>
      <c r="D92" s="3" t="s">
        <v>9</v>
      </c>
      <c r="E92" s="6" t="s">
        <v>10</v>
      </c>
      <c r="F92" s="6" t="s">
        <v>11</v>
      </c>
      <c r="G92" s="6" t="s">
        <v>12</v>
      </c>
      <c r="H92" s="6" t="s">
        <v>13</v>
      </c>
      <c r="I92" s="6" t="s">
        <v>14</v>
      </c>
      <c r="J92" s="3" t="s">
        <v>15</v>
      </c>
      <c r="K92" s="3" t="s">
        <v>16</v>
      </c>
      <c r="L92" s="3" t="s">
        <v>17</v>
      </c>
      <c r="M92" s="3" t="s">
        <v>18</v>
      </c>
      <c r="N92" s="3" t="s">
        <v>19</v>
      </c>
      <c r="O92" s="3" t="s">
        <v>20</v>
      </c>
      <c r="P92" s="3" t="s">
        <v>21</v>
      </c>
      <c r="Q92" s="3" t="s">
        <v>22</v>
      </c>
      <c r="R92" s="3" t="s">
        <v>23</v>
      </c>
      <c r="S92" s="3" t="s">
        <v>24</v>
      </c>
      <c r="T92" s="3" t="s">
        <v>25</v>
      </c>
      <c r="U92" s="3" t="s">
        <v>26</v>
      </c>
      <c r="V92" s="3" t="s">
        <v>27</v>
      </c>
      <c r="W92" s="3" t="s">
        <v>28</v>
      </c>
      <c r="X92" s="3" t="s">
        <v>29</v>
      </c>
      <c r="Y92" s="3" t="s">
        <v>30</v>
      </c>
      <c r="Z92" s="3" t="s">
        <v>31</v>
      </c>
      <c r="AA92" s="3" t="s">
        <v>32</v>
      </c>
      <c r="AB92" s="3" t="s">
        <v>33</v>
      </c>
      <c r="AC92" s="3" t="s">
        <v>34</v>
      </c>
      <c r="AD92" s="3" t="s">
        <v>35</v>
      </c>
      <c r="AE92" s="3" t="s">
        <v>36</v>
      </c>
      <c r="AF92" s="3" t="s">
        <v>37</v>
      </c>
      <c r="AG92" s="3" t="s">
        <v>38</v>
      </c>
      <c r="AH92" s="3" t="s">
        <v>39</v>
      </c>
      <c r="AI92" s="1" t="s">
        <v>40</v>
      </c>
      <c r="AJ92" s="3" t="s">
        <v>41</v>
      </c>
      <c r="AK92" s="1" t="s">
        <v>112</v>
      </c>
    </row>
    <row r="93" spans="1:37">
      <c r="A93" s="7">
        <v>1</v>
      </c>
      <c r="B93" s="8" t="s">
        <v>113</v>
      </c>
      <c r="C93" s="8" t="s">
        <v>114</v>
      </c>
      <c r="D93" s="19"/>
      <c r="E93" s="19"/>
      <c r="F93" s="19"/>
      <c r="G93" s="19"/>
      <c r="H93" s="19"/>
      <c r="I93" s="19"/>
      <c r="J93" s="19"/>
      <c r="K93" s="19"/>
      <c r="L93" s="19"/>
      <c r="M93" s="19">
        <v>0.21099999999999999</v>
      </c>
      <c r="N93" s="19" t="s">
        <v>70</v>
      </c>
      <c r="O93" s="20">
        <v>1.284</v>
      </c>
      <c r="P93" s="20">
        <v>1.5680000000000001</v>
      </c>
      <c r="Q93" s="19">
        <v>1.7390000000000001</v>
      </c>
      <c r="R93" s="19">
        <v>1.6439999999999999</v>
      </c>
      <c r="S93" s="19">
        <v>1.5757497144402144</v>
      </c>
      <c r="T93" s="9">
        <v>1.84</v>
      </c>
      <c r="U93" s="19">
        <f>[1]TK1!C101/[1]TK1!C104*24/1491</f>
        <v>1.5608853118712271</v>
      </c>
      <c r="V93" s="19">
        <f>[1]TK1!D101/[1]TK1!D104*24/1491</f>
        <v>1.7417909206330706</v>
      </c>
      <c r="W93" s="19">
        <f>[1]TK1!E101/[1]TK1!E104*24/1491</f>
        <v>1.6600138251014258</v>
      </c>
      <c r="X93" s="19">
        <f>[1]TK1!F101/[1]TK1!F104*24/1491</f>
        <v>1.6554714804873434</v>
      </c>
      <c r="Y93" s="19">
        <f>[1]TK1!G101/[1]TK1!G104*24/1491</f>
        <v>1.5816897282533202</v>
      </c>
      <c r="Z93" s="19">
        <f>[1]TK1!H101/[1]TK1!H104*24/1491</f>
        <v>1.5765344756712316</v>
      </c>
      <c r="AA93" s="19">
        <f>[1]TK1!I101/[1]TK1!I104*24/1491</f>
        <v>1.362468752435839</v>
      </c>
      <c r="AB93" s="19">
        <f>[1]TK1!J101/[1]TK1!J104*24/1491</f>
        <v>1.5141172751635998</v>
      </c>
      <c r="AC93" s="19">
        <f>[1]TK1!K101/[1]TK1!K104*24/1491</f>
        <v>1.5361458367692493</v>
      </c>
      <c r="AD93" s="19">
        <f>[1]TK1!L101/[1]TK1!L104*24/1491</f>
        <v>1.4587373849928855</v>
      </c>
      <c r="AE93" s="19">
        <f>[1]TK1!M101/[1]TK1!M104*24/1491</f>
        <v>1.6185211201462557</v>
      </c>
      <c r="AF93" s="19">
        <f>[1]TK1!N101/[1]TK1!N104*24/1491</f>
        <v>1.5389678657525527</v>
      </c>
      <c r="AG93" s="19" t="e">
        <f>[1]TK1!O101/[1]TK1!O104*24/1491</f>
        <v>#DIV/0!</v>
      </c>
      <c r="AH93" s="19" t="e">
        <f>[1]TK1!P101/[1]TK1!P104*24/1491</f>
        <v>#DIV/0!</v>
      </c>
      <c r="AI93" s="19" t="e">
        <f>[1]TK1!Q101/[1]TK1!Q104*24/1491</f>
        <v>#DIV/0!</v>
      </c>
      <c r="AJ93" s="19" t="e">
        <f>[1]TK1!R101/[1]TK1!R104*24/1491</f>
        <v>#DIV/0!</v>
      </c>
      <c r="AK93" s="19">
        <f>[1]TK1!S101/[1]TK1!S104*24/1491</f>
        <v>1.5696604672886281</v>
      </c>
    </row>
    <row r="94" spans="1:37">
      <c r="A94" s="7">
        <v>2</v>
      </c>
      <c r="B94" s="8" t="s">
        <v>115</v>
      </c>
      <c r="C94" s="8" t="s">
        <v>114</v>
      </c>
      <c r="D94" s="19">
        <v>1.4382216150985634</v>
      </c>
      <c r="E94" s="19">
        <v>1.39</v>
      </c>
      <c r="F94" s="19">
        <v>1.42</v>
      </c>
      <c r="G94" s="19">
        <v>1.4527989558202574</v>
      </c>
      <c r="H94" s="19">
        <v>1.4471742239491521</v>
      </c>
      <c r="I94" s="19">
        <v>1.4965778495957578</v>
      </c>
      <c r="J94" s="19">
        <v>1.3845237942450719</v>
      </c>
      <c r="K94" s="19">
        <v>1.3376007941428121</v>
      </c>
      <c r="L94" s="19">
        <v>1.2985505069601075</v>
      </c>
      <c r="M94" s="19">
        <v>1.488</v>
      </c>
      <c r="N94" s="19">
        <v>1.4794316792173188</v>
      </c>
      <c r="O94" s="19">
        <v>1.1299999999999999</v>
      </c>
      <c r="P94" s="19">
        <v>0.93100000000000005</v>
      </c>
      <c r="Q94" s="19">
        <v>1.5629999999999999</v>
      </c>
      <c r="R94" s="19">
        <v>1.55</v>
      </c>
      <c r="S94" s="19">
        <v>1.3544888404326352</v>
      </c>
      <c r="T94" s="9">
        <v>1.55</v>
      </c>
      <c r="U94" s="19">
        <f>[1]TK1!C102/[1]TK1!C105*24/1448</f>
        <v>1.4856315579098924</v>
      </c>
      <c r="V94" s="19">
        <f>[1]TK1!D102/[1]TK1!D105*24/1448</f>
        <v>1.5270067526258002</v>
      </c>
      <c r="W94" s="19">
        <f>[1]TK1!E102/[1]TK1!E105*24/1448</f>
        <v>1.2586950306522064</v>
      </c>
      <c r="X94" s="19">
        <f>[1]TK1!F102/[1]TK1!F105*24/1448</f>
        <v>1.4309486557508575</v>
      </c>
      <c r="Y94" s="19">
        <f>[1]TK1!G102/[1]TK1!G105*24/1448</f>
        <v>1.5128613557029948</v>
      </c>
      <c r="Z94" s="19">
        <f>[1]TK1!H102/[1]TK1!H105*24/1448</f>
        <v>1.5400885535546784</v>
      </c>
      <c r="AA94" s="19">
        <f>[1]TK1!I102/[1]TK1!I105*24/1448</f>
        <v>1.5022409773334053</v>
      </c>
      <c r="AB94" s="19">
        <f>[1]TK1!J102/[1]TK1!J105*24/1448</f>
        <v>1.5185463503113312</v>
      </c>
      <c r="AC94" s="19">
        <f>[1]TK1!K102/[1]TK1!K105*24/1448</f>
        <v>1.527852781124081</v>
      </c>
      <c r="AD94" s="19">
        <f>[1]TK1!L102/[1]TK1!L105*24/1448</f>
        <v>1.4620851395321599</v>
      </c>
      <c r="AE94" s="19">
        <f>[1]TK1!M102/[1]TK1!M105*24/1448</f>
        <v>1.4614052962960464</v>
      </c>
      <c r="AF94" s="19">
        <f>[1]TK1!N102/[1]TK1!N105*24/1448</f>
        <v>1.4840623099354433</v>
      </c>
      <c r="AG94" s="19" t="e">
        <f>[1]TK1!O102/[1]TK1!O105*24/1448</f>
        <v>#DIV/0!</v>
      </c>
      <c r="AH94" s="19" t="e">
        <f>[1]TK1!P102/[1]TK1!P105*24/1448</f>
        <v>#DIV/0!</v>
      </c>
      <c r="AI94" s="19" t="e">
        <f>[1]TK1!Q102/[1]TK1!Q105*24/1448</f>
        <v>#DIV/0!</v>
      </c>
      <c r="AJ94" s="19" t="e">
        <f>[1]TK1!R102/[1]TK1!R105*24/1448</f>
        <v>#DIV/0!</v>
      </c>
      <c r="AK94" s="19">
        <f>[1]TK1!S102/[1]TK1!S105*24/1448</f>
        <v>1.4785586934857355</v>
      </c>
    </row>
    <row r="95" spans="1:37">
      <c r="A95" s="7">
        <v>3</v>
      </c>
      <c r="B95" s="8" t="s">
        <v>116</v>
      </c>
      <c r="C95" s="8" t="s">
        <v>114</v>
      </c>
      <c r="D95" s="19"/>
      <c r="E95" s="19"/>
      <c r="F95" s="19"/>
      <c r="G95" s="19"/>
      <c r="H95" s="19"/>
      <c r="I95" s="19"/>
      <c r="J95" s="19" t="s">
        <v>5</v>
      </c>
      <c r="K95" s="19">
        <v>1.4377444630366885</v>
      </c>
      <c r="L95" s="19">
        <v>1.7025336963312232</v>
      </c>
      <c r="M95" s="19">
        <v>2.2427922751217038</v>
      </c>
      <c r="N95" s="19">
        <v>2.0468259311753689</v>
      </c>
      <c r="O95" s="20">
        <v>2.1713204437612759</v>
      </c>
      <c r="P95" s="20">
        <v>2.0732785605677724</v>
      </c>
      <c r="Q95" s="20">
        <v>2.159277545933441</v>
      </c>
      <c r="R95" s="20">
        <v>2.1989999999999998</v>
      </c>
      <c r="S95" s="20">
        <v>2.2358441905225468</v>
      </c>
      <c r="T95" s="9">
        <v>2.35</v>
      </c>
      <c r="U95" s="19">
        <f>[1]TK1!C103/[1]TK1!C106*24/3470</f>
        <v>2.3867215452517327</v>
      </c>
      <c r="V95" s="19">
        <f>[1]TK1!D103/[1]TK1!D106*24/3470</f>
        <v>2.3424332682221838</v>
      </c>
      <c r="W95" s="19">
        <f>[1]TK1!E103/[1]TK1!E106*24/3470</f>
        <v>2.2097557678237401</v>
      </c>
      <c r="X95" s="19">
        <f>[1]TK1!F103/[1]TK1!F106*24/3470</f>
        <v>2.3133694824971958</v>
      </c>
      <c r="Y95" s="19">
        <f>[1]TK1!G103/[1]TK1!G106*24/3470</f>
        <v>2.3843045638752076</v>
      </c>
      <c r="Z95" s="19">
        <f>[1]TK1!H103/[1]TK1!H106*24/3470</f>
        <v>2.2338025431751642</v>
      </c>
      <c r="AA95" s="19">
        <f>[1]TK1!I103/[1]TK1!I106*24/3470</f>
        <v>2.1008304517809409</v>
      </c>
      <c r="AB95" s="19">
        <f>[1]TK1!J103/[1]TK1!J106*24/3470</f>
        <v>2.2412891817884892</v>
      </c>
      <c r="AC95" s="19">
        <f>[1]TK1!K103/[1]TK1!K106*24/3470</f>
        <v>2.3221437203681323</v>
      </c>
      <c r="AD95" s="19">
        <f>[1]TK1!L103/[1]TK1!L106*24/3470</f>
        <v>2.3090017996817394</v>
      </c>
      <c r="AE95" s="19">
        <f>[1]TK1!M103/[1]TK1!M106*24/3470</f>
        <v>2.0827498207488846</v>
      </c>
      <c r="AF95" s="19">
        <f>[1]TK1!N103/[1]TK1!N106*24/3470</f>
        <v>2.2376554369330566</v>
      </c>
      <c r="AG95" s="19" t="e">
        <f>[1]TK1!O103/[1]TK1!O106*24/3470</f>
        <v>#DIV/0!</v>
      </c>
      <c r="AH95" s="19" t="e">
        <f>[1]TK1!P103/[1]TK1!P106*24/3470</f>
        <v>#DIV/0!</v>
      </c>
      <c r="AI95" s="19" t="e">
        <f>[1]TK1!Q103/[1]TK1!Q106*24/3470</f>
        <v>#DIV/0!</v>
      </c>
      <c r="AJ95" s="19" t="e">
        <f>[1]TK1!R103/[1]TK1!R106*24/3470</f>
        <v>#DIV/0!</v>
      </c>
      <c r="AK95" s="19">
        <f>[1]TK1!S103/[1]TK1!S106*24/3470</f>
        <v>2.2638252329514033</v>
      </c>
    </row>
    <row r="96" spans="1:37">
      <c r="A96" s="7">
        <v>4</v>
      </c>
      <c r="B96" s="8" t="s">
        <v>117</v>
      </c>
      <c r="C96" s="8" t="s">
        <v>114</v>
      </c>
      <c r="D96" s="19"/>
      <c r="E96" s="19"/>
      <c r="F96" s="19">
        <v>1.42</v>
      </c>
      <c r="G96" s="19">
        <v>1.4527989558202574</v>
      </c>
      <c r="H96" s="19">
        <v>1.4471742239491521</v>
      </c>
      <c r="I96" s="19">
        <v>1.4965778495957578</v>
      </c>
      <c r="J96" s="19">
        <v>1.3845237942450719</v>
      </c>
      <c r="K96" s="19">
        <v>1.3919999999999999</v>
      </c>
      <c r="L96" s="19">
        <v>1.5549999999999999</v>
      </c>
      <c r="M96" s="19">
        <v>2.0710000000000002</v>
      </c>
      <c r="N96" s="19">
        <v>1.881</v>
      </c>
      <c r="O96" s="19">
        <v>1.768</v>
      </c>
      <c r="P96" s="19">
        <v>1.8129999999999999</v>
      </c>
      <c r="Q96" s="19">
        <v>1.9830000000000001</v>
      </c>
      <c r="R96" s="19">
        <v>1.919</v>
      </c>
      <c r="S96" s="19">
        <v>1.8819696212979755</v>
      </c>
      <c r="T96" s="9">
        <v>2.0499999999999998</v>
      </c>
      <c r="U96" s="19">
        <f>[1]TK1!C402</f>
        <v>1.9902736462398689</v>
      </c>
      <c r="V96" s="19">
        <f>[1]TK1!D402</f>
        <v>2.0191294810691285</v>
      </c>
      <c r="W96" s="19">
        <f>[1]TK1!E402</f>
        <v>1.8808086813168057</v>
      </c>
      <c r="X96" s="19">
        <f>[1]TK1!F402</f>
        <v>1.9647457456995041</v>
      </c>
      <c r="Y96" s="19">
        <f>[1]TK1!G402</f>
        <v>2.0014122492083763</v>
      </c>
      <c r="Z96" s="19">
        <f>[1]TK1!H402</f>
        <v>1.9225682574024539</v>
      </c>
      <c r="AA96" s="19">
        <f>[1]TK1!I402</f>
        <v>1.8047493878497514</v>
      </c>
      <c r="AB96" s="19">
        <f>[1]TK1!J402</f>
        <v>1.9116165442248649</v>
      </c>
      <c r="AC96" s="19">
        <f>[1]TK1!K402</f>
        <v>1.9630860570242317</v>
      </c>
      <c r="AD96" s="19">
        <f>[1]TK1!L402</f>
        <v>1.9200689862125992</v>
      </c>
      <c r="AE96" s="19">
        <f>[1]TK1!M402</f>
        <v>1.834406595541469</v>
      </c>
      <c r="AF96" s="19">
        <f>[1]TK1!N402</f>
        <v>1.9059118573825371</v>
      </c>
      <c r="AG96" s="19" t="e">
        <f>[1]TK1!O402</f>
        <v>#DIV/0!</v>
      </c>
      <c r="AH96" s="19" t="e">
        <f>[1]TK1!P402</f>
        <v>#DIV/0!</v>
      </c>
      <c r="AI96" s="19" t="e">
        <f>[1]TK1!Q402</f>
        <v>#DIV/0!</v>
      </c>
      <c r="AJ96" s="19" t="e">
        <f>[1]TK1!R402</f>
        <v>#DIV/0!</v>
      </c>
      <c r="AK96" s="19">
        <f>[1]TK1!S402</f>
        <v>1.9271797941978552</v>
      </c>
    </row>
    <row r="97" spans="1:37">
      <c r="A97" s="7">
        <v>5</v>
      </c>
      <c r="B97" s="8" t="s">
        <v>118</v>
      </c>
      <c r="C97" s="8" t="s">
        <v>119</v>
      </c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1">
        <v>492</v>
      </c>
      <c r="Q97" s="11">
        <v>444</v>
      </c>
      <c r="R97" s="11">
        <v>455</v>
      </c>
      <c r="S97" s="11">
        <v>447</v>
      </c>
      <c r="T97" s="11">
        <v>441</v>
      </c>
      <c r="U97" s="11">
        <v>466</v>
      </c>
      <c r="V97" s="13">
        <v>444</v>
      </c>
      <c r="W97" s="11">
        <v>457</v>
      </c>
      <c r="X97" s="11">
        <v>439</v>
      </c>
      <c r="Y97" s="13">
        <v>449</v>
      </c>
      <c r="Z97" s="13">
        <v>462</v>
      </c>
      <c r="AA97" s="13">
        <v>480</v>
      </c>
      <c r="AB97" s="13">
        <f>AVERAGE(Y97:AA97)</f>
        <v>463.66666666666669</v>
      </c>
      <c r="AC97" s="13">
        <v>461</v>
      </c>
      <c r="AD97" s="13">
        <v>470</v>
      </c>
      <c r="AE97" s="13">
        <v>455</v>
      </c>
      <c r="AF97" s="20"/>
      <c r="AG97" s="13"/>
      <c r="AH97" s="13"/>
      <c r="AJ97" s="20"/>
      <c r="AK97" s="1">
        <v>459</v>
      </c>
    </row>
    <row r="98" spans="1:37">
      <c r="A98" s="7">
        <v>6</v>
      </c>
      <c r="B98" s="8" t="s">
        <v>120</v>
      </c>
      <c r="C98" s="8" t="s">
        <v>119</v>
      </c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1">
        <v>561</v>
      </c>
      <c r="Q98" s="11">
        <v>462</v>
      </c>
      <c r="R98" s="11">
        <v>479</v>
      </c>
      <c r="S98" s="11">
        <v>478</v>
      </c>
      <c r="T98" s="11">
        <v>461</v>
      </c>
      <c r="U98" s="11">
        <v>488</v>
      </c>
      <c r="V98" s="13">
        <v>459</v>
      </c>
      <c r="W98" s="11">
        <v>486</v>
      </c>
      <c r="X98" s="11">
        <v>446</v>
      </c>
      <c r="Y98" s="13">
        <v>478</v>
      </c>
      <c r="Z98" s="13">
        <v>497</v>
      </c>
      <c r="AA98" s="13">
        <v>511</v>
      </c>
      <c r="AB98" s="13">
        <f>AVERAGE(Y98:AA98)</f>
        <v>495.33333333333331</v>
      </c>
      <c r="AC98" s="13">
        <v>485</v>
      </c>
      <c r="AD98" s="13">
        <v>475</v>
      </c>
      <c r="AE98" s="13">
        <v>484</v>
      </c>
      <c r="AF98" s="20"/>
      <c r="AG98" s="13"/>
      <c r="AH98" s="13"/>
      <c r="AJ98" s="20"/>
      <c r="AK98" s="1">
        <v>485</v>
      </c>
    </row>
    <row r="99" spans="1:37">
      <c r="A99" s="7">
        <v>7</v>
      </c>
      <c r="B99" s="8" t="s">
        <v>121</v>
      </c>
      <c r="C99" s="8" t="s">
        <v>119</v>
      </c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1">
        <v>413</v>
      </c>
      <c r="Q99" s="11">
        <v>399</v>
      </c>
      <c r="R99" s="11">
        <v>397</v>
      </c>
      <c r="S99" s="11">
        <v>389</v>
      </c>
      <c r="T99" s="11">
        <v>373</v>
      </c>
      <c r="U99" s="11">
        <v>387</v>
      </c>
      <c r="V99" s="13">
        <v>384</v>
      </c>
      <c r="W99" s="11">
        <v>379</v>
      </c>
      <c r="X99" s="11">
        <v>387</v>
      </c>
      <c r="Y99" s="13">
        <v>379</v>
      </c>
      <c r="Z99" s="13">
        <v>387</v>
      </c>
      <c r="AA99" s="13">
        <v>388</v>
      </c>
      <c r="AB99" s="13">
        <f>AVERAGE(Y99:AA99)</f>
        <v>384.66666666666669</v>
      </c>
      <c r="AC99" s="13">
        <v>384</v>
      </c>
      <c r="AD99" s="13">
        <v>389</v>
      </c>
      <c r="AE99" s="13">
        <v>389</v>
      </c>
      <c r="AF99" s="20"/>
      <c r="AG99" s="13"/>
      <c r="AH99" s="13"/>
      <c r="AJ99" s="20"/>
      <c r="AK99" s="1">
        <v>385</v>
      </c>
    </row>
    <row r="100" spans="1:37">
      <c r="A100" s="7">
        <v>8</v>
      </c>
      <c r="B100" s="8" t="s">
        <v>122</v>
      </c>
      <c r="C100" s="8" t="s">
        <v>119</v>
      </c>
      <c r="D100" s="11">
        <v>565.90404268756549</v>
      </c>
      <c r="E100" s="11">
        <v>548</v>
      </c>
      <c r="F100" s="11">
        <v>534</v>
      </c>
      <c r="G100" s="11">
        <v>529.07674680816797</v>
      </c>
      <c r="H100" s="11">
        <v>528.71228040391304</v>
      </c>
      <c r="I100" s="11">
        <v>525.34338987177409</v>
      </c>
      <c r="J100" s="11">
        <v>528.90295242289983</v>
      </c>
      <c r="K100" s="11">
        <v>494.80402272069955</v>
      </c>
      <c r="L100" s="11">
        <v>463.92566901925824</v>
      </c>
      <c r="M100" s="11">
        <v>417.99280401609855</v>
      </c>
      <c r="N100" s="11">
        <v>409.82129892227448</v>
      </c>
      <c r="O100" s="11">
        <v>417.68825684146759</v>
      </c>
      <c r="P100" s="11">
        <v>439.51862313038976</v>
      </c>
      <c r="Q100" s="11">
        <v>414.95838410670711</v>
      </c>
      <c r="R100" s="11">
        <v>424</v>
      </c>
      <c r="S100" s="11">
        <v>415.24867538537882</v>
      </c>
      <c r="T100" s="11">
        <v>402</v>
      </c>
      <c r="U100" s="11">
        <f>([1]TK1!C107*1000/([1]TK1!C101+[1]TK1!C102+[1]TK1!C103))</f>
        <v>418.40614323505156</v>
      </c>
      <c r="V100" s="11">
        <f>([1]TK1!D107*1000/([1]TK1!D101+[1]TK1!D102+[1]TK1!D103))</f>
        <v>408.63085194648346</v>
      </c>
      <c r="W100" s="11">
        <f>([1]TK1!E107*1000/([1]TK1!E101+[1]TK1!E102+[1]TK1!E103))</f>
        <v>410.08913595768286</v>
      </c>
      <c r="X100" s="11">
        <f>([1]TK1!F107*1000/([1]TK1!F101+[1]TK1!F102+[1]TK1!F103))</f>
        <v>412.36403764171359</v>
      </c>
      <c r="Y100" s="11">
        <f>([1]TK1!G107*1000/([1]TK1!G101+[1]TK1!G102+[1]TK1!G103))</f>
        <v>408.57798200326795</v>
      </c>
      <c r="Z100" s="11">
        <f>([1]TK1!H107*1000/([1]TK1!H101+[1]TK1!H102+[1]TK1!H103))</f>
        <v>421.41939191724072</v>
      </c>
      <c r="AA100" s="11">
        <f>([1]TK1!I107*1000/([1]TK1!I101+[1]TK1!I102+[1]TK1!I103))</f>
        <v>426.82259238538677</v>
      </c>
      <c r="AB100" s="11">
        <f>([1]TK1!J107*1000/([1]TK1!J101+[1]TK1!J102+[1]TK1!J103))</f>
        <v>418.48542898049254</v>
      </c>
      <c r="AC100" s="11">
        <f>([1]TK1!K107*1000/([1]TK1!K101+[1]TK1!K102+[1]TK1!K103))</f>
        <v>415.38700010333781</v>
      </c>
      <c r="AD100" s="11">
        <f>([1]TK1!L107*1000/([1]TK1!L101+[1]TK1!L102+[1]TK1!L103))</f>
        <v>418.30488146829947</v>
      </c>
      <c r="AE100" s="11">
        <f>([1]TK1!M107*1000/([1]TK1!M101+[1]TK1!M102+[1]TK1!M103))</f>
        <v>419.44664429811917</v>
      </c>
      <c r="AF100" s="11">
        <f>([1]TK1!N107*1000/([1]TK1!N101+[1]TK1!N102+[1]TK1!N103))</f>
        <v>417.65176629918182</v>
      </c>
      <c r="AG100" s="11" t="e">
        <f>([1]TK1!O107*1000/([1]TK1!O101+[1]TK1!O102+[1]TK1!O103))</f>
        <v>#DIV/0!</v>
      </c>
      <c r="AH100" s="11" t="e">
        <f>([1]TK1!P107*1000/([1]TK1!P101+[1]TK1!P102+[1]TK1!P103))</f>
        <v>#DIV/0!</v>
      </c>
      <c r="AI100" s="11" t="e">
        <f>([1]TK1!Q107*1000/([1]TK1!Q101+[1]TK1!Q102+[1]TK1!Q103))</f>
        <v>#DIV/0!</v>
      </c>
      <c r="AJ100" s="11" t="e">
        <f>([1]TK1!R107*1000/([1]TK1!R101+[1]TK1!R102+[1]TK1!R103))</f>
        <v>#DIV/0!</v>
      </c>
      <c r="AK100" s="11">
        <f>([1]TK1!S107*1000/([1]TK1!S101+[1]TK1!S102+[1]TK1!S103))</f>
        <v>416.15402519530824</v>
      </c>
    </row>
    <row r="101" spans="1:37">
      <c r="A101" s="7">
        <v>9</v>
      </c>
      <c r="B101" s="8" t="s">
        <v>123</v>
      </c>
      <c r="C101" s="8" t="s">
        <v>119</v>
      </c>
      <c r="D101" s="11"/>
      <c r="E101" s="11"/>
      <c r="F101" s="11"/>
      <c r="G101" s="11"/>
      <c r="H101" s="11"/>
      <c r="I101" s="11"/>
      <c r="J101" s="11"/>
      <c r="K101" s="13"/>
      <c r="L101" s="13"/>
      <c r="M101" s="13"/>
      <c r="N101" s="13"/>
      <c r="O101" s="9">
        <v>89.06</v>
      </c>
      <c r="P101" s="9">
        <v>97.92</v>
      </c>
      <c r="Q101" s="11">
        <v>95</v>
      </c>
      <c r="R101" s="11">
        <v>91.26</v>
      </c>
      <c r="S101" s="11">
        <v>86.453197008533337</v>
      </c>
      <c r="T101" s="11">
        <v>120</v>
      </c>
      <c r="U101" s="11">
        <f>[1]TK1!C108/[1]TK1!C101*1000</f>
        <v>84.94527026031615</v>
      </c>
      <c r="V101" s="11">
        <f>[1]TK1!D108/[1]TK1!D101*1000</f>
        <v>93.891660546508973</v>
      </c>
      <c r="W101" s="11">
        <f>[1]TK1!E108/[1]TK1!E101*1000</f>
        <v>103.003291278113</v>
      </c>
      <c r="X101" s="11">
        <f>[1]TK1!F108/[1]TK1!F101*1000</f>
        <v>94.15169288311121</v>
      </c>
      <c r="Y101" s="11">
        <f>[1]TK1!G108/[1]TK1!G101*1000</f>
        <v>100.8500396499673</v>
      </c>
      <c r="Z101" s="11">
        <f>[1]TK1!H108/[1]TK1!H101*1000</f>
        <v>101.85401199412644</v>
      </c>
      <c r="AA101" s="11">
        <f>[1]TK1!I108/[1]TK1!I101*1000</f>
        <v>77.332785138948594</v>
      </c>
      <c r="AB101" s="11">
        <f>[1]TK1!J108/[1]TK1!J101*1000</f>
        <v>94.871807805020765</v>
      </c>
      <c r="AC101" s="11">
        <f>[1]TK1!K108/[1]TK1!K101*1000</f>
        <v>88.795682608757886</v>
      </c>
      <c r="AD101" s="11">
        <f>[1]TK1!L108/[1]TK1!L101*1000</f>
        <v>88.018207393592647</v>
      </c>
      <c r="AE101" s="11">
        <f>[1]TK1!M108/[1]TK1!M101*1000</f>
        <v>90.532624982972351</v>
      </c>
      <c r="AF101" s="11">
        <f>[1]TK1!N108/[1]TK1!N101*1000</f>
        <v>89.174873388916325</v>
      </c>
      <c r="AG101" s="11" t="e">
        <f>[1]TK1!O108/[1]TK1!O101*1000</f>
        <v>#DIV/0!</v>
      </c>
      <c r="AH101" s="11" t="e">
        <f>[1]TK1!P108/[1]TK1!P101*1000</f>
        <v>#DIV/0!</v>
      </c>
      <c r="AI101" s="11" t="e">
        <f>[1]TK1!Q108/[1]TK1!Q101*1000</f>
        <v>#DIV/0!</v>
      </c>
      <c r="AJ101" s="11" t="e">
        <f>[1]TK1!R108/[1]TK1!R101*1000</f>
        <v>#DIV/0!</v>
      </c>
      <c r="AK101" s="11">
        <f>[1]TK1!S108/[1]TK1!S101*1000</f>
        <v>92.734498085076396</v>
      </c>
    </row>
    <row r="102" spans="1:37">
      <c r="A102" s="7">
        <v>10</v>
      </c>
      <c r="B102" s="8" t="s">
        <v>124</v>
      </c>
      <c r="C102" s="8" t="s">
        <v>119</v>
      </c>
      <c r="D102" s="11"/>
      <c r="E102" s="11"/>
      <c r="F102" s="11"/>
      <c r="G102" s="11"/>
      <c r="H102" s="11"/>
      <c r="I102" s="11"/>
      <c r="J102" s="11"/>
      <c r="K102" s="13" t="s">
        <v>70</v>
      </c>
      <c r="L102" s="11">
        <v>6.6257448600754998</v>
      </c>
      <c r="M102" s="11">
        <v>44.079053895106028</v>
      </c>
      <c r="N102" s="11">
        <v>71.425953750870377</v>
      </c>
      <c r="O102" s="9">
        <v>78.47</v>
      </c>
      <c r="P102" s="9">
        <v>20.93</v>
      </c>
      <c r="Q102" s="11">
        <v>82</v>
      </c>
      <c r="R102" s="11">
        <v>74.900000000000006</v>
      </c>
      <c r="S102" s="11">
        <v>72.883163405504604</v>
      </c>
      <c r="T102" s="11">
        <v>100</v>
      </c>
      <c r="U102" s="11">
        <f>[1]TK1!C109/[1]TK1!C102*1000</f>
        <v>82.417842225549691</v>
      </c>
      <c r="V102" s="11">
        <f>[1]TK1!D109/[1]TK1!D102*1000</f>
        <v>79.460537676024884</v>
      </c>
      <c r="W102" s="11">
        <f>[1]TK1!E109/[1]TK1!E102*1000</f>
        <v>74.003003504088099</v>
      </c>
      <c r="X102" s="11">
        <f>[1]TK1!F109/[1]TK1!F102*1000</f>
        <v>79.045960339816418</v>
      </c>
      <c r="Y102" s="11">
        <f>[1]TK1!G109/[1]TK1!G102*1000</f>
        <v>81.066057719754212</v>
      </c>
      <c r="Z102" s="11">
        <f>[1]TK1!H109/[1]TK1!H102*1000</f>
        <v>78.457466471484139</v>
      </c>
      <c r="AA102" s="11">
        <f>[1]TK1!I109/[1]TK1!I102*1000</f>
        <v>69.288243460356583</v>
      </c>
      <c r="AB102" s="11">
        <f>[1]TK1!J109/[1]TK1!J102*1000</f>
        <v>76.36875255293721</v>
      </c>
      <c r="AC102" s="11">
        <f>[1]TK1!K109/[1]TK1!K102*1000</f>
        <v>79.608482871125616</v>
      </c>
      <c r="AD102" s="11">
        <f>[1]TK1!L109/[1]TK1!L102*1000</f>
        <v>84.006228629219976</v>
      </c>
      <c r="AE102" s="11">
        <f>[1]TK1!M109/[1]TK1!M102*1000</f>
        <v>77.666428060128837</v>
      </c>
      <c r="AF102" s="11">
        <f>[1]TK1!N109/[1]TK1!N102*1000</f>
        <v>80.377348764079699</v>
      </c>
      <c r="AG102" s="11" t="e">
        <f>[1]TK1!O109/[1]TK1!O102*1000</f>
        <v>#DIV/0!</v>
      </c>
      <c r="AH102" s="11" t="e">
        <f>[1]TK1!P109/[1]TK1!P102*1000</f>
        <v>#DIV/0!</v>
      </c>
      <c r="AI102" s="11" t="e">
        <f>[1]TK1!Q109/[1]TK1!Q102*1000</f>
        <v>#DIV/0!</v>
      </c>
      <c r="AJ102" s="11" t="e">
        <f>[1]TK1!R109/[1]TK1!R102*1000</f>
        <v>#DIV/0!</v>
      </c>
      <c r="AK102" s="11">
        <f>[1]TK1!S109/[1]TK1!S102*1000</f>
        <v>78.568388008821884</v>
      </c>
    </row>
    <row r="103" spans="1:37">
      <c r="A103" s="7">
        <v>11</v>
      </c>
      <c r="B103" s="8" t="s">
        <v>125</v>
      </c>
      <c r="C103" s="8" t="s">
        <v>119</v>
      </c>
      <c r="D103" s="11"/>
      <c r="E103" s="11"/>
      <c r="F103" s="11"/>
      <c r="G103" s="11"/>
      <c r="H103" s="11"/>
      <c r="I103" s="11"/>
      <c r="J103" s="11"/>
      <c r="K103" s="12">
        <v>84.67</v>
      </c>
      <c r="L103" s="12">
        <v>125.22518641055346</v>
      </c>
      <c r="M103" s="12">
        <v>130.92496345917402</v>
      </c>
      <c r="N103" s="12">
        <v>144.1521788302401</v>
      </c>
      <c r="O103" s="9">
        <v>143.22</v>
      </c>
      <c r="P103" s="9">
        <v>129</v>
      </c>
      <c r="Q103" s="11">
        <v>124</v>
      </c>
      <c r="R103" s="11">
        <v>127.6</v>
      </c>
      <c r="S103" s="11">
        <v>137.6574327807472</v>
      </c>
      <c r="T103" s="11">
        <v>150</v>
      </c>
      <c r="U103" s="11">
        <f>[1]TK1!C110/[1]TK1!C103*1000</f>
        <v>149.93805748265609</v>
      </c>
      <c r="V103" s="11">
        <f>[1]TK1!D110/[1]TK1!D103*1000</f>
        <v>149.49046050111104</v>
      </c>
      <c r="W103" s="11">
        <f>[1]TK1!E110/[1]TK1!E103*1000</f>
        <v>159.00044129643084</v>
      </c>
      <c r="X103" s="11">
        <f>[1]TK1!F110/[1]TK1!F103*1000</f>
        <v>152.62824927078609</v>
      </c>
      <c r="Y103" s="11">
        <f>[1]TK1!G110/[1]TK1!G103*1000</f>
        <v>157.37702322377876</v>
      </c>
      <c r="Z103" s="11">
        <f>[1]TK1!H110/[1]TK1!H103*1000</f>
        <v>141.55749790727418</v>
      </c>
      <c r="AA103" s="11">
        <f>[1]TK1!I110/[1]TK1!I103*1000</f>
        <v>142.97549895740244</v>
      </c>
      <c r="AB103" s="11">
        <f>[1]TK1!J110/[1]TK1!J103*1000</f>
        <v>147.67734371442882</v>
      </c>
      <c r="AC103" s="11">
        <f>[1]TK1!K110/[1]TK1!K103*1000</f>
        <v>143.8310921442955</v>
      </c>
      <c r="AD103" s="11">
        <f>[1]TK1!L110/[1]TK1!L103*1000</f>
        <v>146.72150361199309</v>
      </c>
      <c r="AE103" s="11">
        <f>[1]TK1!M110/[1]TK1!M103*1000</f>
        <v>149.59371799248891</v>
      </c>
      <c r="AF103" s="11">
        <f>[1]TK1!N110/[1]TK1!N103*1000</f>
        <v>146.59218892690416</v>
      </c>
      <c r="AG103" s="11" t="e">
        <f>[1]TK1!O110/[1]TK1!O103*1000</f>
        <v>#DIV/0!</v>
      </c>
      <c r="AH103" s="11" t="e">
        <f>[1]TK1!P110/[1]TK1!P103*1000</f>
        <v>#DIV/0!</v>
      </c>
      <c r="AI103" s="11" t="e">
        <f>[1]TK1!Q110/[1]TK1!Q103*1000</f>
        <v>#DIV/0!</v>
      </c>
      <c r="AJ103" s="11" t="e">
        <f>[1]TK1!R110/[1]TK1!R103*1000</f>
        <v>#DIV/0!</v>
      </c>
      <c r="AK103" s="11">
        <f>[1]TK1!S110/[1]TK1!S103*1000</f>
        <v>148.98460299794428</v>
      </c>
    </row>
    <row r="104" spans="1:37">
      <c r="A104" s="7">
        <v>12</v>
      </c>
      <c r="B104" s="8" t="s">
        <v>126</v>
      </c>
      <c r="C104" s="8" t="s">
        <v>119</v>
      </c>
      <c r="D104" s="11"/>
      <c r="E104" s="11"/>
      <c r="F104" s="11"/>
      <c r="G104" s="11"/>
      <c r="H104" s="11"/>
      <c r="I104" s="11"/>
      <c r="J104" s="11"/>
      <c r="K104" s="12"/>
      <c r="L104" s="12">
        <v>88.058978816814403</v>
      </c>
      <c r="M104" s="12">
        <v>121.33785053918166</v>
      </c>
      <c r="N104" s="12">
        <v>127.41256095231726</v>
      </c>
      <c r="O104" s="9">
        <v>125.89</v>
      </c>
      <c r="P104" s="9">
        <v>116</v>
      </c>
      <c r="Q104" s="11">
        <v>114</v>
      </c>
      <c r="R104" s="11">
        <v>110.46</v>
      </c>
      <c r="S104" s="11">
        <v>117.07878832589915</v>
      </c>
      <c r="T104" s="11">
        <v>135</v>
      </c>
      <c r="U104" s="11">
        <f>([1]TK1!C108+[1]TK1!C109+[1]TK1!C110)/([1]TK1!C101+[1]TK1!C102+[1]TK1!C103)*1000</f>
        <v>126.65602810294416</v>
      </c>
      <c r="V104" s="11">
        <f>([1]TK1!D108+[1]TK1!D109+[1]TK1!D110)/([1]TK1!D101+[1]TK1!D102+[1]TK1!D103)*1000</f>
        <v>126.41295439725364</v>
      </c>
      <c r="W104" s="11">
        <f>([1]TK1!E108+[1]TK1!E109+[1]TK1!E110)/([1]TK1!E101+[1]TK1!E102+[1]TK1!E103)*1000</f>
        <v>135.36672624513693</v>
      </c>
      <c r="X104" s="11">
        <f>([1]TK1!F108+[1]TK1!F109+[1]TK1!F110)/([1]TK1!F101+[1]TK1!F102+[1]TK1!F103)*1000</f>
        <v>129.27207568601233</v>
      </c>
      <c r="Y104" s="11">
        <f>([1]TK1!G108+[1]TK1!G109+[1]TK1!G110)/([1]TK1!G101+[1]TK1!G102+[1]TK1!G103)*1000</f>
        <v>133.9986856606601</v>
      </c>
      <c r="Z104" s="11">
        <f>([1]TK1!H108+[1]TK1!H109+[1]TK1!H110)/([1]TK1!H101+[1]TK1!H102+[1]TK1!H103)*1000</f>
        <v>122.50523498218642</v>
      </c>
      <c r="AA104" s="11">
        <f>([1]TK1!I108+[1]TK1!I109+[1]TK1!I110)/([1]TK1!I101+[1]TK1!I102+[1]TK1!I103)*1000</f>
        <v>118.20156046031775</v>
      </c>
      <c r="AB104" s="11">
        <f>([1]TK1!J108+[1]TK1!J109+[1]TK1!J110)/([1]TK1!J101+[1]TK1!J102+[1]TK1!J103)*1000</f>
        <v>125.29221174959568</v>
      </c>
      <c r="AC104" s="11">
        <f>([1]TK1!K108+[1]TK1!K109+[1]TK1!K110)/([1]TK1!K101+[1]TK1!K102+[1]TK1!K103)*1000</f>
        <v>122.71106747959078</v>
      </c>
      <c r="AD104" s="11">
        <f>([1]TK1!L108+[1]TK1!L109+[1]TK1!L110)/([1]TK1!L101+[1]TK1!L102+[1]TK1!L103)*1000</f>
        <v>125.56392438624206</v>
      </c>
      <c r="AE104" s="11">
        <f>([1]TK1!M108+[1]TK1!M109+[1]TK1!M110)/([1]TK1!M101+[1]TK1!M102+[1]TK1!M103)*1000</f>
        <v>124.52602092643843</v>
      </c>
      <c r="AF104" s="11">
        <f>([1]TK1!N108+[1]TK1!N109+[1]TK1!N110)/([1]TK1!N101+[1]TK1!N102+[1]TK1!N103)*1000</f>
        <v>124.2284718990862</v>
      </c>
      <c r="AG104" s="11" t="e">
        <f>([1]TK1!O108+[1]TK1!O109+[1]TK1!O110)/([1]TK1!O101+[1]TK1!O102+[1]TK1!O103)*1000</f>
        <v>#DIV/0!</v>
      </c>
      <c r="AH104" s="11" t="e">
        <f>([1]TK1!P108+[1]TK1!P109+[1]TK1!P110)/([1]TK1!P101+[1]TK1!P102+[1]TK1!P103)*1000</f>
        <v>#DIV/0!</v>
      </c>
      <c r="AI104" s="11" t="e">
        <f>([1]TK1!Q108+[1]TK1!Q109+[1]TK1!Q110)/([1]TK1!Q101+[1]TK1!Q102+[1]TK1!Q103)*1000</f>
        <v>#DIV/0!</v>
      </c>
      <c r="AJ104" s="11" t="e">
        <f>([1]TK1!R108+[1]TK1!R109+[1]TK1!R110)/([1]TK1!R101+[1]TK1!R102+[1]TK1!R103)*1000</f>
        <v>#DIV/0!</v>
      </c>
      <c r="AK104" s="11">
        <f>([1]TK1!S108+[1]TK1!S109+[1]TK1!S110)/([1]TK1!S101+[1]TK1!S102+[1]TK1!S103)*1000</f>
        <v>126.27321207618891</v>
      </c>
    </row>
    <row r="105" spans="1:37">
      <c r="A105" s="7">
        <v>13</v>
      </c>
      <c r="B105" s="8" t="s">
        <v>127</v>
      </c>
      <c r="C105" s="8" t="s">
        <v>119</v>
      </c>
      <c r="D105" s="11">
        <v>464.03659913678132</v>
      </c>
      <c r="E105" s="11">
        <v>452</v>
      </c>
      <c r="F105" s="11">
        <v>445</v>
      </c>
      <c r="G105" s="11">
        <v>441.34259526870352</v>
      </c>
      <c r="H105" s="11">
        <v>442.18851571581268</v>
      </c>
      <c r="I105" s="11">
        <v>440.00573404868658</v>
      </c>
      <c r="J105" s="11">
        <v>441.656002896139</v>
      </c>
      <c r="K105" s="11">
        <v>416.61261703026105</v>
      </c>
      <c r="L105" s="11">
        <v>467.74603518262171</v>
      </c>
      <c r="M105" s="11">
        <v>459.55606425652064</v>
      </c>
      <c r="N105" s="11">
        <v>458.48589110291374</v>
      </c>
      <c r="O105" s="11">
        <v>460.72633263198344</v>
      </c>
      <c r="P105" s="11">
        <v>432.13230627425384</v>
      </c>
      <c r="Q105" s="11">
        <v>455</v>
      </c>
      <c r="R105" s="11">
        <v>457</v>
      </c>
      <c r="S105" s="11">
        <v>465</v>
      </c>
      <c r="T105" s="11">
        <v>454</v>
      </c>
      <c r="U105" s="11">
        <v>468</v>
      </c>
      <c r="V105" s="11">
        <v>456</v>
      </c>
      <c r="W105" s="11">
        <v>459</v>
      </c>
      <c r="X105" s="11"/>
      <c r="Y105" s="11">
        <v>459</v>
      </c>
      <c r="Z105" s="11">
        <v>465</v>
      </c>
      <c r="AA105" s="11">
        <v>467</v>
      </c>
      <c r="AB105" s="11"/>
      <c r="AC105" s="11">
        <v>467</v>
      </c>
      <c r="AD105" s="11">
        <v>466</v>
      </c>
      <c r="AE105" s="11">
        <v>463</v>
      </c>
      <c r="AF105" s="11"/>
      <c r="AG105" s="11"/>
      <c r="AH105" s="11"/>
      <c r="AI105" s="11"/>
      <c r="AJ105" s="11"/>
      <c r="AK105" s="11">
        <v>491</v>
      </c>
    </row>
    <row r="106" spans="1:37">
      <c r="A106" s="7">
        <v>14</v>
      </c>
      <c r="B106" s="8" t="s">
        <v>128</v>
      </c>
      <c r="C106" s="8" t="s">
        <v>119</v>
      </c>
      <c r="D106" s="11">
        <v>1206.6436471027287</v>
      </c>
      <c r="E106" s="11">
        <v>1212</v>
      </c>
      <c r="F106" s="11">
        <v>1209</v>
      </c>
      <c r="G106" s="11">
        <v>1188.0297017194018</v>
      </c>
      <c r="H106" s="11">
        <v>1203.4974266049721</v>
      </c>
      <c r="I106" s="11">
        <v>1218.4418621165396</v>
      </c>
      <c r="J106" s="11">
        <v>1223.7218130717852</v>
      </c>
      <c r="K106" s="11">
        <v>1252.8870500185474</v>
      </c>
      <c r="L106" s="11">
        <v>1283.017391821712</v>
      </c>
      <c r="M106" s="11">
        <v>1281.0984541433793</v>
      </c>
      <c r="N106" s="11">
        <v>1240.7626322604278</v>
      </c>
      <c r="O106" s="11">
        <v>1281.1610091801708</v>
      </c>
      <c r="P106" s="11">
        <v>1270.6143373522561</v>
      </c>
      <c r="Q106" s="11">
        <v>1281.059469325573</v>
      </c>
      <c r="R106" s="11">
        <v>1247.4671525306801</v>
      </c>
      <c r="S106" s="11">
        <v>1229.0405356781198</v>
      </c>
      <c r="T106" s="11">
        <v>1192</v>
      </c>
      <c r="U106" s="11">
        <f>([1]TK1!C111*1000/([1]TK1!C101+[1]TK1!C102+[1]TK1!C103))</f>
        <v>1236.9070696468925</v>
      </c>
      <c r="V106" s="11">
        <f>([1]TK1!D111*1000/([1]TK1!D101+[1]TK1!D102+[1]TK1!D103))</f>
        <v>1228.4044747679013</v>
      </c>
      <c r="W106" s="11">
        <f>([1]TK1!E111*1000/([1]TK1!E101+[1]TK1!E102+[1]TK1!E103))</f>
        <v>1208.6424509636358</v>
      </c>
      <c r="X106" s="11">
        <f>([1]TK1!F111*1000/([1]TK1!F101+[1]TK1!F102+[1]TK1!F103))</f>
        <v>1225.1277848469817</v>
      </c>
      <c r="Y106" s="11">
        <f>([1]TK1!G111*1000/([1]TK1!G101+[1]TK1!G102+[1]TK1!G103))</f>
        <v>1255.4497776618568</v>
      </c>
      <c r="Z106" s="11">
        <f>([1]TK1!H111*1000/([1]TK1!H101+[1]TK1!H102+[1]TK1!H103))</f>
        <v>1267.0732258931398</v>
      </c>
      <c r="AA106" s="11">
        <f>([1]TK1!I111*1000/([1]TK1!I101+[1]TK1!I102+[1]TK1!I103))</f>
        <v>1200.9859654821846</v>
      </c>
      <c r="AB106" s="11">
        <f>([1]TK1!J111*1000/([1]TK1!J101+[1]TK1!J102+[1]TK1!J103))</f>
        <v>1242.9528076887393</v>
      </c>
      <c r="AC106" s="11">
        <f>([1]TK1!K111*1000/([1]TK1!K101+[1]TK1!K102+[1]TK1!K103))</f>
        <v>1180.5621576935</v>
      </c>
      <c r="AD106" s="11">
        <f>([1]TK1!L111*1000/([1]TK1!L101+[1]TK1!L102+[1]TK1!L103))</f>
        <v>1223.4209423124439</v>
      </c>
      <c r="AE106" s="11">
        <f>([1]TK1!M111*1000/([1]TK1!M101+[1]TK1!M102+[1]TK1!M103))</f>
        <v>1238.0011585377797</v>
      </c>
      <c r="AF106" s="11">
        <f>([1]TK1!N111*1000/([1]TK1!N101+[1]TK1!N102+[1]TK1!N103))</f>
        <v>1213.1191914729511</v>
      </c>
      <c r="AG106" s="11" t="e">
        <f>([1]TK1!O111*1000/([1]TK1!O101+[1]TK1!O102+[1]TK1!O103))</f>
        <v>#DIV/0!</v>
      </c>
      <c r="AH106" s="11" t="e">
        <f>([1]TK1!P111*1000/([1]TK1!P101+[1]TK1!P102+[1]TK1!P103))</f>
        <v>#DIV/0!</v>
      </c>
      <c r="AI106" s="11" t="e">
        <f>([1]TK1!Q111*1000/([1]TK1!Q101+[1]TK1!Q102+[1]TK1!Q103))</f>
        <v>#DIV/0!</v>
      </c>
      <c r="AJ106" s="11" t="e">
        <f>([1]TK1!R111*1000/([1]TK1!R101+[1]TK1!R102+[1]TK1!R103))</f>
        <v>#DIV/0!</v>
      </c>
      <c r="AK106" s="11">
        <f>([1]TK1!S111*1000/([1]TK1!S101+[1]TK1!S102+[1]TK1!S103))</f>
        <v>1227.0366569303981</v>
      </c>
    </row>
    <row r="107" spans="1:37">
      <c r="A107" s="7">
        <v>15</v>
      </c>
      <c r="B107" s="8" t="s">
        <v>129</v>
      </c>
      <c r="C107" s="8" t="s">
        <v>119</v>
      </c>
      <c r="D107" s="11">
        <v>490.38623706383038</v>
      </c>
      <c r="E107" s="11">
        <v>483</v>
      </c>
      <c r="F107" s="11">
        <v>487</v>
      </c>
      <c r="G107" s="11">
        <v>508.09295007469711</v>
      </c>
      <c r="H107" s="11">
        <v>492.77396566150372</v>
      </c>
      <c r="I107" s="11">
        <v>477.38462370827244</v>
      </c>
      <c r="J107" s="11">
        <v>472.53500540908522</v>
      </c>
      <c r="K107" s="11">
        <v>440.10378966595277</v>
      </c>
      <c r="L107" s="11">
        <v>412.94540061278485</v>
      </c>
      <c r="M107" s="11">
        <v>406.84167930424172</v>
      </c>
      <c r="N107" s="11">
        <v>452.18801722481004</v>
      </c>
      <c r="O107" s="11">
        <v>434.37516372681728</v>
      </c>
      <c r="P107" s="11">
        <v>464.07412945562731</v>
      </c>
      <c r="Q107" s="11">
        <v>415.2726830373598</v>
      </c>
      <c r="R107" s="11">
        <v>477.97333466143544</v>
      </c>
      <c r="S107" s="11">
        <v>436.90185289452569</v>
      </c>
      <c r="T107" s="11">
        <v>386</v>
      </c>
      <c r="U107" s="11">
        <f>([1]TK1!C112*1000/([1]TK1!C101+[1]TK1!C102+[1]TK1!C103))</f>
        <v>445.48093091002562</v>
      </c>
      <c r="V107" s="11">
        <f>([1]TK1!D112*1000/([1]TK1!D101+[1]TK1!D102+[1]TK1!D103))</f>
        <v>469.42182730684232</v>
      </c>
      <c r="W107" s="11">
        <f>([1]TK1!E112*1000/([1]TK1!E101+[1]TK1!E102+[1]TK1!E103))</f>
        <v>390.01109492095958</v>
      </c>
      <c r="X107" s="11">
        <f>([1]TK1!F112*1000/([1]TK1!F101+[1]TK1!F102+[1]TK1!F103))</f>
        <v>436.75279113737503</v>
      </c>
      <c r="Y107" s="11">
        <f>([1]TK1!G112*1000/([1]TK1!G101+[1]TK1!G102+[1]TK1!G103))</f>
        <v>270.48541057761889</v>
      </c>
      <c r="Z107" s="11">
        <f>([1]TK1!H112*1000/([1]TK1!H101+[1]TK1!H102+[1]TK1!H103))</f>
        <v>383.34437535420943</v>
      </c>
      <c r="AA107" s="11">
        <f>([1]TK1!I112*1000/([1]TK1!I101+[1]TK1!I102+[1]TK1!I103))</f>
        <v>454.54272015785074</v>
      </c>
      <c r="AB107" s="11">
        <f>([1]TK1!J112*1000/([1]TK1!J101+[1]TK1!J102+[1]TK1!J103))</f>
        <v>364.72938235759625</v>
      </c>
      <c r="AC107" s="11">
        <f>([1]TK1!K112*1000/([1]TK1!K101+[1]TK1!K102+[1]TK1!K103))</f>
        <v>491.7794771106748</v>
      </c>
      <c r="AD107" s="11">
        <f>([1]TK1!L112*1000/([1]TK1!L101+[1]TK1!L102+[1]TK1!L103))</f>
        <v>519.15746573421916</v>
      </c>
      <c r="AE107" s="11">
        <f>([1]TK1!M112*1000/([1]TK1!M101+[1]TK1!M102+[1]TK1!M103))</f>
        <v>499.83909197502709</v>
      </c>
      <c r="AF107" s="11">
        <f>([1]TK1!N112*1000/([1]TK1!N101+[1]TK1!N102+[1]TK1!N103))</f>
        <v>503.31424391604037</v>
      </c>
      <c r="AG107" s="11" t="e">
        <f>([1]TK1!O112*1000/([1]TK1!O101+[1]TK1!O102+[1]TK1!O103))</f>
        <v>#DIV/0!</v>
      </c>
      <c r="AH107" s="11" t="e">
        <f>([1]TK1!P112*1000/([1]TK1!P101+[1]TK1!P102+[1]TK1!P103))</f>
        <v>#DIV/0!</v>
      </c>
      <c r="AI107" s="11" t="e">
        <f>([1]TK1!Q112*1000/([1]TK1!Q101+[1]TK1!Q102+[1]TK1!Q103))</f>
        <v>#DIV/0!</v>
      </c>
      <c r="AJ107" s="11" t="e">
        <f>([1]TK1!R112*1000/([1]TK1!R101+[1]TK1!R102+[1]TK1!R103))</f>
        <v>#DIV/0!</v>
      </c>
      <c r="AK107" s="11">
        <f>([1]TK1!S112*1000/([1]TK1!S101+[1]TK1!S102+[1]TK1!S103))</f>
        <v>435.04779293827079</v>
      </c>
    </row>
    <row r="108" spans="1:37">
      <c r="A108" s="7">
        <v>16</v>
      </c>
      <c r="B108" s="8" t="s">
        <v>130</v>
      </c>
      <c r="C108" s="8" t="s">
        <v>119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>
        <v>1199.3162615630906</v>
      </c>
      <c r="O108" s="11">
        <v>1491.8449284347705</v>
      </c>
      <c r="P108" s="11">
        <v>1230.5057596713204</v>
      </c>
      <c r="Q108" s="11">
        <v>1275.4211449043373</v>
      </c>
      <c r="R108" s="11">
        <v>1246.4148160855298</v>
      </c>
      <c r="S108" s="11">
        <v>1291.850665085411</v>
      </c>
      <c r="T108" s="11"/>
      <c r="U108" s="11">
        <f>([1]TK1!C35+[1]TK1!C57+[1]TK1!C82)/([1]TK1!C101+[1]TK1!C102+[1]TK1!C103)*1000</f>
        <v>1272.6087329042209</v>
      </c>
      <c r="V108" s="11">
        <f>([1]TK1!D35+[1]TK1!D57+[1]TK1!D82)/([1]TK1!D101+[1]TK1!D102+[1]TK1!D103)*1000</f>
        <v>1249.2280289555747</v>
      </c>
      <c r="W108" s="11">
        <f>([1]TK1!E35+[1]TK1!E57+[1]TK1!E82)/([1]TK1!E101+[1]TK1!E102+[1]TK1!E103)*1000</f>
        <v>1239.7661665744504</v>
      </c>
      <c r="X108" s="11">
        <f>([1]TK1!F35+[1]TK1!F57+[1]TK1!F82)/([1]TK1!F101+[1]TK1!F102+[1]TK1!F103)*1000</f>
        <v>1254.1399774264744</v>
      </c>
      <c r="Y108" s="11">
        <f>([1]TK1!G35+[1]TK1!G57+[1]TK1!G82)/([1]TK1!G101+[1]TK1!G102+[1]TK1!G103)*1000</f>
        <v>1233.4103014542118</v>
      </c>
      <c r="Z108" s="11">
        <f>([1]TK1!H35+[1]TK1!H57+[1]TK1!H82)/([1]TK1!H101+[1]TK1!H102+[1]TK1!H103)*1000</f>
        <v>1247.9133241272148</v>
      </c>
      <c r="AA108" s="11">
        <f>([1]TK1!I35+[1]TK1!I57+[1]TK1!I82)/([1]TK1!I101+[1]TK1!I102+[1]TK1!I103)*1000</f>
        <v>1288.8626205386415</v>
      </c>
      <c r="AB108" s="11">
        <f>([1]TK1!J35+[1]TK1!J57+[1]TK1!J82)/([1]TK1!J101+[1]TK1!J102+[1]TK1!J103)*1000</f>
        <v>1255.1379239458092</v>
      </c>
      <c r="AC108" s="11">
        <f>([1]TK1!K35+[1]TK1!K57+[1]TK1!K82)/([1]TK1!K101+[1]TK1!K102+[1]TK1!K103)*1000</f>
        <v>1146.1894182081223</v>
      </c>
      <c r="AD108" s="11">
        <f>([1]TK1!L35+[1]TK1!L57+[1]TK1!L82)/([1]TK1!L101+[1]TK1!L102+[1]TK1!L103)*1000</f>
        <v>1301.6554737797717</v>
      </c>
      <c r="AE108" s="11">
        <f>([1]TK1!M35+[1]TK1!M57+[1]TK1!M82)/([1]TK1!M101+[1]TK1!M102+[1]TK1!M103)*1000</f>
        <v>1312.6876677291259</v>
      </c>
      <c r="AF108" s="11">
        <f>([1]TK1!N35+[1]TK1!N57+[1]TK1!N82)/([1]TK1!N101+[1]TK1!N102+[1]TK1!N103)*1000</f>
        <v>1250.7464064760381</v>
      </c>
      <c r="AG108" s="11" t="e">
        <f>([1]TK1!O35+[1]TK1!O57+[1]TK1!O82)/([1]TK1!O101+[1]TK1!O102+[1]TK1!O103)*1000</f>
        <v>#DIV/0!</v>
      </c>
      <c r="AH108" s="11" t="e">
        <f>([1]TK1!P35+[1]TK1!P57+[1]TK1!P82)/([1]TK1!P101+[1]TK1!P102+[1]TK1!P103)*1000</f>
        <v>#DIV/0!</v>
      </c>
      <c r="AI108" s="11" t="e">
        <f>([1]TK1!Q35+[1]TK1!Q57+[1]TK1!Q82)/([1]TK1!Q101+[1]TK1!Q102+[1]TK1!Q103)*1000</f>
        <v>#DIV/0!</v>
      </c>
      <c r="AJ108" s="11" t="e">
        <f>([1]TK1!R35+[1]TK1!R57+[1]TK1!R82)/([1]TK1!R101+[1]TK1!R102+[1]TK1!R103)*1000</f>
        <v>#DIV/0!</v>
      </c>
      <c r="AK108" s="11">
        <f>([1]TK1!S35+[1]TK1!S57+[1]TK1!S82)/([1]TK1!S101+[1]TK1!S102+[1]TK1!S103)*1000</f>
        <v>1253.3405611660367</v>
      </c>
    </row>
    <row r="109" spans="1:37">
      <c r="A109" s="7">
        <v>17</v>
      </c>
      <c r="B109" s="8" t="s">
        <v>131</v>
      </c>
      <c r="C109" s="8" t="s">
        <v>119</v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>
        <v>1644.1449565409632</v>
      </c>
      <c r="N109" s="11">
        <v>1651.5042787879006</v>
      </c>
      <c r="O109" s="11">
        <v>1690.6728953886968</v>
      </c>
      <c r="P109" s="11">
        <v>1694.5798891269478</v>
      </c>
      <c r="Q109" s="11">
        <v>1715</v>
      </c>
      <c r="R109" s="11">
        <v>1745.3009165748986</v>
      </c>
      <c r="S109" s="11">
        <v>1743.6913916463036</v>
      </c>
      <c r="T109" s="11">
        <v>1720</v>
      </c>
      <c r="U109" s="11">
        <f t="shared" ref="U109:AK109" si="0">U106+U107+U112</f>
        <v>1734.3500658662754</v>
      </c>
      <c r="V109" s="11">
        <f t="shared" si="0"/>
        <v>1728.7305167702305</v>
      </c>
      <c r="W109" s="11">
        <f t="shared" si="0"/>
        <v>1739.7965834595875</v>
      </c>
      <c r="X109" s="11">
        <f t="shared" si="0"/>
        <v>1734.0493598176865</v>
      </c>
      <c r="Y109" s="11">
        <f t="shared" si="0"/>
        <v>1750.3062103812351</v>
      </c>
      <c r="Z109" s="11">
        <f t="shared" si="0"/>
        <v>1758.8874964412764</v>
      </c>
      <c r="AA109" s="11">
        <f t="shared" si="0"/>
        <v>1747.1230140826428</v>
      </c>
      <c r="AB109" s="11">
        <f t="shared" si="0"/>
        <v>1752.2772050275885</v>
      </c>
      <c r="AC109" s="11">
        <f t="shared" si="0"/>
        <v>1743.8720677896042</v>
      </c>
      <c r="AD109" s="11">
        <f t="shared" si="0"/>
        <v>1742.5784080466631</v>
      </c>
      <c r="AE109" s="11">
        <f t="shared" si="0"/>
        <v>1743.6357378122664</v>
      </c>
      <c r="AF109" s="11">
        <f t="shared" si="0"/>
        <v>1743.3737753773676</v>
      </c>
      <c r="AG109" s="11" t="e">
        <f t="shared" si="0"/>
        <v>#DIV/0!</v>
      </c>
      <c r="AH109" s="11" t="e">
        <f t="shared" si="0"/>
        <v>#DIV/0!</v>
      </c>
      <c r="AI109" s="11" t="e">
        <f t="shared" si="0"/>
        <v>#DIV/0!</v>
      </c>
      <c r="AJ109" s="11" t="e">
        <f t="shared" si="0"/>
        <v>#DIV/0!</v>
      </c>
      <c r="AK109" s="11">
        <f t="shared" si="0"/>
        <v>1743.1964708237558</v>
      </c>
    </row>
    <row r="110" spans="1:37">
      <c r="A110" s="7">
        <v>18</v>
      </c>
      <c r="B110" s="8" t="s">
        <v>132</v>
      </c>
      <c r="C110" s="8" t="s">
        <v>119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>
        <v>1715</v>
      </c>
      <c r="T110" s="11"/>
      <c r="U110" s="11">
        <v>1711</v>
      </c>
      <c r="V110" s="11">
        <v>1705</v>
      </c>
      <c r="W110" s="11">
        <v>1715</v>
      </c>
      <c r="X110" s="11"/>
      <c r="Y110" s="11">
        <v>1718</v>
      </c>
      <c r="Z110" s="11">
        <v>1734</v>
      </c>
      <c r="AA110" s="11">
        <v>1709</v>
      </c>
      <c r="AB110" s="11"/>
      <c r="AC110" s="11">
        <v>1705</v>
      </c>
      <c r="AD110" s="11">
        <v>1712</v>
      </c>
      <c r="AE110" s="11">
        <v>1715</v>
      </c>
      <c r="AF110" s="11"/>
      <c r="AG110" s="11"/>
      <c r="AH110" s="11"/>
      <c r="AI110" s="11"/>
      <c r="AJ110" s="11"/>
      <c r="AK110" s="11">
        <v>1714</v>
      </c>
    </row>
    <row r="111" spans="1:37">
      <c r="A111" s="7">
        <v>19</v>
      </c>
      <c r="B111" s="7" t="s">
        <v>133</v>
      </c>
      <c r="C111" s="8" t="s">
        <v>119</v>
      </c>
      <c r="D111" s="11"/>
      <c r="E111" s="11"/>
      <c r="F111" s="11"/>
      <c r="G111" s="11"/>
      <c r="H111" s="11"/>
      <c r="I111" s="11"/>
      <c r="J111" s="11"/>
      <c r="K111" s="9">
        <v>20.11</v>
      </c>
      <c r="L111" s="9">
        <v>3.182449426837402</v>
      </c>
      <c r="M111" s="9">
        <v>2.9096521851752044</v>
      </c>
      <c r="N111" s="9">
        <v>6.7006125809559443</v>
      </c>
      <c r="O111" s="9">
        <v>5.152733000041124</v>
      </c>
      <c r="P111" s="9">
        <v>8.1198724789512848</v>
      </c>
      <c r="Q111" s="9">
        <v>3</v>
      </c>
      <c r="R111" s="9">
        <v>6.1083473060740374</v>
      </c>
      <c r="S111" s="9">
        <v>2.8240349899164809</v>
      </c>
      <c r="T111" s="11">
        <v>0</v>
      </c>
      <c r="U111" s="9">
        <f>([1]TK1!C113*1000/([1]TK1!C101+[1]TK1!C102+[1]TK1!C103))</f>
        <v>0</v>
      </c>
      <c r="V111" s="9">
        <f>([1]TK1!D113*1000/([1]TK1!D101+[1]TK1!D102+[1]TK1!D103))</f>
        <v>0</v>
      </c>
      <c r="W111" s="9">
        <f>([1]TK1!E113*1000/([1]TK1!E101+[1]TK1!E102+[1]TK1!E103))</f>
        <v>0</v>
      </c>
      <c r="X111" s="9">
        <f>([1]TK1!F113*1000/([1]TK1!F101+[1]TK1!F102+[1]TK1!F103))</f>
        <v>0</v>
      </c>
      <c r="Y111" s="9">
        <f>([1]TK1!G113*1000/([1]TK1!G101+[1]TK1!G102+[1]TK1!G103))</f>
        <v>0</v>
      </c>
      <c r="Z111" s="9">
        <f>([1]TK1!H113*1000/([1]TK1!H101+[1]TK1!H102+[1]TK1!H103))</f>
        <v>0</v>
      </c>
      <c r="AA111" s="9">
        <f>([1]TK1!I113*1000/([1]TK1!I101+[1]TK1!I102+[1]TK1!I103))</f>
        <v>0</v>
      </c>
      <c r="AB111" s="9">
        <f>([1]TK1!J113*1000/([1]TK1!J101+[1]TK1!J102+[1]TK1!J103))</f>
        <v>0</v>
      </c>
      <c r="AC111" s="9">
        <f>([1]TK1!K113*1000/([1]TK1!K101+[1]TK1!K102+[1]TK1!K103))</f>
        <v>0</v>
      </c>
      <c r="AD111" s="9">
        <f>([1]TK1!L113*1000/([1]TK1!L101+[1]TK1!L102+[1]TK1!L103))</f>
        <v>0</v>
      </c>
      <c r="AE111" s="9">
        <f>([1]TK1!M113*1000/([1]TK1!M101+[1]TK1!M102+[1]TK1!M103))</f>
        <v>0</v>
      </c>
      <c r="AF111" s="9">
        <f>([1]TK1!N113*1000/([1]TK1!N101+[1]TK1!N102+[1]TK1!N103))</f>
        <v>0</v>
      </c>
      <c r="AG111" s="9" t="e">
        <f>([1]TK1!O113*1000/([1]TK1!O101+[1]TK1!O102+[1]TK1!O103))</f>
        <v>#DIV/0!</v>
      </c>
      <c r="AH111" s="9" t="e">
        <f>([1]TK1!P113*1000/([1]TK1!P101+[1]TK1!P102+[1]TK1!P103))</f>
        <v>#DIV/0!</v>
      </c>
      <c r="AI111" s="9" t="e">
        <f>([1]TK1!Q113*1000/([1]TK1!Q101+[1]TK1!Q102+[1]TK1!Q103))</f>
        <v>#DIV/0!</v>
      </c>
      <c r="AJ111" s="9" t="e">
        <f>([1]TK1!R113*1000/([1]TK1!R101+[1]TK1!R102+[1]TK1!R103))</f>
        <v>#DIV/0!</v>
      </c>
      <c r="AK111" s="11">
        <f>[1]TK1!S113/([1]TK1!S101+[1]TK1!S102+[1]TK1!S103)*1000</f>
        <v>0</v>
      </c>
    </row>
    <row r="112" spans="1:37">
      <c r="A112" s="7">
        <v>20</v>
      </c>
      <c r="B112" s="7" t="s">
        <v>134</v>
      </c>
      <c r="C112" s="8" t="s">
        <v>119</v>
      </c>
      <c r="D112" s="11"/>
      <c r="E112" s="11"/>
      <c r="F112" s="11"/>
      <c r="G112" s="11"/>
      <c r="H112" s="11"/>
      <c r="I112" s="11"/>
      <c r="J112" s="11"/>
      <c r="K112" s="9">
        <v>20.11</v>
      </c>
      <c r="L112" s="9">
        <v>3.182449426837402</v>
      </c>
      <c r="M112" s="9">
        <v>2.9096521851752044</v>
      </c>
      <c r="N112" s="9">
        <v>6.7006125809559443</v>
      </c>
      <c r="O112" s="9">
        <v>5.152733000041124</v>
      </c>
      <c r="P112" s="9">
        <v>8.1198724789512848</v>
      </c>
      <c r="Q112" s="9">
        <v>19.012213802630715</v>
      </c>
      <c r="R112" s="9">
        <v>19.860429382783003</v>
      </c>
      <c r="S112" s="9">
        <v>77.749003073658059</v>
      </c>
      <c r="T112" s="11">
        <v>162</v>
      </c>
      <c r="U112" s="9">
        <f>([1]TK1!C115*1000/([1]TK1!C101+[1]TK1!C102+[1]TK1!C103))</f>
        <v>51.962065309357293</v>
      </c>
      <c r="V112" s="9">
        <f>([1]TK1!D115*1000/([1]TK1!D101+[1]TK1!D102+[1]TK1!D103))</f>
        <v>30.904214695486917</v>
      </c>
      <c r="W112" s="9">
        <f>([1]TK1!E115*1000/([1]TK1!E101+[1]TK1!E102+[1]TK1!E103))</f>
        <v>141.14303757499209</v>
      </c>
      <c r="X112" s="9">
        <f>([1]TK1!F115*1000/([1]TK1!F101+[1]TK1!F102+[1]TK1!F103))</f>
        <v>72.168783833329741</v>
      </c>
      <c r="Y112" s="9">
        <f>([1]TK1!G115*1000/([1]TK1!G101+[1]TK1!G102+[1]TK1!G103))</f>
        <v>224.37102214175943</v>
      </c>
      <c r="Z112" s="9">
        <f>([1]TK1!H115*1000/([1]TK1!H101+[1]TK1!H102+[1]TK1!H103))</f>
        <v>108.46989519392716</v>
      </c>
      <c r="AA112" s="9">
        <f>([1]TK1!I115*1000/([1]TK1!I101+[1]TK1!I102+[1]TK1!I103))</f>
        <v>91.594328442607662</v>
      </c>
      <c r="AB112" s="9">
        <f>([1]TK1!J115*1000/([1]TK1!J101+[1]TK1!J102+[1]TK1!J103))</f>
        <v>144.59501498125297</v>
      </c>
      <c r="AC112" s="9">
        <f>([1]TK1!K115*1000/([1]TK1!K101+[1]TK1!K102+[1]TK1!K103))</f>
        <v>71.530432985429371</v>
      </c>
      <c r="AD112" s="9">
        <f>([1]TK1!L115*1000/([1]TK1!L101+[1]TK1!L102+[1]TK1!L103))</f>
        <v>0</v>
      </c>
      <c r="AE112" s="9">
        <f>([1]TK1!M115*1000/([1]TK1!M101+[1]TK1!M102+[1]TK1!M103))</f>
        <v>5.7954872994596291</v>
      </c>
      <c r="AF112" s="9">
        <f>([1]TK1!N115*1000/([1]TK1!N101+[1]TK1!N102+[1]TK1!N103))</f>
        <v>26.940339988376156</v>
      </c>
      <c r="AG112" s="9" t="e">
        <f>([1]TK1!O115*1000/([1]TK1!O101+[1]TK1!O102+[1]TK1!O103))</f>
        <v>#DIV/0!</v>
      </c>
      <c r="AH112" s="9" t="e">
        <f>([1]TK1!P115*1000/([1]TK1!P101+[1]TK1!P102+[1]TK1!P103))</f>
        <v>#DIV/0!</v>
      </c>
      <c r="AI112" s="9" t="e">
        <f>([1]TK1!Q115*1000/([1]TK1!Q101+[1]TK1!Q102+[1]TK1!Q103))</f>
        <v>#DIV/0!</v>
      </c>
      <c r="AJ112" s="9" t="e">
        <f>([1]TK1!R115*1000/([1]TK1!R101+[1]TK1!R102+[1]TK1!R103))</f>
        <v>#DIV/0!</v>
      </c>
      <c r="AK112" s="11">
        <f>([1]TK1!S115*1000/([1]TK1!S101+[1]TK1!S102+[1]TK1!S103))</f>
        <v>81.112020955086933</v>
      </c>
    </row>
    <row r="113" spans="1:37">
      <c r="A113" s="7">
        <v>21</v>
      </c>
      <c r="B113" s="8" t="s">
        <v>135</v>
      </c>
      <c r="C113" s="8" t="s">
        <v>119</v>
      </c>
      <c r="D113" s="11">
        <v>5.4395606367250862</v>
      </c>
      <c r="E113" s="11">
        <v>7</v>
      </c>
      <c r="F113" s="11">
        <v>3</v>
      </c>
      <c r="G113" s="11">
        <v>2.5619751825749217</v>
      </c>
      <c r="H113" s="11">
        <v>0.51450577129958619</v>
      </c>
      <c r="I113" s="11">
        <v>0.75914353730455009</v>
      </c>
      <c r="J113" s="11">
        <v>0.28089422854941176</v>
      </c>
      <c r="K113" s="11">
        <v>1.6070228768718902</v>
      </c>
      <c r="L113" s="11">
        <v>0.16369856191799492</v>
      </c>
      <c r="M113" s="11">
        <v>6.6581597363627315E-2</v>
      </c>
      <c r="N113" s="11">
        <v>0.36874156096979033</v>
      </c>
      <c r="O113" s="9">
        <v>0.50646162139139583</v>
      </c>
      <c r="P113" s="9">
        <v>0.39120630035263743</v>
      </c>
      <c r="Q113" s="9">
        <v>0.40984162884115583</v>
      </c>
      <c r="R113" s="9">
        <v>0.8335224034220764</v>
      </c>
      <c r="S113" s="9">
        <v>9.5812572975889798E-2</v>
      </c>
      <c r="T113" s="11">
        <v>10</v>
      </c>
      <c r="U113" s="9">
        <f>([1]TK1!C117*1000/([1]TK1!C101+[1]TK1!C102+[1]TK1!C103))</f>
        <v>8.0324726092684026E-2</v>
      </c>
      <c r="V113" s="9">
        <f>([1]TK1!D117*1000/([1]TK1!D101+[1]TK1!D102+[1]TK1!D103))</f>
        <v>0</v>
      </c>
      <c r="W113" s="9">
        <f>([1]TK1!E117*1000/([1]TK1!E101+[1]TK1!E102+[1]TK1!E103))</f>
        <v>0</v>
      </c>
      <c r="X113" s="9">
        <f>([1]TK1!F117*1000/([1]TK1!F101+[1]TK1!F102+[1]TK1!F103))</f>
        <v>2.6958828477149695E-2</v>
      </c>
      <c r="Y113" s="9">
        <f>([1]TK1!G117*1000/([1]TK1!G101+[1]TK1!G102+[1]TK1!G103))</f>
        <v>0</v>
      </c>
      <c r="Z113" s="9">
        <f>([1]TK1!H117*1000/([1]TK1!H101+[1]TK1!H102+[1]TK1!H103))</f>
        <v>0.38580554868200845</v>
      </c>
      <c r="AA113" s="9">
        <f>([1]TK1!I117*1000/([1]TK1!I101+[1]TK1!I102+[1]TK1!I103))</f>
        <v>4.511739546299471E-2</v>
      </c>
      <c r="AB113" s="9">
        <f>([1]TK1!J117*1000/([1]TK1!J101+[1]TK1!J102+[1]TK1!J103))</f>
        <v>0.14553736944843157</v>
      </c>
      <c r="AC113" s="9">
        <f>([1]TK1!K117*1000/([1]TK1!K101+[1]TK1!K102+[1]TK1!K103))</f>
        <v>0</v>
      </c>
      <c r="AD113" s="9">
        <f>([1]TK1!L117*1000/([1]TK1!L101+[1]TK1!L102+[1]TK1!L103))</f>
        <v>0</v>
      </c>
      <c r="AE113" s="9">
        <f>([1]TK1!M117*1000/([1]TK1!M101+[1]TK1!M102+[1]TK1!M103))</f>
        <v>0</v>
      </c>
      <c r="AF113" s="9">
        <f>([1]TK1!N117*1000/([1]TK1!N101+[1]TK1!N102+[1]TK1!N103))</f>
        <v>0</v>
      </c>
      <c r="AG113" s="9" t="e">
        <f>([1]TK1!O117*1000/([1]TK1!O101+[1]TK1!O102+[1]TK1!O103))</f>
        <v>#DIV/0!</v>
      </c>
      <c r="AH113" s="9" t="e">
        <f>([1]TK1!P117*1000/([1]TK1!P101+[1]TK1!P102+[1]TK1!P103))</f>
        <v>#DIV/0!</v>
      </c>
      <c r="AI113" s="9" t="e">
        <f>([1]TK1!Q117*1000/([1]TK1!Q101+[1]TK1!Q102+[1]TK1!Q103))</f>
        <v>#DIV/0!</v>
      </c>
      <c r="AJ113" s="9" t="e">
        <f>([1]TK1!R117*1000/([1]TK1!R101+[1]TK1!R102+[1]TK1!R103))</f>
        <v>#DIV/0!</v>
      </c>
      <c r="AK113" s="9">
        <f>([1]TK1!S117*1000/([1]TK1!S101+[1]TK1!S102+[1]TK1!S103))</f>
        <v>5.7283991114348495E-2</v>
      </c>
    </row>
    <row r="114" spans="1:37">
      <c r="A114" s="7">
        <v>22</v>
      </c>
      <c r="B114" s="8" t="s">
        <v>136</v>
      </c>
      <c r="C114" s="8" t="s">
        <v>119</v>
      </c>
      <c r="D114" s="11">
        <v>1.0653052290114686</v>
      </c>
      <c r="E114" s="11">
        <v>2</v>
      </c>
      <c r="F114" s="11">
        <v>5</v>
      </c>
      <c r="G114" s="11">
        <v>10.587847615227016</v>
      </c>
      <c r="H114" s="11">
        <v>7.6651832038984642</v>
      </c>
      <c r="I114" s="11">
        <v>8.0711836552507705</v>
      </c>
      <c r="J114" s="11">
        <v>20.713290118432571</v>
      </c>
      <c r="K114" s="11">
        <v>23.326382133124088</v>
      </c>
      <c r="L114" s="11">
        <v>17.230752845741716</v>
      </c>
      <c r="M114" s="11">
        <v>7.1442700394447485</v>
      </c>
      <c r="N114" s="11">
        <v>4.7017561618100627</v>
      </c>
      <c r="O114" s="12">
        <v>4.9131729807547186</v>
      </c>
      <c r="P114" s="12">
        <v>2.3563420390069649</v>
      </c>
      <c r="Q114" s="11">
        <v>2.7644731525018091</v>
      </c>
      <c r="R114" s="11">
        <v>3.3029622210293899</v>
      </c>
      <c r="S114" s="11">
        <v>3.9816735834992656</v>
      </c>
      <c r="T114" s="12">
        <v>2.5</v>
      </c>
      <c r="U114" s="11">
        <f>([1]TK1!C116*1000/([1]TK1!C101+[1]TK1!C102+[1]TK1!C103))</f>
        <v>5.7646378425849569</v>
      </c>
      <c r="V114" s="11">
        <f>([1]TK1!D116*1000/([1]TK1!D101+[1]TK1!D102+[1]TK1!D103))</f>
        <v>5.4247299687151918</v>
      </c>
      <c r="W114" s="11">
        <f>([1]TK1!E116*1000/([1]TK1!E101+[1]TK1!E102+[1]TK1!E103))</f>
        <v>6.3296089547309844</v>
      </c>
      <c r="X114" s="11">
        <f>([1]TK1!F116*1000/([1]TK1!F101+[1]TK1!F102+[1]TK1!F103))</f>
        <v>5.8195124406007146</v>
      </c>
      <c r="Y114" s="11">
        <f>([1]TK1!G116*1000/([1]TK1!G101+[1]TK1!G102+[1]TK1!G103))</f>
        <v>4.6564434591161197</v>
      </c>
      <c r="Z114" s="11">
        <f>([1]TK1!H116*1000/([1]TK1!H101+[1]TK1!H102+[1]TK1!H103))</f>
        <v>6.1861924185218591</v>
      </c>
      <c r="AA114" s="11">
        <f>([1]TK1!I116*1000/([1]TK1!I101+[1]TK1!I102+[1]TK1!I103))</f>
        <v>6.0637779502264895</v>
      </c>
      <c r="AB114" s="11">
        <f>([1]TK1!J116*1000/([1]TK1!J101+[1]TK1!J102+[1]TK1!J103))</f>
        <v>5.6050079408827207</v>
      </c>
      <c r="AC114" s="11">
        <f>([1]TK1!K116*1000/([1]TK1!K101+[1]TK1!K102+[1]TK1!K103))</f>
        <v>1.4312286865764183</v>
      </c>
      <c r="AD114" s="11">
        <f>([1]TK1!L116*1000/([1]TK1!L101+[1]TK1!L102+[1]TK1!L103))</f>
        <v>2.7929005910621627</v>
      </c>
      <c r="AE114" s="11">
        <f>([1]TK1!M116*1000/([1]TK1!M101+[1]TK1!M102+[1]TK1!M103))</f>
        <v>4.8048535457132706</v>
      </c>
      <c r="AF114" s="11">
        <f>([1]TK1!N116*1000/([1]TK1!N101+[1]TK1!N102+[1]TK1!N103))</f>
        <v>2.9666149447867425</v>
      </c>
      <c r="AG114" s="11" t="e">
        <f>([1]TK1!O116*1000/([1]TK1!O101+[1]TK1!O102+[1]TK1!O103))</f>
        <v>#DIV/0!</v>
      </c>
      <c r="AH114" s="11" t="e">
        <f>([1]TK1!P116*1000/([1]TK1!P101+[1]TK1!P102+[1]TK1!P103))</f>
        <v>#DIV/0!</v>
      </c>
      <c r="AI114" s="11" t="e">
        <f>([1]TK1!Q116*1000/([1]TK1!Q101+[1]TK1!Q102+[1]TK1!Q103))</f>
        <v>#DIV/0!</v>
      </c>
      <c r="AJ114" s="11" t="e">
        <f>([1]TK1!R116*1000/([1]TK1!R101+[1]TK1!R102+[1]TK1!R103))</f>
        <v>#DIV/0!</v>
      </c>
      <c r="AK114" s="11">
        <f>([1]TK1!S116*1000/([1]TK1!S101+[1]TK1!S102+[1]TK1!S103))</f>
        <v>4.7982879925518755</v>
      </c>
    </row>
    <row r="115" spans="1:37">
      <c r="A115" s="7">
        <v>23</v>
      </c>
      <c r="B115" s="8" t="s">
        <v>137</v>
      </c>
      <c r="C115" s="8" t="s">
        <v>119</v>
      </c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2">
        <v>22.06</v>
      </c>
      <c r="P115" s="12">
        <v>6.86</v>
      </c>
      <c r="Q115" s="11">
        <v>15</v>
      </c>
      <c r="R115" s="11">
        <v>4.68</v>
      </c>
      <c r="S115" s="11">
        <v>30.51</v>
      </c>
      <c r="T115" s="12">
        <v>0</v>
      </c>
      <c r="U115" s="11">
        <v>24.37</v>
      </c>
      <c r="V115" s="11">
        <v>18.55</v>
      </c>
      <c r="W115" s="11">
        <v>0</v>
      </c>
      <c r="X115" s="11"/>
      <c r="Y115" s="11">
        <v>0</v>
      </c>
      <c r="Z115" s="11">
        <v>11.1</v>
      </c>
      <c r="AA115" s="11">
        <v>15.7</v>
      </c>
      <c r="AB115" s="11"/>
      <c r="AC115" s="11">
        <v>20.66</v>
      </c>
      <c r="AD115" s="11">
        <v>19.989999999999998</v>
      </c>
      <c r="AE115" s="11">
        <v>19.100000000000001</v>
      </c>
      <c r="AF115" s="11"/>
      <c r="AG115" s="11"/>
      <c r="AH115" s="11"/>
      <c r="AI115" s="11"/>
      <c r="AJ115" s="11"/>
      <c r="AK115" s="11">
        <v>14.21</v>
      </c>
    </row>
    <row r="116" spans="1:37">
      <c r="A116" s="7">
        <v>24</v>
      </c>
      <c r="B116" s="8" t="s">
        <v>138</v>
      </c>
      <c r="C116" s="8" t="s">
        <v>119</v>
      </c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2">
        <v>24.16</v>
      </c>
      <c r="P116" s="12">
        <v>4.49</v>
      </c>
      <c r="Q116" s="11">
        <v>10</v>
      </c>
      <c r="R116" s="11">
        <v>4.7300000000000004</v>
      </c>
      <c r="S116" s="11">
        <v>27.64</v>
      </c>
      <c r="T116" s="12">
        <v>0</v>
      </c>
      <c r="U116" s="11">
        <v>22.05</v>
      </c>
      <c r="V116" s="11">
        <v>19.57</v>
      </c>
      <c r="W116" s="11">
        <v>0</v>
      </c>
      <c r="X116" s="11"/>
      <c r="Y116" s="11">
        <v>0</v>
      </c>
      <c r="Z116" s="11">
        <v>9.8000000000000007</v>
      </c>
      <c r="AA116" s="11">
        <v>16</v>
      </c>
      <c r="AB116" s="11"/>
      <c r="AC116" s="11">
        <v>22.26</v>
      </c>
      <c r="AD116" s="11">
        <v>21.48</v>
      </c>
      <c r="AE116" s="11">
        <v>19.649999999999999</v>
      </c>
      <c r="AF116" s="11"/>
      <c r="AG116" s="11"/>
      <c r="AH116" s="11"/>
      <c r="AI116" s="11"/>
      <c r="AJ116" s="11"/>
      <c r="AK116" s="11">
        <v>14.9</v>
      </c>
    </row>
    <row r="117" spans="1:37">
      <c r="A117" s="7">
        <v>25</v>
      </c>
      <c r="B117" s="8" t="s">
        <v>139</v>
      </c>
      <c r="C117" s="8" t="s">
        <v>119</v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2">
        <v>36.299999999999997</v>
      </c>
      <c r="P117" s="12">
        <v>39.03</v>
      </c>
      <c r="Q117" s="11">
        <v>37.65</v>
      </c>
      <c r="R117" s="11">
        <v>37.979999999999997</v>
      </c>
      <c r="S117" s="11">
        <v>40.78</v>
      </c>
      <c r="T117" s="12">
        <v>38</v>
      </c>
      <c r="U117" s="11">
        <v>41.54</v>
      </c>
      <c r="V117" s="11">
        <v>37.94</v>
      </c>
      <c r="W117" s="11">
        <v>38.15</v>
      </c>
      <c r="X117" s="11"/>
      <c r="Y117" s="11">
        <v>38.9</v>
      </c>
      <c r="Z117" s="11">
        <v>38.82</v>
      </c>
      <c r="AA117" s="11">
        <v>35.409999999999997</v>
      </c>
      <c r="AB117" s="11"/>
      <c r="AC117" s="11">
        <v>41.75</v>
      </c>
      <c r="AD117" s="11">
        <v>39.35</v>
      </c>
      <c r="AE117" s="11">
        <v>38.94</v>
      </c>
      <c r="AF117" s="11"/>
      <c r="AG117" s="11"/>
      <c r="AH117" s="11"/>
      <c r="AI117" s="11"/>
      <c r="AJ117" s="11"/>
      <c r="AK117" s="11">
        <v>39.04</v>
      </c>
    </row>
    <row r="118" spans="1:37">
      <c r="A118" s="7">
        <v>26</v>
      </c>
      <c r="B118" s="8" t="s">
        <v>140</v>
      </c>
      <c r="C118" s="8" t="s">
        <v>119</v>
      </c>
      <c r="D118" s="9">
        <v>20.855881270019662</v>
      </c>
      <c r="E118" s="9">
        <v>24.77</v>
      </c>
      <c r="F118" s="9">
        <v>24.75</v>
      </c>
      <c r="G118" s="9">
        <v>25.891329270468773</v>
      </c>
      <c r="H118" s="9">
        <v>26.53384479667783</v>
      </c>
      <c r="I118" s="9">
        <v>24.487461803301233</v>
      </c>
      <c r="J118" s="9">
        <v>26.160232442272232</v>
      </c>
      <c r="K118" s="12">
        <v>28.090382708818204</v>
      </c>
      <c r="L118" s="12">
        <v>26.933875724522274</v>
      </c>
      <c r="M118" s="12">
        <v>30.654370079910844</v>
      </c>
      <c r="N118" s="12">
        <v>30.781680425687629</v>
      </c>
      <c r="O118" s="12">
        <v>32.409999999999997</v>
      </c>
      <c r="P118" s="12">
        <v>29.61</v>
      </c>
      <c r="Q118" s="11">
        <v>30</v>
      </c>
      <c r="R118" s="11">
        <v>25.06</v>
      </c>
      <c r="S118" s="11">
        <v>36.630000000000003</v>
      </c>
      <c r="T118" s="11">
        <v>23</v>
      </c>
      <c r="U118" s="11">
        <v>35.11</v>
      </c>
      <c r="V118" s="11">
        <v>30.92</v>
      </c>
      <c r="W118" s="11">
        <v>24.79</v>
      </c>
      <c r="X118" s="11"/>
      <c r="Y118" s="11">
        <v>25.13</v>
      </c>
      <c r="Z118" s="11">
        <v>28.23</v>
      </c>
      <c r="AA118" s="11">
        <v>28.49</v>
      </c>
      <c r="AB118" s="11"/>
      <c r="AC118" s="11">
        <v>34.549999999999997</v>
      </c>
      <c r="AD118" s="11">
        <v>32.86</v>
      </c>
      <c r="AE118" s="11">
        <v>31.4</v>
      </c>
      <c r="AF118" s="11"/>
      <c r="AG118" s="11"/>
      <c r="AH118" s="11"/>
      <c r="AI118" s="11"/>
      <c r="AJ118" s="11"/>
      <c r="AK118" s="11">
        <v>30.21</v>
      </c>
    </row>
    <row r="119" spans="1:37">
      <c r="A119" s="7">
        <v>27</v>
      </c>
      <c r="B119" s="8" t="s">
        <v>141</v>
      </c>
      <c r="C119" s="8" t="s">
        <v>47</v>
      </c>
      <c r="D119" s="12">
        <v>71.103264495270352</v>
      </c>
      <c r="E119" s="12">
        <v>71.5</v>
      </c>
      <c r="F119" s="12">
        <v>71.3</v>
      </c>
      <c r="G119" s="12">
        <v>70.043855641143978</v>
      </c>
      <c r="H119" s="12">
        <v>70.949579889861667</v>
      </c>
      <c r="I119" s="12">
        <v>71.849441691195011</v>
      </c>
      <c r="J119" s="12">
        <v>72.142484542389226</v>
      </c>
      <c r="K119" s="12">
        <v>74.004360841788781</v>
      </c>
      <c r="L119" s="12">
        <v>75.65127003641301</v>
      </c>
      <c r="M119" s="12">
        <v>75.766896555151732</v>
      </c>
      <c r="N119" s="12">
        <v>73.001012616675581</v>
      </c>
      <c r="O119" s="12">
        <v>74.491062341955129</v>
      </c>
      <c r="P119" s="12">
        <v>73.517595670555608</v>
      </c>
      <c r="Q119" s="9">
        <v>76.099999999999994</v>
      </c>
      <c r="R119" s="9">
        <v>72.209999999999994</v>
      </c>
      <c r="S119" s="9">
        <v>71.260000000000005</v>
      </c>
      <c r="T119" s="11">
        <v>72</v>
      </c>
      <c r="U119" s="9">
        <v>72.03</v>
      </c>
      <c r="V119" s="9">
        <v>71.78</v>
      </c>
      <c r="W119" s="9">
        <v>70.209999999999994</v>
      </c>
      <c r="X119" s="9"/>
      <c r="Y119" s="9">
        <v>72.56</v>
      </c>
      <c r="Z119" s="9">
        <v>72.77</v>
      </c>
      <c r="AA119" s="9">
        <v>69.790000000000006</v>
      </c>
      <c r="AB119" s="9"/>
      <c r="AC119" s="9">
        <v>68.78</v>
      </c>
      <c r="AD119" s="9">
        <v>71.069999999999993</v>
      </c>
      <c r="AE119" s="9">
        <v>71.83</v>
      </c>
      <c r="AF119" s="9"/>
      <c r="AG119" s="12"/>
      <c r="AH119" s="12"/>
      <c r="AI119" s="12"/>
      <c r="AJ119" s="9"/>
      <c r="AK119" s="9">
        <v>71.23</v>
      </c>
    </row>
    <row r="120" spans="1:37">
      <c r="A120" s="7">
        <v>28</v>
      </c>
      <c r="B120" s="8" t="s">
        <v>142</v>
      </c>
      <c r="C120" s="8" t="s">
        <v>47</v>
      </c>
      <c r="D120" s="9">
        <v>20.027400473687358</v>
      </c>
      <c r="E120" s="9">
        <v>17</v>
      </c>
      <c r="F120" s="12">
        <v>18</v>
      </c>
      <c r="G120" s="12">
        <v>17.761397183789406</v>
      </c>
      <c r="H120" s="12">
        <v>18.702476439899325</v>
      </c>
      <c r="I120" s="12">
        <v>16.95</v>
      </c>
      <c r="J120" s="12">
        <v>15.562034938104105</v>
      </c>
      <c r="K120" s="9">
        <v>17.982362913385419</v>
      </c>
      <c r="L120" s="9">
        <v>20.217404465515187</v>
      </c>
      <c r="M120" s="9">
        <v>23.545300528436496</v>
      </c>
      <c r="N120" s="9">
        <v>20.866743634337194</v>
      </c>
      <c r="O120" s="12">
        <v>21.4</v>
      </c>
      <c r="P120" s="12">
        <v>19.7</v>
      </c>
      <c r="Q120" s="21">
        <v>21.7</v>
      </c>
      <c r="R120" s="21">
        <v>22.59</v>
      </c>
      <c r="S120" s="21">
        <v>23.08</v>
      </c>
      <c r="T120" s="12">
        <v>20.399999999999999</v>
      </c>
      <c r="U120" s="22">
        <v>23.12</v>
      </c>
      <c r="V120" s="22">
        <v>18.989999999999998</v>
      </c>
      <c r="W120" s="21">
        <v>22.72</v>
      </c>
      <c r="X120" s="9"/>
      <c r="Y120" s="3">
        <v>22.95</v>
      </c>
      <c r="Z120" s="9">
        <v>22.73</v>
      </c>
      <c r="AA120" s="12">
        <v>25.76</v>
      </c>
      <c r="AB120" s="20"/>
      <c r="AC120" s="12">
        <v>24.72</v>
      </c>
      <c r="AD120" s="12">
        <v>25.87</v>
      </c>
      <c r="AE120" s="9">
        <v>24.55</v>
      </c>
      <c r="AF120" s="20"/>
      <c r="AG120" s="9"/>
      <c r="AH120" s="9"/>
      <c r="AI120" s="9"/>
      <c r="AJ120" s="20"/>
      <c r="AK120" s="22">
        <v>23.46</v>
      </c>
    </row>
    <row r="121" spans="1:37">
      <c r="A121" s="7">
        <v>29</v>
      </c>
      <c r="B121" s="8" t="s">
        <v>143</v>
      </c>
      <c r="C121" s="8" t="s">
        <v>144</v>
      </c>
      <c r="D121" s="11">
        <v>963.66666666666663</v>
      </c>
      <c r="E121" s="11">
        <v>978</v>
      </c>
      <c r="F121" s="11">
        <v>962</v>
      </c>
      <c r="G121" s="11">
        <v>964.08333333333337</v>
      </c>
      <c r="H121" s="11">
        <v>958.08333333333337</v>
      </c>
      <c r="I121" s="11">
        <v>891.91666666666663</v>
      </c>
      <c r="J121" s="11">
        <v>871.58333333333337</v>
      </c>
      <c r="K121" s="11">
        <v>962.58333333333337</v>
      </c>
      <c r="L121" s="11">
        <v>953.16666666666663</v>
      </c>
      <c r="M121" s="11">
        <v>1074.5</v>
      </c>
      <c r="N121" s="11">
        <v>1060.75</v>
      </c>
      <c r="O121" s="11">
        <v>1040.5</v>
      </c>
      <c r="P121" s="11">
        <v>1107.75</v>
      </c>
      <c r="Q121" s="11">
        <v>1112</v>
      </c>
      <c r="R121" s="11">
        <v>1094.1666666666667</v>
      </c>
      <c r="S121" s="11">
        <v>1087.8333333333333</v>
      </c>
      <c r="T121" s="3">
        <v>1150</v>
      </c>
      <c r="U121" s="11">
        <f>[1]TK1!C120/[1]TK1!C337</f>
        <v>1111</v>
      </c>
      <c r="V121" s="11">
        <f>[1]TK1!D120/[1]TK1!D337</f>
        <v>1104</v>
      </c>
      <c r="W121" s="11">
        <f>[1]TK1!E120/[1]TK1!E337</f>
        <v>1078</v>
      </c>
      <c r="X121" s="11">
        <f>[1]TK1!F120/[1]TK1!F337</f>
        <v>1097.6666666666667</v>
      </c>
      <c r="Y121" s="11">
        <f>[1]TK1!G120/[1]TK1!G337</f>
        <v>1097</v>
      </c>
      <c r="Z121" s="11">
        <f>[1]TK1!H120/[1]TK1!H337</f>
        <v>1100</v>
      </c>
      <c r="AA121" s="11">
        <f>[1]TK1!I120/[1]TK1!I337</f>
        <v>1089</v>
      </c>
      <c r="AB121" s="11">
        <f>[1]TK1!J120/[1]TK1!J337</f>
        <v>1095.3333333333333</v>
      </c>
      <c r="AC121" s="11">
        <f>[1]TK1!K120/[1]TK1!K337</f>
        <v>1072</v>
      </c>
      <c r="AD121" s="11">
        <f>[1]TK1!L120/[1]TK1!L337</f>
        <v>1092</v>
      </c>
      <c r="AE121" s="11">
        <f>[1]TK1!M120/[1]TK1!M337</f>
        <v>1098</v>
      </c>
      <c r="AF121" s="11">
        <f>[1]TK1!N120/[1]TK1!N337</f>
        <v>1087.3333333333333</v>
      </c>
      <c r="AG121" s="11" t="e">
        <f>[1]TK1!O120/[1]TK1!O337</f>
        <v>#DIV/0!</v>
      </c>
      <c r="AH121" s="11" t="e">
        <f>[1]TK1!P120/[1]TK1!P337</f>
        <v>#DIV/0!</v>
      </c>
      <c r="AI121" s="11" t="e">
        <f>[1]TK1!Q120/[1]TK1!Q337</f>
        <v>#DIV/0!</v>
      </c>
      <c r="AJ121" s="11" t="e">
        <f>[1]TK1!R120/[1]TK1!R337</f>
        <v>#DIV/0!</v>
      </c>
      <c r="AK121" s="11">
        <v>1096</v>
      </c>
    </row>
    <row r="122" spans="1:37">
      <c r="A122" s="7">
        <v>30</v>
      </c>
      <c r="B122" s="8" t="s">
        <v>145</v>
      </c>
      <c r="C122" s="8" t="s">
        <v>146</v>
      </c>
      <c r="D122" s="11">
        <v>403.26086566478637</v>
      </c>
      <c r="E122" s="11">
        <v>400</v>
      </c>
      <c r="F122" s="11">
        <v>393</v>
      </c>
      <c r="G122" s="11">
        <v>398.35349352950396</v>
      </c>
      <c r="H122" s="11">
        <v>397.69347235960663</v>
      </c>
      <c r="I122" s="11">
        <v>395.46221527890492</v>
      </c>
      <c r="J122" s="11">
        <v>404.43686813572117</v>
      </c>
      <c r="K122" s="11">
        <v>389.1988929186773</v>
      </c>
      <c r="L122" s="11">
        <v>375.32661643290317</v>
      </c>
      <c r="M122" s="11">
        <v>368.02977942744997</v>
      </c>
      <c r="N122" s="11">
        <v>378.81447178072648</v>
      </c>
      <c r="O122" s="11">
        <v>382.48356997315989</v>
      </c>
      <c r="P122" s="11">
        <v>389.88232359989252</v>
      </c>
      <c r="Q122" s="11">
        <v>364.62147862506225</v>
      </c>
      <c r="R122" s="11">
        <v>389.97688733451758</v>
      </c>
      <c r="S122" s="11">
        <v>387.89940561406002</v>
      </c>
      <c r="T122" s="11">
        <v>390</v>
      </c>
      <c r="U122" s="11">
        <f>[1]TK1!C121*1000/([1]TK1!C101+[1]TK1!C102+[1]TK1!C103)</f>
        <v>384.60549849525012</v>
      </c>
      <c r="V122" s="11">
        <f>[1]TK1!D121*1000/([1]TK1!D101+[1]TK1!D102+[1]TK1!D103)</f>
        <v>380.93377414550355</v>
      </c>
      <c r="W122" s="11">
        <f>[1]TK1!E121*1000/([1]TK1!E101+[1]TK1!E102+[1]TK1!E103)</f>
        <v>384.99955098883845</v>
      </c>
      <c r="X122" s="11">
        <f>[1]TK1!F121*1000/([1]TK1!F101+[1]TK1!F102+[1]TK1!F103)</f>
        <v>383.42732978195698</v>
      </c>
      <c r="Y122" s="11">
        <f>[1]TK1!G121*1000/([1]TK1!G101+[1]TK1!G102+[1]TK1!G103)</f>
        <v>389.55841778091445</v>
      </c>
      <c r="Z122" s="11">
        <f>[1]TK1!H121*1000/([1]TK1!H101+[1]TK1!H102+[1]TK1!H103)</f>
        <v>404.03419567525282</v>
      </c>
      <c r="AA122" s="11">
        <f>[1]TK1!I121*1000/([1]TK1!I101+[1]TK1!I102+[1]TK1!I103)</f>
        <v>400.48004908772629</v>
      </c>
      <c r="AB122" s="11">
        <f>[1]TK1!J121*1000/([1]TK1!J101+[1]TK1!J102+[1]TK1!J103)</f>
        <v>397.81002643322472</v>
      </c>
      <c r="AC122" s="11">
        <f>[1]TK1!K121*1000/([1]TK1!K101+[1]TK1!K102+[1]TK1!K103)</f>
        <v>393.76356308773381</v>
      </c>
      <c r="AD122" s="11">
        <f>[1]TK1!L121*1000/([1]TK1!L101+[1]TK1!L102+[1]TK1!L103)</f>
        <v>396.17822370411909</v>
      </c>
      <c r="AE122" s="11">
        <f>[1]TK1!M121*1000/([1]TK1!M101+[1]TK1!M102+[1]TK1!M103)</f>
        <v>394.61084044360246</v>
      </c>
      <c r="AF122" s="11">
        <f>[1]TK1!N121*1000/([1]TK1!N101+[1]TK1!N102+[1]TK1!N103)</f>
        <v>394.82503580397349</v>
      </c>
      <c r="AG122" s="11" t="e">
        <f>[1]TK1!O121*1000/([1]TK1!O101+[1]TK1!O102+[1]TK1!O103)</f>
        <v>#DIV/0!</v>
      </c>
      <c r="AH122" s="11" t="e">
        <f>[1]TK1!P121*1000/([1]TK1!P101+[1]TK1!P102+[1]TK1!P103)</f>
        <v>#DIV/0!</v>
      </c>
      <c r="AI122" s="11" t="e">
        <f>[1]TK1!Q121*1000/([1]TK1!Q101+[1]TK1!Q102+[1]TK1!Q103)</f>
        <v>#DIV/0!</v>
      </c>
      <c r="AJ122" s="11" t="e">
        <f>[1]TK1!R121*1000/([1]TK1!R101+[1]TK1!R102+[1]TK1!R103)</f>
        <v>#DIV/0!</v>
      </c>
      <c r="AK122" s="11">
        <f>[1]TK1!S121*1000/([1]TK1!S101+[1]TK1!S102+[1]TK1!S103)</f>
        <v>391.99043176451579</v>
      </c>
    </row>
    <row r="123" spans="1:37">
      <c r="A123" s="7">
        <v>31</v>
      </c>
      <c r="B123" s="8" t="s">
        <v>147</v>
      </c>
      <c r="C123" s="8" t="s">
        <v>148</v>
      </c>
      <c r="D123" s="9">
        <v>0.94499999999999995</v>
      </c>
      <c r="E123" s="9">
        <v>0.94</v>
      </c>
      <c r="F123" s="9">
        <v>0.94</v>
      </c>
      <c r="G123" s="9">
        <v>0.93916666666666659</v>
      </c>
      <c r="H123" s="9">
        <v>0.94</v>
      </c>
      <c r="I123" s="9">
        <v>0.94166666666666676</v>
      </c>
      <c r="J123" s="9">
        <v>0.94583333333333341</v>
      </c>
      <c r="K123" s="9">
        <v>0.95916666666666661</v>
      </c>
      <c r="L123" s="9">
        <v>0.97166666666666679</v>
      </c>
      <c r="M123" s="9">
        <v>0.97500000000000009</v>
      </c>
      <c r="N123" s="9">
        <v>1.0691666666666666</v>
      </c>
      <c r="O123" s="9">
        <v>0.99583333333333324</v>
      </c>
      <c r="P123" s="9">
        <v>0.99583333333333346</v>
      </c>
      <c r="Q123" s="9">
        <v>0.99416666666666664</v>
      </c>
      <c r="R123" s="9">
        <v>0.99583333333333346</v>
      </c>
      <c r="S123" s="9">
        <v>1.0016666666666667</v>
      </c>
      <c r="T123" s="3">
        <v>0.98</v>
      </c>
      <c r="U123" s="12">
        <f>[1]TK1!C122</f>
        <v>0.99</v>
      </c>
      <c r="V123" s="9">
        <f>[1]TK1!D122</f>
        <v>1</v>
      </c>
      <c r="W123" s="9">
        <f>[1]TK1!E122</f>
        <v>1</v>
      </c>
      <c r="X123" s="9">
        <f>[1]TK1!F122</f>
        <v>0.9966666666666667</v>
      </c>
      <c r="Y123" s="9">
        <f>[1]TK1!G122</f>
        <v>0.99</v>
      </c>
      <c r="Z123" s="9">
        <f>[1]TK1!H122</f>
        <v>0.99</v>
      </c>
      <c r="AA123" s="9">
        <f>[1]TK1!I122</f>
        <v>1</v>
      </c>
      <c r="AB123" s="9">
        <f>[1]TK1!J122</f>
        <v>0.99333333333333329</v>
      </c>
      <c r="AC123" s="9">
        <f>[1]TK1!K122</f>
        <v>1</v>
      </c>
      <c r="AD123" s="9">
        <f>[1]TK1!L122</f>
        <v>1</v>
      </c>
      <c r="AE123" s="9">
        <f>[1]TK1!M122</f>
        <v>1</v>
      </c>
      <c r="AF123" s="9">
        <f>[1]TK1!N122</f>
        <v>1</v>
      </c>
      <c r="AG123" s="9">
        <f>[1]TK1!O122</f>
        <v>0</v>
      </c>
      <c r="AH123" s="9">
        <f>[1]TK1!P122</f>
        <v>0</v>
      </c>
      <c r="AI123" s="9">
        <f>[1]TK1!Q122</f>
        <v>0</v>
      </c>
      <c r="AJ123" s="9" t="e">
        <f>[1]TK1!R122</f>
        <v>#DIV/0!</v>
      </c>
      <c r="AK123" s="12">
        <f>[1]TK1!S122/[1]TK1!S337</f>
        <v>0.9966666666666667</v>
      </c>
    </row>
    <row r="124" spans="1:37">
      <c r="A124" s="7">
        <v>32</v>
      </c>
      <c r="B124" s="8" t="s">
        <v>149</v>
      </c>
      <c r="C124" s="16" t="s">
        <v>150</v>
      </c>
      <c r="D124" s="12">
        <v>10.79749478079332</v>
      </c>
      <c r="E124" s="12">
        <v>10.3</v>
      </c>
      <c r="F124" s="12">
        <v>0.55000000000000004</v>
      </c>
      <c r="G124" s="12">
        <v>0.16636167027116952</v>
      </c>
      <c r="H124" s="12">
        <v>0.3482345319080013</v>
      </c>
      <c r="I124" s="12">
        <v>0.50819672131147542</v>
      </c>
      <c r="J124" s="12">
        <v>0.54036171151301282</v>
      </c>
      <c r="K124" s="9">
        <v>6.2971175166297115</v>
      </c>
      <c r="L124" s="9">
        <v>8.6915382535820491</v>
      </c>
      <c r="M124" s="9">
        <v>1.4276116896204232</v>
      </c>
      <c r="N124" s="9">
        <v>2.1018593371059016</v>
      </c>
      <c r="O124" s="9">
        <v>4.6332046332046328</v>
      </c>
      <c r="P124" s="9">
        <v>9.0511638898735676</v>
      </c>
      <c r="Q124" s="9">
        <v>8.4577694820345322</v>
      </c>
      <c r="R124" s="9">
        <v>5.2607248520710064</v>
      </c>
      <c r="S124" s="9">
        <v>2.5006844939308204</v>
      </c>
      <c r="T124" s="3"/>
      <c r="U124" s="9">
        <f>[1]TK1!C124/[1]TK1!C125%</f>
        <v>1.5384615384615385</v>
      </c>
      <c r="V124" s="9">
        <f>[1]TK1!D124/[1]TK1!D125%</f>
        <v>2.0916334661354585</v>
      </c>
      <c r="W124" s="9">
        <f>[1]TK1!E124/[1]TK1!E125%</f>
        <v>1.8626309662398137</v>
      </c>
      <c r="X124" s="9">
        <f>[1]TK1!F124/[1]TK1!F125%</f>
        <v>1.8322762508809021</v>
      </c>
      <c r="Y124" s="9">
        <f>[1]TK1!G124/[1]TK1!G125%</f>
        <v>3.1403336604514229</v>
      </c>
      <c r="Z124" s="9">
        <f>[1]TK1!H124/[1]TK1!H125%</f>
        <v>2.5365853658536586</v>
      </c>
      <c r="AA124" s="9">
        <f>[1]TK1!I124/[1]TK1!I125%</f>
        <v>4.2128603104212861</v>
      </c>
      <c r="AB124" s="9">
        <f>[1]TK1!J124/[1]TK1!J125%</f>
        <v>3.2586558044806515</v>
      </c>
      <c r="AC124" s="9">
        <f>[1]TK1!K124/[1]TK1!K125%</f>
        <v>1.3358778625954197</v>
      </c>
      <c r="AD124" s="9">
        <f>[1]TK1!L124/[1]TK1!L125%</f>
        <v>1.9569471624266144</v>
      </c>
      <c r="AE124" s="9">
        <f>[1]TK1!M124/[1]TK1!M125%</f>
        <v>1.6798418972332017</v>
      </c>
      <c r="AF124" s="9">
        <f>[1]TK1!N124/[1]TK1!N125%</f>
        <v>1.6547696301103179</v>
      </c>
      <c r="AG124" s="9" t="e">
        <f>[1]TK1!O124/[1]TK1!O125%</f>
        <v>#DIV/0!</v>
      </c>
      <c r="AH124" s="9" t="e">
        <f>[1]TK1!P124/[1]TK1!P125%</f>
        <v>#DIV/0!</v>
      </c>
      <c r="AI124" s="9" t="e">
        <f>[1]TK1!Q124/[1]TK1!Q125%</f>
        <v>#DIV/0!</v>
      </c>
      <c r="AJ124" s="9" t="e">
        <f>[1]TK1!R124/[1]TK1!R125%</f>
        <v>#DIV/0!</v>
      </c>
      <c r="AK124" s="9">
        <f>[1]TK1!S124/[1]TK1!S125*100</f>
        <v>2.2445296638845025</v>
      </c>
    </row>
    <row r="125" spans="1:37">
      <c r="A125" s="7">
        <v>33</v>
      </c>
      <c r="B125" s="8" t="s">
        <v>151</v>
      </c>
      <c r="C125" s="16" t="s">
        <v>152</v>
      </c>
      <c r="D125" s="12">
        <v>47.181628392484342</v>
      </c>
      <c r="E125" s="12">
        <v>49.8</v>
      </c>
      <c r="F125" s="12">
        <v>61.12</v>
      </c>
      <c r="G125" s="9">
        <v>70.944934287140242</v>
      </c>
      <c r="H125" s="9">
        <v>71.266601878846785</v>
      </c>
      <c r="I125" s="9">
        <v>69.393442622950815</v>
      </c>
      <c r="J125" s="9">
        <v>62.891486546096168</v>
      </c>
      <c r="K125" s="9">
        <v>30.820399113082043</v>
      </c>
      <c r="L125" s="9">
        <v>22.992700729927009</v>
      </c>
      <c r="M125" s="9">
        <v>7.5075579442391671</v>
      </c>
      <c r="N125" s="9">
        <v>11.479385610347617</v>
      </c>
      <c r="O125" s="9">
        <v>14.624984431436044</v>
      </c>
      <c r="P125" s="9">
        <v>17.523336878175588</v>
      </c>
      <c r="Q125" s="9">
        <v>8.0377974801679901</v>
      </c>
      <c r="R125" s="9">
        <v>6.3239644970414206</v>
      </c>
      <c r="S125" s="9">
        <v>4.4720270146938033</v>
      </c>
      <c r="T125" s="3"/>
      <c r="U125" s="9">
        <f>[1]TK1!C123/[1]TK1!C125*100</f>
        <v>6.8717948717948714</v>
      </c>
      <c r="V125" s="9">
        <f>[1]TK1!D123/[1]TK1!D125*100</f>
        <v>5.8764940239043826</v>
      </c>
      <c r="W125" s="9">
        <f>[1]TK1!E123/[1]TK1!E125*100</f>
        <v>3.9580908032596041</v>
      </c>
      <c r="X125" s="9">
        <f>[1]TK1!F123/[1]TK1!F125*100</f>
        <v>5.6377730796335452</v>
      </c>
      <c r="Y125" s="9">
        <f>[1]TK1!G123/[1]TK1!G125*100</f>
        <v>5.2011776251226696</v>
      </c>
      <c r="Z125" s="9">
        <f>[1]TK1!H123/[1]TK1!H125*100</f>
        <v>6.3414634146341466</v>
      </c>
      <c r="AA125" s="9">
        <f>[1]TK1!I123/[1]TK1!I125*100</f>
        <v>5.8758314855875833</v>
      </c>
      <c r="AB125" s="9">
        <f>[1]TK1!J123/[1]TK1!J125*100</f>
        <v>5.8044806517311605</v>
      </c>
      <c r="AC125" s="9">
        <f>[1]TK1!K123/[1]TK1!K125*100</f>
        <v>8.8740458015267176</v>
      </c>
      <c r="AD125" s="9">
        <f>[1]TK1!L123/[1]TK1!L125*100</f>
        <v>5.3816046966731896</v>
      </c>
      <c r="AE125" s="9">
        <f>[1]TK1!M123/[1]TK1!M125*100</f>
        <v>3.3596837944664033</v>
      </c>
      <c r="AF125" s="9">
        <f>[1]TK1!N123/[1]TK1!N125*100</f>
        <v>5.9052563270603509</v>
      </c>
      <c r="AG125" s="9" t="e">
        <f>[1]TK1!O123/[1]TK1!O125*100</f>
        <v>#DIV/0!</v>
      </c>
      <c r="AH125" s="9" t="e">
        <f>[1]TK1!P123/[1]TK1!P125*100</f>
        <v>#DIV/0!</v>
      </c>
      <c r="AI125" s="9" t="e">
        <f>[1]TK1!Q123/[1]TK1!Q125*100</f>
        <v>#DIV/0!</v>
      </c>
      <c r="AJ125" s="9" t="e">
        <f>[1]TK1!R123/[1]TK1!R125*100</f>
        <v>#DIV/0!</v>
      </c>
      <c r="AK125" s="9">
        <f>[1]TK1!S123/[1]TK1!S125*100</f>
        <v>5.7861493345364314</v>
      </c>
    </row>
    <row r="126" spans="1:37">
      <c r="A126" s="7">
        <v>34</v>
      </c>
      <c r="B126" s="8" t="s">
        <v>153</v>
      </c>
      <c r="C126" s="8" t="s">
        <v>154</v>
      </c>
      <c r="D126" s="12"/>
      <c r="E126" s="12"/>
      <c r="F126" s="11">
        <v>1560</v>
      </c>
      <c r="G126" s="11">
        <v>1555</v>
      </c>
      <c r="H126" s="11">
        <v>1541</v>
      </c>
      <c r="I126" s="11">
        <v>1563</v>
      </c>
      <c r="J126" s="11">
        <v>1584</v>
      </c>
      <c r="K126" s="11">
        <v>1610.5318444270076</v>
      </c>
      <c r="L126" s="11">
        <v>1642</v>
      </c>
      <c r="M126" s="11">
        <v>1636.6584053772074</v>
      </c>
      <c r="N126" s="11">
        <v>1630.3531543972731</v>
      </c>
      <c r="O126" s="11">
        <v>1625.2017179553548</v>
      </c>
      <c r="P126" s="11">
        <v>1660.7289569358559</v>
      </c>
      <c r="Q126" s="11">
        <v>1688.2110230169146</v>
      </c>
      <c r="R126" s="11">
        <v>1693.1691113587672</v>
      </c>
      <c r="S126" s="11">
        <v>1697.5249833540026</v>
      </c>
      <c r="T126" s="11">
        <v>1700</v>
      </c>
      <c r="U126" s="11">
        <f>[1]TK1!C126/([1]TK1!C101+[1]TK1!C102+[1]TK1!C103)*1000</f>
        <v>1700.8600100673657</v>
      </c>
      <c r="V126" s="11">
        <f>[1]TK1!D126/([1]TK1!D101+[1]TK1!D102+[1]TK1!D103)*1000</f>
        <v>1700.6071739389679</v>
      </c>
      <c r="W126" s="11">
        <f>[1]TK1!E126/([1]TK1!E101+[1]TK1!E102+[1]TK1!E103)*1000</f>
        <v>1699.1741091473714</v>
      </c>
      <c r="X126" s="11">
        <f>[1]TK1!F126/([1]TK1!F101+[1]TK1!F102+[1]TK1!F103)*1000</f>
        <v>1700.2474820454204</v>
      </c>
      <c r="Y126" s="11">
        <f>[1]TK1!G126/([1]TK1!G101+[1]TK1!G102+[1]TK1!G103)*1000</f>
        <v>1699.494465199414</v>
      </c>
      <c r="Z126" s="11">
        <f>[1]TK1!H126/([1]TK1!H101+[1]TK1!H102+[1]TK1!H103)*1000</f>
        <v>1700.0766564281512</v>
      </c>
      <c r="AA126" s="11">
        <f>[1]TK1!I126/([1]TK1!I101+[1]TK1!I102+[1]TK1!I103)*1000</f>
        <v>1700.980023869012</v>
      </c>
      <c r="AB126" s="11">
        <f>[1]TK1!J126/([1]TK1!J101+[1]TK1!J102+[1]TK1!J103)*1000</f>
        <v>1700.1427493624753</v>
      </c>
      <c r="AC126" s="11">
        <f>[1]TK1!K126/([1]TK1!K101+[1]TK1!K102+[1]TK1!K103)*1000</f>
        <v>1700.0542523509353</v>
      </c>
      <c r="AD126" s="11">
        <f>[1]TK1!L126/([1]TK1!L101+[1]TK1!L102+[1]TK1!L103)*1000</f>
        <v>1701.163888409877</v>
      </c>
      <c r="AE126" s="11">
        <f>[1]TK1!M126/([1]TK1!M101+[1]TK1!M102+[1]TK1!M103)*1000</f>
        <v>1700.5101464602224</v>
      </c>
      <c r="AF126" s="11">
        <f>[1]TK1!N126/([1]TK1!N101+[1]TK1!N102+[1]TK1!N103)*1000</f>
        <v>1700.5635669887097</v>
      </c>
      <c r="AG126" s="11" t="e">
        <f>[1]TK1!O126/([1]TK1!O101+[1]TK1!O102+[1]TK1!O103)*1000</f>
        <v>#DIV/0!</v>
      </c>
      <c r="AH126" s="11" t="e">
        <f>[1]TK1!P126/([1]TK1!P101+[1]TK1!P102+[1]TK1!P103)*1000</f>
        <v>#DIV/0!</v>
      </c>
      <c r="AI126" s="11" t="e">
        <f>[1]TK1!Q126/([1]TK1!Q101+[1]TK1!Q102+[1]TK1!Q103)*1000</f>
        <v>#DIV/0!</v>
      </c>
      <c r="AJ126" s="11" t="e">
        <f>[1]TK1!R126/([1]TK1!R101+[1]TK1!R102+[1]TK1!R103)*1000</f>
        <v>#DIV/0!</v>
      </c>
      <c r="AK126" s="11">
        <f>[1]TK1!S126/([1]TK1!S101+[1]TK1!S102+[1]TK1!S103)*1000</f>
        <v>1700.3180364030995</v>
      </c>
    </row>
    <row r="127" spans="1:37">
      <c r="A127" s="7">
        <v>35</v>
      </c>
      <c r="B127" s="8" t="s">
        <v>155</v>
      </c>
      <c r="C127" s="8" t="s">
        <v>156</v>
      </c>
      <c r="D127" s="11">
        <v>2895.1175105874854</v>
      </c>
      <c r="E127" s="11">
        <v>2875</v>
      </c>
      <c r="F127" s="11">
        <v>2919</v>
      </c>
      <c r="G127" s="11">
        <v>2938.7661319374406</v>
      </c>
      <c r="H127" s="11">
        <v>2915.0141341395788</v>
      </c>
      <c r="I127" s="11">
        <v>2975.9918575554966</v>
      </c>
      <c r="J127" s="11">
        <v>2994.429158169004</v>
      </c>
      <c r="K127" s="11">
        <v>3254.88834058267</v>
      </c>
      <c r="L127" s="11">
        <v>3540</v>
      </c>
      <c r="M127" s="11">
        <v>3915.5181372791603</v>
      </c>
      <c r="N127" s="11">
        <v>3978.2050339615985</v>
      </c>
      <c r="O127" s="11">
        <v>3890.9442421125941</v>
      </c>
      <c r="P127" s="11">
        <v>3778.5178364175385</v>
      </c>
      <c r="Q127" s="11">
        <v>4068.3863434912287</v>
      </c>
      <c r="R127" s="11">
        <v>3994.3894414224269</v>
      </c>
      <c r="S127" s="11">
        <v>4087.9720610272507</v>
      </c>
      <c r="T127" s="11">
        <v>4224</v>
      </c>
      <c r="U127" s="11">
        <f>[1]TK1!C126/[1]TK1!C107*1000</f>
        <v>4065.0933012516957</v>
      </c>
      <c r="V127" s="11">
        <f>[1]TK1!D126/[1]TK1!D107*1000</f>
        <v>4161.7199627444888</v>
      </c>
      <c r="W127" s="11">
        <f>[1]TK1!E126/[1]TK1!E107*1000</f>
        <v>4143.426294820717</v>
      </c>
      <c r="X127" s="11">
        <f>[1]TK1!F126/[1]TK1!F107*1000</f>
        <v>4123.1710984523252</v>
      </c>
      <c r="Y127" s="11">
        <f>[1]TK1!G126/[1]TK1!G107*1000</f>
        <v>4159.5351195058302</v>
      </c>
      <c r="Z127" s="11">
        <f>[1]TK1!H126/[1]TK1!H107*1000</f>
        <v>4034.1680735043537</v>
      </c>
      <c r="AA127" s="11">
        <f>[1]TK1!I126/[1]TK1!I107*1000</f>
        <v>3985.2155303277918</v>
      </c>
      <c r="AB127" s="11">
        <f>[1]TK1!J126/[1]TK1!J107*1000</f>
        <v>4062.609189295636</v>
      </c>
      <c r="AC127" s="11">
        <f>[1]TK1!K126/[1]TK1!K107*1000</f>
        <v>4092.6997039580069</v>
      </c>
      <c r="AD127" s="11">
        <f>[1]TK1!L126/[1]TK1!L107*1000</f>
        <v>4066.8038164856962</v>
      </c>
      <c r="AE127" s="11">
        <f>[1]TK1!M126/[1]TK1!M107*1000</f>
        <v>4054.1751127983634</v>
      </c>
      <c r="AF127" s="11">
        <f>[1]TK1!N126/[1]TK1!N107*1000</f>
        <v>4071.7260268223631</v>
      </c>
      <c r="AG127" s="11" t="e">
        <f>[1]TK1!O126/[1]TK1!O107*1000</f>
        <v>#DIV/0!</v>
      </c>
      <c r="AH127" s="11" t="e">
        <f>[1]TK1!P126/[1]TK1!P107*1000</f>
        <v>#DIV/0!</v>
      </c>
      <c r="AI127" s="11" t="e">
        <f>[1]TK1!Q126/[1]TK1!Q107*1000</f>
        <v>#DIV/0!</v>
      </c>
      <c r="AJ127" s="11" t="e">
        <f>[1]TK1!R126/[1]TK1!R107*1000</f>
        <v>#DIV/0!</v>
      </c>
      <c r="AK127" s="11">
        <f>[1]TK1!S126/[1]TK1!S107*1000</f>
        <v>4085.7901965627061</v>
      </c>
    </row>
    <row r="128" spans="1:37">
      <c r="A128" s="7">
        <v>36</v>
      </c>
      <c r="B128" s="8" t="s">
        <v>157</v>
      </c>
      <c r="C128" s="8" t="s">
        <v>158</v>
      </c>
      <c r="D128" s="11">
        <v>309</v>
      </c>
      <c r="E128" s="11">
        <v>443</v>
      </c>
      <c r="F128" s="11">
        <v>311</v>
      </c>
      <c r="G128" s="11">
        <v>593.88888888888891</v>
      </c>
      <c r="H128" s="11">
        <v>665.8</v>
      </c>
      <c r="I128" s="11">
        <v>556.5</v>
      </c>
      <c r="J128" s="11">
        <v>559.27272727272725</v>
      </c>
      <c r="K128" s="11">
        <v>483.30769230769232</v>
      </c>
      <c r="L128" s="11">
        <v>380.86363636363637</v>
      </c>
      <c r="M128" s="11">
        <v>49.333333333333336</v>
      </c>
      <c r="N128" s="11">
        <v>297.21739130434781</v>
      </c>
      <c r="O128" s="11">
        <v>315.05263157894734</v>
      </c>
      <c r="P128" s="11">
        <v>336.68421052631578</v>
      </c>
      <c r="Q128" s="11">
        <v>357.85714285714283</v>
      </c>
      <c r="R128" s="11">
        <v>489.23076923076923</v>
      </c>
      <c r="S128" s="11">
        <v>562.28571428571433</v>
      </c>
      <c r="T128" s="3">
        <v>600</v>
      </c>
      <c r="U128" s="11">
        <f>IF([1]TK1!C127=0,"--",[1]TK1!C128/[1]TK1!C127)</f>
        <v>675.5</v>
      </c>
      <c r="V128" s="11">
        <f>IF([1]TK1!D127=0,"--",[1]TK1!D128/[1]TK1!D127)</f>
        <v>494</v>
      </c>
      <c r="W128" s="11">
        <f>IF([1]TK1!E127=0,"--",[1]TK1!E128/[1]TK1!E127)</f>
        <v>717</v>
      </c>
      <c r="X128" s="11">
        <f>IF([1]TK1!F127=0,"--",[1]TK1!F128/[1]TK1!F127)</f>
        <v>591.66666666666663</v>
      </c>
      <c r="Y128" s="11">
        <f>IF([1]TK1!G127=0,"--",[1]TK1!G128/[1]TK1!G127)</f>
        <v>402.5</v>
      </c>
      <c r="Z128" s="11">
        <f>IF([1]TK1!H127=0,"--",[1]TK1!H128/[1]TK1!H127)</f>
        <v>723</v>
      </c>
      <c r="AA128" s="11">
        <f>IF([1]TK1!I127=0,"--",[1]TK1!I128/[1]TK1!I127)</f>
        <v>567</v>
      </c>
      <c r="AB128" s="11">
        <f>IF([1]TK1!J127=0,"--",[1]TK1!J128/[1]TK1!J127)</f>
        <v>523.75</v>
      </c>
      <c r="AC128" s="11">
        <f>IF([1]TK1!K127=0,"--",[1]TK1!K128/[1]TK1!K127)</f>
        <v>767</v>
      </c>
      <c r="AD128" s="11">
        <f>IF([1]TK1!L127=0,"--",[1]TK1!L128/[1]TK1!L127)</f>
        <v>345</v>
      </c>
      <c r="AE128" s="11">
        <f>IF([1]TK1!M127=0,"--",[1]TK1!M128/[1]TK1!M127)</f>
        <v>385</v>
      </c>
      <c r="AF128" s="11">
        <f>IF([1]TK1!N127=0,"--",[1]TK1!N128/[1]TK1!N127)</f>
        <v>460.5</v>
      </c>
      <c r="AG128" s="11" t="str">
        <f>IF([1]TK1!O127=0,"--",[1]TK1!O128/[1]TK1!O127)</f>
        <v>--</v>
      </c>
      <c r="AH128" s="11" t="str">
        <f>IF([1]TK1!P127=0,"--",[1]TK1!P128/[1]TK1!P127)</f>
        <v>--</v>
      </c>
      <c r="AI128" s="11" t="str">
        <f>IF([1]TK1!Q127=0,"--",[1]TK1!Q128/[1]TK1!Q127)</f>
        <v>--</v>
      </c>
      <c r="AJ128" s="11" t="str">
        <f>IF([1]TK1!R127=0,"--",[1]TK1!R128/[1]TK1!R127)</f>
        <v>--</v>
      </c>
      <c r="AK128" s="11">
        <f>[1]TK1!S128/[1]TK1!S127</f>
        <v>534.78571428571433</v>
      </c>
    </row>
    <row r="129" spans="1:37">
      <c r="A129" s="7">
        <v>37</v>
      </c>
      <c r="B129" s="8" t="s">
        <v>159</v>
      </c>
      <c r="C129" s="8" t="s">
        <v>158</v>
      </c>
      <c r="D129" s="11">
        <v>1192</v>
      </c>
      <c r="E129" s="11">
        <v>1403</v>
      </c>
      <c r="F129" s="11">
        <v>1411</v>
      </c>
      <c r="G129" s="11">
        <v>1383.1818181818182</v>
      </c>
      <c r="H129" s="11">
        <v>1553.6363636363637</v>
      </c>
      <c r="I129" s="11">
        <v>1553.2142857142858</v>
      </c>
      <c r="J129" s="11">
        <v>1217</v>
      </c>
      <c r="K129" s="11">
        <v>711.66666666666663</v>
      </c>
      <c r="L129" s="11">
        <v>409.68965517241378</v>
      </c>
      <c r="M129" s="11">
        <v>70.3125</v>
      </c>
      <c r="N129" s="11">
        <v>177.05</v>
      </c>
      <c r="O129" s="11">
        <v>184.91176470588235</v>
      </c>
      <c r="P129" s="11">
        <v>285.4736842105263</v>
      </c>
      <c r="Q129" s="11">
        <v>160.125</v>
      </c>
      <c r="R129" s="11">
        <v>351.5</v>
      </c>
      <c r="S129" s="11">
        <v>388</v>
      </c>
      <c r="T129" s="3">
        <v>1000</v>
      </c>
      <c r="U129" s="11" t="str">
        <f>IF([1]TK1!C129=0,"--",[1]TK1!C130/[1]TK1!C129)</f>
        <v>--</v>
      </c>
      <c r="V129" s="11">
        <f>IF([1]TK1!D129=0,"--",[1]TK1!D130/[1]TK1!D129)</f>
        <v>549.33333333333337</v>
      </c>
      <c r="W129" s="11" t="str">
        <f>IF([1]TK1!E129=0,"--",[1]TK1!E130/[1]TK1!E129)</f>
        <v>--</v>
      </c>
      <c r="X129" s="11">
        <f>IF([1]TK1!F129=0,"--",[1]TK1!F130/[1]TK1!F129)</f>
        <v>549.33333333333337</v>
      </c>
      <c r="Y129" s="11">
        <f>IF([1]TK1!G129=0,"--",[1]TK1!G130/[1]TK1!G129)</f>
        <v>398.66666666666669</v>
      </c>
      <c r="Z129" s="11" t="str">
        <f>IF([1]TK1!H129=0,"--",[1]TK1!H130/[1]TK1!H129)</f>
        <v>--</v>
      </c>
      <c r="AA129" s="11" t="str">
        <f>IF([1]TK1!I129=0,"--",[1]TK1!I130/[1]TK1!I129)</f>
        <v>--</v>
      </c>
      <c r="AB129" s="11">
        <f>IF([1]TK1!J129=0,"--",[1]TK1!J130/[1]TK1!J129)</f>
        <v>398.66666666666669</v>
      </c>
      <c r="AC129" s="11">
        <f>IF([1]TK1!K129=0,"--",[1]TK1!K130/[1]TK1!K129)</f>
        <v>403</v>
      </c>
      <c r="AD129" s="11" t="str">
        <f>IF([1]TK1!L129=0,"--",[1]TK1!L130/[1]TK1!L129)</f>
        <v>--</v>
      </c>
      <c r="AE129" s="11">
        <f>IF([1]TK1!M129=0,"--",[1]TK1!M130/[1]TK1!M129)</f>
        <v>387</v>
      </c>
      <c r="AF129" s="11">
        <f>IF([1]TK1!N129=0,"--",[1]TK1!N130/[1]TK1!N129)</f>
        <v>397.66666666666669</v>
      </c>
      <c r="AG129" s="11" t="str">
        <f>IF([1]TK1!O129=0,"--",[1]TK1!O130/[1]TK1!O129)</f>
        <v>--</v>
      </c>
      <c r="AH129" s="11" t="str">
        <f>IF([1]TK1!P129=0,"--",[1]TK1!P130/[1]TK1!P129)</f>
        <v>--</v>
      </c>
      <c r="AI129" s="11" t="str">
        <f>IF([1]TK1!Q129=0,"--",[1]TK1!Q130/[1]TK1!Q129)</f>
        <v>--</v>
      </c>
      <c r="AJ129" s="11" t="str">
        <f>IF([1]TK1!R129=0,"--",[1]TK1!R130/[1]TK1!R129)</f>
        <v>--</v>
      </c>
      <c r="AK129" s="11">
        <f>[1]TK1!S130/[1]TK1!S129</f>
        <v>448.55555555555554</v>
      </c>
    </row>
    <row r="130" spans="1:37">
      <c r="A130" s="7">
        <v>38</v>
      </c>
      <c r="B130" s="8" t="s">
        <v>160</v>
      </c>
      <c r="C130" s="8" t="s">
        <v>158</v>
      </c>
      <c r="D130" s="11"/>
      <c r="E130" s="11"/>
      <c r="F130" s="11"/>
      <c r="G130" s="11"/>
      <c r="H130" s="11"/>
      <c r="I130" s="11"/>
      <c r="J130" s="11"/>
      <c r="K130" s="11"/>
      <c r="L130" s="11"/>
      <c r="M130" s="11">
        <v>2021</v>
      </c>
      <c r="N130" s="11">
        <v>2076.5</v>
      </c>
      <c r="O130" s="11">
        <v>2076.5</v>
      </c>
      <c r="P130" s="11">
        <v>2132</v>
      </c>
      <c r="Q130" s="11">
        <v>2007</v>
      </c>
      <c r="R130" s="11">
        <v>2141.75</v>
      </c>
      <c r="S130" s="11">
        <v>1856</v>
      </c>
      <c r="T130" s="3"/>
      <c r="U130" s="11" t="str">
        <f>IF([1]TK1!C131=0,"--",[1]TK1!C132/[1]TK1!C131)</f>
        <v>--</v>
      </c>
      <c r="V130" s="11" t="str">
        <f>IF([1]TK1!D131=0,"--",[1]TK1!D132/[1]TK1!D131)</f>
        <v>--</v>
      </c>
      <c r="W130" s="11" t="str">
        <f>IF([1]TK1!E131=0,"--",[1]TK1!E132/[1]TK1!E131)</f>
        <v>--</v>
      </c>
      <c r="X130" s="11" t="str">
        <f>IF([1]TK1!F131=0,"--",[1]TK1!F132/[1]TK1!F131)</f>
        <v>--</v>
      </c>
      <c r="Y130" s="11">
        <f>IF([1]TK1!G131=0,"--",[1]TK1!G132/[1]TK1!G131)</f>
        <v>2668</v>
      </c>
      <c r="Z130" s="11" t="str">
        <f>IF([1]TK1!H131=0,"--",[1]TK1!H132/[1]TK1!H131)</f>
        <v>--</v>
      </c>
      <c r="AA130" s="11" t="str">
        <f>IF([1]TK1!I131=0,"--",[1]TK1!I132/[1]TK1!I131)</f>
        <v>--</v>
      </c>
      <c r="AB130" s="11">
        <f>IF([1]TK1!J131=0,"--",[1]TK1!J132/[1]TK1!J131)</f>
        <v>2668</v>
      </c>
      <c r="AC130" s="11">
        <f>IF([1]TK1!K131=0,"--",[1]TK1!K132/[1]TK1!K131)</f>
        <v>2194</v>
      </c>
      <c r="AD130" s="11" t="str">
        <f>IF([1]TK1!L131=0,"--",[1]TK1!L132/[1]TK1!L131)</f>
        <v>--</v>
      </c>
      <c r="AE130" s="11" t="str">
        <f>IF([1]TK1!M131=0,"--",[1]TK1!M132/[1]TK1!M131)</f>
        <v>--</v>
      </c>
      <c r="AF130" s="11">
        <f>IF([1]TK1!N131=0,"--",[1]TK1!N132/[1]TK1!N131)</f>
        <v>2194</v>
      </c>
      <c r="AG130" s="11" t="str">
        <f>IF([1]TK1!O131=0,"--",[1]TK1!O132/[1]TK1!O131)</f>
        <v>--</v>
      </c>
      <c r="AH130" s="11" t="str">
        <f>IF([1]TK1!P131=0,"--",[1]TK1!P132/[1]TK1!P131)</f>
        <v>--</v>
      </c>
      <c r="AI130" s="11" t="str">
        <f>IF([1]TK1!Q131=0,"--",[1]TK1!Q132/[1]TK1!Q131)</f>
        <v>--</v>
      </c>
      <c r="AJ130" s="11" t="str">
        <f>IF([1]TK1!R131=0,"--",[1]TK1!R132/[1]TK1!R131)</f>
        <v>--</v>
      </c>
      <c r="AK130" s="11">
        <f>[1]TK1!S132/[1]TK1!S131</f>
        <v>2431</v>
      </c>
    </row>
    <row r="131" spans="1:37">
      <c r="A131" s="7">
        <v>5</v>
      </c>
      <c r="B131" s="8" t="s">
        <v>327</v>
      </c>
      <c r="C131" s="8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3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spans="1:37">
      <c r="A132" s="7">
        <v>6</v>
      </c>
      <c r="B132" s="8" t="s">
        <v>328</v>
      </c>
      <c r="C132" s="8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>
        <v>563.96319700853337</v>
      </c>
      <c r="T132" s="3"/>
      <c r="U132" s="11">
        <v>575.3152702603162</v>
      </c>
      <c r="V132" s="11">
        <v>556.44166054650896</v>
      </c>
      <c r="W132" s="11">
        <v>560.00329127811301</v>
      </c>
      <c r="X132" s="11">
        <v>533.1516928831112</v>
      </c>
      <c r="Y132" s="11">
        <v>549.85003964996736</v>
      </c>
      <c r="Z132" s="11">
        <v>574.95401199412652</v>
      </c>
      <c r="AA132" s="11">
        <v>573.03278513894861</v>
      </c>
      <c r="AB132" s="11">
        <v>558.53847447168744</v>
      </c>
      <c r="AC132" s="11">
        <v>570.45568260875791</v>
      </c>
      <c r="AD132" s="11">
        <v>578.00820739359267</v>
      </c>
      <c r="AE132" s="11">
        <v>564.6326249829724</v>
      </c>
      <c r="AF132" s="11">
        <v>89.174873388916325</v>
      </c>
      <c r="AG132" s="11" t="e">
        <v>#DIV/0!</v>
      </c>
      <c r="AH132" s="11" t="e">
        <v>#DIV/0!</v>
      </c>
      <c r="AI132" s="11" t="e">
        <v>#DIV/0!</v>
      </c>
      <c r="AJ132" s="11" t="e">
        <v>#DIV/0!</v>
      </c>
      <c r="AK132" s="11">
        <v>565.94449808507648</v>
      </c>
    </row>
    <row r="133" spans="1:37">
      <c r="A133" s="7">
        <v>7</v>
      </c>
      <c r="B133" s="8" t="s">
        <v>329</v>
      </c>
      <c r="C133" s="8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>
        <v>578.52316340550453</v>
      </c>
      <c r="T133" s="3"/>
      <c r="U133" s="11">
        <v>592.4678422255497</v>
      </c>
      <c r="V133" s="11">
        <v>558.03053767602489</v>
      </c>
      <c r="W133" s="11">
        <v>560.00300350408816</v>
      </c>
      <c r="X133" s="11">
        <v>525.04596033981647</v>
      </c>
      <c r="Y133" s="11">
        <v>559.06605771975421</v>
      </c>
      <c r="Z133" s="11">
        <v>585.25746647148412</v>
      </c>
      <c r="AA133" s="11">
        <v>596.28824346035663</v>
      </c>
      <c r="AB133" s="11">
        <v>571.70208588627054</v>
      </c>
      <c r="AC133" s="11">
        <v>586.86848287112559</v>
      </c>
      <c r="AD133" s="11">
        <v>580.48622862922002</v>
      </c>
      <c r="AE133" s="11">
        <v>581.31642806012883</v>
      </c>
      <c r="AF133" s="11">
        <v>80.377348764079699</v>
      </c>
      <c r="AG133" s="11" t="e">
        <v>#DIV/0!</v>
      </c>
      <c r="AH133" s="11" t="e">
        <v>#DIV/0!</v>
      </c>
      <c r="AI133" s="11" t="e">
        <v>#DIV/0!</v>
      </c>
      <c r="AJ133" s="11" t="e">
        <v>#DIV/0!</v>
      </c>
      <c r="AK133" s="11">
        <v>578.46838800882188</v>
      </c>
    </row>
    <row r="134" spans="1:37">
      <c r="A134" s="7">
        <v>8</v>
      </c>
      <c r="B134" s="8" t="s">
        <v>330</v>
      </c>
      <c r="C134" s="8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>
        <v>568.43743278074714</v>
      </c>
      <c r="T134" s="3"/>
      <c r="U134" s="11">
        <v>578.47805748265603</v>
      </c>
      <c r="V134" s="11">
        <v>571.43046050111116</v>
      </c>
      <c r="W134" s="11">
        <v>576.15044129643081</v>
      </c>
      <c r="X134" s="11">
        <v>539.62824927078611</v>
      </c>
      <c r="Y134" s="11">
        <v>575.27702322377877</v>
      </c>
      <c r="Z134" s="11">
        <v>567.37749790727423</v>
      </c>
      <c r="AA134" s="11">
        <v>566.38549895740243</v>
      </c>
      <c r="AB134" s="11">
        <v>532.34401038109547</v>
      </c>
      <c r="AC134" s="11">
        <v>569.58109214429555</v>
      </c>
      <c r="AD134" s="11">
        <v>575.07150361199308</v>
      </c>
      <c r="AE134" s="11">
        <v>577.53371799248885</v>
      </c>
      <c r="AF134" s="11">
        <v>146.59218892690416</v>
      </c>
      <c r="AG134" s="11" t="e">
        <v>#DIV/0!</v>
      </c>
      <c r="AH134" s="11" t="e">
        <v>#DIV/0!</v>
      </c>
      <c r="AI134" s="11" t="e">
        <v>#DIV/0!</v>
      </c>
      <c r="AJ134" s="11" t="e">
        <v>#DIV/0!</v>
      </c>
      <c r="AK134" s="11">
        <v>574.02460299794427</v>
      </c>
    </row>
    <row r="135" spans="1:37">
      <c r="A135" s="7">
        <v>9</v>
      </c>
      <c r="B135" s="8" t="s">
        <v>331</v>
      </c>
      <c r="C135" s="8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>
        <v>568.95746371127791</v>
      </c>
      <c r="T135" s="3"/>
      <c r="U135" s="11">
        <v>580.17217133799579</v>
      </c>
      <c r="V135" s="11">
        <v>565.96380634373702</v>
      </c>
      <c r="W135" s="11">
        <v>570.24586220281981</v>
      </c>
      <c r="X135" s="11">
        <v>541.63611332772598</v>
      </c>
      <c r="Y135" s="11">
        <v>567.70666766392799</v>
      </c>
      <c r="Z135" s="11">
        <v>572.15462689942717</v>
      </c>
      <c r="AA135" s="11">
        <v>573.51415284570453</v>
      </c>
      <c r="AB135" s="11">
        <v>543.77764073008825</v>
      </c>
      <c r="AC135" s="11">
        <v>572.64806758292855</v>
      </c>
      <c r="AD135" s="11">
        <v>576.72880585454152</v>
      </c>
      <c r="AE135" s="11">
        <v>575.37266522455764</v>
      </c>
      <c r="AF135" s="11">
        <v>541.88023819826799</v>
      </c>
      <c r="AG135" s="11" t="e">
        <v>#DIV/0!</v>
      </c>
      <c r="AH135" s="11" t="e">
        <v>#DIV/0!</v>
      </c>
      <c r="AI135" s="11" t="e">
        <v>#DIV/0!</v>
      </c>
      <c r="AJ135" s="11" t="e">
        <v>#DIV/0!</v>
      </c>
      <c r="AK135" s="11">
        <v>572.63723727149716</v>
      </c>
    </row>
    <row r="136" spans="1:37">
      <c r="A136" s="7"/>
      <c r="B136" s="8" t="s">
        <v>161</v>
      </c>
      <c r="C136" s="8"/>
      <c r="D136" s="3"/>
      <c r="E136" s="3"/>
      <c r="F136" s="3"/>
      <c r="G136" s="3"/>
      <c r="H136" s="3"/>
      <c r="I136" s="3"/>
      <c r="J136" s="3"/>
      <c r="K136" s="9"/>
      <c r="L136" s="3"/>
      <c r="M136" s="3"/>
      <c r="N136" s="3"/>
      <c r="O136" s="3"/>
      <c r="P136" s="3"/>
      <c r="Q136" s="9"/>
      <c r="R136" s="9"/>
      <c r="S136" s="9"/>
      <c r="T136" s="3" t="s">
        <v>44</v>
      </c>
      <c r="U136" s="3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 t="s">
        <v>162</v>
      </c>
    </row>
    <row r="137" spans="1:37" s="1" customFormat="1">
      <c r="B137" s="3"/>
      <c r="C137" s="8" t="s">
        <v>8</v>
      </c>
      <c r="D137" s="3" t="s">
        <v>9</v>
      </c>
      <c r="E137" s="6" t="s">
        <v>10</v>
      </c>
      <c r="F137" s="6" t="s">
        <v>11</v>
      </c>
      <c r="G137" s="6" t="s">
        <v>12</v>
      </c>
      <c r="H137" s="6" t="s">
        <v>13</v>
      </c>
      <c r="I137" s="3" t="s">
        <v>14</v>
      </c>
      <c r="J137" s="3" t="s">
        <v>15</v>
      </c>
      <c r="K137" s="3" t="s">
        <v>16</v>
      </c>
      <c r="L137" s="3" t="s">
        <v>17</v>
      </c>
      <c r="M137" s="3" t="s">
        <v>18</v>
      </c>
      <c r="N137" s="3" t="s">
        <v>19</v>
      </c>
      <c r="O137" s="3" t="s">
        <v>20</v>
      </c>
      <c r="P137" s="3" t="s">
        <v>21</v>
      </c>
      <c r="Q137" s="3" t="s">
        <v>22</v>
      </c>
      <c r="R137" s="3" t="s">
        <v>23</v>
      </c>
      <c r="S137" s="3" t="s">
        <v>24</v>
      </c>
      <c r="T137" s="3" t="s">
        <v>25</v>
      </c>
      <c r="U137" s="3" t="s">
        <v>26</v>
      </c>
      <c r="V137" s="3" t="s">
        <v>27</v>
      </c>
      <c r="W137" s="3" t="s">
        <v>28</v>
      </c>
      <c r="X137" s="3" t="s">
        <v>29</v>
      </c>
      <c r="Y137" s="3" t="s">
        <v>74</v>
      </c>
      <c r="Z137" s="3" t="s">
        <v>31</v>
      </c>
      <c r="AA137" s="3" t="s">
        <v>32</v>
      </c>
      <c r="AB137" s="3" t="s">
        <v>33</v>
      </c>
      <c r="AC137" s="3" t="s">
        <v>34</v>
      </c>
      <c r="AD137" s="3" t="s">
        <v>35</v>
      </c>
      <c r="AE137" s="3" t="s">
        <v>36</v>
      </c>
      <c r="AF137" s="3" t="s">
        <v>37</v>
      </c>
      <c r="AG137" s="3" t="s">
        <v>38</v>
      </c>
      <c r="AH137" s="3" t="s">
        <v>39</v>
      </c>
      <c r="AI137" s="3" t="s">
        <v>40</v>
      </c>
      <c r="AJ137" s="3"/>
      <c r="AK137" s="3" t="s">
        <v>42</v>
      </c>
    </row>
    <row r="138" spans="1:37">
      <c r="A138" s="1" t="s">
        <v>163</v>
      </c>
      <c r="B138" s="3" t="s">
        <v>164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1:37">
      <c r="A139" s="7">
        <v>1</v>
      </c>
      <c r="B139" s="8" t="s">
        <v>165</v>
      </c>
      <c r="C139" s="8" t="s">
        <v>166</v>
      </c>
      <c r="D139" s="9">
        <v>55.384790528233154</v>
      </c>
      <c r="E139" s="9">
        <v>55.84</v>
      </c>
      <c r="F139" s="9">
        <v>59.12</v>
      </c>
      <c r="G139" s="9">
        <v>57.237442922374427</v>
      </c>
      <c r="H139" s="9">
        <v>49.857695810564664</v>
      </c>
      <c r="I139" s="9">
        <v>53.436073059360737</v>
      </c>
      <c r="J139" s="9">
        <v>56.706621004566216</v>
      </c>
      <c r="K139" s="9">
        <v>59.131449771689489</v>
      </c>
      <c r="L139" s="9">
        <v>53.31194747789911</v>
      </c>
      <c r="M139" s="9">
        <v>31.677226027397264</v>
      </c>
      <c r="N139" s="9">
        <v>44.497260273972607</v>
      </c>
      <c r="O139" s="9">
        <v>51.434132420091331</v>
      </c>
      <c r="P139" s="9">
        <v>44.228426684881605</v>
      </c>
      <c r="Q139" s="9">
        <v>41.184360730593603</v>
      </c>
      <c r="R139" s="9">
        <v>58.652968036529685</v>
      </c>
      <c r="S139" s="9">
        <v>60.166952054794521</v>
      </c>
      <c r="T139" s="10">
        <v>51</v>
      </c>
      <c r="U139" s="9">
        <f>[1]TK1!C155/[1]TK1!C157*100</f>
        <v>51.077083333333327</v>
      </c>
      <c r="V139" s="9">
        <f>IF([1]TK1!D155/[1]TK1!D157*100=0,"--",[1]TK1!D155/[1]TK1!D157*100)</f>
        <v>40.215053763440864</v>
      </c>
      <c r="W139" s="9">
        <f>[1]TK1!E155/[1]TK1!E157*100</f>
        <v>47.083333333333336</v>
      </c>
      <c r="X139" s="9">
        <f>[1]TK1!F155/[1]TK1!F157*100</f>
        <v>46.06021062271062</v>
      </c>
      <c r="Y139" s="9">
        <f>[1]TK1!G155/[1]TK1!G157*100</f>
        <v>51.075268817204304</v>
      </c>
      <c r="Z139" s="9">
        <f>[1]TK1!H155/[1]TK1!H157*100</f>
        <v>45.994623655913976</v>
      </c>
      <c r="AA139" s="9">
        <f>[1]TK1!I155/[1]TK1!I157*100</f>
        <v>52.569444444444443</v>
      </c>
      <c r="AB139" s="9">
        <f>[1]TK1!J155/[1]TK1!J157*100</f>
        <v>49.850543478260875</v>
      </c>
      <c r="AC139" s="9">
        <f>[1]TK1!K155/[1]TK1!K157*100</f>
        <v>48.75</v>
      </c>
      <c r="AD139" s="9">
        <f>[1]TK1!L155/[1]TK1!L157*100</f>
        <v>41.875</v>
      </c>
      <c r="AE139" s="9">
        <f>[1]TK1!M155/[1]TK1!M157*100</f>
        <v>40.067204301075272</v>
      </c>
      <c r="AF139" s="9">
        <f>[1]TK1!N155/[1]TK1!N157*100</f>
        <v>43.58242753623189</v>
      </c>
      <c r="AG139" s="9" t="e">
        <f>[1]TK1!O155/[1]TK1!O157*100</f>
        <v>#DIV/0!</v>
      </c>
      <c r="AH139" s="9" t="e">
        <f>[1]TK1!P155/[1]TK1!P157*100</f>
        <v>#DIV/0!</v>
      </c>
      <c r="AI139" s="9" t="e">
        <f>[1]TK1!Q155/[1]TK1!Q157*100</f>
        <v>#DIV/0!</v>
      </c>
      <c r="AJ139" s="9"/>
      <c r="AK139" s="9">
        <f>[1]TK1!S155/[1]TK1!S157*100</f>
        <v>46.499318181818182</v>
      </c>
    </row>
    <row r="140" spans="1:37">
      <c r="A140" s="7">
        <v>2</v>
      </c>
      <c r="B140" s="8" t="s">
        <v>167</v>
      </c>
      <c r="C140" s="8" t="s">
        <v>168</v>
      </c>
      <c r="D140" s="12">
        <v>91.294964028776988</v>
      </c>
      <c r="E140" s="12">
        <v>84.3</v>
      </c>
      <c r="F140" s="12">
        <v>90.03</v>
      </c>
      <c r="G140" s="9">
        <v>90.626246509772628</v>
      </c>
      <c r="H140" s="9">
        <v>82.977508848042021</v>
      </c>
      <c r="I140" s="9">
        <v>95.428327280495623</v>
      </c>
      <c r="J140" s="9">
        <v>93.054856567689981</v>
      </c>
      <c r="K140" s="9">
        <v>92.577841528287621</v>
      </c>
      <c r="L140" s="9">
        <v>86.503826734345253</v>
      </c>
      <c r="M140" s="9">
        <v>77.721019487013152</v>
      </c>
      <c r="N140" s="9">
        <v>89.241808535746898</v>
      </c>
      <c r="O140" s="9">
        <v>92.060488766276876</v>
      </c>
      <c r="P140" s="9">
        <v>78.601810799158315</v>
      </c>
      <c r="Q140" s="9">
        <v>94.574041992931882</v>
      </c>
      <c r="R140" s="9">
        <v>98.017127286882072</v>
      </c>
      <c r="S140" s="9">
        <v>96.784347207399492</v>
      </c>
      <c r="T140" s="12">
        <v>95</v>
      </c>
      <c r="U140" s="9">
        <f>[1]TK1!C156/[1]TK1!C155*100</f>
        <v>94.508572283177656</v>
      </c>
      <c r="V140" s="9">
        <f>IF([1]TK1!D155=0,"--",[1]TK1!D156/[1]TK1!D155*100)</f>
        <v>97.100601604278069</v>
      </c>
      <c r="W140" s="9">
        <f>[1]TK1!E156/[1]TK1!E155*100</f>
        <v>93.675516224188797</v>
      </c>
      <c r="X140" s="9">
        <f>[1]TK1!F156/[1]TK1!F155*100</f>
        <v>94.998782251691182</v>
      </c>
      <c r="Y140" s="9">
        <f>[1]TK1!G156/[1]TK1!G155*100</f>
        <v>97.714473684210517</v>
      </c>
      <c r="Z140" s="9">
        <f>[1]TK1!H156/[1]TK1!H155*100</f>
        <v>97.463471654003513</v>
      </c>
      <c r="AA140" s="9">
        <f>[1]TK1!I156/[1]TK1!I155*100</f>
        <v>97.652575957727876</v>
      </c>
      <c r="AB140" s="9">
        <f>[1]TK1!J156/[1]TK1!J155*100</f>
        <v>97.615153992913605</v>
      </c>
      <c r="AC140" s="9">
        <f>[1]TK1!K156/[1]TK1!K155*100</f>
        <v>97.615108905431498</v>
      </c>
      <c r="AD140" s="9">
        <f>[1]TK1!L156/[1]TK1!L155*100</f>
        <v>97.056384742951906</v>
      </c>
      <c r="AE140" s="9">
        <f>[1]TK1!M156/[1]TK1!M155*100</f>
        <v>97.021133847702117</v>
      </c>
      <c r="AF140" s="9">
        <f>[1]TK1!N156/[1]TK1!N155*100</f>
        <v>97.256053205860951</v>
      </c>
      <c r="AG140" s="9" t="e">
        <f>[1]TK1!O156/[1]TK1!O155*100</f>
        <v>#DIV/0!</v>
      </c>
      <c r="AH140" s="9" t="e">
        <f>[1]TK1!P156/[1]TK1!P155*100</f>
        <v>#DIV/0!</v>
      </c>
      <c r="AI140" s="9" t="e">
        <f>[1]TK1!Q156/[1]TK1!Q155*100</f>
        <v>#DIV/0!</v>
      </c>
      <c r="AJ140" s="9"/>
      <c r="AK140" s="9">
        <f>[1]TK1!S156/[1]TK1!S155*100</f>
        <v>96.644949176511219</v>
      </c>
    </row>
    <row r="141" spans="1:37">
      <c r="A141" s="7">
        <v>3</v>
      </c>
      <c r="B141" s="8" t="s">
        <v>169</v>
      </c>
      <c r="C141" s="8" t="s">
        <v>170</v>
      </c>
      <c r="D141" s="11">
        <v>1130.0279763755052</v>
      </c>
      <c r="E141" s="11">
        <v>1153</v>
      </c>
      <c r="F141" s="11">
        <v>1151</v>
      </c>
      <c r="G141" s="11">
        <v>1149.9893950169055</v>
      </c>
      <c r="H141" s="11">
        <v>1149.9543021282152</v>
      </c>
      <c r="I141" s="11">
        <v>1149.5034861609972</v>
      </c>
      <c r="J141" s="11">
        <v>1149.1758552623307</v>
      </c>
      <c r="K141" s="11">
        <v>1149.8883766076194</v>
      </c>
      <c r="L141" s="11">
        <v>1149.2985204098836</v>
      </c>
      <c r="M141" s="11">
        <v>1149.3131466147941</v>
      </c>
      <c r="N141" s="11">
        <v>1148.6795615806843</v>
      </c>
      <c r="O141" s="11">
        <v>1147.6681401999456</v>
      </c>
      <c r="P141" s="11">
        <v>1148.456121575955</v>
      </c>
      <c r="Q141" s="11">
        <v>1145.0457968186686</v>
      </c>
      <c r="R141" s="11">
        <v>1135</v>
      </c>
      <c r="S141" s="11">
        <v>1131.5784593893516</v>
      </c>
      <c r="T141" s="3">
        <v>1131</v>
      </c>
      <c r="U141" s="11">
        <f>([1]TK1!C137+[1]TK1!C138)*1000/([1]TK1!C$134+[1]TK1!C$135)</f>
        <v>1129.7571172153682</v>
      </c>
      <c r="V141" s="11">
        <f>([1]TK1!D137+[1]TK1!D138)*1000/([1]TK1!D$134+[1]TK1!D$135)</f>
        <v>1130.8037272751685</v>
      </c>
      <c r="W141" s="11">
        <f>([1]TK1!E137+[1]TK1!E138)*1000/([1]TK1!E$134+[1]TK1!E$135)</f>
        <v>1131.3638767366954</v>
      </c>
      <c r="X141" s="11">
        <f>([1]TK1!F137+[1]TK1!F138)*1000/([1]TK1!F$134+[1]TK1!F$135)</f>
        <v>1130.6184576814755</v>
      </c>
      <c r="Y141" s="11">
        <f>([1]TK1!G137+[1]TK1!G138)*1000/([1]TK1!G$134+[1]TK1!G$135)-1</f>
        <v>1129.5199317708004</v>
      </c>
      <c r="Z141" s="11">
        <f>([1]TK1!H137+[1]TK1!H138)*1000/([1]TK1!H$134+[1]TK1!H$135)</f>
        <v>1129.686422746832</v>
      </c>
      <c r="AA141" s="11">
        <f>([1]TK1!I137+[1]TK1!I138)*1000/([1]TK1!I$134+[1]TK1!I$135)</f>
        <v>1130.0121506682867</v>
      </c>
      <c r="AB141" s="11">
        <f>([1]TK1!J137+[1]TK1!J138)*1000/([1]TK1!J$134+[1]TK1!J$135)</f>
        <v>1130.0898561108127</v>
      </c>
      <c r="AC141" s="11">
        <f>([1]TK1!K137+[1]TK1!K138)*1000/([1]TK1!K$134+[1]TK1!K$135)</f>
        <v>1130.6619417563945</v>
      </c>
      <c r="AD141" s="9">
        <f>([1]TK1!L137+[1]TK1!L138)*1000/([1]TK1!L$134+[1]TK1!L$135)</f>
        <v>1130.8584426160455</v>
      </c>
      <c r="AE141" s="9">
        <f>([1]TK1!M137+[1]TK1!M138)*1000/([1]TK1!M$134+[1]TK1!M$135)</f>
        <v>1130.8618939165272</v>
      </c>
      <c r="AF141" s="11">
        <f>([1]TK1!N137+[1]TK1!N138)*1000/([1]TK1!N$134+[1]TK1!N$135)</f>
        <v>1130.7850029291153</v>
      </c>
      <c r="AG141" s="11" t="e">
        <f>([1]TK1!O137+[1]TK1!O138)*1000/([1]TK1!O$134+[1]TK1!O$135)</f>
        <v>#DIV/0!</v>
      </c>
      <c r="AH141" s="11" t="e">
        <f>([1]TK1!P137+[1]TK1!P138)*1000/([1]TK1!P$134+[1]TK1!P$135)</f>
        <v>#DIV/0!</v>
      </c>
      <c r="AI141" s="11" t="e">
        <f>([1]TK1!Q137+[1]TK1!Q138)*1000/([1]TK1!Q$134+[1]TK1!Q$135)</f>
        <v>#DIV/0!</v>
      </c>
      <c r="AJ141" s="11"/>
      <c r="AK141" s="9">
        <f>([1]TK1!S137+[1]TK1!S138)*1000/([1]TK1!S$134+[1]TK1!S$135)</f>
        <v>1130.4803685489192</v>
      </c>
    </row>
    <row r="142" spans="1:37">
      <c r="A142" s="7">
        <v>4</v>
      </c>
      <c r="B142" s="8" t="s">
        <v>171</v>
      </c>
      <c r="C142" s="8" t="s">
        <v>170</v>
      </c>
      <c r="D142" s="11">
        <v>1036.7863433841053</v>
      </c>
      <c r="E142" s="11">
        <v>1073</v>
      </c>
      <c r="F142" s="11">
        <v>1069</v>
      </c>
      <c r="G142" s="11">
        <v>1069.3690658881362</v>
      </c>
      <c r="H142" s="11">
        <v>1072.2452130769711</v>
      </c>
      <c r="I142" s="11">
        <v>1067.2881893091062</v>
      </c>
      <c r="J142" s="11">
        <v>1068.498937601368</v>
      </c>
      <c r="K142" s="11">
        <v>1072.8245571463237</v>
      </c>
      <c r="L142" s="11">
        <v>1070.1724809112338</v>
      </c>
      <c r="M142" s="11">
        <v>1069.8645229037199</v>
      </c>
      <c r="N142" s="11">
        <v>1070.0207800976723</v>
      </c>
      <c r="O142" s="11">
        <v>1068.7957502982781</v>
      </c>
      <c r="P142" s="11">
        <v>1076.25966801821</v>
      </c>
      <c r="Q142" s="11">
        <v>1072.7826277102151</v>
      </c>
      <c r="R142" s="11">
        <v>1069.2870312923267</v>
      </c>
      <c r="S142" s="11">
        <v>1073.0293209272427</v>
      </c>
      <c r="T142" s="3">
        <v>1073</v>
      </c>
      <c r="U142" s="11">
        <f>([1]TK1!C137)*1000/([1]TK1!C$134+[1]TK1!C$135)</f>
        <v>1072.0014541158293</v>
      </c>
      <c r="V142" s="11">
        <f>([1]TK1!D137)*1000/([1]TK1!D$134+[1]TK1!D$135)</f>
        <v>1070.0609575982169</v>
      </c>
      <c r="W142" s="11">
        <f>([1]TK1!E137)*1000/([1]TK1!E$134+[1]TK1!E$135)</f>
        <v>1071.9917311667709</v>
      </c>
      <c r="X142" s="11">
        <f>([1]TK1!F137)*1000/([1]TK1!F$134+[1]TK1!F$135)</f>
        <v>1071.4099663014636</v>
      </c>
      <c r="Y142" s="11">
        <f>([1]TK1!G137)*1000/([1]TK1!G$134+[1]TK1!G$135)</f>
        <v>1071.4300755996378</v>
      </c>
      <c r="Z142" s="11">
        <f>([1]TK1!H137)*1000/([1]TK1!H$134+[1]TK1!H$135)</f>
        <v>1071.0125288258089</v>
      </c>
      <c r="AA142" s="11">
        <f>([1]TK1!I137)*1000/([1]TK1!I$134+[1]TK1!I$135)</f>
        <v>1072.0039602178119</v>
      </c>
      <c r="AB142" s="11">
        <f>([1]TK1!J137)*1000/([1]TK1!J$134+[1]TK1!J$135)</f>
        <v>1071.4893426473222</v>
      </c>
      <c r="AC142" s="11">
        <f>([1]TK1!K137)*1000/([1]TK1!K$134+[1]TK1!K$135)</f>
        <v>1072.2593248830131</v>
      </c>
      <c r="AD142" s="9">
        <f>([1]TK1!L137)*1000/([1]TK1!L$134+[1]TK1!L$135)</f>
        <v>1072.2810367583049</v>
      </c>
      <c r="AE142" s="9">
        <f>([1]TK1!M137)*1000/([1]TK1!M$134+[1]TK1!M$135)</f>
        <v>1072.7711769064017</v>
      </c>
      <c r="AF142" s="9">
        <f>([1]TK1!N137)*1000/([1]TK1!N$134+[1]TK1!N$135)</f>
        <v>1072.4266859643681</v>
      </c>
      <c r="AG142" s="9" t="e">
        <f>([1]TK1!O137)*1000/([1]TK1!O$134+[1]TK1!O$135)</f>
        <v>#DIV/0!</v>
      </c>
      <c r="AH142" s="9" t="e">
        <f>([1]TK1!P137)*1000/([1]TK1!P$134+[1]TK1!P$135)</f>
        <v>#DIV/0!</v>
      </c>
      <c r="AI142" s="9" t="e">
        <f>([1]TK1!Q137)*1000/([1]TK1!Q$134+[1]TK1!Q$135)</f>
        <v>#DIV/0!</v>
      </c>
      <c r="AJ142" s="9"/>
      <c r="AK142" s="9">
        <f>([1]TK1!S137)*1000/([1]TK1!S$134+[1]TK1!S$135)</f>
        <v>1071.754951437566</v>
      </c>
    </row>
    <row r="143" spans="1:37">
      <c r="A143" s="7">
        <v>5</v>
      </c>
      <c r="B143" s="8" t="s">
        <v>172</v>
      </c>
      <c r="C143" s="8" t="s">
        <v>170</v>
      </c>
      <c r="D143" s="11">
        <v>93.241632991399854</v>
      </c>
      <c r="E143" s="11">
        <v>80</v>
      </c>
      <c r="F143" s="11">
        <v>82</v>
      </c>
      <c r="G143" s="11">
        <v>80.620329128769441</v>
      </c>
      <c r="H143" s="11">
        <v>77.709089051244064</v>
      </c>
      <c r="I143" s="11">
        <v>83</v>
      </c>
      <c r="J143" s="11">
        <v>80.676917660962829</v>
      </c>
      <c r="K143" s="11">
        <v>77.063819461295807</v>
      </c>
      <c r="L143" s="11">
        <v>79.12603949864976</v>
      </c>
      <c r="M143" s="11">
        <v>79.448623711074006</v>
      </c>
      <c r="N143" s="11">
        <v>78.65878148301212</v>
      </c>
      <c r="O143" s="11">
        <v>78.872389901667447</v>
      </c>
      <c r="P143" s="11">
        <v>72.19645355774486</v>
      </c>
      <c r="Q143" s="11">
        <v>72.263169108453454</v>
      </c>
      <c r="R143" s="11">
        <v>66</v>
      </c>
      <c r="S143" s="11">
        <v>58.549138462109021</v>
      </c>
      <c r="T143" s="3">
        <v>58</v>
      </c>
      <c r="U143" s="11">
        <f>([1]TK1!C138)*1000/([1]TK1!C$134+[1]TK1!C$135)</f>
        <v>57.755663099538772</v>
      </c>
      <c r="V143" s="11">
        <f>([1]TK1!D138)*1000/([1]TK1!D$134+[1]TK1!D$135)</f>
        <v>60.742769676951582</v>
      </c>
      <c r="W143" s="11">
        <f>([1]TK1!E138)*1000/([1]TK1!E$134+[1]TK1!E$135)</f>
        <v>59.37214556992452</v>
      </c>
      <c r="X143" s="11">
        <f>([1]TK1!F138)*1000/([1]TK1!F$134+[1]TK1!F$135)</f>
        <v>59.208491380012049</v>
      </c>
      <c r="Y143" s="11">
        <f>([1]TK1!G138)*1000/([1]TK1!G$134+[1]TK1!G$135)</f>
        <v>59.089856171162637</v>
      </c>
      <c r="Z143" s="11">
        <f>([1]TK1!H138)*1000/([1]TK1!H$134+[1]TK1!H$135)</f>
        <v>58.673893921023229</v>
      </c>
      <c r="AA143" s="11">
        <f>([1]TK1!I138)*1000/([1]TK1!I$134+[1]TK1!I$135)</f>
        <v>58.008190450474778</v>
      </c>
      <c r="AB143" s="11">
        <f>([1]TK1!J138)*1000/([1]TK1!J$134+[1]TK1!J$135)</f>
        <v>58.600513463490358</v>
      </c>
      <c r="AC143" s="11">
        <f>([1]TK1!K138)*1000/([1]TK1!K$134+[1]TK1!K$135)+1</f>
        <v>59.40261687338149</v>
      </c>
      <c r="AD143" s="9">
        <f>([1]TK1!L138)*1000/([1]TK1!L$134+[1]TK1!L$135)</f>
        <v>58.577405857740587</v>
      </c>
      <c r="AE143" s="9">
        <f>([1]TK1!M138)*1000/([1]TK1!M$134+[1]TK1!M$135)</f>
        <v>58.090717010125402</v>
      </c>
      <c r="AF143" s="9">
        <f>([1]TK1!N138)*1000/([1]TK1!N$134+[1]TK1!N$135)</f>
        <v>58.358316964747232</v>
      </c>
      <c r="AG143" s="9" t="e">
        <f>([1]TK1!O138)*1000/([1]TK1!O$134+[1]TK1!O$135)</f>
        <v>#DIV/0!</v>
      </c>
      <c r="AH143" s="9" t="e">
        <f>([1]TK1!P138)*1000/([1]TK1!P$134+[1]TK1!P$135)</f>
        <v>#DIV/0!</v>
      </c>
      <c r="AI143" s="9" t="e">
        <f>([1]TK1!Q138)*1000/([1]TK1!Q$134+[1]TK1!Q$135)</f>
        <v>#DIV/0!</v>
      </c>
      <c r="AJ143" s="9"/>
      <c r="AK143" s="9">
        <f>([1]TK1!S138)*1000/([1]TK1!S$134+[1]TK1!S$135)</f>
        <v>58.725417111353046</v>
      </c>
    </row>
    <row r="144" spans="1:37">
      <c r="A144" s="7">
        <v>6</v>
      </c>
      <c r="B144" s="8" t="s">
        <v>173</v>
      </c>
      <c r="C144" s="8" t="s">
        <v>170</v>
      </c>
      <c r="D144" s="12">
        <v>84.198528649880842</v>
      </c>
      <c r="E144" s="12">
        <v>81.3</v>
      </c>
      <c r="F144" s="12">
        <v>78.25</v>
      </c>
      <c r="G144" s="9">
        <v>75.90672605457199</v>
      </c>
      <c r="H144" s="9">
        <v>80.138739874089595</v>
      </c>
      <c r="I144" s="9">
        <v>76.581977604056618</v>
      </c>
      <c r="J144" s="9">
        <v>76.631001923633022</v>
      </c>
      <c r="K144" s="9">
        <v>76.597913127881583</v>
      </c>
      <c r="L144" s="9">
        <v>76.462348155799887</v>
      </c>
      <c r="M144" s="9">
        <v>75.648551410717673</v>
      </c>
      <c r="N144" s="9">
        <v>74.785068597605346</v>
      </c>
      <c r="O144" s="9">
        <v>75.782467334915324</v>
      </c>
      <c r="P144" s="9">
        <v>75.281062845337459</v>
      </c>
      <c r="Q144" s="9">
        <v>66.323526938150749</v>
      </c>
      <c r="R144" s="9">
        <v>63.556804180466109</v>
      </c>
      <c r="S144" s="9">
        <v>68.87358273256784</v>
      </c>
      <c r="T144" s="3">
        <v>67</v>
      </c>
      <c r="U144" s="9">
        <f>([1]TK1!C139)*1000/([1]TK1!C$134+[1]TK1!C$135)</f>
        <v>73.341967146070473</v>
      </c>
      <c r="V144" s="9">
        <f>([1]TK1!D139)*1000/([1]TK1!D$134+[1]TK1!D$135)</f>
        <v>64.717097666424991</v>
      </c>
      <c r="W144" s="9">
        <f>([1]TK1!E139)*1000/([1]TK1!E$134+[1]TK1!E$135)</f>
        <v>69.78029902408538</v>
      </c>
      <c r="X144" s="9">
        <f>([1]TK1!F139)*1000/([1]TK1!F$134+[1]TK1!F$135)</f>
        <v>69.52154590001139</v>
      </c>
      <c r="Y144" s="9">
        <f>([1]TK1!G139)*1000/([1]TK1!G$134+[1]TK1!G$135)</f>
        <v>68.292374755196164</v>
      </c>
      <c r="Z144" s="9">
        <f>([1]TK1!H139)*1000/([1]TK1!H$134+[1]TK1!H$135)</f>
        <v>66.257756222808638</v>
      </c>
      <c r="AA144" s="9">
        <f>([1]TK1!I139)*1000/([1]TK1!I$134+[1]TK1!I$135)</f>
        <v>73.084019621079165</v>
      </c>
      <c r="AB144" s="9">
        <f>([1]TK1!J139)*1000/([1]TK1!J$134+[1]TK1!J$135)</f>
        <v>69.242939877007586</v>
      </c>
      <c r="AC144" s="9">
        <f>([1]TK1!K139)*1000/([1]TK1!K$134+[1]TK1!K$135)</f>
        <v>71.805006587615281</v>
      </c>
      <c r="AD144" s="9">
        <f>([1]TK1!L139)*1000/([1]TK1!L$134+[1]TK1!L$135)</f>
        <v>71.466681643312455</v>
      </c>
      <c r="AE144" s="9">
        <f>([1]TK1!M139)*1000/([1]TK1!M$134+[1]TK1!M$135)</f>
        <v>71.234530636884998</v>
      </c>
      <c r="AF144" s="9">
        <f>([1]TK1!N139)*1000/([1]TK1!N$134+[1]TK1!N$135)</f>
        <v>71.52210620627865</v>
      </c>
      <c r="AG144" s="9" t="e">
        <f>([1]TK1!O139)*1000/([1]TK1!O$134+[1]TK1!O$135)</f>
        <v>#DIV/0!</v>
      </c>
      <c r="AH144" s="9" t="e">
        <f>([1]TK1!P139)*1000/([1]TK1!P$134+[1]TK1!P$135)</f>
        <v>#DIV/0!</v>
      </c>
      <c r="AI144" s="9" t="e">
        <f>([1]TK1!Q139)*1000/([1]TK1!Q$134+[1]TK1!Q$135)</f>
        <v>#DIV/0!</v>
      </c>
      <c r="AJ144" s="9"/>
      <c r="AK144" s="9">
        <f>([1]TK1!S139)*1000/([1]TK1!S$134+[1]TK1!S$135)</f>
        <v>70.044137916239862</v>
      </c>
    </row>
    <row r="145" spans="1:37">
      <c r="A145" s="7">
        <v>7</v>
      </c>
      <c r="B145" s="3" t="s">
        <v>174</v>
      </c>
      <c r="C145" s="8" t="s">
        <v>170</v>
      </c>
      <c r="D145" s="12"/>
      <c r="E145" s="12"/>
      <c r="F145" s="12"/>
      <c r="G145" s="9"/>
      <c r="H145" s="9">
        <v>20.97</v>
      </c>
      <c r="I145" s="9">
        <v>23.9224593281217</v>
      </c>
      <c r="J145" s="9">
        <v>23.025761595232407</v>
      </c>
      <c r="K145" s="9">
        <v>20.368842513952924</v>
      </c>
      <c r="L145" s="9">
        <v>22.983150389744942</v>
      </c>
      <c r="M145" s="9">
        <v>22.701451171437917</v>
      </c>
      <c r="N145" s="9">
        <v>22.668932880866596</v>
      </c>
      <c r="O145" s="9">
        <v>22.915162048978448</v>
      </c>
      <c r="P145" s="9">
        <v>22.60520720963039</v>
      </c>
      <c r="Q145" s="9">
        <v>25.612128755894211</v>
      </c>
      <c r="R145" s="9">
        <v>25.431023183061424</v>
      </c>
      <c r="S145" s="9">
        <v>25.043628039797838</v>
      </c>
      <c r="T145" s="3">
        <v>25</v>
      </c>
      <c r="U145" s="9">
        <f>([1]TK1!C140)*1000/([1]TK1!C$134+[1]TK1!C$135)</f>
        <v>25.447027014745643</v>
      </c>
      <c r="V145" s="9">
        <f>([1]TK1!D140)*1000/([1]TK1!D$134+[1]TK1!D$135)</f>
        <v>24.168210746797712</v>
      </c>
      <c r="W145" s="9">
        <f>([1]TK1!E140)*1000/([1]TK1!E$134+[1]TK1!E$135)</f>
        <v>26.296812653237826</v>
      </c>
      <c r="X145" s="9">
        <f>([1]TK1!F140)*1000/([1]TK1!F$134+[1]TK1!F$135)</f>
        <v>25.347160043629025</v>
      </c>
      <c r="Y145" s="9">
        <f>([1]TK1!G140)*1000/([1]TK1!G$134+[1]TK1!G$135)</f>
        <v>26.091351317202601</v>
      </c>
      <c r="Z145" s="9">
        <f>([1]TK1!H140)*1000/([1]TK1!H$134+[1]TK1!H$135)</f>
        <v>24.629722083541356</v>
      </c>
      <c r="AA145" s="9">
        <f>([1]TK1!I140)*1000/([1]TK1!I$134+[1]TK1!I$135)</f>
        <v>27.586517258449216</v>
      </c>
      <c r="AB145" s="9">
        <f>([1]TK1!J140)*1000/([1]TK1!J$134+[1]TK1!J$135)</f>
        <v>26.128425577646425</v>
      </c>
      <c r="AC145" s="9">
        <f>([1]TK1!K140)*1000/([1]TK1!K$134+[1]TK1!K$135)</f>
        <v>26.441324792149381</v>
      </c>
      <c r="AD145" s="9">
        <f>([1]TK1!L140)*1000/([1]TK1!L$134+[1]TK1!L$135)</f>
        <v>26.592906686136306</v>
      </c>
      <c r="AE145" s="9">
        <f>([1]TK1!M140)*1000/([1]TK1!M$134+[1]TK1!M$135)</f>
        <v>25.409543670938177</v>
      </c>
      <c r="AF145" s="9">
        <f>([1]TK1!N140)*1000/([1]TK1!N$134+[1]TK1!N$135)</f>
        <v>26.163892622075192</v>
      </c>
      <c r="AG145" s="9" t="e">
        <f>([1]TK1!O140)*1000/([1]TK1!O$134+[1]TK1!O$135)</f>
        <v>#DIV/0!</v>
      </c>
      <c r="AH145" s="9" t="e">
        <f>([1]TK1!P140)*1000/([1]TK1!P$134+[1]TK1!P$135)</f>
        <v>#DIV/0!</v>
      </c>
      <c r="AI145" s="9" t="e">
        <f>([1]TK1!Q140)*1000/([1]TK1!Q$134+[1]TK1!Q$135)</f>
        <v>#DIV/0!</v>
      </c>
      <c r="AJ145" s="9"/>
      <c r="AK145" s="9">
        <f>([1]TK1!S140)*1000/([1]TK1!S$134+[1]TK1!S$135)</f>
        <v>25.882087943323267</v>
      </c>
    </row>
    <row r="146" spans="1:37">
      <c r="A146" s="7">
        <v>8</v>
      </c>
      <c r="B146" s="8" t="s">
        <v>175</v>
      </c>
      <c r="C146" s="8" t="s">
        <v>170</v>
      </c>
      <c r="D146" s="12">
        <v>8.6130970883846238</v>
      </c>
      <c r="E146" s="12">
        <v>8.8000000000000007</v>
      </c>
      <c r="F146" s="12">
        <v>20.53</v>
      </c>
      <c r="G146" s="9">
        <v>24.820651021197488</v>
      </c>
      <c r="H146" s="9">
        <v>4.6095244582957244</v>
      </c>
      <c r="I146" s="9">
        <v>0.17166701880414115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3">
        <v>0</v>
      </c>
      <c r="U146" s="9">
        <f>([1]TK1!C141)*1000/([1]TK1!C$134+[1]TK1!C$135)</f>
        <v>0</v>
      </c>
      <c r="V146" s="9">
        <f>([1]TK1!D141)*1000/([1]TK1!D$134+[1]TK1!D$135)</f>
        <v>0</v>
      </c>
      <c r="W146" s="9">
        <f>([1]TK1!E141)*1000/([1]TK1!E$134+[1]TK1!E$135)</f>
        <v>0</v>
      </c>
      <c r="X146" s="9">
        <f>([1]TK1!F141)*1000/([1]TK1!F$134+[1]TK1!F$135)</f>
        <v>0</v>
      </c>
      <c r="Y146" s="9">
        <f>([1]TK1!G141)*1000/([1]TK1!G$134+[1]TK1!G$135)</f>
        <v>0</v>
      </c>
      <c r="Z146" s="9">
        <f>([1]TK1!H141)*1000/([1]TK1!H$134+[1]TK1!H$135)</f>
        <v>0</v>
      </c>
      <c r="AA146" s="9">
        <f>([1]TK1!I141)*1000/([1]TK1!I$134+[1]TK1!I$135)</f>
        <v>0</v>
      </c>
      <c r="AB146" s="9">
        <f>([1]TK1!J141)*1000/([1]TK1!J$134+[1]TK1!J$135)</f>
        <v>0</v>
      </c>
      <c r="AC146" s="9">
        <f>([1]TK1!K141)*1000/([1]TK1!K$134+[1]TK1!K$135)</f>
        <v>0</v>
      </c>
      <c r="AD146" s="9">
        <f>([1]TK1!L141)*1000/([1]TK1!L$134+[1]TK1!L$135)</f>
        <v>0</v>
      </c>
      <c r="AE146" s="9">
        <f>([1]TK1!M141)*1000/([1]TK1!M$134+[1]TK1!M$135)</f>
        <v>0</v>
      </c>
      <c r="AF146" s="9">
        <f>([1]TK1!N141)*1000/([1]TK1!N$134+[1]TK1!N$135)</f>
        <v>0</v>
      </c>
      <c r="AG146" s="9" t="e">
        <f>([1]TK1!O141)*1000/([1]TK1!O$134+[1]TK1!O$135)</f>
        <v>#DIV/0!</v>
      </c>
      <c r="AH146" s="9" t="e">
        <f>([1]TK1!P141)*1000/([1]TK1!P$134+[1]TK1!P$135)</f>
        <v>#DIV/0!</v>
      </c>
      <c r="AI146" s="9" t="e">
        <f>([1]TK1!Q141)*1000/([1]TK1!Q$134+[1]TK1!Q$135)</f>
        <v>#DIV/0!</v>
      </c>
      <c r="AJ146" s="9"/>
      <c r="AK146" s="9">
        <f>([1]TK1!S141)*1000/([1]TK1!S$134+[1]TK1!S$135)</f>
        <v>0</v>
      </c>
    </row>
    <row r="147" spans="1:37">
      <c r="A147" s="7">
        <v>9</v>
      </c>
      <c r="B147" s="8" t="s">
        <v>413</v>
      </c>
      <c r="C147" s="8" t="s">
        <v>176</v>
      </c>
      <c r="D147" s="18">
        <v>0.21927779504714537</v>
      </c>
      <c r="E147" s="18">
        <v>0.1</v>
      </c>
      <c r="F147" s="14">
        <v>7.0000000000000007E-2</v>
      </c>
      <c r="G147" s="14">
        <v>0.14472682811193871</v>
      </c>
      <c r="H147" s="14">
        <v>0.12205021656817498</v>
      </c>
      <c r="I147" s="14">
        <v>0.10035918022395944</v>
      </c>
      <c r="J147" s="14">
        <v>0.1533877314960333</v>
      </c>
      <c r="K147" s="14">
        <v>7.6437757825770447E-2</v>
      </c>
      <c r="L147" s="14">
        <v>6.7435223869617058E-3</v>
      </c>
      <c r="M147" s="14">
        <v>0</v>
      </c>
      <c r="N147" s="14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3">
        <v>0</v>
      </c>
      <c r="U147" s="9">
        <f>([1]TK1!C142)*1000/([1]TK1!C$134+[1]TK1!C$135)</f>
        <v>0</v>
      </c>
      <c r="V147" s="9">
        <f>([1]TK1!D142)*1000/([1]TK1!D$134+[1]TK1!D$135)</f>
        <v>0</v>
      </c>
      <c r="W147" s="9">
        <f>([1]TK1!E142)*1000/([1]TK1!E$134+[1]TK1!E$135)</f>
        <v>0</v>
      </c>
      <c r="X147" s="9">
        <f>([1]TK1!F142)*1000/([1]TK1!F$134+[1]TK1!F$135)</f>
        <v>0</v>
      </c>
      <c r="Y147" s="9">
        <f>([1]TK1!G142)*1000/([1]TK1!G$134+[1]TK1!G$135)</f>
        <v>0</v>
      </c>
      <c r="Z147" s="9">
        <f>([1]TK1!H142)*1000/([1]TK1!H$134+[1]TK1!H$135)</f>
        <v>0</v>
      </c>
      <c r="AA147" s="9">
        <f>([1]TK1!I142)*1000/([1]TK1!I$134+[1]TK1!I$135)</f>
        <v>0</v>
      </c>
      <c r="AB147" s="9">
        <f>([1]TK1!J142)*1000/([1]TK1!J$134+[1]TK1!J$135)</f>
        <v>0</v>
      </c>
      <c r="AC147" s="9">
        <f>([1]TK1!K142)*1000/([1]TK1!K$134+[1]TK1!K$135)</f>
        <v>0</v>
      </c>
      <c r="AD147" s="9">
        <f>([1]TK1!L142)*1000/([1]TK1!L$134+[1]TK1!L$135)</f>
        <v>0</v>
      </c>
      <c r="AE147" s="9">
        <f>([1]TK1!M142)*1000/([1]TK1!M$134+[1]TK1!M$135)</f>
        <v>0.25538512197129765</v>
      </c>
      <c r="AF147" s="9">
        <f>([1]TK1!N142)*1000/([1]TK1!N$134+[1]TK1!N$135)</f>
        <v>8.0180226747992689E-2</v>
      </c>
      <c r="AG147" s="9" t="e">
        <f>([1]TK1!O142)*1000/([1]TK1!O$134+[1]TK1!O$135)</f>
        <v>#DIV/0!</v>
      </c>
      <c r="AH147" s="9" t="e">
        <f>([1]TK1!P142)*1000/([1]TK1!P$134+[1]TK1!P$135)</f>
        <v>#DIV/0!</v>
      </c>
      <c r="AI147" s="9" t="e">
        <f>([1]TK1!Q142)*1000/([1]TK1!Q$134+[1]TK1!Q$135)</f>
        <v>#DIV/0!</v>
      </c>
      <c r="AJ147" s="9"/>
      <c r="AK147" s="9">
        <f>([1]TK1!S142)*1000/([1]TK1!S$134+[1]TK1!S$135)</f>
        <v>2.4956961509377297E-2</v>
      </c>
    </row>
    <row r="148" spans="1:37">
      <c r="A148" s="7">
        <v>10</v>
      </c>
      <c r="B148" s="8" t="s">
        <v>177</v>
      </c>
      <c r="C148" s="8" t="s">
        <v>176</v>
      </c>
      <c r="D148" s="12">
        <v>11.345974510413429</v>
      </c>
      <c r="E148" s="12">
        <v>10.1</v>
      </c>
      <c r="F148" s="12">
        <v>9.69</v>
      </c>
      <c r="G148" s="9">
        <v>9.7865279285348912</v>
      </c>
      <c r="H148" s="9">
        <v>9.0430695345629175</v>
      </c>
      <c r="I148" s="9">
        <v>8.1792731882526937</v>
      </c>
      <c r="J148" s="9">
        <v>7.5009115254535628</v>
      </c>
      <c r="K148" s="9">
        <v>7.9568066003397231</v>
      </c>
      <c r="L148" s="9">
        <v>10.000030652374486</v>
      </c>
      <c r="M148" s="9">
        <v>9.5539756588800326</v>
      </c>
      <c r="N148" s="9">
        <v>6.6676755976460864</v>
      </c>
      <c r="O148" s="9">
        <v>6.1322264638111337</v>
      </c>
      <c r="P148" s="9">
        <v>5.5711820806519459</v>
      </c>
      <c r="Q148" s="9">
        <v>5.8087052082106831</v>
      </c>
      <c r="R148" s="9">
        <v>6.4948399556087626</v>
      </c>
      <c r="S148" s="9">
        <v>6.1419214468644467</v>
      </c>
      <c r="T148" s="9">
        <v>7.76</v>
      </c>
      <c r="U148" s="9">
        <f>([1]TK1!C143)*1000/([1]TK1!C$134+[1]TK1!C$135)</f>
        <v>6.3844773135210051</v>
      </c>
      <c r="V148" s="9">
        <f>([1]TK1!D143)*1000/([1]TK1!D$134+[1]TK1!D$135)</f>
        <v>8.6468487338542932</v>
      </c>
      <c r="W148" s="9">
        <f>([1]TK1!E143)*1000/([1]TK1!E$134+[1]TK1!E$135)</f>
        <v>6.5141098985625687</v>
      </c>
      <c r="X148" s="9">
        <f>([1]TK1!F143)*1000/([1]TK1!F$134+[1]TK1!F$135)</f>
        <v>7.114135477884318</v>
      </c>
      <c r="Y148" s="9">
        <f>([1]TK1!G143)*1000/([1]TK1!G$134+[1]TK1!G$135)</f>
        <v>6.6544527976077665</v>
      </c>
      <c r="Z148" s="9">
        <f>([1]TK1!H143)*1000/([1]TK1!H$134+[1]TK1!H$135)</f>
        <v>7.1559327675153934</v>
      </c>
      <c r="AA148" s="9">
        <f>([1]TK1!I143)*1000/([1]TK1!I$134+[1]TK1!I$135)</f>
        <v>5.3327933036316999</v>
      </c>
      <c r="AB148" s="9">
        <f>([1]TK1!J143)*1000/([1]TK1!J$134+[1]TK1!J$135)</f>
        <v>6.3735148367066694</v>
      </c>
      <c r="AC148" s="9">
        <f>([1]TK1!K143)*1000/([1]TK1!K$134+[1]TK1!K$135)</f>
        <v>6.3831720503384668</v>
      </c>
      <c r="AD148" s="9">
        <f>([1]TK1!L143)*1000/([1]TK1!L$134+[1]TK1!L$135)</f>
        <v>6.8518154502822162</v>
      </c>
      <c r="AE148" s="9">
        <f>([1]TK1!M143)*1000/([1]TK1!M$134+[1]TK1!M$135)</f>
        <v>5.5154625030870124</v>
      </c>
      <c r="AF148" s="9">
        <f>([1]TK1!N143)*1000/([1]TK1!N$134+[1]TK1!N$135)</f>
        <v>6.254522898790448</v>
      </c>
      <c r="AG148" s="9" t="e">
        <f>([1]TK1!O143)*1000/([1]TK1!O$134+[1]TK1!O$135)</f>
        <v>#DIV/0!</v>
      </c>
      <c r="AH148" s="9" t="e">
        <f>([1]TK1!P143)*1000/([1]TK1!P$134+[1]TK1!P$135)</f>
        <v>#DIV/0!</v>
      </c>
      <c r="AI148" s="9" t="e">
        <f>([1]TK1!Q143)*1000/([1]TK1!Q$134+[1]TK1!Q$135)</f>
        <v>#DIV/0!</v>
      </c>
      <c r="AJ148" s="9"/>
      <c r="AK148" s="9">
        <f>([1]TK1!S143)*1000/([1]TK1!S$134+[1]TK1!S$135)</f>
        <v>6.5804645475461356</v>
      </c>
    </row>
    <row r="149" spans="1:37">
      <c r="A149" s="7">
        <v>11</v>
      </c>
      <c r="B149" s="3" t="s">
        <v>178</v>
      </c>
      <c r="C149" s="8" t="s">
        <v>176</v>
      </c>
      <c r="D149" s="9">
        <v>17.195109315096882</v>
      </c>
      <c r="E149" s="9">
        <v>14.04</v>
      </c>
      <c r="F149" s="9">
        <v>13.67</v>
      </c>
      <c r="G149" s="9">
        <v>13.95116717196292</v>
      </c>
      <c r="H149" s="9">
        <v>16.204295032272348</v>
      </c>
      <c r="I149" s="9">
        <v>12.230614832030424</v>
      </c>
      <c r="J149" s="9">
        <v>12.190552824471629</v>
      </c>
      <c r="K149" s="9">
        <v>13.168793982043196</v>
      </c>
      <c r="L149" s="9">
        <v>13.559997425200542</v>
      </c>
      <c r="M149" s="9">
        <v>12.243721058339501</v>
      </c>
      <c r="N149" s="9">
        <v>11.414501830627652</v>
      </c>
      <c r="O149" s="9">
        <v>10.349124213299895</v>
      </c>
      <c r="P149" s="9">
        <v>10.441316595941936</v>
      </c>
      <c r="Q149" s="9">
        <v>11.067938302131166</v>
      </c>
      <c r="R149" s="9">
        <v>12.16389803996959</v>
      </c>
      <c r="S149" s="9">
        <v>11.58538218574934</v>
      </c>
      <c r="T149" s="12">
        <v>11.7</v>
      </c>
      <c r="U149" s="9">
        <f>([1]TK1!C145)*1000/([1]TK1!C$134+[1]TK1!C$135)</f>
        <v>14.154908776952263</v>
      </c>
      <c r="V149" s="9">
        <f>([1]TK1!D145)*1000/([1]TK1!D$134+[1]TK1!D$135)</f>
        <v>13.346223045731625</v>
      </c>
      <c r="W149" s="9">
        <f>([1]TK1!E145)*1000/([1]TK1!E$134+[1]TK1!E$135)</f>
        <v>14.013749338974089</v>
      </c>
      <c r="X149" s="9">
        <f>([1]TK1!F145)*1000/([1]TK1!F$134+[1]TK1!F$135)</f>
        <v>13.8619825158318</v>
      </c>
      <c r="Y149" s="9">
        <f>([1]TK1!G145)*1000/([1]TK1!G$134+[1]TK1!G$135)</f>
        <v>12.719270537199655</v>
      </c>
      <c r="Z149" s="9">
        <f>([1]TK1!H145)*1000/([1]TK1!H$134+[1]TK1!H$135)</f>
        <v>10.246534959465563</v>
      </c>
      <c r="AA149" s="9">
        <f>([1]TK1!I145)*1000/([1]TK1!I$134+[1]TK1!I$135)</f>
        <v>13.748256154088475</v>
      </c>
      <c r="AB149" s="9">
        <f>([1]TK1!J145)*1000/([1]TK1!J$134+[1]TK1!J$135)</f>
        <v>12.284315481521284</v>
      </c>
      <c r="AC149" s="9">
        <f>([1]TK1!K145)*1000/([1]TK1!K$134+[1]TK1!K$135)</f>
        <v>10.903639089546136</v>
      </c>
      <c r="AD149" s="9">
        <f>([1]TK1!L145)*1000/([1]TK1!L$134+[1]TK1!L$135)</f>
        <v>10.446210440594198</v>
      </c>
      <c r="AE149" s="9">
        <f>([1]TK1!M145)*1000/([1]TK1!M$134+[1]TK1!M$135)</f>
        <v>13.19869385067091</v>
      </c>
      <c r="AF149" s="9">
        <f>([1]TK1!N145)*1000/([1]TK1!N$134+[1]TK1!N$135)</f>
        <v>11.483855405079431</v>
      </c>
      <c r="AG149" s="9" t="e">
        <f>([1]TK1!O145)*1000/([1]TK1!O$134+[1]TK1!O$135)</f>
        <v>#DIV/0!</v>
      </c>
      <c r="AH149" s="9" t="e">
        <f>([1]TK1!P145)*1000/([1]TK1!P$134+[1]TK1!P$135)</f>
        <v>#DIV/0!</v>
      </c>
      <c r="AI149" s="9" t="e">
        <f>([1]TK1!Q145)*1000/([1]TK1!Q$134+[1]TK1!Q$135)</f>
        <v>#DIV/0!</v>
      </c>
      <c r="AJ149" s="9"/>
      <c r="AK149" s="9">
        <f>([1]TK1!S145)*1000/([1]TK1!S$134+[1]TK1!S$135)</f>
        <v>12.554904242710272</v>
      </c>
    </row>
    <row r="150" spans="1:37">
      <c r="A150" s="7">
        <v>12</v>
      </c>
      <c r="B150" s="8" t="s">
        <v>179</v>
      </c>
      <c r="C150" s="8" t="s">
        <v>176</v>
      </c>
      <c r="D150" s="9">
        <v>4.2715780748109005</v>
      </c>
      <c r="E150" s="9">
        <v>3.78</v>
      </c>
      <c r="F150" s="9">
        <v>3.9</v>
      </c>
      <c r="G150" s="9">
        <v>4.0698182181133111</v>
      </c>
      <c r="H150" s="9">
        <v>4.075909557951146</v>
      </c>
      <c r="I150" s="9">
        <v>4.0354954574265793</v>
      </c>
      <c r="J150" s="9">
        <v>3.4725976589511798</v>
      </c>
      <c r="K150" s="9">
        <v>3.5957049259888376</v>
      </c>
      <c r="L150" s="9">
        <v>4.1054564291822873</v>
      </c>
      <c r="M150" s="9">
        <v>4.5402902342875837</v>
      </c>
      <c r="N150" s="9">
        <v>4.5954865860686036</v>
      </c>
      <c r="O150" s="9">
        <v>5.9232334134914275</v>
      </c>
      <c r="P150" s="9">
        <v>5.4080812185065108</v>
      </c>
      <c r="Q150" s="9">
        <v>4.5779998093668173</v>
      </c>
      <c r="R150" s="9">
        <v>5.9596109649851012</v>
      </c>
      <c r="S150" s="9">
        <v>5.8369887483954974</v>
      </c>
      <c r="T150" s="9">
        <v>5.2</v>
      </c>
      <c r="U150" s="9">
        <f>([1]TK1!C144)*1000/([1]TK1!C$134+[1]TK1!C$135)</f>
        <v>6.452638993024788</v>
      </c>
      <c r="V150" s="9">
        <f>([1]TK1!D144)*1000/([1]TK1!D$134+[1]TK1!D$135)</f>
        <v>6.4180026316496148</v>
      </c>
      <c r="W150" s="9">
        <f>([1]TK1!E144)*1000/([1]TK1!E$134+[1]TK1!E$135)</f>
        <v>5.9852891687899623</v>
      </c>
      <c r="X150" s="9">
        <f>([1]TK1!F144)*1000/([1]TK1!F$134+[1]TK1!F$135)</f>
        <v>6.2838816806941571</v>
      </c>
      <c r="Y150" s="9">
        <f>([1]TK1!G144)*1000/([1]TK1!G$134+[1]TK1!G$135)</f>
        <v>5.8542337903005031</v>
      </c>
      <c r="Z150" s="9">
        <f>([1]TK1!H144)*1000/([1]TK1!H$134+[1]TK1!H$135)</f>
        <v>6.157430520885339</v>
      </c>
      <c r="AA150" s="9">
        <f>([1]TK1!I144)*1000/([1]TK1!I$134+[1]TK1!I$135)</f>
        <v>5.8503217676972232</v>
      </c>
      <c r="AB150" s="9">
        <f>([1]TK1!J144)*1000/([1]TK1!J$134+[1]TK1!J$135)</f>
        <v>5.9481163054510713</v>
      </c>
      <c r="AC150" s="9">
        <f>([1]TK1!K144)*1000/([1]TK1!K$134+[1]TK1!K$135)</f>
        <v>6.7011948571168958</v>
      </c>
      <c r="AD150" s="9">
        <f>([1]TK1!L144)*1000/([1]TK1!L$134+[1]TK1!L$135)</f>
        <v>7.0764651371767151</v>
      </c>
      <c r="AE150" s="9">
        <f>([1]TK1!M144)*1000/([1]TK1!M$134+[1]TK1!M$135)</f>
        <v>6.4209861976236864</v>
      </c>
      <c r="AF150" s="9">
        <f>([1]TK1!N144)*1000/([1]TK1!N$134+[1]TK1!N$135)</f>
        <v>6.7283503911230573</v>
      </c>
      <c r="AG150" s="9" t="e">
        <f>([1]TK1!O144)*1000/([1]TK1!O$134+[1]TK1!O$135)</f>
        <v>#DIV/0!</v>
      </c>
      <c r="AH150" s="9" t="e">
        <f>([1]TK1!P144)*1000/([1]TK1!P$134+[1]TK1!P$135)</f>
        <v>#DIV/0!</v>
      </c>
      <c r="AI150" s="9" t="e">
        <f>([1]TK1!Q144)*1000/([1]TK1!Q$134+[1]TK1!Q$135)</f>
        <v>#DIV/0!</v>
      </c>
      <c r="AJ150" s="9"/>
      <c r="AK150" s="9">
        <f>([1]TK1!S144)*1000/([1]TK1!S$134+[1]TK1!S$135)</f>
        <v>6.3015858544145962</v>
      </c>
    </row>
    <row r="151" spans="1:37">
      <c r="A151" s="7">
        <v>13</v>
      </c>
      <c r="B151" s="8" t="s">
        <v>180</v>
      </c>
      <c r="C151" s="8" t="s">
        <v>176</v>
      </c>
      <c r="D151" s="9">
        <v>19.194902082685733</v>
      </c>
      <c r="E151" s="9">
        <v>17.2</v>
      </c>
      <c r="F151" s="9">
        <v>16.899999999999999</v>
      </c>
      <c r="G151" s="9">
        <v>14.130828062032913</v>
      </c>
      <c r="H151" s="9">
        <v>14.135118104872358</v>
      </c>
      <c r="I151" s="9">
        <v>12.304563701669132</v>
      </c>
      <c r="J151" s="9">
        <v>14.227340734500924</v>
      </c>
      <c r="K151" s="9">
        <v>14.608104828925018</v>
      </c>
      <c r="L151" s="9">
        <v>18.268815193768987</v>
      </c>
      <c r="M151" s="9">
        <v>15.148646089755728</v>
      </c>
      <c r="N151" s="9">
        <v>14.688676884033086</v>
      </c>
      <c r="O151" s="9">
        <v>14.745914714962579</v>
      </c>
      <c r="P151" s="9">
        <v>17.832360927900833</v>
      </c>
      <c r="Q151" s="9">
        <v>13.916222323145671</v>
      </c>
      <c r="R151" s="9">
        <v>14.361613813714095</v>
      </c>
      <c r="S151" s="9">
        <v>13.460306210119233</v>
      </c>
      <c r="T151" s="12">
        <v>12.6</v>
      </c>
      <c r="U151" s="9">
        <f>([1]TK1!C146)*1000/([1]TK1!C$134+[1]TK1!C$135)</f>
        <v>8.9519005748301641</v>
      </c>
      <c r="V151" s="9">
        <f>([1]TK1!D146)*1000/([1]TK1!D$134+[1]TK1!D$135)</f>
        <v>16.622358280297536</v>
      </c>
      <c r="W151" s="9">
        <f>([1]TK1!E146)*1000/([1]TK1!E$134+[1]TK1!E$135)</f>
        <v>12.090764867073698</v>
      </c>
      <c r="X151" s="9">
        <f>([1]TK1!F146)*1000/([1]TK1!F$134+[1]TK1!F$135)</f>
        <v>12.339850554316506</v>
      </c>
      <c r="Y151" s="9">
        <f>([1]TK1!G146)*1000/([1]TK1!G$134+[1]TK1!G$135)</f>
        <v>9.3709857434666333</v>
      </c>
      <c r="Z151" s="9">
        <f>([1]TK1!H146)*1000/([1]TK1!H$134+[1]TK1!H$135)</f>
        <v>12.742790576040701</v>
      </c>
      <c r="AA151" s="9">
        <f>([1]TK1!I146)*1000/([1]TK1!I$134+[1]TK1!I$135)</f>
        <v>14.648305656811125</v>
      </c>
      <c r="AB151" s="9">
        <f>([1]TK1!J146)*1000/([1]TK1!J$134+[1]TK1!J$135)</f>
        <v>12.179831631739209</v>
      </c>
      <c r="AC151" s="9">
        <f>([1]TK1!K146)*1000/([1]TK1!K$134+[1]TK1!K$135)</f>
        <v>7.8824224251510611</v>
      </c>
      <c r="AD151" s="9">
        <f>([1]TK1!L146)*1000/([1]TK1!L$134+[1]TK1!L$135)</f>
        <v>19.769172446715903</v>
      </c>
      <c r="AE151" s="9">
        <f>([1]TK1!M146)*1000/([1]TK1!M$134+[1]TK1!M$135)</f>
        <v>10.756523886617458</v>
      </c>
      <c r="AF151" s="9">
        <f>([1]TK1!N146)*1000/([1]TK1!N$134+[1]TK1!N$135)</f>
        <v>12.43151038974465</v>
      </c>
      <c r="AG151" s="9" t="e">
        <f>([1]TK1!O146)*1000/([1]TK1!O$134+[1]TK1!O$135)</f>
        <v>#DIV/0!</v>
      </c>
      <c r="AH151" s="9" t="e">
        <f>([1]TK1!P146)*1000/([1]TK1!P$134+[1]TK1!P$135)</f>
        <v>#DIV/0!</v>
      </c>
      <c r="AI151" s="9" t="e">
        <f>([1]TK1!Q146)*1000/([1]TK1!Q$134+[1]TK1!Q$135)</f>
        <v>#DIV/0!</v>
      </c>
      <c r="AJ151" s="9"/>
      <c r="AK151" s="9">
        <f>([1]TK1!S146)*1000/([1]TK1!S$134+[1]TK1!S$135)</f>
        <v>12.310885386220175</v>
      </c>
    </row>
    <row r="152" spans="1:37">
      <c r="A152" s="7">
        <v>14</v>
      </c>
      <c r="B152" s="8" t="s">
        <v>181</v>
      </c>
      <c r="C152" s="8" t="s">
        <v>47</v>
      </c>
      <c r="D152" s="12">
        <v>88.49338431491212</v>
      </c>
      <c r="E152" s="12">
        <v>86.7</v>
      </c>
      <c r="F152" s="12">
        <v>86.9</v>
      </c>
      <c r="G152" s="12">
        <v>86.957323635606159</v>
      </c>
      <c r="H152" s="12">
        <v>86.959977292080609</v>
      </c>
      <c r="I152" s="12">
        <v>86.994081535124806</v>
      </c>
      <c r="J152" s="12">
        <v>87.01888361305005</v>
      </c>
      <c r="K152" s="12">
        <v>86.964962890587898</v>
      </c>
      <c r="L152" s="12">
        <v>87.009596048497656</v>
      </c>
      <c r="M152" s="12">
        <v>87.00848876091051</v>
      </c>
      <c r="N152" s="12">
        <v>87.056480627540012</v>
      </c>
      <c r="O152" s="12">
        <v>87.133202096712481</v>
      </c>
      <c r="P152" s="12">
        <v>87.073418062133896</v>
      </c>
      <c r="Q152" s="12">
        <v>87.409088235870698</v>
      </c>
      <c r="R152" s="12">
        <v>88.083852730467044</v>
      </c>
      <c r="S152" s="12">
        <v>88.372131132616545</v>
      </c>
      <c r="T152" s="12">
        <v>88</v>
      </c>
      <c r="U152" s="12">
        <f>([1]TK1!C134+[1]TK1!C135)/([1]TK1!C137+[1]TK1!C138)*100</f>
        <v>88.51460059528597</v>
      </c>
      <c r="V152" s="12">
        <f>([1]TK1!D134+[1]TK1!D135)/([1]TK1!D137+[1]TK1!D138)*100</f>
        <v>88.432676323913569</v>
      </c>
      <c r="W152" s="12">
        <f>([1]TK1!E134+[1]TK1!E135)/([1]TK1!E137+[1]TK1!E138)*100</f>
        <v>88.388892429940299</v>
      </c>
      <c r="X152" s="12">
        <f>([1]TK1!F134+[1]TK1!F135)/([1]TK1!F137+[1]TK1!F138)*100</f>
        <v>88.447167407002112</v>
      </c>
      <c r="Y152" s="12">
        <f>([1]TK1!G134+[1]TK1!G135)/([1]TK1!G137+[1]TK1!G138)*100</f>
        <v>88.454875663593185</v>
      </c>
      <c r="Z152" s="12">
        <f>([1]TK1!H134+[1]TK1!H135)/([1]TK1!H137+[1]TK1!H138)*100</f>
        <v>88.520139736520903</v>
      </c>
      <c r="AA152" s="12">
        <f>([1]TK1!I134+[1]TK1!I135)/([1]TK1!I137+[1]TK1!I138)*100</f>
        <v>88.494623655913969</v>
      </c>
      <c r="AB152" s="12">
        <f>([1]TK1!J134+[1]TK1!J135)/([1]TK1!J137+[1]TK1!J138)*100</f>
        <v>88.488538729255126</v>
      </c>
      <c r="AC152" s="12">
        <f>([1]TK1!K134+[1]TK1!K135)/([1]TK1!K137+[1]TK1!K138)*100</f>
        <v>88.443765821513239</v>
      </c>
      <c r="AD152" s="12">
        <f>([1]TK1!L134+[1]TK1!L135)/([1]TK1!L137+[1]TK1!L138)*100</f>
        <v>88.428397606217885</v>
      </c>
      <c r="AE152" s="12">
        <f>([1]TK1!M134+[1]TK1!M135)/([1]TK1!M137+[1]TK1!M138)*100</f>
        <v>88.428127729787448</v>
      </c>
      <c r="AF152" s="12">
        <f>([1]TK1!N134+[1]TK1!N135)/([1]TK1!N137+[1]TK1!N138)*100</f>
        <v>88.43414065535552</v>
      </c>
      <c r="AG152" s="12" t="e">
        <f>([1]TK1!O134+[1]TK1!O135)/([1]TK1!O137+[1]TK1!O138)*100</f>
        <v>#DIV/0!</v>
      </c>
      <c r="AH152" s="12" t="e">
        <f>([1]TK1!P134+[1]TK1!P135)/([1]TK1!P137+[1]TK1!P138)*100</f>
        <v>#DIV/0!</v>
      </c>
      <c r="AI152" s="12" t="e">
        <f>([1]TK1!Q134+[1]TK1!Q135)/([1]TK1!Q137+[1]TK1!Q138)*100</f>
        <v>#DIV/0!</v>
      </c>
      <c r="AJ152" s="12"/>
      <c r="AK152" s="12">
        <f>([1]TK1!S134+[1]TK1!S135)/([1]TK1!S137+[1]TK1!S138)*100</f>
        <v>88.45797130326082</v>
      </c>
    </row>
    <row r="153" spans="1:37">
      <c r="A153" s="7">
        <v>15</v>
      </c>
      <c r="B153" s="8" t="s">
        <v>182</v>
      </c>
      <c r="C153" s="8" t="s">
        <v>183</v>
      </c>
      <c r="D153" s="12">
        <v>65.630737844270655</v>
      </c>
      <c r="E153" s="12">
        <v>65.599999999999994</v>
      </c>
      <c r="F153" s="12">
        <v>65.8</v>
      </c>
      <c r="G153" s="12">
        <v>66.548488874128196</v>
      </c>
      <c r="H153" s="12">
        <v>66.76407049459921</v>
      </c>
      <c r="I153" s="12">
        <v>67.602213890376717</v>
      </c>
      <c r="J153" s="12">
        <v>66.871531864805789</v>
      </c>
      <c r="K153" s="12">
        <v>66.446307642695899</v>
      </c>
      <c r="L153" s="12">
        <v>66.606574111882395</v>
      </c>
      <c r="M153" s="12">
        <v>66.694603903559127</v>
      </c>
      <c r="N153" s="12">
        <v>67.122094159015433</v>
      </c>
      <c r="O153" s="12">
        <v>66.049799056438928</v>
      </c>
      <c r="P153" s="12">
        <v>67.194193424341478</v>
      </c>
      <c r="Q153" s="12">
        <v>68.650115473441105</v>
      </c>
      <c r="R153" s="12">
        <v>68.259469132120486</v>
      </c>
      <c r="S153" s="12">
        <v>68.543002400790854</v>
      </c>
      <c r="T153" s="12">
        <v>68</v>
      </c>
      <c r="U153" s="12">
        <f>([1]TK1!C134+[1]TK1!C135)/[1]TK1!C136</f>
        <v>68.770312500000003</v>
      </c>
      <c r="V153" s="12">
        <f>([1]TK1!D134+[1]TK1!D135)/[1]TK1!D136</f>
        <v>69.346368715083798</v>
      </c>
      <c r="W153" s="12">
        <f>([1]TK1!E134+[1]TK1!E135)/[1]TK1!E136</f>
        <v>68.991708126036485</v>
      </c>
      <c r="X153" s="12">
        <f>([1]TK1!F134+[1]TK1!F135)/[1]TK1!F136</f>
        <v>69.019101123595505</v>
      </c>
      <c r="Y153" s="12">
        <f>([1]TK1!G134+[1]TK1!G135)/[1]TK1!G136</f>
        <v>69.324087591240882</v>
      </c>
      <c r="Z153" s="12">
        <f>([1]TK1!H134+[1]TK1!H135)/[1]TK1!H136</f>
        <v>68.618270799347471</v>
      </c>
      <c r="AA153" s="12">
        <f>([1]TK1!I134+[1]TK1!I135)/[1]TK1!I136</f>
        <v>68.372307692307686</v>
      </c>
      <c r="AB153" s="12">
        <f>([1]TK1!J134+[1]TK1!J135)/[1]TK1!J136</f>
        <v>68.784394250513344</v>
      </c>
      <c r="AC153" s="12">
        <f>([1]TK1!K134+[1]TK1!K135)/[1]TK1!K136</f>
        <v>68.784374999999997</v>
      </c>
      <c r="AD153" s="12">
        <f>([1]TK1!L134+[1]TK1!L135)/[1]TK1!L136</f>
        <v>67.06403013182674</v>
      </c>
      <c r="AE153" s="12">
        <f>([1]TK1!M134+[1]TK1!M135)/[1]TK1!M136</f>
        <v>69.283269961977183</v>
      </c>
      <c r="AF153" s="12">
        <f>([1]TK1!N134+[1]TK1!N135)/[1]TK1!N136</f>
        <v>68.400707130229819</v>
      </c>
      <c r="AG153" s="12" t="e">
        <f>([1]TK1!O134+[1]TK1!O135)/[1]TK1!O136</f>
        <v>#DIV/0!</v>
      </c>
      <c r="AH153" s="12" t="e">
        <f>([1]TK1!P134+[1]TK1!P135)/[1]TK1!P136</f>
        <v>#DIV/0!</v>
      </c>
      <c r="AI153" s="12" t="e">
        <f>([1]TK1!Q134+[1]TK1!Q135)/[1]TK1!Q136</f>
        <v>#DIV/0!</v>
      </c>
      <c r="AJ153" s="12"/>
      <c r="AK153" s="12">
        <f>([1]TK1!S134+[1]TK1!S135)/[1]TK1!S136</f>
        <v>68.74138248847926</v>
      </c>
    </row>
    <row r="154" spans="1:37">
      <c r="A154" s="7">
        <v>16</v>
      </c>
      <c r="B154" s="8" t="s">
        <v>184</v>
      </c>
      <c r="C154" s="8" t="s">
        <v>185</v>
      </c>
      <c r="D154" s="12">
        <v>1.6541992519551174</v>
      </c>
      <c r="E154" s="12">
        <v>1.7</v>
      </c>
      <c r="F154" s="9">
        <v>1.65</v>
      </c>
      <c r="G154" s="9">
        <v>1.6652274991697111</v>
      </c>
      <c r="H154" s="9">
        <v>1.6598446086791738</v>
      </c>
      <c r="I154" s="9">
        <v>1.6714872344224245</v>
      </c>
      <c r="J154" s="9">
        <v>1.6705902135530519</v>
      </c>
      <c r="K154" s="9">
        <v>1.6704014833924541</v>
      </c>
      <c r="L154" s="9">
        <v>1.6744610044916293</v>
      </c>
      <c r="M154" s="9">
        <v>1.2380597014925372</v>
      </c>
      <c r="N154" s="9">
        <v>1.3590974799765578</v>
      </c>
      <c r="O154" s="9">
        <v>1.449556176830334</v>
      </c>
      <c r="P154" s="9">
        <v>1.1742741780426842</v>
      </c>
      <c r="Q154" s="9">
        <v>1.313316012317167</v>
      </c>
      <c r="R154" s="9">
        <v>1.5019743513271699</v>
      </c>
      <c r="S154" s="9">
        <v>1.3</v>
      </c>
      <c r="T154" s="9">
        <v>1.3</v>
      </c>
      <c r="U154" s="9">
        <v>1.06</v>
      </c>
      <c r="V154" s="9">
        <v>1.06</v>
      </c>
      <c r="W154" s="9">
        <v>1.06</v>
      </c>
      <c r="X154" s="9"/>
      <c r="Y154" s="9">
        <v>1.6</v>
      </c>
      <c r="Z154" s="9">
        <v>1.8</v>
      </c>
      <c r="AA154" s="9">
        <v>1.08</v>
      </c>
      <c r="AB154" s="9"/>
      <c r="AC154" s="9">
        <v>1.08</v>
      </c>
      <c r="AD154" s="9">
        <v>1.08</v>
      </c>
      <c r="AE154" s="9">
        <v>1.08</v>
      </c>
      <c r="AF154" s="9"/>
      <c r="AG154" s="9"/>
      <c r="AH154" s="9"/>
      <c r="AI154" s="9"/>
      <c r="AJ154" s="9"/>
      <c r="AK154" s="9">
        <v>1.21</v>
      </c>
    </row>
    <row r="155" spans="1:37">
      <c r="A155" s="7">
        <v>17</v>
      </c>
      <c r="B155" s="8" t="s">
        <v>186</v>
      </c>
      <c r="C155" s="8" t="s">
        <v>187</v>
      </c>
      <c r="D155" s="11">
        <v>1541</v>
      </c>
      <c r="E155" s="11">
        <v>1778</v>
      </c>
      <c r="F155" s="11">
        <v>1701</v>
      </c>
      <c r="G155" s="11">
        <v>1814.75</v>
      </c>
      <c r="H155" s="11">
        <v>1557.3333333333333</v>
      </c>
      <c r="I155" s="11">
        <v>1674.3333333333333</v>
      </c>
      <c r="J155" s="11">
        <v>1726.25</v>
      </c>
      <c r="K155" s="11">
        <v>1802</v>
      </c>
      <c r="L155" s="11">
        <v>1646.6666666666667</v>
      </c>
      <c r="M155" s="11">
        <v>1287</v>
      </c>
      <c r="N155" s="11">
        <v>1657</v>
      </c>
      <c r="O155" s="11">
        <v>1672.75</v>
      </c>
      <c r="P155" s="11">
        <v>1369</v>
      </c>
      <c r="Q155" s="11">
        <v>1631</v>
      </c>
      <c r="R155" s="11">
        <v>1671.25</v>
      </c>
      <c r="S155" s="11" t="s">
        <v>5</v>
      </c>
      <c r="T155" s="11">
        <v>1600</v>
      </c>
      <c r="U155" s="11" t="str">
        <f>IF(([1]TK1!C150)=0, "-",([1]TK1!C151/[1]TK1!C150))</f>
        <v>-</v>
      </c>
      <c r="V155" s="11">
        <f>IF(([1]TK1!D150)=0, "-",([1]TK1!D151/[1]TK1!D150))</f>
        <v>1947</v>
      </c>
      <c r="W155" s="11" t="str">
        <f>IF(([1]TK1!E150)=0, "-",([1]TK1!E151/[1]TK1!E150))</f>
        <v>-</v>
      </c>
      <c r="X155" s="11">
        <f>IF(([1]TK1!F150)=0, "-",([1]TK1!F151/[1]TK1!F150))</f>
        <v>1947</v>
      </c>
      <c r="Y155" s="11" t="str">
        <f>IF(([1]TK1!G150)=0, "-",([1]TK1!G151/[1]TK1!G150))</f>
        <v>-</v>
      </c>
      <c r="Z155" s="11">
        <f>IF(([1]TK1!H150)=0, "-",([1]TK1!H151/[1]TK1!H150))</f>
        <v>1696</v>
      </c>
      <c r="AA155" s="11" t="str">
        <f>IF(([1]TK1!I150)=0, "-",([1]TK1!I151/[1]TK1!I150))</f>
        <v>-</v>
      </c>
      <c r="AB155" s="11">
        <f>[1]TK1!J151/[1]TK1!J150</f>
        <v>1696</v>
      </c>
      <c r="AC155" s="11" t="str">
        <f>IF(([1]TK1!K150)=0, "-",([1]TK1!K151/[1]TK1!K150))</f>
        <v>-</v>
      </c>
      <c r="AD155" s="11">
        <f>IF(([1]TK1!L150)=0, "-",([1]TK1!L151/[1]TK1!L150))</f>
        <v>1852</v>
      </c>
      <c r="AE155" s="11" t="str">
        <f>IF(([1]TK1!M150)=0, "-",([1]TK1!M151/[1]TK1!M150))</f>
        <v>-</v>
      </c>
      <c r="AF155" s="11">
        <f>IF(([1]TK1!N150)=0, "-",([1]TK1!N151/[1]TK1!N150))</f>
        <v>1852</v>
      </c>
      <c r="AG155" s="11" t="str">
        <f>IF(([1]TK1!O150)=0, "-",([1]TK1!O151/[1]TK1!O150))</f>
        <v>-</v>
      </c>
      <c r="AH155" s="11" t="str">
        <f>IF(([1]TK1!P150)=0, "-",([1]TK1!P151/[1]TK1!P150))</f>
        <v>-</v>
      </c>
      <c r="AI155" s="11" t="str">
        <f>IF(([1]TK1!Q150)=0, "-",([1]TK1!Q151/[1]TK1!Q150))</f>
        <v>-</v>
      </c>
      <c r="AJ155" s="11"/>
      <c r="AK155" s="11">
        <f>IF(([1]TK1!S150)=0, "-",([1]TK1!S151/[1]TK1!S150))</f>
        <v>1831.6666666666667</v>
      </c>
    </row>
    <row r="156" spans="1:37">
      <c r="A156" s="7">
        <v>18</v>
      </c>
      <c r="B156" s="8" t="s">
        <v>188</v>
      </c>
      <c r="C156" s="8" t="s">
        <v>189</v>
      </c>
      <c r="D156" s="11">
        <v>64.233084654439949</v>
      </c>
      <c r="E156" s="11">
        <v>65</v>
      </c>
      <c r="F156" s="11">
        <v>61.29</v>
      </c>
      <c r="G156" s="11">
        <v>62.503374879914162</v>
      </c>
      <c r="H156" s="11">
        <v>61.86294044517107</v>
      </c>
      <c r="I156" s="11">
        <v>61.16646418761885</v>
      </c>
      <c r="J156" s="11">
        <v>61.352402026729699</v>
      </c>
      <c r="K156" s="9">
        <v>61.328099975734048</v>
      </c>
      <c r="L156" s="9">
        <v>59.36</v>
      </c>
      <c r="M156" s="9">
        <v>59.353087913790432</v>
      </c>
      <c r="N156" s="9">
        <v>54.989924097346318</v>
      </c>
      <c r="O156" s="9">
        <v>60.806263680446982</v>
      </c>
      <c r="P156" s="9">
        <v>60.400913364828014</v>
      </c>
      <c r="Q156" s="9">
        <v>59.059012183703103</v>
      </c>
      <c r="R156" s="9">
        <v>60.44504836722389</v>
      </c>
      <c r="S156" s="9">
        <v>59.127191961314757</v>
      </c>
      <c r="T156" s="12">
        <v>66</v>
      </c>
      <c r="U156" s="9">
        <f>[1]TK1!C147/([1]TK1!C134+[1]TK1!C135)</f>
        <v>57.960602549246815</v>
      </c>
      <c r="V156" s="9">
        <f>[1]TK1!D147/([1]TK1!D134+[1]TK1!D135)</f>
        <v>57.562501678347971</v>
      </c>
      <c r="W156" s="9">
        <f>[1]TK1!E147/([1]TK1!E134+[1]TK1!E135)</f>
        <v>58.298399115427145</v>
      </c>
      <c r="X156" s="9">
        <f>[1]TK1!F147/([1]TK1!F134+[1]TK1!F135)</f>
        <v>57.954319761668323</v>
      </c>
      <c r="Y156" s="9">
        <f>[1]TK1!G147/([1]TK1!G134+[1]TK1!G135)</f>
        <v>57.409185671868087</v>
      </c>
      <c r="Z156" s="9">
        <f>[1]TK1!H147/([1]TK1!H134+[1]TK1!H135)</f>
        <v>56.503815705013906</v>
      </c>
      <c r="AA156" s="9">
        <f>[1]TK1!I147/([1]TK1!I134+[1]TK1!I135)</f>
        <v>59.001170064353538</v>
      </c>
      <c r="AB156" s="9">
        <f>[1]TK1!J147/([1]TK1!J134+[1]TK1!J135)</f>
        <v>57.652994208609471</v>
      </c>
      <c r="AC156" s="9">
        <f>[1]TK1!K147/([1]TK1!K134+[1]TK1!K135)</f>
        <v>57.920585161964475</v>
      </c>
      <c r="AD156" s="9">
        <f>[1]TK1!L147/([1]TK1!L134+[1]TK1!L135)</f>
        <v>57.737216028755157</v>
      </c>
      <c r="AE156" s="9">
        <f>[1]TK1!M147/([1]TK1!M134+[1]TK1!M135)</f>
        <v>58.291853030760365</v>
      </c>
      <c r="AF156" s="9">
        <f>[1]TK1!N147/([1]TK1!N134+[1]TK1!N135)</f>
        <v>57.980891829491021</v>
      </c>
      <c r="AG156" s="9" t="e">
        <f>[1]TK1!O147/([1]TK1!O134+[1]TK1!O135)</f>
        <v>#DIV/0!</v>
      </c>
      <c r="AH156" s="9" t="e">
        <f>[1]TK1!P147/([1]TK1!P134+[1]TK1!P135)</f>
        <v>#DIV/0!</v>
      </c>
      <c r="AI156" s="9" t="e">
        <f>[1]TK1!Q147/([1]TK1!Q134+[1]TK1!Q135)</f>
        <v>#DIV/0!</v>
      </c>
      <c r="AJ156" s="9"/>
      <c r="AK156" s="9">
        <f>[1]TK1!S147/([1]TK1!S134+[1]TK1!S135)</f>
        <v>57.854323424201304</v>
      </c>
    </row>
    <row r="157" spans="1:37">
      <c r="A157" s="7">
        <v>19</v>
      </c>
      <c r="B157" s="8" t="s">
        <v>190</v>
      </c>
      <c r="C157" s="8" t="s">
        <v>189</v>
      </c>
      <c r="D157" s="9">
        <v>3.4179852396031682</v>
      </c>
      <c r="E157" s="9">
        <v>4</v>
      </c>
      <c r="F157" s="9">
        <v>4.07</v>
      </c>
      <c r="G157" s="9">
        <v>4.0355107134907193</v>
      </c>
      <c r="H157" s="9">
        <v>4.0234112569886475</v>
      </c>
      <c r="I157" s="9">
        <v>4.0059722670789366</v>
      </c>
      <c r="J157" s="9">
        <v>4.0492624989604673</v>
      </c>
      <c r="K157" s="9">
        <v>4.0337186546572825</v>
      </c>
      <c r="L157" s="9">
        <v>3.9873693781138844</v>
      </c>
      <c r="M157" s="9">
        <v>3.9913778237627175</v>
      </c>
      <c r="N157" s="9">
        <v>3.9832140370503084</v>
      </c>
      <c r="O157" s="9">
        <v>3.9984749155378569</v>
      </c>
      <c r="P157" s="9">
        <v>3.9855422515235648</v>
      </c>
      <c r="Q157" s="9">
        <v>3.978040303426746</v>
      </c>
      <c r="R157" s="9">
        <v>3.9903293993691378</v>
      </c>
      <c r="S157" s="9">
        <v>3.9830179804764536</v>
      </c>
      <c r="T157" s="9">
        <v>4</v>
      </c>
      <c r="U157" s="9">
        <f>[1]TK1!C148/([1]TK1!C135)</f>
        <v>3.9630885465261816</v>
      </c>
      <c r="V157" s="9">
        <f>[1]TK1!D148/([1]TK1!D135)</f>
        <v>4.0207430923619141</v>
      </c>
      <c r="W157" s="9">
        <f>[1]TK1!E148/([1]TK1!E135)</f>
        <v>3.9975441215419063</v>
      </c>
      <c r="X157" s="9">
        <f>[1]TK1!F148/([1]TK1!F135)</f>
        <v>3.9922296057727586</v>
      </c>
      <c r="Y157" s="9">
        <f>[1]TK1!G148/([1]TK1!G135)</f>
        <v>3.997173949721613</v>
      </c>
      <c r="Z157" s="9">
        <f>[1]TK1!H148/([1]TK1!H135)</f>
        <v>3.91350939442288</v>
      </c>
      <c r="AA157" s="9">
        <f>[1]TK1!I148/([1]TK1!I135)</f>
        <v>4.0878462127870554</v>
      </c>
      <c r="AB157" s="9">
        <f>[1]TK1!J148/([1]TK1!J135)</f>
        <v>4.0009866798223976</v>
      </c>
      <c r="AC157" s="9">
        <f>[1]TK1!K148/([1]TK1!K135)</f>
        <v>4.0084637786676378</v>
      </c>
      <c r="AD157" s="9">
        <f>[1]TK1!L148/([1]TK1!L135)</f>
        <v>3.9917278635941589</v>
      </c>
      <c r="AE157" s="9">
        <f>[1]TK1!M148/([1]TK1!M135)</f>
        <v>4.004068952244797</v>
      </c>
      <c r="AF157" s="9">
        <f>[1]TK1!N148/([1]TK1!N135)</f>
        <v>4.0019505290594308</v>
      </c>
      <c r="AG157" s="9" t="e">
        <f>[1]TK1!O148/([1]TK1!O135)</f>
        <v>#DIV/0!</v>
      </c>
      <c r="AH157" s="9" t="e">
        <f>[1]TK1!P148/([1]TK1!P135)</f>
        <v>#DIV/0!</v>
      </c>
      <c r="AI157" s="9" t="e">
        <f>[1]TK1!Q148/([1]TK1!Q135)</f>
        <v>#DIV/0!</v>
      </c>
      <c r="AJ157" s="9"/>
      <c r="AK157" s="9">
        <f>[1]TK1!S148/([1]TK1!S135)</f>
        <v>3.9984017964345289</v>
      </c>
    </row>
    <row r="158" spans="1:37">
      <c r="A158" s="7">
        <v>20</v>
      </c>
      <c r="B158" s="8" t="s">
        <v>191</v>
      </c>
      <c r="C158" s="8" t="s">
        <v>192</v>
      </c>
      <c r="D158" s="11">
        <v>2667.5450527031621</v>
      </c>
      <c r="E158" s="11">
        <v>2876</v>
      </c>
      <c r="F158" s="11">
        <v>2492</v>
      </c>
      <c r="G158" s="11">
        <v>2445.8817668548654</v>
      </c>
      <c r="H158" s="11">
        <v>2247.5080538184575</v>
      </c>
      <c r="I158" s="11">
        <v>2412.5870380289234</v>
      </c>
      <c r="J158" s="11">
        <v>2412.6618463090635</v>
      </c>
      <c r="K158" s="11">
        <v>2888.68107062238</v>
      </c>
      <c r="L158" s="11">
        <v>2935.5042874642713</v>
      </c>
      <c r="M158" s="11">
        <v>2978.4730195177958</v>
      </c>
      <c r="N158" s="11">
        <v>3803.6921273686266</v>
      </c>
      <c r="O158" s="11">
        <v>2812.7031277302112</v>
      </c>
      <c r="P158" s="11">
        <v>3013.4589502018844</v>
      </c>
      <c r="Q158" s="11">
        <v>3665.5119322555811</v>
      </c>
      <c r="R158" s="11">
        <v>3655.7560393677304</v>
      </c>
      <c r="S158" s="11">
        <v>3666.4736619121595</v>
      </c>
      <c r="T158" s="11">
        <v>2812.7031277302112</v>
      </c>
      <c r="U158" s="11">
        <f>[1]TK1!C149/[1]TK1!C136</f>
        <v>3682.1875</v>
      </c>
      <c r="V158" s="11">
        <f>[1]TK1!D149/[1]TK1!D136</f>
        <v>3613.2216014897581</v>
      </c>
      <c r="W158" s="11">
        <f>[1]TK1!E149/[1]TK1!E136</f>
        <v>3690.049751243781</v>
      </c>
      <c r="X158" s="11">
        <f>[1]TK1!F149/[1]TK1!F136</f>
        <v>3664.0449438202249</v>
      </c>
      <c r="Y158" s="11">
        <f>[1]TK1!G149/[1]TK1!G136</f>
        <v>3656.0583941605842</v>
      </c>
      <c r="Z158" s="11">
        <f>[1]TK1!H149/[1]TK1!H136</f>
        <v>3615.0081566068516</v>
      </c>
      <c r="AA158" s="11">
        <f>[1]TK1!I149/[1]TK1!I136</f>
        <v>3733.0769230769229</v>
      </c>
      <c r="AB158" s="11">
        <f>[1]TK1!J149/[1]TK1!J136</f>
        <v>3668.8398357289529</v>
      </c>
      <c r="AC158" s="11">
        <f>[1]TK1!K149/[1]TK1!K136</f>
        <v>3462.5</v>
      </c>
      <c r="AD158" s="11">
        <f>[1]TK1!L149/[1]TK1!L136</f>
        <v>3661.7702448210921</v>
      </c>
      <c r="AE158" s="11">
        <f>[1]TK1!M149/[1]TK1!M136</f>
        <v>3657.7946768060838</v>
      </c>
      <c r="AF158" s="11">
        <f>[1]TK1!N149/[1]TK1!N136</f>
        <v>3585.3859752504418</v>
      </c>
      <c r="AG158" s="11" t="e">
        <f>[1]TK1!O149/[1]TK1!O136</f>
        <v>#DIV/0!</v>
      </c>
      <c r="AH158" s="11" t="e">
        <f>[1]TK1!P149/[1]TK1!P136</f>
        <v>#DIV/0!</v>
      </c>
      <c r="AI158" s="11" t="e">
        <f>[1]TK1!Q149/[1]TK1!Q136</f>
        <v>#DIV/0!</v>
      </c>
      <c r="AJ158" s="11"/>
      <c r="AK158" s="11">
        <f>[1]TK1!S149/[1]TK1!S136</f>
        <v>3641.1612903225805</v>
      </c>
    </row>
    <row r="159" spans="1:37">
      <c r="A159" s="7">
        <v>21</v>
      </c>
      <c r="B159" s="8" t="s">
        <v>193</v>
      </c>
      <c r="C159" s="3" t="s">
        <v>47</v>
      </c>
      <c r="D159" s="9">
        <v>90.483458810317757</v>
      </c>
      <c r="E159" s="9">
        <v>88.65</v>
      </c>
      <c r="F159" s="9">
        <v>88.71</v>
      </c>
      <c r="G159" s="9">
        <v>88.561267532287175</v>
      </c>
      <c r="H159" s="9">
        <v>88.674672031001251</v>
      </c>
      <c r="I159" s="9">
        <v>88.676340844759778</v>
      </c>
      <c r="J159" s="9">
        <v>88.668081661232804</v>
      </c>
      <c r="K159" s="9">
        <v>88.515813442111636</v>
      </c>
      <c r="L159" s="9">
        <v>88.475940535437104</v>
      </c>
      <c r="M159" s="9">
        <v>88.604476130921398</v>
      </c>
      <c r="N159" s="9">
        <v>88.570856685348275</v>
      </c>
      <c r="O159" s="9">
        <v>88.756677390009727</v>
      </c>
      <c r="P159" s="9">
        <v>88.642621316887798</v>
      </c>
      <c r="Q159" s="9">
        <v>89.77006031445832</v>
      </c>
      <c r="R159" s="9">
        <v>89.806394244371688</v>
      </c>
      <c r="S159" s="9">
        <v>89.970230237702907</v>
      </c>
      <c r="T159" s="9">
        <v>88</v>
      </c>
      <c r="U159" s="9">
        <f>[1]TK1!C154/[1]TK1!C153*100</f>
        <v>89.930415895744503</v>
      </c>
      <c r="V159" s="9">
        <f>[1]TK1!D154/[1]TK1!D153*100</f>
        <v>89.990501068629783</v>
      </c>
      <c r="W159" s="9">
        <f>[1]TK1!E154/[1]TK1!E153*100</f>
        <v>89.988739456519426</v>
      </c>
      <c r="X159" s="9">
        <f>[1]TK1!F154/[1]TK1!F153*100</f>
        <v>89.968394755977272</v>
      </c>
      <c r="Y159" s="9">
        <f>[1]TK1!G154/[1]TK1!G153*100</f>
        <v>89.898481885070311</v>
      </c>
      <c r="Z159" s="9">
        <f>[1]TK1!H154/[1]TK1!H153*100</f>
        <v>90.186876552043444</v>
      </c>
      <c r="AA159" s="9">
        <f>[1]TK1!I154/[1]TK1!I153*100</f>
        <v>90.101553166069294</v>
      </c>
      <c r="AB159" s="9">
        <f>[1]TK1!J154/[1]TK1!J153*100</f>
        <v>90.056332261281312</v>
      </c>
      <c r="AC159" s="9">
        <f>[1]TK1!K154/[1]TK1!K153*100</f>
        <v>90.097239522642354</v>
      </c>
      <c r="AD159" s="9">
        <f>[1]TK1!L154/[1]TK1!L153*100</f>
        <v>90.298229495170219</v>
      </c>
      <c r="AE159" s="9">
        <f>[1]TK1!M154/[1]TK1!M153*100</f>
        <v>90.073279627293019</v>
      </c>
      <c r="AF159" s="9">
        <f>[1]TK1!N154/[1]TK1!N153*100</f>
        <v>90.151382402462346</v>
      </c>
      <c r="AG159" s="9" t="e">
        <f>[1]TK1!O154/[1]TK1!O153*100</f>
        <v>#DIV/0!</v>
      </c>
      <c r="AH159" s="9" t="e">
        <f>[1]TK1!P154/[1]TK1!P153*100</f>
        <v>#DIV/0!</v>
      </c>
      <c r="AI159" s="9" t="e">
        <f>[1]TK1!Q154/[1]TK1!Q153*100</f>
        <v>#DIV/0!</v>
      </c>
      <c r="AJ159" s="9"/>
      <c r="AK159" s="9">
        <f>[1]TK1!S154/[1]TK1!S153*100</f>
        <v>90.056952282005113</v>
      </c>
    </row>
    <row r="160" spans="1:37">
      <c r="A160" s="7">
        <v>22</v>
      </c>
      <c r="B160" s="8" t="s">
        <v>194</v>
      </c>
      <c r="C160" s="8" t="s">
        <v>47</v>
      </c>
      <c r="D160" s="9">
        <v>98.459480474305067</v>
      </c>
      <c r="E160" s="9">
        <v>98.54</v>
      </c>
      <c r="F160" s="9">
        <v>98.64</v>
      </c>
      <c r="G160" s="9">
        <v>98.763672473247894</v>
      </c>
      <c r="H160" s="9">
        <v>98.837696777007153</v>
      </c>
      <c r="I160" s="9">
        <v>98.909172793732594</v>
      </c>
      <c r="J160" s="9">
        <v>98.952158896799375</v>
      </c>
      <c r="K160" s="9">
        <v>98.986897041306207</v>
      </c>
      <c r="L160" s="9">
        <v>99.056468862863937</v>
      </c>
      <c r="M160" s="9">
        <v>99.054972178688402</v>
      </c>
      <c r="N160" s="9">
        <v>99.150787254876477</v>
      </c>
      <c r="O160" s="9">
        <v>99.05608170309192</v>
      </c>
      <c r="P160" s="9">
        <v>98.934170878486967</v>
      </c>
      <c r="Q160" s="9">
        <v>98.815154701236438</v>
      </c>
      <c r="R160" s="9">
        <v>96.779509701877757</v>
      </c>
      <c r="S160" s="9">
        <v>98.875295250294741</v>
      </c>
      <c r="T160" s="9">
        <v>99</v>
      </c>
      <c r="U160" s="9">
        <f>[1]TK1!C135/[1]TK1!C152*100</f>
        <v>99.131474463093312</v>
      </c>
      <c r="V160" s="9">
        <f>[1]TK1!D135/[1]TK1!D152*100</f>
        <v>98.96163369631779</v>
      </c>
      <c r="W160" s="9">
        <f>[1]TK1!E135/[1]TK1!E152*100</f>
        <v>98.928137579496465</v>
      </c>
      <c r="X160" s="9">
        <f>[1]TK1!F135/[1]TK1!F152*100</f>
        <v>99.011059982239445</v>
      </c>
      <c r="Y160" s="9">
        <f>[1]TK1!G135/[1]TK1!G152*100</f>
        <v>99.111640642963152</v>
      </c>
      <c r="Z160" s="9">
        <f>[1]TK1!H135/[1]TK1!H152*100</f>
        <v>98.841944215605508</v>
      </c>
      <c r="AA160" s="9">
        <f>[1]TK1!I135/[1]TK1!I152*100</f>
        <v>91.479404609739007</v>
      </c>
      <c r="AB160" s="9">
        <f>[1]TK1!J135/[1]TK1!J152*100</f>
        <v>96.362510084130463</v>
      </c>
      <c r="AC160" s="9">
        <f>[1]TK1!K135/[1]TK1!K152*100</f>
        <v>98.879640044994375</v>
      </c>
      <c r="AD160" s="9">
        <f>[1]TK1!L135/[1]TK1!L152*100</f>
        <v>98.651011741194111</v>
      </c>
      <c r="AE160" s="9">
        <f>[1]TK1!M135/[1]TK1!M152*100</f>
        <v>98.87460244107973</v>
      </c>
      <c r="AF160" s="9">
        <f>[1]TK1!N135/[1]TK1!N152*100</f>
        <v>98.807818256242328</v>
      </c>
      <c r="AG160" s="9" t="e">
        <f>[1]TK1!O135/[1]TK1!O152*100</f>
        <v>#DIV/0!</v>
      </c>
      <c r="AH160" s="9" t="e">
        <f>[1]TK1!P135/[1]TK1!P152*100</f>
        <v>#DIV/0!</v>
      </c>
      <c r="AI160" s="9" t="e">
        <f>[1]TK1!Q135/[1]TK1!Q152*100</f>
        <v>#DIV/0!</v>
      </c>
      <c r="AJ160" s="9"/>
      <c r="AK160" s="9">
        <f>[1]TK1!S135/[1]TK1!S152*100</f>
        <v>97.980608791312903</v>
      </c>
    </row>
    <row r="161" spans="1:37">
      <c r="A161" s="7">
        <v>23</v>
      </c>
      <c r="B161" s="3" t="s">
        <v>195</v>
      </c>
      <c r="C161" s="3"/>
      <c r="D161" s="19">
        <v>1.0369999999999999</v>
      </c>
      <c r="E161" s="19">
        <v>1.073</v>
      </c>
      <c r="F161" s="19">
        <v>1.069</v>
      </c>
      <c r="G161" s="19">
        <v>1.069</v>
      </c>
      <c r="H161" s="19">
        <v>1.0720000000000001</v>
      </c>
      <c r="I161" s="19">
        <v>1.0669999999999999</v>
      </c>
      <c r="J161" s="19">
        <v>1.0680000000000001</v>
      </c>
      <c r="K161" s="19">
        <v>1.0727500000000001</v>
      </c>
      <c r="L161" s="19">
        <v>1.0705833333333332</v>
      </c>
      <c r="M161" s="19">
        <v>1.07</v>
      </c>
      <c r="N161" s="19">
        <v>1.07</v>
      </c>
      <c r="O161" s="19">
        <v>1.069</v>
      </c>
      <c r="P161" s="19">
        <v>1.075</v>
      </c>
      <c r="Q161" s="19">
        <v>1.073</v>
      </c>
      <c r="R161" s="19">
        <v>1.0629999999999999</v>
      </c>
      <c r="S161" s="19">
        <v>1.0740000000000001</v>
      </c>
      <c r="T161" s="19">
        <v>1.073</v>
      </c>
      <c r="U161" s="19">
        <f>[1]TK1!C158</f>
        <v>1.0720014541158294</v>
      </c>
      <c r="V161" s="19">
        <f>[1]TK1!D158</f>
        <v>1.070060957598217</v>
      </c>
      <c r="W161" s="19">
        <f>[1]TK1!E158</f>
        <v>1.0719917311667708</v>
      </c>
      <c r="X161" s="19">
        <f>[1]TK1!F158</f>
        <v>1.0713513809602724</v>
      </c>
      <c r="Y161" s="19">
        <f>[1]TK1!G158</f>
        <v>1.0714300755996378</v>
      </c>
      <c r="Z161" s="19">
        <f>[1]TK1!H158</f>
        <v>1.071012528825809</v>
      </c>
      <c r="AA161" s="19">
        <f>[1]TK1!I158</f>
        <v>1.072003960217812</v>
      </c>
      <c r="AB161" s="19">
        <f>[1]TK1!J158</f>
        <v>1.0714821882144194</v>
      </c>
      <c r="AC161" s="19">
        <f>[1]TK1!K158</f>
        <v>1.072259324883013</v>
      </c>
      <c r="AD161" s="19">
        <f>[1]TK1!L158</f>
        <v>1.0722810367583051</v>
      </c>
      <c r="AE161" s="19">
        <f>[1]TK1!M158</f>
        <v>1.0727711769064017</v>
      </c>
      <c r="AF161" s="19">
        <f>[1]TK1!N158</f>
        <v>1.0724371795159067</v>
      </c>
      <c r="AG161" s="19">
        <f>[1]TK1!O158</f>
        <v>0</v>
      </c>
      <c r="AH161" s="19">
        <f>[1]TK1!P158</f>
        <v>0</v>
      </c>
      <c r="AI161" s="19">
        <f>[1]TK1!Q158</f>
        <v>0</v>
      </c>
      <c r="AJ161" s="19"/>
      <c r="AK161" s="19">
        <f>[1]TK1!S158</f>
        <v>1.0717549514375659</v>
      </c>
    </row>
    <row r="162" spans="1:37">
      <c r="A162" s="7" t="s">
        <v>196</v>
      </c>
      <c r="B162" s="8"/>
      <c r="C162" s="3"/>
      <c r="D162" s="19"/>
      <c r="E162" s="19"/>
      <c r="F162" s="19"/>
      <c r="G162" s="19"/>
      <c r="H162" s="19"/>
      <c r="I162" s="19"/>
      <c r="J162" s="19"/>
      <c r="K162" s="3"/>
      <c r="L162" s="3"/>
      <c r="M162" s="3"/>
      <c r="N162" s="3"/>
      <c r="O162" s="3"/>
      <c r="P162" s="3"/>
      <c r="Q162" s="3"/>
      <c r="R162" s="3"/>
      <c r="S162" s="3"/>
      <c r="T162" s="3" t="s">
        <v>44</v>
      </c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 t="s">
        <v>197</v>
      </c>
    </row>
    <row r="163" spans="1:37" s="1" customFormat="1">
      <c r="B163" s="3"/>
      <c r="C163" s="8" t="s">
        <v>8</v>
      </c>
      <c r="D163" s="3" t="s">
        <v>9</v>
      </c>
      <c r="E163" s="6" t="s">
        <v>10</v>
      </c>
      <c r="F163" s="6" t="s">
        <v>11</v>
      </c>
      <c r="G163" s="6" t="s">
        <v>12</v>
      </c>
      <c r="H163" s="6" t="s">
        <v>13</v>
      </c>
      <c r="I163" s="3" t="s">
        <v>14</v>
      </c>
      <c r="J163" s="3" t="s">
        <v>15</v>
      </c>
      <c r="K163" s="3" t="s">
        <v>16</v>
      </c>
      <c r="L163" s="3" t="s">
        <v>17</v>
      </c>
      <c r="M163" s="3" t="s">
        <v>18</v>
      </c>
      <c r="N163" s="3" t="s">
        <v>19</v>
      </c>
      <c r="O163" s="3" t="s">
        <v>20</v>
      </c>
      <c r="P163" s="3" t="s">
        <v>21</v>
      </c>
      <c r="Q163" s="3" t="s">
        <v>22</v>
      </c>
      <c r="R163" s="3" t="s">
        <v>23</v>
      </c>
      <c r="S163" s="3" t="s">
        <v>24</v>
      </c>
      <c r="T163" s="3" t="s">
        <v>25</v>
      </c>
      <c r="U163" s="3" t="s">
        <v>26</v>
      </c>
      <c r="V163" s="3" t="s">
        <v>27</v>
      </c>
      <c r="W163" s="3" t="s">
        <v>28</v>
      </c>
      <c r="X163" s="3" t="s">
        <v>29</v>
      </c>
      <c r="Y163" s="3" t="s">
        <v>30</v>
      </c>
      <c r="Z163" s="3" t="s">
        <v>31</v>
      </c>
      <c r="AA163" s="3" t="s">
        <v>32</v>
      </c>
      <c r="AB163" s="3" t="s">
        <v>33</v>
      </c>
      <c r="AC163" s="3" t="s">
        <v>34</v>
      </c>
      <c r="AD163" s="3" t="s">
        <v>35</v>
      </c>
      <c r="AE163" s="3" t="s">
        <v>36</v>
      </c>
      <c r="AF163" s="3" t="s">
        <v>37</v>
      </c>
      <c r="AG163" s="3" t="s">
        <v>38</v>
      </c>
      <c r="AH163" s="3" t="s">
        <v>39</v>
      </c>
      <c r="AI163" s="3" t="s">
        <v>40</v>
      </c>
      <c r="AJ163" s="3"/>
      <c r="AK163" s="3" t="s">
        <v>42</v>
      </c>
    </row>
    <row r="164" spans="1:37">
      <c r="A164" s="7" t="s">
        <v>198</v>
      </c>
      <c r="B164" s="3" t="s">
        <v>199</v>
      </c>
      <c r="C164" s="8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 spans="1:37">
      <c r="A165" s="7">
        <v>1</v>
      </c>
      <c r="B165" s="8" t="s">
        <v>200</v>
      </c>
      <c r="C165" s="8" t="s">
        <v>170</v>
      </c>
      <c r="D165" s="11">
        <v>1110.7481169351627</v>
      </c>
      <c r="E165" s="11">
        <v>1136</v>
      </c>
      <c r="F165" s="11">
        <v>1136</v>
      </c>
      <c r="G165" s="11">
        <v>1135.3811252474877</v>
      </c>
      <c r="H165" s="11">
        <v>1135.2166816931872</v>
      </c>
      <c r="I165" s="11">
        <v>1135.623047048028</v>
      </c>
      <c r="J165" s="11">
        <v>1135.2263215844491</v>
      </c>
      <c r="K165" s="11">
        <v>1135.2481304377427</v>
      </c>
      <c r="L165" s="11">
        <v>1135.6149025828913</v>
      </c>
      <c r="M165" s="11">
        <v>1135.8303556614283</v>
      </c>
      <c r="N165" s="11">
        <v>1133.7175696289171</v>
      </c>
      <c r="O165" s="11">
        <v>1129.4127183313963</v>
      </c>
      <c r="P165" s="11">
        <v>1126.3916885356052</v>
      </c>
      <c r="Q165" s="11">
        <v>1123.9030059474844</v>
      </c>
      <c r="R165" s="11">
        <v>1119.2897508963576</v>
      </c>
      <c r="S165" s="11">
        <v>1116.3243494528404</v>
      </c>
      <c r="T165" s="3">
        <v>1115</v>
      </c>
      <c r="U165" s="19">
        <f>([1]TK1!C164+[1]TK1!C165)*1000/[1]TK1!C161</f>
        <v>1114.980161389775</v>
      </c>
      <c r="V165" s="19">
        <f>([1]TK1!D164+[1]TK1!D165)*1000/[1]TK1!D161</f>
        <v>1116.9912336530497</v>
      </c>
      <c r="W165" s="19">
        <f>([1]TK1!E164+[1]TK1!E165)*1000/[1]TK1!E161</f>
        <v>1115.0302016541214</v>
      </c>
      <c r="X165" s="19">
        <f>([1]TK1!F164+[1]TK1!F165)*1000/[1]TK1!F161</f>
        <v>1115.7099258498408</v>
      </c>
      <c r="Y165" s="19">
        <f>([1]TK1!G164+[1]TK1!G165)*1000/[1]TK1!G161</f>
        <v>1114.8912195544769</v>
      </c>
      <c r="Z165" s="19">
        <f>([1]TK1!H164+[1]TK1!H165)*1000/[1]TK1!H161</f>
        <v>1114.8587520228341</v>
      </c>
      <c r="AA165" s="19">
        <f>([1]TK1!I164+[1]TK1!I165)*1000/[1]TK1!I161</f>
        <v>1115.041487784687</v>
      </c>
      <c r="AB165" s="19">
        <f>([1]TK1!J164+[1]TK1!J165)*1000/[1]TK1!J161</f>
        <v>1114.9233773519043</v>
      </c>
      <c r="AC165" s="19">
        <f>([1]TK1!K164+[1]TK1!K165)*1000/[1]TK1!K161</f>
        <v>1115.1790134675282</v>
      </c>
      <c r="AD165" s="9">
        <f>([1]TK1!L164+[1]TK1!L165)*1000/[1]TK1!L161</f>
        <v>1114.6684912584196</v>
      </c>
      <c r="AE165" s="9">
        <f>([1]TK1!M164+[1]TK1!M165)*1000/[1]TK1!M161</f>
        <v>1115.0311295582567</v>
      </c>
      <c r="AF165" s="9">
        <f>([1]TK1!N164+[1]TK1!N165)*1000/[1]TK1!N161</f>
        <v>1114.9612513658799</v>
      </c>
      <c r="AG165" s="9" t="e">
        <f>([1]TK1!O164+[1]TK1!O165)*1000/[1]TK1!O161</f>
        <v>#DIV/0!</v>
      </c>
      <c r="AH165" s="9" t="e">
        <f>([1]TK1!P164+[1]TK1!P165)*1000/[1]TK1!P161</f>
        <v>#DIV/0!</v>
      </c>
      <c r="AI165" s="9" t="e">
        <f>([1]TK1!Q164+[1]TK1!Q165)*1000/[1]TK1!Q161</f>
        <v>#DIV/0!</v>
      </c>
      <c r="AJ165" s="9"/>
      <c r="AK165" s="9">
        <f>([1]TK1!S164+[1]TK1!S165)*1000/[1]TK1!S161</f>
        <v>1115.1919188638337</v>
      </c>
    </row>
    <row r="166" spans="1:37">
      <c r="A166" s="7">
        <v>2</v>
      </c>
      <c r="B166" s="8" t="s">
        <v>171</v>
      </c>
      <c r="C166" s="8" t="s">
        <v>170</v>
      </c>
      <c r="D166" s="11">
        <v>1024.9180919526223</v>
      </c>
      <c r="E166" s="11">
        <v>1047</v>
      </c>
      <c r="F166" s="11">
        <v>1049</v>
      </c>
      <c r="G166" s="11">
        <v>1049.7174492693007</v>
      </c>
      <c r="H166" s="11">
        <v>1049.423042119548</v>
      </c>
      <c r="I166" s="11">
        <v>1048.4835194641707</v>
      </c>
      <c r="J166" s="11">
        <v>1045.5104018419406</v>
      </c>
      <c r="K166" s="11">
        <v>1046.2437705773725</v>
      </c>
      <c r="L166" s="11">
        <v>1037.9460217081723</v>
      </c>
      <c r="M166" s="11">
        <v>1024.0506263481002</v>
      </c>
      <c r="N166" s="11">
        <v>1005.4693156990854</v>
      </c>
      <c r="O166" s="11">
        <v>991.13296769801502</v>
      </c>
      <c r="P166" s="11">
        <v>1009.044549246314</v>
      </c>
      <c r="Q166" s="11">
        <v>1034.399874997494</v>
      </c>
      <c r="R166" s="11">
        <v>1022.0959332904182</v>
      </c>
      <c r="S166" s="11">
        <v>1021.3477846840296</v>
      </c>
      <c r="T166" s="3">
        <v>1024</v>
      </c>
      <c r="U166" s="19">
        <f>([1]TK1!C164)*1000/[1]TK1!C$161</f>
        <v>1034.6706522613335</v>
      </c>
      <c r="V166" s="19">
        <f>([1]TK1!D164)*1000/[1]TK1!D$161</f>
        <v>1042.6164075567765</v>
      </c>
      <c r="W166" s="19">
        <f>([1]TK1!E164)*1000/[1]TK1!E$161</f>
        <v>1032.8631168107054</v>
      </c>
      <c r="X166" s="19">
        <f>([1]TK1!F164)*1000/[1]TK1!F$161</f>
        <v>1036.9410048335087</v>
      </c>
      <c r="Y166" s="19">
        <f>([1]TK1!G164)*1000/[1]TK1!G$161</f>
        <v>1022.0408870837925</v>
      </c>
      <c r="Z166" s="19">
        <f>([1]TK1!H164)*1000/[1]TK1!H$161</f>
        <v>1027.5360287465437</v>
      </c>
      <c r="AA166" s="19">
        <f>([1]TK1!I164)*1000/[1]TK1!I$161</f>
        <v>1025.4278728606357</v>
      </c>
      <c r="AB166" s="19">
        <f>([1]TK1!J164)*1000/[1]TK1!J$161</f>
        <v>1024.9457156335629</v>
      </c>
      <c r="AC166" s="19">
        <f>([1]TK1!K164)*1000/[1]TK1!K$161</f>
        <v>1029.0595291065308</v>
      </c>
      <c r="AD166" s="9">
        <f>([1]TK1!L164)*1000/[1]TK1!L$161</f>
        <v>1019.7843410007068</v>
      </c>
      <c r="AE166" s="9">
        <f>([1]TK1!M164)*1000/[1]TK1!M$161</f>
        <v>1024.4490562308529</v>
      </c>
      <c r="AF166" s="9">
        <f>([1]TK1!N164)*1000/[1]TK1!N$161</f>
        <v>1024.4769979915266</v>
      </c>
      <c r="AG166" s="9" t="e">
        <f>([1]TK1!O164)*1000/[1]TK1!O$161</f>
        <v>#DIV/0!</v>
      </c>
      <c r="AH166" s="9" t="e">
        <f>([1]TK1!P164)*1000/[1]TK1!P$161</f>
        <v>#DIV/0!</v>
      </c>
      <c r="AI166" s="9" t="e">
        <f>([1]TK1!Q164)*1000/[1]TK1!Q$161</f>
        <v>#DIV/0!</v>
      </c>
      <c r="AJ166" s="9"/>
      <c r="AK166" s="9">
        <f>([1]TK1!S164)*1000/[1]TK1!S$161</f>
        <v>1028.6809762737689</v>
      </c>
    </row>
    <row r="167" spans="1:37">
      <c r="A167" s="7">
        <v>3</v>
      </c>
      <c r="B167" s="8" t="s">
        <v>172</v>
      </c>
      <c r="C167" s="8" t="s">
        <v>170</v>
      </c>
      <c r="D167" s="11">
        <v>85.830024982540351</v>
      </c>
      <c r="E167" s="11">
        <v>89</v>
      </c>
      <c r="F167" s="11">
        <v>87</v>
      </c>
      <c r="G167" s="11">
        <v>85</v>
      </c>
      <c r="H167" s="11">
        <v>85.793639573639211</v>
      </c>
      <c r="I167" s="11">
        <v>88</v>
      </c>
      <c r="J167" s="11">
        <v>89</v>
      </c>
      <c r="K167" s="11">
        <v>89.004359860370158</v>
      </c>
      <c r="L167" s="11">
        <v>97.668880874718994</v>
      </c>
      <c r="M167" s="11">
        <v>111.77972931332812</v>
      </c>
      <c r="N167" s="11">
        <v>128.24825392983166</v>
      </c>
      <c r="O167" s="11">
        <v>138.27975063338121</v>
      </c>
      <c r="P167" s="11">
        <v>117.34713928929119</v>
      </c>
      <c r="Q167" s="11">
        <v>89.503130949990407</v>
      </c>
      <c r="R167" s="11">
        <v>97.193817605939415</v>
      </c>
      <c r="S167" s="11">
        <v>94.976564768810661</v>
      </c>
      <c r="T167" s="3">
        <v>91</v>
      </c>
      <c r="U167" s="19">
        <f>([1]TK1!C165)*1000/[1]TK1!C$161</f>
        <v>80.30950912844159</v>
      </c>
      <c r="V167" s="19">
        <f>([1]TK1!D165)*1000/[1]TK1!D$161</f>
        <v>74.374826096273097</v>
      </c>
      <c r="W167" s="19">
        <f>([1]TK1!E165)*1000/[1]TK1!E$161</f>
        <v>82.167084843416035</v>
      </c>
      <c r="X167" s="19">
        <f>([1]TK1!F165)*1000/[1]TK1!F$161</f>
        <v>78.768921016332129</v>
      </c>
      <c r="Y167" s="19">
        <f>([1]TK1!G165)*1000/[1]TK1!G$161</f>
        <v>92.850332470684378</v>
      </c>
      <c r="Z167" s="19">
        <f>([1]TK1!H165)*1000/[1]TK1!H$161</f>
        <v>87.322723276290475</v>
      </c>
      <c r="AA167" s="19">
        <f>([1]TK1!I165)*1000/[1]TK1!I$161</f>
        <v>89.613614924051362</v>
      </c>
      <c r="AB167" s="19">
        <f>([1]TK1!J165)*1000/[1]TK1!J$161</f>
        <v>89.977661718341366</v>
      </c>
      <c r="AC167" s="19">
        <f>([1]TK1!K165)*1000/[1]TK1!K$161</f>
        <v>86.119484360997433</v>
      </c>
      <c r="AD167" s="9">
        <f>([1]TK1!L165)*1000/[1]TK1!L$161</f>
        <v>94.884150257712832</v>
      </c>
      <c r="AE167" s="9">
        <f>([1]TK1!M165)*1000/[1]TK1!M$161</f>
        <v>90.58207332740389</v>
      </c>
      <c r="AF167" s="9">
        <f>([1]TK1!N165)*1000/[1]TK1!N$161</f>
        <v>90.484253374353514</v>
      </c>
      <c r="AG167" s="9" t="e">
        <f>([1]TK1!O165)*1000/[1]TK1!O$161</f>
        <v>#DIV/0!</v>
      </c>
      <c r="AH167" s="9" t="e">
        <f>([1]TK1!P165)*1000/[1]TK1!P$161</f>
        <v>#DIV/0!</v>
      </c>
      <c r="AI167" s="9" t="e">
        <f>([1]TK1!Q165)*1000/[1]TK1!Q$161</f>
        <v>#DIV/0!</v>
      </c>
      <c r="AJ167" s="9"/>
      <c r="AK167" s="9">
        <f>([1]TK1!S165)*1000/[1]TK1!S$161</f>
        <v>86.510942590064971</v>
      </c>
    </row>
    <row r="168" spans="1:37">
      <c r="A168" s="7">
        <v>4</v>
      </c>
      <c r="B168" s="3" t="s">
        <v>201</v>
      </c>
      <c r="C168" s="8" t="s">
        <v>170</v>
      </c>
      <c r="D168" s="9">
        <v>4.9865478628913191</v>
      </c>
      <c r="E168" s="9">
        <v>4.49</v>
      </c>
      <c r="F168" s="9">
        <v>2.66</v>
      </c>
      <c r="G168" s="9">
        <v>0.66887009258480501</v>
      </c>
      <c r="H168" s="9">
        <v>4.3456807508896265E-2</v>
      </c>
      <c r="I168" s="9">
        <v>0</v>
      </c>
      <c r="J168" s="9">
        <v>0.17109769202943514</v>
      </c>
      <c r="K168" s="9">
        <v>0.12570216278325014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3">
        <v>0</v>
      </c>
      <c r="U168" s="9">
        <f>([1]TK1!C172)*1000/[1]TK1!C$161</f>
        <v>0</v>
      </c>
      <c r="V168" s="9">
        <f>([1]TK1!D172)*1000/[1]TK1!D$161</f>
        <v>0</v>
      </c>
      <c r="W168" s="9">
        <f>([1]TK1!E172)*1000/[1]TK1!E$161</f>
        <v>0</v>
      </c>
      <c r="X168" s="9">
        <f>([1]TK1!F172)*1000/[1]TK1!F$161</f>
        <v>0</v>
      </c>
      <c r="Y168" s="9">
        <f>([1]TK1!G172)*1000/[1]TK1!G$161</f>
        <v>0</v>
      </c>
      <c r="Z168" s="9">
        <f>([1]TK1!H172)*1000/[1]TK1!H$161</f>
        <v>0</v>
      </c>
      <c r="AA168" s="9">
        <f>([1]TK1!I172)*1000/[1]TK1!I$161</f>
        <v>0</v>
      </c>
      <c r="AB168" s="9">
        <f>([1]TK1!J172)*1000/[1]TK1!J$161</f>
        <v>0</v>
      </c>
      <c r="AC168" s="9">
        <f>([1]TK1!K172)*1000/[1]TK1!K$161</f>
        <v>0</v>
      </c>
      <c r="AD168" s="9">
        <f>([1]TK1!L172)*1000/[1]TK1!L$161</f>
        <v>0</v>
      </c>
      <c r="AE168" s="9">
        <f>([1]TK1!M172)*1000/[1]TK1!M$161</f>
        <v>0</v>
      </c>
      <c r="AF168" s="9">
        <f>([1]TK1!N172)*1000/[1]TK1!N$161</f>
        <v>0</v>
      </c>
      <c r="AG168" s="9" t="e">
        <f>([1]TK1!O172)*1000/[1]TK1!O$161</f>
        <v>#DIV/0!</v>
      </c>
      <c r="AH168" s="9" t="e">
        <f>([1]TK1!P172)*1000/[1]TK1!P$161</f>
        <v>#DIV/0!</v>
      </c>
      <c r="AI168" s="9" t="e">
        <f>([1]TK1!Q172)*1000/[1]TK1!Q$161</f>
        <v>#DIV/0!</v>
      </c>
      <c r="AJ168" s="9"/>
      <c r="AK168" s="9">
        <f>([1]TK1!S172)*1000/[1]TK1!S$161</f>
        <v>0</v>
      </c>
    </row>
    <row r="169" spans="1:37">
      <c r="A169" s="7">
        <v>5</v>
      </c>
      <c r="B169" s="3" t="s">
        <v>174</v>
      </c>
      <c r="C169" s="8" t="s">
        <v>170</v>
      </c>
      <c r="D169" s="18">
        <v>30.96569470679497</v>
      </c>
      <c r="E169" s="18">
        <v>31.7</v>
      </c>
      <c r="F169" s="18">
        <v>32</v>
      </c>
      <c r="G169" s="18">
        <v>29.071128679922076</v>
      </c>
      <c r="H169" s="18">
        <v>28.69359485163351</v>
      </c>
      <c r="I169" s="18">
        <v>29.436051452389258</v>
      </c>
      <c r="J169" s="18">
        <v>32.701838508070374</v>
      </c>
      <c r="K169" s="18">
        <v>32.958678408394604</v>
      </c>
      <c r="L169" s="18">
        <v>32.617606741002575</v>
      </c>
      <c r="M169" s="18">
        <v>28.705275664272676</v>
      </c>
      <c r="N169" s="18">
        <v>31.845217600582057</v>
      </c>
      <c r="O169" s="9">
        <v>28.991703422178368</v>
      </c>
      <c r="P169" s="9">
        <v>30.242840299699541</v>
      </c>
      <c r="Q169" s="12">
        <v>27.1091229234802</v>
      </c>
      <c r="R169" s="12">
        <v>28.07</v>
      </c>
      <c r="S169" s="12">
        <v>27.638264487182663</v>
      </c>
      <c r="T169" s="12">
        <v>27</v>
      </c>
      <c r="U169" s="9">
        <f>([1]TK1!C173)*1000/[1]TK1!C$161</f>
        <v>27.629956301439641</v>
      </c>
      <c r="V169" s="9">
        <f>([1]TK1!D173)*1000/[1]TK1!D$161</f>
        <v>28.812849206679182</v>
      </c>
      <c r="W169" s="9">
        <f>([1]TK1!E173)*1000/[1]TK1!E$161</f>
        <v>26.640646780039031</v>
      </c>
      <c r="X169" s="12">
        <f>([1]TK1!F173)*1000/[1]TK1!F$161</f>
        <v>27.747794015720835</v>
      </c>
      <c r="Y169" s="9">
        <f>([1]TK1!G173)*1000/[1]TK1!G$161</f>
        <v>28.015453386000321</v>
      </c>
      <c r="Z169" s="9">
        <f>([1]TK1!H173)*1000/[1]TK1!H$161</f>
        <v>25.917761439365947</v>
      </c>
      <c r="AA169" s="9">
        <f>([1]TK1!I173)*1000/[1]TK1!I$161</f>
        <v>29.278247309550853</v>
      </c>
      <c r="AB169" s="12">
        <f>([1]TK1!J173)*1000/[1]TK1!J$161</f>
        <v>27.646829871066963</v>
      </c>
      <c r="AC169" s="9">
        <f>([1]TK1!K173)*1000/[1]TK1!K$161</f>
        <v>28.730517832411056</v>
      </c>
      <c r="AD169" s="9">
        <f>([1]TK1!L173)*1000/[1]TK1!L$161</f>
        <v>28.091827743907359</v>
      </c>
      <c r="AE169" s="9">
        <f>([1]TK1!M173)*1000/[1]TK1!M$161</f>
        <v>29.72955166847844</v>
      </c>
      <c r="AF169" s="12">
        <f>([1]TK1!N173)*1000/[1]TK1!N$161</f>
        <v>28.843524576188489</v>
      </c>
      <c r="AG169" s="9" t="e">
        <f>([1]TK1!O173)*1000/[1]TK1!O$161</f>
        <v>#DIV/0!</v>
      </c>
      <c r="AH169" s="9" t="e">
        <f>([1]TK1!P173)*1000/[1]TK1!P$161</f>
        <v>#DIV/0!</v>
      </c>
      <c r="AI169" s="9" t="e">
        <f>([1]TK1!Q173)*1000/[1]TK1!Q$161</f>
        <v>#DIV/0!</v>
      </c>
      <c r="AJ169" s="9"/>
      <c r="AK169" s="9">
        <f>([1]TK1!S173)*1000/[1]TK1!S$161</f>
        <v>28.091529910435156</v>
      </c>
    </row>
    <row r="170" spans="1:37">
      <c r="A170" s="7">
        <v>6</v>
      </c>
      <c r="B170" s="8" t="s">
        <v>173</v>
      </c>
      <c r="C170" s="8" t="s">
        <v>170</v>
      </c>
      <c r="D170" s="18">
        <v>75.808300015467609</v>
      </c>
      <c r="E170" s="18">
        <v>74.5</v>
      </c>
      <c r="F170" s="18">
        <v>65</v>
      </c>
      <c r="G170" s="18">
        <v>59.172555981642155</v>
      </c>
      <c r="H170" s="18">
        <v>71.429789476521492</v>
      </c>
      <c r="I170" s="18">
        <v>70.426578849222537</v>
      </c>
      <c r="J170" s="18">
        <v>75.488407339246066</v>
      </c>
      <c r="K170" s="18">
        <v>81.948900452796764</v>
      </c>
      <c r="L170" s="18">
        <v>77.563727493439359</v>
      </c>
      <c r="M170" s="18">
        <v>63.615886249970373</v>
      </c>
      <c r="N170" s="18">
        <v>66.518995838367573</v>
      </c>
      <c r="O170" s="9">
        <v>69.271213928353106</v>
      </c>
      <c r="P170" s="9">
        <v>74.141723399130314</v>
      </c>
      <c r="Q170" s="12">
        <v>64.542409041423625</v>
      </c>
      <c r="R170" s="12">
        <v>64.64</v>
      </c>
      <c r="S170" s="12">
        <v>62.880878787401258</v>
      </c>
      <c r="T170" s="12">
        <v>63</v>
      </c>
      <c r="U170" s="9">
        <f>([1]TK1!C169)*1000/[1]TK1!C$161</f>
        <v>63.667864132328894</v>
      </c>
      <c r="V170" s="9">
        <f>([1]TK1!D169)*1000/[1]TK1!D$161</f>
        <v>65.243880987485326</v>
      </c>
      <c r="W170" s="9">
        <f>([1]TK1!E169)*1000/[1]TK1!E$161</f>
        <v>66.057057894247748</v>
      </c>
      <c r="X170" s="12">
        <f>([1]TK1!F169)*1000/[1]TK1!F$161</f>
        <v>64.958084594355682</v>
      </c>
      <c r="Y170" s="9">
        <f>([1]TK1!G169)*1000/[1]TK1!G$161</f>
        <v>65.271362944068159</v>
      </c>
      <c r="Z170" s="9">
        <f>([1]TK1!H169)*1000/[1]TK1!H$161</f>
        <v>64.077651346220009</v>
      </c>
      <c r="AA170" s="9">
        <f>([1]TK1!I169)*1000/[1]TK1!I$161</f>
        <v>69.021812371253105</v>
      </c>
      <c r="AB170" s="12">
        <f>([1]TK1!J169)*1000/[1]TK1!J$161</f>
        <v>65.939752438753743</v>
      </c>
      <c r="AC170" s="9">
        <f>([1]TK1!K169)*1000/[1]TK1!K$161</f>
        <v>63.718516754507455</v>
      </c>
      <c r="AD170" s="9">
        <f>([1]TK1!L169)*1000/[1]TK1!L$161</f>
        <v>63.280844045817048</v>
      </c>
      <c r="AE170" s="9">
        <f>([1]TK1!M169)*1000/[1]TK1!M$161</f>
        <v>64.838422769048321</v>
      </c>
      <c r="AF170" s="12">
        <f>([1]TK1!N169)*1000/[1]TK1!N$161</f>
        <v>63.937659039900318</v>
      </c>
      <c r="AG170" s="9" t="e">
        <f>([1]TK1!O169)*1000/[1]TK1!O$161</f>
        <v>#DIV/0!</v>
      </c>
      <c r="AH170" s="9" t="e">
        <f>([1]TK1!P169)*1000/[1]TK1!P$161</f>
        <v>#DIV/0!</v>
      </c>
      <c r="AI170" s="9" t="e">
        <f>([1]TK1!Q169)*1000/[1]TK1!Q$161</f>
        <v>#DIV/0!</v>
      </c>
      <c r="AJ170" s="12"/>
      <c r="AK170" s="9">
        <f>([1]TK1!S169)*1000/[1]TK1!S$161</f>
        <v>64.931743070775639</v>
      </c>
    </row>
    <row r="171" spans="1:37">
      <c r="A171" s="7"/>
      <c r="B171" s="8" t="s">
        <v>202</v>
      </c>
      <c r="C171" s="8" t="s">
        <v>176</v>
      </c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9"/>
      <c r="P171" s="9"/>
      <c r="Q171" s="12"/>
      <c r="R171" s="12"/>
      <c r="S171" s="12"/>
      <c r="T171" s="3">
        <v>5.28</v>
      </c>
      <c r="U171" s="9">
        <f>([1]TK1!C170)*1000/[1]TK1!C$161</f>
        <v>3.8102195651591113E-2</v>
      </c>
      <c r="V171" s="9">
        <f>([1]TK1!D170)*1000/[1]TK1!D$161</f>
        <v>0</v>
      </c>
      <c r="W171" s="9">
        <f>([1]TK1!E170)*1000/[1]TK1!E$161</f>
        <v>0</v>
      </c>
      <c r="X171" s="9">
        <f>([1]TK1!F170)*1000/[1]TK1!F$161</f>
        <v>1.2918898405419347E-2</v>
      </c>
      <c r="Y171" s="9">
        <f>([1]TK1!G170)*1000/[1]TK1!G$161</f>
        <v>1.3589816614866455</v>
      </c>
      <c r="Z171" s="9">
        <f>([1]TK1!H170)*1000/[1]TK1!H$161</f>
        <v>0.27077307305138953</v>
      </c>
      <c r="AA171" s="19">
        <f>([1]TK1!I170)*1000/[1]TK1!I$161</f>
        <v>2.0021947134358817</v>
      </c>
      <c r="AB171" s="9">
        <f>([1]TK1!J170)*1000/[1]TK1!J$161</f>
        <v>1.1643118348283141</v>
      </c>
      <c r="AC171" s="9">
        <f>([1]TK1!K170)*1000/[1]TK1!K$161</f>
        <v>3.3935162844913487</v>
      </c>
      <c r="AD171" s="9">
        <f>([1]TK1!L170)*1000/[1]TK1!L$161</f>
        <v>4.2086102226625917</v>
      </c>
      <c r="AE171" s="9">
        <f>([1]TK1!M170)*1000/[1]TK1!M$161</f>
        <v>1.9468326909773692</v>
      </c>
      <c r="AF171" s="9">
        <f>([1]TK1!N170)*1000/[1]TK1!N$161</f>
        <v>3.1933978804330927</v>
      </c>
      <c r="AG171" s="9" t="e">
        <f>([1]TK1!O170)*1000/[1]TK1!O$161</f>
        <v>#DIV/0!</v>
      </c>
      <c r="AH171" s="9" t="e">
        <f>([1]TK1!P170)*1000/[1]TK1!P$161</f>
        <v>#DIV/0!</v>
      </c>
      <c r="AI171" s="9" t="e">
        <f>([1]TK1!Q170)*1000/[1]TK1!Q$161</f>
        <v>#DIV/0!</v>
      </c>
      <c r="AJ171" s="9" t="e">
        <f>([1]TK1!R170)*1000/[1]TK1!R$161</f>
        <v>#DIV/0!</v>
      </c>
      <c r="AK171" s="9">
        <f>([1]TK1!S170)*1000/[1]TK1!S$161</f>
        <v>1.4887008631679808</v>
      </c>
    </row>
    <row r="172" spans="1:37">
      <c r="A172" s="7">
        <v>7</v>
      </c>
      <c r="B172" s="8" t="s">
        <v>203</v>
      </c>
      <c r="C172" s="8" t="s">
        <v>176</v>
      </c>
      <c r="D172" s="9">
        <v>2.3435778934984461E-3</v>
      </c>
      <c r="E172" s="9">
        <v>0.33</v>
      </c>
      <c r="F172" s="9">
        <v>0.19</v>
      </c>
      <c r="G172" s="9">
        <v>3.4097031057849021E-3</v>
      </c>
      <c r="H172" s="9">
        <v>1.0451637248975052E-2</v>
      </c>
      <c r="I172" s="9">
        <v>3.8279772640024672E-3</v>
      </c>
      <c r="J172" s="9">
        <v>0.11248089013046199</v>
      </c>
      <c r="K172" s="9">
        <v>0</v>
      </c>
      <c r="L172" s="9">
        <v>1.4981485380983334E-2</v>
      </c>
      <c r="M172" s="9">
        <v>3.1480362179715095E-2</v>
      </c>
      <c r="N172" s="9">
        <v>9.0424906636283903E-3</v>
      </c>
      <c r="O172" s="9">
        <v>0</v>
      </c>
      <c r="P172" s="9">
        <v>4.2787053588407564E-2</v>
      </c>
      <c r="Q172" s="9">
        <v>0</v>
      </c>
      <c r="R172" s="9">
        <v>0</v>
      </c>
      <c r="S172" s="9">
        <v>5.7687588782606151E-2</v>
      </c>
      <c r="T172" s="3">
        <v>0</v>
      </c>
      <c r="U172" s="9">
        <f>([1]TK1!C171)*1000/[1]TK1!C$161</f>
        <v>0</v>
      </c>
      <c r="V172" s="9">
        <f>([1]TK1!D171)*1000/[1]TK1!D$161</f>
        <v>0</v>
      </c>
      <c r="W172" s="9">
        <f>([1]TK1!E171)*1000/[1]TK1!E$161</f>
        <v>5.2110398661834402E-2</v>
      </c>
      <c r="X172" s="9">
        <f>([1]TK1!F171)*1000/[1]TK1!F$161</f>
        <v>1.5928763126259793E-2</v>
      </c>
      <c r="Y172" s="9">
        <f>([1]TK1!G171)*1000/[1]TK1!G$161</f>
        <v>0</v>
      </c>
      <c r="Z172" s="9">
        <f>([1]TK1!H171)*1000/[1]TK1!H$161</f>
        <v>0</v>
      </c>
      <c r="AA172" s="9">
        <f>([1]TK1!I171)*1000/[1]TK1!I$161</f>
        <v>0</v>
      </c>
      <c r="AB172" s="9">
        <f>([1]TK1!J171)*1000/[1]TK1!J$161</f>
        <v>0</v>
      </c>
      <c r="AC172" s="9">
        <f>([1]TK1!K171)*1000/[1]TK1!K$161</f>
        <v>0</v>
      </c>
      <c r="AD172" s="9">
        <f>([1]TK1!L171)*1000/[1]TK1!L$161</f>
        <v>0</v>
      </c>
      <c r="AE172" s="9">
        <f>([1]TK1!M171)*1000/[1]TK1!M$161</f>
        <v>0</v>
      </c>
      <c r="AF172" s="9">
        <f>([1]TK1!N171)*1000/[1]TK1!N$161</f>
        <v>0</v>
      </c>
      <c r="AG172" s="9" t="e">
        <f>([1]TK1!O171)*1000/[1]TK1!O$161</f>
        <v>#DIV/0!</v>
      </c>
      <c r="AH172" s="9" t="e">
        <f>([1]TK1!P171)*1000/[1]TK1!P$161</f>
        <v>#DIV/0!</v>
      </c>
      <c r="AI172" s="9" t="e">
        <f>([1]TK1!Q171)*1000/[1]TK1!Q$161</f>
        <v>#DIV/0!</v>
      </c>
      <c r="AJ172" s="9" t="e">
        <f>([1]TK1!R171)*1000/[1]TK1!R$161</f>
        <v>#DIV/0!</v>
      </c>
      <c r="AK172" s="9">
        <f>([1]TK1!S171)*1000/[1]TK1!S$161</f>
        <v>5.1743572746244266E-3</v>
      </c>
    </row>
    <row r="173" spans="1:37">
      <c r="A173" s="7">
        <v>8</v>
      </c>
      <c r="B173" s="8" t="s">
        <v>177</v>
      </c>
      <c r="C173" s="8" t="s">
        <v>176</v>
      </c>
      <c r="D173" s="9">
        <v>0.41657097056934883</v>
      </c>
      <c r="E173" s="9">
        <v>0.36</v>
      </c>
      <c r="F173" s="9">
        <v>0.38</v>
      </c>
      <c r="G173" s="9">
        <v>0.38870615405947884</v>
      </c>
      <c r="H173" s="9">
        <v>0.37130816542411371</v>
      </c>
      <c r="I173" s="9">
        <v>0.32647177522992471</v>
      </c>
      <c r="J173" s="9">
        <v>0.32212837079615875</v>
      </c>
      <c r="K173" s="9">
        <v>0.51440804830056219</v>
      </c>
      <c r="L173" s="9">
        <v>0.34332570664753476</v>
      </c>
      <c r="M173" s="9">
        <v>0.40368935030458175</v>
      </c>
      <c r="N173" s="9">
        <v>0.46707942158665106</v>
      </c>
      <c r="O173" s="9">
        <v>0.25475424443121242</v>
      </c>
      <c r="P173" s="9">
        <v>0.17495150800593315</v>
      </c>
      <c r="Q173" s="9">
        <v>0.49740050160119681</v>
      </c>
      <c r="R173" s="9">
        <v>5.3573114120087112E-2</v>
      </c>
      <c r="S173" s="9">
        <v>0.108902911506676</v>
      </c>
      <c r="T173" s="9">
        <v>0.53</v>
      </c>
      <c r="U173" s="9">
        <f>([1]TK1!C167)*1000/[1]TK1!C$161</f>
        <v>7.3724565025066358E-2</v>
      </c>
      <c r="V173" s="9">
        <f>([1]TK1!D167)*1000/[1]TK1!D$161</f>
        <v>2.5585835681366794E-2</v>
      </c>
      <c r="W173" s="9">
        <f>([1]TK1!E167)*1000/[1]TK1!E$161</f>
        <v>7.8059659882910512E-2</v>
      </c>
      <c r="X173" s="9">
        <f>([1]TK1!F167)*1000/[1]TK1!F$161</f>
        <v>5.7947565406894171E-2</v>
      </c>
      <c r="Y173" s="9">
        <f>([1]TK1!G167)*1000/[1]TK1!G$161</f>
        <v>0.23836352604663258</v>
      </c>
      <c r="Z173" s="9">
        <f>([1]TK1!H167)*1000/[1]TK1!H$161</f>
        <v>0.23573185183297443</v>
      </c>
      <c r="AA173" s="9">
        <f>([1]TK1!I167)*1000/[1]TK1!I$161</f>
        <v>0.2849277092197216</v>
      </c>
      <c r="AB173" s="9">
        <f>([1]TK1!J167)*1000/[1]TK1!J$161</f>
        <v>0.2509292747474815</v>
      </c>
      <c r="AC173" s="9">
        <f>([1]TK1!K167)*1000/[1]TK1!K$161</f>
        <v>0.69875727741603944</v>
      </c>
      <c r="AD173" s="9">
        <f>([1]TK1!L167)*1000/[1]TK1!L$161</f>
        <v>0.60999028533990018</v>
      </c>
      <c r="AE173" s="9">
        <f>([1]TK1!M167)*1000/[1]TK1!M$161</f>
        <v>0.3887077115657015</v>
      </c>
      <c r="AF173" s="9">
        <f>([1]TK1!N167)*1000/[1]TK1!N$161</f>
        <v>0.56833474702133613</v>
      </c>
      <c r="AG173" s="9" t="e">
        <f>([1]TK1!O167)*1000/[1]TK1!O$161</f>
        <v>#DIV/0!</v>
      </c>
      <c r="AH173" s="9" t="e">
        <f>([1]TK1!P167)*1000/[1]TK1!P$161</f>
        <v>#DIV/0!</v>
      </c>
      <c r="AI173" s="9" t="e">
        <f>([1]TK1!Q167)*1000/[1]TK1!Q$161</f>
        <v>#DIV/0!</v>
      </c>
      <c r="AJ173" s="9"/>
      <c r="AK173" s="9">
        <f>([1]TK1!S167)*1000/[1]TK1!S$161</f>
        <v>0.29749140190793122</v>
      </c>
    </row>
    <row r="174" spans="1:37">
      <c r="A174" s="7">
        <v>9</v>
      </c>
      <c r="B174" s="3" t="s">
        <v>204</v>
      </c>
      <c r="C174" s="8" t="s">
        <v>176</v>
      </c>
      <c r="D174" s="9">
        <v>11.838583729007402</v>
      </c>
      <c r="E174" s="9">
        <v>11.46</v>
      </c>
      <c r="F174" s="9">
        <v>11.8</v>
      </c>
      <c r="G174" s="9">
        <v>12.052732195098665</v>
      </c>
      <c r="H174" s="9">
        <v>12.703139946872678</v>
      </c>
      <c r="I174" s="9">
        <v>10.573420057069672</v>
      </c>
      <c r="J174" s="9">
        <v>10.427981865756962</v>
      </c>
      <c r="K174" s="9">
        <v>10.405415741726815</v>
      </c>
      <c r="L174" s="9">
        <v>11.568203628349298</v>
      </c>
      <c r="M174" s="9">
        <v>14.326898006589396</v>
      </c>
      <c r="N174" s="9">
        <v>14.671093313634616</v>
      </c>
      <c r="O174" s="9">
        <v>14.925978046034945</v>
      </c>
      <c r="P174" s="9">
        <v>14.681664321302248</v>
      </c>
      <c r="Q174" s="9">
        <v>12.773614033122481</v>
      </c>
      <c r="R174" s="9">
        <v>14.474661759482796</v>
      </c>
      <c r="S174" s="9">
        <v>15.054209449283324</v>
      </c>
      <c r="T174" s="12">
        <v>9</v>
      </c>
      <c r="U174" s="9">
        <f>([1]TK1!C174)*1000/[1]TK1!C$161</f>
        <v>15.75359909921986</v>
      </c>
      <c r="V174" s="9">
        <f>([1]TK1!D174)*1000/[1]TK1!D$161</f>
        <v>17.740578815567702</v>
      </c>
      <c r="W174" s="9">
        <f>([1]TK1!E174)*1000/[1]TK1!E$161</f>
        <v>17.555989220332684</v>
      </c>
      <c r="X174" s="9">
        <f>([1]TK1!F174)*1000/[1]TK1!F$161</f>
        <v>17.01045101385515</v>
      </c>
      <c r="Y174" s="9">
        <f>([1]TK1!G174)*1000/[1]TK1!G$161</f>
        <v>14.455664384155327</v>
      </c>
      <c r="Z174" s="9">
        <f>([1]TK1!H174)*1000/[1]TK1!H$161</f>
        <v>13.181870309254705</v>
      </c>
      <c r="AA174" s="9">
        <f>([1]TK1!I174)*1000/[1]TK1!I$161</f>
        <v>13.256839227614886</v>
      </c>
      <c r="AB174" s="9">
        <f>([1]TK1!J174)*1000/[1]TK1!J$161</f>
        <v>13.662485627328763</v>
      </c>
      <c r="AC174" s="9">
        <f>([1]TK1!K174)*1000/[1]TK1!K$161</f>
        <v>10.656831840771076</v>
      </c>
      <c r="AD174" s="9">
        <f>([1]TK1!L174)*1000/[1]TK1!L$161</f>
        <v>10.737765499078559</v>
      </c>
      <c r="AE174" s="9">
        <f>([1]TK1!M174)*1000/[1]TK1!M$161</f>
        <v>12.609941693843265</v>
      </c>
      <c r="AF174" s="9">
        <f>([1]TK1!N174)*1000/[1]TK1!N$161</f>
        <v>11.319512433126839</v>
      </c>
      <c r="AG174" s="9" t="e">
        <f>([1]TK1!O174)*1000/[1]TK1!O$161</f>
        <v>#DIV/0!</v>
      </c>
      <c r="AH174" s="9" t="e">
        <f>([1]TK1!P174)*1000/[1]TK1!P$161</f>
        <v>#DIV/0!</v>
      </c>
      <c r="AI174" s="9" t="e">
        <f>([1]TK1!Q174)*1000/[1]TK1!Q$161</f>
        <v>#DIV/0!</v>
      </c>
      <c r="AJ174" s="9"/>
      <c r="AK174" s="9">
        <f>([1]TK1!S174)*1000/[1]TK1!S$161</f>
        <v>13.943599173520164</v>
      </c>
    </row>
    <row r="175" spans="1:37">
      <c r="A175" s="7">
        <v>10</v>
      </c>
      <c r="B175" s="8" t="s">
        <v>179</v>
      </c>
      <c r="C175" s="8" t="s">
        <v>176</v>
      </c>
      <c r="D175" s="9">
        <v>2.058833179438385</v>
      </c>
      <c r="E175" s="9">
        <v>1.94</v>
      </c>
      <c r="F175" s="9">
        <v>1.82</v>
      </c>
      <c r="G175" s="9">
        <v>1.8935217914125491</v>
      </c>
      <c r="H175" s="9">
        <v>1.9082489271944449</v>
      </c>
      <c r="I175" s="9">
        <v>2.0780448004584824</v>
      </c>
      <c r="J175" s="9">
        <v>2.3209085076215046</v>
      </c>
      <c r="K175" s="9">
        <v>2.0655786207980551</v>
      </c>
      <c r="L175" s="9">
        <v>2.0244689271508629</v>
      </c>
      <c r="M175" s="9">
        <v>1.9717817440565075</v>
      </c>
      <c r="N175" s="9">
        <v>1.7253767762407861</v>
      </c>
      <c r="O175" s="9">
        <v>1.7195911499106837</v>
      </c>
      <c r="P175" s="9">
        <v>1.974860228958278</v>
      </c>
      <c r="Q175" s="9">
        <v>1.791660156119474</v>
      </c>
      <c r="R175" s="9">
        <v>1.8949008883215996</v>
      </c>
      <c r="S175" s="9">
        <v>1.9405542060724488</v>
      </c>
      <c r="T175" s="9">
        <v>2.2000000000000002</v>
      </c>
      <c r="U175" s="9">
        <f>([1]TK1!C168)*1000/[1]TK1!C$161</f>
        <v>2.3223237982895899</v>
      </c>
      <c r="V175" s="9">
        <f>([1]TK1!D168)*1000/[1]TK1!D$161</f>
        <v>2.3411039648450616</v>
      </c>
      <c r="W175" s="9">
        <f>([1]TK1!E168)*1000/[1]TK1!E$161</f>
        <v>2.2265588699934948</v>
      </c>
      <c r="X175" s="9">
        <f>([1]TK1!F168)*1000/[1]TK1!F$161</f>
        <v>2.2997229879128196</v>
      </c>
      <c r="Y175" s="9">
        <f>([1]TK1!G168)*1000/[1]TK1!G$161</f>
        <v>2.3444817295905098</v>
      </c>
      <c r="Z175" s="9">
        <f>([1]TK1!H168)*1000/[1]TK1!H$161</f>
        <v>2.5707514112055456</v>
      </c>
      <c r="AA175" s="9">
        <f>([1]TK1!I168)*1000/[1]TK1!I$161</f>
        <v>2.6259553741601369</v>
      </c>
      <c r="AB175" s="9">
        <f>([1]TK1!J168)*1000/[1]TK1!J$161</f>
        <v>2.5052243475002425</v>
      </c>
      <c r="AC175" s="9">
        <f>([1]TK1!K168)*1000/[1]TK1!K$161</f>
        <v>2.3375467666025358</v>
      </c>
      <c r="AD175" s="9">
        <f>([1]TK1!L168)*1000/[1]TK1!L$161</f>
        <v>2.2527683553822766</v>
      </c>
      <c r="AE175" s="9">
        <f>([1]TK1!M168)*1000/[1]TK1!M$161</f>
        <v>2.5002470599861648</v>
      </c>
      <c r="AF175" s="9">
        <f>([1]TK1!N168)*1000/[1]TK1!N$161</f>
        <v>2.3623423541283084</v>
      </c>
      <c r="AG175" s="9" t="e">
        <f>([1]TK1!O168)*1000/[1]TK1!O$161</f>
        <v>#DIV/0!</v>
      </c>
      <c r="AH175" s="9" t="e">
        <f>([1]TK1!P168)*1000/[1]TK1!P$161</f>
        <v>#DIV/0!</v>
      </c>
      <c r="AI175" s="9" t="e">
        <f>([1]TK1!Q168)*1000/[1]TK1!Q$161</f>
        <v>#DIV/0!</v>
      </c>
      <c r="AJ175" s="9"/>
      <c r="AK175" s="9">
        <f>([1]TK1!S168)*1000/[1]TK1!S$161</f>
        <v>2.3892885378703603</v>
      </c>
    </row>
    <row r="176" spans="1:37">
      <c r="A176" s="7"/>
      <c r="B176" s="8" t="s">
        <v>205</v>
      </c>
      <c r="C176" s="8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>
        <v>10.3</v>
      </c>
      <c r="T176" s="9"/>
      <c r="U176" s="9">
        <v>12.91</v>
      </c>
      <c r="V176" s="9">
        <v>12</v>
      </c>
      <c r="W176" s="9">
        <v>9.18</v>
      </c>
      <c r="X176" s="9"/>
      <c r="Y176" s="9">
        <v>8.85</v>
      </c>
      <c r="Z176" s="9">
        <v>12.83</v>
      </c>
      <c r="AA176" s="9">
        <v>12.14</v>
      </c>
      <c r="AB176" s="9"/>
      <c r="AC176" s="9">
        <v>13.77</v>
      </c>
      <c r="AD176" s="9">
        <v>17.91</v>
      </c>
      <c r="AE176" s="9">
        <v>18.82</v>
      </c>
      <c r="AF176" s="9"/>
      <c r="AG176" s="9"/>
      <c r="AH176" s="9"/>
      <c r="AI176" s="9"/>
      <c r="AJ176" s="9"/>
      <c r="AK176" s="9">
        <v>13.16</v>
      </c>
    </row>
    <row r="177" spans="1:37">
      <c r="A177" s="7">
        <v>11</v>
      </c>
      <c r="B177" s="8" t="s">
        <v>206</v>
      </c>
      <c r="C177" s="8" t="s">
        <v>176</v>
      </c>
      <c r="D177" s="9">
        <v>8.4280919994937875</v>
      </c>
      <c r="E177" s="9">
        <v>7.9</v>
      </c>
      <c r="F177" s="9">
        <v>7.17</v>
      </c>
      <c r="G177" s="9">
        <v>7.3160862973124718</v>
      </c>
      <c r="H177" s="9">
        <v>7.2270321145807488</v>
      </c>
      <c r="I177" s="9">
        <v>7.2250336588572281</v>
      </c>
      <c r="J177" s="9">
        <v>6.8312337780641137</v>
      </c>
      <c r="K177" s="9">
        <v>7.0403297590939697</v>
      </c>
      <c r="L177" s="9">
        <v>6.293056164756389</v>
      </c>
      <c r="M177" s="9">
        <v>5.4483248003033964</v>
      </c>
      <c r="N177" s="9">
        <v>4.7873032301863381</v>
      </c>
      <c r="O177" s="9">
        <v>5.1206822050503504</v>
      </c>
      <c r="P177" s="9">
        <v>4.5427173265381153</v>
      </c>
      <c r="Q177" s="9">
        <v>4.9294521879734736</v>
      </c>
      <c r="R177" s="9">
        <v>4.6639789403804937</v>
      </c>
      <c r="S177" s="9">
        <v>4.7016791872184562</v>
      </c>
      <c r="T177" s="9">
        <v>5.05</v>
      </c>
      <c r="U177" s="9">
        <f>([1]TK1!C175)*1000/[1]TK1!C$161</f>
        <v>4.7820433768531672</v>
      </c>
      <c r="V177" s="9">
        <f>([1]TK1!D175)*1000/[1]TK1!D$161</f>
        <v>3.7451266978600648</v>
      </c>
      <c r="W177" s="9">
        <f>([1]TK1!E175)*1000/[1]TK1!E$161</f>
        <v>6.8283616764241239</v>
      </c>
      <c r="X177" s="9">
        <f>([1]TK1!F175)*1000/[1]TK1!F$161</f>
        <v>5.0391657368544243</v>
      </c>
      <c r="Y177" s="9">
        <f>([1]TK1!G175)*1000/[1]TK1!G$161</f>
        <v>5.1015985834396167</v>
      </c>
      <c r="Z177" s="9">
        <f>([1]TK1!H175)*1000/[1]TK1!H$161</f>
        <v>3.5073076874068221</v>
      </c>
      <c r="AA177" s="9">
        <f>([1]TK1!I175)*1000/[1]TK1!I$161</f>
        <v>6.7728086556417608</v>
      </c>
      <c r="AB177" s="9">
        <f>([1]TK1!J175)*1000/[1]TK1!J$161</f>
        <v>5.0275074247184293</v>
      </c>
      <c r="AC177" s="9">
        <f>([1]TK1!K175)*1000/[1]TK1!K$161</f>
        <v>3.9105340009650997</v>
      </c>
      <c r="AD177" s="9">
        <f>([1]TK1!L175)*1000/[1]TK1!L$161</f>
        <v>3.8245422652263579</v>
      </c>
      <c r="AE177" s="9">
        <f>([1]TK1!M175)*1000/[1]TK1!M$161</f>
        <v>3.7750765885957112</v>
      </c>
      <c r="AF177" s="9">
        <f>([1]TK1!N175)*1000/[1]TK1!N$161</f>
        <v>3.8378680369610603</v>
      </c>
      <c r="AG177" s="9" t="e">
        <f>([1]TK1!O175)*1000/[1]TK1!O$161</f>
        <v>#DIV/0!</v>
      </c>
      <c r="AH177" s="9" t="e">
        <f>([1]TK1!P175)*1000/[1]TK1!P$161</f>
        <v>#DIV/0!</v>
      </c>
      <c r="AI177" s="9" t="e">
        <f>([1]TK1!Q175)*1000/[1]TK1!Q$161</f>
        <v>#DIV/0!</v>
      </c>
      <c r="AJ177" s="9"/>
      <c r="AK177" s="9">
        <f>([1]TK1!S175)*1000/[1]TK1!S$161</f>
        <v>4.6218205145051048</v>
      </c>
    </row>
    <row r="178" spans="1:37">
      <c r="A178" s="7">
        <v>12</v>
      </c>
      <c r="B178" s="8" t="s">
        <v>207</v>
      </c>
      <c r="C178" s="8" t="s">
        <v>47</v>
      </c>
      <c r="D178" s="9">
        <v>90.029412137042826</v>
      </c>
      <c r="E178" s="9">
        <v>88.03</v>
      </c>
      <c r="F178" s="9">
        <v>88.1</v>
      </c>
      <c r="G178" s="9">
        <v>88.076151502168258</v>
      </c>
      <c r="H178" s="9">
        <v>88.088909908237952</v>
      </c>
      <c r="I178" s="9">
        <v>88.057388637843289</v>
      </c>
      <c r="J178" s="9">
        <v>88.088161892184445</v>
      </c>
      <c r="K178" s="12">
        <v>88.08646966143057</v>
      </c>
      <c r="L178" s="12">
        <v>88.058020172644532</v>
      </c>
      <c r="M178" s="12">
        <v>88.04131664694502</v>
      </c>
      <c r="N178" s="12">
        <v>88.205389665727338</v>
      </c>
      <c r="O178" s="9">
        <v>88.541591906049049</v>
      </c>
      <c r="P178" s="9">
        <v>88.779064172612649</v>
      </c>
      <c r="Q178" s="9">
        <v>88.975649563012752</v>
      </c>
      <c r="R178" s="9">
        <v>89.342370838218869</v>
      </c>
      <c r="S178" s="9">
        <v>89.579699707360504</v>
      </c>
      <c r="T178" s="9">
        <v>90</v>
      </c>
      <c r="U178" s="9">
        <f>([1]TK1!C161)/([1]TK1!C164+[1]TK1!C165)*100</f>
        <v>89.687694420817564</v>
      </c>
      <c r="V178" s="9">
        <f>([1]TK1!D161)/([1]TK1!D164+[1]TK1!D165)*100</f>
        <v>89.526217383959477</v>
      </c>
      <c r="W178" s="9">
        <f>([1]TK1!E161)/([1]TK1!E164+[1]TK1!E165)*100</f>
        <v>89.683669421377402</v>
      </c>
      <c r="X178" s="9">
        <f>([1]TK1!F161)/([1]TK1!F164+[1]TK1!F165)*100</f>
        <v>89.629031420357393</v>
      </c>
      <c r="Y178" s="9">
        <f>([1]TK1!G161)/([1]TK1!G164+[1]TK1!G165)*100</f>
        <v>89.694849368318756</v>
      </c>
      <c r="Z178" s="9">
        <f>([1]TK1!H161)/([1]TK1!H164+[1]TK1!H165)*100</f>
        <v>89.697461511206612</v>
      </c>
      <c r="AA178" s="9">
        <f>([1]TK1!I161)/([1]TK1!I164+[1]TK1!I165)*100</f>
        <v>89.682761668962996</v>
      </c>
      <c r="AB178" s="9">
        <f>([1]TK1!J161)/([1]TK1!J164+[1]TK1!J165)*100</f>
        <v>89.692262294754002</v>
      </c>
      <c r="AC178" s="9">
        <f>([1]TK1!K161)/([1]TK1!K164+[1]TK1!K165)*100</f>
        <v>89.671701845482957</v>
      </c>
      <c r="AD178" s="9">
        <f>([1]TK1!L161)/([1]TK1!L164+[1]TK1!L165)*100</f>
        <v>89.712771809942964</v>
      </c>
      <c r="AE178" s="9">
        <f>([1]TK1!M161)/([1]TK1!M164+[1]TK1!M165)*100</f>
        <v>89.683594788620042</v>
      </c>
      <c r="AF178" s="9">
        <f>([1]TK1!N161)/([1]TK1!N164+[1]TK1!N165)*100</f>
        <v>89.689215546724427</v>
      </c>
      <c r="AG178" s="9" t="e">
        <f>([1]TK1!O161)/([1]TK1!O164+[1]TK1!O165)*100</f>
        <v>#DIV/0!</v>
      </c>
      <c r="AH178" s="9" t="e">
        <f>([1]TK1!P161)/([1]TK1!P164+[1]TK1!P165)*100</f>
        <v>#DIV/0!</v>
      </c>
      <c r="AI178" s="9" t="e">
        <f>([1]TK1!Q161)/([1]TK1!Q164+[1]TK1!Q165)*100</f>
        <v>#DIV/0!</v>
      </c>
      <c r="AJ178" s="9"/>
      <c r="AK178" s="9">
        <f>([1]TK1!S161)/([1]TK1!S164+[1]TK1!S165)*100</f>
        <v>89.670664132753743</v>
      </c>
    </row>
    <row r="179" spans="1:37">
      <c r="A179" s="7">
        <v>13</v>
      </c>
      <c r="B179" s="8" t="s">
        <v>208</v>
      </c>
      <c r="C179" s="8" t="s">
        <v>183</v>
      </c>
      <c r="D179" s="12">
        <v>149.62672043482073</v>
      </c>
      <c r="E179" s="12">
        <v>149.6</v>
      </c>
      <c r="F179" s="12">
        <v>151</v>
      </c>
      <c r="G179" s="12">
        <v>150.98103818103817</v>
      </c>
      <c r="H179" s="12">
        <v>151.11363258520365</v>
      </c>
      <c r="I179" s="12">
        <v>154.18566610455312</v>
      </c>
      <c r="J179" s="12">
        <v>152.96082390953151</v>
      </c>
      <c r="K179" s="11">
        <v>149.26503983438931</v>
      </c>
      <c r="L179" s="11">
        <v>147.85663302978094</v>
      </c>
      <c r="M179" s="11">
        <v>150.28084822173986</v>
      </c>
      <c r="N179" s="11">
        <v>154.37098679265543</v>
      </c>
      <c r="O179" s="11">
        <v>155.02617157974302</v>
      </c>
      <c r="P179" s="11">
        <v>155.73346495557749</v>
      </c>
      <c r="Q179" s="12">
        <v>155.75400247831476</v>
      </c>
      <c r="R179" s="12">
        <v>156.4265951314681</v>
      </c>
      <c r="S179" s="12">
        <v>156.60940460975718</v>
      </c>
      <c r="T179" s="12">
        <v>158</v>
      </c>
      <c r="U179" s="12">
        <f>[1]TK1!C161/([1]TK1!C162-[1]TK1!C163)</f>
        <v>159.57647058823528</v>
      </c>
      <c r="V179" s="12">
        <f>[1]TK1!D161/([1]TK1!D162-[1]TK1!D163)</f>
        <v>159.36442405708462</v>
      </c>
      <c r="W179" s="12">
        <f>[1]TK1!E161/([1]TK1!E162-[1]TK1!E163)</f>
        <v>160.22930315664087</v>
      </c>
      <c r="X179" s="11">
        <f>[1]TK1!F161/([1]TK1!F162-[1]TK1!F163)</f>
        <v>159.69987298131011</v>
      </c>
      <c r="Y179" s="12">
        <f>[1]TK1!G161/([1]TK1!G162-[1]TK1!G163)</f>
        <v>159.05268340718857</v>
      </c>
      <c r="Z179" s="11">
        <f>[1]TK1!H161/([1]TK1!H162-[1]TK1!H163)</f>
        <v>159.83503054989816</v>
      </c>
      <c r="AA179" s="11">
        <f>[1]TK1!I161/([1]TK1!I162-[1]TK1!I163)</f>
        <v>159.13909313725489</v>
      </c>
      <c r="AB179" s="11">
        <f>[1]TK1!J161/([1]TK1!J162-[1]TK1!J163)</f>
        <v>159.35080860138618</v>
      </c>
      <c r="AC179" s="11">
        <f>[1]TK1!K161/([1]TK1!K162-[1]TK1!K163)</f>
        <v>157.8328387734916</v>
      </c>
      <c r="AD179" s="11">
        <f>[1]TK1!L161/([1]TK1!L162-[1]TK1!L163)</f>
        <v>158.73002049180329</v>
      </c>
      <c r="AE179" s="11">
        <f>[1]TK1!M161/([1]TK1!M162-[1]TK1!M163)</f>
        <v>157.53502854177478</v>
      </c>
      <c r="AF179" s="11">
        <f>[1]TK1!N161/([1]TK1!N162-[1]TK1!N163)</f>
        <v>158.03236739535672</v>
      </c>
      <c r="AG179" s="11" t="e">
        <f>[1]TK1!O161/([1]TK1!O162-[1]TK1!O163)</f>
        <v>#DIV/0!</v>
      </c>
      <c r="AH179" s="11" t="e">
        <f>[1]TK1!P161/([1]TK1!P162-[1]TK1!P163)</f>
        <v>#DIV/0!</v>
      </c>
      <c r="AI179" s="11" t="e">
        <f>[1]TK1!Q161/([1]TK1!Q162-[1]TK1!Q163)</f>
        <v>#DIV/0!</v>
      </c>
      <c r="AJ179" s="11"/>
      <c r="AK179" s="12">
        <f>[1]TK1!S161/([1]TK1!S162-[1]TK1!S163)</f>
        <v>159.00710135571336</v>
      </c>
    </row>
    <row r="180" spans="1:37">
      <c r="A180" s="7">
        <v>14</v>
      </c>
      <c r="B180" s="8" t="s">
        <v>184</v>
      </c>
      <c r="C180" s="8" t="s">
        <v>185</v>
      </c>
      <c r="D180" s="12">
        <v>0.76669285153181466</v>
      </c>
      <c r="E180" s="12">
        <v>0.8</v>
      </c>
      <c r="F180" s="9">
        <v>0.77</v>
      </c>
      <c r="G180" s="9">
        <v>0.74948665297741268</v>
      </c>
      <c r="H180" s="9">
        <v>0.72938636552354064</v>
      </c>
      <c r="I180" s="9">
        <v>0.73755998989643845</v>
      </c>
      <c r="J180" s="9">
        <v>0.70622379877458885</v>
      </c>
      <c r="K180" s="9">
        <v>0.54797948204679092</v>
      </c>
      <c r="L180" s="9">
        <v>0.53882959146117038</v>
      </c>
      <c r="M180" s="9">
        <v>0.48547993792950567</v>
      </c>
      <c r="N180" s="9">
        <v>0.46812376422807672</v>
      </c>
      <c r="O180" s="9">
        <v>0.41198325730141561</v>
      </c>
      <c r="P180" s="9">
        <v>0.4324963072378139</v>
      </c>
      <c r="Q180" s="9">
        <v>0.43357750940407841</v>
      </c>
      <c r="R180" s="9">
        <v>0.38785088107677324</v>
      </c>
      <c r="S180" s="9">
        <v>1.02</v>
      </c>
      <c r="T180" s="14">
        <v>1</v>
      </c>
      <c r="U180" s="23">
        <v>3.9583333333333331E-2</v>
      </c>
      <c r="V180" s="23">
        <v>4.3750000000000004E-2</v>
      </c>
      <c r="W180" s="23">
        <v>4.2361111111111106E-2</v>
      </c>
      <c r="X180" s="9"/>
      <c r="Y180" s="23">
        <v>4.3055555555555562E-2</v>
      </c>
      <c r="Z180" s="23">
        <v>4.4444444444444446E-2</v>
      </c>
      <c r="AA180" s="23">
        <v>4.4444444444444446E-2</v>
      </c>
      <c r="AB180" s="9"/>
      <c r="AC180" s="23">
        <v>4.3750000000000004E-2</v>
      </c>
      <c r="AD180" s="23">
        <v>4.2361111111111106E-2</v>
      </c>
      <c r="AE180" s="23">
        <v>4.5138888888888888E-2</v>
      </c>
      <c r="AF180" s="9"/>
      <c r="AG180" s="9"/>
      <c r="AH180" s="9"/>
      <c r="AI180" s="9"/>
      <c r="AJ180" s="9"/>
      <c r="AK180" s="23">
        <v>4.3055555555555562E-2</v>
      </c>
    </row>
    <row r="181" spans="1:37">
      <c r="A181" s="7">
        <v>15</v>
      </c>
      <c r="B181" s="8" t="s">
        <v>186</v>
      </c>
      <c r="C181" s="8" t="s">
        <v>187</v>
      </c>
      <c r="D181" s="11">
        <v>4000.6666666666665</v>
      </c>
      <c r="E181" s="11">
        <v>4647</v>
      </c>
      <c r="F181" s="11">
        <v>5360</v>
      </c>
      <c r="G181" s="11">
        <v>3525.3333333333335</v>
      </c>
      <c r="H181" s="11">
        <v>5781</v>
      </c>
      <c r="I181" s="11">
        <v>5933.5</v>
      </c>
      <c r="J181" s="11">
        <v>5628</v>
      </c>
      <c r="K181" s="11">
        <v>4635</v>
      </c>
      <c r="L181" s="11">
        <v>5257.5</v>
      </c>
      <c r="M181" s="11">
        <v>5756</v>
      </c>
      <c r="N181" s="11">
        <v>6336.5</v>
      </c>
      <c r="O181" s="11">
        <v>6861</v>
      </c>
      <c r="P181" s="11">
        <v>7583.5</v>
      </c>
      <c r="Q181" s="11">
        <v>5436.75</v>
      </c>
      <c r="R181" s="11">
        <v>5586.333333333333</v>
      </c>
      <c r="S181" s="11" t="s">
        <v>5</v>
      </c>
      <c r="T181" s="3">
        <v>6500</v>
      </c>
      <c r="U181" s="11">
        <f>IF(([1]TK1!C179)=0, "-",([1]TK1!C180/[1]TK1!C179))</f>
        <v>6961</v>
      </c>
      <c r="V181" s="11" t="str">
        <f>IF(([1]TK1!D179)=0, "-",([1]TK1!D180/[1]TK1!D179))</f>
        <v>-</v>
      </c>
      <c r="W181" s="11">
        <f>IF(([1]TK1!E179)=0, "-",([1]TK1!E180/[1]TK1!E179))</f>
        <v>4884</v>
      </c>
      <c r="X181" s="11">
        <f>IF(([1]TK1!F179)=0, "-",([1]TK1!F180/[1]TK1!F179))</f>
        <v>5922.5</v>
      </c>
      <c r="Y181" s="11" t="str">
        <f>IF(([1]TK1!G179)=0, "-",([1]TK1!G180/[1]TK1!G179))</f>
        <v>-</v>
      </c>
      <c r="Z181" s="11" t="str">
        <f>IF(([1]TK1!H179)=0, "-",([1]TK1!H180/[1]TK1!H179))</f>
        <v>-</v>
      </c>
      <c r="AA181" s="11">
        <f>IF(([1]TK1!I179)=0, "-",([1]TK1!I180/[1]TK1!I179))</f>
        <v>4245</v>
      </c>
      <c r="AB181" s="11">
        <f>IF(([1]TK1!J179)=0, "-",([1]TK1!J180/[1]TK1!J179))</f>
        <v>4245</v>
      </c>
      <c r="AC181" s="11" t="str">
        <f>IF(([1]TK1!K179)=0, "-",([1]TK1!K180/[1]TK1!K179))</f>
        <v>-</v>
      </c>
      <c r="AD181" s="11" t="str">
        <f>IF(([1]TK1!L179)=0, "-",([1]TK1!L180/[1]TK1!L179))</f>
        <v>-</v>
      </c>
      <c r="AE181" s="11" t="str">
        <f>IF(([1]TK1!M179)=0, "-",([1]TK1!M180/[1]TK1!M179))</f>
        <v>-</v>
      </c>
      <c r="AF181" s="11" t="str">
        <f>IF(([1]TK1!N179)=0, "-",([1]TK1!N180/[1]TK1!N179))</f>
        <v>-</v>
      </c>
      <c r="AG181" s="11" t="str">
        <f>IF(([1]TK1!O179)=0, "-",([1]TK1!O180/[1]TK1!O179))</f>
        <v>-</v>
      </c>
      <c r="AH181" s="11" t="str">
        <f>IF(([1]TK1!P179)=0, "-",([1]TK1!P180/[1]TK1!P179))</f>
        <v>-</v>
      </c>
      <c r="AI181" s="11" t="str">
        <f>IF(([1]TK1!Q179)=0, "-",([1]TK1!Q180/[1]TK1!Q179))</f>
        <v>-</v>
      </c>
      <c r="AJ181" s="11"/>
      <c r="AK181" s="11">
        <f>IF(([1]TK1!S179)=0, "-",([1]TK1!S180/[1]TK1!S179))</f>
        <v>5363.333333333333</v>
      </c>
    </row>
    <row r="182" spans="1:37">
      <c r="A182" s="7">
        <v>16</v>
      </c>
      <c r="B182" s="8" t="s">
        <v>209</v>
      </c>
      <c r="C182" s="8" t="s">
        <v>189</v>
      </c>
      <c r="D182" s="11">
        <v>56.433502149060928</v>
      </c>
      <c r="E182" s="11">
        <v>57</v>
      </c>
      <c r="F182" s="9">
        <v>57.28</v>
      </c>
      <c r="G182" s="9">
        <v>56.902620015866482</v>
      </c>
      <c r="H182" s="9">
        <v>56.691605740039179</v>
      </c>
      <c r="I182" s="9">
        <v>56.196401482630279</v>
      </c>
      <c r="J182" s="9">
        <v>56.879954373948792</v>
      </c>
      <c r="K182" s="9">
        <v>57.945952692951352</v>
      </c>
      <c r="L182" s="9">
        <v>57.3</v>
      </c>
      <c r="M182" s="9">
        <v>56.670070249354097</v>
      </c>
      <c r="N182" s="9">
        <v>56.644554299113068</v>
      </c>
      <c r="O182" s="9">
        <v>56.353132044975702</v>
      </c>
      <c r="P182" s="9">
        <v>56.355623803547203</v>
      </c>
      <c r="Q182" s="9">
        <v>56.411864799988031</v>
      </c>
      <c r="R182" s="9">
        <v>56.364273365743649</v>
      </c>
      <c r="S182" s="9">
        <v>56.180907152810768</v>
      </c>
      <c r="T182" s="12">
        <v>57</v>
      </c>
      <c r="U182" s="11">
        <f>[1]TK1!C176/[1]TK1!C$161</f>
        <v>56.158011849548267</v>
      </c>
      <c r="V182" s="11">
        <f>[1]TK1!D176/[1]TK1!D$161</f>
        <v>55.525868878988589</v>
      </c>
      <c r="W182" s="11">
        <f>[1]TK1!E176/[1]TK1!E$161</f>
        <v>56.176898057801317</v>
      </c>
      <c r="X182" s="11">
        <f>[1]TK1!F176/[1]TK1!F$161</f>
        <v>55.939205050300757</v>
      </c>
      <c r="Y182" s="11">
        <f>[1]TK1!G176/[1]TK1!G$161</f>
        <v>55.774124246214043</v>
      </c>
      <c r="Z182" s="11">
        <f>[1]TK1!H176/[1]TK1!H$161</f>
        <v>55.219453611794236</v>
      </c>
      <c r="AA182" s="11">
        <f>[1]TK1!I176/[1]TK1!I$161</f>
        <v>56.564387886721981</v>
      </c>
      <c r="AB182" s="11">
        <f>[1]TK1!J176/[1]TK1!J$161</f>
        <v>55.80883427180882</v>
      </c>
      <c r="AC182" s="11">
        <f>[1]TK1!K176/[1]TK1!K$161</f>
        <v>55.863858268209988</v>
      </c>
      <c r="AD182" s="11">
        <f>[1]TK1!L176/[1]TK1!L$161</f>
        <v>55.880661371477629</v>
      </c>
      <c r="AE182" s="11">
        <f>[1]TK1!M176/[1]TK1!M$161</f>
        <v>55.932569094442798</v>
      </c>
      <c r="AF182" s="11">
        <f>[1]TK1!N176/[1]TK1!N$161</f>
        <v>55.891808366101941</v>
      </c>
      <c r="AG182" s="11" t="e">
        <f>[1]TK1!O176/[1]TK1!O$161</f>
        <v>#DIV/0!</v>
      </c>
      <c r="AH182" s="11" t="e">
        <f>[1]TK1!P176/[1]TK1!P$161</f>
        <v>#DIV/0!</v>
      </c>
      <c r="AI182" s="11" t="e">
        <f>[1]TK1!Q176/[1]TK1!Q$161</f>
        <v>#DIV/0!</v>
      </c>
      <c r="AJ182" s="11"/>
      <c r="AK182" s="11">
        <f>[1]TK1!S176/[1]TK1!S$161</f>
        <v>55.879744083575154</v>
      </c>
    </row>
    <row r="183" spans="1:37">
      <c r="A183" s="7">
        <v>17</v>
      </c>
      <c r="B183" s="8" t="s">
        <v>210</v>
      </c>
      <c r="C183" s="8" t="s">
        <v>189</v>
      </c>
      <c r="D183" s="12">
        <v>3.3348586119456853</v>
      </c>
      <c r="E183" s="12">
        <v>4</v>
      </c>
      <c r="F183" s="9">
        <v>4.04</v>
      </c>
      <c r="G183" s="9">
        <v>4.0111633679683401</v>
      </c>
      <c r="H183" s="9">
        <v>3.8381162409091383</v>
      </c>
      <c r="I183" s="9">
        <v>3.9659047533634251</v>
      </c>
      <c r="J183" s="9">
        <v>4.0034958849420832</v>
      </c>
      <c r="K183" s="9">
        <v>4.0862112586438624</v>
      </c>
      <c r="L183" s="9">
        <v>4.0116755709402465</v>
      </c>
      <c r="M183" s="9">
        <v>3.9657256630875346</v>
      </c>
      <c r="N183" s="9">
        <v>3.9720740065258959</v>
      </c>
      <c r="O183" s="9">
        <v>3.9730722325796548</v>
      </c>
      <c r="P183" s="9">
        <v>3.9714093738510883</v>
      </c>
      <c r="Q183" s="9">
        <v>3.9661436695045755</v>
      </c>
      <c r="R183" s="9">
        <v>3.9709214207136334</v>
      </c>
      <c r="S183" s="9">
        <v>3.963210514111791</v>
      </c>
      <c r="T183" s="12">
        <v>5</v>
      </c>
      <c r="U183" s="11">
        <f>[1]TK1!C177/[1]TK1!C$161</f>
        <v>3.9706375164204712</v>
      </c>
      <c r="V183" s="11">
        <f>[1]TK1!D177/[1]TK1!D$161</f>
        <v>3.9535936905329208</v>
      </c>
      <c r="W183" s="11">
        <f>[1]TK1!E177/[1]TK1!E$161</f>
        <v>3.9730136604404795</v>
      </c>
      <c r="X183" s="11">
        <f>[1]TK1!F177/[1]TK1!F$161</f>
        <v>3.9653087241764062</v>
      </c>
      <c r="Y183" s="11">
        <f>[1]TK1!G177/[1]TK1!G$161</f>
        <v>3.9631186616971483</v>
      </c>
      <c r="Z183" s="11">
        <f>[1]TK1!H177/[1]TK1!H$161</f>
        <v>3.9323577007861976</v>
      </c>
      <c r="AA183" s="11">
        <f>[1]TK1!I177/[1]TK1!I$161</f>
        <v>4.0274916735652546</v>
      </c>
      <c r="AB183" s="11">
        <f>[1]TK1!J177/[1]TK1!J$161</f>
        <v>3.9709948063216332</v>
      </c>
      <c r="AC183" s="11">
        <f>[1]TK1!K177/[1]TK1!K$161</f>
        <v>3.9612957404007045</v>
      </c>
      <c r="AD183" s="11">
        <f>[1]TK1!L177/[1]TK1!L$161</f>
        <v>3.9723277422936278</v>
      </c>
      <c r="AE183" s="11">
        <f>[1]TK1!M177/[1]TK1!M$161</f>
        <v>3.9649174819646209</v>
      </c>
      <c r="AF183" s="11">
        <f>[1]TK1!N177/[1]TK1!N$161</f>
        <v>3.9661401170340649</v>
      </c>
      <c r="AG183" s="11" t="e">
        <f>[1]TK1!O177/[1]TK1!O$161</f>
        <v>#DIV/0!</v>
      </c>
      <c r="AH183" s="11" t="e">
        <f>[1]TK1!P177/[1]TK1!P$161</f>
        <v>#DIV/0!</v>
      </c>
      <c r="AI183" s="11" t="e">
        <f>[1]TK1!Q177/[1]TK1!Q$161</f>
        <v>#DIV/0!</v>
      </c>
      <c r="AJ183" s="11"/>
      <c r="AK183" s="11">
        <f>[1]TK1!S177/[1]TK1!S$161</f>
        <v>3.9674767340316137</v>
      </c>
    </row>
    <row r="184" spans="1:37">
      <c r="A184" s="7">
        <v>18</v>
      </c>
      <c r="B184" s="8" t="s">
        <v>191</v>
      </c>
      <c r="C184" s="8" t="s">
        <v>192</v>
      </c>
      <c r="D184" s="11">
        <v>3652.9457973291437</v>
      </c>
      <c r="E184" s="11">
        <v>3841</v>
      </c>
      <c r="F184" s="11">
        <v>5097</v>
      </c>
      <c r="G184" s="11">
        <v>5043.8312799452433</v>
      </c>
      <c r="H184" s="11">
        <v>4606.5764344432455</v>
      </c>
      <c r="I184" s="11">
        <v>4677.0649153826726</v>
      </c>
      <c r="J184" s="11">
        <v>4307.5862624959691</v>
      </c>
      <c r="K184" s="11">
        <v>4531.4650319029151</v>
      </c>
      <c r="L184" s="11">
        <v>5392.3199607410133</v>
      </c>
      <c r="M184" s="11">
        <v>5330.3757481711373</v>
      </c>
      <c r="N184" s="11">
        <v>5512.0451023352753</v>
      </c>
      <c r="O184" s="11">
        <v>4794.3940177773593</v>
      </c>
      <c r="P184" s="11">
        <v>5462.3289020187103</v>
      </c>
      <c r="Q184" s="11">
        <v>7369.4169471391806</v>
      </c>
      <c r="R184" s="11">
        <v>6958.7045072168603</v>
      </c>
      <c r="S184" s="11">
        <v>7548.0781931052697</v>
      </c>
      <c r="T184" s="3"/>
      <c r="U184" s="11">
        <f>[1]TK1!C178/[1]TK1!C162</f>
        <v>7572.0470336718336</v>
      </c>
      <c r="V184" s="11">
        <f>[1]TK1!D178/[1]TK1!D162</f>
        <v>7528.3095723014258</v>
      </c>
      <c r="W184" s="11">
        <f>[1]TK1!E178/[1]TK1!E162</f>
        <v>7580.9637120761454</v>
      </c>
      <c r="X184" s="11">
        <f>[1]TK1!F178/[1]TK1!F162</f>
        <v>7559.191443074692</v>
      </c>
      <c r="Y184" s="11">
        <f>[1]TK1!G178/[1]TK1!G162</f>
        <v>7531.2838170191835</v>
      </c>
      <c r="Z184" s="11">
        <f>[1]TK1!H178/[1]TK1!H162</f>
        <v>7444.6646341463411</v>
      </c>
      <c r="AA184" s="11">
        <f>[1]TK1!I178/[1]TK1!I162</f>
        <v>7626.4220183486241</v>
      </c>
      <c r="AB184" s="11">
        <f>[1]TK1!J178/[1]TK1!J162</f>
        <v>7528.6373314407383</v>
      </c>
      <c r="AC184" s="11">
        <f>[1]TK1!K178/[1]TK1!K162</f>
        <v>7238.685770750988</v>
      </c>
      <c r="AD184" s="11">
        <f>[1]TK1!L178/[1]TK1!L162</f>
        <v>7532.9243353783231</v>
      </c>
      <c r="AE184" s="11">
        <f>[1]TK1!M178/[1]TK1!M162</f>
        <v>7431.8464730290452</v>
      </c>
      <c r="AF184" s="11">
        <f>[1]TK1!N178/[1]TK1!N162</f>
        <v>7399.136763710223</v>
      </c>
      <c r="AG184" s="11" t="e">
        <f>[1]TK1!O178/[1]TK1!O162</f>
        <v>#DIV/0!</v>
      </c>
      <c r="AH184" s="11" t="e">
        <f>[1]TK1!P178/[1]TK1!P162</f>
        <v>#DIV/0!</v>
      </c>
      <c r="AI184" s="11" t="e">
        <f>[1]TK1!Q178/[1]TK1!Q162</f>
        <v>#DIV/0!</v>
      </c>
      <c r="AJ184" s="11"/>
      <c r="AK184" s="11">
        <f>[1]TK1!S178/[1]TK1!S162</f>
        <v>7493.6694021101994</v>
      </c>
    </row>
    <row r="185" spans="1:37">
      <c r="A185" s="7">
        <v>19</v>
      </c>
      <c r="B185" s="8" t="s">
        <v>193</v>
      </c>
      <c r="C185" s="3" t="s">
        <v>47</v>
      </c>
      <c r="D185" s="9">
        <v>91.581009336795944</v>
      </c>
      <c r="E185" s="9">
        <v>89.69</v>
      </c>
      <c r="F185" s="9">
        <v>89.58</v>
      </c>
      <c r="G185" s="9">
        <v>89.669811320754718</v>
      </c>
      <c r="H185" s="9">
        <v>89.545289481026444</v>
      </c>
      <c r="I185" s="9">
        <v>89.499419483070824</v>
      </c>
      <c r="J185" s="9">
        <v>89.540989949629846</v>
      </c>
      <c r="K185" s="9">
        <v>89.5684824022225</v>
      </c>
      <c r="L185" s="9">
        <v>89.646691089826973</v>
      </c>
      <c r="M185" s="9">
        <v>89.586619740235491</v>
      </c>
      <c r="N185" s="9">
        <v>89.56</v>
      </c>
      <c r="O185" s="9">
        <v>89.56</v>
      </c>
      <c r="P185" s="9">
        <v>90.148273094172922</v>
      </c>
      <c r="Q185" s="9">
        <v>90.375563364834278</v>
      </c>
      <c r="R185" s="9">
        <v>91.465090432217096</v>
      </c>
      <c r="S185" s="9">
        <v>90.93767694536632</v>
      </c>
      <c r="T185" s="9">
        <v>89.5</v>
      </c>
      <c r="U185" s="9">
        <f>[1]TK1!C182/[1]TK1!C181*100</f>
        <v>91.031088300870806</v>
      </c>
      <c r="V185" s="9">
        <f>[1]TK1!D182/[1]TK1!D181*100</f>
        <v>90.862617616029226</v>
      </c>
      <c r="W185" s="9">
        <f>[1]TK1!E182/[1]TK1!E181*100</f>
        <v>91.024011816288649</v>
      </c>
      <c r="X185" s="9">
        <f>[1]TK1!F182/[1]TK1!F181*100</f>
        <v>90.968990710537582</v>
      </c>
      <c r="Y185" s="9">
        <f>[1]TK1!G182/[1]TK1!G181*100</f>
        <v>90.929875514072563</v>
      </c>
      <c r="Z185" s="9">
        <f>[1]TK1!H182/[1]TK1!H181*100</f>
        <v>91.031487327783623</v>
      </c>
      <c r="AA185" s="9">
        <f>[1]TK1!I182/[1]TK1!I181*100</f>
        <v>91.027439518283245</v>
      </c>
      <c r="AB185" s="9">
        <f>[1]TK1!J182/[1]TK1!J181*100</f>
        <v>90.993708205291014</v>
      </c>
      <c r="AC185" s="9">
        <f>[1]TK1!K182/[1]TK1!K181*100</f>
        <v>91.006976209050549</v>
      </c>
      <c r="AD185" s="9">
        <f>[1]TK1!L182/[1]TK1!L181*100</f>
        <v>91.051840721262209</v>
      </c>
      <c r="AE185" s="9">
        <f>[1]TK1!M182/[1]TK1!M181*100</f>
        <v>91.011846249671592</v>
      </c>
      <c r="AF185" s="9">
        <f>[1]TK1!N182/[1]TK1!N181*100</f>
        <v>91.023472609206365</v>
      </c>
      <c r="AG185" s="9" t="e">
        <f>[1]TK1!O182/[1]TK1!O181*100</f>
        <v>#DIV/0!</v>
      </c>
      <c r="AH185" s="9" t="e">
        <f>[1]TK1!P182/[1]TK1!P181*100</f>
        <v>#DIV/0!</v>
      </c>
      <c r="AI185" s="9" t="e">
        <f>[1]TK1!Q182/[1]TK1!Q181*100</f>
        <v>#DIV/0!</v>
      </c>
      <c r="AJ185" s="9"/>
      <c r="AK185" s="9">
        <f>[1]TK1!S182/[1]TK1!S181*100</f>
        <v>90.99591863712223</v>
      </c>
    </row>
    <row r="186" spans="1:37">
      <c r="A186" s="7">
        <v>20</v>
      </c>
      <c r="B186" s="8" t="s">
        <v>194</v>
      </c>
      <c r="C186" s="8" t="s">
        <v>47</v>
      </c>
      <c r="D186" s="9">
        <v>98.457711672381407</v>
      </c>
      <c r="E186" s="9">
        <v>98.34</v>
      </c>
      <c r="F186" s="9">
        <v>98.4</v>
      </c>
      <c r="G186" s="9">
        <v>98.394539017085705</v>
      </c>
      <c r="H186" s="9">
        <v>98.397992090908005</v>
      </c>
      <c r="I186" s="9">
        <v>98.412339631556875</v>
      </c>
      <c r="J186" s="9">
        <v>98.408035383458511</v>
      </c>
      <c r="K186" s="9">
        <v>98.395279211327249</v>
      </c>
      <c r="L186" s="9">
        <v>98.399662250562741</v>
      </c>
      <c r="M186" s="9">
        <v>98.403765450208553</v>
      </c>
      <c r="N186" s="9">
        <v>98.38</v>
      </c>
      <c r="O186" s="9">
        <v>98.38</v>
      </c>
      <c r="P186" s="9">
        <v>98.547043598062146</v>
      </c>
      <c r="Q186" s="9">
        <v>98.536905827698064</v>
      </c>
      <c r="R186" s="9">
        <v>98.542348565979367</v>
      </c>
      <c r="S186" s="9">
        <v>98.539989729016867</v>
      </c>
      <c r="T186" s="9">
        <v>98.4</v>
      </c>
      <c r="U186" s="9">
        <f>[1]TK1!C161/[1]TK1!C183*100</f>
        <v>98.526435347061948</v>
      </c>
      <c r="V186" s="9">
        <f>[1]TK1!D161/[1]TK1!D183*100</f>
        <v>98.543622003567663</v>
      </c>
      <c r="W186" s="9">
        <f>[1]TK1!E161/[1]TK1!E183*100</f>
        <v>98.547926839542981</v>
      </c>
      <c r="X186" s="9">
        <f>[1]TK1!F161/[1]TK1!F183*100</f>
        <v>98.539109716801349</v>
      </c>
      <c r="Y186" s="9">
        <f>[1]TK1!G161/[1]TK1!G183*100</f>
        <v>98.556295916623952</v>
      </c>
      <c r="Z186" s="9">
        <f>[1]TK1!H161/[1]TK1!H183*100</f>
        <v>98.553327221810605</v>
      </c>
      <c r="AA186" s="9">
        <f>[1]TK1!I161/[1]TK1!I183*100</f>
        <v>98.540755271075767</v>
      </c>
      <c r="AB186" s="9">
        <f>[1]TK1!J161/[1]TK1!J183*100</f>
        <v>98.550754902165522</v>
      </c>
      <c r="AC186" s="9">
        <f>[1]TK1!K161/[1]TK1!K183*100</f>
        <v>98.545309696803145</v>
      </c>
      <c r="AD186" s="9">
        <f>[1]TK1!L161/[1]TK1!L183*100</f>
        <v>98.548682586735538</v>
      </c>
      <c r="AE186" s="9">
        <f>[1]TK1!M161/[1]TK1!M183*100</f>
        <v>98.548249913972768</v>
      </c>
      <c r="AF186" s="9">
        <f>[1]TK1!N161/[1]TK1!N183*100</f>
        <v>98.5473874426051</v>
      </c>
      <c r="AG186" s="9" t="e">
        <f>[1]TK1!O161/[1]TK1!O183*100</f>
        <v>#DIV/0!</v>
      </c>
      <c r="AH186" s="9" t="e">
        <f>[1]TK1!P161/[1]TK1!P183*100</f>
        <v>#DIV/0!</v>
      </c>
      <c r="AI186" s="9" t="e">
        <f>[1]TK1!Q161/[1]TK1!Q183*100</f>
        <v>#DIV/0!</v>
      </c>
      <c r="AJ186" s="9"/>
      <c r="AK186" s="9">
        <f>[1]TK1!S161/[1]TK1!S183*100</f>
        <v>98.545812719010144</v>
      </c>
    </row>
    <row r="187" spans="1:37">
      <c r="A187" s="1">
        <v>21</v>
      </c>
      <c r="B187" s="3" t="s">
        <v>195</v>
      </c>
      <c r="C187" s="3"/>
      <c r="D187" s="19">
        <v>1.0249999999999999</v>
      </c>
      <c r="E187" s="19">
        <v>1.0469999999999999</v>
      </c>
      <c r="F187" s="19">
        <v>1.0489999999999999</v>
      </c>
      <c r="G187" s="19">
        <v>1.05</v>
      </c>
      <c r="H187" s="19">
        <v>1.0489999999999999</v>
      </c>
      <c r="I187" s="19">
        <v>1.048</v>
      </c>
      <c r="J187" s="19">
        <v>1.046</v>
      </c>
      <c r="K187" s="19">
        <v>1.0462499999999999</v>
      </c>
      <c r="L187" s="19">
        <v>1.0386666666666666</v>
      </c>
      <c r="M187" s="19">
        <v>1.0249999999999999</v>
      </c>
      <c r="N187" s="19">
        <v>1.0054693156990855</v>
      </c>
      <c r="O187" s="19">
        <v>0.99099999999999999</v>
      </c>
      <c r="P187" s="19">
        <v>1.0089999999999999</v>
      </c>
      <c r="Q187" s="19">
        <v>1.0349999999999999</v>
      </c>
      <c r="R187" s="19">
        <v>1.0289999999999999</v>
      </c>
      <c r="S187" s="19">
        <v>1.0209999999999999</v>
      </c>
      <c r="T187" s="19">
        <v>1.024</v>
      </c>
      <c r="U187" s="9">
        <f>[1]TK1!C185</f>
        <v>1.0346706522613334</v>
      </c>
      <c r="V187" s="9">
        <f>[1]TK1!D185</f>
        <v>1.0426164075567765</v>
      </c>
      <c r="W187" s="9">
        <f>[1]TK1!E185</f>
        <v>1.0328631168107054</v>
      </c>
      <c r="X187" s="9">
        <f>[1]TK1!F185</f>
        <v>1.0367167255429384</v>
      </c>
      <c r="Y187" s="9">
        <f>[1]TK1!G185</f>
        <v>1.0220408870837925</v>
      </c>
      <c r="Z187" s="9">
        <f>[1]TK1!H185</f>
        <v>1.0275360287465436</v>
      </c>
      <c r="AA187" s="9">
        <f>[1]TK1!I185</f>
        <v>1.0254278728606356</v>
      </c>
      <c r="AB187" s="9">
        <f>[1]TK1!J185</f>
        <v>1.0250015962303241</v>
      </c>
      <c r="AC187" s="9">
        <f>[1]TK1!K185</f>
        <v>1.0290595291065308</v>
      </c>
      <c r="AD187" s="9">
        <f>[1]TK1!L185</f>
        <v>1.0197843410007068</v>
      </c>
      <c r="AE187" s="9">
        <f>[1]TK1!M185</f>
        <v>1.0244490562308528</v>
      </c>
      <c r="AF187" s="9">
        <f>[1]TK1!N185</f>
        <v>1.0244309754460301</v>
      </c>
      <c r="AG187" s="9">
        <f>[1]TK1!O185</f>
        <v>0</v>
      </c>
      <c r="AH187" s="9">
        <f>[1]TK1!P185</f>
        <v>0</v>
      </c>
      <c r="AI187" s="9">
        <f>[1]TK1!Q185</f>
        <v>0</v>
      </c>
      <c r="AJ187" s="9"/>
      <c r="AK187" s="9">
        <f>[1]TK1!S185</f>
        <v>1.0286809762737688</v>
      </c>
    </row>
    <row r="188" spans="1:37">
      <c r="A188" s="7" t="s">
        <v>211</v>
      </c>
      <c r="B188" s="8" t="s">
        <v>212</v>
      </c>
      <c r="C188" s="8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spans="1:37">
      <c r="A189" s="7">
        <v>1</v>
      </c>
      <c r="B189" s="8" t="s">
        <v>213</v>
      </c>
      <c r="C189" s="8" t="s">
        <v>214</v>
      </c>
      <c r="D189" s="3">
        <v>13239</v>
      </c>
      <c r="E189" s="3">
        <v>17738</v>
      </c>
      <c r="F189" s="3">
        <v>16483</v>
      </c>
      <c r="G189" s="3">
        <v>9763</v>
      </c>
      <c r="H189" s="3">
        <v>12660</v>
      </c>
      <c r="I189" s="3">
        <v>3264</v>
      </c>
      <c r="J189" s="3">
        <v>3273</v>
      </c>
      <c r="K189" s="3">
        <v>1168</v>
      </c>
      <c r="L189" s="3">
        <v>849</v>
      </c>
      <c r="M189" s="3">
        <v>1400</v>
      </c>
      <c r="N189" s="3">
        <v>0</v>
      </c>
      <c r="O189" s="3">
        <v>60</v>
      </c>
      <c r="P189" s="3">
        <v>48</v>
      </c>
      <c r="Q189" s="3">
        <v>0</v>
      </c>
      <c r="R189" s="3">
        <v>34</v>
      </c>
      <c r="S189" s="3">
        <v>0</v>
      </c>
      <c r="T189" s="3">
        <v>0</v>
      </c>
      <c r="U189" s="3">
        <f>[1]TK1!C192</f>
        <v>0</v>
      </c>
      <c r="V189" s="3">
        <f>[1]TK1!D192</f>
        <v>0</v>
      </c>
      <c r="W189" s="3">
        <f>[1]TK1!E192</f>
        <v>0</v>
      </c>
      <c r="X189" s="3">
        <f>[1]TK1!F192</f>
        <v>0</v>
      </c>
      <c r="Y189" s="3">
        <f>[1]TK1!G192</f>
        <v>21</v>
      </c>
      <c r="Z189" s="3">
        <f>[1]TK1!H192</f>
        <v>0</v>
      </c>
      <c r="AA189" s="3">
        <f>[1]TK1!I192</f>
        <v>0</v>
      </c>
      <c r="AB189" s="3">
        <f>[1]TK1!J192</f>
        <v>21</v>
      </c>
      <c r="AC189" s="3">
        <f>[1]TK1!K192</f>
        <v>3</v>
      </c>
      <c r="AD189" s="3">
        <f>[1]TK1!L192</f>
        <v>0</v>
      </c>
      <c r="AE189" s="3">
        <f>[1]TK1!M192</f>
        <v>0</v>
      </c>
      <c r="AF189" s="3">
        <f>[1]TK1!N192</f>
        <v>3</v>
      </c>
      <c r="AG189" s="3">
        <f>[1]TK1!O192</f>
        <v>0</v>
      </c>
      <c r="AH189" s="3">
        <f>[1]TK1!P192</f>
        <v>0</v>
      </c>
      <c r="AI189" s="3">
        <f>[1]TK1!Q192</f>
        <v>0</v>
      </c>
      <c r="AJ189" s="3"/>
      <c r="AK189" s="3">
        <f>[1]TK1!S192</f>
        <v>24</v>
      </c>
    </row>
    <row r="190" spans="1:37">
      <c r="A190" s="7">
        <v>2</v>
      </c>
      <c r="B190" s="8" t="s">
        <v>215</v>
      </c>
      <c r="C190" s="8" t="s">
        <v>214</v>
      </c>
      <c r="D190" s="3">
        <v>120083</v>
      </c>
      <c r="E190" s="3">
        <v>120044</v>
      </c>
      <c r="F190" s="3">
        <v>114767</v>
      </c>
      <c r="G190" s="3">
        <v>124808</v>
      </c>
      <c r="H190" s="3">
        <v>115429</v>
      </c>
      <c r="I190" s="3">
        <v>117336</v>
      </c>
      <c r="J190" s="3">
        <v>119527</v>
      </c>
      <c r="K190" s="3">
        <v>128847</v>
      </c>
      <c r="L190" s="3">
        <v>102308</v>
      </c>
      <c r="M190" s="3">
        <v>94182</v>
      </c>
      <c r="N190" s="3">
        <v>96485</v>
      </c>
      <c r="O190" s="3">
        <v>160078</v>
      </c>
      <c r="P190" s="3">
        <v>167340</v>
      </c>
      <c r="Q190" s="3">
        <v>118881</v>
      </c>
      <c r="R190" s="3">
        <v>143595</v>
      </c>
      <c r="S190" s="3">
        <v>134590</v>
      </c>
      <c r="T190" s="3">
        <v>173000</v>
      </c>
      <c r="U190" s="3">
        <f>[1]TK1!C193</f>
        <v>16948</v>
      </c>
      <c r="V190" s="3">
        <f>[1]TK1!D193</f>
        <v>20308</v>
      </c>
      <c r="W190" s="3">
        <f>[1]TK1!E193</f>
        <v>19040</v>
      </c>
      <c r="X190" s="3">
        <f>[1]TK1!F193</f>
        <v>56296</v>
      </c>
      <c r="Y190" s="3">
        <f>[1]TK1!G193</f>
        <v>18110</v>
      </c>
      <c r="Z190" s="3">
        <f>[1]TK1!H193</f>
        <v>15814</v>
      </c>
      <c r="AA190" s="3">
        <f>[1]TK1!I193</f>
        <v>12524</v>
      </c>
      <c r="AB190" s="3">
        <f>[1]TK1!J193</f>
        <v>46448</v>
      </c>
      <c r="AC190" s="3">
        <f>[1]TK1!K193</f>
        <v>22503</v>
      </c>
      <c r="AD190" s="3">
        <f>[1]TK1!L193</f>
        <v>15452</v>
      </c>
      <c r="AE190" s="3">
        <f>[1]TK1!M193</f>
        <v>16383</v>
      </c>
      <c r="AF190" s="3">
        <f>[1]TK1!N193</f>
        <v>54338</v>
      </c>
      <c r="AG190" s="3">
        <f>[1]TK1!O193</f>
        <v>0</v>
      </c>
      <c r="AH190" s="3">
        <f>[1]TK1!P193</f>
        <v>0</v>
      </c>
      <c r="AI190" s="3">
        <f>[1]TK1!Q193</f>
        <v>0</v>
      </c>
      <c r="AJ190" s="3"/>
      <c r="AK190" s="3">
        <f>[1]TK1!S193</f>
        <v>157082</v>
      </c>
    </row>
    <row r="191" spans="1:37">
      <c r="A191" s="7">
        <v>3</v>
      </c>
      <c r="B191" s="8" t="s">
        <v>216</v>
      </c>
      <c r="C191" s="8" t="s">
        <v>214</v>
      </c>
      <c r="D191" s="3">
        <v>39936</v>
      </c>
      <c r="E191" s="3">
        <v>40841</v>
      </c>
      <c r="F191" s="3">
        <v>31017</v>
      </c>
      <c r="G191" s="3">
        <v>28158</v>
      </c>
      <c r="H191" s="3">
        <v>29078</v>
      </c>
      <c r="I191" s="3">
        <v>11303</v>
      </c>
      <c r="J191" s="3">
        <v>19088</v>
      </c>
      <c r="K191" s="3">
        <v>8285</v>
      </c>
      <c r="L191" s="3">
        <v>12608</v>
      </c>
      <c r="M191" s="3">
        <v>10432</v>
      </c>
      <c r="N191" s="3">
        <v>4348</v>
      </c>
      <c r="O191" s="3">
        <v>11356</v>
      </c>
      <c r="P191" s="3">
        <v>1621</v>
      </c>
      <c r="Q191" s="3">
        <v>0</v>
      </c>
      <c r="R191" s="3">
        <v>0</v>
      </c>
      <c r="S191" s="3">
        <v>0</v>
      </c>
      <c r="T191" s="3">
        <v>12000</v>
      </c>
      <c r="U191" s="3">
        <f>[1]TK1!C194</f>
        <v>0</v>
      </c>
      <c r="V191" s="3">
        <f>[1]TK1!D194</f>
        <v>0</v>
      </c>
      <c r="W191" s="3">
        <f>[1]TK1!E194</f>
        <v>0</v>
      </c>
      <c r="X191" s="3">
        <f>[1]TK1!F194</f>
        <v>0</v>
      </c>
      <c r="Y191" s="3">
        <f>[1]TK1!G194</f>
        <v>0</v>
      </c>
      <c r="Z191" s="3">
        <f>[1]TK1!H194</f>
        <v>0</v>
      </c>
      <c r="AA191" s="3">
        <f>[1]TK1!I194</f>
        <v>0</v>
      </c>
      <c r="AB191" s="3">
        <f>[1]TK1!J194</f>
        <v>0</v>
      </c>
      <c r="AC191" s="3">
        <f>[1]TK1!K194</f>
        <v>0</v>
      </c>
      <c r="AD191" s="3">
        <f>[1]TK1!L194</f>
        <v>0</v>
      </c>
      <c r="AE191" s="3">
        <f>[1]TK1!M194</f>
        <v>0</v>
      </c>
      <c r="AF191" s="3">
        <f>[1]TK1!N194</f>
        <v>0</v>
      </c>
      <c r="AG191" s="3">
        <f>[1]TK1!O194</f>
        <v>0</v>
      </c>
      <c r="AH191" s="3">
        <f>[1]TK1!P194</f>
        <v>0</v>
      </c>
      <c r="AI191" s="3">
        <f>[1]TK1!Q194</f>
        <v>0</v>
      </c>
      <c r="AJ191" s="3"/>
      <c r="AK191" s="3">
        <f>[1]TK1!S194</f>
        <v>0</v>
      </c>
    </row>
    <row r="192" spans="1:37">
      <c r="A192" s="7">
        <v>4</v>
      </c>
      <c r="B192" s="8" t="s">
        <v>217</v>
      </c>
      <c r="C192" s="8" t="s">
        <v>214</v>
      </c>
      <c r="D192" s="3"/>
      <c r="E192" s="3"/>
      <c r="F192" s="3"/>
      <c r="G192" s="3"/>
      <c r="H192" s="3"/>
      <c r="I192" s="3">
        <v>320</v>
      </c>
      <c r="J192" s="3">
        <v>0</v>
      </c>
      <c r="K192" s="3">
        <v>13414</v>
      </c>
      <c r="L192" s="3">
        <v>9595</v>
      </c>
      <c r="M192" s="3">
        <v>11354</v>
      </c>
      <c r="N192" s="3">
        <v>11430</v>
      </c>
      <c r="O192" s="3">
        <v>12030</v>
      </c>
      <c r="P192" s="3">
        <v>10986</v>
      </c>
      <c r="Q192" s="3">
        <v>12493</v>
      </c>
      <c r="R192" s="3">
        <v>22126</v>
      </c>
      <c r="S192" s="3">
        <v>18528</v>
      </c>
      <c r="T192" s="3">
        <v>12000</v>
      </c>
      <c r="U192" s="3">
        <f>[1]TK1!C195</f>
        <v>693</v>
      </c>
      <c r="V192" s="3">
        <f>[1]TK1!D195</f>
        <v>916</v>
      </c>
      <c r="W192" s="3">
        <f>[1]TK1!E195</f>
        <v>1552</v>
      </c>
      <c r="X192" s="3">
        <f>[1]TK1!F195</f>
        <v>3161</v>
      </c>
      <c r="Y192" s="3">
        <f>[1]TK1!G195</f>
        <v>800</v>
      </c>
      <c r="Z192" s="3">
        <f>[1]TK1!H195</f>
        <v>748</v>
      </c>
      <c r="AA192" s="3">
        <f>[1]TK1!I195</f>
        <v>236</v>
      </c>
      <c r="AB192" s="3">
        <f>[1]TK1!J195</f>
        <v>1784</v>
      </c>
      <c r="AC192" s="3">
        <f>[1]TK1!K195</f>
        <v>1327</v>
      </c>
      <c r="AD192" s="3">
        <f>[1]TK1!L195</f>
        <v>724</v>
      </c>
      <c r="AE192" s="3">
        <f>[1]TK1!M195</f>
        <v>1054</v>
      </c>
      <c r="AF192" s="3">
        <f>[1]TK1!N195</f>
        <v>3105</v>
      </c>
      <c r="AG192" s="3">
        <f>[1]TK1!O195</f>
        <v>0</v>
      </c>
      <c r="AH192" s="3">
        <f>[1]TK1!P195</f>
        <v>0</v>
      </c>
      <c r="AI192" s="3">
        <f>[1]TK1!Q195</f>
        <v>0</v>
      </c>
      <c r="AJ192" s="3"/>
      <c r="AK192" s="3">
        <f>[1]TK1!S195</f>
        <v>8050</v>
      </c>
    </row>
    <row r="193" spans="1:42">
      <c r="A193" s="7">
        <v>5</v>
      </c>
      <c r="B193" s="8" t="s">
        <v>218</v>
      </c>
      <c r="C193" s="8" t="s">
        <v>47</v>
      </c>
      <c r="D193" s="9">
        <v>89.351072051833725</v>
      </c>
      <c r="E193" s="9">
        <v>89.57</v>
      </c>
      <c r="F193" s="9">
        <v>89.91</v>
      </c>
      <c r="G193" s="9">
        <v>89.46945257233601</v>
      </c>
      <c r="H193" s="9">
        <v>90.136780487804884</v>
      </c>
      <c r="I193" s="9">
        <v>90.411530789958633</v>
      </c>
      <c r="J193" s="9">
        <v>90.398324885601028</v>
      </c>
      <c r="K193" s="9">
        <v>90.423837677362513</v>
      </c>
      <c r="L193" s="9">
        <v>90.435477571858229</v>
      </c>
      <c r="M193" s="9">
        <v>90.158884992036519</v>
      </c>
      <c r="N193" s="9">
        <v>92.294291840213702</v>
      </c>
      <c r="O193" s="9">
        <v>92.37571156768108</v>
      </c>
      <c r="P193" s="9">
        <v>92.0134194582144</v>
      </c>
      <c r="Q193" s="9">
        <v>92.11</v>
      </c>
      <c r="R193" s="9">
        <v>93.42</v>
      </c>
      <c r="S193" s="9">
        <v>92.442454902965537</v>
      </c>
      <c r="T193" s="12">
        <v>90</v>
      </c>
      <c r="U193" s="9">
        <f>([1]TK1!C190-[1]TK1!C199)/([1]TK1!C189-[1]TK1!C198)*100</f>
        <v>94.032952995431614</v>
      </c>
      <c r="V193" s="9">
        <f>([1]TK1!D190-[1]TK1!D199)/([1]TK1!D189-[1]TK1!D198)*100</f>
        <v>93.204199093638266</v>
      </c>
      <c r="W193" s="9">
        <f>([1]TK1!E190-[1]TK1!E199)/([1]TK1!E189-[1]TK1!E198)*100</f>
        <v>92.141882673942703</v>
      </c>
      <c r="X193" s="9">
        <f>([1]TK1!F190-[1]TK1!F199)/([1]TK1!F189-[1]TK1!F198)*100</f>
        <v>93.171420543375675</v>
      </c>
      <c r="Y193" s="9">
        <f>([1]TK1!G190-[1]TK1!G199)/([1]TK1!G189-[1]TK1!G198)*100</f>
        <v>93.905397885364494</v>
      </c>
      <c r="Z193" s="9">
        <f>([1]TK1!H190-[1]TK1!H199)/([1]TK1!H189-[1]TK1!H198)*100</f>
        <v>92.303912200715274</v>
      </c>
      <c r="AA193" s="9">
        <f>([1]TK1!I190-[1]TK1!I199)/([1]TK1!I189-[1]TK1!I198)*100</f>
        <v>91.286041498248451</v>
      </c>
      <c r="AB193" s="9">
        <f>([1]TK1!J190-[1]TK1!J199)/([1]TK1!J189-[1]TK1!J198)*100</f>
        <v>92.679024109598899</v>
      </c>
      <c r="AC193" s="9">
        <f>([1]TK1!K190-[1]TK1!K199)/([1]TK1!K189-[1]TK1!K198)*100</f>
        <v>92.069790628115655</v>
      </c>
      <c r="AD193" s="9">
        <f>([1]TK1!L190-[1]TK1!L199)/([1]TK1!L189-[1]TK1!L198)*100</f>
        <v>92.203302735150544</v>
      </c>
      <c r="AE193" s="9">
        <f>([1]TK1!M190-[1]TK1!M199)/([1]TK1!M189-[1]TK1!M198)*100</f>
        <v>93.922009654022091</v>
      </c>
      <c r="AF193" s="9">
        <f>([1]TK1!N190-[1]TK1!N199)/([1]TK1!N189-[1]TK1!N198)*100</f>
        <v>92.665922192376186</v>
      </c>
      <c r="AG193" s="9" t="e">
        <f>([1]TK1!O190-[1]TK1!O199)/([1]TK1!O189-[1]TK1!O198)*100</f>
        <v>#DIV/0!</v>
      </c>
      <c r="AH193" s="9" t="e">
        <f>([1]TK1!P190-[1]TK1!P199)/([1]TK1!P189-[1]TK1!P198)*100</f>
        <v>#DIV/0!</v>
      </c>
      <c r="AI193" s="9" t="e">
        <f>([1]TK1!Q190-[1]TK1!Q199)/([1]TK1!Q189-[1]TK1!Q198)*100</f>
        <v>#DIV/0!</v>
      </c>
      <c r="AJ193" s="9"/>
      <c r="AK193" s="9">
        <f>([1]TK1!S190-[1]TK1!S199)/([1]TK1!S189-[1]TK1!S198)*100</f>
        <v>92.853128683937442</v>
      </c>
    </row>
    <row r="194" spans="1:42">
      <c r="A194" s="7">
        <v>6</v>
      </c>
      <c r="B194" s="8" t="s">
        <v>219</v>
      </c>
      <c r="C194" s="8" t="s">
        <v>47</v>
      </c>
      <c r="D194" s="9">
        <v>92.493643267180275</v>
      </c>
      <c r="E194" s="9">
        <v>92.53</v>
      </c>
      <c r="F194" s="9">
        <v>92.67</v>
      </c>
      <c r="G194" s="9">
        <v>91.845085831201629</v>
      </c>
      <c r="H194" s="9">
        <v>92.608780487804879</v>
      </c>
      <c r="I194" s="9">
        <v>92.727682920143877</v>
      </c>
      <c r="J194" s="9">
        <v>92.716350281051945</v>
      </c>
      <c r="K194" s="9">
        <v>92.740588261667085</v>
      </c>
      <c r="L194" s="9">
        <v>92.674064202342464</v>
      </c>
      <c r="M194" s="9">
        <v>92.561284355768009</v>
      </c>
      <c r="N194" s="9">
        <v>93.732315776524132</v>
      </c>
      <c r="O194" s="9">
        <v>93.548708496276191</v>
      </c>
      <c r="P194" s="9">
        <v>93.60626479824316</v>
      </c>
      <c r="Q194" s="9">
        <v>93.92</v>
      </c>
      <c r="R194" s="9">
        <v>93.92</v>
      </c>
      <c r="S194" s="9">
        <v>94.633072206014219</v>
      </c>
      <c r="T194" s="12">
        <v>94</v>
      </c>
      <c r="U194" s="9">
        <f>([1]TK1!C190+[1]TK1!C191-[1]TK1!C199)/([1]TK1!C189-[1]TK1!C198)*100</f>
        <v>96.89306514820187</v>
      </c>
      <c r="V194" s="9">
        <f>([1]TK1!D190+[1]TK1!D191-[1]TK1!D199)/([1]TK1!D189-[1]TK1!D198)*100</f>
        <v>96.389850278218631</v>
      </c>
      <c r="W194" s="9">
        <f>([1]TK1!E190+[1]TK1!E191-[1]TK1!E199)/([1]TK1!E189-[1]TK1!E198)*100</f>
        <v>94.510728016867176</v>
      </c>
      <c r="X194" s="9">
        <f>([1]TK1!F190+[1]TK1!F191-[1]TK1!F199)/([1]TK1!F189-[1]TK1!F198)*100</f>
        <v>96.011498641921051</v>
      </c>
      <c r="Y194" s="9">
        <v>95.6</v>
      </c>
      <c r="Z194" s="9">
        <f>([1]TK1!H190+[1]TK1!H191-[1]TK1!H199)/([1]TK1!H189-[1]TK1!H198)*100</f>
        <v>94.780092276611427</v>
      </c>
      <c r="AA194" s="9">
        <f>([1]TK1!I190+[1]TK1!I191-[1]TK1!I199)/([1]TK1!I189-[1]TK1!I198)*100</f>
        <v>93.371059013742936</v>
      </c>
      <c r="AB194" s="9">
        <f>([1]TK1!J190+[1]TK1!J191-[1]TK1!J199)/([1]TK1!J189-[1]TK1!J198)*100</f>
        <v>95.311123496521105</v>
      </c>
      <c r="AC194" s="9">
        <f>([1]TK1!K190+[1]TK1!K191-[1]TK1!K199)/([1]TK1!K189-[1]TK1!K198)*100</f>
        <v>93.884346959122638</v>
      </c>
      <c r="AD194" s="9">
        <f>([1]TK1!L190+[1]TK1!L191-[1]TK1!L199)/([1]TK1!L189-[1]TK1!L198)*100</f>
        <v>94.457291009740032</v>
      </c>
      <c r="AE194" s="45">
        <v>95.74</v>
      </c>
      <c r="AF194" s="9">
        <f>([1]TK1!N190+[1]TK1!N191-[1]TK1!N199)/([1]TK1!N189-[1]TK1!N198)*100</f>
        <v>94.928017384480739</v>
      </c>
      <c r="AG194" s="9" t="e">
        <f>([1]TK1!O190+[1]TK1!O191-[1]TK1!O199)/([1]TK1!O189-[1]TK1!O198)*100</f>
        <v>#DIV/0!</v>
      </c>
      <c r="AH194" s="9" t="e">
        <f>([1]TK1!P190+[1]TK1!P191-[1]TK1!P199)/([1]TK1!P189-[1]TK1!P198)*100</f>
        <v>#DIV/0!</v>
      </c>
      <c r="AI194" s="9" t="e">
        <f>([1]TK1!Q190+[1]TK1!Q191-[1]TK1!Q199)/([1]TK1!Q189-[1]TK1!Q198)*100</f>
        <v>#DIV/0!</v>
      </c>
      <c r="AJ194" s="9" t="e">
        <f>([1]TK1!R190+[1]TK1!R191-[1]TK1!R199)/([1]TK1!R189-[1]TK1!R198)*100</f>
        <v>#DIV/0!</v>
      </c>
      <c r="AK194" s="9">
        <v>95.43</v>
      </c>
    </row>
    <row r="195" spans="1:42">
      <c r="A195" s="7">
        <v>7</v>
      </c>
      <c r="B195" s="3" t="s">
        <v>220</v>
      </c>
      <c r="C195" s="8" t="s">
        <v>214</v>
      </c>
      <c r="D195" s="9">
        <v>4.9816660883591384</v>
      </c>
      <c r="E195" s="9">
        <v>4.82</v>
      </c>
      <c r="F195" s="9">
        <v>4.82</v>
      </c>
      <c r="G195" s="9">
        <v>4.8356694520389691</v>
      </c>
      <c r="H195" s="9">
        <v>4.9344596784958332</v>
      </c>
      <c r="I195" s="9">
        <v>4.7889728910255132</v>
      </c>
      <c r="J195" s="9">
        <v>4.8704635139650172</v>
      </c>
      <c r="K195" s="9">
        <v>4.9265203186794295</v>
      </c>
      <c r="L195" s="9">
        <v>4.8762151083349599</v>
      </c>
      <c r="M195" s="9">
        <v>4.8016257967464782</v>
      </c>
      <c r="N195" s="9">
        <v>4.7814688771634044</v>
      </c>
      <c r="O195" s="9">
        <v>5.0219900097605787</v>
      </c>
      <c r="P195" s="9">
        <v>4.9795735149020901</v>
      </c>
      <c r="Q195" s="9">
        <v>4.74</v>
      </c>
      <c r="R195" s="9">
        <v>5</v>
      </c>
      <c r="S195" s="9">
        <v>5.0999999999999996</v>
      </c>
      <c r="T195" s="12">
        <v>5</v>
      </c>
      <c r="U195" s="9">
        <f>[1]TK1!C189/[1]TK1!C188</f>
        <v>5.1719220055710302</v>
      </c>
      <c r="V195" s="9">
        <f>[1]TK1!D189/[1]TK1!D188</f>
        <v>5.2724064925899787</v>
      </c>
      <c r="W195" s="9">
        <f>[1]TK1!E189/[1]TK1!E188</f>
        <v>5.0621320305649506</v>
      </c>
      <c r="X195" s="9">
        <f>[1]TK1!F189/[1]TK1!F188</f>
        <v>5.1763961751683594</v>
      </c>
      <c r="Y195" s="9">
        <f>[1]TK1!G189/[1]TK1!G188</f>
        <v>5.1383923552557613</v>
      </c>
      <c r="Z195" s="9">
        <f>[1]TK1!H189/[1]TK1!H188</f>
        <v>5.3607797497817868</v>
      </c>
      <c r="AA195" s="9">
        <f>[1]TK1!I189/[1]TK1!I188</f>
        <v>5.2056613664162157</v>
      </c>
      <c r="AB195" s="9">
        <f>[1]TK1!J189/[1]TK1!J188</f>
        <v>5.2274334636143678</v>
      </c>
      <c r="AC195" s="9">
        <f>[1]TK1!K189/[1]TK1!K188</f>
        <v>5.3313916543105275</v>
      </c>
      <c r="AD195" s="9">
        <f>[1]TK1!L189/[1]TK1!L188</f>
        <v>5.3747181157604613</v>
      </c>
      <c r="AE195" s="9">
        <f>[1]TK1!M189/[1]TK1!M188</f>
        <v>5.3274900398406375</v>
      </c>
      <c r="AF195" s="9">
        <f>[1]TK1!N189/[1]TK1!N188</f>
        <v>5.3440730944938686</v>
      </c>
      <c r="AG195" s="9" t="e">
        <f>[1]TK1!O189/[1]TK1!O188</f>
        <v>#DIV/0!</v>
      </c>
      <c r="AH195" s="9" t="e">
        <f>[1]TK1!P189/[1]TK1!P188</f>
        <v>#DIV/0!</v>
      </c>
      <c r="AI195" s="9" t="e">
        <f>[1]TK1!Q189/[1]TK1!Q188</f>
        <v>#DIV/0!</v>
      </c>
      <c r="AJ195" s="9"/>
      <c r="AK195" s="9">
        <f>[1]TK1!S189/[1]TK1!S188</f>
        <v>5.2484213684655563</v>
      </c>
      <c r="AP195" s="9">
        <f>[1]TK1!M189/[1]TK1!M188</f>
        <v>5.3274900398406375</v>
      </c>
    </row>
    <row r="196" spans="1:42">
      <c r="A196" s="7">
        <v>8</v>
      </c>
      <c r="B196" s="8" t="s">
        <v>221</v>
      </c>
      <c r="C196" s="8" t="s">
        <v>47</v>
      </c>
      <c r="D196" s="9">
        <v>83.999316939890718</v>
      </c>
      <c r="E196" s="9">
        <v>85.21</v>
      </c>
      <c r="F196" s="9">
        <v>85.35</v>
      </c>
      <c r="G196" s="9">
        <v>90.456621004566202</v>
      </c>
      <c r="H196" s="9">
        <v>89.651639344262293</v>
      </c>
      <c r="I196" s="9">
        <v>86.912100456621005</v>
      </c>
      <c r="J196" s="9">
        <v>90.045662100456624</v>
      </c>
      <c r="K196" s="9">
        <v>89.029680365296798</v>
      </c>
      <c r="L196" s="9">
        <v>89.89071038251366</v>
      </c>
      <c r="M196" s="9">
        <v>87.340182648401836</v>
      </c>
      <c r="N196" s="9">
        <v>89.041095890410958</v>
      </c>
      <c r="O196" s="9">
        <v>87.248858447488587</v>
      </c>
      <c r="P196" s="9">
        <v>87.522768670309659</v>
      </c>
      <c r="Q196" s="9">
        <v>91.232876712328775</v>
      </c>
      <c r="R196" s="9">
        <v>91.11</v>
      </c>
      <c r="S196" s="9">
        <v>74.984931506849321</v>
      </c>
      <c r="T196" s="12">
        <v>89.4</v>
      </c>
      <c r="U196" s="9">
        <f>[1]TK1!C196/[1]TK1!C336*100</f>
        <v>91.111111111111114</v>
      </c>
      <c r="V196" s="9">
        <f>[1]TK1!D196/[1]TK1!D336*100</f>
        <v>91.397849462365585</v>
      </c>
      <c r="W196" s="9">
        <f>[1]TK1!E196/[1]TK1!E336*100</f>
        <v>91.111111111111114</v>
      </c>
      <c r="X196" s="9">
        <f>[1]TK1!F196/[1]TK1!F336*100</f>
        <v>91.208791208791212</v>
      </c>
      <c r="Y196" s="9">
        <f>[1]TK1!G196/[1]TK1!G336*100</f>
        <v>91.397849462365585</v>
      </c>
      <c r="Z196" s="9">
        <f>[1]TK1!H196/[1]TK1!H336*100</f>
        <v>91.397849462365585</v>
      </c>
      <c r="AA196" s="9">
        <f>[1]TK1!I196/[1]TK1!I336*100</f>
        <v>60</v>
      </c>
      <c r="AB196" s="9">
        <f>[1]TK1!J196/[1]TK1!J336*100</f>
        <v>81.159420289855078</v>
      </c>
      <c r="AC196" s="9">
        <f>[1]TK1!K196/[1]TK1!K336*100</f>
        <v>91.397849462365585</v>
      </c>
      <c r="AD196" s="9">
        <f>[1]TK1!L196/[1]TK1!L336*100</f>
        <v>82.638888888888886</v>
      </c>
      <c r="AE196" s="9">
        <f>[1]TK1!M196/[1]TK1!M336*100</f>
        <v>77.284946236559136</v>
      </c>
      <c r="AF196" s="9">
        <f>[1]TK1!N196/[1]TK1!N336*100</f>
        <v>83.786231884057969</v>
      </c>
      <c r="AG196" s="9" t="e">
        <f>[1]TK1!O196/[1]TK1!O336*100</f>
        <v>#DIV/0!</v>
      </c>
      <c r="AH196" s="9" t="e">
        <f>[1]TK1!P196/[1]TK1!P336*100</f>
        <v>#DIV/0!</v>
      </c>
      <c r="AI196" s="9" t="e">
        <f>[1]TK1!Q196/[1]TK1!Q336*100</f>
        <v>#DIV/0!</v>
      </c>
      <c r="AJ196" s="9"/>
      <c r="AK196" s="9">
        <f>[1]TK1!S196/[1]TK1!S336*100</f>
        <v>85.36363636363636</v>
      </c>
    </row>
    <row r="197" spans="1:42">
      <c r="A197" s="7">
        <v>9</v>
      </c>
      <c r="B197" s="3" t="s">
        <v>222</v>
      </c>
      <c r="C197" s="8" t="s">
        <v>47</v>
      </c>
      <c r="D197" s="9">
        <v>86.608931354611357</v>
      </c>
      <c r="E197" s="9">
        <v>85.99</v>
      </c>
      <c r="F197" s="9">
        <v>83.82</v>
      </c>
      <c r="G197" s="9">
        <v>84.457849570923784</v>
      </c>
      <c r="H197" s="9">
        <v>87.397714285714272</v>
      </c>
      <c r="I197" s="9">
        <v>85.803769619754391</v>
      </c>
      <c r="J197" s="9">
        <v>86.936992900608516</v>
      </c>
      <c r="K197" s="9">
        <v>85.942941402743941</v>
      </c>
      <c r="L197" s="9">
        <v>83.881332320162116</v>
      </c>
      <c r="M197" s="9">
        <v>86.40047052672854</v>
      </c>
      <c r="N197" s="9">
        <v>83.131923076923087</v>
      </c>
      <c r="O197" s="9">
        <v>85.847834619913641</v>
      </c>
      <c r="P197" s="9">
        <v>86.526404786680544</v>
      </c>
      <c r="Q197" s="9">
        <v>66.817942942942949</v>
      </c>
      <c r="R197" s="9">
        <v>89.337744907227204</v>
      </c>
      <c r="S197" s="9">
        <v>81.60132629386726</v>
      </c>
      <c r="T197" s="12">
        <v>90</v>
      </c>
      <c r="U197" s="9">
        <f>[1]TK1!C197/[1]TK1!C196*100</f>
        <v>90.015243902439025</v>
      </c>
      <c r="V197" s="9">
        <f>[1]TK1!D197/[1]TK1!D196*100</f>
        <v>91.761764705882356</v>
      </c>
      <c r="W197" s="9">
        <f>[1]TK1!E197/[1]TK1!E196*100</f>
        <v>78.0625</v>
      </c>
      <c r="X197" s="9">
        <f>[1]TK1!F197/[1]TK1!F196*100</f>
        <v>86.67520080321286</v>
      </c>
      <c r="Y197" s="9">
        <f>[1]TK1!G197/[1]TK1!G196*100</f>
        <v>90.061764705882354</v>
      </c>
      <c r="Z197" s="9">
        <f>[1]TK1!H197/[1]TK1!H196*100</f>
        <v>91.633823529411757</v>
      </c>
      <c r="AA197" s="9">
        <f>[1]TK1!I197/[1]TK1!I196*100</f>
        <v>88.965277777777771</v>
      </c>
      <c r="AB197" s="9">
        <f>[1]TK1!J197/[1]TK1!J196*100</f>
        <v>90.393973214285708</v>
      </c>
      <c r="AC197" s="9">
        <f>[1]TK1!K197/[1]TK1!K196*100</f>
        <v>90.085294117647067</v>
      </c>
      <c r="AD197" s="9">
        <f>[1]TK1!L197/[1]TK1!L196*100</f>
        <v>91.448739495798321</v>
      </c>
      <c r="AE197" s="9">
        <f>[1]TK1!M197/[1]TK1!M196*100</f>
        <v>89.746086956521737</v>
      </c>
      <c r="AF197" s="9">
        <f>[1]TK1!N197/[1]TK1!N196*100</f>
        <v>90.418378378378378</v>
      </c>
      <c r="AG197" s="9" t="e">
        <f>[1]TK1!O197/[1]TK1!O196*100</f>
        <v>#DIV/0!</v>
      </c>
      <c r="AH197" s="9" t="e">
        <f>[1]TK1!P197/[1]TK1!P196*100</f>
        <v>#DIV/0!</v>
      </c>
      <c r="AI197" s="9" t="e">
        <f>[1]TK1!Q197/[1]TK1!Q196*100</f>
        <v>#DIV/0!</v>
      </c>
      <c r="AJ197" s="9"/>
      <c r="AK197" s="9">
        <f>[1]TK1!S197/[1]TK1!S196*100</f>
        <v>89.087149449769257</v>
      </c>
    </row>
    <row r="198" spans="1:42">
      <c r="A198" s="7">
        <v>10</v>
      </c>
      <c r="B198" s="8" t="s">
        <v>223</v>
      </c>
      <c r="C198" s="8" t="s">
        <v>224</v>
      </c>
      <c r="D198" s="11">
        <v>76.648869248439865</v>
      </c>
      <c r="E198" s="11">
        <v>73.099999999999994</v>
      </c>
      <c r="F198" s="11">
        <v>73</v>
      </c>
      <c r="G198" s="11">
        <v>68.91208587600336</v>
      </c>
      <c r="H198" s="11">
        <v>69.428280424318245</v>
      </c>
      <c r="I198" s="11">
        <v>67.786831418087857</v>
      </c>
      <c r="J198" s="11">
        <v>72.941951910219188</v>
      </c>
      <c r="K198" s="11">
        <v>71.244082599672666</v>
      </c>
      <c r="L198" s="11">
        <v>69.823214212918998</v>
      </c>
      <c r="M198" s="11">
        <v>69.590348687693819</v>
      </c>
      <c r="N198" s="11">
        <v>66.332474334121386</v>
      </c>
      <c r="O198" s="9">
        <v>74.706577152567689</v>
      </c>
      <c r="P198" s="9">
        <v>78.771224341002522</v>
      </c>
      <c r="Q198" s="9">
        <v>78.312537803669969</v>
      </c>
      <c r="R198" s="9">
        <v>79.468894420835227</v>
      </c>
      <c r="S198" s="9">
        <v>73.207366239251655</v>
      </c>
      <c r="T198" s="12">
        <v>69</v>
      </c>
      <c r="U198" s="9">
        <f>([1]TK1!C190+[1]TK1!C191)/[1]TK1!C197</f>
        <v>75.866215071972903</v>
      </c>
      <c r="V198" s="9">
        <f>([1]TK1!D190+[1]TK1!D191)/[1]TK1!D197</f>
        <v>80.983364851437543</v>
      </c>
      <c r="W198" s="9">
        <f>([1]TK1!E190+[1]TK1!E191)/[1]TK1!E197</f>
        <v>74.598215157491836</v>
      </c>
      <c r="X198" s="9">
        <f>([1]TK1!F190+[1]TK1!F191)/[1]TK1!F197</f>
        <v>77.339464950740478</v>
      </c>
      <c r="Y198" s="9">
        <f>([1]TK1!G190+[1]TK1!G191)/[1]TK1!G197</f>
        <v>71.34646157865518</v>
      </c>
      <c r="Z198" s="9">
        <f>([1]TK1!H190+[1]TK1!H191)/[1]TK1!H197</f>
        <v>56.014186901189198</v>
      </c>
      <c r="AA198" s="9">
        <f>([1]TK1!I190+[1]TK1!I191)/[1]TK1!I197</f>
        <v>72.916504046002132</v>
      </c>
      <c r="AB198" s="9">
        <f>([1]TK1!J190+[1]TK1!J191)/[1]TK1!J197</f>
        <v>65.821120343733412</v>
      </c>
      <c r="AC198" s="9">
        <f>([1]TK1!K190+[1]TK1!K191)/[1]TK1!K197</f>
        <v>77.171961213229281</v>
      </c>
      <c r="AD198" s="9">
        <f>([1]TK1!L190+[1]TK1!L191)/[1]TK1!L197</f>
        <v>74.656325810482983</v>
      </c>
      <c r="AE198" s="9">
        <f>([1]TK1!M190+[1]TK1!M191)/[1]TK1!M197</f>
        <v>74.428338888458271</v>
      </c>
      <c r="AF198" s="9">
        <f>([1]TK1!N190+[1]TK1!N191)/[1]TK1!N197</f>
        <v>75.507251575259758</v>
      </c>
      <c r="AG198" s="9" t="e">
        <f>([1]TK1!O190+[1]TK1!O191)/[1]TK1!O197</f>
        <v>#DIV/0!</v>
      </c>
      <c r="AH198" s="9" t="e">
        <f>([1]TK1!P190+[1]TK1!P191)/[1]TK1!P197</f>
        <v>#DIV/0!</v>
      </c>
      <c r="AI198" s="9" t="e">
        <f>([1]TK1!Q190+[1]TK1!Q191)/[1]TK1!Q197</f>
        <v>#DIV/0!</v>
      </c>
      <c r="AJ198" s="9"/>
      <c r="AK198" s="9">
        <f>([1]TK1!S190+[1]TK1!S191)/[1]TK1!S197</f>
        <v>73.011474008650836</v>
      </c>
    </row>
    <row r="199" spans="1:42">
      <c r="A199" s="7"/>
      <c r="B199" s="8"/>
      <c r="C199" s="3"/>
      <c r="D199" s="19"/>
      <c r="E199" s="19"/>
      <c r="F199" s="19"/>
      <c r="G199" s="19"/>
      <c r="H199" s="19"/>
      <c r="I199" s="19"/>
      <c r="J199" s="19"/>
      <c r="K199" s="3"/>
      <c r="L199" s="3"/>
      <c r="M199" s="3"/>
      <c r="N199" s="3"/>
      <c r="O199" s="3"/>
      <c r="P199" s="3"/>
      <c r="Q199" s="3"/>
      <c r="R199" s="3"/>
      <c r="S199" s="3"/>
      <c r="T199" s="3" t="s">
        <v>44</v>
      </c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 t="s">
        <v>225</v>
      </c>
    </row>
    <row r="200" spans="1:42">
      <c r="A200" s="7"/>
      <c r="B200" s="8"/>
      <c r="C200" s="8" t="s">
        <v>8</v>
      </c>
      <c r="D200" s="3" t="s">
        <v>9</v>
      </c>
      <c r="E200" s="6" t="s">
        <v>10</v>
      </c>
      <c r="F200" s="6" t="s">
        <v>11</v>
      </c>
      <c r="G200" s="6" t="s">
        <v>12</v>
      </c>
      <c r="H200" s="6" t="s">
        <v>13</v>
      </c>
      <c r="I200" s="3" t="s">
        <v>14</v>
      </c>
      <c r="J200" s="3" t="s">
        <v>15</v>
      </c>
      <c r="K200" s="3" t="s">
        <v>16</v>
      </c>
      <c r="L200" s="3" t="s">
        <v>17</v>
      </c>
      <c r="M200" s="3" t="s">
        <v>18</v>
      </c>
      <c r="N200" s="3" t="s">
        <v>19</v>
      </c>
      <c r="O200" s="3" t="s">
        <v>20</v>
      </c>
      <c r="P200" s="3" t="s">
        <v>21</v>
      </c>
      <c r="Q200" s="3" t="s">
        <v>22</v>
      </c>
      <c r="R200" s="3" t="s">
        <v>23</v>
      </c>
      <c r="S200" s="3" t="s">
        <v>24</v>
      </c>
      <c r="T200" s="3" t="s">
        <v>25</v>
      </c>
      <c r="U200" s="3" t="s">
        <v>26</v>
      </c>
      <c r="V200" s="3" t="s">
        <v>27</v>
      </c>
      <c r="W200" s="3" t="s">
        <v>28</v>
      </c>
      <c r="X200" s="3" t="s">
        <v>29</v>
      </c>
      <c r="Y200" s="3" t="s">
        <v>30</v>
      </c>
      <c r="Z200" s="3" t="s">
        <v>31</v>
      </c>
      <c r="AA200" s="3" t="s">
        <v>32</v>
      </c>
      <c r="AB200" s="3" t="s">
        <v>33</v>
      </c>
      <c r="AC200" s="3" t="s">
        <v>34</v>
      </c>
      <c r="AD200" s="3" t="s">
        <v>35</v>
      </c>
      <c r="AE200" s="3" t="s">
        <v>36</v>
      </c>
      <c r="AF200" s="3" t="s">
        <v>37</v>
      </c>
      <c r="AG200" s="3" t="s">
        <v>38</v>
      </c>
      <c r="AH200" s="3" t="s">
        <v>39</v>
      </c>
      <c r="AI200" s="3" t="s">
        <v>40</v>
      </c>
      <c r="AJ200" s="3"/>
      <c r="AK200" s="3" t="s">
        <v>42</v>
      </c>
    </row>
    <row r="201" spans="1:42">
      <c r="A201" s="7"/>
      <c r="B201" s="8" t="s">
        <v>226</v>
      </c>
      <c r="C201" s="8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3"/>
      <c r="R201" s="3"/>
      <c r="S201" s="3"/>
      <c r="T201" s="3"/>
      <c r="U201" s="11"/>
      <c r="V201" s="11"/>
      <c r="W201" s="11"/>
      <c r="X201" s="11"/>
      <c r="Y201" s="3"/>
      <c r="Z201" s="3"/>
      <c r="AA201" s="3"/>
      <c r="AB201" s="11"/>
      <c r="AC201" s="3"/>
      <c r="AD201" s="3"/>
      <c r="AE201" s="3"/>
      <c r="AF201" s="11"/>
      <c r="AG201" s="3"/>
      <c r="AH201" s="3"/>
      <c r="AI201" s="3"/>
      <c r="AJ201" s="3"/>
      <c r="AK201" s="3"/>
    </row>
    <row r="202" spans="1:42">
      <c r="A202" s="7"/>
      <c r="B202" s="8" t="s">
        <v>213</v>
      </c>
      <c r="C202" s="8" t="s">
        <v>214</v>
      </c>
      <c r="D202" s="11"/>
      <c r="E202" s="11"/>
      <c r="F202" s="11"/>
      <c r="G202" s="11"/>
      <c r="H202" s="11"/>
      <c r="I202" s="11"/>
      <c r="J202" s="11"/>
      <c r="K202" s="11"/>
      <c r="L202" s="11"/>
      <c r="M202" s="11">
        <v>0</v>
      </c>
      <c r="N202" s="11">
        <v>0</v>
      </c>
      <c r="O202" s="3">
        <v>0</v>
      </c>
      <c r="P202" s="3">
        <v>0</v>
      </c>
      <c r="Q202" s="3">
        <v>0</v>
      </c>
      <c r="R202" s="3">
        <v>791</v>
      </c>
      <c r="S202" s="3">
        <v>1207</v>
      </c>
      <c r="T202" s="3">
        <v>3000</v>
      </c>
      <c r="U202" s="3">
        <f>[1]TK1!C206</f>
        <v>0</v>
      </c>
      <c r="V202" s="3">
        <f>[1]TK1!D206</f>
        <v>13</v>
      </c>
      <c r="W202" s="3">
        <f>[1]TK1!E206</f>
        <v>224</v>
      </c>
      <c r="X202" s="11">
        <v>0</v>
      </c>
      <c r="Y202" s="3">
        <f>[1]TK1!G206</f>
        <v>205</v>
      </c>
      <c r="Z202" s="3">
        <f>[1]TK1!H206</f>
        <v>125</v>
      </c>
      <c r="AA202" s="3">
        <f>[1]TK1!I206</f>
        <v>148</v>
      </c>
      <c r="AB202" s="11"/>
      <c r="AC202" s="3">
        <f>[1]TK1!K206</f>
        <v>109</v>
      </c>
      <c r="AD202" s="3">
        <f>[1]TK1!L206</f>
        <v>184</v>
      </c>
      <c r="AE202" s="3">
        <f>[1]TK1!M206</f>
        <v>126</v>
      </c>
      <c r="AF202" s="11"/>
      <c r="AG202" s="3">
        <f>[1]TK1!O206</f>
        <v>0</v>
      </c>
      <c r="AH202" s="3">
        <f>[1]TK1!P206</f>
        <v>0</v>
      </c>
      <c r="AI202" s="3">
        <f>[1]TK1!Q206</f>
        <v>0</v>
      </c>
      <c r="AJ202" s="3"/>
      <c r="AK202" s="3">
        <f>[1]TK1!S206</f>
        <v>1134</v>
      </c>
    </row>
    <row r="203" spans="1:42">
      <c r="A203" s="7"/>
      <c r="B203" s="8" t="s">
        <v>215</v>
      </c>
      <c r="C203" s="8" t="s">
        <v>214</v>
      </c>
      <c r="D203" s="11"/>
      <c r="E203" s="11"/>
      <c r="F203" s="11"/>
      <c r="G203" s="11"/>
      <c r="H203" s="11"/>
      <c r="I203" s="11"/>
      <c r="J203" s="11"/>
      <c r="K203" s="11"/>
      <c r="L203" s="11"/>
      <c r="M203" s="11">
        <v>307448</v>
      </c>
      <c r="N203" s="11">
        <v>421314</v>
      </c>
      <c r="O203" s="3">
        <v>507332</v>
      </c>
      <c r="P203" s="3">
        <v>463824</v>
      </c>
      <c r="Q203" s="3">
        <v>36700</v>
      </c>
      <c r="R203" s="3">
        <v>383512</v>
      </c>
      <c r="S203" s="3">
        <v>448853</v>
      </c>
      <c r="T203" s="3">
        <v>474000</v>
      </c>
      <c r="U203" s="3">
        <f>[1]TK1!C207</f>
        <v>25836</v>
      </c>
      <c r="V203" s="3">
        <f>[1]TK1!D207</f>
        <v>55003</v>
      </c>
      <c r="W203" s="3">
        <f>[1]TK1!E207</f>
        <v>46589</v>
      </c>
      <c r="X203" s="3">
        <f>[1]TK1!F207</f>
        <v>127428</v>
      </c>
      <c r="Y203" s="3">
        <f>[1]TK1!G207</f>
        <v>59395</v>
      </c>
      <c r="Z203" s="3">
        <f>[1]TK1!H207</f>
        <v>56497</v>
      </c>
      <c r="AA203" s="3">
        <f>[1]TK1!I207</f>
        <v>48333</v>
      </c>
      <c r="AB203" s="3">
        <f>[1]TK1!J207</f>
        <v>164225</v>
      </c>
      <c r="AC203" s="3">
        <f>[1]TK1!K207</f>
        <v>48118</v>
      </c>
      <c r="AD203" s="3">
        <f>[1]TK1!L207</f>
        <v>48489</v>
      </c>
      <c r="AE203" s="3">
        <f>[1]TK1!M207</f>
        <v>42637</v>
      </c>
      <c r="AF203" s="3">
        <f>[1]TK1!N207</f>
        <v>139244</v>
      </c>
      <c r="AG203" s="3">
        <f>[1]TK1!O207</f>
        <v>0</v>
      </c>
      <c r="AH203" s="3">
        <f>[1]TK1!P207</f>
        <v>0</v>
      </c>
      <c r="AI203" s="3">
        <f>[1]TK1!Q207</f>
        <v>0</v>
      </c>
      <c r="AJ203" s="3"/>
      <c r="AK203" s="3">
        <f>[1]TK1!S207</f>
        <v>430897</v>
      </c>
    </row>
    <row r="204" spans="1:42">
      <c r="A204" s="7"/>
      <c r="B204" s="8" t="s">
        <v>227</v>
      </c>
      <c r="C204" s="8" t="s">
        <v>214</v>
      </c>
      <c r="D204" s="11"/>
      <c r="E204" s="11"/>
      <c r="F204" s="11"/>
      <c r="G204" s="11"/>
      <c r="H204" s="11"/>
      <c r="I204" s="11"/>
      <c r="J204" s="11"/>
      <c r="K204" s="11"/>
      <c r="L204" s="11"/>
      <c r="M204" s="11">
        <v>546</v>
      </c>
      <c r="N204" s="11">
        <v>934</v>
      </c>
      <c r="O204" s="3">
        <v>6071</v>
      </c>
      <c r="P204" s="3">
        <v>9259</v>
      </c>
      <c r="Q204" s="3">
        <v>7943</v>
      </c>
      <c r="R204" s="3">
        <v>7463</v>
      </c>
      <c r="S204" s="3">
        <v>1434</v>
      </c>
      <c r="T204" s="3">
        <v>80000</v>
      </c>
      <c r="U204" s="3">
        <f>[1]TK1!C208</f>
        <v>0</v>
      </c>
      <c r="V204" s="3">
        <f>[1]TK1!D208</f>
        <v>1392</v>
      </c>
      <c r="W204" s="3">
        <f>[1]TK1!E208</f>
        <v>724</v>
      </c>
      <c r="X204" s="3">
        <f>[1]TK1!F208</f>
        <v>2116</v>
      </c>
      <c r="Y204" s="3">
        <f>[1]TK1!G208</f>
        <v>515</v>
      </c>
      <c r="Z204" s="3">
        <f>[1]TK1!H208</f>
        <v>307</v>
      </c>
      <c r="AA204" s="3">
        <f>[1]TK1!I208</f>
        <v>240</v>
      </c>
      <c r="AB204" s="3">
        <f>[1]TK1!J208</f>
        <v>1062</v>
      </c>
      <c r="AC204" s="3">
        <f>[1]TK1!K208</f>
        <v>787</v>
      </c>
      <c r="AD204" s="3">
        <f>[1]TK1!L208</f>
        <v>292</v>
      </c>
      <c r="AE204" s="3">
        <f>[1]TK1!M208</f>
        <v>392</v>
      </c>
      <c r="AF204" s="3">
        <f>[1]TK1!N208</f>
        <v>1471</v>
      </c>
      <c r="AG204" s="3">
        <f>[1]TK1!O208</f>
        <v>0</v>
      </c>
      <c r="AH204" s="3">
        <f>[1]TK1!P208</f>
        <v>0</v>
      </c>
      <c r="AI204" s="3">
        <f>[1]TK1!Q208</f>
        <v>0</v>
      </c>
      <c r="AJ204" s="3"/>
      <c r="AK204" s="3">
        <f>[1]TK1!S208</f>
        <v>4649</v>
      </c>
    </row>
    <row r="205" spans="1:42">
      <c r="A205" s="7"/>
      <c r="B205" s="8" t="s">
        <v>217</v>
      </c>
      <c r="C205" s="8" t="s">
        <v>214</v>
      </c>
      <c r="D205" s="11"/>
      <c r="E205" s="11"/>
      <c r="F205" s="11"/>
      <c r="G205" s="11"/>
      <c r="H205" s="11"/>
      <c r="I205" s="11"/>
      <c r="J205" s="11"/>
      <c r="K205" s="11"/>
      <c r="L205" s="11"/>
      <c r="M205" s="11">
        <v>117033</v>
      </c>
      <c r="N205" s="11">
        <v>231472</v>
      </c>
      <c r="O205" s="3">
        <v>351502</v>
      </c>
      <c r="P205" s="3">
        <v>350099</v>
      </c>
      <c r="Q205" s="3">
        <v>210999</v>
      </c>
      <c r="R205" s="3">
        <v>416064</v>
      </c>
      <c r="S205" s="3">
        <v>275374</v>
      </c>
      <c r="T205" s="3">
        <v>85000</v>
      </c>
      <c r="U205" s="3">
        <f>[1]TK1!C209</f>
        <v>23378</v>
      </c>
      <c r="V205" s="3">
        <f>[1]TK1!D209</f>
        <v>26666</v>
      </c>
      <c r="W205" s="3">
        <f>[1]TK1!E209</f>
        <v>21413</v>
      </c>
      <c r="X205" s="3">
        <f>[1]TK1!F209</f>
        <v>71457</v>
      </c>
      <c r="Y205" s="3">
        <f>[1]TK1!G209</f>
        <v>26017</v>
      </c>
      <c r="Z205" s="3">
        <f>[1]TK1!H209</f>
        <v>22776</v>
      </c>
      <c r="AA205" s="3">
        <f>[1]TK1!I209</f>
        <v>30180</v>
      </c>
      <c r="AB205" s="3">
        <f>[1]TK1!J209</f>
        <v>78973</v>
      </c>
      <c r="AC205" s="3">
        <f>[1]TK1!K209</f>
        <v>26825</v>
      </c>
      <c r="AD205" s="3">
        <f>[1]TK1!L209</f>
        <v>2160</v>
      </c>
      <c r="AE205" s="3">
        <f>[1]TK1!M209</f>
        <v>5046</v>
      </c>
      <c r="AF205" s="3">
        <f>[1]TK1!N209</f>
        <v>34031</v>
      </c>
      <c r="AG205" s="3">
        <f>[1]TK1!O209</f>
        <v>0</v>
      </c>
      <c r="AH205" s="3">
        <f>[1]TK1!P209</f>
        <v>0</v>
      </c>
      <c r="AI205" s="3">
        <f>[1]TK1!Q209</f>
        <v>0</v>
      </c>
      <c r="AJ205" s="3"/>
      <c r="AK205" s="3">
        <f>[1]TK1!S209</f>
        <v>184461</v>
      </c>
    </row>
    <row r="206" spans="1:42">
      <c r="A206" s="7"/>
      <c r="B206" s="8" t="s">
        <v>218</v>
      </c>
      <c r="C206" s="8" t="s">
        <v>47</v>
      </c>
      <c r="D206" s="11"/>
      <c r="E206" s="11"/>
      <c r="F206" s="11"/>
      <c r="G206" s="11"/>
      <c r="H206" s="11"/>
      <c r="I206" s="11"/>
      <c r="J206" s="11"/>
      <c r="K206" s="11"/>
      <c r="L206" s="11"/>
      <c r="M206" s="11">
        <v>89.287106922395679</v>
      </c>
      <c r="N206" s="11">
        <v>90.461043904914987</v>
      </c>
      <c r="O206" s="9">
        <v>90.57322120270409</v>
      </c>
      <c r="P206" s="9">
        <v>89.999011932967889</v>
      </c>
      <c r="Q206" s="9">
        <v>90.32585870453272</v>
      </c>
      <c r="R206" s="9">
        <v>90.620584824952005</v>
      </c>
      <c r="S206" s="9">
        <v>90.253844017243594</v>
      </c>
      <c r="T206" s="12">
        <v>90.71</v>
      </c>
      <c r="U206" s="9">
        <f>([1]TK1!C204)/([1]TK1!C203)*100</f>
        <v>88.732081342371373</v>
      </c>
      <c r="V206" s="9">
        <f>([1]TK1!D204)/([1]TK1!D203)*100</f>
        <v>90.1467008465996</v>
      </c>
      <c r="W206" s="9">
        <f>([1]TK1!E204)/([1]TK1!E203)*100</f>
        <v>90.614910124813264</v>
      </c>
      <c r="X206" s="9">
        <f>([1]TK1!F204)/([1]TK1!F203)*100</f>
        <v>89.983466759484855</v>
      </c>
      <c r="Y206" s="9">
        <f>([1]TK1!G204)/([1]TK1!G203)*100</f>
        <v>90.995629044143627</v>
      </c>
      <c r="Z206" s="9">
        <f>([1]TK1!H204)/([1]TK1!H203)*100</f>
        <v>89.383499449839221</v>
      </c>
      <c r="AA206" s="9">
        <f>([1]TK1!I204)/([1]TK1!I203)*100</f>
        <v>90.030668174699841</v>
      </c>
      <c r="AB206" s="9">
        <f>([1]TK1!J204)/([1]TK1!J203)*100</f>
        <v>90.153676429254034</v>
      </c>
      <c r="AC206" s="9">
        <f>([1]TK1!K204)/([1]TK1!K203)*100</f>
        <v>87.847902260948345</v>
      </c>
      <c r="AD206" s="9">
        <f>([1]TK1!L204)/([1]TK1!L203)*100</f>
        <v>89.714925930536538</v>
      </c>
      <c r="AE206" s="9">
        <f>([1]TK1!M204)/([1]TK1!M203)*100</f>
        <v>90.209738106768995</v>
      </c>
      <c r="AF206" s="9">
        <f>([1]TK1!N204)/([1]TK1!N203)*100</f>
        <v>89.289831974092465</v>
      </c>
      <c r="AG206" s="9" t="e">
        <f>([1]TK1!O204)/([1]TK1!O203)*100</f>
        <v>#DIV/0!</v>
      </c>
      <c r="AH206" s="9" t="e">
        <f>([1]TK1!P204)/([1]TK1!P203)*100</f>
        <v>#DIV/0!</v>
      </c>
      <c r="AI206" s="9" t="e">
        <f>([1]TK1!Q204)/([1]TK1!Q203)*100</f>
        <v>#DIV/0!</v>
      </c>
      <c r="AJ206" s="9"/>
      <c r="AK206" s="9">
        <f>([1]TK1!S204)/([1]TK1!S203)*100</f>
        <v>89.829952823902559</v>
      </c>
    </row>
    <row r="207" spans="1:42">
      <c r="A207" s="7"/>
      <c r="B207" s="8" t="s">
        <v>219</v>
      </c>
      <c r="C207" s="8"/>
      <c r="D207" s="11"/>
      <c r="E207" s="11"/>
      <c r="F207" s="11"/>
      <c r="G207" s="11"/>
      <c r="H207" s="11"/>
      <c r="I207" s="11"/>
      <c r="J207" s="11"/>
      <c r="K207" s="11"/>
      <c r="L207" s="11"/>
      <c r="M207" s="11">
        <v>89.287106922395679</v>
      </c>
      <c r="N207" s="11">
        <v>90.461043904914987</v>
      </c>
      <c r="O207" s="9">
        <v>90.57322120270409</v>
      </c>
      <c r="P207" s="9">
        <v>89.999011932967889</v>
      </c>
      <c r="Q207" s="9">
        <v>90.32585870453272</v>
      </c>
      <c r="R207" s="9">
        <v>90.620584824952005</v>
      </c>
      <c r="S207" s="9">
        <v>90.376351249122123</v>
      </c>
      <c r="T207" s="12">
        <v>91</v>
      </c>
      <c r="U207" s="9">
        <f>([1]TK1!C204+[1]TK1!C205)/([1]TK1!C203)*100</f>
        <v>89.474756454420856</v>
      </c>
      <c r="V207" s="9">
        <f>([1]TK1!D204+[1]TK1!D205)/([1]TK1!D203)*100</f>
        <v>90.613084595334001</v>
      </c>
      <c r="W207" s="9">
        <f>([1]TK1!E204+[1]TK1!E205)/([1]TK1!E203)*100</f>
        <v>90.614910124813264</v>
      </c>
      <c r="X207" s="9">
        <f>([1]TK1!F204+[1]TK1!F205)/([1]TK1!F203)*100</f>
        <v>90.346327880264539</v>
      </c>
      <c r="Y207" s="9">
        <f>([1]TK1!G204+[1]TK1!G205)/([1]TK1!G203)*100</f>
        <v>91.053168185901896</v>
      </c>
      <c r="Z207" s="9">
        <f>([1]TK1!H204+[1]TK1!H205)/([1]TK1!H203)*100</f>
        <v>89.872768644040633</v>
      </c>
      <c r="AA207" s="9">
        <f>([1]TK1!I204+[1]TK1!I205)/([1]TK1!I203)*100</f>
        <v>90.50047851052723</v>
      </c>
      <c r="AB207" s="9">
        <f>([1]TK1!J204+[1]TK1!J205)/([1]TK1!J203)*100</f>
        <v>90.486396087469785</v>
      </c>
      <c r="AC207" s="9">
        <f>([1]TK1!K204+[1]TK1!K205)/([1]TK1!K203)*100</f>
        <v>88.787188403480016</v>
      </c>
      <c r="AD207" s="9">
        <f>([1]TK1!L204+[1]TK1!L205)/([1]TK1!L203)*100</f>
        <v>89.714925930536538</v>
      </c>
      <c r="AE207" s="9">
        <f>([1]TK1!M204+[1]TK1!M205)/([1]TK1!M203)*100</f>
        <v>90.209738106768995</v>
      </c>
      <c r="AF207" s="9">
        <f>([1]TK1!N204+[1]TK1!N205)/([1]TK1!N203)*100</f>
        <v>89.588667152715374</v>
      </c>
      <c r="AG207" s="9" t="e">
        <f>([1]TK1!O204+[1]TK1!O205)/([1]TK1!O203)*100</f>
        <v>#DIV/0!</v>
      </c>
      <c r="AH207" s="9" t="e">
        <f>([1]TK1!P204+[1]TK1!P205)/([1]TK1!P203)*100</f>
        <v>#DIV/0!</v>
      </c>
      <c r="AI207" s="9" t="e">
        <f>([1]TK1!Q204+[1]TK1!Q205)/([1]TK1!Q203)*100</f>
        <v>#DIV/0!</v>
      </c>
      <c r="AJ207" s="9"/>
      <c r="AK207" s="9">
        <f>([1]TK1!S204+[1]TK1!S205)/([1]TK1!S203)*100</f>
        <v>90.161251632506207</v>
      </c>
    </row>
    <row r="208" spans="1:42">
      <c r="A208" s="7"/>
      <c r="B208" s="3" t="s">
        <v>220</v>
      </c>
      <c r="C208" s="8" t="s">
        <v>214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>
        <v>9.620932487640486</v>
      </c>
      <c r="N208" s="11">
        <v>11.72284074681335</v>
      </c>
      <c r="O208" s="9">
        <v>12.185703663820732</v>
      </c>
      <c r="P208" s="9">
        <v>12.021256325550896</v>
      </c>
      <c r="Q208" s="9">
        <v>11.343230616048405</v>
      </c>
      <c r="R208" s="9">
        <v>12.227345295112826</v>
      </c>
      <c r="S208" s="9">
        <v>12.42702998498646</v>
      </c>
      <c r="T208" s="12">
        <v>12.2</v>
      </c>
      <c r="U208" s="9">
        <f>[1]TK1!C203/[1]TK1!C202</f>
        <v>13.566331658291457</v>
      </c>
      <c r="V208" s="9">
        <f>[1]TK1!D203/[1]TK1!D202</f>
        <v>12.79344081576409</v>
      </c>
      <c r="W208" s="9">
        <f>[1]TK1!E203/[1]TK1!E202</f>
        <v>12.405320579883426</v>
      </c>
      <c r="X208" s="9">
        <f>[1]TK1!F203/[1]TK1!F202</f>
        <v>12.820169567157519</v>
      </c>
      <c r="Y208" s="9">
        <f>[1]TK1!G203/[1]TK1!G202</f>
        <v>12.501640585562846</v>
      </c>
      <c r="Z208" s="9">
        <f>[1]TK1!H203/[1]TK1!H202</f>
        <v>12.352731591448931</v>
      </c>
      <c r="AA208" s="9">
        <f>[1]TK1!I203/[1]TK1!I202</f>
        <v>12.634240175872492</v>
      </c>
      <c r="AB208" s="9">
        <f>[1]TK1!J203/[1]TK1!J202</f>
        <v>12.494468832309042</v>
      </c>
      <c r="AC208" s="9">
        <f>[1]TK1!K203/[1]TK1!K202</f>
        <v>12.282277859597448</v>
      </c>
      <c r="AD208" s="9">
        <f>[1]TK1!L203/[1]TK1!L202</f>
        <v>12.387047031611411</v>
      </c>
      <c r="AE208" s="9">
        <f>[1]TK1!M203/[1]TK1!M202</f>
        <v>12.133343378032244</v>
      </c>
      <c r="AF208" s="9">
        <f>[1]TK1!N203/[1]TK1!N202</f>
        <v>12.266209119742109</v>
      </c>
      <c r="AG208" s="9" t="e">
        <f>[1]TK1!O203/[1]TK1!O202</f>
        <v>#DIV/0!</v>
      </c>
      <c r="AH208" s="9" t="e">
        <f>[1]TK1!P203/[1]TK1!P202</f>
        <v>#DIV/0!</v>
      </c>
      <c r="AI208" s="9" t="e">
        <f>[1]TK1!Q203/[1]TK1!Q202</f>
        <v>#DIV/0!</v>
      </c>
      <c r="AJ208" s="9"/>
      <c r="AK208" s="9">
        <f>[1]TK1!S203/[1]TK1!S202</f>
        <v>12.518643332610401</v>
      </c>
    </row>
    <row r="209" spans="1:37">
      <c r="A209" s="7"/>
      <c r="B209" s="8" t="s">
        <v>221</v>
      </c>
      <c r="C209" s="8" t="s">
        <v>47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>
        <v>87.534246575342465</v>
      </c>
      <c r="N209" s="11">
        <v>88.458904109589042</v>
      </c>
      <c r="O209" s="9">
        <v>87.694063926940629</v>
      </c>
      <c r="P209" s="9">
        <v>88.410746812386151</v>
      </c>
      <c r="Q209" s="9">
        <v>84.335616438356155</v>
      </c>
      <c r="R209" s="9">
        <v>92.44</v>
      </c>
      <c r="S209" s="9">
        <v>83.703995433789956</v>
      </c>
      <c r="T209" s="12">
        <v>88.8</v>
      </c>
      <c r="U209" s="9">
        <f>[1]TK1!C210/[1]TK1!C336*100</f>
        <v>52.708333333333336</v>
      </c>
      <c r="V209" s="9">
        <f>[1]TK1!D210/[1]TK1!D336*100</f>
        <v>93.51478494623656</v>
      </c>
      <c r="W209" s="9">
        <f>[1]TK1!E210/[1]TK1!E336*100</f>
        <v>92.656944444444449</v>
      </c>
      <c r="X209" s="9">
        <f>[1]TK1!F210/[1]TK1!F336*100</f>
        <v>79.779304029304029</v>
      </c>
      <c r="Y209" s="9">
        <f>[1]TK1!G210/[1]TK1!G336*100</f>
        <v>95.900537634408607</v>
      </c>
      <c r="Z209" s="9">
        <f>[1]TK1!H210/[1]TK1!H336*100</f>
        <v>93.971774193548384</v>
      </c>
      <c r="AA209" s="9">
        <f>[1]TK1!I210/[1]TK1!I336*100</f>
        <v>95.3125</v>
      </c>
      <c r="AB209" s="9">
        <f>[1]TK1!J210/[1]TK1!J336*100</f>
        <v>95.058876811594203</v>
      </c>
      <c r="AC209" s="9">
        <f>[1]TK1!K210/[1]TK1!K336*100</f>
        <v>77.240591397849457</v>
      </c>
      <c r="AD209" s="9">
        <f>[1]TK1!L210/[1]TK1!L336*100</f>
        <v>80.347222222222229</v>
      </c>
      <c r="AE209" s="9">
        <f>[1]TK1!M210/[1]TK1!M336*100</f>
        <v>82.705645161290334</v>
      </c>
      <c r="AF209" s="9">
        <f>[1]TK1!N210/[1]TK1!N336*100</f>
        <v>80.095108695652172</v>
      </c>
      <c r="AG209" s="9" t="e">
        <f>[1]TK1!O210/[1]TK1!O336*100</f>
        <v>#DIV/0!</v>
      </c>
      <c r="AH209" s="9" t="e">
        <f>[1]TK1!P210/[1]TK1!P336*100</f>
        <v>#DIV/0!</v>
      </c>
      <c r="AI209" s="9" t="e">
        <f>[1]TK1!Q210/[1]TK1!Q336*100</f>
        <v>#DIV/0!</v>
      </c>
      <c r="AJ209" s="9"/>
      <c r="AK209" s="9">
        <f>[1]TK1!S210/[1]TK1!S336*100</f>
        <v>84.99666666666667</v>
      </c>
    </row>
    <row r="210" spans="1:37">
      <c r="A210" s="7"/>
      <c r="B210" s="3" t="s">
        <v>222</v>
      </c>
      <c r="C210" s="8" t="s">
        <v>47</v>
      </c>
      <c r="D210" s="11"/>
      <c r="E210" s="11"/>
      <c r="F210" s="11"/>
      <c r="G210" s="11"/>
      <c r="H210" s="11"/>
      <c r="I210" s="11"/>
      <c r="J210" s="11"/>
      <c r="K210" s="11"/>
      <c r="L210" s="11"/>
      <c r="M210" s="11">
        <v>75.516171100678136</v>
      </c>
      <c r="N210" s="11">
        <v>81.924764485740084</v>
      </c>
      <c r="O210" s="9">
        <v>89.906014058838835</v>
      </c>
      <c r="P210" s="9">
        <v>91.953901622456868</v>
      </c>
      <c r="Q210" s="9">
        <v>89.673515796312842</v>
      </c>
      <c r="R210" s="9">
        <v>94.519327536997011</v>
      </c>
      <c r="S210" s="9">
        <v>91.438355697329811</v>
      </c>
      <c r="T210" s="9">
        <v>90</v>
      </c>
      <c r="U210" s="9">
        <f>[1]TK1!C211/[1]TK1!C210*100</f>
        <v>94.20289855072464</v>
      </c>
      <c r="V210" s="9">
        <f>[1]TK1!D211/[1]TK1!D210*100</f>
        <v>94.010779734099899</v>
      </c>
      <c r="W210" s="9">
        <f>[1]TK1!E211/[1]TK1!E210*100</f>
        <v>91.223599598279208</v>
      </c>
      <c r="X210" s="9">
        <f>[1]TK1!F211/[1]TK1!F210*100</f>
        <v>92.985456674204244</v>
      </c>
      <c r="Y210" s="9">
        <f>[1]TK1!G211/[1]TK1!G210*100</f>
        <v>94.961457603363698</v>
      </c>
      <c r="Z210" s="9">
        <f>[1]TK1!H211/[1]TK1!H210*100</f>
        <v>91.021955231352365</v>
      </c>
      <c r="AA210" s="9">
        <f>[1]TK1!I211/[1]TK1!I210*100</f>
        <v>91.900910746812386</v>
      </c>
      <c r="AB210" s="9">
        <f>[1]TK1!J211/[1]TK1!J210*100</f>
        <v>92.648530182476534</v>
      </c>
      <c r="AC210" s="9">
        <f>[1]TK1!K211/[1]TK1!K210*100</f>
        <v>92.313849687646837</v>
      </c>
      <c r="AD210" s="9">
        <f>[1]TK1!L211/[1]TK1!L210*100</f>
        <v>95.664649956784785</v>
      </c>
      <c r="AE210" s="9">
        <f>[1]TK1!M211/[1]TK1!M210*100</f>
        <v>92.321193505923645</v>
      </c>
      <c r="AF210" s="9">
        <f>[1]TK1!N211/[1]TK1!N210*100</f>
        <v>93.412496465931582</v>
      </c>
      <c r="AG210" s="9" t="e">
        <f>[1]TK1!O211/[1]TK1!O210*100</f>
        <v>#DIV/0!</v>
      </c>
      <c r="AH210" s="9" t="e">
        <f>[1]TK1!P211/[1]TK1!P210*100</f>
        <v>#DIV/0!</v>
      </c>
      <c r="AI210" s="9" t="e">
        <f>[1]TK1!Q211/[1]TK1!Q210*100</f>
        <v>#DIV/0!</v>
      </c>
      <c r="AJ210" s="9"/>
      <c r="AK210" s="9">
        <f>[1]TK1!S211/[1]TK1!S210*100</f>
        <v>92.994021155909849</v>
      </c>
    </row>
    <row r="211" spans="1:37">
      <c r="A211" s="7"/>
      <c r="B211" s="8" t="s">
        <v>223</v>
      </c>
      <c r="C211" s="8" t="s">
        <v>224</v>
      </c>
      <c r="D211" s="11"/>
      <c r="E211" s="11"/>
      <c r="F211" s="11"/>
      <c r="G211" s="11"/>
      <c r="H211" s="11"/>
      <c r="I211" s="11"/>
      <c r="J211" s="11"/>
      <c r="K211" s="11"/>
      <c r="L211" s="11"/>
      <c r="M211" s="11">
        <v>93.321739791178089</v>
      </c>
      <c r="N211" s="11">
        <v>126.33282663999309</v>
      </c>
      <c r="O211" s="11">
        <v>124.65663179171169</v>
      </c>
      <c r="P211" s="11">
        <v>122.44893672438853</v>
      </c>
      <c r="Q211" s="11">
        <v>121.15518724810941</v>
      </c>
      <c r="R211" s="11">
        <v>124.87261390230444</v>
      </c>
      <c r="S211" s="11">
        <v>119.38344651281417</v>
      </c>
      <c r="T211" s="11">
        <v>131</v>
      </c>
      <c r="U211" s="11">
        <f>([1]TK1!C204+[1]TK1!C205)/[1]TK1!C211</f>
        <v>135.13566433566433</v>
      </c>
      <c r="V211" s="11">
        <f>([1]TK1!D204+[1]TK1!D205)/[1]TK1!D211</f>
        <v>128.6188233855186</v>
      </c>
      <c r="W211" s="11">
        <f>([1]TK1!E204+[1]TK1!E205)/[1]TK1!E211</f>
        <v>123.58933911728941</v>
      </c>
      <c r="X211" s="11">
        <f>([1]TK1!F204+[1]TK1!F205)/[1]TK1!F211</f>
        <v>128.1675883863322</v>
      </c>
      <c r="Y211" s="11">
        <f>([1]TK1!G204+[1]TK1!G205)/[1]TK1!G211</f>
        <v>133.12670651612427</v>
      </c>
      <c r="Z211" s="11">
        <f>([1]TK1!H204+[1]TK1!H205)/[1]TK1!H211</f>
        <v>132.19931487476038</v>
      </c>
      <c r="AA211" s="11">
        <f>([1]TK1!I204+[1]TK1!I205)/[1]TK1!I211</f>
        <v>131.95014825503037</v>
      </c>
      <c r="AB211" s="11">
        <f>([1]TK1!J204+[1]TK1!J205)/[1]TK1!J211</f>
        <v>132.44163324076931</v>
      </c>
      <c r="AC211" s="11">
        <f>([1]TK1!K204+[1]TK1!K205)/[1]TK1!K211</f>
        <v>125.61922714420358</v>
      </c>
      <c r="AD211" s="11">
        <f>([1]TK1!L204+[1]TK1!L205)/[1]TK1!L211</f>
        <v>130.22297712406493</v>
      </c>
      <c r="AE211" s="11">
        <f>([1]TK1!M204+[1]TK1!M205)/[1]TK1!M211</f>
        <v>127.87811575834388</v>
      </c>
      <c r="AF211" s="11">
        <f>([1]TK1!N204+[1]TK1!N205)/[1]TK1!N211</f>
        <v>127.93825665859565</v>
      </c>
      <c r="AG211" s="11" t="e">
        <f>([1]TK1!O204+[1]TK1!O205)/[1]TK1!O211</f>
        <v>#DIV/0!</v>
      </c>
      <c r="AH211" s="11" t="e">
        <f>([1]TK1!P204+[1]TK1!P205)/[1]TK1!P211</f>
        <v>#DIV/0!</v>
      </c>
      <c r="AI211" s="11" t="e">
        <f>([1]TK1!Q204+[1]TK1!Q205)/[1]TK1!Q211</f>
        <v>#DIV/0!</v>
      </c>
      <c r="AJ211" s="11"/>
      <c r="AK211" s="11">
        <f>([1]TK1!S204+[1]TK1!S205)/[1]TK1!S211</f>
        <v>129.68815893389765</v>
      </c>
    </row>
    <row r="212" spans="1:37">
      <c r="A212" s="7"/>
      <c r="B212" s="8"/>
      <c r="C212" s="8"/>
      <c r="D212" s="11"/>
      <c r="E212" s="11"/>
      <c r="F212" s="11"/>
      <c r="G212" s="11"/>
      <c r="H212" s="11"/>
      <c r="I212" s="11"/>
      <c r="J212" s="11"/>
      <c r="K212" s="11"/>
      <c r="L212" s="3"/>
      <c r="M212" s="3"/>
      <c r="N212" s="3"/>
      <c r="O212" s="3"/>
      <c r="P212" s="3"/>
      <c r="Q212" s="11"/>
      <c r="R212" s="11"/>
      <c r="S212" s="11"/>
      <c r="T212" s="3" t="s">
        <v>44</v>
      </c>
      <c r="U212" s="3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spans="1:37" s="1" customFormat="1">
      <c r="B213" s="3"/>
      <c r="C213" s="8" t="s">
        <v>8</v>
      </c>
      <c r="D213" s="3" t="s">
        <v>9</v>
      </c>
      <c r="E213" s="6" t="s">
        <v>10</v>
      </c>
      <c r="F213" s="6" t="s">
        <v>11</v>
      </c>
      <c r="G213" s="6" t="s">
        <v>12</v>
      </c>
      <c r="H213" s="6" t="s">
        <v>13</v>
      </c>
      <c r="I213" s="3" t="s">
        <v>14</v>
      </c>
      <c r="J213" s="3" t="s">
        <v>15</v>
      </c>
      <c r="K213" s="3" t="s">
        <v>16</v>
      </c>
      <c r="L213" s="3" t="s">
        <v>17</v>
      </c>
      <c r="M213" s="3" t="s">
        <v>18</v>
      </c>
      <c r="N213" s="3" t="s">
        <v>19</v>
      </c>
      <c r="O213" s="3" t="s">
        <v>20</v>
      </c>
      <c r="P213" s="3" t="s">
        <v>21</v>
      </c>
      <c r="Q213" s="3" t="s">
        <v>22</v>
      </c>
      <c r="R213" s="3" t="s">
        <v>23</v>
      </c>
      <c r="S213" s="3" t="s">
        <v>24</v>
      </c>
      <c r="T213" s="3" t="s">
        <v>25</v>
      </c>
      <c r="U213" s="3" t="s">
        <v>26</v>
      </c>
      <c r="V213" s="3" t="s">
        <v>27</v>
      </c>
      <c r="W213" s="3" t="s">
        <v>28</v>
      </c>
      <c r="X213" s="3" t="s">
        <v>29</v>
      </c>
      <c r="Y213" s="3" t="s">
        <v>74</v>
      </c>
      <c r="Z213" s="3" t="s">
        <v>31</v>
      </c>
      <c r="AA213" s="3" t="s">
        <v>32</v>
      </c>
      <c r="AB213" s="3" t="s">
        <v>33</v>
      </c>
      <c r="AC213" s="3" t="s">
        <v>34</v>
      </c>
      <c r="AD213" s="3" t="s">
        <v>35</v>
      </c>
      <c r="AE213" s="3" t="s">
        <v>36</v>
      </c>
      <c r="AF213" s="3" t="s">
        <v>37</v>
      </c>
      <c r="AG213" s="3" t="s">
        <v>38</v>
      </c>
      <c r="AH213" s="3" t="s">
        <v>39</v>
      </c>
      <c r="AI213" s="3" t="s">
        <v>40</v>
      </c>
      <c r="AJ213" s="3"/>
      <c r="AK213" s="3" t="s">
        <v>112</v>
      </c>
    </row>
    <row r="214" spans="1:37">
      <c r="A214" s="7" t="s">
        <v>228</v>
      </c>
      <c r="B214" s="8" t="s">
        <v>229</v>
      </c>
      <c r="C214" s="8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spans="1:37">
      <c r="A215" s="7">
        <v>1</v>
      </c>
      <c r="B215" s="8" t="s">
        <v>230</v>
      </c>
      <c r="C215" s="8" t="s">
        <v>47</v>
      </c>
      <c r="D215" s="9">
        <v>0.32829453769822869</v>
      </c>
      <c r="E215" s="9">
        <v>0.36</v>
      </c>
      <c r="F215" s="9">
        <v>0.33</v>
      </c>
      <c r="G215" s="9">
        <v>0.44416182520642439</v>
      </c>
      <c r="H215" s="9">
        <v>0.43892912669219974</v>
      </c>
      <c r="I215" s="9">
        <v>0.48993859919218996</v>
      </c>
      <c r="J215" s="9">
        <v>0.34470550969833613</v>
      </c>
      <c r="K215" s="9">
        <v>0.30115780485341509</v>
      </c>
      <c r="L215" s="9">
        <v>0.46058920656991398</v>
      </c>
      <c r="M215" s="9">
        <v>0.46632174273299232</v>
      </c>
      <c r="N215" s="9">
        <v>0.25410088076248349</v>
      </c>
      <c r="O215" s="9">
        <v>0.21293287011094922</v>
      </c>
      <c r="P215" s="9">
        <v>0.296951536791488</v>
      </c>
      <c r="Q215" s="9">
        <v>0.27906546474935501</v>
      </c>
      <c r="R215" s="9">
        <v>0.33578828029667068</v>
      </c>
      <c r="S215" s="9">
        <v>0.13485570439629596</v>
      </c>
      <c r="T215" s="9">
        <v>0.3</v>
      </c>
      <c r="U215" s="9">
        <f>[1]TK1!C215/[1]TK1!C214*100</f>
        <v>2.9044437990124891E-2</v>
      </c>
      <c r="V215" s="9">
        <f>[1]TK1!D215/[1]TK1!D214*100</f>
        <v>3.4435261707988982E-2</v>
      </c>
      <c r="W215" s="9">
        <f>[1]TK1!E215/[1]TK1!E214*100</f>
        <v>0.20202020202020202</v>
      </c>
      <c r="X215" s="9">
        <f>[1]TK1!F215/[1]TK1!F214*100</f>
        <v>6.3840653728294172E-2</v>
      </c>
      <c r="Y215" s="9">
        <f>[1]TK1!G215/[1]TK1!G214*100</f>
        <v>0</v>
      </c>
      <c r="Z215" s="9">
        <f>[1]TK1!H215/[1]TK1!H214*100</f>
        <v>5.7273768613974804E-2</v>
      </c>
      <c r="AA215" s="9">
        <f>[1]TK1!I215/[1]TK1!I214*100</f>
        <v>0</v>
      </c>
      <c r="AB215" s="9">
        <f>[1]TK1!J215/[1]TK1!J214*100</f>
        <v>1.8304960644334616E-2</v>
      </c>
      <c r="AC215" s="9">
        <f>[1]TK1!K215/[1]TK1!K214*100</f>
        <v>0</v>
      </c>
      <c r="AD215" s="9">
        <f>[1]TK1!L215/[1]TK1!L214*100</f>
        <v>0.23847376788553257</v>
      </c>
      <c r="AE215" s="9">
        <f>[1]TK1!M215/[1]TK1!M214*100</f>
        <v>5.0251256281407038E-2</v>
      </c>
      <c r="AF215" s="9">
        <f>[1]TK1!N215/[1]TK1!N214*100</f>
        <v>0.13389441469013008</v>
      </c>
      <c r="AG215" s="9" t="e">
        <f>[1]TK1!O215/[1]TK1!O214*100</f>
        <v>#DIV/0!</v>
      </c>
      <c r="AH215" s="9" t="e">
        <f>[1]TK1!P215/[1]TK1!P214*100</f>
        <v>#DIV/0!</v>
      </c>
      <c r="AI215" s="9" t="e">
        <f>[1]TK1!Q215/[1]TK1!Q214*100</f>
        <v>#DIV/0!</v>
      </c>
      <c r="AJ215" s="9"/>
      <c r="AK215" s="9">
        <f>[1]TK1!S215/[1]TK1!S214*100</f>
        <v>7.0183015710198138E-2</v>
      </c>
    </row>
    <row r="216" spans="1:37">
      <c r="A216" s="7">
        <v>2</v>
      </c>
      <c r="B216" s="8" t="s">
        <v>231</v>
      </c>
      <c r="C216" s="8" t="s">
        <v>47</v>
      </c>
      <c r="D216" s="9">
        <v>97.669735258140307</v>
      </c>
      <c r="E216" s="9">
        <v>97.68</v>
      </c>
      <c r="F216" s="9">
        <v>97.69</v>
      </c>
      <c r="G216" s="9">
        <v>97.577224045694777</v>
      </c>
      <c r="H216" s="9">
        <v>97.604438073135768</v>
      </c>
      <c r="I216" s="9">
        <v>97.524612173139801</v>
      </c>
      <c r="J216" s="9">
        <v>97.667573078307811</v>
      </c>
      <c r="K216" s="9">
        <v>97.719112913433705</v>
      </c>
      <c r="L216" s="9">
        <v>96.85716411004465</v>
      </c>
      <c r="M216" s="9">
        <v>96.662469449458825</v>
      </c>
      <c r="N216" s="9">
        <v>97.75524750542715</v>
      </c>
      <c r="O216" s="9">
        <v>97.235131909624499</v>
      </c>
      <c r="P216" s="9">
        <v>97.171422858285482</v>
      </c>
      <c r="Q216" s="9">
        <v>97.193071798745379</v>
      </c>
      <c r="R216" s="9">
        <v>97.252128887398399</v>
      </c>
      <c r="S216" s="9">
        <v>97.641360692369645</v>
      </c>
      <c r="T216" s="9">
        <v>97.5</v>
      </c>
      <c r="U216" s="9">
        <f>([1]TK1!C217)/([1]TK1!C216)*100</f>
        <v>97.688370004490338</v>
      </c>
      <c r="V216" s="9">
        <f>([1]TK1!D217)/([1]TK1!D216)*100</f>
        <v>97.676193707064712</v>
      </c>
      <c r="W216" s="9">
        <f>([1]TK1!E217)/([1]TK1!E216)*100</f>
        <v>97.60369836288065</v>
      </c>
      <c r="X216" s="9">
        <f>([1]TK1!F217)/([1]TK1!F216)*100</f>
        <v>97.668035153499915</v>
      </c>
      <c r="Y216" s="9">
        <f>([1]TK1!G217)/([1]TK1!G216)*100</f>
        <v>97.711730668069436</v>
      </c>
      <c r="Z216" s="9">
        <f>([1]TK1!H217)/([1]TK1!H216)*100</f>
        <v>97.673293127838576</v>
      </c>
      <c r="AA216" s="9">
        <f>([1]TK1!I217)/([1]TK1!I216)*100</f>
        <v>97.717338513841668</v>
      </c>
      <c r="AB216" s="9">
        <f>([1]TK1!J217)/([1]TK1!J216)*100</f>
        <v>97.700163446045423</v>
      </c>
      <c r="AC216" s="9">
        <f>([1]TK1!K217)/([1]TK1!K216)*100</f>
        <v>97.716483876248162</v>
      </c>
      <c r="AD216" s="9">
        <f>([1]TK1!L217)/([1]TK1!L216)*100</f>
        <v>97.555948174322737</v>
      </c>
      <c r="AE216" s="9">
        <f>([1]TK1!M217)/([1]TK1!M216)*100</f>
        <v>97.682467091032692</v>
      </c>
      <c r="AF216" s="9">
        <f>([1]TK1!N217)/([1]TK1!N216)*100</f>
        <v>97.62691604556322</v>
      </c>
      <c r="AG216" s="9" t="e">
        <f>([1]TK1!O217)/([1]TK1!O216)*100</f>
        <v>#DIV/0!</v>
      </c>
      <c r="AH216" s="9" t="e">
        <f>([1]TK1!P217)/([1]TK1!P216)*100</f>
        <v>#DIV/0!</v>
      </c>
      <c r="AI216" s="9" t="e">
        <f>([1]TK1!Q217)/([1]TK1!Q216)*100</f>
        <v>#DIV/0!</v>
      </c>
      <c r="AJ216" s="9"/>
      <c r="AK216" s="9">
        <f>([1]TK1!S217)/([1]TK1!S216)*100</f>
        <v>97.665561580586285</v>
      </c>
    </row>
    <row r="217" spans="1:37">
      <c r="A217" s="7">
        <v>3</v>
      </c>
      <c r="B217" s="3" t="s">
        <v>220</v>
      </c>
      <c r="C217" s="8" t="s">
        <v>214</v>
      </c>
      <c r="D217" s="9">
        <v>15.284206621533896</v>
      </c>
      <c r="E217" s="9">
        <v>15.44</v>
      </c>
      <c r="F217" s="9">
        <v>15.37</v>
      </c>
      <c r="G217" s="9">
        <v>15.537117861857</v>
      </c>
      <c r="H217" s="9">
        <v>15.547296272420462</v>
      </c>
      <c r="I217" s="9">
        <v>15.56172682979841</v>
      </c>
      <c r="J217" s="9">
        <v>15.448275540814995</v>
      </c>
      <c r="K217" s="9">
        <v>15.523013781642229</v>
      </c>
      <c r="L217" s="9">
        <v>15.317613433369061</v>
      </c>
      <c r="M217" s="9">
        <v>15.56354597219412</v>
      </c>
      <c r="N217" s="9">
        <v>15.566500280324815</v>
      </c>
      <c r="O217" s="9">
        <v>10.69995766247027</v>
      </c>
      <c r="P217" s="9">
        <v>15.702994635135378</v>
      </c>
      <c r="Q217" s="9">
        <v>15.662623729301361</v>
      </c>
      <c r="R217" s="9">
        <v>15.664203065366209</v>
      </c>
      <c r="S217" s="9">
        <v>15.852018340375798</v>
      </c>
      <c r="T217" s="12">
        <v>15.6</v>
      </c>
      <c r="U217" s="9">
        <f>([1]TK1!C216)/([1]TK1!C214)</f>
        <v>16.170490851002032</v>
      </c>
      <c r="V217" s="9">
        <f>([1]TK1!D216)/([1]TK1!D214)</f>
        <v>16.241046831955924</v>
      </c>
      <c r="W217" s="9">
        <f>([1]TK1!E216)/([1]TK1!E214)</f>
        <v>15.877441077441077</v>
      </c>
      <c r="X217" s="9">
        <f>([1]TK1!F216)/([1]TK1!F214)</f>
        <v>16.141087844739531</v>
      </c>
      <c r="Y217" s="9">
        <f>([1]TK1!G216)/([1]TK1!G214)</f>
        <v>16.003607937462416</v>
      </c>
      <c r="Z217" s="9">
        <f>([1]TK1!H216)/([1]TK1!H214)</f>
        <v>15.384879725085911</v>
      </c>
      <c r="AA217" s="9">
        <f>([1]TK1!I216)/([1]TK1!I214)</f>
        <v>15.797953964194374</v>
      </c>
      <c r="AB217" s="9">
        <f>([1]TK1!J216)/([1]TK1!J214)</f>
        <v>15.791140399048142</v>
      </c>
      <c r="AC217" s="9">
        <f>([1]TK1!K216)/([1]TK1!K214)</f>
        <v>16.922437673130194</v>
      </c>
      <c r="AD217" s="9">
        <f>([1]TK1!L216)/([1]TK1!L214)</f>
        <v>16.197138314785374</v>
      </c>
      <c r="AE217" s="9">
        <f>([1]TK1!M216)/([1]TK1!M214)</f>
        <v>16.262311557788944</v>
      </c>
      <c r="AF217" s="9">
        <f>([1]TK1!N216)/([1]TK1!N214)</f>
        <v>16.322111706197397</v>
      </c>
      <c r="AG217" s="9" t="e">
        <f>([1]TK1!O216)/([1]TK1!O214)</f>
        <v>#DIV/0!</v>
      </c>
      <c r="AH217" s="9" t="e">
        <f>([1]TK1!P216)/([1]TK1!P214)</f>
        <v>#DIV/0!</v>
      </c>
      <c r="AI217" s="9" t="e">
        <f>([1]TK1!Q216)/([1]TK1!Q214)</f>
        <v>#DIV/0!</v>
      </c>
      <c r="AJ217" s="9"/>
      <c r="AK217" s="9">
        <f>([1]TK1!S216)/([1]TK1!S214)</f>
        <v>16.088970469146467</v>
      </c>
    </row>
    <row r="218" spans="1:37">
      <c r="A218" s="7">
        <v>4</v>
      </c>
      <c r="B218" s="8" t="s">
        <v>221</v>
      </c>
      <c r="C218" s="8" t="s">
        <v>47</v>
      </c>
      <c r="D218" s="9">
        <v>85.501024590163937</v>
      </c>
      <c r="E218" s="9">
        <v>85.78</v>
      </c>
      <c r="F218" s="9">
        <v>86.39</v>
      </c>
      <c r="G218" s="9">
        <v>87.69269406392695</v>
      </c>
      <c r="H218" s="9">
        <v>86.955373406193075</v>
      </c>
      <c r="I218" s="9">
        <v>90.12465753424658</v>
      </c>
      <c r="J218" s="9">
        <v>90.726940639269401</v>
      </c>
      <c r="K218" s="9">
        <v>92.770091324200905</v>
      </c>
      <c r="L218" s="9">
        <v>90.468465391621137</v>
      </c>
      <c r="M218" s="9">
        <v>90.997488584474894</v>
      </c>
      <c r="N218" s="9">
        <v>91.460159817351595</v>
      </c>
      <c r="O218" s="9">
        <v>87.678082191780831</v>
      </c>
      <c r="P218" s="9">
        <v>89.94398907103826</v>
      </c>
      <c r="Q218" s="9">
        <v>91.875913242009133</v>
      </c>
      <c r="R218" s="9">
        <v>90</v>
      </c>
      <c r="S218" s="9">
        <v>94.889726027397259</v>
      </c>
      <c r="T218" s="12">
        <v>64.8</v>
      </c>
      <c r="U218" s="9">
        <f>[1]TK1!C221/[1]TK1!C336*100</f>
        <v>84.722222222222214</v>
      </c>
      <c r="V218" s="9">
        <f>[1]TK1!D221/[1]TK1!D336*100</f>
        <v>97.58064516129032</v>
      </c>
      <c r="W218" s="9">
        <f>[1]TK1!E221/[1]TK1!E336*100</f>
        <v>100</v>
      </c>
      <c r="X218" s="9">
        <f>[1]TK1!F221/[1]TK1!F336*100</f>
        <v>94.139194139194132</v>
      </c>
      <c r="Y218" s="9">
        <f>[1]TK1!G221/[1]TK1!G336*100</f>
        <v>97.278225806451616</v>
      </c>
      <c r="Z218" s="9">
        <f>[1]TK1!H221/[1]TK1!H336*100</f>
        <v>100</v>
      </c>
      <c r="AA218" s="9">
        <f>[1]TK1!I221/[1]TK1!I336*100</f>
        <v>100</v>
      </c>
      <c r="AB218" s="9">
        <f>[1]TK1!J221/[1]TK1!J336*100</f>
        <v>99.082880434782609</v>
      </c>
      <c r="AC218" s="9">
        <f>[1]TK1!K221/[1]TK1!K336*100</f>
        <v>100</v>
      </c>
      <c r="AD218" s="9">
        <f>[1]TK1!L221/[1]TK1!L336*100</f>
        <v>100</v>
      </c>
      <c r="AE218" s="9">
        <f>[1]TK1!M221/[1]TK1!M336*100</f>
        <v>98.319892473118273</v>
      </c>
      <c r="AF218" s="9">
        <f>[1]TK1!N221/[1]TK1!N336*100</f>
        <v>99.433876811594203</v>
      </c>
      <c r="AG218" s="9" t="e">
        <f>[1]TK1!O221/[1]TK1!O336*100</f>
        <v>#DIV/0!</v>
      </c>
      <c r="AH218" s="9" t="e">
        <f>[1]TK1!P221/[1]TK1!P336*100</f>
        <v>#DIV/0!</v>
      </c>
      <c r="AI218" s="9" t="e">
        <f>[1]TK1!Q221/[1]TK1!Q336*100</f>
        <v>#DIV/0!</v>
      </c>
      <c r="AJ218" s="9"/>
      <c r="AK218" s="9">
        <f>[1]TK1!S221/[1]TK1!S336*100</f>
        <v>97.564393939393938</v>
      </c>
    </row>
    <row r="219" spans="1:37">
      <c r="A219" s="7">
        <v>5</v>
      </c>
      <c r="B219" s="3" t="s">
        <v>232</v>
      </c>
      <c r="C219" s="8" t="s">
        <v>47</v>
      </c>
      <c r="D219" s="9">
        <v>75.667107388278396</v>
      </c>
      <c r="E219" s="9">
        <v>74.599999999999994</v>
      </c>
      <c r="F219" s="9">
        <v>76.12</v>
      </c>
      <c r="G219" s="9">
        <v>74.320869370518665</v>
      </c>
      <c r="H219" s="9">
        <v>75.074756224012063</v>
      </c>
      <c r="I219" s="9">
        <v>74.596069371190595</v>
      </c>
      <c r="J219" s="9">
        <v>73.884328508445236</v>
      </c>
      <c r="K219" s="9">
        <v>72.688779892354304</v>
      </c>
      <c r="L219" s="9">
        <v>71.570893761600658</v>
      </c>
      <c r="M219" s="9">
        <v>74.452227845115885</v>
      </c>
      <c r="N219" s="9">
        <v>76.120550530397864</v>
      </c>
      <c r="O219" s="9">
        <v>79.37452803166417</v>
      </c>
      <c r="P219" s="9">
        <v>78.670570128140866</v>
      </c>
      <c r="Q219" s="9">
        <v>69.120923222581581</v>
      </c>
      <c r="R219" s="9">
        <v>78.73526487714814</v>
      </c>
      <c r="S219" s="9">
        <v>60.876961240757709</v>
      </c>
      <c r="T219" s="12">
        <v>90</v>
      </c>
      <c r="U219" s="9">
        <f>[1]TK1!C222/[1]TK1!C221*100</f>
        <v>59.726229508196717</v>
      </c>
      <c r="V219" s="9">
        <f>[1]TK1!D222/[1]TK1!D221*100</f>
        <v>42.538567493112943</v>
      </c>
      <c r="W219" s="9">
        <f>[1]TK1!E222/[1]TK1!E221*100</f>
        <v>24.780555555555551</v>
      </c>
      <c r="X219" s="9">
        <f>[1]TK1!F222/[1]TK1!F221*100</f>
        <v>41.419260700389096</v>
      </c>
      <c r="Y219" s="9">
        <f>[1]TK1!G222/[1]TK1!G221*100</f>
        <v>48.486355785837652</v>
      </c>
      <c r="Z219" s="9">
        <f>[1]TK1!H222/[1]TK1!H221*100</f>
        <v>24.48521505376344</v>
      </c>
      <c r="AA219" s="9">
        <f>[1]TK1!I222/[1]TK1!I221*100</f>
        <v>6.0069444444444446</v>
      </c>
      <c r="AB219" s="9">
        <f>[1]TK1!J222/[1]TK1!J221*100</f>
        <v>26.343960690206835</v>
      </c>
      <c r="AC219" s="9">
        <f>[1]TK1!K222/[1]TK1!K221*100</f>
        <v>10.931451612903226</v>
      </c>
      <c r="AD219" s="9">
        <f>[1]TK1!L222/[1]TK1!L221*100</f>
        <v>38.240277777777777</v>
      </c>
      <c r="AE219" s="9">
        <f>[1]TK1!M222/[1]TK1!M221*100</f>
        <v>29.870129870129869</v>
      </c>
      <c r="AF219" s="9">
        <f>[1]TK1!N222/[1]TK1!N221*100</f>
        <v>26.197221589615122</v>
      </c>
      <c r="AG219" s="9" t="e">
        <f>[1]TK1!O222/[1]TK1!O221*100</f>
        <v>#DIV/0!</v>
      </c>
      <c r="AH219" s="9" t="e">
        <f>[1]TK1!P222/[1]TK1!P221*100</f>
        <v>#DIV/0!</v>
      </c>
      <c r="AI219" s="9" t="e">
        <f>[1]TK1!Q222/[1]TK1!Q221*100</f>
        <v>#DIV/0!</v>
      </c>
      <c r="AJ219" s="9"/>
      <c r="AK219" s="9">
        <f>[1]TK1!S222/[1]TK1!S221*100</f>
        <v>31.107349458399657</v>
      </c>
    </row>
    <row r="220" spans="1:37">
      <c r="A220" s="7">
        <v>6</v>
      </c>
      <c r="B220" s="8" t="s">
        <v>233</v>
      </c>
      <c r="C220" s="8" t="s">
        <v>224</v>
      </c>
      <c r="D220" s="11">
        <v>283.25118645201138</v>
      </c>
      <c r="E220" s="11">
        <v>270</v>
      </c>
      <c r="F220" s="11">
        <v>272</v>
      </c>
      <c r="G220" s="11">
        <v>275.61339162480471</v>
      </c>
      <c r="H220" s="11">
        <v>279.1440325199282</v>
      </c>
      <c r="I220" s="11">
        <v>284.55351230197135</v>
      </c>
      <c r="J220" s="11">
        <v>275.79805486632529</v>
      </c>
      <c r="K220" s="11">
        <v>279.67639326445658</v>
      </c>
      <c r="L220" s="11">
        <v>270.14783140749284</v>
      </c>
      <c r="M220" s="11">
        <v>263.09641154734646</v>
      </c>
      <c r="N220" s="11">
        <v>275.92638443211763</v>
      </c>
      <c r="O220" s="11">
        <v>274.10209892986734</v>
      </c>
      <c r="P220" s="11">
        <v>273.64447969675859</v>
      </c>
      <c r="Q220" s="11">
        <v>266.22464534035106</v>
      </c>
      <c r="R220" s="11">
        <v>283.49927524561122</v>
      </c>
      <c r="S220" s="11">
        <v>170.11165345928109</v>
      </c>
      <c r="T220" s="3">
        <v>265</v>
      </c>
      <c r="U220" s="11">
        <f>([1]TK1!C217)/([1]TK1!C222)</f>
        <v>149.28224411934235</v>
      </c>
      <c r="V220" s="11">
        <f>([1]TK1!D217)/([1]TK1!D222)</f>
        <v>149.16944597351295</v>
      </c>
      <c r="W220" s="11">
        <f>([1]TK1!E217)/([1]TK1!E222)</f>
        <v>128.98217688599934</v>
      </c>
      <c r="X220" s="11">
        <f>([1]TK1!F217)/([1]TK1!F222)</f>
        <v>144.98813969327605</v>
      </c>
      <c r="Y220" s="11">
        <f>([1]TK1!G217)/([1]TK1!G222)</f>
        <v>148.21041832896387</v>
      </c>
      <c r="Z220" s="11">
        <f>([1]TK1!H217)/([1]TK1!H222)</f>
        <v>144.02481198880167</v>
      </c>
      <c r="AA220" s="11">
        <f>([1]TK1!I217)/([1]TK1!I222)</f>
        <v>139.56069364161849</v>
      </c>
      <c r="AB220" s="11">
        <f>([1]TK1!J217)/([1]TK1!J222)</f>
        <v>146.23833154041017</v>
      </c>
      <c r="AC220" s="11">
        <f>([1]TK1!K217)/([1]TK1!K222)</f>
        <v>146.79699987704416</v>
      </c>
      <c r="AD220" s="11">
        <f>([1]TK1!L217)/([1]TK1!L222)</f>
        <v>144.39399992735991</v>
      </c>
      <c r="AE220" s="11">
        <f>([1]TK1!M217)/([1]TK1!M222)</f>
        <v>144.67734553775745</v>
      </c>
      <c r="AF220" s="11">
        <f>([1]TK1!N217)/([1]TK1!N222)</f>
        <v>144.84143542666391</v>
      </c>
      <c r="AG220" s="11" t="e">
        <f>([1]TK1!O217)/([1]TK1!O222)</f>
        <v>#DIV/0!</v>
      </c>
      <c r="AH220" s="11" t="e">
        <f>([1]TK1!P217)/([1]TK1!P222)</f>
        <v>#DIV/0!</v>
      </c>
      <c r="AI220" s="11" t="e">
        <f>([1]TK1!Q217)/([1]TK1!Q222)</f>
        <v>#DIV/0!</v>
      </c>
      <c r="AJ220" s="11"/>
      <c r="AK220" s="11">
        <f>([1]TK1!S217)/([1]TK1!S222)</f>
        <v>145.30572917706732</v>
      </c>
    </row>
    <row r="221" spans="1:37">
      <c r="A221" s="7">
        <v>7</v>
      </c>
      <c r="B221" s="3" t="s">
        <v>234</v>
      </c>
      <c r="C221" s="3" t="s">
        <v>235</v>
      </c>
      <c r="D221" s="9">
        <v>1.8511759011824922</v>
      </c>
      <c r="E221" s="9">
        <v>1.82</v>
      </c>
      <c r="F221" s="9">
        <v>1.85</v>
      </c>
      <c r="G221" s="9">
        <v>1.8894346175675745</v>
      </c>
      <c r="H221" s="9">
        <v>1.8940739654576495</v>
      </c>
      <c r="I221" s="9">
        <v>1.8918849082701281</v>
      </c>
      <c r="J221" s="9">
        <v>1.8364151551144483</v>
      </c>
      <c r="K221" s="9">
        <v>1.9012927820285332</v>
      </c>
      <c r="L221" s="9">
        <v>1.887454619813131</v>
      </c>
      <c r="M221" s="9">
        <v>1.8460392052568062</v>
      </c>
      <c r="N221" s="9">
        <v>1.8232344097724513</v>
      </c>
      <c r="O221" s="9">
        <v>1.8911439210478349</v>
      </c>
      <c r="P221" s="9">
        <v>1.8832480242206999</v>
      </c>
      <c r="Q221" s="9">
        <v>1.5835372058551278</v>
      </c>
      <c r="R221" s="9">
        <v>1.8827657394444783</v>
      </c>
      <c r="S221" s="9">
        <v>1.1405825555740019</v>
      </c>
      <c r="T221" s="9">
        <v>1.89</v>
      </c>
      <c r="U221" s="9">
        <f>([1]TK1!C218+[1]TK1!C219*2+[1]TK1!C220*3)/[1]TK1!C221</f>
        <v>1</v>
      </c>
      <c r="V221" s="9">
        <f>([1]TK1!D218+[1]TK1!D219*2+[1]TK1!D220*3)/[1]TK1!D221</f>
        <v>1</v>
      </c>
      <c r="W221" s="9">
        <f>([1]TK1!E218+[1]TK1!E219*2+[1]TK1!E220*3)/[1]TK1!E221</f>
        <v>1</v>
      </c>
      <c r="X221" s="9">
        <f>([1]TK1!F218+[1]TK1!F219*2+[1]TK1!F220*3)/[1]TK1!F221</f>
        <v>1</v>
      </c>
      <c r="Y221" s="9">
        <f>([1]TK1!G218+[1]TK1!G219*2+[1]TK1!G220*3)/[1]TK1!G221</f>
        <v>1</v>
      </c>
      <c r="Z221" s="9">
        <f>([1]TK1!H218+[1]TK1!H219*2+[1]TK1!H220*3)/[1]TK1!H221</f>
        <v>1</v>
      </c>
      <c r="AA221" s="9">
        <f>([1]TK1!I218+[1]TK1!I219*2+[1]TK1!I220*3)/[1]TK1!I221</f>
        <v>1</v>
      </c>
      <c r="AB221" s="9">
        <f>([1]TK1!J218+[1]TK1!J219*2+[1]TK1!J220*3)/[1]TK1!J221</f>
        <v>1</v>
      </c>
      <c r="AC221" s="9">
        <f>([1]TK1!K218+[1]TK1!K219*2+[1]TK1!K220*3)/[1]TK1!K221</f>
        <v>1</v>
      </c>
      <c r="AD221" s="9">
        <f>([1]TK1!L218+[1]TK1!L219*2+[1]TK1!L220*3)/[1]TK1!L221</f>
        <v>1</v>
      </c>
      <c r="AE221" s="9">
        <f>([1]TK1!M218+[1]TK1!M219*2+[1]TK1!M220*3)/[1]TK1!M221</f>
        <v>1</v>
      </c>
      <c r="AF221" s="9">
        <f>([1]TK1!N218+[1]TK1!N219*2+[1]TK1!N220*3)/[1]TK1!N221</f>
        <v>1</v>
      </c>
      <c r="AG221" s="9" t="e">
        <f>([1]TK1!O218+[1]TK1!O219*2+[1]TK1!O220*3)/[1]TK1!O221</f>
        <v>#DIV/0!</v>
      </c>
      <c r="AH221" s="9" t="e">
        <f>([1]TK1!P218+[1]TK1!P219*2+[1]TK1!P220*3)/[1]TK1!P221</f>
        <v>#DIV/0!</v>
      </c>
      <c r="AI221" s="9" t="e">
        <f>([1]TK1!Q218+[1]TK1!Q219*2+[1]TK1!Q220*3)/[1]TK1!Q221</f>
        <v>#DIV/0!</v>
      </c>
      <c r="AJ221" s="9"/>
      <c r="AK221" s="9">
        <f>([1]TK1!S218+[1]TK1!S219*2+[1]TK1!S220*3)/[1]TK1!S221</f>
        <v>1</v>
      </c>
    </row>
    <row r="222" spans="1:37">
      <c r="A222" s="7"/>
      <c r="B222" s="3"/>
      <c r="C222" s="3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</row>
    <row r="223" spans="1:37">
      <c r="A223" s="7"/>
      <c r="B223" s="8" t="s">
        <v>414</v>
      </c>
      <c r="C223" s="8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</row>
    <row r="224" spans="1:37" ht="21">
      <c r="A224" s="7"/>
      <c r="B224" s="8" t="s">
        <v>230</v>
      </c>
      <c r="C224" s="8" t="s">
        <v>47</v>
      </c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39">
        <v>0</v>
      </c>
      <c r="V224" s="40">
        <v>0</v>
      </c>
      <c r="W224" s="40">
        <v>4.5782305139063749E-2</v>
      </c>
      <c r="X224" s="9"/>
      <c r="Y224" s="9">
        <v>6.8661108386463957E-2</v>
      </c>
      <c r="Z224" s="9">
        <v>6.6883240970762467E-2</v>
      </c>
      <c r="AA224" s="9">
        <v>4.0518638573743923E-2</v>
      </c>
      <c r="AB224" s="9"/>
      <c r="AC224" s="9">
        <v>1.9056693663649357E-2</v>
      </c>
      <c r="AD224" s="9">
        <v>4.2649985783338069E-2</v>
      </c>
      <c r="AE224" s="9">
        <v>1.2067093037287318E-2</v>
      </c>
      <c r="AF224" s="9"/>
      <c r="AG224" s="9"/>
      <c r="AH224" s="9"/>
      <c r="AI224" s="9"/>
      <c r="AJ224" s="9"/>
      <c r="AK224" s="9">
        <v>3.4959796234330522E-2</v>
      </c>
    </row>
    <row r="225" spans="1:37" ht="21">
      <c r="A225" s="7"/>
      <c r="B225" s="8" t="s">
        <v>231</v>
      </c>
      <c r="C225" s="8" t="s">
        <v>47</v>
      </c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41">
        <v>96.972388279106241</v>
      </c>
      <c r="V225" s="42">
        <v>97.392312149893755</v>
      </c>
      <c r="W225" s="42">
        <v>97.195114976890238</v>
      </c>
      <c r="X225" s="9"/>
      <c r="Y225" s="9">
        <v>97.159867945401174</v>
      </c>
      <c r="Z225" s="9">
        <v>96.819027153909559</v>
      </c>
      <c r="AA225" s="9">
        <v>97.336816299547337</v>
      </c>
      <c r="AB225" s="9"/>
      <c r="AC225" s="9">
        <v>97.089979979679583</v>
      </c>
      <c r="AD225" s="9">
        <v>97.086551061691324</v>
      </c>
      <c r="AE225" s="9">
        <v>96.824476339288111</v>
      </c>
      <c r="AF225" s="9"/>
      <c r="AG225" s="9"/>
      <c r="AH225" s="9"/>
      <c r="AI225" s="9"/>
      <c r="AJ225" s="9"/>
      <c r="AK225" s="9">
        <v>97.093691608167845</v>
      </c>
    </row>
    <row r="226" spans="1:37" ht="21">
      <c r="A226" s="7"/>
      <c r="B226" s="3" t="s">
        <v>220</v>
      </c>
      <c r="C226" s="8" t="s">
        <v>214</v>
      </c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39">
        <v>21.205870892323677</v>
      </c>
      <c r="V226" s="40">
        <v>21.963459696181744</v>
      </c>
      <c r="W226" s="40">
        <v>22.014764793407348</v>
      </c>
      <c r="X226" s="9"/>
      <c r="Y226" s="9">
        <v>22.521039725355568</v>
      </c>
      <c r="Z226" s="9">
        <v>22.143416778138736</v>
      </c>
      <c r="AA226" s="9">
        <v>22.064627228525122</v>
      </c>
      <c r="AB226" s="9"/>
      <c r="AC226" s="9">
        <v>22.226107670319198</v>
      </c>
      <c r="AD226" s="9">
        <v>22.348876883707707</v>
      </c>
      <c r="AE226" s="9">
        <v>22.473392059852781</v>
      </c>
      <c r="AF226" s="9"/>
      <c r="AG226" s="9"/>
      <c r="AH226" s="9"/>
      <c r="AI226" s="9"/>
      <c r="AJ226" s="9"/>
      <c r="AK226" s="9">
        <v>22.124219647405482</v>
      </c>
    </row>
    <row r="227" spans="1:37" ht="21">
      <c r="A227" s="7"/>
      <c r="B227" s="8" t="s">
        <v>221</v>
      </c>
      <c r="C227" s="8" t="s">
        <v>47</v>
      </c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39">
        <v>94.525000000000006</v>
      </c>
      <c r="V227" s="40">
        <v>94.73521505376344</v>
      </c>
      <c r="W227" s="40">
        <v>92.697222222222223</v>
      </c>
      <c r="X227" s="9"/>
      <c r="Y227" s="9">
        <v>93.447580645161281</v>
      </c>
      <c r="Z227" s="9">
        <v>93.615591397849457</v>
      </c>
      <c r="AA227" s="9">
        <v>93.75</v>
      </c>
      <c r="AB227" s="9"/>
      <c r="AC227" s="9">
        <v>93.70564516129032</v>
      </c>
      <c r="AD227" s="9">
        <v>71.944444444444443</v>
      </c>
      <c r="AE227" s="9">
        <v>81.518817204301072</v>
      </c>
      <c r="AF227" s="9"/>
      <c r="AG227" s="9"/>
      <c r="AH227" s="9"/>
      <c r="AI227" s="9"/>
      <c r="AJ227" s="9"/>
      <c r="AK227" s="9">
        <v>90.018939393939391</v>
      </c>
    </row>
    <row r="228" spans="1:37" ht="21">
      <c r="A228" s="7"/>
      <c r="B228" s="3" t="s">
        <v>232</v>
      </c>
      <c r="C228" s="8" t="s">
        <v>47</v>
      </c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39">
        <v>86.727497134796778</v>
      </c>
      <c r="V228" s="40">
        <v>80.515869074812358</v>
      </c>
      <c r="W228" s="40">
        <v>81.707170896886524</v>
      </c>
      <c r="X228" s="9"/>
      <c r="Y228" s="9">
        <v>85.232650125854008</v>
      </c>
      <c r="Z228" s="9">
        <v>85.007896625987087</v>
      </c>
      <c r="AA228" s="9">
        <v>81.370370370370367</v>
      </c>
      <c r="AB228" s="9"/>
      <c r="AC228" s="9">
        <v>83.348394222356106</v>
      </c>
      <c r="AD228" s="9">
        <v>80.179536679536682</v>
      </c>
      <c r="AE228" s="9">
        <v>78.743610882110474</v>
      </c>
      <c r="AF228" s="9"/>
      <c r="AG228" s="9"/>
      <c r="AH228" s="9"/>
      <c r="AI228" s="9"/>
      <c r="AJ228" s="9"/>
      <c r="AK228" s="9">
        <v>82.659036398064373</v>
      </c>
    </row>
    <row r="229" spans="1:37" ht="21">
      <c r="A229" s="7"/>
      <c r="B229" s="8" t="s">
        <v>233</v>
      </c>
      <c r="C229" s="8" t="s">
        <v>224</v>
      </c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39">
        <v>268.22702244811518</v>
      </c>
      <c r="V229" s="40">
        <v>275.42202643171805</v>
      </c>
      <c r="W229" s="40">
        <v>342.81627638310744</v>
      </c>
      <c r="X229" s="9"/>
      <c r="Y229" s="9">
        <v>376.45718721522832</v>
      </c>
      <c r="Z229" s="9">
        <v>378.97074719632479</v>
      </c>
      <c r="AA229" s="9">
        <v>386.01911697769685</v>
      </c>
      <c r="AB229" s="9"/>
      <c r="AC229" s="9">
        <v>389.7483995319061</v>
      </c>
      <c r="AD229" s="9">
        <v>367.47164905015291</v>
      </c>
      <c r="AE229" s="9">
        <v>377.57653168055617</v>
      </c>
      <c r="AF229" s="9"/>
      <c r="AG229" s="9"/>
      <c r="AH229" s="9"/>
      <c r="AI229" s="9"/>
      <c r="AJ229" s="9"/>
      <c r="AK229" s="9">
        <v>350.33211293876172</v>
      </c>
    </row>
    <row r="230" spans="1:37" ht="21">
      <c r="A230" s="7"/>
      <c r="B230" s="3" t="s">
        <v>234</v>
      </c>
      <c r="C230" s="3" t="s">
        <v>235</v>
      </c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39">
        <v>0</v>
      </c>
      <c r="V230" s="36"/>
      <c r="W230" s="36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</row>
    <row r="231" spans="1:37">
      <c r="A231" s="7" t="s">
        <v>236</v>
      </c>
      <c r="B231" s="3" t="s">
        <v>237</v>
      </c>
      <c r="C231" s="3"/>
      <c r="D231" s="9"/>
      <c r="E231" s="9"/>
      <c r="F231" s="9"/>
      <c r="G231" s="9"/>
      <c r="H231" s="9"/>
      <c r="I231" s="9"/>
      <c r="J231" s="9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1:37">
      <c r="A232" s="7">
        <v>1</v>
      </c>
      <c r="B232" s="8" t="s">
        <v>238</v>
      </c>
      <c r="C232" s="8" t="s">
        <v>47</v>
      </c>
      <c r="D232" s="9">
        <v>2.1029804831307684</v>
      </c>
      <c r="E232" s="9">
        <v>1.38</v>
      </c>
      <c r="F232" s="9">
        <v>1.24</v>
      </c>
      <c r="G232" s="9">
        <v>0.91677701945604562</v>
      </c>
      <c r="H232" s="9">
        <v>0.95016030311862432</v>
      </c>
      <c r="I232" s="9">
        <v>0.93430442139336412</v>
      </c>
      <c r="J232" s="9">
        <v>0.91706325864927019</v>
      </c>
      <c r="K232" s="9">
        <v>0.93640265314085047</v>
      </c>
      <c r="L232" s="9">
        <v>0.92565134505401392</v>
      </c>
      <c r="M232" s="9">
        <v>1.0258328213074026</v>
      </c>
      <c r="N232" s="9">
        <v>1.3036860565151214</v>
      </c>
      <c r="O232" s="9">
        <v>1.5464654260640884</v>
      </c>
      <c r="P232" s="9">
        <v>2.4122065971770943</v>
      </c>
      <c r="Q232" s="9">
        <v>2.1837230584745493</v>
      </c>
      <c r="R232" s="9">
        <v>2.6857125073911559</v>
      </c>
      <c r="S232" s="9">
        <v>1.7150624710782043</v>
      </c>
      <c r="T232" s="3" t="s">
        <v>239</v>
      </c>
      <c r="U232" s="9">
        <f>IF([1]TK1!C228=0,"-",([1]TK1!C228/[1]TK1!C227*100))</f>
        <v>2.2882513661202188</v>
      </c>
      <c r="V232" s="9">
        <f>IF([1]TK1!D228=0,"-",([1]TK1!D228/[1]TK1!D227*100))</f>
        <v>0.81967213114754101</v>
      </c>
      <c r="W232" s="9">
        <f>IF([1]TK1!E228=0,"-",([1]TK1!E228/[1]TK1!E227*100))</f>
        <v>1.9150707743547042</v>
      </c>
      <c r="X232" s="9">
        <f>IF([1]TK1!F228=0,"-",([1]TK1!F228/[1]TK1!F227*100))</f>
        <v>1.5521064301552108</v>
      </c>
      <c r="Y232" s="9">
        <f>IF([1]TK1!G228=0,"-",([1]TK1!G228/[1]TK1!G227*100))</f>
        <v>2.6101839965768079</v>
      </c>
      <c r="Z232" s="9">
        <f>IF([1]TK1!H228=0,"-",([1]TK1!H228/[1]TK1!H227*100))</f>
        <v>1.6825396825396828</v>
      </c>
      <c r="AA232" s="9">
        <f>IF([1]TK1!I228=0,"-",([1]TK1!I228/[1]TK1!I227*100))</f>
        <v>3.0602486452024227</v>
      </c>
      <c r="AB232" s="9">
        <f>IF([1]TK1!J228=0,"-",([1]TK1!J228/[1]TK1!J229*100))</f>
        <v>2.5466893039049237</v>
      </c>
      <c r="AC232" s="9">
        <f>IF([1]TK1!K228=0,"-",([1]TK1!K228/[1]TK1!K227*100))</f>
        <v>1.6914749661705006</v>
      </c>
      <c r="AD232" s="9">
        <f>IF([1]TK1!L228=0,"-",([1]TK1!L228/[1]TK1!L227*100))</f>
        <v>6.3171193935565375</v>
      </c>
      <c r="AE232" s="9">
        <f>IF([1]TK1!M228=0,"-",([1]TK1!M228/[1]TK1!M227*100))</f>
        <v>4.6319569120287252</v>
      </c>
      <c r="AF232" s="9">
        <f>IF([1]TK1!N228=0,"-",([1]TK1!N228/[1]TK1!N227*100))</f>
        <v>3.8902262879152625</v>
      </c>
      <c r="AG232" s="9" t="str">
        <f>IF([1]TK1!O228=0,"-",([1]TK1!O228/[1]TK1!O227*100))</f>
        <v>-</v>
      </c>
      <c r="AH232" s="9" t="str">
        <f>IF([1]TK1!P228=0,"-",([1]TK1!P228/[1]TK1!P227*100))</f>
        <v>-</v>
      </c>
      <c r="AI232" s="9" t="str">
        <f>IF([1]TK1!Q228=0,"-",([1]TK1!Q228/[1]TK1!Q227*100))</f>
        <v>-</v>
      </c>
      <c r="AJ232" s="9"/>
      <c r="AK232" s="9">
        <f>IF([1]TK1!S228=0,"-",([1]TK1!S228/[1]TK1!S227*100))</f>
        <v>2.7477882741040638</v>
      </c>
    </row>
    <row r="233" spans="1:37">
      <c r="A233" s="7">
        <v>2</v>
      </c>
      <c r="B233" s="8" t="s">
        <v>240</v>
      </c>
      <c r="C233" s="8" t="s">
        <v>47</v>
      </c>
      <c r="D233" s="9">
        <v>90.564277216636739</v>
      </c>
      <c r="E233" s="9">
        <v>91.54</v>
      </c>
      <c r="F233" s="9">
        <v>91.61</v>
      </c>
      <c r="G233" s="9">
        <v>91.615491843423882</v>
      </c>
      <c r="H233" s="9">
        <v>91.51720794958797</v>
      </c>
      <c r="I233" s="9">
        <v>91.51828190838657</v>
      </c>
      <c r="J233" s="9">
        <v>91.478857594233659</v>
      </c>
      <c r="K233" s="9">
        <v>91.547042253521127</v>
      </c>
      <c r="L233" s="9">
        <v>91.548413614922396</v>
      </c>
      <c r="M233" s="9">
        <v>91.237963897850122</v>
      </c>
      <c r="N233" s="9">
        <v>91.999629612482053</v>
      </c>
      <c r="O233" s="9">
        <v>91.646041250831672</v>
      </c>
      <c r="P233" s="9">
        <v>91.151321367148711</v>
      </c>
      <c r="Q233" s="9">
        <v>91.306677193773965</v>
      </c>
      <c r="R233" s="9">
        <v>91.4</v>
      </c>
      <c r="S233" s="9">
        <v>91.414522392646603</v>
      </c>
      <c r="T233" s="9">
        <v>90</v>
      </c>
      <c r="U233" s="9">
        <f>[1]TK1!C229/[1]TK1!C226*100</f>
        <v>91.89012426422498</v>
      </c>
      <c r="V233" s="9">
        <f>[1]TK1!D229/[1]TK1!D226*100</f>
        <v>91.565941445071175</v>
      </c>
      <c r="W233" s="9">
        <f>[1]TK1!E229/[1]TK1!E226*100</f>
        <v>91.492776886035315</v>
      </c>
      <c r="X233" s="9">
        <f>[1]TK1!F229/[1]TK1!F226*100</f>
        <v>91.678086458203566</v>
      </c>
      <c r="Y233" s="9">
        <f>[1]TK1!G229/[1]TK1!G226*100</f>
        <v>91.904362416107389</v>
      </c>
      <c r="Z233" s="9">
        <f>[1]TK1!H229/[1]TK1!H226*100</f>
        <v>90.073855243722306</v>
      </c>
      <c r="AA233" s="9">
        <f>[1]TK1!I229/[1]TK1!I226*100</f>
        <v>92.265193370165747</v>
      </c>
      <c r="AB233" s="9">
        <f>[1]TK1!J229/[1]TK1!J226*100</f>
        <v>91.348177689154753</v>
      </c>
      <c r="AC233" s="9">
        <f>[1]TK1!K229/[1]TK1!K226*100</f>
        <v>91.95628415300547</v>
      </c>
      <c r="AD233" s="9">
        <f>[1]TK1!L229/[1]TK1!L226*100</f>
        <v>89.074589910244512</v>
      </c>
      <c r="AE233" s="9">
        <f>[1]TK1!M229/[1]TK1!M226*100</f>
        <v>89.975378121702434</v>
      </c>
      <c r="AF233" s="9">
        <f>[1]TK1!N229/[1]TK1!N226*100</f>
        <v>90.553103577800726</v>
      </c>
      <c r="AG233" s="9" t="e">
        <f>[1]TK1!O229/[1]TK1!O226*100</f>
        <v>#DIV/0!</v>
      </c>
      <c r="AH233" s="9" t="e">
        <f>[1]TK1!P229/[1]TK1!P226*100</f>
        <v>#DIV/0!</v>
      </c>
      <c r="AI233" s="9" t="e">
        <f>[1]TK1!Q229/[1]TK1!Q226*100</f>
        <v>#DIV/0!</v>
      </c>
      <c r="AJ233" s="9" t="e">
        <f>[1]TK1!R229/[1]TK1!R226*100</f>
        <v>#DIV/0!</v>
      </c>
      <c r="AK233" s="9">
        <f>[1]TK1!S229/[1]TK1!S226*100</f>
        <v>91.138143883333939</v>
      </c>
    </row>
    <row r="234" spans="1:37">
      <c r="A234" s="7">
        <v>3</v>
      </c>
      <c r="B234" s="8" t="s">
        <v>241</v>
      </c>
      <c r="C234" s="8" t="s">
        <v>47</v>
      </c>
      <c r="D234" s="9">
        <v>78.940886699507388</v>
      </c>
      <c r="E234" s="9">
        <v>62.95</v>
      </c>
      <c r="F234" s="9">
        <v>81.33</v>
      </c>
      <c r="G234" s="9" t="s">
        <v>5</v>
      </c>
      <c r="H234" s="9">
        <v>78.378378378378372</v>
      </c>
      <c r="I234" s="9">
        <v>94.666666666666671</v>
      </c>
      <c r="J234" s="9">
        <v>67.010309278350505</v>
      </c>
      <c r="K234" s="12">
        <v>60.714285714285708</v>
      </c>
      <c r="L234" s="12">
        <v>53.104144314524191</v>
      </c>
      <c r="M234" s="12">
        <v>65.694682675814747</v>
      </c>
      <c r="N234" s="12">
        <v>90.136054421768705</v>
      </c>
      <c r="O234" s="12">
        <v>91.338582677165363</v>
      </c>
      <c r="P234" s="12" t="s">
        <v>5</v>
      </c>
      <c r="Q234" s="9">
        <v>16.344714519923016</v>
      </c>
      <c r="R234" s="9">
        <v>76.926902038786665</v>
      </c>
      <c r="S234" s="9" t="s">
        <v>5</v>
      </c>
      <c r="T234" s="12">
        <v>80</v>
      </c>
      <c r="U234" s="12" t="str">
        <f>IF([1]TK1!C230=0,"-",([1]TK1!C231/[1]TK1!C230*100))</f>
        <v>-</v>
      </c>
      <c r="V234" s="12" t="str">
        <f>IF([1]TK1!D230=0,"-",([1]TK1!D231/[1]TK1!D230*100))</f>
        <v>-</v>
      </c>
      <c r="W234" s="12" t="str">
        <f>IF([1]TK1!E230=0,"-",([1]TK1!E231/[1]TK1!E230*100))</f>
        <v>-</v>
      </c>
      <c r="X234" s="12" t="str">
        <f>IF([1]TK1!F230=0,"-",([1]TK1!F231/[1]TK1!F230*100))</f>
        <v>-</v>
      </c>
      <c r="Y234" s="12" t="str">
        <f>IF([1]TK1!G230=0,"-",([1]TK1!G231/[1]TK1!G230*100))</f>
        <v>-</v>
      </c>
      <c r="Z234" s="6" t="s">
        <v>5</v>
      </c>
      <c r="AA234" s="6" t="s">
        <v>5</v>
      </c>
      <c r="AB234" s="6" t="s">
        <v>5</v>
      </c>
      <c r="AC234" s="6" t="s">
        <v>5</v>
      </c>
      <c r="AD234" s="6" t="s">
        <v>5</v>
      </c>
      <c r="AE234" s="6" t="s">
        <v>5</v>
      </c>
      <c r="AF234" s="12" t="str">
        <f>IF([1]TK1!N230=0,"-",[1]TK1!N231/[1]TK1!N230*100)</f>
        <v>-</v>
      </c>
      <c r="AG234" s="6" t="s">
        <v>5</v>
      </c>
      <c r="AH234" s="12" t="str">
        <f>IF([1]TK1!P230=0,"-",[1]TK1!P231/[1]TK1!P230*100)</f>
        <v>-</v>
      </c>
      <c r="AI234" s="12" t="str">
        <f>IF([1]TK1!Q230=0,"-",[1]TK1!Q231/[1]TK1!Q230*100)</f>
        <v>-</v>
      </c>
      <c r="AJ234" s="12"/>
      <c r="AK234" s="12" t="str">
        <f>IF([1]TK1!S230=0,"-",([1]TK1!S231/[1]TK1!S230*100))</f>
        <v>-</v>
      </c>
    </row>
    <row r="235" spans="1:37">
      <c r="A235" s="7">
        <v>4</v>
      </c>
      <c r="B235" s="8" t="s">
        <v>221</v>
      </c>
      <c r="C235" s="8" t="s">
        <v>47</v>
      </c>
      <c r="D235" s="9">
        <v>52.052026411657558</v>
      </c>
      <c r="E235" s="9">
        <v>57.17</v>
      </c>
      <c r="F235" s="9">
        <v>56.99</v>
      </c>
      <c r="G235" s="9">
        <v>57.351598173515981</v>
      </c>
      <c r="H235" s="9">
        <v>57.012750455373407</v>
      </c>
      <c r="I235" s="9">
        <v>57.168949771689491</v>
      </c>
      <c r="J235" s="9">
        <v>57.351598173515981</v>
      </c>
      <c r="K235" s="9">
        <v>57.168949771689491</v>
      </c>
      <c r="L235" s="9">
        <v>59.289617486338798</v>
      </c>
      <c r="M235" s="9">
        <v>57.351598173515981</v>
      </c>
      <c r="N235" s="9">
        <v>57.168949771689491</v>
      </c>
      <c r="O235" s="9">
        <v>56.758675799086753</v>
      </c>
      <c r="P235" s="9">
        <v>57.19489981785064</v>
      </c>
      <c r="Q235" s="9">
        <v>56.986301369863014</v>
      </c>
      <c r="R235" s="9">
        <v>57.78</v>
      </c>
      <c r="S235" s="9">
        <v>57.168949771689491</v>
      </c>
      <c r="T235" s="9">
        <v>63.8</v>
      </c>
      <c r="U235" s="9">
        <f>[1]TK1!C232/[1]TK1!C336*100</f>
        <v>57.777777777777771</v>
      </c>
      <c r="V235" s="9">
        <f>[1]TK1!D232/[1]TK1!D336*100</f>
        <v>55.913978494623649</v>
      </c>
      <c r="W235" s="9">
        <f>[1]TK1!E232/[1]TK1!E336*100</f>
        <v>57.777777777777771</v>
      </c>
      <c r="X235" s="9">
        <f>[1]TK1!F232/[1]TK1!F336*100</f>
        <v>57.142857142857139</v>
      </c>
      <c r="Y235" s="9">
        <f>[1]TK1!G232/[1]TK1!G336*100</f>
        <v>58.064516129032263</v>
      </c>
      <c r="Z235" s="9">
        <f>[1]TK1!H232/[1]TK1!H336*100</f>
        <v>60.215053763440864</v>
      </c>
      <c r="AA235" s="9">
        <f>[1]TK1!I232/[1]TK1!I336*100</f>
        <v>62.222222222222221</v>
      </c>
      <c r="AB235" s="9">
        <f>[1]TK1!J232/[1]TK1!J336*100</f>
        <v>60.144927536231883</v>
      </c>
      <c r="AC235" s="9">
        <f>[1]TK1!K232/[1]TK1!K336*100</f>
        <v>60.215053763440864</v>
      </c>
      <c r="AD235" s="9">
        <f>[1]TK1!L232/[1]TK1!L336*100</f>
        <v>57.777777777777771</v>
      </c>
      <c r="AE235" s="9">
        <f>[1]TK1!M232/[1]TK1!M336*100</f>
        <v>58.064516129032263</v>
      </c>
      <c r="AF235" s="9">
        <f>[1]TK1!N232/[1]TK1!N336*100</f>
        <v>58.695652173913047</v>
      </c>
      <c r="AG235" s="9" t="e">
        <f>[1]TK1!O232/[1]TK1!O336*100</f>
        <v>#DIV/0!</v>
      </c>
      <c r="AH235" s="9" t="e">
        <f>[1]TK1!P232/[1]TK1!P336*100</f>
        <v>#DIV/0!</v>
      </c>
      <c r="AI235" s="9" t="e">
        <f>[1]TK1!Q232/[1]TK1!Q336*100</f>
        <v>#DIV/0!</v>
      </c>
      <c r="AJ235" s="9"/>
      <c r="AK235" s="9">
        <f>[1]TK1!S232/[1]TK1!S336*100</f>
        <v>58.666666666666664</v>
      </c>
    </row>
    <row r="236" spans="1:37">
      <c r="A236" s="7">
        <v>5</v>
      </c>
      <c r="B236" s="3" t="s">
        <v>242</v>
      </c>
      <c r="C236" s="8" t="s">
        <v>47</v>
      </c>
      <c r="D236" s="9">
        <v>58.490677456394558</v>
      </c>
      <c r="E236" s="9">
        <v>47.94</v>
      </c>
      <c r="F236" s="9">
        <v>44.07</v>
      </c>
      <c r="G236" s="9">
        <v>63.17675159235668</v>
      </c>
      <c r="H236" s="9">
        <v>68.630191693290726</v>
      </c>
      <c r="I236" s="9">
        <v>52.525958466453673</v>
      </c>
      <c r="J236" s="9">
        <v>50.323447452229296</v>
      </c>
      <c r="K236" s="9">
        <v>52.196485623003198</v>
      </c>
      <c r="L236" s="9">
        <v>58.602150537634415</v>
      </c>
      <c r="M236" s="9">
        <v>46.855095541401276</v>
      </c>
      <c r="N236" s="9">
        <v>50.818690095846641</v>
      </c>
      <c r="O236" s="9">
        <v>43.462870520468385</v>
      </c>
      <c r="P236" s="9">
        <v>46.775477707006367</v>
      </c>
      <c r="Q236" s="9">
        <v>40.434695512820511</v>
      </c>
      <c r="R236" s="9">
        <v>41.753194888178911</v>
      </c>
      <c r="S236" s="9">
        <v>39.347044728434504</v>
      </c>
      <c r="T236" s="9">
        <v>78</v>
      </c>
      <c r="U236" s="9">
        <f>[1]TK1!C233/[1]TK1!C232*100</f>
        <v>40.144230769230774</v>
      </c>
      <c r="V236" s="9">
        <f>[1]TK1!D233/[1]TK1!D232*100</f>
        <v>65.625</v>
      </c>
      <c r="W236" s="9">
        <f>[1]TK1!E233/[1]TK1!E232*100</f>
        <v>22.115384615384613</v>
      </c>
      <c r="X236" s="9">
        <f>[1]TK1!F233/[1]TK1!F232*100</f>
        <v>42.628205128205124</v>
      </c>
      <c r="Y236" s="9">
        <f>[1]TK1!G233/[1]TK1!G232*100</f>
        <v>30.555555555555557</v>
      </c>
      <c r="Z236" s="9">
        <f>[1]TK1!H233/[1]TK1!H232*100</f>
        <v>71.205357142857139</v>
      </c>
      <c r="AA236" s="9">
        <f>[1]TK1!I233/[1]TK1!I232*100</f>
        <v>44.642857142857146</v>
      </c>
      <c r="AB236" s="9">
        <f>[1]TK1!J233/[1]TK1!J232*100</f>
        <v>49.021084337349393</v>
      </c>
      <c r="AC236" s="9">
        <f>[1]TK1!K233/[1]TK1!K232*100</f>
        <v>55.580357142857139</v>
      </c>
      <c r="AD236" s="9">
        <f>[1]TK1!L233/[1]TK1!L232*100</f>
        <v>40.865384615384613</v>
      </c>
      <c r="AE236" s="9">
        <f>[1]TK1!M233/[1]TK1!M232*100</f>
        <v>35.416666666666671</v>
      </c>
      <c r="AF236" s="9">
        <f>[1]TK1!N233/[1]TK1!N232*100</f>
        <v>44.135802469135804</v>
      </c>
      <c r="AG236" s="9" t="e">
        <f>[1]TK1!O233/[1]TK1!O232*100</f>
        <v>#DIV/0!</v>
      </c>
      <c r="AH236" s="9" t="e">
        <f>[1]TK1!P233/[1]TK1!P232*100</f>
        <v>#DIV/0!</v>
      </c>
      <c r="AI236" s="9" t="e">
        <f>[1]TK1!Q233/[1]TK1!Q232*100</f>
        <v>#DIV/0!</v>
      </c>
      <c r="AJ236" s="9"/>
      <c r="AK236" s="9">
        <f>[1]TK1!S233/[1]TK1!S232*100</f>
        <v>45.325413223140501</v>
      </c>
    </row>
    <row r="237" spans="1:37">
      <c r="A237" s="7">
        <v>6</v>
      </c>
      <c r="B237" s="8" t="s">
        <v>243</v>
      </c>
      <c r="C237" s="8" t="s">
        <v>224</v>
      </c>
      <c r="D237" s="9">
        <v>14.517226680227644</v>
      </c>
      <c r="E237" s="9">
        <v>15.94</v>
      </c>
      <c r="F237" s="11">
        <v>15</v>
      </c>
      <c r="G237" s="11">
        <v>15.322936357908002</v>
      </c>
      <c r="H237" s="11">
        <v>14.831539132964794</v>
      </c>
      <c r="I237" s="11">
        <v>15.357536590001901</v>
      </c>
      <c r="J237" s="11">
        <v>14.657964995550282</v>
      </c>
      <c r="K237" s="11">
        <v>15.540933435348126</v>
      </c>
      <c r="L237" s="11">
        <v>15.325360419397116</v>
      </c>
      <c r="M237" s="11">
        <v>15.738742565845369</v>
      </c>
      <c r="N237" s="11">
        <v>15.615717092337917</v>
      </c>
      <c r="O237" s="9">
        <v>15.935215178158261</v>
      </c>
      <c r="P237" s="9">
        <v>16.01276595744681</v>
      </c>
      <c r="Q237" s="12">
        <v>15.699281644785732</v>
      </c>
      <c r="R237" s="12">
        <v>15.367288378766141</v>
      </c>
      <c r="S237" s="12">
        <v>16.604922608475007</v>
      </c>
      <c r="T237" s="11">
        <v>14</v>
      </c>
      <c r="U237" s="12">
        <f>[1]TK1!C229/[1]TK1!C233</f>
        <v>16.82634730538922</v>
      </c>
      <c r="V237" s="12">
        <f>[1]TK1!D229/[1]TK1!D233</f>
        <v>12.487179487179487</v>
      </c>
      <c r="W237" s="12">
        <f>[1]TK1!E229/[1]TK1!E233</f>
        <v>12.391304347826088</v>
      </c>
      <c r="X237" s="12">
        <f>[1]TK1!F229/[1]TK1!F233</f>
        <v>13.832706766917294</v>
      </c>
      <c r="Y237" s="12">
        <f>[1]TK1!G229/[1]TK1!G233</f>
        <v>16.598484848484848</v>
      </c>
      <c r="Z237" s="12">
        <f>[1]TK1!H229/[1]TK1!H233</f>
        <v>9.5579937304075226</v>
      </c>
      <c r="AA237" s="12">
        <f>[1]TK1!I229/[1]TK1!I233</f>
        <v>15.03</v>
      </c>
      <c r="AB237" s="12">
        <f>[1]TK1!J229/[1]TK1!J233</f>
        <v>12.666666666666666</v>
      </c>
      <c r="AC237" s="12">
        <f>[1]TK1!K229/[1]TK1!K233</f>
        <v>16.895582329317268</v>
      </c>
      <c r="AD237" s="12">
        <f>[1]TK1!L229/[1]TK1!L233</f>
        <v>16.929411764705883</v>
      </c>
      <c r="AE237" s="12">
        <f>[1]TK1!M229/[1]TK1!M233</f>
        <v>16.718954248366014</v>
      </c>
      <c r="AF237" s="12">
        <f>[1]TK1!N229/[1]TK1!N233</f>
        <v>16.85839160839161</v>
      </c>
      <c r="AG237" s="12" t="e">
        <f>[1]TK1!O229/[1]TK1!O233</f>
        <v>#DIV/0!</v>
      </c>
      <c r="AH237" s="12" t="e">
        <f>[1]TK1!P229/[1]TK1!P233</f>
        <v>#DIV/0!</v>
      </c>
      <c r="AI237" s="12" t="e">
        <f>[1]TK1!Q229/[1]TK1!Q233</f>
        <v>#DIV/0!</v>
      </c>
      <c r="AJ237" s="12"/>
      <c r="AK237" s="12">
        <f>[1]TK1!S229/[1]TK1!S233</f>
        <v>14.386324786324787</v>
      </c>
    </row>
    <row r="238" spans="1:37">
      <c r="A238" s="7" t="s">
        <v>244</v>
      </c>
      <c r="B238" s="3" t="s">
        <v>245</v>
      </c>
      <c r="C238" s="8"/>
      <c r="D238" s="13"/>
      <c r="E238" s="13"/>
      <c r="F238" s="13"/>
      <c r="G238" s="13"/>
      <c r="H238" s="13"/>
      <c r="I238" s="13"/>
      <c r="J238" s="13"/>
      <c r="K238" s="6"/>
      <c r="L238" s="6"/>
      <c r="M238" s="6"/>
      <c r="N238" s="6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spans="1:37">
      <c r="A239" s="7">
        <v>1</v>
      </c>
      <c r="B239" s="8" t="s">
        <v>238</v>
      </c>
      <c r="C239" s="8" t="s">
        <v>47</v>
      </c>
      <c r="D239" s="9">
        <v>0.26214307379002555</v>
      </c>
      <c r="E239" s="9">
        <v>0.56000000000000005</v>
      </c>
      <c r="F239" s="9">
        <v>0.66</v>
      </c>
      <c r="G239" s="9">
        <v>0.60914861518317154</v>
      </c>
      <c r="H239" s="9">
        <v>0.39762895327859804</v>
      </c>
      <c r="I239" s="9">
        <v>0.73796415602670729</v>
      </c>
      <c r="J239" s="9">
        <v>0.62206038537399488</v>
      </c>
      <c r="K239" s="9">
        <v>1.2840837032339885</v>
      </c>
      <c r="L239" s="9">
        <v>1.34015092161148</v>
      </c>
      <c r="M239" s="9">
        <v>1.4239125442101879</v>
      </c>
      <c r="N239" s="9">
        <v>0.98595648693880522</v>
      </c>
      <c r="O239" s="9">
        <v>1.743411759958029</v>
      </c>
      <c r="P239" s="9">
        <v>1.7590643274853803</v>
      </c>
      <c r="Q239" s="9">
        <v>3.0184089778318315</v>
      </c>
      <c r="R239" s="9">
        <v>4.9191090269636577</v>
      </c>
      <c r="S239" s="9">
        <v>0.96153846153846156</v>
      </c>
      <c r="T239" s="3" t="s">
        <v>239</v>
      </c>
      <c r="U239" s="9">
        <f>IF([1]TK1!C238=0,"-",([1]TK1!C238/[1]TK1!C237*100))</f>
        <v>2.4281150159744409</v>
      </c>
      <c r="V239" s="9">
        <f>IF([1]TK1!D238=0,"-",([1]TK1!D238/[1]TK1!D237*100))</f>
        <v>1.0550458715596331</v>
      </c>
      <c r="W239" s="9">
        <f>IF([1]TK1!E238=0,"-",([1]TK1!E238/[1]TK1!E237*100))</f>
        <v>0.17505470459518599</v>
      </c>
      <c r="X239" s="9">
        <f>IF([1]TK1!F238=0,"-",([1]TK1!F238/[1]TK1!F237*100))</f>
        <v>1.0779436152570481</v>
      </c>
      <c r="Y239" s="9">
        <f>IF([1]TK1!G238=0,"-",([1]TK1!G238/[1]TK1!G237*100))</f>
        <v>1.1990407673860912</v>
      </c>
      <c r="Z239" s="9">
        <f>IF([1]TK1!H238=0,"-",([1]TK1!H238/[1]TK1!H237*100))</f>
        <v>0.89853987270685132</v>
      </c>
      <c r="AA239" s="9">
        <f>IF([1]TK1!I238=0,"-",([1]TK1!I238/[1]TK1!I237*100))</f>
        <v>1.5001595914458985</v>
      </c>
      <c r="AB239" s="9">
        <f>IF([1]TK1!J238=0,"-",([1]TK1!J238/[1]TK1!J239*100))</f>
        <v>1.260173273825151</v>
      </c>
      <c r="AC239" s="9">
        <f>IF([1]TK1!K238=0,"-",([1]TK1!K238/[1]TK1!K237*100))</f>
        <v>1.7047282084271469</v>
      </c>
      <c r="AD239" s="9">
        <f>IF([1]TK1!L238=0,"-",([1]TK1!L238/[1]TK1!L237*100))</f>
        <v>0.71942446043165476</v>
      </c>
      <c r="AE239" s="9">
        <f>IF([1]TK1!M238=0,"-",([1]TK1!M238/[1]TK1!M237*100))</f>
        <v>1.0372465818010372</v>
      </c>
      <c r="AF239" s="9">
        <f>IF([1]TK1!N238=0,"-",([1]TK1!N238/[1]TK1!N237*100))</f>
        <v>1.1780586575039882</v>
      </c>
      <c r="AG239" s="9" t="str">
        <f>IF([1]TK1!O238=0,"-",([1]TK1!O238/[1]TK1!O237*100))</f>
        <v>-</v>
      </c>
      <c r="AH239" s="9" t="str">
        <f>IF([1]TK1!P238=0,"-",([1]TK1!P238/[1]TK1!P237*100))</f>
        <v>-</v>
      </c>
      <c r="AI239" s="9" t="str">
        <f>IF([1]TK1!Q238=0,"-",([1]TK1!Q238/[1]TK1!Q237*100))</f>
        <v>-</v>
      </c>
      <c r="AJ239" s="9"/>
      <c r="AK239" s="9">
        <f>IF([1]TK1!S238=0,"-",([1]TK1!S238/[1]TK1!S237*100))</f>
        <v>1.1645822004712707</v>
      </c>
    </row>
    <row r="240" spans="1:37">
      <c r="A240" s="7">
        <v>2</v>
      </c>
      <c r="B240" s="8" t="s">
        <v>240</v>
      </c>
      <c r="C240" s="8" t="s">
        <v>47</v>
      </c>
      <c r="D240" s="9">
        <v>94.609535552815444</v>
      </c>
      <c r="E240" s="9">
        <v>92.86</v>
      </c>
      <c r="F240" s="9">
        <v>93.83</v>
      </c>
      <c r="G240" s="9">
        <v>93.040049028751099</v>
      </c>
      <c r="H240" s="9">
        <v>93.151298119964181</v>
      </c>
      <c r="I240" s="9">
        <v>94.604928968154283</v>
      </c>
      <c r="J240" s="9">
        <v>93.795868685783844</v>
      </c>
      <c r="K240" s="9">
        <v>94.106090373280949</v>
      </c>
      <c r="L240" s="9">
        <v>93.66216480720297</v>
      </c>
      <c r="M240" s="9">
        <v>93.126491646778049</v>
      </c>
      <c r="N240" s="9">
        <v>90.992677789294191</v>
      </c>
      <c r="O240" s="9">
        <v>91.4796686746988</v>
      </c>
      <c r="P240" s="9">
        <v>90.209640003436718</v>
      </c>
      <c r="Q240" s="9">
        <v>89.826943302418968</v>
      </c>
      <c r="R240" s="9">
        <v>88.357157654858085</v>
      </c>
      <c r="S240" s="9">
        <v>91.319509542914986</v>
      </c>
      <c r="T240" s="9">
        <v>90</v>
      </c>
      <c r="U240" s="9">
        <f>IF([1]TK1!C236=0,"-",([1]TK1!C239/[1]TK1!C236*100))</f>
        <v>93.024691358024697</v>
      </c>
      <c r="V240" s="9">
        <f>IF([1]TK1!D236=0,"-",([1]TK1!D239/[1]TK1!D236*100))</f>
        <v>91.004366812227076</v>
      </c>
      <c r="W240" s="9">
        <f>IF([1]TK1!E236=0,"-",([1]TK1!E239/[1]TK1!E236*100))</f>
        <v>92.224622030237583</v>
      </c>
      <c r="X240" s="12">
        <f>IF([1]TK1!F236=0,"-",([1]TK1!F237/[1]TK1!F236*100))</f>
        <v>96.867469879518069</v>
      </c>
      <c r="Y240" s="9">
        <f>IF([1]TK1!G236=0,"-",([1]TK1!G239/[1]TK1!G236*100))</f>
        <v>92.039800995024876</v>
      </c>
      <c r="Z240" s="9">
        <f>IF([1]TK1!H236=0,"-",([1]TK1!H239/[1]TK1!H236*100))</f>
        <v>92.374100719424462</v>
      </c>
      <c r="AA240" s="9">
        <f>IF([1]TK1!I236=0,"-",([1]TK1!I239/[1]TK1!I236*100))</f>
        <v>91.920731707317074</v>
      </c>
      <c r="AB240" s="12">
        <f>IF([1]TK1!J236=0,"-",([1]TK1!J237/[1]TK1!J236*100))</f>
        <v>95.381453270463069</v>
      </c>
      <c r="AC240" s="9">
        <f>IF([1]TK1!K236=0,"-",([1]TK1!K239/[1]TK1!K236*100))</f>
        <v>92.972136222910223</v>
      </c>
      <c r="AD240" s="9">
        <f>IF([1]TK1!L236=0,"-",([1]TK1!L239/[1]TK1!L236*100))</f>
        <v>92.189542483660134</v>
      </c>
      <c r="AE240" s="9">
        <f>IF([1]TK1!M236=0,"-",([1]TK1!M239/[1]TK1!M236*100))</f>
        <v>91.936936936936945</v>
      </c>
      <c r="AF240" s="9">
        <f>IF([1]TK1!N236=0,"-",([1]TK1!N237/[1]TK1!N236*100))</f>
        <v>95.757931844888361</v>
      </c>
      <c r="AG240" s="9" t="str">
        <f>IF([1]TK1!O236=0,"-",([1]TK1!O239/[1]TK1!O236*100))</f>
        <v>-</v>
      </c>
      <c r="AH240" s="9" t="str">
        <f>IF([1]TK1!P236=0,"-",([1]TK1!P239/[1]TK1!P236*100))</f>
        <v>-</v>
      </c>
      <c r="AI240" s="12" t="str">
        <f>IF([1]TK1!Q236=0,"-",([1]TK1!Q237/[1]TK1!Q236*100))</f>
        <v>-</v>
      </c>
      <c r="AJ240" s="12"/>
      <c r="AK240" s="9">
        <f>IF([1]TK1!S236=0,"-",([1]TK1!S239/[1]TK1!S236*100))</f>
        <v>92.188994175432498</v>
      </c>
    </row>
    <row r="241" spans="1:37">
      <c r="A241" s="7">
        <v>3</v>
      </c>
      <c r="B241" s="8" t="s">
        <v>241</v>
      </c>
      <c r="C241" s="8" t="s">
        <v>47</v>
      </c>
      <c r="D241" s="9">
        <v>78.940886699507388</v>
      </c>
      <c r="E241" s="9">
        <v>100</v>
      </c>
      <c r="F241" s="14" t="s">
        <v>5</v>
      </c>
      <c r="G241" s="14">
        <v>81.519861830742656</v>
      </c>
      <c r="H241" s="14">
        <v>100</v>
      </c>
      <c r="I241" s="14">
        <v>73.643410852713174</v>
      </c>
      <c r="J241" s="14">
        <v>62.146892655367239</v>
      </c>
      <c r="K241" s="18" t="s">
        <v>5</v>
      </c>
      <c r="L241" s="18" t="s">
        <v>5</v>
      </c>
      <c r="M241" s="18" t="s">
        <v>5</v>
      </c>
      <c r="N241" s="18" t="s">
        <v>5</v>
      </c>
      <c r="O241" s="12" t="s">
        <v>5</v>
      </c>
      <c r="P241" s="12" t="s">
        <v>5</v>
      </c>
      <c r="Q241" s="12" t="s">
        <v>5</v>
      </c>
      <c r="R241" s="12" t="s">
        <v>5</v>
      </c>
      <c r="S241" s="12" t="s">
        <v>5</v>
      </c>
      <c r="T241" s="12">
        <v>80</v>
      </c>
      <c r="U241" s="12" t="str">
        <f>IF([1]TK1!C240=0,"-",([1]TK1!C241/[1]TK1!C240*100))</f>
        <v>-</v>
      </c>
      <c r="V241" s="12" t="str">
        <f>IF([1]TK1!D240=0,"-",([1]TK1!D241/[1]TK1!D240*100))</f>
        <v>-</v>
      </c>
      <c r="W241" s="12" t="str">
        <f>IF([1]TK1!E240=0,"-",([1]TK1!E241/[1]TK1!E240*100))</f>
        <v>-</v>
      </c>
      <c r="X241" s="12" t="str">
        <f>IF([1]TK1!F240=0,"-",([1]TK1!F241/[1]TK1!F240*100))</f>
        <v>-</v>
      </c>
      <c r="Y241" s="12" t="str">
        <f>IF([1]TK1!G240=0,"-",([1]TK1!G241/[1]TK1!G240*100))</f>
        <v>-</v>
      </c>
      <c r="Z241" s="12" t="str">
        <f>IF([1]TK1!H240=0,"-",([1]TK1!H241/[1]TK1!H240*100))</f>
        <v>-</v>
      </c>
      <c r="AA241" s="12" t="str">
        <f>IF([1]TK1!I240=0,"-",([1]TK1!I241/[1]TK1!I240*100))</f>
        <v>-</v>
      </c>
      <c r="AB241" s="12" t="str">
        <f>IF([1]TK1!J240=0,"-",([1]TK1!J241/[1]TK1!J240*100))</f>
        <v>-</v>
      </c>
      <c r="AC241" s="12" t="str">
        <f>IF([1]TK1!K240=0,"-",([1]TK1!K241/[1]TK1!K240*100))</f>
        <v>-</v>
      </c>
      <c r="AD241" s="12" t="str">
        <f>IF([1]TK1!L240=0,"-",([1]TK1!L241/[1]TK1!L240*100))</f>
        <v>-</v>
      </c>
      <c r="AE241" s="12" t="str">
        <f>IF([1]TK1!M240=0,"-",([1]TK1!M241/[1]TK1!M240*100))</f>
        <v>-</v>
      </c>
      <c r="AF241" s="12" t="str">
        <f>IF([1]TK1!N240=0,"-",([1]TK1!N241/[1]TK1!N240*100))</f>
        <v>-</v>
      </c>
      <c r="AG241" s="12" t="str">
        <f>IF([1]TK1!O240=0,"-",([1]TK1!O241/[1]TK1!O240*100))</f>
        <v>-</v>
      </c>
      <c r="AH241" s="12" t="str">
        <f>IF([1]TK1!P240=0,"-",([1]TK1!P241/[1]TK1!P240*100))</f>
        <v>-</v>
      </c>
      <c r="AI241" s="12" t="str">
        <f>IF([1]TK1!Q240=0,"-",([1]TK1!Q241/[1]TK1!Q240*100))</f>
        <v>-</v>
      </c>
      <c r="AJ241" s="12"/>
      <c r="AK241" s="12" t="str">
        <f>IF([1]TK1!S240=0,"-",([1]TK1!S241/[1]TK1!S240*100))</f>
        <v>-</v>
      </c>
    </row>
    <row r="242" spans="1:37">
      <c r="A242" s="7">
        <v>4</v>
      </c>
      <c r="B242" s="8" t="s">
        <v>221</v>
      </c>
      <c r="C242" s="8" t="s">
        <v>47</v>
      </c>
      <c r="D242" s="12">
        <v>84.972677595628426</v>
      </c>
      <c r="E242" s="12">
        <v>85.8</v>
      </c>
      <c r="F242" s="9">
        <v>85.48</v>
      </c>
      <c r="G242" s="9">
        <v>86.301369863013704</v>
      </c>
      <c r="H242" s="9">
        <v>85.792349726775953</v>
      </c>
      <c r="I242" s="9">
        <v>85.753424657534254</v>
      </c>
      <c r="J242" s="9">
        <v>86.027397260273972</v>
      </c>
      <c r="K242" s="9">
        <v>85.753424657534254</v>
      </c>
      <c r="L242" s="9">
        <v>85.519125683060111</v>
      </c>
      <c r="M242" s="9">
        <v>85.753424657534254</v>
      </c>
      <c r="N242" s="9">
        <v>85.753424657534254</v>
      </c>
      <c r="O242" s="9">
        <v>85.753424657534254</v>
      </c>
      <c r="P242" s="9">
        <v>85.792349726775953</v>
      </c>
      <c r="Q242" s="9">
        <v>85.479452054794521</v>
      </c>
      <c r="R242" s="9">
        <v>75.56</v>
      </c>
      <c r="S242" s="9">
        <v>85.753424657534254</v>
      </c>
      <c r="T242" s="9">
        <v>75.900000000000006</v>
      </c>
      <c r="U242" s="9">
        <f>[1]TK1!C242/([1]TK1!C336*2)*100</f>
        <v>86.666666666666671</v>
      </c>
      <c r="V242" s="9">
        <f>[1]TK1!D242/([1]TK1!D336*2)*100</f>
        <v>83.870967741935488</v>
      </c>
      <c r="W242" s="9">
        <f>[1]TK1!E242/([1]TK1!E336*2)*100</f>
        <v>86.666666666666671</v>
      </c>
      <c r="X242" s="9">
        <f>[1]TK1!F242/([1]TK1!F336*2)*100</f>
        <v>85.714285714285708</v>
      </c>
      <c r="Y242" s="9">
        <f>[1]TK1!G242/([1]TK1!G336*2)*100</f>
        <v>87.096774193548384</v>
      </c>
      <c r="Z242" s="9">
        <f>[1]TK1!H242/([1]TK1!H336*2)*100</f>
        <v>83.870967741935488</v>
      </c>
      <c r="AA242" s="9">
        <f>[1]TK1!I242/([1]TK1!I336*2)*100</f>
        <v>86.666666666666671</v>
      </c>
      <c r="AB242" s="9">
        <f>[1]TK1!J242/([1]TK1!J336*2)*100</f>
        <v>85.869565217391312</v>
      </c>
      <c r="AC242" s="9">
        <f>[1]TK1!K242/([1]TK1!K336*2)*100</f>
        <v>87.096774193548384</v>
      </c>
      <c r="AD242" s="9">
        <f>[1]TK1!L242/([1]TK1!L336*2)*100</f>
        <v>83.333333333333343</v>
      </c>
      <c r="AE242" s="9">
        <f>[1]TK1!M242/([1]TK1!M336*2)*100</f>
        <v>87.096774193548384</v>
      </c>
      <c r="AF242" s="9">
        <f>[1]TK1!N242/([1]TK1!N336*2)*100</f>
        <v>85.869565217391312</v>
      </c>
      <c r="AG242" s="9" t="e">
        <f>[1]TK1!O242/([1]TK1!O336*2)*100</f>
        <v>#DIV/0!</v>
      </c>
      <c r="AH242" s="9" t="e">
        <f>[1]TK1!P242/([1]TK1!P336*2)*100</f>
        <v>#DIV/0!</v>
      </c>
      <c r="AI242" s="9" t="e">
        <f>[1]TK1!Q242/([1]TK1!Q336*2)*100</f>
        <v>#DIV/0!</v>
      </c>
      <c r="AJ242" s="9"/>
      <c r="AK242" s="9">
        <f>[1]TK1!S242/([1]TK1!S336*2)*100</f>
        <v>85.818181818181813</v>
      </c>
    </row>
    <row r="243" spans="1:37">
      <c r="A243" s="7">
        <v>5</v>
      </c>
      <c r="B243" s="3" t="s">
        <v>246</v>
      </c>
      <c r="C243" s="8" t="s">
        <v>47</v>
      </c>
      <c r="D243" s="12">
        <v>69.022976956055743</v>
      </c>
      <c r="E243" s="12">
        <v>62.8</v>
      </c>
      <c r="F243" s="9">
        <v>58.95</v>
      </c>
      <c r="G243" s="9">
        <v>72.859259259259261</v>
      </c>
      <c r="H243" s="9">
        <v>62.386677282377924</v>
      </c>
      <c r="I243" s="9">
        <v>60.629659211927574</v>
      </c>
      <c r="J243" s="9">
        <v>67.876194267515928</v>
      </c>
      <c r="K243" s="9">
        <v>56.651357827476033</v>
      </c>
      <c r="L243" s="9">
        <v>72.257720979765708</v>
      </c>
      <c r="M243" s="9">
        <v>73.845181043663473</v>
      </c>
      <c r="N243" s="9">
        <v>73.20287539936102</v>
      </c>
      <c r="O243" s="9">
        <v>68.226837060702877</v>
      </c>
      <c r="P243" s="9">
        <v>58.008227176220807</v>
      </c>
      <c r="Q243" s="9">
        <v>58.193108974358978</v>
      </c>
      <c r="R243" s="9">
        <v>71.219355758266829</v>
      </c>
      <c r="S243" s="9">
        <v>72.973242811501592</v>
      </c>
      <c r="T243" s="9">
        <v>85</v>
      </c>
      <c r="U243" s="9">
        <f>[1]TK1!C243/[1]TK1!C242*100</f>
        <v>51.762820512820518</v>
      </c>
      <c r="V243" s="9">
        <f>[1]TK1!D243/[1]TK1!D242*100</f>
        <v>73.517628205128204</v>
      </c>
      <c r="W243" s="9">
        <f>[1]TK1!E243/[1]TK1!E242*100</f>
        <v>84.935897435897431</v>
      </c>
      <c r="X243" s="9">
        <f>[1]TK1!F243/[1]TK1!F242*100</f>
        <v>70.072115384615387</v>
      </c>
      <c r="Y243" s="9">
        <f>[1]TK1!G243/[1]TK1!G242*100</f>
        <v>68.981481481481481</v>
      </c>
      <c r="Z243" s="9">
        <f>[1]TK1!H243/[1]TK1!H242*100</f>
        <v>82.932692307692307</v>
      </c>
      <c r="AA243" s="9">
        <f>[1]TK1!I243/[1]TK1!I242*100</f>
        <v>73.197115384615387</v>
      </c>
      <c r="AB243" s="9">
        <f>[1]TK1!J243/[1]TK1!J242*100</f>
        <v>74.960443037974684</v>
      </c>
      <c r="AC243" s="9">
        <f>[1]TK1!K243/[1]TK1!K242*100</f>
        <v>73.495370370370367</v>
      </c>
      <c r="AD243" s="9">
        <f>[1]TK1!L243/[1]TK1!L242*100</f>
        <v>82.583333333333329</v>
      </c>
      <c r="AE243" s="9">
        <f>[1]TK1!M243/[1]TK1!M242*100</f>
        <v>49.768518518518519</v>
      </c>
      <c r="AF243" s="9">
        <f>[1]TK1!N243/[1]TK1!N242*100</f>
        <v>68.262130801687761</v>
      </c>
      <c r="AG243" s="9" t="e">
        <f>[1]TK1!O243/[1]TK1!O242*100</f>
        <v>#DIV/0!</v>
      </c>
      <c r="AH243" s="9" t="e">
        <f>[1]TK1!P243/[1]TK1!P242*100</f>
        <v>#DIV/0!</v>
      </c>
      <c r="AI243" s="9" t="e">
        <f>[1]TK1!Q243/[1]TK1!Q242*100</f>
        <v>#DIV/0!</v>
      </c>
      <c r="AJ243" s="9"/>
      <c r="AK243" s="9">
        <f>[1]TK1!S243/[1]TK1!S242*100</f>
        <v>71.10257768361582</v>
      </c>
    </row>
    <row r="244" spans="1:37">
      <c r="A244" s="7">
        <v>6</v>
      </c>
      <c r="B244" s="8" t="s">
        <v>243</v>
      </c>
      <c r="C244" s="8" t="s">
        <v>224</v>
      </c>
      <c r="D244" s="12">
        <v>4.4679849569331553</v>
      </c>
      <c r="E244" s="12">
        <v>4.0999999999999996</v>
      </c>
      <c r="F244" s="9">
        <v>3.03</v>
      </c>
      <c r="G244" s="9">
        <v>3.1695702376111079</v>
      </c>
      <c r="H244" s="9">
        <v>2.8770849906199349</v>
      </c>
      <c r="I244" s="9">
        <v>3.7211549017455265</v>
      </c>
      <c r="J244" s="9">
        <v>2.5610197159418591</v>
      </c>
      <c r="K244" s="9">
        <v>2.1948468506573615</v>
      </c>
      <c r="L244" s="9">
        <v>2.2039425202652909</v>
      </c>
      <c r="M244" s="9">
        <v>1.9343819009419081</v>
      </c>
      <c r="N244" s="9">
        <v>2.4745408256046555</v>
      </c>
      <c r="O244" s="9">
        <v>2.3703465230625147</v>
      </c>
      <c r="P244" s="9">
        <v>2.4018071600137252</v>
      </c>
      <c r="Q244" s="9">
        <v>2.0756167527251863</v>
      </c>
      <c r="R244" s="9">
        <v>2.1338870265672689</v>
      </c>
      <c r="S244" s="9">
        <v>2.2213709125735397</v>
      </c>
      <c r="T244" s="12">
        <v>2</v>
      </c>
      <c r="U244" s="12">
        <f>[1]TK1!C239/[1]TK1!C243</f>
        <v>2.3328173374613002</v>
      </c>
      <c r="V244" s="9">
        <f>[1]TK1!D239/[1]TK1!D243</f>
        <v>2.2713896457765665</v>
      </c>
      <c r="W244" s="9">
        <f>[1]TK1!E239/[1]TK1!E243</f>
        <v>2.0141509433962264</v>
      </c>
      <c r="X244" s="9">
        <f>[1]TK1!F239/[1]TK1!F243</f>
        <v>2.1825805222031636</v>
      </c>
      <c r="Y244" s="9">
        <f>[1]TK1!G239/[1]TK1!G243</f>
        <v>2.2762863534675617</v>
      </c>
      <c r="Z244" s="9">
        <f>[1]TK1!H239/[1]TK1!H243</f>
        <v>2.4811594202898553</v>
      </c>
      <c r="AA244" s="9">
        <f>[1]TK1!I239/[1]TK1!I243</f>
        <v>3.3004926108374386</v>
      </c>
      <c r="AB244" s="9">
        <f>[1]TK1!J239/[1]TK1!J243</f>
        <v>2.6800351802990328</v>
      </c>
      <c r="AC244" s="9">
        <f>[1]TK1!K239/[1]TK1!K243</f>
        <v>3.1527559055118108</v>
      </c>
      <c r="AD244" s="9">
        <f>[1]TK1!L239/[1]TK1!L243</f>
        <v>2.8466195761856712</v>
      </c>
      <c r="AE244" s="9">
        <f>[1]TK1!M239/[1]TK1!M243</f>
        <v>3.1643410852713179</v>
      </c>
      <c r="AF244" s="9">
        <f>[1]TK1!N239/[1]TK1!N243</f>
        <v>3.0384392505311957</v>
      </c>
      <c r="AG244" s="9" t="e">
        <f>[1]TK1!O239/[1]TK1!O243</f>
        <v>#DIV/0!</v>
      </c>
      <c r="AH244" s="9" t="e">
        <f>[1]TK1!P239/[1]TK1!P243</f>
        <v>#DIV/0!</v>
      </c>
      <c r="AI244" s="9" t="e">
        <f>[1]TK1!Q239/[1]TK1!Q243</f>
        <v>#DIV/0!</v>
      </c>
      <c r="AJ244" s="9"/>
      <c r="AK244" s="9">
        <f>[1]TK1!S239/[1]TK1!S243</f>
        <v>2.633186417530573</v>
      </c>
    </row>
    <row r="245" spans="1:37">
      <c r="A245" s="7"/>
      <c r="B245" s="8"/>
      <c r="C245" s="8"/>
      <c r="D245" s="12"/>
      <c r="E245" s="12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2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43"/>
    </row>
    <row r="246" spans="1:37">
      <c r="A246" s="7"/>
      <c r="B246" s="8"/>
      <c r="C246" s="8"/>
      <c r="D246" s="12"/>
      <c r="E246" s="12"/>
      <c r="F246" s="12"/>
      <c r="G246" s="12"/>
      <c r="H246" s="12"/>
      <c r="I246" s="12"/>
      <c r="J246" s="12"/>
      <c r="K246" s="9"/>
      <c r="L246" s="3"/>
      <c r="M246" s="3"/>
      <c r="N246" s="3"/>
      <c r="O246" s="3"/>
      <c r="P246" s="3"/>
      <c r="Q246" s="9"/>
      <c r="R246" s="9"/>
      <c r="S246" s="9"/>
      <c r="T246" s="3" t="s">
        <v>44</v>
      </c>
      <c r="U246" s="3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 t="s">
        <v>247</v>
      </c>
    </row>
    <row r="247" spans="1:37" s="1" customFormat="1">
      <c r="B247" s="3"/>
      <c r="C247" s="8" t="s">
        <v>8</v>
      </c>
      <c r="D247" s="3" t="s">
        <v>9</v>
      </c>
      <c r="E247" s="6" t="s">
        <v>10</v>
      </c>
      <c r="F247" s="6" t="s">
        <v>11</v>
      </c>
      <c r="G247" s="6" t="s">
        <v>12</v>
      </c>
      <c r="H247" s="6" t="s">
        <v>13</v>
      </c>
      <c r="I247" s="3" t="s">
        <v>14</v>
      </c>
      <c r="J247" s="3" t="s">
        <v>15</v>
      </c>
      <c r="K247" s="3" t="s">
        <v>16</v>
      </c>
      <c r="L247" s="3" t="s">
        <v>17</v>
      </c>
      <c r="M247" s="3" t="s">
        <v>18</v>
      </c>
      <c r="N247" s="3" t="s">
        <v>19</v>
      </c>
      <c r="O247" s="3" t="s">
        <v>20</v>
      </c>
      <c r="P247" s="3" t="s">
        <v>21</v>
      </c>
      <c r="Q247" s="3" t="s">
        <v>22</v>
      </c>
      <c r="R247" s="3" t="s">
        <v>23</v>
      </c>
      <c r="S247" s="3" t="s">
        <v>24</v>
      </c>
      <c r="T247" s="3" t="s">
        <v>25</v>
      </c>
      <c r="U247" s="3" t="s">
        <v>26</v>
      </c>
      <c r="V247" s="3" t="s">
        <v>27</v>
      </c>
      <c r="W247" s="3" t="s">
        <v>28</v>
      </c>
      <c r="X247" s="3" t="s">
        <v>29</v>
      </c>
      <c r="Y247" s="3" t="s">
        <v>74</v>
      </c>
      <c r="Z247" s="3" t="s">
        <v>31</v>
      </c>
      <c r="AA247" s="3" t="s">
        <v>32</v>
      </c>
      <c r="AB247" s="3" t="s">
        <v>33</v>
      </c>
      <c r="AC247" s="3" t="s">
        <v>34</v>
      </c>
      <c r="AD247" s="3" t="s">
        <v>35</v>
      </c>
      <c r="AE247" s="3" t="s">
        <v>36</v>
      </c>
      <c r="AF247" s="3" t="s">
        <v>37</v>
      </c>
      <c r="AG247" s="3" t="s">
        <v>38</v>
      </c>
      <c r="AH247" s="3" t="s">
        <v>39</v>
      </c>
      <c r="AI247" s="3" t="s">
        <v>40</v>
      </c>
      <c r="AJ247" s="3"/>
      <c r="AK247" s="3" t="s">
        <v>42</v>
      </c>
    </row>
    <row r="248" spans="1:37">
      <c r="A248" s="7" t="s">
        <v>248</v>
      </c>
      <c r="B248" s="8" t="s">
        <v>249</v>
      </c>
      <c r="C248" s="8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spans="1:37">
      <c r="A249" s="7">
        <v>1</v>
      </c>
      <c r="B249" s="8" t="s">
        <v>250</v>
      </c>
      <c r="C249" s="8" t="s">
        <v>251</v>
      </c>
      <c r="D249" s="12">
        <v>16.293963819328358</v>
      </c>
      <c r="E249" s="12">
        <v>16.399999999999999</v>
      </c>
      <c r="F249" s="9">
        <v>15.18</v>
      </c>
      <c r="G249" s="9">
        <v>15.10271944750899</v>
      </c>
      <c r="H249" s="9">
        <v>13.243904261751577</v>
      </c>
      <c r="I249" s="9">
        <v>13.548354776744379</v>
      </c>
      <c r="J249" s="9">
        <v>14.473497433576432</v>
      </c>
      <c r="K249" s="9">
        <v>13.789119969056285</v>
      </c>
      <c r="L249" s="9">
        <v>14.012599192537937</v>
      </c>
      <c r="M249" s="9">
        <v>14.687635873887823</v>
      </c>
      <c r="N249" s="9">
        <v>16.215456015751354</v>
      </c>
      <c r="O249" s="9">
        <v>17.07997907112739</v>
      </c>
      <c r="P249" s="9">
        <v>13.838105622451883</v>
      </c>
      <c r="Q249" s="9">
        <v>18.336936518429845</v>
      </c>
      <c r="R249" s="9">
        <v>19.837499561757181</v>
      </c>
      <c r="S249" s="9">
        <v>21.686493712164427</v>
      </c>
      <c r="T249" s="9">
        <v>15.5</v>
      </c>
      <c r="U249" s="9">
        <f>([1]TK1!C256/[1]TK1!C246)*1000</f>
        <v>19.245068677062893</v>
      </c>
      <c r="V249" s="9">
        <f>([1]TK1!D256/[1]TK1!D246)*1000</f>
        <v>27.763501455809152</v>
      </c>
      <c r="W249" s="9">
        <f>([1]TK1!E256/[1]TK1!E246)*1000</f>
        <v>23.456940033626005</v>
      </c>
      <c r="X249" s="9">
        <f>([1]TK1!F256/[1]TK1!F246)*1000</f>
        <v>23.654284935560483</v>
      </c>
      <c r="Y249" s="9">
        <f>([1]TK1!G256/[1]TK1!G246)*1000</f>
        <v>37.972166998011922</v>
      </c>
      <c r="Z249" s="9" t="e">
        <f>([1]TK1!H256/[1]TK1!H246)*1000</f>
        <v>#DIV/0!</v>
      </c>
      <c r="AA249" s="9">
        <f>([1]TK1!I256/[1]TK1!I246)*1000</f>
        <v>31.185446009389672</v>
      </c>
      <c r="AB249" s="9">
        <f>([1]TK1!J256/[1]TK1!J246)*1000</f>
        <v>34.174693520140103</v>
      </c>
      <c r="AC249" s="9">
        <f>([1]TK1!K256/[1]TK1!K246)*1000</f>
        <v>21.860538328348813</v>
      </c>
      <c r="AD249" s="9">
        <f>([1]TK1!L256/[1]TK1!L246)*1000</f>
        <v>28.426633345233849</v>
      </c>
      <c r="AE249" s="9">
        <f>([1]TK1!M256/[1]TK1!M246)*1000</f>
        <v>20.144058450510062</v>
      </c>
      <c r="AF249" s="9">
        <f>([1]TK1!N256/[1]TK1!N246)*1000</f>
        <v>23.127232026654173</v>
      </c>
      <c r="AG249" s="9" t="e">
        <f>([1]TK1!O256/[1]TK1!O246)*1000</f>
        <v>#DIV/0!</v>
      </c>
      <c r="AH249" s="9" t="e">
        <f>([1]TK1!P256/[1]TK1!P246)*1000</f>
        <v>#DIV/0!</v>
      </c>
      <c r="AI249" s="9" t="e">
        <f>([1]TK1!Q256/[1]TK1!Q246)*1000</f>
        <v>#DIV/0!</v>
      </c>
      <c r="AJ249" s="9"/>
      <c r="AK249" s="9">
        <f>([1]TK1!S256/[1]TK1!S246)*1000</f>
        <v>24.851750927643785</v>
      </c>
    </row>
    <row r="250" spans="1:37">
      <c r="A250" s="7" t="s">
        <v>252</v>
      </c>
      <c r="B250" s="8" t="s">
        <v>253</v>
      </c>
      <c r="C250" s="8" t="s">
        <v>254</v>
      </c>
      <c r="D250" s="11">
        <v>126.07586824253248</v>
      </c>
      <c r="E250" s="11">
        <v>127</v>
      </c>
      <c r="F250" s="11">
        <v>129</v>
      </c>
      <c r="G250" s="11">
        <v>125.19822459019366</v>
      </c>
      <c r="H250" s="11">
        <v>127.48591934343386</v>
      </c>
      <c r="I250" s="11">
        <v>126.21754673989277</v>
      </c>
      <c r="J250" s="11">
        <v>133.47942734843403</v>
      </c>
      <c r="K250" s="11">
        <v>129.29523105107666</v>
      </c>
      <c r="L250" s="11">
        <v>120.86311184574136</v>
      </c>
      <c r="M250" s="11">
        <v>124.95078760307211</v>
      </c>
      <c r="N250" s="11">
        <v>75.641839157535273</v>
      </c>
      <c r="O250" s="11">
        <v>125.06714673672958</v>
      </c>
      <c r="P250" s="11">
        <v>125.33980565227462</v>
      </c>
      <c r="Q250" s="11">
        <v>83.470186939720293</v>
      </c>
      <c r="R250" s="11">
        <v>126.37819519542343</v>
      </c>
      <c r="S250" s="11">
        <v>125.8256416154684</v>
      </c>
      <c r="T250" s="3">
        <v>120</v>
      </c>
      <c r="U250" s="11">
        <f>[1]TK1!C258*1000000/[1]TK1!C260</f>
        <v>129.66296332460212</v>
      </c>
      <c r="V250" s="11">
        <f>[1]TK1!D258*1000000/[1]TK1!D260</f>
        <v>128.13664029245379</v>
      </c>
      <c r="W250" s="11">
        <f>[1]TK1!E258*1000000/[1]TK1!E260</f>
        <v>90.299633594262332</v>
      </c>
      <c r="X250" s="11">
        <f>[1]TK1!F258*1000000/[1]TK1!F260</f>
        <v>119.58522824367576</v>
      </c>
      <c r="Y250" s="11">
        <f>[1]TK1!G258*1000000/[1]TK1!G260</f>
        <v>121.56869751652671</v>
      </c>
      <c r="Z250" s="11" t="e">
        <f>[1]TK1!H258*1000000/[1]TK1!H260</f>
        <v>#DIV/0!</v>
      </c>
      <c r="AA250" s="11">
        <f>[1]TK1!I258*1000000/[1]TK1!I260</f>
        <v>120.01927672925046</v>
      </c>
      <c r="AB250" s="11">
        <f>[1]TK1!J258*1000000/[1]TK1!J260</f>
        <v>120.98432046055633</v>
      </c>
      <c r="AC250" s="11">
        <f>[1]TK1!K258*1000000/[1]TK1!K260</f>
        <v>136.75820213824991</v>
      </c>
      <c r="AD250" s="11">
        <f>[1]TK1!L258*1000000/[1]TK1!L260</f>
        <v>125.04013106723815</v>
      </c>
      <c r="AE250" s="11">
        <f>[1]TK1!M258*1000000/[1]TK1!M260</f>
        <v>129.267878243681</v>
      </c>
      <c r="AF250" s="11">
        <f>[1]TK1!N258*1000000/[1]TK1!N260</f>
        <v>130.50814926605335</v>
      </c>
      <c r="AG250" s="11" t="e">
        <f>[1]TK1!O258*1000000/[1]TK1!O260</f>
        <v>#DIV/0!</v>
      </c>
      <c r="AH250" s="11" t="e">
        <f>[1]TK1!P258*1000000/[1]TK1!P260</f>
        <v>#DIV/0!</v>
      </c>
      <c r="AI250" s="11" t="e">
        <f>[1]TK1!Q258*1000000/[1]TK1!Q260</f>
        <v>#DIV/0!</v>
      </c>
      <c r="AJ250" s="11"/>
      <c r="AK250" s="11">
        <f>[1]TK1!S258*1000000/[1]TK1!S260</f>
        <v>123.81820014179357</v>
      </c>
    </row>
    <row r="251" spans="1:37">
      <c r="A251" s="7">
        <v>3</v>
      </c>
      <c r="B251" s="8" t="s">
        <v>255</v>
      </c>
      <c r="C251" s="8" t="s">
        <v>254</v>
      </c>
      <c r="D251" s="11">
        <v>153.10044560662502</v>
      </c>
      <c r="E251" s="11">
        <v>147</v>
      </c>
      <c r="F251" s="11">
        <v>146</v>
      </c>
      <c r="G251" s="11">
        <v>139.99211291226104</v>
      </c>
      <c r="H251" s="11">
        <v>138.08869545698613</v>
      </c>
      <c r="I251" s="11">
        <v>136.47732779439301</v>
      </c>
      <c r="J251" s="11">
        <v>147.79375799372619</v>
      </c>
      <c r="K251" s="11">
        <v>141.68143994890085</v>
      </c>
      <c r="L251" s="11">
        <v>132.78512394423987</v>
      </c>
      <c r="M251" s="11">
        <v>138.54226118731069</v>
      </c>
      <c r="N251" s="11">
        <v>84.823052887869338</v>
      </c>
      <c r="O251" s="11">
        <v>142.36280294594437</v>
      </c>
      <c r="P251" s="11">
        <v>144.29936344462291</v>
      </c>
      <c r="Q251" s="11">
        <v>93.060462219086688</v>
      </c>
      <c r="R251" s="11">
        <v>136.62720844122993</v>
      </c>
      <c r="S251" s="11">
        <v>131.47278425809665</v>
      </c>
      <c r="T251" s="3">
        <v>123</v>
      </c>
      <c r="U251" s="11">
        <f>[1]TK1!C257*1000000/[1]TK1!C260</f>
        <v>142.55284373368201</v>
      </c>
      <c r="V251" s="11">
        <f>[1]TK1!D257*1000000/[1]TK1!D260</f>
        <v>133.00067114295948</v>
      </c>
      <c r="W251" s="12">
        <f>[1]TK1!E257*1000000/[1]TK1!E260</f>
        <v>120.0200227043165</v>
      </c>
      <c r="X251" s="11">
        <f>[1]TK1!F257*1000000/[1]TK1!F260</f>
        <v>133.39731642916382</v>
      </c>
      <c r="Y251" s="11">
        <f>[1]TK1!G257*1000000/[1]TK1!G260</f>
        <v>125.01935560717051</v>
      </c>
      <c r="Z251" s="11" t="e">
        <f>[1]TK1!H257*1000000/[1]TK1!H260</f>
        <v>#DIV/0!</v>
      </c>
      <c r="AA251" s="11">
        <f>[1]TK1!I257*1000000/[1]TK1!I260</f>
        <v>167.91211385072336</v>
      </c>
      <c r="AB251" s="11">
        <f>[1]TK1!J257*1000000/[1]TK1!J260</f>
        <v>141.19671942638183</v>
      </c>
      <c r="AC251" s="11">
        <f>[1]TK1!K257*1000000/[1]TK1!K260</f>
        <v>141.32481244959655</v>
      </c>
      <c r="AD251" s="11">
        <f>[1]TK1!L257*1000000/[1]TK1!L260</f>
        <v>135.39146408062621</v>
      </c>
      <c r="AE251" s="11">
        <f>[1]TK1!M257*1000000/[1]TK1!M260</f>
        <v>149.09708516893798</v>
      </c>
      <c r="AF251" s="11">
        <f>[1]TK1!N257*1000000/[1]TK1!N260</f>
        <v>142.06120297312148</v>
      </c>
      <c r="AG251" s="11" t="e">
        <f>[1]TK1!O257*1000000/[1]TK1!O260</f>
        <v>#DIV/0!</v>
      </c>
      <c r="AH251" s="11" t="e">
        <f>[1]TK1!P257*1000000/[1]TK1!P260</f>
        <v>#DIV/0!</v>
      </c>
      <c r="AI251" s="11" t="e">
        <f>[1]TK1!Q257*1000000/[1]TK1!Q260</f>
        <v>#DIV/0!</v>
      </c>
      <c r="AJ251" s="11"/>
      <c r="AK251" s="11">
        <f>[1]TK1!S257*1000000/[1]TK1!S260</f>
        <v>137.63371606939813</v>
      </c>
    </row>
    <row r="252" spans="1:37">
      <c r="A252" s="7">
        <v>4</v>
      </c>
      <c r="B252" s="8" t="s">
        <v>253</v>
      </c>
      <c r="C252" s="8" t="s">
        <v>251</v>
      </c>
      <c r="D252" s="11">
        <v>29.569322745527565</v>
      </c>
      <c r="E252" s="11">
        <v>31</v>
      </c>
      <c r="F252" s="9">
        <v>30.65</v>
      </c>
      <c r="G252" s="9">
        <v>29.219899197311928</v>
      </c>
      <c r="H252" s="9">
        <v>30.599093686434355</v>
      </c>
      <c r="I252" s="9">
        <v>30.13080670271356</v>
      </c>
      <c r="J252" s="9">
        <v>32.523504370616131</v>
      </c>
      <c r="K252" s="9">
        <v>31.10911872398054</v>
      </c>
      <c r="L252" s="9">
        <v>30.549334891554668</v>
      </c>
      <c r="M252" s="9">
        <v>30.78285206890428</v>
      </c>
      <c r="N252" s="9">
        <v>31.111543838625924</v>
      </c>
      <c r="O252" s="9">
        <v>30.265876544724172</v>
      </c>
      <c r="P252" s="9">
        <v>31.097272002229285</v>
      </c>
      <c r="Q252" s="9">
        <v>30.559561774595942</v>
      </c>
      <c r="R252" s="9">
        <v>31.18234340798114</v>
      </c>
      <c r="S252" s="9">
        <v>31.602712245225479</v>
      </c>
      <c r="T252" s="12">
        <v>31</v>
      </c>
      <c r="U252" s="9">
        <f>[1]TK1!C258*1000/[1]TK1!C249</f>
        <v>29.88868501529052</v>
      </c>
      <c r="V252" s="9">
        <f>[1]TK1!D258*1000/[1]TK1!D249</f>
        <v>28.368128817323708</v>
      </c>
      <c r="W252" s="9">
        <f>[1]TK1!E258*1000/[1]TK1!E249</f>
        <v>28.632568925534656</v>
      </c>
      <c r="X252" s="9">
        <f>[1]TK1!F258*1000/[1]TK1!F249</f>
        <v>29.007074687811595</v>
      </c>
      <c r="Y252" s="9">
        <f>[1]TK1!G258*1000/[1]TK1!G249</f>
        <v>32.462786259541986</v>
      </c>
      <c r="Z252" s="9" t="e">
        <f>[1]TK1!H258*1000/[1]TK1!H249</f>
        <v>#DIV/0!</v>
      </c>
      <c r="AA252" s="9">
        <f>[1]TK1!I258*1000/[1]TK1!I249</f>
        <v>30.569138276553105</v>
      </c>
      <c r="AB252" s="9">
        <f>[1]TK1!J258*1000/[1]TK1!J249</f>
        <v>31.727431906614786</v>
      </c>
      <c r="AC252" s="9">
        <f>[1]TK1!K258*1000/[1]TK1!K249</f>
        <v>30.435114503816795</v>
      </c>
      <c r="AD252" s="9">
        <f>[1]TK1!L258*1000/[1]TK1!L249</f>
        <v>31.332365747460088</v>
      </c>
      <c r="AE252" s="9">
        <f>[1]TK1!M258*1000/[1]TK1!M249</f>
        <v>32.556929721240678</v>
      </c>
      <c r="AF252" s="9">
        <f>[1]TK1!N258*1000/[1]TK1!N249</f>
        <v>31.392360232734632</v>
      </c>
      <c r="AG252" s="9" t="e">
        <f>[1]TK1!O258*1000/[1]TK1!O249</f>
        <v>#DIV/0!</v>
      </c>
      <c r="AH252" s="9" t="e">
        <f>[1]TK1!P258*1000/[1]TK1!P249</f>
        <v>#DIV/0!</v>
      </c>
      <c r="AI252" s="9" t="e">
        <f>[1]TK1!Q258*1000/[1]TK1!Q249</f>
        <v>#DIV/0!</v>
      </c>
      <c r="AJ252" s="9"/>
      <c r="AK252" s="9">
        <f>[1]TK1!S258*1000/[1]TK1!S249</f>
        <v>30.237616928093686</v>
      </c>
    </row>
    <row r="253" spans="1:37">
      <c r="A253" s="7">
        <v>5</v>
      </c>
      <c r="B253" s="8" t="s">
        <v>255</v>
      </c>
      <c r="C253" s="8" t="s">
        <v>251</v>
      </c>
      <c r="D253" s="9">
        <v>35.907557502738221</v>
      </c>
      <c r="E253" s="9">
        <v>36.06</v>
      </c>
      <c r="F253" s="9">
        <v>34.58</v>
      </c>
      <c r="G253" s="9">
        <v>32.672631270167201</v>
      </c>
      <c r="H253" s="9">
        <v>33.143965632338272</v>
      </c>
      <c r="I253" s="9">
        <v>32.580034149689467</v>
      </c>
      <c r="J253" s="9">
        <v>36.011324213364844</v>
      </c>
      <c r="K253" s="9">
        <v>34.089306314891907</v>
      </c>
      <c r="L253" s="9">
        <v>33.562740178049701</v>
      </c>
      <c r="M253" s="9">
        <v>34.131244894334934</v>
      </c>
      <c r="N253" s="9">
        <v>34.887783769389522</v>
      </c>
      <c r="O253" s="9">
        <v>34.451373769586951</v>
      </c>
      <c r="P253" s="9">
        <v>35.801208813383425</v>
      </c>
      <c r="Q253" s="9">
        <v>34.070690964312838</v>
      </c>
      <c r="R253" s="9">
        <v>33.71116770500084</v>
      </c>
      <c r="S253" s="9">
        <v>33.021064034665379</v>
      </c>
      <c r="T253" s="12">
        <v>33</v>
      </c>
      <c r="U253" s="9">
        <f>[1]TK1!C257*1000/[1]TK1!C249</f>
        <v>32.859938837920488</v>
      </c>
      <c r="V253" s="9">
        <f>[1]TK1!D257*1000/[1]TK1!D249</f>
        <v>29.444975013881177</v>
      </c>
      <c r="W253" s="9">
        <f>[1]TK1!E257*1000/[1]TK1!E249</f>
        <v>38.056428755475395</v>
      </c>
      <c r="X253" s="9">
        <f>[1]TK1!F257*1000/[1]TK1!F249</f>
        <v>32.35739043730117</v>
      </c>
      <c r="Y253" s="9">
        <f>[1]TK1!G257*1000/[1]TK1!G249</f>
        <v>33.384223918575067</v>
      </c>
      <c r="Z253" s="9" t="e">
        <f>[1]TK1!H257*1000/[1]TK1!H249</f>
        <v>#DIV/0!</v>
      </c>
      <c r="AA253" s="9">
        <f>[1]TK1!I257*1000/[1]TK1!I249</f>
        <v>42.767535070140283</v>
      </c>
      <c r="AB253" s="9">
        <f>[1]TK1!J257*1000/[1]TK1!J249</f>
        <v>37.028015564202335</v>
      </c>
      <c r="AC253" s="9">
        <f>[1]TK1!K257*1000/[1]TK1!K249</f>
        <v>31.451399491094147</v>
      </c>
      <c r="AD253" s="9">
        <f>[1]TK1!L257*1000/[1]TK1!L249</f>
        <v>33.92618702052664</v>
      </c>
      <c r="AE253" s="9">
        <f>[1]TK1!M257*1000/[1]TK1!M249</f>
        <v>37.551040439733022</v>
      </c>
      <c r="AF253" s="9">
        <f>[1]TK1!N257*1000/[1]TK1!N249</f>
        <v>34.17132557551227</v>
      </c>
      <c r="AG253" s="9" t="e">
        <f>[1]TK1!O257*1000/[1]TK1!O249</f>
        <v>#DIV/0!</v>
      </c>
      <c r="AH253" s="9" t="e">
        <f>[1]TK1!P257*1000/[1]TK1!P249</f>
        <v>#DIV/0!</v>
      </c>
      <c r="AI253" s="9" t="e">
        <f>[1]TK1!Q257*1000/[1]TK1!Q249</f>
        <v>#DIV/0!</v>
      </c>
      <c r="AJ253" s="9"/>
      <c r="AK253" s="9">
        <f>[1]TK1!S257*1000/[1]TK1!S249</f>
        <v>33.611501202008903</v>
      </c>
    </row>
    <row r="254" spans="1:37">
      <c r="A254" s="7">
        <v>12</v>
      </c>
      <c r="B254" s="3" t="s">
        <v>256</v>
      </c>
      <c r="C254" s="8"/>
      <c r="D254" s="12"/>
      <c r="E254" s="12"/>
      <c r="F254" s="12"/>
      <c r="G254" s="12"/>
      <c r="H254" s="12"/>
      <c r="I254" s="12"/>
      <c r="J254" s="1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spans="1:37">
      <c r="A255" s="7">
        <v>13</v>
      </c>
      <c r="B255" s="3" t="s">
        <v>257</v>
      </c>
      <c r="C255" s="8" t="s">
        <v>47</v>
      </c>
      <c r="D255" s="9">
        <v>96.724540293616244</v>
      </c>
      <c r="E255" s="9">
        <v>96.7</v>
      </c>
      <c r="F255" s="9">
        <v>96.66</v>
      </c>
      <c r="G255" s="9">
        <v>95.928931605552336</v>
      </c>
      <c r="H255" s="9">
        <v>94.538802796328625</v>
      </c>
      <c r="I255" s="9">
        <v>96.012354721465982</v>
      </c>
      <c r="J255" s="9">
        <v>96.542785726776188</v>
      </c>
      <c r="K255" s="9">
        <v>97.676113248468354</v>
      </c>
      <c r="L255" s="9">
        <v>96.668870945287495</v>
      </c>
      <c r="M255" s="9">
        <v>97.037728312318166</v>
      </c>
      <c r="N255" s="9">
        <v>97.47</v>
      </c>
      <c r="O255" s="9">
        <v>97.51</v>
      </c>
      <c r="P255" s="9">
        <v>97.51</v>
      </c>
      <c r="Q255" s="9">
        <v>95.02</v>
      </c>
      <c r="R255" s="9">
        <v>95.02</v>
      </c>
      <c r="S255" s="9">
        <v>94.979097310321919</v>
      </c>
      <c r="T255" s="3">
        <v>96.5</v>
      </c>
      <c r="U255" s="9">
        <f>[1]TK1!C247/[1]TK1!C246*100</f>
        <v>96.209852318496331</v>
      </c>
      <c r="V255" s="9">
        <f>[1]TK1!D247/[1]TK1!D246*100</f>
        <v>95.989480604865221</v>
      </c>
      <c r="W255" s="9">
        <f>[1]TK1!E247/[1]TK1!E246*100</f>
        <v>96.282458434522695</v>
      </c>
      <c r="X255" s="9">
        <f>[1]TK1!F247/[1]TK1!F246*100</f>
        <v>96.133629248919519</v>
      </c>
      <c r="Y255" s="9">
        <f>[1]TK1!G247/[1]TK1!G246*100</f>
        <v>96.686547382372439</v>
      </c>
      <c r="Z255" s="9" t="e">
        <f>[1]TK1!H247/[1]TK1!H246*100</f>
        <v>#DIV/0!</v>
      </c>
      <c r="AA255" s="9">
        <f>[1]TK1!I247/[1]TK1!I246*100</f>
        <v>95.618153364632235</v>
      </c>
      <c r="AB255" s="9">
        <f>[1]TK1!J247/[1]TK1!J246*100</f>
        <v>96.088733216579101</v>
      </c>
      <c r="AC255" s="9">
        <f>[1]TK1!K247/[1]TK1!K246*100</f>
        <v>95.246340311663786</v>
      </c>
      <c r="AD255" s="9">
        <f>[1]TK1!L247/[1]TK1!L246*100</f>
        <v>95.858621920742593</v>
      </c>
      <c r="AE255" s="9">
        <f>[1]TK1!M247/[1]TK1!M246*100</f>
        <v>96.53984008822718</v>
      </c>
      <c r="AF255" s="9">
        <f>[1]TK1!N247/[1]TK1!N246*100</f>
        <v>95.913373939299291</v>
      </c>
      <c r="AG255" s="9" t="e">
        <f>[1]TK1!O247/[1]TK1!O246*100</f>
        <v>#DIV/0!</v>
      </c>
      <c r="AH255" s="9" t="e">
        <f>[1]TK1!P247/[1]TK1!P246*100</f>
        <v>#DIV/0!</v>
      </c>
      <c r="AI255" s="9" t="e">
        <f>[1]TK1!Q247/[1]TK1!Q246*100</f>
        <v>#DIV/0!</v>
      </c>
      <c r="AJ255" s="9"/>
      <c r="AK255" s="9">
        <f>[1]TK1!S247/[1]TK1!S246*100</f>
        <v>96.045918367346943</v>
      </c>
    </row>
    <row r="256" spans="1:37">
      <c r="A256" s="7">
        <v>16</v>
      </c>
      <c r="B256" s="3" t="s">
        <v>258</v>
      </c>
      <c r="C256" s="8" t="s">
        <v>47</v>
      </c>
      <c r="D256" s="3">
        <v>86.71</v>
      </c>
      <c r="E256" s="3">
        <v>87.54</v>
      </c>
      <c r="F256" s="3">
        <v>87.67</v>
      </c>
      <c r="G256" s="3">
        <v>87.05</v>
      </c>
      <c r="H256" s="3">
        <v>87.27</v>
      </c>
      <c r="I256" s="3">
        <v>87.6</v>
      </c>
      <c r="J256" s="3">
        <v>87.9</v>
      </c>
      <c r="K256" s="9">
        <v>87.8</v>
      </c>
      <c r="L256" s="9">
        <v>87.58</v>
      </c>
      <c r="M256" s="9">
        <v>87.69</v>
      </c>
      <c r="N256" s="9">
        <v>80</v>
      </c>
      <c r="O256" s="9">
        <v>79</v>
      </c>
      <c r="P256" s="9">
        <v>84.7</v>
      </c>
      <c r="Q256" s="9">
        <v>85.5</v>
      </c>
      <c r="R256" s="9">
        <v>86.96</v>
      </c>
      <c r="S256" s="9">
        <v>86.430833333333339</v>
      </c>
      <c r="T256" s="12">
        <v>86</v>
      </c>
      <c r="U256" s="9">
        <f>[1]TK1!C265</f>
        <v>87.03</v>
      </c>
      <c r="V256" s="9">
        <f>[1]TK1!D265</f>
        <v>86.29</v>
      </c>
      <c r="W256" s="9">
        <f>[1]TK1!E265</f>
        <v>86.09</v>
      </c>
      <c r="X256" s="9">
        <f>[1]TK1!F265</f>
        <v>86.469999999999985</v>
      </c>
      <c r="Y256" s="9">
        <f>[1]TK1!G265</f>
        <v>86.76</v>
      </c>
      <c r="Z256" s="9">
        <f>[1]TK1!H265</f>
        <v>0</v>
      </c>
      <c r="AA256" s="9">
        <f>[1]TK1!I265</f>
        <v>86.44</v>
      </c>
      <c r="AB256" s="9">
        <f>[1]TK1!J265</f>
        <v>57.733333333333327</v>
      </c>
      <c r="AC256" s="9">
        <f>[1]TK1!K265</f>
        <v>88.23</v>
      </c>
      <c r="AD256" s="9">
        <f>[1]TK1!L265</f>
        <v>87.42</v>
      </c>
      <c r="AE256" s="9">
        <f>[1]TK1!M265</f>
        <v>87.42</v>
      </c>
      <c r="AF256" s="9">
        <f>[1]TK1!N265</f>
        <v>87.69</v>
      </c>
      <c r="AG256" s="9">
        <f>[1]TK1!O265</f>
        <v>0</v>
      </c>
      <c r="AH256" s="9">
        <f>[1]TK1!P265</f>
        <v>0</v>
      </c>
      <c r="AI256" s="9">
        <f>[1]TK1!Q265</f>
        <v>0</v>
      </c>
      <c r="AJ256" s="9"/>
      <c r="AK256" s="9">
        <v>86.96</v>
      </c>
    </row>
    <row r="257" spans="1:37">
      <c r="A257" s="1" t="s">
        <v>259</v>
      </c>
      <c r="B257" s="3" t="s">
        <v>260</v>
      </c>
      <c r="C257" s="8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 spans="1:37">
      <c r="A258" s="1">
        <v>1</v>
      </c>
      <c r="B258" s="3" t="s">
        <v>261</v>
      </c>
      <c r="C258" s="8" t="s">
        <v>47</v>
      </c>
      <c r="D258" s="9">
        <v>88.3</v>
      </c>
      <c r="E258" s="9">
        <v>88.32</v>
      </c>
      <c r="F258" s="9">
        <v>88.34</v>
      </c>
      <c r="G258" s="9">
        <v>88.42</v>
      </c>
      <c r="H258" s="9">
        <v>88.41</v>
      </c>
      <c r="I258" s="9">
        <v>88.52</v>
      </c>
      <c r="J258" s="9">
        <v>88.52</v>
      </c>
      <c r="K258" s="9">
        <v>88.4</v>
      </c>
      <c r="L258" s="9">
        <v>88.51</v>
      </c>
      <c r="M258" s="9">
        <v>88.52</v>
      </c>
      <c r="N258" s="9">
        <v>73</v>
      </c>
      <c r="O258" s="9">
        <v>76.3</v>
      </c>
      <c r="P258" s="9">
        <v>77.400000000000006</v>
      </c>
      <c r="Q258" s="9">
        <v>81.78</v>
      </c>
      <c r="R258" s="9">
        <v>80.8</v>
      </c>
      <c r="S258" s="9">
        <v>85.654166666666683</v>
      </c>
      <c r="T258" s="9">
        <v>85</v>
      </c>
      <c r="U258" s="9">
        <f>[1]TK1!C276</f>
        <v>87.04</v>
      </c>
      <c r="V258" s="9">
        <f>[1]TK1!D276</f>
        <v>88.28</v>
      </c>
      <c r="W258" s="9">
        <f>[1]TK1!E276</f>
        <v>88.28</v>
      </c>
      <c r="X258" s="9">
        <f>[1]TK1!F276</f>
        <v>87.866666666666674</v>
      </c>
      <c r="Y258" s="9">
        <f>[1]TK1!G276</f>
        <v>88.3</v>
      </c>
      <c r="Z258" s="9">
        <f>[1]TK1!H276</f>
        <v>88.34</v>
      </c>
      <c r="AA258" s="9">
        <f>[1]TK1!I276</f>
        <v>88.8</v>
      </c>
      <c r="AB258" s="9">
        <f>[1]TK1!J276</f>
        <v>88.48</v>
      </c>
      <c r="AC258" s="9">
        <f>[1]TK1!K276</f>
        <v>88.85</v>
      </c>
      <c r="AD258" s="9">
        <f>[1]TK1!L276</f>
        <v>88.88</v>
      </c>
      <c r="AE258" s="9">
        <f>[1]TK1!M276</f>
        <v>88.83</v>
      </c>
      <c r="AF258" s="9">
        <f>[1]TK1!N276</f>
        <v>88.853333333333339</v>
      </c>
      <c r="AG258" s="9">
        <f>[1]TK1!O276</f>
        <v>0</v>
      </c>
      <c r="AH258" s="9">
        <f>[1]TK1!P276</f>
        <v>0</v>
      </c>
      <c r="AI258" s="9">
        <f>[1]TK1!Q276</f>
        <v>0</v>
      </c>
      <c r="AJ258" s="9"/>
      <c r="AK258" s="9">
        <f>[1]TK1!S276</f>
        <v>88.4</v>
      </c>
    </row>
    <row r="259" spans="1:37">
      <c r="A259" s="1">
        <v>2</v>
      </c>
      <c r="B259" s="3" t="s">
        <v>262</v>
      </c>
      <c r="C259" s="8" t="s">
        <v>251</v>
      </c>
      <c r="D259" s="9">
        <v>28.251201228038816</v>
      </c>
      <c r="E259" s="9">
        <v>29.29</v>
      </c>
      <c r="F259" s="9">
        <v>29.52</v>
      </c>
      <c r="G259" s="9">
        <v>30.424720936564118</v>
      </c>
      <c r="H259" s="9">
        <v>30.765630592186767</v>
      </c>
      <c r="I259" s="9">
        <v>28.248791833881679</v>
      </c>
      <c r="J259" s="9">
        <v>28.406384719660981</v>
      </c>
      <c r="K259" s="9">
        <v>25.599871599390099</v>
      </c>
      <c r="L259" s="9">
        <v>26.938035360645177</v>
      </c>
      <c r="M259" s="9">
        <v>28.148396639270519</v>
      </c>
      <c r="N259" s="9">
        <v>29.101667563206025</v>
      </c>
      <c r="O259" s="9">
        <v>25.508177469215756</v>
      </c>
      <c r="P259" s="9">
        <v>27.148376318262503</v>
      </c>
      <c r="Q259" s="9">
        <v>26.004775169120574</v>
      </c>
      <c r="R259" s="9">
        <v>27.859171437587342</v>
      </c>
      <c r="S259" s="9">
        <v>27.438553099397126</v>
      </c>
      <c r="T259" s="9">
        <v>28</v>
      </c>
      <c r="U259" s="9">
        <f>[1]TK1!C270*1000/[1]TK1!C269</f>
        <v>26.579827495159304</v>
      </c>
      <c r="V259" s="9">
        <f>[1]TK1!D270*1000/[1]TK1!D269</f>
        <v>26.212959947899709</v>
      </c>
      <c r="W259" s="9">
        <f>[1]TK1!E270*1000/[1]TK1!E269</f>
        <v>22.549869904596704</v>
      </c>
      <c r="X259" s="9">
        <f>[1]TK1!F270*1000/[1]TK1!F269</f>
        <v>25.130770980213782</v>
      </c>
      <c r="Y259" s="9">
        <f>[1]TK1!G270*1000/[1]TK1!G269</f>
        <v>19.570011025358323</v>
      </c>
      <c r="Z259" s="9">
        <f>[1]TK1!H270*1000/[1]TK1!H269</f>
        <v>25.686764181234391</v>
      </c>
      <c r="AA259" s="9">
        <f>[1]TK1!I270*1000/[1]TK1!I269</f>
        <v>21.789284798769547</v>
      </c>
      <c r="AB259" s="9">
        <f>[1]TK1!J270*1000/[1]TK1!J269</f>
        <v>22.13207659726779</v>
      </c>
      <c r="AC259" s="9">
        <f>[1]TK1!K270*1000/[1]TK1!K269</f>
        <v>20.85691188358933</v>
      </c>
      <c r="AD259" s="9">
        <f>[1]TK1!L270*1000/[1]TK1!L269</f>
        <v>22.371364653243848</v>
      </c>
      <c r="AE259" s="9">
        <f>[1]TK1!M270*1000/[1]TK1!M269</f>
        <v>23.795359904818561</v>
      </c>
      <c r="AF259" s="9">
        <f>[1]TK1!N270*1000/[1]TK1!N269</f>
        <v>22.064247870699482</v>
      </c>
      <c r="AG259" s="9" t="e">
        <f>[1]TK1!O270*1000/[1]TK1!O269</f>
        <v>#DIV/0!</v>
      </c>
      <c r="AH259" s="9" t="e">
        <f>[1]TK1!P270*1000/[1]TK1!P269</f>
        <v>#DIV/0!</v>
      </c>
      <c r="AI259" s="9" t="e">
        <f>[1]TK1!Q270*1000/[1]TK1!Q269</f>
        <v>#DIV/0!</v>
      </c>
      <c r="AJ259" s="9"/>
      <c r="AK259" s="9">
        <f>[1]TK1!S270*1000/[1]TK1!S269</f>
        <v>23.182168811660102</v>
      </c>
    </row>
    <row r="260" spans="1:37">
      <c r="A260" s="1">
        <v>3</v>
      </c>
      <c r="B260" s="3" t="s">
        <v>263</v>
      </c>
      <c r="C260" s="8" t="s">
        <v>47</v>
      </c>
      <c r="D260" s="9">
        <v>83.788706739526404</v>
      </c>
      <c r="E260" s="9">
        <v>85.48</v>
      </c>
      <c r="F260" s="9">
        <v>83.65</v>
      </c>
      <c r="G260" s="9">
        <v>85.810502283105023</v>
      </c>
      <c r="H260" s="9">
        <v>80.339253187613849</v>
      </c>
      <c r="I260" s="9">
        <v>78.013698630136986</v>
      </c>
      <c r="J260" s="9">
        <v>75.148401826484019</v>
      </c>
      <c r="K260" s="9">
        <v>74.063926940639263</v>
      </c>
      <c r="L260" s="9">
        <v>75.478142076502735</v>
      </c>
      <c r="M260" s="9">
        <v>77.922374429223737</v>
      </c>
      <c r="N260" s="9">
        <v>81.894977168949765</v>
      </c>
      <c r="O260" s="9">
        <v>78.538812785388117</v>
      </c>
      <c r="P260" s="9">
        <v>81.785063752276869</v>
      </c>
      <c r="Q260" s="9">
        <v>82.45433789954339</v>
      </c>
      <c r="R260" s="9">
        <v>83.06</v>
      </c>
      <c r="S260" s="9">
        <v>81.095890410958901</v>
      </c>
      <c r="T260" s="9">
        <v>87</v>
      </c>
      <c r="U260" s="9">
        <f>[1]TK1!C272/[1]TK1!C336*100</f>
        <v>86.666666666666671</v>
      </c>
      <c r="V260" s="9">
        <f>[1]TK1!D272/[1]TK1!D336*100</f>
        <v>83.870967741935488</v>
      </c>
      <c r="W260" s="9">
        <f>[1]TK1!E272/[1]TK1!E336*100</f>
        <v>86.666666666666671</v>
      </c>
      <c r="X260" s="9">
        <f>[1]TK1!F272/[1]TK1!F336*100</f>
        <v>85.714285714285708</v>
      </c>
      <c r="Y260" s="9">
        <f>[1]TK1!G272/[1]TK1!G336*100</f>
        <v>40.86021505376344</v>
      </c>
      <c r="Z260" s="9">
        <f>[1]TK1!H272/[1]TK1!H336*100</f>
        <v>33.064516129032256</v>
      </c>
      <c r="AA260" s="9">
        <f>[1]TK1!I272/[1]TK1!I336*100</f>
        <v>24.027777777777779</v>
      </c>
      <c r="AB260" s="9">
        <f>[1]TK1!J272/[1]TK1!J336*100</f>
        <v>32.744565217391305</v>
      </c>
      <c r="AC260" s="9">
        <f>[1]TK1!K272/[1]TK1!K336*100</f>
        <v>39.247311827956985</v>
      </c>
      <c r="AD260" s="9">
        <f>[1]TK1!L272/[1]TK1!L336*100</f>
        <v>32.777777777777779</v>
      </c>
      <c r="AE260" s="9">
        <f>[1]TK1!M272/[1]TK1!M336*100</f>
        <v>20.161290322580644</v>
      </c>
      <c r="AF260" s="9">
        <f>[1]TK1!N272/[1]TK1!N336*100</f>
        <v>30.706521739130434</v>
      </c>
      <c r="AG260" s="9" t="e">
        <f>[1]TK1!O272/[1]TK1!O336*100</f>
        <v>#DIV/0!</v>
      </c>
      <c r="AH260" s="9" t="e">
        <f>[1]TK1!P272/[1]TK1!P336*100</f>
        <v>#DIV/0!</v>
      </c>
      <c r="AI260" s="9" t="e">
        <f>[1]TK1!Q272/[1]TK1!Q336*100</f>
        <v>#DIV/0!</v>
      </c>
      <c r="AJ260" s="9"/>
      <c r="AK260" s="9">
        <f>[1]TK1!S272/[1]TK1!S336*100</f>
        <v>49.590909090909093</v>
      </c>
    </row>
    <row r="261" spans="1:37">
      <c r="A261" s="1">
        <v>4</v>
      </c>
      <c r="B261" s="3" t="s">
        <v>264</v>
      </c>
      <c r="C261" s="8" t="s">
        <v>47</v>
      </c>
      <c r="D261" s="12">
        <v>55.893478260869564</v>
      </c>
      <c r="E261" s="12">
        <v>51.7</v>
      </c>
      <c r="F261" s="12">
        <v>55.08</v>
      </c>
      <c r="G261" s="12">
        <v>52.880138353066386</v>
      </c>
      <c r="H261" s="12">
        <v>44.452316848519203</v>
      </c>
      <c r="I261" s="12">
        <v>53.575212174422006</v>
      </c>
      <c r="J261" s="12">
        <v>55.415464074130341</v>
      </c>
      <c r="K261" s="9">
        <v>54.076757090012329</v>
      </c>
      <c r="L261" s="9">
        <v>55.023831070889898</v>
      </c>
      <c r="M261" s="9">
        <v>38.550981541166124</v>
      </c>
      <c r="N261" s="9">
        <v>31.745469751881792</v>
      </c>
      <c r="O261" s="9">
        <v>36.320203488372094</v>
      </c>
      <c r="P261" s="9">
        <v>28.826837416481073</v>
      </c>
      <c r="Q261" s="9">
        <v>28.315796760348888</v>
      </c>
      <c r="R261" s="9">
        <v>41.821454283657303</v>
      </c>
      <c r="S261" s="9">
        <v>41.082488738738739</v>
      </c>
      <c r="T261" s="9">
        <v>70</v>
      </c>
      <c r="U261" s="9">
        <f>[1]TK1!C273/[1]TK1!C272*100</f>
        <v>43.269230769230774</v>
      </c>
      <c r="V261" s="9">
        <f>[1]TK1!D273/[1]TK1!D272*100</f>
        <v>42.628205128205124</v>
      </c>
      <c r="W261" s="9">
        <f>[1]TK1!E273/[1]TK1!E272*100</f>
        <v>38.541666666666671</v>
      </c>
      <c r="X261" s="9">
        <f>[1]TK1!F273/[1]TK1!F272*100</f>
        <v>41.479700854700859</v>
      </c>
      <c r="Y261" s="9">
        <f>[1]TK1!G273/[1]TK1!G272*100</f>
        <v>98.68421052631578</v>
      </c>
      <c r="Z261" s="9">
        <f>[1]TK1!H273/[1]TK1!H272*100</f>
        <v>100</v>
      </c>
      <c r="AA261" s="9">
        <f>[1]TK1!I273/[1]TK1!I272*100</f>
        <v>100</v>
      </c>
      <c r="AB261" s="9">
        <f>[1]TK1!J273/[1]TK1!J272*100</f>
        <v>99.446749654218536</v>
      </c>
      <c r="AC261" s="9">
        <f>[1]TK1!K273/[1]TK1!K272*100</f>
        <v>100</v>
      </c>
      <c r="AD261" s="9">
        <f>[1]TK1!L273/[1]TK1!L272*100</f>
        <v>100</v>
      </c>
      <c r="AE261" s="9">
        <f>[1]TK1!M273/[1]TK1!M272*100</f>
        <v>100</v>
      </c>
      <c r="AF261" s="9">
        <f>[1]TK1!N273/[1]TK1!N272*100</f>
        <v>100</v>
      </c>
      <c r="AG261" s="9" t="e">
        <f>[1]TK1!O273/[1]TK1!O272*100</f>
        <v>#DIV/0!</v>
      </c>
      <c r="AH261" s="9" t="e">
        <f>[1]TK1!P273/[1]TK1!P272*100</f>
        <v>#DIV/0!</v>
      </c>
      <c r="AI261" s="9" t="e">
        <f>[1]TK1!Q273/[1]TK1!Q272*100</f>
        <v>#DIV/0!</v>
      </c>
      <c r="AJ261" s="9"/>
      <c r="AK261" s="9">
        <f>[1]TK1!S273/[1]TK1!S272*100</f>
        <v>66.406966086159485</v>
      </c>
    </row>
    <row r="262" spans="1:37">
      <c r="A262" s="1">
        <v>5</v>
      </c>
      <c r="B262" s="3" t="s">
        <v>265</v>
      </c>
      <c r="C262" s="8" t="s">
        <v>266</v>
      </c>
      <c r="D262" s="12">
        <v>23.353574345610827</v>
      </c>
      <c r="E262" s="12">
        <v>22.9</v>
      </c>
      <c r="F262" s="12">
        <v>22.81</v>
      </c>
      <c r="G262" s="12">
        <v>22.158993710691824</v>
      </c>
      <c r="H262" s="12">
        <v>23.156837743066625</v>
      </c>
      <c r="I262" s="12">
        <v>22.694212212502016</v>
      </c>
      <c r="J262" s="12">
        <v>22.576206140350877</v>
      </c>
      <c r="K262" s="9">
        <v>24.818868462305829</v>
      </c>
      <c r="L262" s="9">
        <v>23.930396263239842</v>
      </c>
      <c r="M262" s="9">
        <v>24.669673834975626</v>
      </c>
      <c r="N262" s="9">
        <v>24.473746608003793</v>
      </c>
      <c r="O262" s="9">
        <v>23.068396009332368</v>
      </c>
      <c r="P262" s="9">
        <v>22.709713557259576</v>
      </c>
      <c r="Q262" s="12">
        <v>0</v>
      </c>
      <c r="R262" s="12">
        <v>0</v>
      </c>
      <c r="S262" s="12">
        <v>22.476614699331847</v>
      </c>
      <c r="T262" s="9">
        <v>12</v>
      </c>
      <c r="U262" s="12">
        <f>[1]TK1!C271/[1]TK1!C273</f>
        <v>21.2</v>
      </c>
      <c r="V262" s="12">
        <f>[1]TK1!D271/[1]TK1!D273</f>
        <v>23.413533834586467</v>
      </c>
      <c r="W262" s="12">
        <f>[1]TK1!E271/[1]TK1!E273</f>
        <v>23.027027027027028</v>
      </c>
      <c r="X262" s="12">
        <f>IF([1]TK1!F258=0,"-",([1]TK1!F259/[1]TK1!F258*100))</f>
        <v>0</v>
      </c>
      <c r="Y262" s="12">
        <f>[1]TK1!G271/[1]TK1!G273</f>
        <v>23.65</v>
      </c>
      <c r="Z262" s="12">
        <f>[1]TK1!H271/[1]TK1!H273</f>
        <v>22.341463414634145</v>
      </c>
      <c r="AA262" s="12">
        <f>[1]TK1!I271/[1]TK1!I273</f>
        <v>22.306358381502889</v>
      </c>
      <c r="AB262" s="12"/>
      <c r="AC262" s="12">
        <f>[1]TK1!K271/[1]TK1!K273</f>
        <v>20.979452054794521</v>
      </c>
      <c r="AD262" s="12">
        <f>[1]TK1!L271/[1]TK1!L273</f>
        <v>0.97033898305084743</v>
      </c>
      <c r="AE262" s="12">
        <f>[1]TK1!M271/[1]TK1!M273</f>
        <v>21.826666666666668</v>
      </c>
      <c r="AF262" s="12">
        <f>IF([1]TK1!N258=0,"-",([1]TK1!N259/[1]TK1!N258*100))</f>
        <v>0</v>
      </c>
      <c r="AG262" s="12" t="e">
        <f>[1]TK1!O271/[1]TK1!O273</f>
        <v>#DIV/0!</v>
      </c>
      <c r="AH262" s="12" t="e">
        <f>[1]TK1!P271/[1]TK1!P273</f>
        <v>#DIV/0!</v>
      </c>
      <c r="AI262" s="12" t="e">
        <f>[1]TK1!Q271/[1]TK1!Q273</f>
        <v>#DIV/0!</v>
      </c>
      <c r="AJ262" s="12"/>
      <c r="AK262" s="12">
        <f>[1]TK1!S271/[1]TK1!S273</f>
        <v>20.045548654244307</v>
      </c>
    </row>
    <row r="263" spans="1:37">
      <c r="A263" s="1">
        <v>6</v>
      </c>
      <c r="B263" s="3" t="s">
        <v>267</v>
      </c>
      <c r="C263" s="8" t="s">
        <v>266</v>
      </c>
      <c r="D263" s="12">
        <v>14.95530416221985</v>
      </c>
      <c r="E263" s="12">
        <v>14.3</v>
      </c>
      <c r="F263" s="9">
        <v>14.84</v>
      </c>
      <c r="G263" s="9">
        <v>15.474817518248175</v>
      </c>
      <c r="H263" s="9">
        <v>15.261809462157752</v>
      </c>
      <c r="I263" s="9">
        <v>15.525283789528892</v>
      </c>
      <c r="J263" s="9">
        <v>15.48981965444278</v>
      </c>
      <c r="K263" s="9">
        <v>15.41683248268108</v>
      </c>
      <c r="L263" s="9">
        <v>15.130871080139373</v>
      </c>
      <c r="M263" s="9">
        <v>12.926168291679568</v>
      </c>
      <c r="N263" s="9">
        <v>11.935899754128966</v>
      </c>
      <c r="O263" s="9">
        <v>12.491598183568273</v>
      </c>
      <c r="P263" s="9">
        <v>12.660893576490531</v>
      </c>
      <c r="Q263" s="9">
        <v>12.344649954838934</v>
      </c>
      <c r="R263" s="9">
        <v>11.188140357240004</v>
      </c>
      <c r="S263" s="9">
        <v>13.446764862405796</v>
      </c>
      <c r="T263" s="9">
        <v>15.3</v>
      </c>
      <c r="U263" s="9">
        <f>[1]TK1!C274/[1]TK1!C275</f>
        <v>16.876335877862594</v>
      </c>
      <c r="V263" s="9">
        <f>[1]TK1!D274/[1]TK1!D275</f>
        <v>16.724928366762178</v>
      </c>
      <c r="W263" s="9">
        <f>[1]TK1!E274/[1]TK1!E275</f>
        <v>16.148363636363637</v>
      </c>
      <c r="X263" s="12" t="str">
        <f>IF([1]TK1!F259=0,"-",([1]TK1!F260/[1]TK1!F259*100))</f>
        <v>-</v>
      </c>
      <c r="Y263" s="9">
        <f>[1]TK1!G274/[1]TK1!G275</f>
        <v>15.858550724637681</v>
      </c>
      <c r="Z263" s="9">
        <f>[1]TK1!H274/[1]TK1!H275</f>
        <v>16.792393026941362</v>
      </c>
      <c r="AA263" s="9">
        <f>[1]TK1!I274/[1]TK1!I275</f>
        <v>15.935622317596566</v>
      </c>
      <c r="AB263" s="12" t="str">
        <f>IF([1]TK1!J259=0,"-",([1]TK1!J260/[1]TK1!J259*100))</f>
        <v>-</v>
      </c>
      <c r="AC263" s="9">
        <f>[1]TK1!K274/[1]TK1!K275</f>
        <v>15.327731092436975</v>
      </c>
      <c r="AD263" s="9">
        <f>[1]TK1!L274/[1]TK1!L275</f>
        <v>16.084639498432601</v>
      </c>
      <c r="AE263" s="9">
        <f>[1]TK1!M274/[1]TK1!M275</f>
        <v>15.828431372549019</v>
      </c>
      <c r="AF263" s="9">
        <f>[1]TK1!N274/[1]TK1!N275</f>
        <v>15.70541357515801</v>
      </c>
      <c r="AG263" s="9" t="e">
        <f>[1]TK1!O274/[1]TK1!O275</f>
        <v>#DIV/0!</v>
      </c>
      <c r="AH263" s="9" t="e">
        <f>[1]TK1!P274/[1]TK1!P275</f>
        <v>#DIV/0!</v>
      </c>
      <c r="AI263" s="9" t="e">
        <f>[1]TK1!Q274/[1]TK1!Q275</f>
        <v>#DIV/0!</v>
      </c>
      <c r="AJ263" s="12"/>
      <c r="AK263" s="9">
        <f>[1]TK1!S274/[1]TK1!S275</f>
        <v>16.170805051980409</v>
      </c>
    </row>
    <row r="264" spans="1:37">
      <c r="A264" s="24" t="s">
        <v>268</v>
      </c>
      <c r="B264" s="8" t="s">
        <v>269</v>
      </c>
      <c r="C264" s="8"/>
      <c r="D264" s="12"/>
      <c r="E264" s="12"/>
      <c r="F264" s="12"/>
      <c r="G264" s="12"/>
      <c r="H264" s="12"/>
      <c r="I264" s="12"/>
      <c r="J264" s="1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 spans="1:37">
      <c r="A265" s="7">
        <v>1</v>
      </c>
      <c r="B265" s="8" t="s">
        <v>270</v>
      </c>
      <c r="C265" s="8" t="s">
        <v>271</v>
      </c>
      <c r="D265" s="11">
        <v>235.83333333333334</v>
      </c>
      <c r="E265" s="11">
        <v>106</v>
      </c>
      <c r="F265" s="11">
        <v>12</v>
      </c>
      <c r="G265" s="11">
        <v>0</v>
      </c>
      <c r="H265" s="11">
        <v>5.083333333333333</v>
      </c>
      <c r="I265" s="11">
        <v>6.25</v>
      </c>
      <c r="J265" s="11">
        <v>48.166666666666664</v>
      </c>
      <c r="K265" s="9">
        <v>67.470416666666665</v>
      </c>
      <c r="L265" s="9">
        <v>61.5</v>
      </c>
      <c r="M265" s="9">
        <v>61.083333333333336</v>
      </c>
      <c r="N265" s="9">
        <v>15.75</v>
      </c>
      <c r="O265" s="12">
        <v>16.916666666666668</v>
      </c>
      <c r="P265" s="12">
        <v>17.583333333333332</v>
      </c>
      <c r="Q265" s="12">
        <v>31.916666666666668</v>
      </c>
      <c r="R265" s="12">
        <v>1.0833333333333333</v>
      </c>
      <c r="S265" s="12">
        <v>0.5</v>
      </c>
      <c r="T265" s="9">
        <v>41.67</v>
      </c>
      <c r="U265" s="11">
        <f>[1]TK1!C279/[1]TK1!C337</f>
        <v>0</v>
      </c>
      <c r="V265" s="11">
        <f>[1]TK1!D279/[1]TK1!D337</f>
        <v>0</v>
      </c>
      <c r="W265" s="11">
        <f>[1]TK1!E279/[1]TK1!E337</f>
        <v>0</v>
      </c>
      <c r="X265" s="11">
        <f>SUM(U265:W265)</f>
        <v>0</v>
      </c>
      <c r="Y265" s="11">
        <f>[1]TK1!G279/[1]TK1!G337</f>
        <v>0</v>
      </c>
      <c r="Z265" s="11">
        <f>[1]TK1!H279/[1]TK1!H337</f>
        <v>0</v>
      </c>
      <c r="AA265" s="11">
        <f>[1]TK1!I279/[1]TK1!I337</f>
        <v>0</v>
      </c>
      <c r="AB265" s="11">
        <f>SUM(Y265:AA265)</f>
        <v>0</v>
      </c>
      <c r="AC265" s="11">
        <f>[1]TK1!K279/[1]TK1!K337</f>
        <v>0</v>
      </c>
      <c r="AD265" s="11">
        <f>[1]TK1!L279/[1]TK1!L337</f>
        <v>0</v>
      </c>
      <c r="AE265" s="11">
        <f>[1]TK1!M279/[1]TK1!M337</f>
        <v>0</v>
      </c>
      <c r="AF265" s="11">
        <f>[1]TK1!N279/[1]TK1!N337</f>
        <v>0</v>
      </c>
      <c r="AG265" s="11" t="e">
        <f>[1]TK1!O279/[1]TK1!O337</f>
        <v>#DIV/0!</v>
      </c>
      <c r="AH265" s="11" t="e">
        <f>[1]TK1!P279/[1]TK1!P337</f>
        <v>#DIV/0!</v>
      </c>
      <c r="AI265" s="11" t="e">
        <f>[1]TK1!Q279/[1]TK1!Q337</f>
        <v>#DIV/0!</v>
      </c>
      <c r="AJ265" s="11"/>
      <c r="AK265" s="12">
        <f>[1]TK1!S279/[1]TK1!S337</f>
        <v>0</v>
      </c>
    </row>
    <row r="266" spans="1:37">
      <c r="A266" s="7">
        <v>2</v>
      </c>
      <c r="B266" s="8" t="s">
        <v>272</v>
      </c>
      <c r="C266" s="8" t="s">
        <v>47</v>
      </c>
      <c r="D266" s="12">
        <v>0.42976609696401857</v>
      </c>
      <c r="E266" s="12"/>
      <c r="F266" s="12"/>
      <c r="G266" s="12">
        <v>0.43309391216301735</v>
      </c>
      <c r="H266" s="12">
        <v>0.4720205316034512</v>
      </c>
      <c r="I266" s="12">
        <v>0.504122757344309</v>
      </c>
      <c r="J266" s="12">
        <v>0.57516243742810469</v>
      </c>
      <c r="K266" s="9">
        <v>2.5194353765361512</v>
      </c>
      <c r="L266" s="9">
        <v>4.9258216470843035</v>
      </c>
      <c r="M266" s="9">
        <v>10.162708022286152</v>
      </c>
      <c r="N266" s="9">
        <v>6.1710363398127113</v>
      </c>
      <c r="O266" s="9">
        <v>1.5814526736320209</v>
      </c>
      <c r="P266" s="9">
        <v>0.68784998939898478</v>
      </c>
      <c r="Q266" s="9">
        <v>0.29959534108724378</v>
      </c>
      <c r="R266" s="9">
        <v>0.28281200362619224</v>
      </c>
      <c r="S266" s="9">
        <v>0.323979833364893</v>
      </c>
      <c r="T266" s="9"/>
      <c r="U266" s="9">
        <f>[1]TK1!C282/[1]TK1!C281*100</f>
        <v>0.27548209366391185</v>
      </c>
      <c r="V266" s="9">
        <f>[1]TK1!D282/[1]TK1!D281*100</f>
        <v>0.2770083102493075</v>
      </c>
      <c r="W266" s="9">
        <f>[1]TK1!E282/[1]TK1!E281*100</f>
        <v>0.30211480362537763</v>
      </c>
      <c r="X266" s="9">
        <f>[1]TK1!F282/[1]TK1!F281*100</f>
        <v>0.28427727968510824</v>
      </c>
      <c r="Y266" s="9">
        <f>[1]TK1!G282/[1]TK1!G281*100</f>
        <v>0.28328611898016998</v>
      </c>
      <c r="Z266" s="9">
        <f>[1]TK1!H282/[1]TK1!H281*100</f>
        <v>0.28735632183908044</v>
      </c>
      <c r="AA266" s="9">
        <f>[1]TK1!I282/[1]TK1!I281*100</f>
        <v>0.32154340836012862</v>
      </c>
      <c r="AB266" s="9">
        <f>[1]TK1!J282/[1]TK1!J281*100</f>
        <v>0.29619136537780494</v>
      </c>
      <c r="AC266" s="9">
        <f>[1]TK1!K282/[1]TK1!K281*100</f>
        <v>0.3236245954692557</v>
      </c>
      <c r="AD266" s="9">
        <f>[1]TK1!L282/[1]TK1!L281*100</f>
        <v>0.31847133757961787</v>
      </c>
      <c r="AE266" s="9">
        <f>[1]TK1!M282/[1]TK1!M281*100</f>
        <v>0.29069767441860467</v>
      </c>
      <c r="AF266" s="9">
        <f>[1]TK1!N282/[1]TK1!N281*100</f>
        <v>0.31015069278225399</v>
      </c>
      <c r="AG266" s="9" t="e">
        <f>[1]TK1!O282/[1]TK1!O281*100</f>
        <v>#DIV/0!</v>
      </c>
      <c r="AH266" s="9" t="e">
        <f>[1]TK1!P282/[1]TK1!P281*100</f>
        <v>#DIV/0!</v>
      </c>
      <c r="AI266" s="9" t="e">
        <f>[1]TK1!Q282/[1]TK1!Q281*100</f>
        <v>#DIV/0!</v>
      </c>
      <c r="AJ266" s="9"/>
      <c r="AK266" s="9">
        <f>[1]TK1!S282/[1]TK1!S281*100</f>
        <v>0.29654391545802555</v>
      </c>
    </row>
    <row r="267" spans="1:37">
      <c r="A267" s="7">
        <v>3</v>
      </c>
      <c r="B267" s="8" t="s">
        <v>273</v>
      </c>
      <c r="C267" s="8" t="s">
        <v>274</v>
      </c>
      <c r="D267" s="12">
        <v>4.5941108663394052</v>
      </c>
      <c r="E267" s="12">
        <v>4.5999999999999996</v>
      </c>
      <c r="F267" s="9">
        <v>4.57</v>
      </c>
      <c r="G267" s="9">
        <v>4.5748097705437738</v>
      </c>
      <c r="H267" s="9">
        <v>4.5725951547674315</v>
      </c>
      <c r="I267" s="9">
        <v>4.5756229807984496</v>
      </c>
      <c r="J267" s="9">
        <v>4.5638005315111734</v>
      </c>
      <c r="K267" s="9">
        <v>4.3996310505298029</v>
      </c>
      <c r="L267" s="9">
        <v>4.3035699256679587</v>
      </c>
      <c r="M267" s="9">
        <v>4.5007273675971096</v>
      </c>
      <c r="N267" s="9">
        <v>4.4351786907379118</v>
      </c>
      <c r="O267" s="9">
        <v>4.3089078763081075</v>
      </c>
      <c r="P267" s="9">
        <v>4.3286049745083641</v>
      </c>
      <c r="Q267" s="9">
        <v>4.320108452503117</v>
      </c>
      <c r="R267" s="9">
        <v>4.1955694555561625</v>
      </c>
      <c r="S267" s="9">
        <v>4.2545676491171358</v>
      </c>
      <c r="T267" s="9">
        <v>4.2</v>
      </c>
      <c r="U267" s="9">
        <f>[1]TK1!C284/[1]TK1!C285*1000</f>
        <v>4.2147227108712224</v>
      </c>
      <c r="V267" s="9">
        <f>[1]TK1!D284/[1]TK1!D285*1000</f>
        <v>4.2150248936975991</v>
      </c>
      <c r="W267" s="9">
        <f>[1]TK1!E284/[1]TK1!E285*1000</f>
        <v>4.2220484753713841</v>
      </c>
      <c r="X267" s="9">
        <f>[1]TK1!F284/[1]TK1!F285*1000</f>
        <v>4.2168519551873631</v>
      </c>
      <c r="Y267" s="9">
        <f>[1]TK1!G284/[1]TK1!G285*1000</f>
        <v>4.2493578939622765</v>
      </c>
      <c r="Z267" s="9">
        <f>[1]TK1!H284/[1]TK1!H285*1000</f>
        <v>4.2903222206100651</v>
      </c>
      <c r="AA267" s="9">
        <f>[1]TK1!I284/[1]TK1!I285*1000</f>
        <v>4.224767556685638</v>
      </c>
      <c r="AB267" s="9">
        <f>[1]TK1!J284/[1]TK1!J285*1000</f>
        <v>4.2570250628108628</v>
      </c>
      <c r="AC267" s="9">
        <f>[1]TK1!K284/[1]TK1!K285*1000</f>
        <v>4.2358454610900163</v>
      </c>
      <c r="AD267" s="9">
        <f>[1]TK1!L284/[1]TK1!L285*1000</f>
        <v>4.2354918530276855</v>
      </c>
      <c r="AE267" s="9">
        <f>[1]TK1!M284/[1]TK1!M285*1000</f>
        <v>4.2169370971326963</v>
      </c>
      <c r="AF267" s="9">
        <f>[1]TK1!N284/[1]TK1!N285*1000</f>
        <v>4.2284101691071241</v>
      </c>
      <c r="AG267" s="9" t="e">
        <f>[1]TK1!O284/[1]TK1!O285*1000</f>
        <v>#DIV/0!</v>
      </c>
      <c r="AH267" s="9" t="e">
        <f>[1]TK1!P284/[1]TK1!P285*1000</f>
        <v>#DIV/0!</v>
      </c>
      <c r="AI267" s="9" t="e">
        <f>[1]TK1!Q284/[1]TK1!Q285*1000</f>
        <v>#DIV/0!</v>
      </c>
      <c r="AJ267" s="9"/>
      <c r="AK267" s="9">
        <f>[1]TK1!S284/[1]TK1!S285*1000</f>
        <v>4.2332030275516317</v>
      </c>
    </row>
    <row r="268" spans="1:37">
      <c r="A268" s="7">
        <v>4</v>
      </c>
      <c r="B268" s="8" t="s">
        <v>275</v>
      </c>
      <c r="C268" s="8" t="s">
        <v>276</v>
      </c>
      <c r="D268" s="12">
        <v>23.694351124870192</v>
      </c>
      <c r="E268" s="12">
        <v>23.5</v>
      </c>
      <c r="F268" s="12">
        <v>23.56</v>
      </c>
      <c r="G268" s="12">
        <v>22.990334243687514</v>
      </c>
      <c r="H268" s="12">
        <v>23.289912710592947</v>
      </c>
      <c r="I268" s="12">
        <v>23.682444097620262</v>
      </c>
      <c r="J268" s="12">
        <v>26.347598696823738</v>
      </c>
      <c r="K268" s="9">
        <v>25.603054025392517</v>
      </c>
      <c r="L268" s="9">
        <v>25.32956203638529</v>
      </c>
      <c r="M268" s="9">
        <v>27.067449064127313</v>
      </c>
      <c r="N268" s="9">
        <v>26.85447282928823</v>
      </c>
      <c r="O268" s="9">
        <v>26.002451279718915</v>
      </c>
      <c r="P268" s="9">
        <v>25.078431922774719</v>
      </c>
      <c r="Q268" s="9">
        <v>24.712806743220803</v>
      </c>
      <c r="R268" s="9">
        <v>24.826991048160686</v>
      </c>
      <c r="S268" s="9">
        <v>27.407233034699864</v>
      </c>
      <c r="T268" s="9">
        <v>24.5</v>
      </c>
      <c r="U268" s="9">
        <f>[1]TK1!C286/[1]TK1!C281*1000</f>
        <v>22.841291704928071</v>
      </c>
      <c r="V268" s="9">
        <f>[1]TK1!D286/[1]TK1!D281*1000</f>
        <v>23.575864534000537</v>
      </c>
      <c r="W268" s="9">
        <f>[1]TK1!E286/[1]TK1!E281*1000</f>
        <v>23.946374622356494</v>
      </c>
      <c r="X268" s="9">
        <f>[1]TK1!F286/[1]TK1!F281*1000</f>
        <v>23.440900523778289</v>
      </c>
      <c r="Y268" s="9">
        <f>[1]TK1!G286/[1]TK1!G281*1000</f>
        <v>24.173748819641173</v>
      </c>
      <c r="Z268" s="9">
        <f>[1]TK1!H286/[1]TK1!H281*1000</f>
        <v>25.214358546533187</v>
      </c>
      <c r="AA268" s="9">
        <f>[1]TK1!I286/[1]TK1!I281*1000</f>
        <v>26.308949624866024</v>
      </c>
      <c r="AB268" s="9">
        <f>[1]TK1!J286/[1]TK1!J281*1000</f>
        <v>25.176534346393659</v>
      </c>
      <c r="AC268" s="9">
        <f>[1]TK1!K286/[1]TK1!K281*1000</f>
        <v>27.546803772140443</v>
      </c>
      <c r="AD268" s="9">
        <f>[1]TK1!L286/[1]TK1!L281*1000</f>
        <v>27.41065109695683</v>
      </c>
      <c r="AE268" s="9">
        <f>[1]TK1!M286/[1]TK1!M281*1000</f>
        <v>23.791104026006504</v>
      </c>
      <c r="AF268" s="9">
        <f>[1]TK1!N286/[1]TK1!N281*1000</f>
        <v>26.153372888784009</v>
      </c>
      <c r="AG268" s="9" t="e">
        <f>[1]TK1!O286/[1]TK1!O281*1000</f>
        <v>#DIV/0!</v>
      </c>
      <c r="AH268" s="9" t="e">
        <f>[1]TK1!P286/[1]TK1!P281*1000</f>
        <v>#DIV/0!</v>
      </c>
      <c r="AI268" s="9" t="e">
        <f>[1]TK1!Q286/[1]TK1!Q281*1000</f>
        <v>#DIV/0!</v>
      </c>
      <c r="AJ268" s="9"/>
      <c r="AK268" s="9">
        <f>[1]TK1!S286/[1]TK1!S281*1000</f>
        <v>24.889874373213996</v>
      </c>
    </row>
    <row r="269" spans="1:37">
      <c r="A269" s="1" t="s">
        <v>277</v>
      </c>
      <c r="B269" s="8" t="s">
        <v>278</v>
      </c>
      <c r="C269" s="3"/>
      <c r="D269" s="12"/>
      <c r="E269" s="12"/>
      <c r="F269" s="12"/>
      <c r="G269" s="12"/>
      <c r="H269" s="12"/>
      <c r="I269" s="12"/>
      <c r="J269" s="1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 spans="1:37">
      <c r="A270" s="7">
        <v>1</v>
      </c>
      <c r="B270" s="8" t="s">
        <v>270</v>
      </c>
      <c r="C270" s="8" t="s">
        <v>271</v>
      </c>
      <c r="D270" s="11">
        <v>20.833333333333332</v>
      </c>
      <c r="E270" s="11">
        <v>48</v>
      </c>
      <c r="F270" s="11">
        <v>45</v>
      </c>
      <c r="G270" s="11">
        <v>29.916666666666668</v>
      </c>
      <c r="H270" s="11">
        <v>19.75</v>
      </c>
      <c r="I270" s="11">
        <v>25.916666666666668</v>
      </c>
      <c r="J270" s="11">
        <v>31.25</v>
      </c>
      <c r="K270" s="9">
        <v>39.926666666666662</v>
      </c>
      <c r="L270" s="9">
        <v>19.3</v>
      </c>
      <c r="M270" s="9">
        <v>22.166666666666668</v>
      </c>
      <c r="N270" s="9">
        <v>18.25</v>
      </c>
      <c r="O270" s="12">
        <v>4.583333333333333</v>
      </c>
      <c r="P270" s="12">
        <v>7</v>
      </c>
      <c r="Q270" s="12">
        <v>0</v>
      </c>
      <c r="R270" s="12">
        <v>4.666666666666667</v>
      </c>
      <c r="S270" s="12">
        <v>0</v>
      </c>
      <c r="T270" s="3">
        <v>1150</v>
      </c>
      <c r="U270" s="11">
        <f>[1]TK1!C290/[1]TK1!C337</f>
        <v>0</v>
      </c>
      <c r="V270" s="11">
        <f>[1]TK1!D290/[1]TK1!D337</f>
        <v>0</v>
      </c>
      <c r="W270" s="11">
        <f>[1]TK1!E290/[1]TK1!E337</f>
        <v>0</v>
      </c>
      <c r="X270" s="11">
        <f>SUM(U270:W270)</f>
        <v>0</v>
      </c>
      <c r="Y270" s="11">
        <f>[1]TK1!G290/[1]TK1!G337</f>
        <v>0</v>
      </c>
      <c r="Z270" s="11">
        <f>[1]TK1!H290/[1]TK1!H337</f>
        <v>0</v>
      </c>
      <c r="AA270" s="11">
        <f>[1]TK1!I290/[1]TK1!I337</f>
        <v>0</v>
      </c>
      <c r="AB270" s="11">
        <f>SUM(Y270:AA270)</f>
        <v>0</v>
      </c>
      <c r="AC270" s="11">
        <f>[1]TK1!K290/[1]TK1!K337</f>
        <v>0</v>
      </c>
      <c r="AD270" s="11">
        <f>[1]TK1!L290/[1]TK1!L337</f>
        <v>0</v>
      </c>
      <c r="AE270" s="11">
        <f>[1]TK1!M290/[1]TK1!M337</f>
        <v>0</v>
      </c>
      <c r="AF270" s="11" t="e">
        <f>SUM(AC270:AE270)/(IF(AC270&gt;0,1,0)+(IF(AD270&gt;0,1,0))+(IF(AE270&gt;0,1,0)))</f>
        <v>#DIV/0!</v>
      </c>
      <c r="AG270" s="11" t="e">
        <f>[1]TK1!O290/[1]TK1!O337</f>
        <v>#DIV/0!</v>
      </c>
      <c r="AH270" s="11" t="e">
        <f>[1]TK1!P290/[1]TK1!P337</f>
        <v>#DIV/0!</v>
      </c>
      <c r="AI270" s="11" t="e">
        <f>[1]TK1!Q290/[1]TK1!Q337</f>
        <v>#DIV/0!</v>
      </c>
      <c r="AJ270" s="11"/>
      <c r="AK270" s="12">
        <f>[1]TK1!S290/[1]TK1!S337</f>
        <v>0</v>
      </c>
    </row>
    <row r="271" spans="1:37">
      <c r="A271" s="7">
        <v>2</v>
      </c>
      <c r="B271" s="8" t="s">
        <v>273</v>
      </c>
      <c r="C271" s="8" t="s">
        <v>274</v>
      </c>
      <c r="D271" s="9">
        <v>3.9229653789931844</v>
      </c>
      <c r="E271" s="9">
        <v>4.13</v>
      </c>
      <c r="F271" s="9">
        <v>3.89</v>
      </c>
      <c r="G271" s="9">
        <v>4.0470306113832217</v>
      </c>
      <c r="H271" s="9">
        <v>4.2130372304439669</v>
      </c>
      <c r="I271" s="9">
        <v>4.1673669454502464</v>
      </c>
      <c r="J271" s="9">
        <v>4.1150200470383318</v>
      </c>
      <c r="K271" s="9">
        <v>4.1538862158423173</v>
      </c>
      <c r="L271" s="9">
        <v>4.1643115627472707</v>
      </c>
      <c r="M271" s="9">
        <v>4.2141905992810482</v>
      </c>
      <c r="N271" s="9">
        <v>7.1700143211132144</v>
      </c>
      <c r="O271" s="9">
        <v>4.2404987849060607</v>
      </c>
      <c r="P271" s="9">
        <v>4.1865477663416319</v>
      </c>
      <c r="Q271" s="9">
        <v>3.7098925842535349</v>
      </c>
      <c r="R271" s="9">
        <v>4.2317847035723153</v>
      </c>
      <c r="S271" s="9">
        <v>4.3476027608597958</v>
      </c>
      <c r="T271" s="3"/>
      <c r="U271" s="9">
        <f>[1]TK1!C293/[1]TK1!C294*1000</f>
        <v>4.2753417929474224</v>
      </c>
      <c r="V271" s="9">
        <f>[1]TK1!D293/[1]TK1!D294*1000</f>
        <v>4.2443354696203199</v>
      </c>
      <c r="W271" s="9">
        <f>[1]TK1!E293/[1]TK1!E294*1000</f>
        <v>4.2186732910274634</v>
      </c>
      <c r="X271" s="9">
        <f>[1]TK1!F293/[1]TK1!F294*1000</f>
        <v>4.2448766595679546</v>
      </c>
      <c r="Y271" s="9">
        <f>[1]TK1!G293/[1]TK1!G294*1000</f>
        <v>4.2969070555259092</v>
      </c>
      <c r="Z271" s="9">
        <f>[1]TK1!H293/[1]TK1!H294*1000</f>
        <v>4.2881926704340501</v>
      </c>
      <c r="AA271" s="9">
        <f>[1]TK1!I293/[1]TK1!I294*1000</f>
        <v>4.0175456613619049</v>
      </c>
      <c r="AB271" s="9">
        <f>[1]TK1!J293/[1]TK1!J294*1000</f>
        <v>4.2107294877314558</v>
      </c>
      <c r="AC271" s="9">
        <f>[1]TK1!K293/[1]TK1!K294*1000</f>
        <v>3.8835270874698349</v>
      </c>
      <c r="AD271" s="9">
        <f>[1]TK1!L293/[1]TK1!L294*1000</f>
        <v>4.0926682330157842</v>
      </c>
      <c r="AE271" s="9">
        <f>[1]TK1!M293/[1]TK1!M294*1000</f>
        <v>3.9294567672009957</v>
      </c>
      <c r="AF271" s="9">
        <f>[1]TK1!N293/[1]TK1!N294*1000</f>
        <v>3.9826173706907455</v>
      </c>
      <c r="AG271" s="9" t="e">
        <f>[1]TK1!O293/[1]TK1!O294*1000</f>
        <v>#DIV/0!</v>
      </c>
      <c r="AH271" s="9" t="e">
        <f>[1]TK1!P293/[1]TK1!P294*1000</f>
        <v>#DIV/0!</v>
      </c>
      <c r="AI271" s="9" t="e">
        <f>[1]TK1!Q293/[1]TK1!Q294*1000</f>
        <v>#DIV/0!</v>
      </c>
      <c r="AJ271" s="9"/>
      <c r="AK271" s="9">
        <f>[1]TK1!S293/[1]TK1!S294*1000</f>
        <v>4.124743211949716</v>
      </c>
    </row>
    <row r="272" spans="1:37">
      <c r="A272" s="7">
        <v>3</v>
      </c>
      <c r="B272" s="8" t="s">
        <v>275</v>
      </c>
      <c r="C272" s="8" t="s">
        <v>276</v>
      </c>
      <c r="D272" s="9">
        <v>24.99275881497098</v>
      </c>
      <c r="E272" s="9">
        <v>24.76</v>
      </c>
      <c r="F272" s="9">
        <v>25.33</v>
      </c>
      <c r="G272" s="9">
        <v>26.500084857862511</v>
      </c>
      <c r="H272" s="9">
        <v>25.997688791602084</v>
      </c>
      <c r="I272" s="9">
        <v>26.148952338867076</v>
      </c>
      <c r="J272" s="9">
        <v>27.383539708932119</v>
      </c>
      <c r="K272" s="9">
        <v>26.493671825508081</v>
      </c>
      <c r="L272" s="9">
        <v>26.78598517381872</v>
      </c>
      <c r="M272" s="9">
        <v>25.456736624709212</v>
      </c>
      <c r="N272" s="9">
        <v>24.868493625677594</v>
      </c>
      <c r="O272" s="9">
        <v>24.310988383823826</v>
      </c>
      <c r="P272" s="9">
        <v>22.835478049396617</v>
      </c>
      <c r="Q272" s="9">
        <v>25.47759488242281</v>
      </c>
      <c r="R272" s="9">
        <v>26.121685230336542</v>
      </c>
      <c r="S272" s="9">
        <v>29.80420873110203</v>
      </c>
      <c r="T272" s="3"/>
      <c r="U272" s="9">
        <f>[1]TK1!C295/[1]TK1!C291*1000</f>
        <v>32.2852975707141</v>
      </c>
      <c r="V272" s="9">
        <f>[1]TK1!D295/[1]TK1!D291*1000</f>
        <v>34.301766856541555</v>
      </c>
      <c r="W272" s="9">
        <f>[1]TK1!E295/[1]TK1!E291*1000</f>
        <v>31.974178285368456</v>
      </c>
      <c r="X272" s="9">
        <f>[1]TK1!F295/[1]TK1!F291*1000</f>
        <v>32.800143210149187</v>
      </c>
      <c r="Y272" s="9">
        <f>[1]TK1!G295/[1]TK1!G291*1000</f>
        <v>32.938930316937416</v>
      </c>
      <c r="Z272" s="9">
        <f>[1]TK1!H295/[1]TK1!H291*1000</f>
        <v>32.22544653183445</v>
      </c>
      <c r="AA272" s="9">
        <f>[1]TK1!I295/[1]TK1!I291*1000</f>
        <v>33.514182128385585</v>
      </c>
      <c r="AB272" s="9">
        <f>[1]TK1!J295/[1]TK1!J291*1000</f>
        <v>32.839311005649137</v>
      </c>
      <c r="AC272" s="9">
        <f>[1]TK1!K295/[1]TK1!K291*1000</f>
        <v>32.96854229548191</v>
      </c>
      <c r="AD272" s="9">
        <f>[1]TK1!L295/[1]TK1!L291*1000</f>
        <v>27.822126781381602</v>
      </c>
      <c r="AE272" s="9">
        <f>[1]TK1!M295/[1]TK1!M291*1000</f>
        <v>29.765260349114818</v>
      </c>
      <c r="AF272" s="9">
        <f>[1]TK1!N295/[1]TK1!N291*1000</f>
        <v>29.908364859184534</v>
      </c>
      <c r="AG272" s="9" t="e">
        <f>[1]TK1!O295/[1]TK1!O291*1000</f>
        <v>#DIV/0!</v>
      </c>
      <c r="AH272" s="9" t="e">
        <f>[1]TK1!P295/[1]TK1!P291*1000</f>
        <v>#DIV/0!</v>
      </c>
      <c r="AI272" s="9" t="e">
        <f>[1]TK1!Q295/[1]TK1!Q291*1000</f>
        <v>#DIV/0!</v>
      </c>
      <c r="AJ272" s="9"/>
      <c r="AK272" s="9">
        <f>[1]TK1!S295/[1]TK1!S291*1000</f>
        <v>31.61776227640097</v>
      </c>
    </row>
    <row r="273" spans="1:37">
      <c r="A273" s="7"/>
      <c r="B273" s="8"/>
      <c r="C273" s="8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3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</row>
    <row r="274" spans="1:37">
      <c r="A274" s="7"/>
      <c r="B274" s="8"/>
      <c r="C274" s="8"/>
      <c r="D274" s="9"/>
      <c r="E274" s="9"/>
      <c r="F274" s="9"/>
      <c r="G274" s="9"/>
      <c r="H274" s="9"/>
      <c r="I274" s="9"/>
      <c r="J274" s="9"/>
      <c r="K274" s="9"/>
      <c r="L274" s="3"/>
      <c r="M274" s="3"/>
      <c r="N274" s="3"/>
      <c r="O274" s="3"/>
      <c r="P274" s="3"/>
      <c r="T274" s="3" t="s">
        <v>44</v>
      </c>
    </row>
    <row r="275" spans="1:37" s="1" customFormat="1">
      <c r="B275" s="3"/>
      <c r="C275" s="8" t="s">
        <v>8</v>
      </c>
      <c r="D275" s="3" t="s">
        <v>9</v>
      </c>
      <c r="E275" s="6" t="s">
        <v>10</v>
      </c>
      <c r="F275" s="6" t="s">
        <v>11</v>
      </c>
      <c r="G275" s="6" t="s">
        <v>12</v>
      </c>
      <c r="H275" s="6" t="s">
        <v>13</v>
      </c>
      <c r="I275" s="3" t="s">
        <v>14</v>
      </c>
      <c r="J275" s="3" t="s">
        <v>15</v>
      </c>
      <c r="K275" s="3" t="s">
        <v>16</v>
      </c>
      <c r="L275" s="3" t="s">
        <v>17</v>
      </c>
      <c r="M275" s="3" t="s">
        <v>18</v>
      </c>
      <c r="N275" s="3" t="s">
        <v>19</v>
      </c>
      <c r="O275" s="3" t="s">
        <v>20</v>
      </c>
      <c r="P275" s="3" t="s">
        <v>21</v>
      </c>
      <c r="Q275" s="3" t="s">
        <v>22</v>
      </c>
      <c r="R275" s="3" t="s">
        <v>23</v>
      </c>
      <c r="S275" s="3" t="s">
        <v>24</v>
      </c>
      <c r="T275" s="3" t="s">
        <v>25</v>
      </c>
      <c r="U275" s="3" t="s">
        <v>26</v>
      </c>
      <c r="V275" s="3" t="s">
        <v>27</v>
      </c>
      <c r="W275" s="3" t="s">
        <v>28</v>
      </c>
      <c r="X275" s="3" t="s">
        <v>29</v>
      </c>
      <c r="Y275" s="3" t="s">
        <v>74</v>
      </c>
      <c r="Z275" s="3" t="s">
        <v>31</v>
      </c>
      <c r="AA275" s="3" t="s">
        <v>32</v>
      </c>
      <c r="AB275" s="3" t="s">
        <v>33</v>
      </c>
      <c r="AC275" s="3" t="s">
        <v>34</v>
      </c>
      <c r="AD275" s="3" t="s">
        <v>35</v>
      </c>
      <c r="AE275" s="3" t="s">
        <v>36</v>
      </c>
      <c r="AF275" s="3" t="s">
        <v>37</v>
      </c>
      <c r="AG275" s="3" t="s">
        <v>38</v>
      </c>
      <c r="AH275" s="3" t="s">
        <v>39</v>
      </c>
      <c r="AI275" s="3" t="s">
        <v>40</v>
      </c>
      <c r="AJ275" s="3"/>
      <c r="AK275" s="3" t="s">
        <v>42</v>
      </c>
    </row>
    <row r="276" spans="1:37">
      <c r="A276" s="7" t="s">
        <v>279</v>
      </c>
      <c r="B276" s="8" t="s">
        <v>280</v>
      </c>
      <c r="C276" s="8" t="s">
        <v>161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 spans="1:37">
      <c r="A277" s="7"/>
      <c r="B277" s="8" t="s">
        <v>281</v>
      </c>
      <c r="C277" s="3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 spans="1:37">
      <c r="A278" s="7">
        <v>1</v>
      </c>
      <c r="B278" s="8" t="s">
        <v>282</v>
      </c>
      <c r="C278" s="8" t="s">
        <v>283</v>
      </c>
      <c r="D278" s="11">
        <v>583.98591786870816</v>
      </c>
      <c r="E278" s="11">
        <v>585</v>
      </c>
      <c r="F278" s="11">
        <v>587</v>
      </c>
      <c r="G278" s="11">
        <v>592.79663020288524</v>
      </c>
      <c r="H278" s="11">
        <v>599.28731857131697</v>
      </c>
      <c r="I278" s="11">
        <v>599.91251557875057</v>
      </c>
      <c r="J278" s="11">
        <v>599.82385287375098</v>
      </c>
      <c r="K278" s="11">
        <v>600.43186948058758</v>
      </c>
      <c r="L278" s="11">
        <v>603.42650893838754</v>
      </c>
      <c r="M278" s="11">
        <v>608.8514439468953</v>
      </c>
      <c r="N278" s="11">
        <v>655.15524883913974</v>
      </c>
      <c r="O278" s="11">
        <v>702.35150656324583</v>
      </c>
      <c r="P278" s="11">
        <v>729.28119903038998</v>
      </c>
      <c r="Q278" s="11">
        <v>730.00645511785547</v>
      </c>
      <c r="R278" s="11">
        <v>719.72650498115524</v>
      </c>
      <c r="S278" s="11">
        <v>714.57735394261101</v>
      </c>
      <c r="T278" s="3">
        <v>670</v>
      </c>
      <c r="U278" s="11">
        <f>[1]TK1!C299/([1]TK1!C7+[1]TK1!C19)</f>
        <v>714.61210584820105</v>
      </c>
      <c r="V278" s="11">
        <f>[1]TK1!D299/([1]TK1!D7+[1]TK1!D19)</f>
        <v>713.76441277014885</v>
      </c>
      <c r="W278" s="11">
        <f>[1]TK1!E299/([1]TK1!E7+[1]TK1!E19)</f>
        <v>715.25202141744876</v>
      </c>
      <c r="X278" s="11">
        <f>[1]TK1!F299/([1]TK1!F7+[1]TK1!F19)</f>
        <v>714.52432534168406</v>
      </c>
      <c r="Y278" s="11">
        <f>[1]TK1!G299/([1]TK1!G7+[1]TK1!G19)</f>
        <v>713.10870103817842</v>
      </c>
      <c r="Z278" s="11">
        <f>[1]TK1!H299/([1]TK1!H7+[1]TK1!H19)</f>
        <v>714.17017967502966</v>
      </c>
      <c r="AA278" s="11">
        <f>[1]TK1!I299/([1]TK1!I7+[1]TK1!I19)</f>
        <v>714.3915352858404</v>
      </c>
      <c r="AB278" s="11">
        <f>[1]TK1!J299/([1]TK1!J7+[1]TK1!J19)</f>
        <v>713.87855240971021</v>
      </c>
      <c r="AC278" s="11">
        <f>[1]TK1!K299/([1]TK1!K7+[1]TK1!K19)</f>
        <v>713.42903139254088</v>
      </c>
      <c r="AD278" s="11">
        <f>[1]TK1!L299/([1]TK1!L7+[1]TK1!L19)</f>
        <v>713.04691411147019</v>
      </c>
      <c r="AE278" s="11">
        <f>[1]TK1!M299/([1]TK1!M7+[1]TK1!M19)</f>
        <v>712.64098201263971</v>
      </c>
      <c r="AF278" s="11">
        <f>[1]TK1!N299/([1]TK1!N7+[1]TK1!N19)</f>
        <v>713.03846462787214</v>
      </c>
      <c r="AG278" s="11" t="e">
        <f>[1]TK1!O299/([1]TK1!O7+[1]TK1!O19)</f>
        <v>#DIV/0!</v>
      </c>
      <c r="AH278" s="11" t="e">
        <f>[1]TK1!P299/([1]TK1!P7+[1]TK1!P19)</f>
        <v>#DIV/0!</v>
      </c>
      <c r="AI278" s="11" t="e">
        <f>[1]TK1!Q299/([1]TK1!Q7+[1]TK1!Q19)</f>
        <v>#DIV/0!</v>
      </c>
      <c r="AJ278" s="11"/>
      <c r="AK278" s="11">
        <f>[1]TK1!S299/([1]TK1!S7+[1]TK1!S19)</f>
        <v>713.81838047230019</v>
      </c>
    </row>
    <row r="279" spans="1:37">
      <c r="A279" s="7">
        <v>2</v>
      </c>
      <c r="B279" s="8" t="s">
        <v>284</v>
      </c>
      <c r="C279" s="8" t="s">
        <v>283</v>
      </c>
      <c r="D279" s="11">
        <v>580.52698294793959</v>
      </c>
      <c r="E279" s="11">
        <v>583</v>
      </c>
      <c r="F279" s="11">
        <v>578</v>
      </c>
      <c r="G279" s="11">
        <v>541.62582311213339</v>
      </c>
      <c r="H279" s="11">
        <v>537.66554699585799</v>
      </c>
      <c r="I279" s="11">
        <v>520.61417079207922</v>
      </c>
      <c r="J279" s="11">
        <v>542.87651448476595</v>
      </c>
      <c r="K279" s="11">
        <v>586.80507189471257</v>
      </c>
      <c r="L279" s="11">
        <v>577.7912994543052</v>
      </c>
      <c r="M279" s="11">
        <v>599.49734126106841</v>
      </c>
      <c r="N279" s="11">
        <v>616.73517306451356</v>
      </c>
      <c r="O279" s="11">
        <v>663.0852818290798</v>
      </c>
      <c r="P279" s="11">
        <v>723.34951082659302</v>
      </c>
      <c r="Q279" s="11">
        <v>723.26041806978685</v>
      </c>
      <c r="R279" s="11">
        <v>700.80357093448583</v>
      </c>
      <c r="S279" s="11">
        <v>655.11162396743396</v>
      </c>
      <c r="T279" s="3">
        <v>615</v>
      </c>
      <c r="U279" s="11">
        <f>[1]TK1!C303/([1]TK1!C101+[1]TK1!C102+[1]TK1!C103)</f>
        <v>669.99737605894768</v>
      </c>
      <c r="V279" s="11">
        <f>[1]TK1!D303/([1]TK1!D101+[1]TK1!D102+[1]TK1!D103)</f>
        <v>690.00129401884192</v>
      </c>
      <c r="W279" s="11">
        <f>[1]TK1!E303/([1]TK1!E101+[1]TK1!E102+[1]TK1!E103)</f>
        <v>639.9982039553538</v>
      </c>
      <c r="X279" s="11">
        <f>[1]TK1!F303/([1]TK1!F101+[1]TK1!F102+[1]TK1!F103)</f>
        <v>667.77611232126299</v>
      </c>
      <c r="Y279" s="11">
        <f>[1]TK1!G303/([1]TK1!G101+[1]TK1!G102+[1]TK1!G103)</f>
        <v>634.99927123207806</v>
      </c>
      <c r="Z279" s="11">
        <f>[1]TK1!H303/([1]TK1!H101+[1]TK1!H102+[1]TK1!H103)</f>
        <v>644.99796454313969</v>
      </c>
      <c r="AA279" s="11">
        <f>[1]TK1!I303/([1]TK1!I101+[1]TK1!I102+[1]TK1!I103)</f>
        <v>649.99639060836296</v>
      </c>
      <c r="AB279" s="11">
        <f>[1]TK1!J303/([1]TK1!J101+[1]TK1!J102+[1]TK1!J103)</f>
        <v>642.9528076887392</v>
      </c>
      <c r="AC279" s="11">
        <f>[1]TK1!K303/([1]TK1!K101+[1]TK1!K102+[1]TK1!K103)</f>
        <v>649.99819158830212</v>
      </c>
      <c r="AD279" s="11">
        <f>[1]TK1!L303/([1]TK1!L101+[1]TK1!L102+[1]TK1!L103)</f>
        <v>650.85522169689534</v>
      </c>
      <c r="AE279" s="11">
        <f>[1]TK1!M303/([1]TK1!M101+[1]TK1!M102+[1]TK1!M103)</f>
        <v>680.05412106439962</v>
      </c>
      <c r="AF279" s="11">
        <f>[1]TK1!N303/([1]TK1!N101+[1]TK1!N102+[1]TK1!N103)</f>
        <v>660.00076043837464</v>
      </c>
      <c r="AG279" s="11" t="e">
        <f>[1]TK1!O303/([1]TK1!O101+[1]TK1!O102+[1]TK1!O103)</f>
        <v>#DIV/0!</v>
      </c>
      <c r="AH279" s="11" t="e">
        <f>[1]TK1!P303/([1]TK1!P101+[1]TK1!P102+[1]TK1!P103)</f>
        <v>#DIV/0!</v>
      </c>
      <c r="AI279" s="11" t="e">
        <f>[1]TK1!Q303/([1]TK1!Q101+[1]TK1!Q102+[1]TK1!Q103)</f>
        <v>#DIV/0!</v>
      </c>
      <c r="AJ279" s="11"/>
      <c r="AK279" s="11">
        <f>[1]TK1!S303/([1]TK1!S101+[1]TK1!S102+[1]TK1!S103)</f>
        <v>656.95879894163306</v>
      </c>
    </row>
    <row r="280" spans="1:37">
      <c r="A280" s="7">
        <v>3</v>
      </c>
      <c r="B280" s="8" t="s">
        <v>285</v>
      </c>
      <c r="C280" s="8" t="s">
        <v>283</v>
      </c>
      <c r="D280" s="11">
        <v>44.391903653077513</v>
      </c>
      <c r="E280" s="11">
        <v>45</v>
      </c>
      <c r="F280" s="11">
        <v>44</v>
      </c>
      <c r="G280" s="11">
        <v>40.572365265817709</v>
      </c>
      <c r="H280" s="11">
        <v>40.857191284256672</v>
      </c>
      <c r="I280" s="11">
        <v>39.808202479557217</v>
      </c>
      <c r="J280" s="11">
        <v>44.42453045004811</v>
      </c>
      <c r="K280" s="11">
        <v>43.948647545666759</v>
      </c>
      <c r="L280" s="11">
        <v>45.050528880732124</v>
      </c>
      <c r="M280" s="11">
        <v>56.47457562813991</v>
      </c>
      <c r="N280" s="11">
        <v>56.285882096083299</v>
      </c>
      <c r="O280" s="11">
        <v>53.770518830470607</v>
      </c>
      <c r="P280" s="11">
        <v>63.036588160271705</v>
      </c>
      <c r="Q280" s="11">
        <v>56.94594250756407</v>
      </c>
      <c r="R280" s="11">
        <v>54.290961951932871</v>
      </c>
      <c r="S280" s="11">
        <v>50.632167555330128</v>
      </c>
      <c r="T280" s="3">
        <v>44</v>
      </c>
      <c r="U280" s="11">
        <f>[1]TK1!C300/[1]TK1!C34</f>
        <v>46.831221891173932</v>
      </c>
      <c r="V280" s="11">
        <f>[1]TK1!D300/[1]TK1!D34</f>
        <v>46.696496956504213</v>
      </c>
      <c r="W280" s="11">
        <f>[1]TK1!E300/[1]TK1!E34</f>
        <v>46.521803813807772</v>
      </c>
      <c r="X280" s="12">
        <f>IF([1]TK1!F276=0,"-",([1]TK1!F277/[1]TK1!F276*100))</f>
        <v>0</v>
      </c>
      <c r="Y280" s="11">
        <f>[1]TK1!G300/[1]TK1!G34</f>
        <v>43.63498086810479</v>
      </c>
      <c r="Z280" s="11">
        <f>[1]TK1!H300/[1]TK1!H34</f>
        <v>45.396345012222092</v>
      </c>
      <c r="AA280" s="11">
        <f>[1]TK1!I300/[1]TK1!I34</f>
        <v>44.376803639297087</v>
      </c>
      <c r="AB280" s="12">
        <f>IF([1]TK1!J276=0,"-",([1]TK1!J277/[1]TK1!J276*100))</f>
        <v>0</v>
      </c>
      <c r="AC280" s="11">
        <f>[1]TK1!K300/[1]TK1!K34</f>
        <v>45.257162434156996</v>
      </c>
      <c r="AD280" s="11">
        <f>[1]TK1!L300/[1]TK1!L34</f>
        <v>44.462487820721016</v>
      </c>
      <c r="AE280" s="11">
        <f>[1]TK1!M300/[1]TK1!M34</f>
        <v>43.365484677632296</v>
      </c>
      <c r="AF280" s="11">
        <f>[1]TK1!N300/[1]TK1!N34</f>
        <v>44.331007022330958</v>
      </c>
      <c r="AG280" s="11" t="e">
        <f>[1]TK1!O300/[1]TK1!O34</f>
        <v>#DIV/0!</v>
      </c>
      <c r="AH280" s="11" t="e">
        <f>[1]TK1!P300/[1]TK1!P34</f>
        <v>#DIV/0!</v>
      </c>
      <c r="AI280" s="11" t="e">
        <f>[1]TK1!Q300/[1]TK1!Q34</f>
        <v>#DIV/0!</v>
      </c>
      <c r="AJ280" s="12"/>
      <c r="AK280" s="11">
        <f>[1]TK1!S300/[1]TK1!S34</f>
        <v>45.150239618068845</v>
      </c>
    </row>
    <row r="281" spans="1:37">
      <c r="A281" s="7">
        <v>4</v>
      </c>
      <c r="B281" s="8" t="s">
        <v>286</v>
      </c>
      <c r="C281" s="8" t="s">
        <v>283</v>
      </c>
      <c r="D281" s="11">
        <v>23.428133741840949</v>
      </c>
      <c r="E281" s="11">
        <v>23</v>
      </c>
      <c r="F281" s="11">
        <v>22</v>
      </c>
      <c r="G281" s="11">
        <v>22.143373916620718</v>
      </c>
      <c r="H281" s="11">
        <v>21.841893405223967</v>
      </c>
      <c r="I281" s="11">
        <v>21.929107383118456</v>
      </c>
      <c r="J281" s="11">
        <v>21.668017921655974</v>
      </c>
      <c r="K281" s="11">
        <v>21.732160045786831</v>
      </c>
      <c r="L281" s="11">
        <v>22.398577756091122</v>
      </c>
      <c r="M281" s="11">
        <v>22.005920803821674</v>
      </c>
      <c r="N281" s="11">
        <v>23.354737621066306</v>
      </c>
      <c r="O281" s="11">
        <v>21.130324843909765</v>
      </c>
      <c r="P281" s="11">
        <v>21.417123195066456</v>
      </c>
      <c r="Q281" s="11">
        <v>21.339607559235631</v>
      </c>
      <c r="R281" s="11">
        <v>20.848226660636389</v>
      </c>
      <c r="S281" s="11">
        <v>20.126378312563293</v>
      </c>
      <c r="T281" s="3">
        <v>22</v>
      </c>
      <c r="U281" s="11">
        <f>[1]TK1!C301/[1]TK1!C56</f>
        <v>19.758959534168987</v>
      </c>
      <c r="V281" s="11">
        <f>[1]TK1!D301/[1]TK1!D56</f>
        <v>19.406643563519566</v>
      </c>
      <c r="W281" s="11">
        <f>[1]TK1!E301/[1]TK1!E56</f>
        <v>20.964975043748868</v>
      </c>
      <c r="X281" s="11">
        <f>[1]TK1!F301/[1]TK1!F56</f>
        <v>19.925968293709463</v>
      </c>
      <c r="Y281" s="11">
        <f>[1]TK1!G301/[1]TK1!G56</f>
        <v>19.674216779880499</v>
      </c>
      <c r="Z281" s="11">
        <f>[1]TK1!H301/[1]TK1!H56</f>
        <v>21.324400034655039</v>
      </c>
      <c r="AA281" s="11">
        <f>[1]TK1!I301/[1]TK1!I56</f>
        <v>20.483540012489964</v>
      </c>
      <c r="AB281" s="11">
        <f>[1]TK1!J301/[1]TK1!J56</f>
        <v>20.489505893632401</v>
      </c>
      <c r="AC281" s="11">
        <f>[1]TK1!K301/[1]TK1!K56</f>
        <v>19.405258236944082</v>
      </c>
      <c r="AD281" s="11">
        <f>[1]TK1!L301/[1]TK1!L56</f>
        <v>19.482673339346505</v>
      </c>
      <c r="AE281" s="11">
        <f>[1]TK1!M301/[1]TK1!M56</f>
        <v>19.346739301006568</v>
      </c>
      <c r="AF281" s="11">
        <f>[1]TK1!N301/[1]TK1!N56</f>
        <v>19.410758557069553</v>
      </c>
      <c r="AG281" s="11" t="e">
        <f>[1]TK1!O301/[1]TK1!O56</f>
        <v>#DIV/0!</v>
      </c>
      <c r="AH281" s="11" t="e">
        <f>[1]TK1!P301/[1]TK1!P56</f>
        <v>#DIV/0!</v>
      </c>
      <c r="AI281" s="11" t="e">
        <f>[1]TK1!Q301/[1]TK1!Q56</f>
        <v>#DIV/0!</v>
      </c>
      <c r="AJ281" s="11"/>
      <c r="AK281" s="11">
        <f>[1]TK1!S301/[1]TK1!S56</f>
        <v>19.941598272598689</v>
      </c>
    </row>
    <row r="282" spans="1:37">
      <c r="A282" s="7">
        <v>5</v>
      </c>
      <c r="B282" s="8" t="s">
        <v>287</v>
      </c>
      <c r="C282" s="8" t="s">
        <v>283</v>
      </c>
      <c r="D282" s="11"/>
      <c r="E282" s="11"/>
      <c r="F282" s="11"/>
      <c r="G282" s="11"/>
      <c r="H282" s="11"/>
      <c r="I282" s="11"/>
      <c r="J282" s="11"/>
      <c r="K282" s="11">
        <v>24.873857716567404</v>
      </c>
      <c r="L282" s="11">
        <v>22.926618734642577</v>
      </c>
      <c r="M282" s="11">
        <v>21.678487588032567</v>
      </c>
      <c r="N282" s="11">
        <v>21.09708207949534</v>
      </c>
      <c r="O282" s="11">
        <v>18.171618196752771</v>
      </c>
      <c r="P282" s="11">
        <v>19.176920854956411</v>
      </c>
      <c r="Q282" s="11">
        <v>21.308966928060006</v>
      </c>
      <c r="R282" s="11">
        <v>18.690520912438913</v>
      </c>
      <c r="S282" s="11">
        <v>18.829082832091107</v>
      </c>
      <c r="T282" s="3">
        <v>19</v>
      </c>
      <c r="U282" s="11">
        <f>[1]TK1!C302/[1]TK1!C81</f>
        <v>18.578548823145027</v>
      </c>
      <c r="V282" s="11">
        <f>[1]TK1!D302/[1]TK1!D81</f>
        <v>19.111268193940173</v>
      </c>
      <c r="W282" s="11">
        <f>[1]TK1!E302/[1]TK1!E81</f>
        <v>19.258937955656396</v>
      </c>
      <c r="X282" s="11">
        <f>[1]TK1!F302/[1]TK1!F81</f>
        <v>18.979052628956271</v>
      </c>
      <c r="Y282" s="11">
        <f>[1]TK1!G302/[1]TK1!G81</f>
        <v>17.568711080252559</v>
      </c>
      <c r="Z282" s="11">
        <f>[1]TK1!H302/[1]TK1!H81</f>
        <v>19.403162831419735</v>
      </c>
      <c r="AA282" s="11">
        <f>[1]TK1!I302/[1]TK1!I81</f>
        <v>20.481171631738622</v>
      </c>
      <c r="AB282" s="11">
        <f>[1]TK1!J302/[1]TK1!J81</f>
        <v>19.03854229510646</v>
      </c>
      <c r="AC282" s="11">
        <f>[1]TK1!K302/[1]TK1!K81</f>
        <v>18.457673285295407</v>
      </c>
      <c r="AD282" s="11">
        <f>[1]TK1!L302/[1]TK1!L81</f>
        <v>18.449095162667565</v>
      </c>
      <c r="AE282" s="11">
        <f>[1]TK1!M302/[1]TK1!M81</f>
        <v>20.446330080610945</v>
      </c>
      <c r="AF282" s="11">
        <f>[1]TK1!N302/[1]TK1!N81</f>
        <v>19.087153948193553</v>
      </c>
      <c r="AG282" s="11" t="e">
        <f>[1]TK1!O302/[1]TK1!O81</f>
        <v>#DIV/0!</v>
      </c>
      <c r="AH282" s="11" t="e">
        <f>[1]TK1!P302/[1]TK1!P81</f>
        <v>#DIV/0!</v>
      </c>
      <c r="AI282" s="11" t="e">
        <f>[1]TK1!Q302/[1]TK1!Q81</f>
        <v>#DIV/0!</v>
      </c>
      <c r="AJ282" s="11"/>
      <c r="AK282" s="11">
        <f>[1]TK1!S302/[1]TK1!S81</f>
        <v>19.034927980546495</v>
      </c>
    </row>
    <row r="283" spans="1:37">
      <c r="A283" s="7">
        <v>6</v>
      </c>
      <c r="B283" s="8" t="s">
        <v>288</v>
      </c>
      <c r="C283" s="8" t="s">
        <v>283</v>
      </c>
      <c r="D283" s="11">
        <v>365.10607857532801</v>
      </c>
      <c r="E283" s="11">
        <v>364</v>
      </c>
      <c r="F283" s="11">
        <v>365</v>
      </c>
      <c r="G283" s="11">
        <v>365.53522725010453</v>
      </c>
      <c r="H283" s="11">
        <v>360.75558028813452</v>
      </c>
      <c r="I283" s="11">
        <v>361.2939235908629</v>
      </c>
      <c r="J283" s="11">
        <v>359.72263423316525</v>
      </c>
      <c r="K283" s="11">
        <v>359.51502565355486</v>
      </c>
      <c r="L283" s="11">
        <v>364.56467253916497</v>
      </c>
      <c r="M283" s="11">
        <v>371.39190630252858</v>
      </c>
      <c r="N283" s="11">
        <v>366.56168310345055</v>
      </c>
      <c r="O283" s="11">
        <v>359.97164677367721</v>
      </c>
      <c r="P283" s="11">
        <v>356.69247974409461</v>
      </c>
      <c r="Q283" s="11">
        <v>364.95118392997421</v>
      </c>
      <c r="R283" s="11">
        <v>359.90251693561714</v>
      </c>
      <c r="S283" s="11">
        <v>366.32280689906344</v>
      </c>
      <c r="T283" s="3">
        <v>360</v>
      </c>
      <c r="U283" s="11">
        <f>[1]TK1!C304/[1]TK1!C189</f>
        <v>363.99672540824679</v>
      </c>
      <c r="V283" s="11">
        <f>[1]TK1!D304/[1]TK1!D189</f>
        <v>362.00929307608465</v>
      </c>
      <c r="W283" s="11">
        <f>[1]TK1!D304/[1]TK1!D189</f>
        <v>362.00929307608465</v>
      </c>
      <c r="X283" s="12" t="str">
        <f>IF([1]TK1!F279=0,"-",([1]TK1!F280/[1]TK1!F279*100))</f>
        <v>-</v>
      </c>
      <c r="Y283" s="11">
        <f>[1]TK1!G304/[1]TK1!G189</f>
        <v>361.00293178138537</v>
      </c>
      <c r="Z283" s="11">
        <f>[1]TK1!H304/[1]TK1!H189</f>
        <v>362.9850746268657</v>
      </c>
      <c r="AA283" s="11">
        <f>[1]TK1!I304/[1]TK1!I189</f>
        <v>365.06444683136414</v>
      </c>
      <c r="AB283" s="12" t="str">
        <f>IF([1]TK1!J279=0,"-",([1]TK1!J280/[1]TK1!J279*100))</f>
        <v>-</v>
      </c>
      <c r="AC283" s="11">
        <f>[1]TK1!K304/[1]TK1!K189</f>
        <v>362.02546733149251</v>
      </c>
      <c r="AD283" s="11">
        <f>[1]TK1!L304/[1]TK1!L189</f>
        <v>364.00083914127873</v>
      </c>
      <c r="AE283" s="11">
        <f>[1]TK1!M304/[1]TK1!M189</f>
        <v>365.04137999800577</v>
      </c>
      <c r="AF283" s="12" t="str">
        <f>IF([1]TK1!N279=0,"-",([1]TK1!N280/[1]TK1!N279*100))</f>
        <v>-</v>
      </c>
      <c r="AG283" s="11" t="e">
        <f>[1]TK1!O304/[1]TK1!O189</f>
        <v>#DIV/0!</v>
      </c>
      <c r="AH283" s="11" t="e">
        <f>[1]TK1!P304/[1]TK1!P189</f>
        <v>#DIV/0!</v>
      </c>
      <c r="AI283" s="11" t="e">
        <f>[1]TK1!Q304/[1]TK1!Q189</f>
        <v>#DIV/0!</v>
      </c>
      <c r="AJ283" s="12"/>
      <c r="AK283" s="11">
        <f>[1]TK1!S304/[1]TK1!S189</f>
        <v>363.10058987085205</v>
      </c>
    </row>
    <row r="284" spans="1:37">
      <c r="A284" s="7"/>
      <c r="B284" s="8" t="s">
        <v>289</v>
      </c>
      <c r="C284" s="8" t="s">
        <v>283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>
        <v>338.40608250459161</v>
      </c>
      <c r="N284" s="11">
        <v>322.47243606011898</v>
      </c>
      <c r="O284" s="11">
        <v>327.81587236128672</v>
      </c>
      <c r="P284" s="11">
        <v>325.09899814119888</v>
      </c>
      <c r="Q284" s="11">
        <v>333.12851815090153</v>
      </c>
      <c r="R284" s="11">
        <v>319.8433191398143</v>
      </c>
      <c r="S284" s="11">
        <v>329.92721828417615</v>
      </c>
      <c r="T284" s="3">
        <v>330</v>
      </c>
      <c r="U284" s="11">
        <f>[1]TK1!C306/[1]TK1!C203</f>
        <v>337.96347742341743</v>
      </c>
      <c r="V284" s="11">
        <f>[1]TK1!D306/[1]TK1!D203</f>
        <v>329.97996596368023</v>
      </c>
      <c r="W284" s="11">
        <f>[1]TK1!E306/[1]TK1!E203</f>
        <v>331.98400077104719</v>
      </c>
      <c r="X284" s="11">
        <f>[1]TK1!E306/[1]TK1!E203</f>
        <v>331.98400077104719</v>
      </c>
      <c r="Y284" s="11">
        <f>[1]TK1!G306/[1]TK1!G203</f>
        <v>327.9932971947145</v>
      </c>
      <c r="Z284" s="11">
        <f>[1]TK1!H306/[1]TK1!H203</f>
        <v>318.98642224572421</v>
      </c>
      <c r="AA284" s="11">
        <f>[1]TK1!I306/[1]TK1!I203</f>
        <v>318.99251783539239</v>
      </c>
      <c r="AB284" s="11">
        <f>[1]TK1!J306/[1]TK1!J203</f>
        <v>322.12322221597617</v>
      </c>
      <c r="AC284" s="11">
        <f>[1]TK1!K306/[1]TK1!K203</f>
        <v>310.00439665853952</v>
      </c>
      <c r="AD284" s="11">
        <f>[1]TK1!L306/[1]TK1!L203</f>
        <v>308.97547616083654</v>
      </c>
      <c r="AE284" s="11">
        <f>[1]TK1!M306/[1]TK1!M203</f>
        <v>309.00669324094423</v>
      </c>
      <c r="AF284" s="11">
        <f>[1]TK1!N306/[1]TK1!N203</f>
        <v>309.31348446057069</v>
      </c>
      <c r="AG284" s="11" t="e">
        <f>[1]TK1!O306/[1]TK1!O203</f>
        <v>#DIV/0!</v>
      </c>
      <c r="AH284" s="11" t="e">
        <f>[1]TK1!P306/[1]TK1!P203</f>
        <v>#DIV/0!</v>
      </c>
      <c r="AI284" s="11" t="e">
        <f>[1]TK1!Q306/[1]TK1!Q203</f>
        <v>#DIV/0!</v>
      </c>
      <c r="AJ284" s="11"/>
      <c r="AK284" s="11">
        <f>[1]TK1!S306/[1]TK1!S203</f>
        <v>321.29854207201686</v>
      </c>
    </row>
    <row r="285" spans="1:37">
      <c r="A285" s="7">
        <v>7</v>
      </c>
      <c r="B285" s="8" t="s">
        <v>290</v>
      </c>
      <c r="C285" s="8" t="s">
        <v>283</v>
      </c>
      <c r="D285" s="11">
        <v>347.03876473215155</v>
      </c>
      <c r="E285" s="11">
        <v>349</v>
      </c>
      <c r="F285" s="11">
        <v>345</v>
      </c>
      <c r="G285" s="11">
        <v>345.47904549944718</v>
      </c>
      <c r="H285" s="11">
        <v>344.1262787417736</v>
      </c>
      <c r="I285" s="11">
        <v>353.40665531085801</v>
      </c>
      <c r="J285" s="11">
        <v>344.32726827553228</v>
      </c>
      <c r="K285" s="11">
        <v>345.55480765477108</v>
      </c>
      <c r="L285" s="11">
        <v>355</v>
      </c>
      <c r="M285" s="11">
        <v>353.91330517854885</v>
      </c>
      <c r="N285" s="11">
        <v>328.1093063527739</v>
      </c>
      <c r="O285" s="11">
        <v>329.05496801688389</v>
      </c>
      <c r="P285" s="11">
        <v>327.12718599137315</v>
      </c>
      <c r="Q285" s="11">
        <v>322.67467996149105</v>
      </c>
      <c r="R285" s="11">
        <v>320.73103725283607</v>
      </c>
      <c r="S285" s="11">
        <v>333.65773981692587</v>
      </c>
      <c r="T285" s="3">
        <v>340</v>
      </c>
      <c r="U285" s="11">
        <f>[1]TK1!C305/[1]TK1!C216</f>
        <v>339.97305792546024</v>
      </c>
      <c r="V285" s="11">
        <f>[1]TK1!D305/[1]TK1!D216</f>
        <v>341.02281401068609</v>
      </c>
      <c r="W285" s="11">
        <f>[1]TK1!E305/[1]TK1!E216</f>
        <v>349.98727627449318</v>
      </c>
      <c r="X285" s="11">
        <f>[1]TK1!F305/[1]TK1!F216</f>
        <v>342.23245291376952</v>
      </c>
      <c r="Y285" s="11">
        <f>[1]TK1!G305/[1]TK1!G216</f>
        <v>348.0123243405726</v>
      </c>
      <c r="Z285" s="11">
        <f>[1]TK1!H305/[1]TK1!H216</f>
        <v>370.03946094855183</v>
      </c>
      <c r="AA285" s="11">
        <f>[1]TK1!I305/[1]TK1!I216</f>
        <v>374.93929091792131</v>
      </c>
      <c r="AB285" s="11">
        <f>[1]TK1!J305/[1]TK1!J216</f>
        <v>356.79923957017166</v>
      </c>
      <c r="AC285" s="11">
        <f>[1]TK1!K305/[1]TK1!K216</f>
        <v>369.94598133900803</v>
      </c>
      <c r="AD285" s="11">
        <f>[1]TK1!L305/[1]TK1!L216</f>
        <v>360.03140950137418</v>
      </c>
      <c r="AE285" s="11">
        <f>[1]TK1!M305/[1]TK1!M216</f>
        <v>369.94005314875471</v>
      </c>
      <c r="AF285" s="11">
        <f>[1]TK1!N305/[1]TK1!N216</f>
        <v>365.20883138799041</v>
      </c>
      <c r="AG285" s="11" t="e">
        <f>[1]TK1!O305/[1]TK1!O216</f>
        <v>#DIV/0!</v>
      </c>
      <c r="AH285" s="11" t="e">
        <f>[1]TK1!P305/[1]TK1!P216</f>
        <v>#DIV/0!</v>
      </c>
      <c r="AI285" s="11" t="e">
        <f>[1]TK1!Q305/[1]TK1!Q216</f>
        <v>#DIV/0!</v>
      </c>
      <c r="AJ285" s="11"/>
      <c r="AK285" s="11">
        <f>[1]TK1!S305/[1]TK1!S216</f>
        <v>353.02802534092132</v>
      </c>
    </row>
    <row r="286" spans="1:37">
      <c r="A286" s="7"/>
      <c r="B286" s="8" t="s">
        <v>346</v>
      </c>
      <c r="C286" s="8" t="s">
        <v>283</v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3"/>
      <c r="U286" s="11">
        <v>342.07173657389257</v>
      </c>
      <c r="V286" s="11">
        <v>343.00597556188353</v>
      </c>
      <c r="W286" s="11">
        <v>341.99321004663545</v>
      </c>
      <c r="X286" s="11"/>
      <c r="Y286" s="11">
        <v>337.00054877570756</v>
      </c>
      <c r="Z286" s="11">
        <v>325.0011866081561</v>
      </c>
      <c r="AA286" s="11">
        <v>325.99094673632601</v>
      </c>
      <c r="AB286" s="11"/>
      <c r="AC286" s="11">
        <v>323.99480414810751</v>
      </c>
      <c r="AD286" s="11">
        <v>326.99329525069658</v>
      </c>
      <c r="AE286" s="11">
        <v>323.00778040883392</v>
      </c>
      <c r="AF286" s="11"/>
      <c r="AG286" s="11"/>
      <c r="AH286" s="11"/>
      <c r="AI286" s="11"/>
      <c r="AJ286" s="11"/>
      <c r="AK286" s="11">
        <v>331.56035673229786</v>
      </c>
    </row>
    <row r="287" spans="1:37">
      <c r="A287" s="7">
        <v>8</v>
      </c>
      <c r="B287" s="8" t="s">
        <v>291</v>
      </c>
      <c r="C287" s="8" t="s">
        <v>283</v>
      </c>
      <c r="D287" s="11">
        <v>739.99173620489762</v>
      </c>
      <c r="E287" s="11">
        <v>740</v>
      </c>
      <c r="F287" s="11">
        <v>740</v>
      </c>
      <c r="G287" s="11">
        <v>740.89798233226168</v>
      </c>
      <c r="H287" s="11">
        <v>742.12588023559306</v>
      </c>
      <c r="I287" s="11">
        <v>739.92326830066224</v>
      </c>
      <c r="J287" s="11">
        <v>739.94949530321583</v>
      </c>
      <c r="K287" s="11">
        <v>734.99445279318184</v>
      </c>
      <c r="L287" s="11">
        <v>735.09110306133175</v>
      </c>
      <c r="M287" s="11">
        <v>768.15340622954125</v>
      </c>
      <c r="N287" s="11">
        <v>781.7873068646569</v>
      </c>
      <c r="O287" s="11">
        <v>791.7998857154605</v>
      </c>
      <c r="P287" s="11">
        <v>748.88677988399877</v>
      </c>
      <c r="Q287" s="11">
        <v>740.34509562268374</v>
      </c>
      <c r="R287" s="11">
        <v>727.53578372670972</v>
      </c>
      <c r="S287" s="11">
        <v>725.65168412651258</v>
      </c>
      <c r="T287" s="3">
        <v>750</v>
      </c>
      <c r="U287" s="11">
        <f>[1]TK1!C283/[1]TK1!C287</f>
        <v>737.57812169312172</v>
      </c>
      <c r="V287" s="11">
        <f>[1]TK1!D283/[1]TK1!D287</f>
        <v>740.19470835174548</v>
      </c>
      <c r="W287" s="11">
        <f>[1]TK1!E283/[1]TK1!E287</f>
        <v>748.46106821106821</v>
      </c>
      <c r="X287" s="11">
        <f>[1]TK1!F283/[1]TK1!F287</f>
        <v>741.69831950365403</v>
      </c>
      <c r="Y287" s="11">
        <f>[1]TK1!G283/[1]TK1!G287</f>
        <v>737.48751221896384</v>
      </c>
      <c r="Z287" s="11">
        <f>[1]TK1!H283/[1]TK1!H287</f>
        <v>708.53896339253356</v>
      </c>
      <c r="AA287" s="11">
        <f>[1]TK1!I283/[1]TK1!I287</f>
        <v>771.14519323671493</v>
      </c>
      <c r="AB287" s="11">
        <f>[1]TK1!J283/[1]TK1!J287</f>
        <v>737.1766042949962</v>
      </c>
      <c r="AC287" s="11">
        <f>[1]TK1!K283/[1]TK1!K287</f>
        <v>750.02773182611895</v>
      </c>
      <c r="AD287" s="11">
        <f>[1]TK1!L283/[1]TK1!L287</f>
        <v>714.08857897153348</v>
      </c>
      <c r="AE287" s="11">
        <f>[1]TK1!M283/[1]TK1!M287</f>
        <v>734.23696615174924</v>
      </c>
      <c r="AF287" s="11">
        <f>[1]TK1!N283/[1]TK1!N287</f>
        <v>732.87616862509651</v>
      </c>
      <c r="AG287" s="11" t="e">
        <f>[1]TK1!O283/[1]TK1!O287</f>
        <v>#DIV/0!</v>
      </c>
      <c r="AH287" s="11" t="e">
        <f>[1]TK1!P283/[1]TK1!P287</f>
        <v>#DIV/0!</v>
      </c>
      <c r="AI287" s="11" t="e">
        <f>[1]TK1!Q283/[1]TK1!Q287</f>
        <v>#DIV/0!</v>
      </c>
      <c r="AJ287" s="11"/>
      <c r="AK287" s="11">
        <f>[1]TK1!S283/[1]TK1!S287</f>
        <v>737.4292504638978</v>
      </c>
    </row>
    <row r="288" spans="1:37">
      <c r="A288" s="7">
        <v>9</v>
      </c>
      <c r="B288" s="8" t="s">
        <v>292</v>
      </c>
      <c r="C288" s="8" t="s">
        <v>283</v>
      </c>
      <c r="D288" s="11">
        <v>768.66177376510052</v>
      </c>
      <c r="E288" s="11">
        <v>724</v>
      </c>
      <c r="F288" s="11">
        <v>734</v>
      </c>
      <c r="G288" s="11">
        <v>716.86713588610451</v>
      </c>
      <c r="H288" s="11">
        <v>713.71163141040142</v>
      </c>
      <c r="I288" s="11">
        <v>712.31439497667213</v>
      </c>
      <c r="J288" s="11">
        <v>693.23989638475291</v>
      </c>
      <c r="K288" s="11">
        <v>698.50294507982733</v>
      </c>
      <c r="L288" s="11">
        <v>692.0697379467623</v>
      </c>
      <c r="M288" s="11">
        <v>683.14891875587307</v>
      </c>
      <c r="N288" s="11">
        <v>675.36330725043058</v>
      </c>
      <c r="O288" s="11">
        <v>686.96582711209749</v>
      </c>
      <c r="P288" s="11">
        <v>697.25622631303645</v>
      </c>
      <c r="Q288" s="11">
        <v>692.34319291730196</v>
      </c>
      <c r="R288" s="11">
        <v>687.86142031365716</v>
      </c>
      <c r="S288" s="11">
        <v>679.1785346536966</v>
      </c>
      <c r="T288" s="3">
        <v>560</v>
      </c>
      <c r="U288" s="11">
        <f>[1]TK1!C292/[1]TK1!C291</f>
        <v>568.32089123812386</v>
      </c>
      <c r="V288" s="11">
        <f>[1]TK1!D292/[1]TK1!D291</f>
        <v>631.72227441842983</v>
      </c>
      <c r="W288" s="11">
        <f>[1]TK1!E292/[1]TK1!E291</f>
        <v>719.02721550036449</v>
      </c>
      <c r="X288" s="11">
        <f>[1]TK1!F292/[1]TK1!F291</f>
        <v>643.07130058572284</v>
      </c>
      <c r="Y288" s="11">
        <f>[1]TK1!G292/[1]TK1!G291</f>
        <v>678.76528540813342</v>
      </c>
      <c r="Z288" s="11">
        <f>[1]TK1!H292/[1]TK1!H291</f>
        <v>739.88163279038758</v>
      </c>
      <c r="AA288" s="11">
        <f>[1]TK1!I292/[1]TK1!I291</f>
        <v>723.47466410748564</v>
      </c>
      <c r="AB288" s="11">
        <f>[1]TK1!J292/[1]TK1!J291</f>
        <v>715.73429227736574</v>
      </c>
      <c r="AC288" s="11">
        <f>[1]TK1!K292/[1]TK1!K291</f>
        <v>751.99865505215587</v>
      </c>
      <c r="AD288" s="11">
        <f>[1]TK1!L292/[1]TK1!L291</f>
        <v>693.12588894776468</v>
      </c>
      <c r="AE288" s="11">
        <f>[1]TK1!M292/[1]TK1!M291</f>
        <v>728.74662326826331</v>
      </c>
      <c r="AF288" s="11">
        <f>[1]TK1!N292/[1]TK1!N291</f>
        <v>720.77722899444211</v>
      </c>
      <c r="AG288" s="11" t="e">
        <f>[1]TK1!O292/[1]TK1!O291</f>
        <v>#DIV/0!</v>
      </c>
      <c r="AH288" s="11" t="e">
        <f>[1]TK1!P292/[1]TK1!P291</f>
        <v>#DIV/0!</v>
      </c>
      <c r="AI288" s="11" t="e">
        <f>[1]TK1!Q292/[1]TK1!Q291</f>
        <v>#DIV/0!</v>
      </c>
      <c r="AJ288" s="11"/>
      <c r="AK288" s="11">
        <f>[1]TK1!S292/[1]TK1!S291</f>
        <v>696.87612393151471</v>
      </c>
    </row>
    <row r="289" spans="1:37">
      <c r="A289" s="7"/>
      <c r="B289" s="8" t="s">
        <v>293</v>
      </c>
      <c r="C289" s="8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3"/>
      <c r="R289" s="3"/>
      <c r="S289" s="3"/>
      <c r="T289" s="3" t="s">
        <v>44</v>
      </c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 t="s">
        <v>294</v>
      </c>
    </row>
    <row r="290" spans="1:37" s="1" customFormat="1">
      <c r="B290" s="3"/>
      <c r="C290" s="8" t="s">
        <v>8</v>
      </c>
      <c r="D290" s="3" t="s">
        <v>9</v>
      </c>
      <c r="E290" s="6" t="s">
        <v>10</v>
      </c>
      <c r="F290" s="6" t="s">
        <v>11</v>
      </c>
      <c r="G290" s="6" t="s">
        <v>12</v>
      </c>
      <c r="H290" s="6" t="s">
        <v>13</v>
      </c>
      <c r="I290" s="3" t="s">
        <v>14</v>
      </c>
      <c r="J290" s="3" t="s">
        <v>15</v>
      </c>
      <c r="K290" s="3" t="s">
        <v>16</v>
      </c>
      <c r="L290" s="3" t="s">
        <v>17</v>
      </c>
      <c r="M290" s="3" t="s">
        <v>18</v>
      </c>
      <c r="N290" s="3" t="s">
        <v>19</v>
      </c>
      <c r="O290" s="3" t="s">
        <v>20</v>
      </c>
      <c r="P290" s="3" t="s">
        <v>21</v>
      </c>
      <c r="Q290" s="3" t="s">
        <v>22</v>
      </c>
      <c r="R290" s="3" t="s">
        <v>23</v>
      </c>
      <c r="S290" s="3" t="s">
        <v>24</v>
      </c>
      <c r="T290" s="3" t="s">
        <v>25</v>
      </c>
      <c r="U290" s="3" t="s">
        <v>26</v>
      </c>
      <c r="V290" s="3" t="s">
        <v>27</v>
      </c>
      <c r="W290" s="3" t="s">
        <v>28</v>
      </c>
      <c r="X290" s="3" t="s">
        <v>29</v>
      </c>
      <c r="Y290" s="3" t="s">
        <v>74</v>
      </c>
      <c r="Z290" s="3" t="s">
        <v>31</v>
      </c>
      <c r="AA290" s="3" t="s">
        <v>32</v>
      </c>
      <c r="AB290" s="3" t="s">
        <v>33</v>
      </c>
      <c r="AC290" s="3" t="s">
        <v>34</v>
      </c>
      <c r="AD290" s="3" t="s">
        <v>35</v>
      </c>
      <c r="AE290" s="3" t="s">
        <v>36</v>
      </c>
      <c r="AF290" s="3" t="s">
        <v>37</v>
      </c>
      <c r="AG290" s="3" t="s">
        <v>38</v>
      </c>
      <c r="AH290" s="3" t="s">
        <v>39</v>
      </c>
      <c r="AI290" s="3" t="s">
        <v>40</v>
      </c>
      <c r="AJ290" s="3"/>
      <c r="AK290" s="3" t="s">
        <v>42</v>
      </c>
    </row>
    <row r="291" spans="1:37">
      <c r="A291" s="7"/>
      <c r="B291" s="8" t="s">
        <v>295</v>
      </c>
      <c r="C291" s="3"/>
      <c r="D291" s="11"/>
      <c r="E291" s="11"/>
      <c r="F291" s="11"/>
      <c r="G291" s="11"/>
      <c r="H291" s="11"/>
      <c r="I291" s="11"/>
      <c r="J291" s="11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 spans="1:37">
      <c r="A292" s="7">
        <v>1</v>
      </c>
      <c r="B292" s="8" t="s">
        <v>296</v>
      </c>
      <c r="C292" s="8" t="s">
        <v>297</v>
      </c>
      <c r="D292" s="9">
        <v>4.8829478505766515</v>
      </c>
      <c r="E292" s="9">
        <v>4.92</v>
      </c>
      <c r="F292" s="9">
        <v>4.7</v>
      </c>
      <c r="G292" s="9">
        <v>4.5579254058590264</v>
      </c>
      <c r="H292" s="9">
        <v>4.5434203174883638</v>
      </c>
      <c r="I292" s="9">
        <v>4.6267170704159524</v>
      </c>
      <c r="J292" s="9">
        <v>5.1688143897957506</v>
      </c>
      <c r="K292" s="9">
        <v>19.651003225720935</v>
      </c>
      <c r="L292" s="9">
        <v>23.804421797180758</v>
      </c>
      <c r="M292" s="9">
        <v>24.130666309316517</v>
      </c>
      <c r="N292" s="9">
        <v>14.006769387662455</v>
      </c>
      <c r="O292" s="9">
        <v>14.289256786992841</v>
      </c>
      <c r="P292" s="9">
        <v>15.865940520764573</v>
      </c>
      <c r="Q292" s="9">
        <v>17.876563801896552</v>
      </c>
      <c r="R292" s="9">
        <v>16.340282591027012</v>
      </c>
      <c r="S292" s="9">
        <v>16.436889904571228</v>
      </c>
      <c r="T292" s="9">
        <v>17.876563801896552</v>
      </c>
      <c r="U292" s="9">
        <f>[1]TK1!C308/([1]TK1!C7 +[1]TK1!C19)</f>
        <v>16.136140811055043</v>
      </c>
      <c r="V292" s="9">
        <f>[1]TK1!D308/([1]TK1!D7+[1]TK1!D19)</f>
        <v>16.071398497402321</v>
      </c>
      <c r="W292" s="9">
        <f>[1]TK1!E308/([1]TK1!E7+[1]TK1!E19)</f>
        <v>16.103943741724887</v>
      </c>
      <c r="X292" s="9">
        <f>[1]TK1!F308/([1]TK1!F7 +[1]TK1!F19)</f>
        <v>16.103445606194697</v>
      </c>
      <c r="Y292" s="9">
        <f>[1]TK1!G308/([1]TK1!G7+[1]TK1!G19)</f>
        <v>16.479164502129905</v>
      </c>
      <c r="Z292" s="9">
        <f>[1]TK1!H308/([1]TK1!H7+[1]TK1!H19)</f>
        <v>16.732014079318954</v>
      </c>
      <c r="AA292" s="9">
        <f>[1]TK1!I308/([1]TK1!I7+[1]TK1!I19)</f>
        <v>16.963161252973762</v>
      </c>
      <c r="AB292" s="9">
        <f>[1]TK1!J308/([1]TK1!J7 +[1]TK1!J19)</f>
        <v>16.720290086963182</v>
      </c>
      <c r="AC292" s="9">
        <f>[1]TK1!K308/([1]TK1!K7+[1]TK1!K19)</f>
        <v>17.022058524607491</v>
      </c>
      <c r="AD292" s="9">
        <f>[1]TK1!L308/([1]TK1!L7+[1]TK1!L19)</f>
        <v>16.819000649573638</v>
      </c>
      <c r="AE292" s="9">
        <f>[1]TK1!M308/([1]TK1!M7+[1]TK1!M19)</f>
        <v>16.716387133365743</v>
      </c>
      <c r="AF292" s="9">
        <f>[1]TK1!N308/([1]TK1!N7 +[1]TK1!N19)</f>
        <v>16.852518450850148</v>
      </c>
      <c r="AG292" s="9" t="e">
        <f>[1]TK1!O308/([1]TK1!O7+[1]TK1!O19)</f>
        <v>#DIV/0!</v>
      </c>
      <c r="AH292" s="9" t="e">
        <f>[1]TK1!P308/([1]TK1!P7+[1]TK1!P19)</f>
        <v>#DIV/0!</v>
      </c>
      <c r="AI292" s="9" t="e">
        <f>[1]TK1!Q308/([1]TK1!Q7+[1]TK1!Q19)</f>
        <v>#DIV/0!</v>
      </c>
      <c r="AJ292" s="9"/>
      <c r="AK292" s="9">
        <f>[1]TK1!S308/([1]TK1!S7 +[1]TK1!S19)</f>
        <v>16.55550238046327</v>
      </c>
    </row>
    <row r="293" spans="1:37">
      <c r="A293" s="1">
        <v>2</v>
      </c>
      <c r="B293" s="3" t="s">
        <v>298</v>
      </c>
      <c r="C293" s="3" t="s">
        <v>297</v>
      </c>
      <c r="D293" s="9">
        <v>59.84363186580913</v>
      </c>
      <c r="E293" s="9">
        <v>60.84</v>
      </c>
      <c r="F293" s="9">
        <v>56.6</v>
      </c>
      <c r="G293" s="9">
        <v>55.018164826111956</v>
      </c>
      <c r="H293" s="9">
        <v>55.245287275376768</v>
      </c>
      <c r="I293" s="9">
        <v>58.87211181866018</v>
      </c>
      <c r="J293" s="9">
        <v>55.743793220416855</v>
      </c>
      <c r="K293" s="9">
        <v>52.692938242656922</v>
      </c>
      <c r="L293" s="9">
        <v>54.360905715951283</v>
      </c>
      <c r="M293" s="9">
        <v>55.739477275614107</v>
      </c>
      <c r="N293" s="9">
        <v>80.447762853675229</v>
      </c>
      <c r="O293" s="9">
        <v>82.410310049579692</v>
      </c>
      <c r="P293" s="9">
        <v>82.203555178530124</v>
      </c>
      <c r="Q293" s="9">
        <v>78.59163052905464</v>
      </c>
      <c r="R293" s="9">
        <v>69.409896281252912</v>
      </c>
      <c r="S293" s="9">
        <v>70.343774200207193</v>
      </c>
      <c r="T293" s="9">
        <v>78.59163052905464</v>
      </c>
      <c r="U293" s="9">
        <f>[1]TK1!C309/[1]TK1!C348*1000</f>
        <v>70.131150205684136</v>
      </c>
      <c r="V293" s="9">
        <f>[1]TK1!D309/[1]TK1!D348*1000</f>
        <v>69.239566114456011</v>
      </c>
      <c r="W293" s="9">
        <f>[1]TK1!E309/[1]TK1!E348*1000</f>
        <v>72.326457656529286</v>
      </c>
      <c r="X293" s="9">
        <f>[1]TK1!F309/[1]TK1!F348*1000</f>
        <v>70.525175049999376</v>
      </c>
      <c r="Y293" s="9">
        <f>[1]TK1!G309/[1]TK1!G348*1000</f>
        <v>71.739455151499953</v>
      </c>
      <c r="Z293" s="9">
        <f>[1]TK1!H309/[1]TK1!H348*1000</f>
        <v>72.116387698287738</v>
      </c>
      <c r="AA293" s="9">
        <f>[1]TK1!I309/[1]TK1!I348*1000</f>
        <v>71.980587777293891</v>
      </c>
      <c r="AB293" s="9">
        <f>[1]TK1!J309/[1]TK1!J348*1000</f>
        <v>71.943691965264435</v>
      </c>
      <c r="AC293" s="9">
        <f>[1]TK1!K309/[1]TK1!K348*1000</f>
        <v>71.702059858257286</v>
      </c>
      <c r="AD293" s="9">
        <f>[1]TK1!L309/[1]TK1!L348*1000</f>
        <v>69.887740619463329</v>
      </c>
      <c r="AE293" s="9">
        <f>[1]TK1!M309/[1]TK1!M348*1000</f>
        <v>69.77556868388497</v>
      </c>
      <c r="AF293" s="9">
        <f>[1]TK1!N309/([1]TK1!N8 +[1]TK1!N20)</f>
        <v>2.0652712753025076E-2</v>
      </c>
      <c r="AG293" s="9" t="e">
        <f>[1]TK1!O309/[1]TK1!O348*1000</f>
        <v>#DIV/0!</v>
      </c>
      <c r="AH293" s="9" t="e">
        <f>[1]TK1!P309/[1]TK1!P348*1000</f>
        <v>#DIV/0!</v>
      </c>
      <c r="AI293" s="9" t="e">
        <f>[1]TK1!Q309/[1]TK1!Q348*1000</f>
        <v>#DIV/0!</v>
      </c>
      <c r="AJ293" s="9"/>
      <c r="AK293" s="9">
        <f>[1]TK1!S309/[1]TK1!S348*1000</f>
        <v>70.970121508176433</v>
      </c>
    </row>
    <row r="294" spans="1:37">
      <c r="A294" s="7">
        <v>3</v>
      </c>
      <c r="B294" s="8" t="s">
        <v>299</v>
      </c>
      <c r="C294" s="8" t="s">
        <v>297</v>
      </c>
      <c r="D294" s="9">
        <v>22.685109679340883</v>
      </c>
      <c r="E294" s="9">
        <v>22.59</v>
      </c>
      <c r="F294" s="9">
        <v>21.3</v>
      </c>
      <c r="G294" s="9">
        <v>20.799621065592383</v>
      </c>
      <c r="H294" s="9">
        <v>20.911214406854533</v>
      </c>
      <c r="I294" s="9">
        <v>20.625318705026242</v>
      </c>
      <c r="J294" s="9">
        <v>15.270685909825467</v>
      </c>
      <c r="K294" s="9">
        <v>35.150683816269101</v>
      </c>
      <c r="L294" s="9">
        <v>41.62241677588122</v>
      </c>
      <c r="M294" s="9">
        <v>40.05256487827203</v>
      </c>
      <c r="N294" s="9">
        <v>40.119367728726715</v>
      </c>
      <c r="O294" s="9">
        <v>38.843266940724178</v>
      </c>
      <c r="P294" s="9">
        <v>40.433226216008777</v>
      </c>
      <c r="Q294" s="9">
        <v>42.280883263529731</v>
      </c>
      <c r="R294" s="9">
        <v>41.05</v>
      </c>
      <c r="S294" s="9">
        <v>39.297445741664717</v>
      </c>
      <c r="T294" s="9">
        <v>69</v>
      </c>
      <c r="U294" s="9">
        <f>([1]TK1!C313+[1]TK1!C314)/([1]TK1!C101+[1]TK1!C102+[1]TK1!C103)</f>
        <v>37.899003997493814</v>
      </c>
      <c r="V294" s="9">
        <f>([1]TK1!D313+[1]TK1!D314)/([1]TK1!D101+[1]TK1!D102+[1]TK1!D103)</f>
        <v>37.303452493016103</v>
      </c>
      <c r="W294" s="9">
        <f>([1]TK1!E313+[1]TK1!E314)/([1]TK1!E101+[1]TK1!E102+[1]TK1!E103)</f>
        <v>40.674565400648312</v>
      </c>
      <c r="X294" s="9">
        <v>38.880000000000003</v>
      </c>
      <c r="Y294" s="9">
        <f>([1]TK1!G313+[1]TK1!G314)/([1]TK1!G101+[1]TK1!G102+[1]TK1!G103)</f>
        <v>37.157756519915822</v>
      </c>
      <c r="Z294" s="9">
        <f>([1]TK1!H313+[1]TK1!H314)/([1]TK1!H101+[1]TK1!H102+[1]TK1!H103)</f>
        <v>38.73360705305754</v>
      </c>
      <c r="AA294" s="9">
        <f>([1]TK1!I313+[1]TK1!I314)/([1]TK1!I101+[1]TK1!I102+[1]TK1!I103)</f>
        <v>40.978123678812324</v>
      </c>
      <c r="AB294" s="9">
        <f>[1]TK1!J313/([1]TK1!J101+[1]TK1!J102+[1]TK1!J103)</f>
        <v>12.822776908495204</v>
      </c>
      <c r="AC294" s="9">
        <f>([1]TK1!K313+[1]TK1!K314)/([1]TK1!K101+[1]TK1!K102+[1]TK1!K103)</f>
        <v>37.683439152113237</v>
      </c>
      <c r="AD294" s="9">
        <f>([1]TK1!L313+[1]TK1!L314)/([1]TK1!L101+[1]TK1!L102+[1]TK1!L103)</f>
        <v>38.995436006207683</v>
      </c>
      <c r="AE294" s="9">
        <f>([1]TK1!M313+[1]TK1!M314)/([1]TK1!M101+[1]TK1!M102+[1]TK1!M103)</f>
        <v>39.675012243002143</v>
      </c>
      <c r="AF294" s="9">
        <f>[1]TK1!N313/([1]TK1!N101+[1]TK1!N102+[1]TK1!N103)</f>
        <v>12.989302515964747</v>
      </c>
      <c r="AG294" s="9" t="e">
        <f>([1]TK1!O313+[1]TK1!O314)/([1]TK1!O101+[1]TK1!O102+[1]TK1!O103)</f>
        <v>#DIV/0!</v>
      </c>
      <c r="AH294" s="9" t="e">
        <f>([1]TK1!P313+[1]TK1!P314)/([1]TK1!P101+[1]TK1!P102+[1]TK1!P103)</f>
        <v>#DIV/0!</v>
      </c>
      <c r="AI294" s="9" t="e">
        <f>([1]TK1!Q313+[1]TK1!Q314)/([1]TK1!Q101+[1]TK1!Q102+[1]TK1!Q103)</f>
        <v>#DIV/0!</v>
      </c>
      <c r="AJ294" s="9"/>
      <c r="AK294" s="9">
        <f>([1]TK1!S313+[1]TK1!S314)/([1]TK1!S101+[1]TK1!S102+[1]TK1!S103)</f>
        <v>38.718181284837733</v>
      </c>
    </row>
    <row r="295" spans="1:37">
      <c r="A295" s="7"/>
      <c r="B295" s="8" t="s">
        <v>300</v>
      </c>
      <c r="C295" s="8" t="s">
        <v>297</v>
      </c>
      <c r="D295" s="9"/>
      <c r="E295" s="9"/>
      <c r="F295" s="9"/>
      <c r="G295" s="9"/>
      <c r="H295" s="9"/>
      <c r="I295" s="9"/>
      <c r="J295" s="9"/>
      <c r="K295" s="9"/>
      <c r="L295" s="9"/>
      <c r="M295" s="9">
        <v>40.946826297788689</v>
      </c>
      <c r="N295" s="9">
        <v>42.950277103596278</v>
      </c>
      <c r="O295" s="9">
        <v>43.183387445488151</v>
      </c>
      <c r="P295" s="9">
        <v>44.138903283663602</v>
      </c>
      <c r="Q295" s="9">
        <v>45.644845390244477</v>
      </c>
      <c r="R295" s="9">
        <v>45.25</v>
      </c>
      <c r="S295" s="9">
        <v>40.945760389252158</v>
      </c>
      <c r="T295" s="9">
        <v>39</v>
      </c>
      <c r="U295" s="9">
        <f>[1]TK1!C314/([1]TK1!C103)</f>
        <v>39.141739345886968</v>
      </c>
      <c r="V295" s="9">
        <f>[1]TK1!D314/([1]TK1!D103)</f>
        <v>39.026531542249231</v>
      </c>
      <c r="W295" s="9">
        <f>[1]TK1!E314/([1]TK1!E103)</f>
        <v>42.234943545259632</v>
      </c>
      <c r="X295" s="9">
        <f>[1]TK1!F314/([1]TK1!F103)</f>
        <v>40.073003409529868</v>
      </c>
      <c r="Y295" s="9">
        <f>[1]TK1!G314/([1]TK1!G103)</f>
        <v>38.949059688317654</v>
      </c>
      <c r="Z295" s="9">
        <f>[1]TK1!H314/([1]TK1!H103)</f>
        <v>41.064485699352787</v>
      </c>
      <c r="AA295" s="9">
        <f>[1]TK1!I314/([1]TK1!I103)</f>
        <v>42.410969615728391</v>
      </c>
      <c r="AB295" s="9">
        <f>[1]TK1!J314/([1]TK1!J103)</f>
        <v>40.71570510631517</v>
      </c>
      <c r="AC295" s="9">
        <f>[1]TK1!K314/([1]TK1!K103)</f>
        <v>39.103318347591774</v>
      </c>
      <c r="AD295" s="9">
        <f>[1]TK1!L314/([1]TK1!L103)</f>
        <v>39.979890468174077</v>
      </c>
      <c r="AE295" s="9">
        <f>[1]TK1!M314/([1]TK1!M103)</f>
        <v>42.397319676795227</v>
      </c>
      <c r="AF295" s="9">
        <f>[1]TK1!N314/([1]TK1!N103)</f>
        <v>40.423131274827696</v>
      </c>
      <c r="AG295" s="9" t="e">
        <f>[1]TK1!O314/([1]TK1!O103)</f>
        <v>#DIV/0!</v>
      </c>
      <c r="AH295" s="9" t="e">
        <f>[1]TK1!P314/([1]TK1!P103)</f>
        <v>#DIV/0!</v>
      </c>
      <c r="AI295" s="9" t="e">
        <f>[1]TK1!Q314/([1]TK1!Q103)</f>
        <v>#DIV/0!</v>
      </c>
      <c r="AJ295" s="9"/>
      <c r="AK295" s="9">
        <f>[1]TK1!S314/([1]TK1!S103)</f>
        <v>40.402140486389328</v>
      </c>
    </row>
    <row r="296" spans="1:37">
      <c r="A296" s="1">
        <v>4</v>
      </c>
      <c r="B296" s="8" t="s">
        <v>301</v>
      </c>
      <c r="C296" s="8" t="s">
        <v>297</v>
      </c>
      <c r="D296" s="12">
        <v>37.345546385184065</v>
      </c>
      <c r="E296" s="12">
        <v>41</v>
      </c>
      <c r="F296" s="12">
        <v>41.2</v>
      </c>
      <c r="G296" s="12">
        <v>39.845083428178754</v>
      </c>
      <c r="H296" s="12">
        <v>39.707659042141096</v>
      </c>
      <c r="I296" s="12">
        <v>40.554946607431624</v>
      </c>
      <c r="J296" s="12">
        <v>48.044026658635779</v>
      </c>
      <c r="K296" s="9">
        <v>47.801540998057426</v>
      </c>
      <c r="L296" s="9">
        <v>56.91447694749634</v>
      </c>
      <c r="M296" s="9">
        <v>50.830314488872588</v>
      </c>
      <c r="N296" s="9">
        <v>55.788995593440283</v>
      </c>
      <c r="O296" s="9">
        <v>48.097039324146913</v>
      </c>
      <c r="P296" s="9">
        <v>56.154434791258488</v>
      </c>
      <c r="Q296" s="9">
        <v>37.716429650034016</v>
      </c>
      <c r="R296" s="9">
        <v>34.862755597821518</v>
      </c>
      <c r="S296" s="9">
        <v>34.72764801349696</v>
      </c>
      <c r="T296" s="12">
        <v>34</v>
      </c>
      <c r="U296" s="9">
        <f>[1]TK1!C310/[1]TK1!C34</f>
        <v>32.986213049762419</v>
      </c>
      <c r="V296" s="9">
        <f>[1]TK1!D310/[1]TK1!D34</f>
        <v>32.958406901277868</v>
      </c>
      <c r="W296" s="9">
        <f>[1]TK1!E310/[1]TK1!E34</f>
        <v>34.044649029920627</v>
      </c>
      <c r="X296" s="9">
        <f>[1]TK1!F310/[1]TK1!F34</f>
        <v>33.31065461282946</v>
      </c>
      <c r="Y296" s="9">
        <f>[1]TK1!G310/[1]TK1!G34</f>
        <v>32.851547584152613</v>
      </c>
      <c r="Z296" s="9">
        <f>[1]TK1!H310/[1]TK1!H34</f>
        <v>33.695240035252823</v>
      </c>
      <c r="AA296" s="9">
        <f>[1]TK1!I310/[1]TK1!I34</f>
        <v>33.491463120514297</v>
      </c>
      <c r="AB296" s="9">
        <f>[1]TK1!J310/[1]TK1!J34</f>
        <v>33.338041314697364</v>
      </c>
      <c r="AC296" s="9">
        <f>[1]TK1!K310/[1]TK1!K34</f>
        <v>34.049978159393618</v>
      </c>
      <c r="AD296" s="9">
        <f>[1]TK1!L310/[1]TK1!L34</f>
        <v>33.043088665151011</v>
      </c>
      <c r="AE296" s="9">
        <f>[1]TK1!M310/[1]TK1!M34</f>
        <v>32.677559293602343</v>
      </c>
      <c r="AF296" s="9">
        <f>[1]TK1!N310/[1]TK1!N34</f>
        <v>33.234288178669367</v>
      </c>
      <c r="AG296" s="9" t="e">
        <f>[1]TK1!O310/[1]TK1!O34</f>
        <v>#DIV/0!</v>
      </c>
      <c r="AH296" s="9" t="e">
        <f>[1]TK1!P310/[1]TK1!P34</f>
        <v>#DIV/0!</v>
      </c>
      <c r="AI296" s="9" t="e">
        <f>[1]TK1!Q310/[1]TK1!Q34</f>
        <v>#DIV/0!</v>
      </c>
      <c r="AJ296" s="9"/>
      <c r="AK296" s="9">
        <f>[1]TK1!S310/[1]TK1!S34</f>
        <v>33.29415386577746</v>
      </c>
    </row>
    <row r="297" spans="1:37">
      <c r="A297" s="7" t="s">
        <v>72</v>
      </c>
      <c r="B297" s="8" t="s">
        <v>302</v>
      </c>
      <c r="C297" s="8" t="s">
        <v>297</v>
      </c>
      <c r="D297" s="12">
        <v>44.237867573597974</v>
      </c>
      <c r="E297" s="12">
        <v>44.1</v>
      </c>
      <c r="F297" s="12">
        <v>42.6</v>
      </c>
      <c r="G297" s="12">
        <v>42.065272344864773</v>
      </c>
      <c r="H297" s="12">
        <v>40.385105484935949</v>
      </c>
      <c r="I297" s="12">
        <v>41.516009121179508</v>
      </c>
      <c r="J297" s="12">
        <v>44.575450663013783</v>
      </c>
      <c r="K297" s="9">
        <v>43.487471491627424</v>
      </c>
      <c r="L297" s="9">
        <v>43.072260173870411</v>
      </c>
      <c r="M297" s="9">
        <v>40.887088260195448</v>
      </c>
      <c r="N297" s="9">
        <v>42.321523280856944</v>
      </c>
      <c r="O297" s="9">
        <v>41.270952565371431</v>
      </c>
      <c r="P297" s="9">
        <v>42.38760911875957</v>
      </c>
      <c r="Q297" s="9">
        <v>45.103906007269657</v>
      </c>
      <c r="R297" s="9">
        <v>42.956039962401078</v>
      </c>
      <c r="S297" s="9">
        <v>41.519783392977267</v>
      </c>
      <c r="T297" s="9">
        <v>41.5</v>
      </c>
      <c r="U297" s="9">
        <f>[1]TK1!C311/[1]TK1!C56</f>
        <v>41.470916766266107</v>
      </c>
      <c r="V297" s="9">
        <f>[1]TK1!D311/[1]TK1!D56</f>
        <v>41.119262953258392</v>
      </c>
      <c r="W297" s="9">
        <f>[1]TK1!E311/[1]TK1!E56</f>
        <v>43.992707085161591</v>
      </c>
      <c r="X297" s="9">
        <f>[1]TK1!F311/[1]TK1!F56</f>
        <v>41.967617711492181</v>
      </c>
      <c r="Y297" s="9">
        <f>[1]TK1!G311/[1]TK1!G56</f>
        <v>41.397556625849106</v>
      </c>
      <c r="Z297" s="9">
        <f>[1]TK1!H311/[1]TK1!H56</f>
        <v>41.521429173766137</v>
      </c>
      <c r="AA297" s="9">
        <f>[1]TK1!I311/[1]TK1!I56</f>
        <v>41.403972284176376</v>
      </c>
      <c r="AB297" s="9">
        <f>[1]TK1!J311/[1]TK1!J56</f>
        <v>41.441097541645881</v>
      </c>
      <c r="AC297" s="9">
        <f>[1]TK1!K311/[1]TK1!K56</f>
        <v>41.588274519719889</v>
      </c>
      <c r="AD297" s="9">
        <f>[1]TK1!L311/[1]TK1!L56</f>
        <v>40.809362623294291</v>
      </c>
      <c r="AE297" s="9">
        <f>[1]TK1!M311/[1]TK1!M56</f>
        <v>40.857363418297524</v>
      </c>
      <c r="AF297" s="9">
        <f>[1]TK1!N311/[1]TK1!N56</f>
        <v>41.080390828897052</v>
      </c>
      <c r="AG297" s="9" t="e">
        <f>[1]TK1!O311/[1]TK1!O56</f>
        <v>#DIV/0!</v>
      </c>
      <c r="AH297" s="9" t="e">
        <f>[1]TK1!P311/[1]TK1!P56</f>
        <v>#DIV/0!</v>
      </c>
      <c r="AI297" s="9" t="e">
        <f>[1]TK1!Q311/[1]TK1!Q56</f>
        <v>#DIV/0!</v>
      </c>
      <c r="AJ297" s="9"/>
      <c r="AK297" s="9">
        <f>[1]TK1!S311/[1]TK1!S56</f>
        <v>41.478578424938853</v>
      </c>
    </row>
    <row r="298" spans="1:37">
      <c r="A298" s="7">
        <v>6</v>
      </c>
      <c r="B298" s="8" t="s">
        <v>303</v>
      </c>
      <c r="C298" s="8" t="s">
        <v>297</v>
      </c>
      <c r="D298" s="12"/>
      <c r="E298" s="12"/>
      <c r="F298" s="12"/>
      <c r="G298" s="12"/>
      <c r="H298" s="12"/>
      <c r="I298" s="12"/>
      <c r="J298" s="12"/>
      <c r="K298" s="9">
        <v>40.134176692897334</v>
      </c>
      <c r="L298" s="9">
        <v>37.88721044879258</v>
      </c>
      <c r="M298" s="9">
        <v>35.722976811847559</v>
      </c>
      <c r="N298" s="9">
        <v>33.44137472166004</v>
      </c>
      <c r="O298" s="9">
        <v>31.852488634247216</v>
      </c>
      <c r="P298" s="9">
        <v>30.758950368960274</v>
      </c>
      <c r="Q298" s="9">
        <v>32.771589226048413</v>
      </c>
      <c r="R298" s="9">
        <v>32.999360777501543</v>
      </c>
      <c r="S298" s="9">
        <v>33.633879568310434</v>
      </c>
      <c r="T298" s="12">
        <v>30</v>
      </c>
      <c r="U298" s="9">
        <f>[1]TK1!C312/[1]TK1!C81</f>
        <v>32.969348597639907</v>
      </c>
      <c r="V298" s="9">
        <f>[1]TK1!D312/[1]TK1!D81</f>
        <v>33.037329306300805</v>
      </c>
      <c r="W298" s="9">
        <f>[1]TK1!E312/[1]TK1!E81</f>
        <v>33.65850085917819</v>
      </c>
      <c r="X298" s="9">
        <f>[1]TK1!F312/[1]TK1!F81</f>
        <v>33.216011300769246</v>
      </c>
      <c r="Y298" s="9">
        <f>[1]TK1!G312/[1]TK1!G81</f>
        <v>32.865479094535658</v>
      </c>
      <c r="Z298" s="9">
        <f>[1]TK1!H312/[1]TK1!H81</f>
        <v>33.066575251632742</v>
      </c>
      <c r="AA298" s="9">
        <f>[1]TK1!I312/[1]TK1!I81</f>
        <v>36.886082476287172</v>
      </c>
      <c r="AB298" s="9">
        <f>[1]TK1!J312/[1]TK1!J81</f>
        <v>34.074747218641008</v>
      </c>
      <c r="AC298" s="9">
        <f>[1]TK1!K312/[1]TK1!K81</f>
        <v>32.725372672669828</v>
      </c>
      <c r="AD298" s="9">
        <f>[1]TK1!L312/[1]TK1!L81</f>
        <v>32.47803218116421</v>
      </c>
      <c r="AE298" s="9">
        <f>[1]TK1!M312/[1]TK1!M81</f>
        <v>33.747003818413297</v>
      </c>
      <c r="AF298" s="9">
        <f>[1]TK1!N312/[1]TK1!N81</f>
        <v>32.966151710709376</v>
      </c>
      <c r="AG298" s="9" t="e">
        <f>[1]TK1!O312/[1]TK1!O81</f>
        <v>#DIV/0!</v>
      </c>
      <c r="AH298" s="9" t="e">
        <f>[1]TK1!P312/[1]TK1!P81</f>
        <v>#DIV/0!</v>
      </c>
      <c r="AI298" s="9" t="e">
        <f>[1]TK1!Q312/[1]TK1!Q81</f>
        <v>#DIV/0!</v>
      </c>
      <c r="AJ298" s="9"/>
      <c r="AK298" s="9">
        <f>[1]TK1!S312/[1]TK1!S81</f>
        <v>33.408898601980695</v>
      </c>
    </row>
    <row r="299" spans="1:37">
      <c r="A299" s="1">
        <v>7</v>
      </c>
      <c r="B299" s="8" t="s">
        <v>304</v>
      </c>
      <c r="C299" s="8" t="s">
        <v>297</v>
      </c>
      <c r="D299" s="12">
        <v>149.78879649777224</v>
      </c>
      <c r="E299" s="12">
        <v>148.30000000000001</v>
      </c>
      <c r="F299" s="12">
        <v>149.69999999999999</v>
      </c>
      <c r="G299" s="12">
        <v>154.65090641414329</v>
      </c>
      <c r="H299" s="12">
        <v>158.53089573505451</v>
      </c>
      <c r="I299" s="12">
        <v>156.41682864990491</v>
      </c>
      <c r="J299" s="12">
        <v>150.02471051208872</v>
      </c>
      <c r="K299" s="9">
        <v>143.9965251152633</v>
      </c>
      <c r="L299" s="9">
        <v>150.54164584859566</v>
      </c>
      <c r="M299" s="9">
        <v>172.80883871856224</v>
      </c>
      <c r="N299" s="9">
        <v>156.59175839207447</v>
      </c>
      <c r="O299" s="9">
        <v>152.39522173104447</v>
      </c>
      <c r="P299" s="9">
        <v>158.26715062793832</v>
      </c>
      <c r="Q299" s="9">
        <v>148.62093713029779</v>
      </c>
      <c r="R299" s="9">
        <v>140.50923215393624</v>
      </c>
      <c r="S299" s="9">
        <v>135.4182543427155</v>
      </c>
      <c r="T299" s="12">
        <v>136</v>
      </c>
      <c r="U299" s="9">
        <f>[1]TK1!C315/([1]TK1!C134+[1]TK1!C135)</f>
        <v>130.25790107468248</v>
      </c>
      <c r="V299" s="9">
        <f>[1]TK1!D315/([1]TK1!D134+[1]TK1!D135)</f>
        <v>141.21821208947608</v>
      </c>
      <c r="W299" s="9">
        <f>[1]TK1!E315/([1]TK1!E134+[1]TK1!E135)</f>
        <v>134.14999278880822</v>
      </c>
      <c r="X299" s="9">
        <f>[1]TK1!F315/([1]TK1!F134+[1]TK1!F135)</f>
        <v>134.89812297523889</v>
      </c>
      <c r="Y299" s="9">
        <f>[1]TK1!G315/([1]TK1!G134+[1]TK1!G135)</f>
        <v>129.09996420072861</v>
      </c>
      <c r="Z299" s="9">
        <f>[1]TK1!H315/([1]TK1!H134+[1]TK1!H135)</f>
        <v>133.94940921950408</v>
      </c>
      <c r="AA299" s="9">
        <f>[1]TK1!I315/([1]TK1!I134+[1]TK1!I135)</f>
        <v>129.82055263039467</v>
      </c>
      <c r="AB299" s="9">
        <f>[1]TK1!J315/([1]TK1!J134+[1]TK1!J135)</f>
        <v>130.86131261567854</v>
      </c>
      <c r="AC299" s="9">
        <f>[1]TK1!K315/([1]TK1!K134+[1]TK1!K135)</f>
        <v>130.22025350960882</v>
      </c>
      <c r="AD299" s="9">
        <f>[1]TK1!L315/([1]TK1!L134+[1]TK1!L135)</f>
        <v>144.12234983572492</v>
      </c>
      <c r="AE299" s="9">
        <f>[1]TK1!M315/([1]TK1!M134+[1]TK1!M135)</f>
        <v>143.71558323957962</v>
      </c>
      <c r="AF299" s="9">
        <f>[1]TK1!N315/([1]TK1!N134+[1]TK1!N135)</f>
        <v>138.72225093903995</v>
      </c>
      <c r="AG299" s="9" t="e">
        <f>[1]TK1!O315/([1]TK1!O134+[1]TK1!O135)</f>
        <v>#DIV/0!</v>
      </c>
      <c r="AH299" s="9" t="e">
        <f>[1]TK1!P315/([1]TK1!P134+[1]TK1!P135)</f>
        <v>#DIV/0!</v>
      </c>
      <c r="AI299" s="9" t="e">
        <f>[1]TK1!Q315/([1]TK1!Q134+[1]TK1!Q135)</f>
        <v>#DIV/0!</v>
      </c>
      <c r="AJ299" s="9"/>
      <c r="AK299" s="9">
        <f>[1]TK1!S315/([1]TK1!S134+[1]TK1!S135)</f>
        <v>134.63798595953043</v>
      </c>
    </row>
    <row r="300" spans="1:37">
      <c r="A300" s="7">
        <v>8</v>
      </c>
      <c r="B300" s="8" t="s">
        <v>305</v>
      </c>
      <c r="C300" s="8" t="s">
        <v>297</v>
      </c>
      <c r="D300" s="12">
        <v>52.771014277076524</v>
      </c>
      <c r="E300" s="12">
        <v>52.8</v>
      </c>
      <c r="F300" s="12">
        <v>50.7</v>
      </c>
      <c r="G300" s="12">
        <v>51.615667358457543</v>
      </c>
      <c r="H300" s="12">
        <v>57.860401331868637</v>
      </c>
      <c r="I300" s="12">
        <v>56.712038769753732</v>
      </c>
      <c r="J300" s="12">
        <v>59.215843963129501</v>
      </c>
      <c r="K300" s="9">
        <v>57.843156817965955</v>
      </c>
      <c r="L300" s="9">
        <v>69.905257502603035</v>
      </c>
      <c r="M300" s="9">
        <v>84.04213442781294</v>
      </c>
      <c r="N300" s="9">
        <v>80.344486202202617</v>
      </c>
      <c r="O300" s="9">
        <v>73.011905494707761</v>
      </c>
      <c r="P300" s="9">
        <v>76.002524119220581</v>
      </c>
      <c r="Q300" s="9">
        <v>66.81336533923637</v>
      </c>
      <c r="R300" s="9">
        <v>60.46419629415778</v>
      </c>
      <c r="S300" s="9">
        <v>58.794733770370755</v>
      </c>
      <c r="T300" s="12">
        <v>58</v>
      </c>
      <c r="U300" s="9">
        <f>[1]TK1!C316/[1]TK1!C161</f>
        <v>58.37034194793705</v>
      </c>
      <c r="V300" s="9">
        <f>[1]TK1!D316/[1]TK1!D161</f>
        <v>57.147399999360353</v>
      </c>
      <c r="W300" s="9">
        <f>[1]TK1!E316/[1]TK1!E161</f>
        <v>59.754610166341415</v>
      </c>
      <c r="X300" s="9">
        <f>[1]TK1!F316/[1]TK1!F161</f>
        <v>58.359004483550848</v>
      </c>
      <c r="Y300" s="9">
        <f>[1]TK1!G316/[1]TK1!G161</f>
        <v>56.791010909000853</v>
      </c>
      <c r="Z300" s="9">
        <f>[1]TK1!H316/[1]TK1!H161</f>
        <v>57.034846901718929</v>
      </c>
      <c r="AA300" s="9">
        <f>[1]TK1!I316/[1]TK1!I161</f>
        <v>60.559228384960434</v>
      </c>
      <c r="AB300" s="9">
        <f>[1]TK1!J316/[1]TK1!J161</f>
        <v>57.967820829806385</v>
      </c>
      <c r="AC300" s="9">
        <f>[1]TK1!K316/[1]TK1!K161</f>
        <v>56.463417079758599</v>
      </c>
      <c r="AD300" s="9">
        <f>[1]TK1!L316/[1]TK1!L161</f>
        <v>56.731788239774595</v>
      </c>
      <c r="AE300" s="9">
        <f>[1]TK1!M316/[1]TK1!M161</f>
        <v>57.439915011364761</v>
      </c>
      <c r="AF300" s="9">
        <f>[1]TK1!N316/[1]TK1!N161</f>
        <v>56.870460426208169</v>
      </c>
      <c r="AG300" s="9" t="e">
        <f>[1]TK1!O316/[1]TK1!O161</f>
        <v>#DIV/0!</v>
      </c>
      <c r="AH300" s="9" t="e">
        <f>[1]TK1!P316/[1]TK1!P161</f>
        <v>#DIV/0!</v>
      </c>
      <c r="AI300" s="9" t="e">
        <f>[1]TK1!Q316/[1]TK1!Q161</f>
        <v>#DIV/0!</v>
      </c>
      <c r="AJ300" s="9"/>
      <c r="AK300" s="9">
        <f>[1]TK1!S316/[1]TK1!S161</f>
        <v>57.71718274904201</v>
      </c>
    </row>
    <row r="301" spans="1:37">
      <c r="A301" s="1">
        <v>9</v>
      </c>
      <c r="B301" s="8" t="s">
        <v>306</v>
      </c>
      <c r="C301" s="8" t="s">
        <v>297</v>
      </c>
      <c r="D301" s="12">
        <v>82.439487975174558</v>
      </c>
      <c r="E301" s="12">
        <v>82.3</v>
      </c>
      <c r="F301" s="12">
        <v>80.7</v>
      </c>
      <c r="G301" s="12">
        <v>82.27152583533902</v>
      </c>
      <c r="H301" s="12">
        <v>79.352179053877308</v>
      </c>
      <c r="I301" s="12">
        <v>81.085778031700727</v>
      </c>
      <c r="J301" s="12">
        <v>80.452029763737343</v>
      </c>
      <c r="K301" s="9">
        <v>80.561155704284786</v>
      </c>
      <c r="L301" s="9">
        <v>81.64617759883059</v>
      </c>
      <c r="M301" s="9">
        <v>81.08970995180718</v>
      </c>
      <c r="N301" s="9">
        <v>82.308305375954092</v>
      </c>
      <c r="O301" s="9">
        <v>79.7534089796318</v>
      </c>
      <c r="P301" s="9">
        <v>78.561299852289508</v>
      </c>
      <c r="Q301" s="9">
        <v>83.086292073573162</v>
      </c>
      <c r="R301" s="9">
        <v>77.089384974157696</v>
      </c>
      <c r="S301" s="9">
        <v>85.383803863904575</v>
      </c>
      <c r="T301" s="12">
        <v>80</v>
      </c>
      <c r="U301" s="9">
        <f>[1]TK1!C317/([1]TK1!C190+[1]TK1!C191)</f>
        <v>77.136095671778506</v>
      </c>
      <c r="V301" s="9">
        <f>[1]TK1!D317/([1]TK1!D190+[1]TK1!D191)</f>
        <v>75.778140584184285</v>
      </c>
      <c r="W301" s="9">
        <f>[1]TK1!E317/([1]TK1!E190+[1]TK1!E191)</f>
        <v>81.211041595769743</v>
      </c>
      <c r="X301" s="9">
        <f>[1]TK1!F317/([1]TK1!F190+[1]TK1!F191)</f>
        <v>77.787975541443288</v>
      </c>
      <c r="Y301" s="9">
        <f>[1]TK1!G317/([1]TK1!G190+[1]TK1!G191)</f>
        <v>78.087563509864054</v>
      </c>
      <c r="Z301" s="9">
        <f>[1]TK1!H317/([1]TK1!H190+[1]TK1!H191)</f>
        <v>85.090631177835547</v>
      </c>
      <c r="AA301" s="9">
        <f>[1]TK1!I317/([1]TK1!I190+[1]TK1!I191)</f>
        <v>91.090035326862733</v>
      </c>
      <c r="AB301" s="9">
        <f>[1]TK1!J317/([1]TK1!J190+[1]TK1!J191)</f>
        <v>83.797595689404488</v>
      </c>
      <c r="AC301" s="9">
        <f>[1]TK1!K317/([1]TK1!K190+[1]TK1!K191)</f>
        <v>77.234811947370829</v>
      </c>
      <c r="AD301" s="9">
        <f>[1]TK1!L317/([1]TK1!L190+[1]TK1!L191)</f>
        <v>78.874163015114917</v>
      </c>
      <c r="AE301" s="9">
        <f>[1]TK1!M317/([1]TK1!M190+[1]TK1!M191)</f>
        <v>80.853749218912739</v>
      </c>
      <c r="AF301" s="9">
        <f>[1]TK1!N317/([1]TK1!N190+[1]TK1!N191)</f>
        <v>78.862550275525777</v>
      </c>
      <c r="AG301" s="9" t="e">
        <f>[1]TK1!O317/([1]TK1!O190+[1]TK1!O191)</f>
        <v>#DIV/0!</v>
      </c>
      <c r="AH301" s="9" t="e">
        <f>[1]TK1!P317/([1]TK1!P190+[1]TK1!P191)</f>
        <v>#DIV/0!</v>
      </c>
      <c r="AI301" s="9" t="e">
        <f>[1]TK1!Q317/([1]TK1!Q190+[1]TK1!Q191)</f>
        <v>#DIV/0!</v>
      </c>
      <c r="AJ301" s="9"/>
      <c r="AK301" s="9">
        <f>[1]TK1!S317/([1]TK1!S190+[1]TK1!S191)</f>
        <v>79.906845687215707</v>
      </c>
    </row>
    <row r="302" spans="1:37">
      <c r="B302" s="8" t="s">
        <v>307</v>
      </c>
      <c r="C302" s="8" t="s">
        <v>297</v>
      </c>
      <c r="D302" s="12"/>
      <c r="E302" s="12"/>
      <c r="F302" s="12"/>
      <c r="G302" s="12"/>
      <c r="H302" s="12"/>
      <c r="I302" s="12"/>
      <c r="J302" s="12"/>
      <c r="K302" s="9"/>
      <c r="L302" s="9"/>
      <c r="M302" s="9">
        <v>161.25297610786345</v>
      </c>
      <c r="N302" s="9">
        <v>132.52485832382592</v>
      </c>
      <c r="O302" s="9">
        <v>131</v>
      </c>
      <c r="P302" s="9">
        <v>130.22377676759012</v>
      </c>
      <c r="Q302" s="9">
        <v>133.97517071766831</v>
      </c>
      <c r="R302" s="9">
        <v>126.77491693816327</v>
      </c>
      <c r="S302" s="9">
        <v>135.34068355844181</v>
      </c>
      <c r="T302" s="12">
        <v>110</v>
      </c>
      <c r="U302" s="9">
        <f>[1]TK1!C318/([1]TK1!C204+[1]TK1!C205)</f>
        <v>139.41259754507229</v>
      </c>
      <c r="V302" s="9">
        <f>[1]TK1!D318/([1]TK1!D204+[1]TK1!D205)</f>
        <v>123.34563219893732</v>
      </c>
      <c r="W302" s="9">
        <f>[1]TK1!E318/([1]TK1!E204+[1]TK1!E205)</f>
        <v>128.08469167974047</v>
      </c>
      <c r="X302" s="9">
        <f>[1]TK1!F318/([1]TK1!F204+[1]TK1!F205)</f>
        <v>128.80021381927449</v>
      </c>
      <c r="Y302" s="9">
        <f>[1]TK1!G318/([1]TK1!G204+[1]TK1!G205)</f>
        <v>119.89179600886918</v>
      </c>
      <c r="Z302" s="9">
        <f>[1]TK1!H318/([1]TK1!H204+[1]TK1!H205)</f>
        <v>123.24882026411811</v>
      </c>
      <c r="AA302" s="9">
        <f>[1]TK1!I318/([1]TK1!I204+[1]TK1!I205)</f>
        <v>123.97385149668938</v>
      </c>
      <c r="AB302" s="9">
        <f>[1]TK1!J318/([1]TK1!J204+[1]TK1!J205)</f>
        <v>122.30736256824021</v>
      </c>
      <c r="AC302" s="9">
        <f>[1]TK1!K318/([1]TK1!K204+[1]TK1!K205)</f>
        <v>131.54601521585806</v>
      </c>
      <c r="AD302" s="9">
        <f>[1]TK1!L318/([1]TK1!L204+[1]TK1!L205)</f>
        <v>123.55122939446099</v>
      </c>
      <c r="AE302" s="9">
        <f>[1]TK1!M318/([1]TK1!M204+[1]TK1!M205)</f>
        <v>123.0859659990362</v>
      </c>
      <c r="AF302" s="9">
        <f>[1]TK1!N318/([1]TK1!N204+[1]TK1!N205)</f>
        <v>125.91210954133821</v>
      </c>
      <c r="AG302" s="9" t="e">
        <f>[1]TK1!O318/([1]TK1!O204+[1]TK1!O205)</f>
        <v>#DIV/0!</v>
      </c>
      <c r="AH302" s="9" t="e">
        <f>[1]TK1!P318/([1]TK1!P204+[1]TK1!P205)</f>
        <v>#DIV/0!</v>
      </c>
      <c r="AI302" s="9" t="e">
        <f>[1]TK1!Q318/([1]TK1!Q204+[1]TK1!Q205)</f>
        <v>#DIV/0!</v>
      </c>
      <c r="AJ302" s="9"/>
      <c r="AK302" s="9">
        <f>[1]TK1!S318/([1]TK1!S204+[1]TK1!S205)</f>
        <v>125.42631165084128</v>
      </c>
    </row>
    <row r="303" spans="1:37">
      <c r="A303" s="7">
        <v>10</v>
      </c>
      <c r="B303" s="8" t="s">
        <v>308</v>
      </c>
      <c r="C303" s="8" t="s">
        <v>297</v>
      </c>
      <c r="D303" s="12">
        <v>86.683091351072974</v>
      </c>
      <c r="E303" s="12">
        <v>90.3</v>
      </c>
      <c r="F303" s="12">
        <v>89.4</v>
      </c>
      <c r="G303" s="12">
        <v>86.405563114576466</v>
      </c>
      <c r="H303" s="12">
        <v>85.640994212546474</v>
      </c>
      <c r="I303" s="12">
        <v>83.310496168743555</v>
      </c>
      <c r="J303" s="12">
        <v>87.185146627593141</v>
      </c>
      <c r="K303" s="9">
        <v>89.40380522681491</v>
      </c>
      <c r="L303" s="9">
        <v>90.839795715146678</v>
      </c>
      <c r="M303" s="9">
        <v>86.251667207832753</v>
      </c>
      <c r="N303" s="9">
        <v>84.931124111968487</v>
      </c>
      <c r="O303" s="9">
        <v>84.511613377720678</v>
      </c>
      <c r="P303" s="9">
        <v>83.969445097716417</v>
      </c>
      <c r="Q303" s="9">
        <v>86.556841223230606</v>
      </c>
      <c r="R303" s="9">
        <v>82.800919791370134</v>
      </c>
      <c r="S303" s="9">
        <v>107.05096849849447</v>
      </c>
      <c r="T303" s="12">
        <v>95</v>
      </c>
      <c r="U303" s="9">
        <f>[1]TK1!C319/[1]TK1!C217</f>
        <v>122.55105918584985</v>
      </c>
      <c r="V303" s="9">
        <f>[1]TK1!D319/[1]TK1!D217</f>
        <v>127.45636884605366</v>
      </c>
      <c r="W303" s="9">
        <f>[1]TK1!E319/[1]TK1!E217</f>
        <v>205.83565810628775</v>
      </c>
      <c r="X303" s="9">
        <f>[1]TK1!F319/[1]TK1!F217</f>
        <v>139.90445380621858</v>
      </c>
      <c r="Y303" s="9">
        <f>[1]TK1!G319/[1]TK1!G217</f>
        <v>126.64729859642377</v>
      </c>
      <c r="Z303" s="9">
        <f>[1]TK1!H319/[1]TK1!H217</f>
        <v>204.78463059801095</v>
      </c>
      <c r="AA303" s="9">
        <f>[1]TK1!I319/[1]TK1!I217</f>
        <v>405.27573790589594</v>
      </c>
      <c r="AB303" s="9">
        <f>[1]TK1!J319/[1]TK1!J217</f>
        <v>170.92539073122694</v>
      </c>
      <c r="AC303" s="9">
        <f>[1]TK1!K319/[1]TK1!K217</f>
        <v>320.18161981740553</v>
      </c>
      <c r="AD303" s="9">
        <f>[1]TK1!L319/[1]TK1!L217</f>
        <v>126.22161057450428</v>
      </c>
      <c r="AE303" s="9">
        <f>[1]TK1!M319/[1]TK1!M217</f>
        <v>152.07148646083783</v>
      </c>
      <c r="AF303" s="9">
        <f>[1]TK1!N319/[1]TK1!N217</f>
        <v>163.82775203764393</v>
      </c>
      <c r="AG303" s="9" t="e">
        <f>[1]TK1!O319/[1]TK1!O217</f>
        <v>#DIV/0!</v>
      </c>
      <c r="AH303" s="9" t="e">
        <f>[1]TK1!P319/[1]TK1!P217</f>
        <v>#DIV/0!</v>
      </c>
      <c r="AI303" s="9" t="e">
        <f>[1]TK1!Q319/[1]TK1!Q217</f>
        <v>#DIV/0!</v>
      </c>
      <c r="AJ303" s="9"/>
      <c r="AK303" s="9">
        <f>[1]TK1!S319/[1]TK1!S217</f>
        <v>155.73463199213907</v>
      </c>
    </row>
    <row r="304" spans="1:37">
      <c r="A304" s="7"/>
      <c r="B304" s="8" t="s">
        <v>516</v>
      </c>
      <c r="C304" s="8" t="s">
        <v>297</v>
      </c>
      <c r="D304" s="12"/>
      <c r="E304" s="12"/>
      <c r="F304" s="12"/>
      <c r="G304" s="12"/>
      <c r="H304" s="12"/>
      <c r="I304" s="12"/>
      <c r="J304" s="12"/>
      <c r="K304" s="9"/>
      <c r="L304" s="9"/>
      <c r="M304" s="9"/>
      <c r="N304" s="9"/>
      <c r="O304" s="9"/>
      <c r="P304" s="9"/>
      <c r="Q304" s="9"/>
      <c r="R304" s="9"/>
      <c r="S304" s="9"/>
      <c r="T304" s="12"/>
      <c r="U304" s="9">
        <v>144.7154831007889</v>
      </c>
      <c r="V304" s="9">
        <v>162.19818044554773</v>
      </c>
      <c r="W304" s="9">
        <v>137.56873569120822</v>
      </c>
      <c r="X304" s="9"/>
      <c r="Y304" s="9">
        <v>128.62233897104639</v>
      </c>
      <c r="Z304" s="9">
        <v>128.39055000200551</v>
      </c>
      <c r="AA304" s="9">
        <v>128.78205460779827</v>
      </c>
      <c r="AB304" s="9"/>
      <c r="AC304" s="9">
        <v>127.78143282923065</v>
      </c>
      <c r="AD304" s="9">
        <v>143.4576928621037</v>
      </c>
      <c r="AE304" s="9">
        <v>134.49975876621389</v>
      </c>
      <c r="AF304" s="9"/>
      <c r="AG304" s="9"/>
      <c r="AH304" s="9"/>
      <c r="AI304" s="9"/>
      <c r="AJ304" s="9"/>
      <c r="AK304" s="9">
        <v>135.93649192024989</v>
      </c>
    </row>
    <row r="305" spans="1:37">
      <c r="A305" s="1">
        <v>11</v>
      </c>
      <c r="B305" s="8" t="s">
        <v>309</v>
      </c>
      <c r="C305" s="8" t="s">
        <v>297</v>
      </c>
      <c r="D305" s="12">
        <v>143.39449804230182</v>
      </c>
      <c r="E305" s="12">
        <v>152.6</v>
      </c>
      <c r="F305" s="12">
        <v>154.1</v>
      </c>
      <c r="G305" s="12">
        <v>151.35744397847631</v>
      </c>
      <c r="H305" s="12">
        <v>147.51111884385773</v>
      </c>
      <c r="I305" s="12">
        <v>153.02289984987272</v>
      </c>
      <c r="J305" s="12">
        <v>137.03421322016717</v>
      </c>
      <c r="K305" s="9">
        <v>151.18553044942729</v>
      </c>
      <c r="L305" s="9">
        <v>156.59051562309963</v>
      </c>
      <c r="M305" s="9">
        <v>160.2738669185832</v>
      </c>
      <c r="N305" s="9">
        <v>164.67505284351071</v>
      </c>
      <c r="O305" s="9">
        <v>174.66664146044829</v>
      </c>
      <c r="P305" s="9">
        <v>194.51350524017818</v>
      </c>
      <c r="Q305" s="9">
        <v>219.86675444615472</v>
      </c>
      <c r="R305" s="9">
        <v>233.92055388934975</v>
      </c>
      <c r="S305" s="9">
        <v>235.34428709166659</v>
      </c>
      <c r="T305" s="12">
        <v>150</v>
      </c>
      <c r="U305" s="9">
        <f>[1]TK1!C320/[1]TK1!C248</f>
        <v>241.27295597484309</v>
      </c>
      <c r="V305" s="9">
        <f>[1]TK1!D320/[1]TK1!D248</f>
        <v>235.04731707317075</v>
      </c>
      <c r="W305" s="9">
        <f>[1]TK1!E320/[1]TK1!E248</f>
        <v>271.2016552280985</v>
      </c>
      <c r="X305" s="9">
        <f>[1]TK1!F320/[1]TK1!F248</f>
        <v>244.73050028658</v>
      </c>
      <c r="Y305" s="9">
        <f>[1]TK1!G320/[1]TK1!G248</f>
        <v>407.26484346887372</v>
      </c>
      <c r="Z305" s="9" t="e">
        <f>[1]TK1!H320/[1]TK1!H248</f>
        <v>#DIV/0!</v>
      </c>
      <c r="AA305" s="9">
        <f>[1]TK1!I320/[1]TK1!I248</f>
        <v>369.49299775028203</v>
      </c>
      <c r="AB305" s="9">
        <f>[1]TK1!J320/[1]TK1!J248</f>
        <v>413.43867403314971</v>
      </c>
      <c r="AC305" s="9">
        <f>[1]TK1!K320/[1]TK1!K248</f>
        <v>319.44700535627356</v>
      </c>
      <c r="AD305" s="9">
        <f>[1]TK1!L320/[1]TK1!L248</f>
        <v>326.85013162843097</v>
      </c>
      <c r="AE305" s="9">
        <f>[1]TK1!M320/[1]TK1!M248</f>
        <v>313.00264591439719</v>
      </c>
      <c r="AF305" s="9">
        <f>[1]TK1!N320/[1]TK1!N248</f>
        <v>319.33333333333326</v>
      </c>
      <c r="AG305" s="9" t="e">
        <f>[1]TK1!O320/[1]TK1!O248</f>
        <v>#DIV/0!</v>
      </c>
      <c r="AH305" s="9" t="e">
        <f>[1]TK1!P320/[1]TK1!P248</f>
        <v>#DIV/0!</v>
      </c>
      <c r="AI305" s="9" t="e">
        <f>[1]TK1!Q320/[1]TK1!Q248</f>
        <v>#DIV/0!</v>
      </c>
      <c r="AJ305" s="9"/>
      <c r="AK305" s="9">
        <f>[1]TK1!S320/[1]TK1!S248</f>
        <v>294.13881023322728</v>
      </c>
    </row>
    <row r="306" spans="1:37">
      <c r="A306" s="1">
        <v>12</v>
      </c>
      <c r="B306" s="8" t="s">
        <v>310</v>
      </c>
      <c r="C306" s="8" t="s">
        <v>311</v>
      </c>
      <c r="D306" s="12">
        <v>512.26870029283248</v>
      </c>
      <c r="E306" s="12">
        <v>527.6</v>
      </c>
      <c r="F306" s="12">
        <v>520</v>
      </c>
      <c r="G306" s="11">
        <v>504</v>
      </c>
      <c r="H306" s="11">
        <v>482.26260152635058</v>
      </c>
      <c r="I306" s="11">
        <v>473.91329889234191</v>
      </c>
      <c r="J306" s="11">
        <v>458.82733658712766</v>
      </c>
      <c r="K306" s="11">
        <v>480.60036060858118</v>
      </c>
      <c r="L306" s="11">
        <v>487.26970282585268</v>
      </c>
      <c r="M306" s="11">
        <v>463.96872141655712</v>
      </c>
      <c r="N306" s="12">
        <v>477.04120281049768</v>
      </c>
      <c r="O306" s="12">
        <v>461.28868048272955</v>
      </c>
      <c r="P306" s="12">
        <v>484.91334307547646</v>
      </c>
      <c r="Q306" s="12">
        <v>468.85352849851142</v>
      </c>
      <c r="R306" s="12">
        <v>456.43226682442958</v>
      </c>
      <c r="S306" s="12">
        <v>480.10438466883733</v>
      </c>
      <c r="T306" s="11">
        <v>459.93</v>
      </c>
      <c r="U306" s="9">
        <f>[1]TK1!C321/[1]TK1!C331</f>
        <v>503.74000053224046</v>
      </c>
      <c r="V306" s="9">
        <f>[1]TK1!D321/[1]TK1!D331</f>
        <v>464.33999965364768</v>
      </c>
      <c r="W306" s="9">
        <f>[1]TK1!E321/[1]TK1!E331</f>
        <v>464.46999907944399</v>
      </c>
      <c r="X306" s="12">
        <f>[1]TK1!F321/[1]TK1!F331</f>
        <v>476.55680727337011</v>
      </c>
      <c r="Y306" s="9">
        <f>[1]TK1!G321/[1]TK1!G331</f>
        <v>406.85000097853106</v>
      </c>
      <c r="Z306" s="9">
        <f>[1]TK1!H321/[1]TK1!H331</f>
        <v>434.30999811783448</v>
      </c>
      <c r="AA306" s="9">
        <f>[1]TK1!I321/[1]TK1!I331</f>
        <v>446.79000203136798</v>
      </c>
      <c r="AB306" s="12">
        <f>[1]TK1!J321/[1]TK1!J331</f>
        <v>427.8779200544335</v>
      </c>
      <c r="AC306" s="9">
        <f>[1]TK1!K321/[1]TK1!K331</f>
        <v>449.55000184839201</v>
      </c>
      <c r="AD306" s="9">
        <f>[1]TK1!L321/[1]TK1!L331</f>
        <v>485.17999934946658</v>
      </c>
      <c r="AE306" s="9">
        <f>[1]TK1!M321/[1]TK1!M331</f>
        <v>469.49000234870431</v>
      </c>
      <c r="AF306" s="12">
        <f>[1]TK1!N321/[1]TK1!N331</f>
        <v>467.25343359000516</v>
      </c>
      <c r="AG306" s="9" t="e">
        <f>[1]TK1!O321/[1]TK1!O331</f>
        <v>#DIV/0!</v>
      </c>
      <c r="AH306" s="9" t="e">
        <f>[1]TK1!P321/([1]TK1!P331)</f>
        <v>#DIV/0!</v>
      </c>
      <c r="AI306" s="12" t="e">
        <f>[1]TK1!Q321/([1]TK1!Q331)</f>
        <v>#DIV/0!</v>
      </c>
      <c r="AJ306" s="12"/>
      <c r="AK306" s="9">
        <f>[1]TK1!S321/[1]TK1!S331</f>
        <v>455.97751323530275</v>
      </c>
    </row>
    <row r="307" spans="1:37">
      <c r="A307" s="1" t="s">
        <v>312</v>
      </c>
      <c r="B307" s="3" t="s">
        <v>313</v>
      </c>
      <c r="C307" s="8"/>
      <c r="D307" s="12"/>
      <c r="E307" s="12"/>
      <c r="F307" s="12"/>
      <c r="G307" s="12"/>
      <c r="H307" s="12"/>
      <c r="I307" s="12"/>
      <c r="J307" s="12"/>
      <c r="K307" s="11"/>
      <c r="L307" s="11"/>
      <c r="M307" s="11"/>
      <c r="N307" s="11"/>
      <c r="O307" s="11"/>
      <c r="P307" s="11"/>
      <c r="Q307" s="11"/>
      <c r="R307" s="11"/>
      <c r="S307" s="11"/>
      <c r="T307" s="3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spans="1:37">
      <c r="A308" s="1">
        <v>1</v>
      </c>
      <c r="B308" s="8" t="s">
        <v>314</v>
      </c>
      <c r="C308" s="16" t="s">
        <v>315</v>
      </c>
      <c r="D308" s="12">
        <v>90.2</v>
      </c>
      <c r="E308" s="12">
        <v>90.2</v>
      </c>
      <c r="F308" s="12">
        <v>90.3</v>
      </c>
      <c r="G308" s="12">
        <v>90.333333333333329</v>
      </c>
      <c r="H308" s="12">
        <v>90.491666666666674</v>
      </c>
      <c r="I308" s="12">
        <v>88.858333333333334</v>
      </c>
      <c r="J308" s="12">
        <v>88.641666666666694</v>
      </c>
      <c r="K308" s="12">
        <v>88.149999999999991</v>
      </c>
      <c r="L308" s="12">
        <v>90.358333333333334</v>
      </c>
      <c r="M308" s="12">
        <v>91</v>
      </c>
      <c r="N308" s="12">
        <v>91</v>
      </c>
      <c r="O308" s="9">
        <v>89.8</v>
      </c>
      <c r="P308" s="9">
        <v>90</v>
      </c>
      <c r="Q308" s="9">
        <v>90</v>
      </c>
      <c r="R308" s="9">
        <v>90.8</v>
      </c>
      <c r="S308" s="9">
        <v>90.68</v>
      </c>
      <c r="T308" s="12">
        <v>90</v>
      </c>
      <c r="U308" s="9">
        <f>[1]TK1!C324</f>
        <v>90.7</v>
      </c>
      <c r="V308" s="9">
        <f>[1]TK1!D324</f>
        <v>90.9</v>
      </c>
      <c r="W308" s="9">
        <f>[1]TK1!E324</f>
        <v>90.8</v>
      </c>
      <c r="X308" s="9">
        <f>[1]TK1!F324</f>
        <v>90.800000000000011</v>
      </c>
      <c r="Y308" s="9">
        <f>[1]TK1!G324</f>
        <v>90.6</v>
      </c>
      <c r="Z308" s="9">
        <f>[1]TK1!H324</f>
        <v>90.4</v>
      </c>
      <c r="AA308" s="9">
        <f>[1]TK1!I324</f>
        <v>90.5</v>
      </c>
      <c r="AB308" s="9">
        <f>[1]TK1!J324</f>
        <v>90.5</v>
      </c>
      <c r="AC308" s="9">
        <f>[1]TK1!K324</f>
        <v>90.8</v>
      </c>
      <c r="AD308" s="9">
        <f>[1]TK1!L324</f>
        <v>90.8</v>
      </c>
      <c r="AE308" s="9">
        <f>[1]TK1!M324</f>
        <v>90.5</v>
      </c>
      <c r="AF308" s="9">
        <f>[1]TK1!N324</f>
        <v>90.7</v>
      </c>
      <c r="AG308" s="9">
        <f>[1]TK1!O324</f>
        <v>0</v>
      </c>
      <c r="AH308" s="9">
        <f>[1]TK1!P324</f>
        <v>0</v>
      </c>
      <c r="AI308" s="9">
        <f>[1]TK1!Q324</f>
        <v>0</v>
      </c>
      <c r="AJ308" s="9"/>
      <c r="AK308" s="9">
        <f>[1]TK1!S324</f>
        <v>90.666666666666657</v>
      </c>
    </row>
    <row r="309" spans="1:37">
      <c r="A309" s="1">
        <v>2</v>
      </c>
      <c r="B309" s="8" t="s">
        <v>316</v>
      </c>
      <c r="C309" s="16" t="s">
        <v>315</v>
      </c>
      <c r="D309" s="12">
        <v>80.599999999999994</v>
      </c>
      <c r="E309" s="12">
        <v>80.8</v>
      </c>
      <c r="F309" s="12">
        <v>80.8</v>
      </c>
      <c r="G309" s="12">
        <v>80.716666666666654</v>
      </c>
      <c r="H309" s="12">
        <v>80.75</v>
      </c>
      <c r="I309" s="12">
        <v>78.55</v>
      </c>
      <c r="J309" s="12">
        <v>77.63333333333334</v>
      </c>
      <c r="K309" s="12">
        <v>78.616666666666674</v>
      </c>
      <c r="L309" s="12">
        <v>81.853333333333339</v>
      </c>
      <c r="M309" s="12">
        <v>83.19</v>
      </c>
      <c r="N309" s="12">
        <v>83.19</v>
      </c>
      <c r="O309" s="9">
        <v>82.1</v>
      </c>
      <c r="P309" s="9">
        <v>82.94</v>
      </c>
      <c r="Q309" s="9">
        <v>84.74</v>
      </c>
      <c r="R309" s="9">
        <v>83.5</v>
      </c>
      <c r="S309" s="9">
        <v>81.950000000000017</v>
      </c>
      <c r="T309" s="12">
        <v>85</v>
      </c>
      <c r="U309" s="9">
        <f>[1]TK1!C325</f>
        <v>81.400000000000006</v>
      </c>
      <c r="V309" s="9">
        <f>[1]TK1!D325</f>
        <v>82.2</v>
      </c>
      <c r="W309" s="9">
        <f>[1]TK1!E325</f>
        <v>81.599999999999994</v>
      </c>
      <c r="X309" s="9">
        <f>[1]TK1!F325</f>
        <v>81.733333333333334</v>
      </c>
      <c r="Y309" s="9">
        <f>[1]TK1!G325</f>
        <v>81.3</v>
      </c>
      <c r="Z309" s="9">
        <f>[1]TK1!H325</f>
        <v>80.400000000000006</v>
      </c>
      <c r="AA309" s="9">
        <f>[1]TK1!I325</f>
        <v>81</v>
      </c>
      <c r="AB309" s="9">
        <f>[1]TK1!J325</f>
        <v>80.899999999999991</v>
      </c>
      <c r="AC309" s="9">
        <f>[1]TK1!K325</f>
        <v>80.8</v>
      </c>
      <c r="AD309" s="9">
        <f>[1]TK1!L325</f>
        <v>81.2</v>
      </c>
      <c r="AE309" s="9">
        <f>[1]TK1!M325</f>
        <v>81.2</v>
      </c>
      <c r="AF309" s="9">
        <f>[1]TK1!N325</f>
        <v>81.066666666666663</v>
      </c>
      <c r="AG309" s="9">
        <f>[1]TK1!O325</f>
        <v>0</v>
      </c>
      <c r="AH309" s="9">
        <f>[1]TK1!P325</f>
        <v>0</v>
      </c>
      <c r="AI309" s="9">
        <f>[1]TK1!Q325</f>
        <v>0</v>
      </c>
      <c r="AJ309" s="9"/>
      <c r="AK309" s="9">
        <f>[1]TK1!S325</f>
        <v>81.233333333333334</v>
      </c>
    </row>
    <row r="310" spans="1:37">
      <c r="A310" s="1">
        <v>3</v>
      </c>
      <c r="B310" s="8" t="s">
        <v>317</v>
      </c>
      <c r="C310" s="8" t="s">
        <v>47</v>
      </c>
      <c r="D310" s="12">
        <v>3.5</v>
      </c>
      <c r="E310" s="12">
        <v>3.6</v>
      </c>
      <c r="F310" s="12">
        <v>3.7</v>
      </c>
      <c r="G310" s="12">
        <v>3.7741666666666664</v>
      </c>
      <c r="H310" s="12">
        <v>3.1974999999999998</v>
      </c>
      <c r="I310" s="12">
        <v>3</v>
      </c>
      <c r="J310" s="12">
        <v>2.2000000000000002</v>
      </c>
      <c r="K310" s="9">
        <v>1.9666666666666666</v>
      </c>
      <c r="L310" s="9">
        <v>2.4947071270025498</v>
      </c>
      <c r="M310" s="9">
        <v>1.59</v>
      </c>
      <c r="N310" s="9">
        <v>1.59</v>
      </c>
      <c r="O310" s="9">
        <v>1.1000000000000001</v>
      </c>
      <c r="P310" s="9">
        <v>1.4</v>
      </c>
      <c r="Q310" s="9">
        <v>1.4</v>
      </c>
      <c r="R310" s="9">
        <v>0.35</v>
      </c>
      <c r="S310" s="9">
        <v>0.64</v>
      </c>
      <c r="T310" s="9">
        <v>2</v>
      </c>
      <c r="U310" s="9">
        <f>[1]TK1!C326</f>
        <v>0.55000000000000004</v>
      </c>
      <c r="V310" s="9">
        <f>[1]TK1!D326</f>
        <v>1.37</v>
      </c>
      <c r="W310" s="9">
        <f>[1]TK1!E326</f>
        <v>0.79</v>
      </c>
      <c r="X310" s="9">
        <f>[1]TK1!F326</f>
        <v>0.90333333333333332</v>
      </c>
      <c r="Y310" s="9">
        <f>[1]TK1!G326</f>
        <v>0.08</v>
      </c>
      <c r="Z310" s="9">
        <f>[1]TK1!H326</f>
        <v>0.04</v>
      </c>
      <c r="AA310" s="9">
        <f>[1]TK1!I326</f>
        <v>0</v>
      </c>
      <c r="AB310" s="9">
        <f>[1]TK1!J326</f>
        <v>0.04</v>
      </c>
      <c r="AC310" s="9">
        <f>[1]TK1!K326</f>
        <v>0</v>
      </c>
      <c r="AD310" s="9">
        <f>[1]TK1!L326</f>
        <v>0.26</v>
      </c>
      <c r="AE310" s="9">
        <f>[1]TK1!M326</f>
        <v>0.5</v>
      </c>
      <c r="AF310" s="9">
        <f>[1]TK1!N326</f>
        <v>0.25333333333333335</v>
      </c>
      <c r="AG310" s="9">
        <f>[1]TK1!O326</f>
        <v>0</v>
      </c>
      <c r="AH310" s="9">
        <f>[1]TK1!P326</f>
        <v>0</v>
      </c>
      <c r="AI310" s="9">
        <f>[1]TK1!Q326</f>
        <v>0</v>
      </c>
      <c r="AJ310" s="9"/>
      <c r="AK310" s="9">
        <f>[1]TK1!S326</f>
        <v>0.39888888888888885</v>
      </c>
    </row>
    <row r="311" spans="1:37">
      <c r="A311" s="1">
        <v>4</v>
      </c>
      <c r="B311" s="8" t="s">
        <v>318</v>
      </c>
      <c r="C311" s="8" t="s">
        <v>47</v>
      </c>
      <c r="D311" s="12">
        <v>2</v>
      </c>
      <c r="E311" s="12">
        <v>2.1</v>
      </c>
      <c r="F311" s="12">
        <v>2.44</v>
      </c>
      <c r="G311" s="12">
        <v>2.2041666666666671</v>
      </c>
      <c r="H311" s="12">
        <v>1.7766666666666666</v>
      </c>
      <c r="I311" s="12">
        <v>1.5591666666666668</v>
      </c>
      <c r="J311" s="12">
        <v>1.7233333333333334</v>
      </c>
      <c r="K311" s="9">
        <v>1.3925000000000001</v>
      </c>
      <c r="L311" s="9">
        <v>0.69999999999999984</v>
      </c>
      <c r="M311" s="9">
        <v>0.52</v>
      </c>
      <c r="N311" s="9">
        <v>0.52</v>
      </c>
      <c r="O311" s="9">
        <v>0.4</v>
      </c>
      <c r="P311" s="9">
        <v>0.39</v>
      </c>
      <c r="Q311" s="9">
        <v>0.39</v>
      </c>
      <c r="R311" s="9">
        <v>0.44</v>
      </c>
      <c r="S311" s="9">
        <v>0.27</v>
      </c>
      <c r="T311" s="9">
        <v>0.5</v>
      </c>
      <c r="U311" s="9">
        <f>[1]TK1!C327</f>
        <v>0.27</v>
      </c>
      <c r="V311" s="9">
        <f>[1]TK1!D327</f>
        <v>0.28000000000000003</v>
      </c>
      <c r="W311" s="9">
        <f>[1]TK1!E327</f>
        <v>0.16</v>
      </c>
      <c r="X311" s="9">
        <f>[1]TK1!F327</f>
        <v>0.23666666666666669</v>
      </c>
      <c r="Y311" s="9">
        <f>[1]TK1!G327</f>
        <v>0.31</v>
      </c>
      <c r="Z311" s="9">
        <f>[1]TK1!H327</f>
        <v>0.35</v>
      </c>
      <c r="AA311" s="9">
        <f>[1]TK1!I327</f>
        <v>0.14000000000000001</v>
      </c>
      <c r="AB311" s="9">
        <f>[1]TK1!J327</f>
        <v>0.26666666666666666</v>
      </c>
      <c r="AC311" s="9">
        <f>[1]TK1!K327</f>
        <v>0.24</v>
      </c>
      <c r="AD311" s="9">
        <f>[1]TK1!L327</f>
        <v>0.08</v>
      </c>
      <c r="AE311" s="9">
        <f>[1]TK1!M327</f>
        <v>0.17</v>
      </c>
      <c r="AF311" s="9">
        <f>[1]TK1!N327</f>
        <v>0.16333333333333333</v>
      </c>
      <c r="AG311" s="9">
        <f>[1]TK1!O327</f>
        <v>0</v>
      </c>
      <c r="AH311" s="9">
        <f>[1]TK1!P327</f>
        <v>0</v>
      </c>
      <c r="AI311" s="9">
        <f>[1]TK1!Q327</f>
        <v>0</v>
      </c>
      <c r="AJ311" s="9"/>
      <c r="AK311" s="9">
        <f>[1]TK1!S327</f>
        <v>0.22222222222222227</v>
      </c>
    </row>
    <row r="312" spans="1:37">
      <c r="A312" s="1">
        <v>5</v>
      </c>
      <c r="B312" s="8" t="s">
        <v>319</v>
      </c>
      <c r="C312" s="8" t="s">
        <v>47</v>
      </c>
      <c r="D312" s="12">
        <v>0.7</v>
      </c>
      <c r="E312" s="9">
        <v>0.4</v>
      </c>
      <c r="F312" s="9">
        <v>0.35</v>
      </c>
      <c r="G312" s="9">
        <v>0.32333333333333331</v>
      </c>
      <c r="H312" s="9">
        <v>0.27916666666666667</v>
      </c>
      <c r="I312" s="9">
        <v>0.30833333333333335</v>
      </c>
      <c r="J312" s="9">
        <v>0.48750000000000004</v>
      </c>
      <c r="K312" s="9">
        <v>0.5558333333333334</v>
      </c>
      <c r="L312" s="9">
        <v>0.45083333333333325</v>
      </c>
      <c r="M312" s="9">
        <v>0.34</v>
      </c>
      <c r="N312" s="9">
        <v>0.34</v>
      </c>
      <c r="O312" s="9">
        <v>0.43</v>
      </c>
      <c r="P312" s="9">
        <v>0.35</v>
      </c>
      <c r="Q312" s="9">
        <v>0.35</v>
      </c>
      <c r="R312" s="9">
        <v>0.47</v>
      </c>
      <c r="S312" s="9">
        <v>0.35999999999999993</v>
      </c>
      <c r="T312" s="9">
        <v>0.3</v>
      </c>
      <c r="U312" s="9">
        <f>[1]TK1!C328</f>
        <v>0.4</v>
      </c>
      <c r="V312" s="9">
        <f>[1]TK1!D328</f>
        <v>0.3</v>
      </c>
      <c r="W312" s="9">
        <f>[1]TK1!E328</f>
        <v>0.3</v>
      </c>
      <c r="X312" s="9">
        <f>[1]TK1!F328</f>
        <v>0.33333333333333331</v>
      </c>
      <c r="Y312" s="9">
        <f>[1]TK1!G328</f>
        <v>0.4</v>
      </c>
      <c r="Z312" s="9">
        <f>[1]TK1!H328</f>
        <v>0.75</v>
      </c>
      <c r="AA312" s="9">
        <f>[1]TK1!I328</f>
        <v>0.3</v>
      </c>
      <c r="AB312" s="9">
        <f>[1]TK1!J328</f>
        <v>0.48333333333333334</v>
      </c>
      <c r="AC312" s="9">
        <v>0.7</v>
      </c>
      <c r="AD312" s="9">
        <f>[1]TK1!L328</f>
        <v>0.6</v>
      </c>
      <c r="AE312" s="9">
        <f>[1]TK1!M328</f>
        <v>0.8</v>
      </c>
      <c r="AF312" s="9">
        <f>[1]TK1!N328</f>
        <v>0.6</v>
      </c>
      <c r="AG312" s="9">
        <f>[1]TK1!O328</f>
        <v>0</v>
      </c>
      <c r="AH312" s="9">
        <f>[1]TK1!P328</f>
        <v>0</v>
      </c>
      <c r="AI312" s="9">
        <f>[1]TK1!Q328</f>
        <v>0</v>
      </c>
      <c r="AJ312" s="9"/>
      <c r="AK312" s="9">
        <f>[1]TK1!S328</f>
        <v>0.47222222222222221</v>
      </c>
    </row>
    <row r="313" spans="1:37">
      <c r="A313" s="1" t="s">
        <v>320</v>
      </c>
      <c r="B313" s="3" t="s">
        <v>321</v>
      </c>
      <c r="C313" s="3"/>
      <c r="D313" s="11"/>
      <c r="E313" s="11"/>
      <c r="F313" s="11"/>
      <c r="G313" s="11"/>
      <c r="H313" s="11"/>
      <c r="I313" s="11"/>
      <c r="J313" s="11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 spans="1:37">
      <c r="A314" s="1">
        <v>1</v>
      </c>
      <c r="B314" s="3" t="s">
        <v>322</v>
      </c>
      <c r="C314" s="3" t="s">
        <v>323</v>
      </c>
      <c r="D314" s="19">
        <v>7.3879999999999999</v>
      </c>
      <c r="E314" s="19">
        <v>7.09</v>
      </c>
      <c r="F314" s="19">
        <v>6.9740000000000002</v>
      </c>
      <c r="G314" s="19">
        <v>6.87</v>
      </c>
      <c r="H314" s="19">
        <v>6.86</v>
      </c>
      <c r="I314" s="19">
        <v>6.7329999999999997</v>
      </c>
      <c r="J314" s="19">
        <v>6.6749999999999998</v>
      </c>
      <c r="K314" s="19">
        <v>6.5670999999999999</v>
      </c>
      <c r="L314" s="19">
        <v>6.4980000000000002</v>
      </c>
      <c r="M314" s="19">
        <v>6.4279999999999999</v>
      </c>
      <c r="N314" s="19">
        <v>6.3330000000000002</v>
      </c>
      <c r="O314" s="19">
        <v>6.2590000000000003</v>
      </c>
      <c r="P314" s="19">
        <v>6.2439999999999998</v>
      </c>
      <c r="Q314" s="19">
        <v>6.1890000000000001</v>
      </c>
      <c r="R314" s="19">
        <v>5.9907000000000004</v>
      </c>
      <c r="S314" s="19">
        <v>6.0343</v>
      </c>
      <c r="T314" s="9">
        <v>6.0919999999999996</v>
      </c>
      <c r="U314" s="19">
        <f>[1]TK1!C334</f>
        <v>6.0839999999999996</v>
      </c>
      <c r="V314" s="19">
        <f>[1]TK1!D334</f>
        <v>5.9808000000000003</v>
      </c>
      <c r="W314" s="19">
        <f>[1]TK1!E334</f>
        <v>6.0510000000000002</v>
      </c>
      <c r="X314" s="19">
        <v>6.36</v>
      </c>
      <c r="Y314" s="19">
        <f>[1]TK1!G334</f>
        <v>5.8810000000000002</v>
      </c>
      <c r="Z314" s="19">
        <f>[1]TK1!H334</f>
        <v>6.0335999999999999</v>
      </c>
      <c r="AA314" s="19">
        <f>[1]TK1!I334</f>
        <v>6.0606</v>
      </c>
      <c r="AB314" s="19">
        <f>[1]TK1!J334</f>
        <v>6.2640000000000002</v>
      </c>
      <c r="AC314" s="19">
        <f>[1]TK1!K334</f>
        <v>6.0218999999999996</v>
      </c>
      <c r="AD314" s="19">
        <f>[1]TK1!L334</f>
        <v>6.09</v>
      </c>
      <c r="AE314" s="19">
        <f>[1]TK1!M334</f>
        <v>6.0408999999999997</v>
      </c>
      <c r="AF314" s="19">
        <v>6.367</v>
      </c>
      <c r="AG314" s="19">
        <f>[1]TK1!O334</f>
        <v>0</v>
      </c>
      <c r="AH314" s="19">
        <f>[1]TK1!P334</f>
        <v>0</v>
      </c>
      <c r="AI314" s="19">
        <f>[1]TK1!Q334</f>
        <v>0</v>
      </c>
      <c r="AJ314" s="19">
        <v>6.2949999999999999</v>
      </c>
      <c r="AK314" s="19">
        <f>[1]TK1!S334</f>
        <v>6.0250000000000004</v>
      </c>
    </row>
    <row r="315" spans="1:37">
      <c r="A315" s="1">
        <v>3</v>
      </c>
      <c r="B315" s="3" t="s">
        <v>325</v>
      </c>
      <c r="C315" s="6" t="s">
        <v>70</v>
      </c>
      <c r="D315" s="3">
        <v>1.0269999999999999</v>
      </c>
      <c r="E315" s="3">
        <v>1.052</v>
      </c>
      <c r="F315" s="3">
        <v>1.0529999999999999</v>
      </c>
      <c r="G315" s="3">
        <v>1.0529999999999999</v>
      </c>
      <c r="H315" s="3">
        <v>1.0529999999999999</v>
      </c>
      <c r="I315" s="3">
        <v>1.052</v>
      </c>
      <c r="J315" s="3">
        <v>1.0489999999999999</v>
      </c>
      <c r="K315" s="19">
        <v>1.05</v>
      </c>
      <c r="L315" s="19">
        <v>1.0418333333333334</v>
      </c>
      <c r="M315" s="19">
        <v>1.028</v>
      </c>
      <c r="N315" s="19">
        <v>1.0169999999999999</v>
      </c>
      <c r="O315" s="19">
        <v>0.999</v>
      </c>
      <c r="P315" s="19">
        <v>1.016</v>
      </c>
      <c r="Q315" s="19">
        <v>1.0389999999999999</v>
      </c>
      <c r="R315" s="19">
        <v>1.028</v>
      </c>
      <c r="S315" s="19">
        <v>1.028</v>
      </c>
      <c r="T315" s="19">
        <v>1.03</v>
      </c>
      <c r="U315" s="19">
        <f>[1]TK1!C333</f>
        <v>1.0389999999999999</v>
      </c>
      <c r="V315" s="19">
        <f>[1]TK1!D333</f>
        <v>1.046</v>
      </c>
      <c r="W315" s="19">
        <f>[1]TK1!E333</f>
        <v>1.038</v>
      </c>
      <c r="X315" s="19">
        <f>[1]TK1!F333</f>
        <v>1.0410000000000001</v>
      </c>
      <c r="Y315" s="19">
        <f>[1]TK1!G333</f>
        <v>1.028</v>
      </c>
      <c r="Z315" s="19">
        <f>[1]TK1!H333</f>
        <v>1.0329999999999999</v>
      </c>
      <c r="AA315" s="19">
        <f>[1]TK1!I333</f>
        <v>1.0720000000000001</v>
      </c>
      <c r="AB315" s="19">
        <f>[1]TK1!J333</f>
        <v>1.0443333333333333</v>
      </c>
      <c r="AC315" s="19">
        <f>[1]TK1!K333</f>
        <v>1.054</v>
      </c>
      <c r="AD315" s="19">
        <f>[1]TK1!L333</f>
        <v>1.0249999999999999</v>
      </c>
      <c r="AE315" s="19">
        <f>[1]TK1!M333</f>
        <v>1.03</v>
      </c>
      <c r="AF315" s="19">
        <f>[1]TK1!N333</f>
        <v>1.0363333333333333</v>
      </c>
      <c r="AG315" s="19">
        <f>[1]TK1!O333</f>
        <v>0</v>
      </c>
      <c r="AH315" s="19">
        <f>[1]TK1!P333</f>
        <v>0</v>
      </c>
      <c r="AI315" s="19">
        <f>[1]TK1!Q333</f>
        <v>0</v>
      </c>
      <c r="AJ315" s="19"/>
      <c r="AK315" s="19">
        <f>[1]TK1!S333</f>
        <v>1.034</v>
      </c>
    </row>
    <row r="316" spans="1:37">
      <c r="A316" s="1">
        <v>10</v>
      </c>
      <c r="B316" s="3" t="s">
        <v>332</v>
      </c>
      <c r="C316" s="3" t="s">
        <v>333</v>
      </c>
      <c r="D316" s="3">
        <v>5554</v>
      </c>
      <c r="E316" s="3">
        <v>2404</v>
      </c>
      <c r="F316" s="3">
        <v>658</v>
      </c>
      <c r="G316" s="3">
        <v>359</v>
      </c>
      <c r="H316" s="3">
        <v>298</v>
      </c>
      <c r="I316" s="3">
        <v>392</v>
      </c>
      <c r="J316" s="3">
        <v>1008</v>
      </c>
      <c r="K316" s="11">
        <v>1613.1150000000002</v>
      </c>
      <c r="L316" s="11">
        <v>7976.8</v>
      </c>
      <c r="M316" s="11">
        <v>7170</v>
      </c>
      <c r="N316" s="11">
        <v>13303</v>
      </c>
      <c r="O316" s="11">
        <v>15281</v>
      </c>
      <c r="P316" s="11">
        <v>14637.24</v>
      </c>
      <c r="Q316" s="11">
        <v>14029</v>
      </c>
      <c r="R316" s="11">
        <v>1583</v>
      </c>
      <c r="S316" s="11">
        <v>13550</v>
      </c>
      <c r="T316" s="3">
        <v>17500</v>
      </c>
      <c r="U316" s="3">
        <f>[1]TK1!C335</f>
        <v>1552</v>
      </c>
      <c r="V316" s="3">
        <f>[1]TK1!D335</f>
        <v>1505</v>
      </c>
      <c r="W316" s="3">
        <f>[1]TK1!E335</f>
        <v>1384</v>
      </c>
      <c r="X316" s="3">
        <f>[1]TK1!F335</f>
        <v>4441</v>
      </c>
      <c r="Y316" s="3">
        <f>[1]TK1!G335</f>
        <v>1506</v>
      </c>
      <c r="Z316" s="3">
        <f>[1]TK1!H335</f>
        <v>1290</v>
      </c>
      <c r="AA316" s="11">
        <f>[1]TK1!I335</f>
        <v>674</v>
      </c>
      <c r="AB316" s="11">
        <f>[1]TK1!J335</f>
        <v>3470</v>
      </c>
      <c r="AC316" s="3">
        <f>[1]TK1!K335</f>
        <v>1080</v>
      </c>
      <c r="AD316" s="11">
        <f>[1]TK1!L335</f>
        <v>1226</v>
      </c>
      <c r="AE316" s="3">
        <f>[1]TK1!M335</f>
        <v>1165</v>
      </c>
      <c r="AF316" s="11">
        <f>[1]TK1!N335</f>
        <v>3471</v>
      </c>
      <c r="AG316" s="11">
        <f>[1]TK1!O335</f>
        <v>0</v>
      </c>
      <c r="AH316" s="11">
        <f>[1]TK1!P335</f>
        <v>0</v>
      </c>
      <c r="AI316" s="11">
        <f>[1]TK1!Q335</f>
        <v>0</v>
      </c>
      <c r="AJ316" s="11"/>
      <c r="AK316" s="3">
        <f>[1]TK1!S335</f>
        <v>11382</v>
      </c>
    </row>
    <row r="317" spans="1:37">
      <c r="A317" s="1">
        <v>11</v>
      </c>
      <c r="B317" s="3" t="s">
        <v>334</v>
      </c>
      <c r="C317" s="3" t="s">
        <v>335</v>
      </c>
      <c r="D317" s="9">
        <v>5.27</v>
      </c>
      <c r="E317" s="9">
        <v>5.15</v>
      </c>
      <c r="F317" s="9">
        <v>4.2</v>
      </c>
      <c r="G317" s="9">
        <v>4.0964808541227038</v>
      </c>
      <c r="H317" s="9">
        <v>4.0610876085320733</v>
      </c>
      <c r="I317" s="9">
        <v>4.0520132905537221</v>
      </c>
      <c r="J317" s="9">
        <v>4.0333472989604333</v>
      </c>
      <c r="K317" s="9">
        <v>4.2237500958254497</v>
      </c>
      <c r="L317" s="9">
        <v>3.9758266601446208</v>
      </c>
      <c r="M317" s="9">
        <v>3.8869403492426811</v>
      </c>
      <c r="N317" s="9">
        <v>3.7177698551560279</v>
      </c>
      <c r="O317" s="9">
        <v>3.6573087145934373</v>
      </c>
      <c r="P317" s="9">
        <v>3.8116495374556623</v>
      </c>
      <c r="Q317" s="9">
        <v>3.4062667992362483</v>
      </c>
      <c r="R317" s="9">
        <v>3.1374871820991226</v>
      </c>
      <c r="S317" s="9">
        <v>3.1191792597869776</v>
      </c>
      <c r="T317" s="9">
        <v>3.22</v>
      </c>
      <c r="U317" s="9">
        <f>[1]TK1!C342/([1]TK1!C134+[1]TK1!C135+[1]TK1!C161)</f>
        <v>3.115620829329977</v>
      </c>
      <c r="V317" s="9">
        <f>[1]TK1!D342/([1]TK1!D134+[1]TK1!D135+[1]TK1!D161)</f>
        <v>3.0732641349825101</v>
      </c>
      <c r="W317" s="9">
        <f>[1]TK1!E342/([1]TK1!E134+[1]TK1!E135+[1]TK1!E161)</f>
        <v>3.2024614730850827</v>
      </c>
      <c r="X317" s="9">
        <f>[1]TK1!F342/([1]TK1!F134+[1]TK1!F135+[1]TK1!F161)</f>
        <v>3.1277388928770837</v>
      </c>
      <c r="Y317" s="9">
        <f>[1]TK1!G342/([1]TK1!G134+[1]TK1!G135+[1]TK1!G161)</f>
        <v>2.8438531481176605</v>
      </c>
      <c r="Z317" s="9">
        <f>[1]TK1!H342/([1]TK1!H134+[1]TK1!H135+[1]TK1!H161)</f>
        <v>2.9800634307079914</v>
      </c>
      <c r="AA317" s="9">
        <f>[1]TK1!I342/([1]TK1!I134+[1]TK1!I135+[1]TK1!I161)</f>
        <v>3.2307393878819162</v>
      </c>
      <c r="AB317" s="9">
        <f>[1]TK1!J342/([1]TK1!J134+[1]TK1!J135+[1]TK1!J161)</f>
        <v>3.0050724827513271</v>
      </c>
      <c r="AC317" s="9">
        <f>[1]TK1!K342/([1]TK1!K134+[1]TK1!K135+[1]TK1!K161)</f>
        <v>2.9023020156404891</v>
      </c>
      <c r="AD317" s="9">
        <f>[1]TK1!L342/([1]TK1!L134+[1]TK1!L135+[1]TK1!L161)</f>
        <v>3.0223185855053667</v>
      </c>
      <c r="AE317" s="9">
        <f>[1]TK1!M342/([1]TK1!M134+[1]TK1!M135+[1]TK1!M161)</f>
        <v>3.1048430501186721</v>
      </c>
      <c r="AF317" s="9">
        <v>3.7615004252742659</v>
      </c>
      <c r="AG317" s="9" t="e">
        <f>[1]TK1!O342/([1]TK1!O134+[1]TK1!O135+[1]TK1!O161)</f>
        <v>#DIV/0!</v>
      </c>
      <c r="AH317" s="9" t="e">
        <f>[1]TK1!P342/([1]TK1!P134+[1]TK1!P135+[1]TK1!P161)</f>
        <v>#DIV/0!</v>
      </c>
      <c r="AI317" s="9" t="e">
        <f>[1]TK1!Q342/([1]TK1!Q134+[1]TK1!Q135+[1]TK1!Q161)</f>
        <v>#DIV/0!</v>
      </c>
      <c r="AJ317" s="9"/>
      <c r="AK317" s="9">
        <f>[1]TK1!S342/([1]TK1!S134+[1]TK1!S135+[1]TK1!S161)</f>
        <v>3.0458182415149482</v>
      </c>
    </row>
    <row r="318" spans="1:37">
      <c r="A318" s="1">
        <v>12</v>
      </c>
      <c r="B318" s="3" t="s">
        <v>334</v>
      </c>
      <c r="C318" s="3" t="s">
        <v>336</v>
      </c>
      <c r="D318" s="9">
        <v>5.3</v>
      </c>
      <c r="E318" s="9">
        <v>5.42</v>
      </c>
      <c r="F318" s="9">
        <v>4.63</v>
      </c>
      <c r="G318" s="9">
        <v>4.4594243964378046</v>
      </c>
      <c r="H318" s="9">
        <v>4.2315298359473585</v>
      </c>
      <c r="I318" s="9">
        <v>4.1709427218767141</v>
      </c>
      <c r="J318" s="9">
        <v>4.1106559910899474</v>
      </c>
      <c r="K318" s="9">
        <v>4.6283598148615566</v>
      </c>
      <c r="L318" s="9">
        <v>4.4768574828242356</v>
      </c>
      <c r="M318" s="9">
        <v>4.1569706388468566</v>
      </c>
      <c r="N318" s="9">
        <v>4.0598854075245372</v>
      </c>
      <c r="O318" s="9">
        <v>4.0137322952143588</v>
      </c>
      <c r="P318" s="9">
        <v>4.1675889880504835</v>
      </c>
      <c r="Q318" s="9">
        <v>3.7171768269368117</v>
      </c>
      <c r="R318" s="9">
        <v>3.4108005403870592</v>
      </c>
      <c r="S318" s="9">
        <v>3.3400859815248674</v>
      </c>
      <c r="T318" s="3">
        <v>2.9860000000000002</v>
      </c>
      <c r="U318" s="9">
        <f>[1]TK1!C342/[1]TK1!C331</f>
        <v>3.5488929398302154</v>
      </c>
      <c r="V318" s="9">
        <f>[1]TK1!D342/[1]TK1!D331</f>
        <v>3.1038133391828393</v>
      </c>
      <c r="W318" s="9">
        <f>[1]TK1!E342/[1]TK1!E331</f>
        <v>3.052474761422566</v>
      </c>
      <c r="X318" s="9">
        <f>[1]TK1!F342/[1]TK1!F331</f>
        <v>3.2241324023046865</v>
      </c>
      <c r="Y318" s="9">
        <f>[1]TK1!G342/[1]TK1!G331</f>
        <v>2.5777271659784331</v>
      </c>
      <c r="Z318" s="9">
        <f>[1]TK1!H342/[1]TK1!H331</f>
        <v>2.8937340254610624</v>
      </c>
      <c r="AA318" s="9">
        <f>[1]TK1!I342/[1]TK1!I331</f>
        <v>2.9792952062748048</v>
      </c>
      <c r="AB318" s="9">
        <f>[1]TK1!J342/[1]TK1!J331</f>
        <v>2.8023881607163217</v>
      </c>
      <c r="AC318" s="9">
        <f>[1]TK1!K342/[1]TK1!K331</f>
        <v>2.9972387866585906</v>
      </c>
      <c r="AD318" s="9">
        <f>[1]TK1!L342/[1]TK1!L331</f>
        <v>3.3959992193598749</v>
      </c>
      <c r="AE318" s="9">
        <f>[1]TK1!M342/[1]TK1!M331</f>
        <v>3.3059954591716902</v>
      </c>
      <c r="AF318" s="9">
        <v>4.1855763476286549</v>
      </c>
      <c r="AG318" s="9" t="e">
        <f>[1]TK1!O342/[1]TK1!O331</f>
        <v>#DIV/0!</v>
      </c>
      <c r="AH318" s="9" t="e">
        <f>[1]TK1!P342/[1]TK1!P331</f>
        <v>#DIV/0!</v>
      </c>
      <c r="AI318" s="9" t="e">
        <f>[1]TK1!Q342/[1]TK1!Q331</f>
        <v>#DIV/0!</v>
      </c>
      <c r="AJ318" s="9"/>
      <c r="AK318" s="9">
        <f>[1]TK1!S342/[1]TK1!S331</f>
        <v>3.0713737953109961</v>
      </c>
    </row>
    <row r="319" spans="1:37">
      <c r="A319" s="1">
        <v>13</v>
      </c>
      <c r="B319" s="3" t="s">
        <v>337</v>
      </c>
      <c r="C319" s="3" t="s">
        <v>338</v>
      </c>
      <c r="D319" s="9">
        <v>23.31</v>
      </c>
      <c r="E319" s="9">
        <v>61.87</v>
      </c>
      <c r="F319" s="9">
        <v>93.68</v>
      </c>
      <c r="G319" s="9">
        <v>83.591144773720742</v>
      </c>
      <c r="H319" s="9">
        <v>68.128172278187378</v>
      </c>
      <c r="I319" s="9">
        <v>62.576491188543194</v>
      </c>
      <c r="J319" s="9">
        <v>51.162962630468591</v>
      </c>
      <c r="K319" s="9">
        <v>46.649749478237261</v>
      </c>
      <c r="L319" s="9">
        <v>67.489999999999995</v>
      </c>
      <c r="M319" s="9">
        <v>66.903547133138972</v>
      </c>
      <c r="N319" s="9">
        <v>62.762884331937315</v>
      </c>
      <c r="O319" s="9">
        <v>62.446481801222212</v>
      </c>
      <c r="P319" s="9">
        <v>67.477085155744874</v>
      </c>
      <c r="Q319" s="9">
        <v>78.457211941303555</v>
      </c>
      <c r="R319" s="9">
        <v>42.874081355734262</v>
      </c>
      <c r="S319" s="9">
        <v>72.522585394515573</v>
      </c>
      <c r="T319" s="9">
        <v>72</v>
      </c>
      <c r="U319" s="9">
        <f>[1]TK1!C343*1000/[1]TK1!C161</f>
        <v>69.411677971099977</v>
      </c>
      <c r="V319" s="9">
        <f>[1]TK1!D343*1000/[1]TK1!D161</f>
        <v>63.875038778532208</v>
      </c>
      <c r="W319" s="9">
        <f>[1]TK1!E343*1000/[1]TK1!E161</f>
        <v>74.580429328129355</v>
      </c>
      <c r="X319" s="9">
        <f>[1]TK1!F343*1000/[1]TK1!F161</f>
        <v>69.024640213792424</v>
      </c>
      <c r="Y319" s="9">
        <f>[1]TK1!G343*1000/[1]TK1!G161</f>
        <v>72.128183855669334</v>
      </c>
      <c r="Z319" s="9">
        <f>[1]TK1!H343*1000/[1]TK1!H161</f>
        <v>73.561080034149256</v>
      </c>
      <c r="AA319" s="9">
        <f>[1]TK1!I343*1000/[1]TK1!I161</f>
        <v>77.665903009067634</v>
      </c>
      <c r="AB319" s="9">
        <f>[1]TK1!J343*1000/[1]TK1!J161</f>
        <v>74.23380140007383</v>
      </c>
      <c r="AC319" s="9">
        <f>[1]TK1!K343*1000/[1]TK1!K161</f>
        <v>66.961627885115533</v>
      </c>
      <c r="AD319" s="9">
        <f>[1]TK1!L343*1000/[1]TK1!L161</f>
        <v>68.212405717771375</v>
      </c>
      <c r="AE319" s="9">
        <f>[1]TK1!M343*1000/[1]TK1!M161</f>
        <v>67.68455380966499</v>
      </c>
      <c r="AF319" s="9">
        <v>77.843280745223169</v>
      </c>
      <c r="AG319" s="9" t="e">
        <f>[1]TK1!O343*1000/[1]TK1!O161</f>
        <v>#DIV/0!</v>
      </c>
      <c r="AH319" s="9" t="e">
        <f>[1]TK1!P343*1000/[1]TK1!P161</f>
        <v>#DIV/0!</v>
      </c>
      <c r="AI319" s="9" t="e">
        <f>[1]TK1!Q343*1000/[1]TK1!Q161</f>
        <v>#DIV/0!</v>
      </c>
      <c r="AJ319" s="9"/>
      <c r="AK319" s="9">
        <f>[1]TK1!S343*1000/[1]TK1!S161</f>
        <v>70.262597063029048</v>
      </c>
    </row>
    <row r="320" spans="1:37">
      <c r="A320" s="1">
        <v>14</v>
      </c>
      <c r="B320" s="3" t="s">
        <v>339</v>
      </c>
      <c r="C320" s="3" t="s">
        <v>340</v>
      </c>
      <c r="D320" s="9"/>
      <c r="E320" s="11">
        <v>278</v>
      </c>
      <c r="F320" s="11">
        <v>763</v>
      </c>
      <c r="G320" s="11">
        <v>1136</v>
      </c>
      <c r="H320" s="11">
        <v>741</v>
      </c>
      <c r="I320" s="11">
        <v>994</v>
      </c>
      <c r="J320" s="11">
        <v>388</v>
      </c>
      <c r="K320" s="3">
        <v>119</v>
      </c>
      <c r="L320" s="3">
        <v>257</v>
      </c>
      <c r="M320" s="3">
        <v>48</v>
      </c>
      <c r="N320" s="3">
        <v>90</v>
      </c>
      <c r="O320" s="3">
        <v>0</v>
      </c>
      <c r="P320" s="3">
        <v>214</v>
      </c>
      <c r="Q320" s="3">
        <v>1939</v>
      </c>
      <c r="R320" s="3">
        <v>2054</v>
      </c>
      <c r="S320" s="3">
        <v>2815</v>
      </c>
      <c r="T320" s="3"/>
      <c r="U320" s="3">
        <f>[1]TK1!C344</f>
        <v>271</v>
      </c>
      <c r="V320" s="3">
        <f>[1]TK1!D344</f>
        <v>294</v>
      </c>
      <c r="W320" s="3">
        <f>[1]TK1!E344</f>
        <v>271</v>
      </c>
      <c r="X320" s="3">
        <f>[1]TK1!F344</f>
        <v>836</v>
      </c>
      <c r="Y320" s="3">
        <f>[1]TK1!G344</f>
        <v>199</v>
      </c>
      <c r="Z320" s="3">
        <f>[1]TK1!H344</f>
        <v>156</v>
      </c>
      <c r="AA320" s="3">
        <f>[1]TK1!I344</f>
        <v>132</v>
      </c>
      <c r="AB320" s="3">
        <f>[1]TK1!J344</f>
        <v>487</v>
      </c>
      <c r="AC320" s="3">
        <f>[1]TK1!K344</f>
        <v>129</v>
      </c>
      <c r="AD320" s="3">
        <f>[1]TK1!L344</f>
        <v>176</v>
      </c>
      <c r="AE320" s="3">
        <f>[1]TK1!M344</f>
        <v>233</v>
      </c>
      <c r="AF320" s="3">
        <v>0</v>
      </c>
      <c r="AG320" s="3">
        <f>[1]TK1!O344</f>
        <v>0</v>
      </c>
      <c r="AH320" s="3">
        <f>[1]TK1!P344</f>
        <v>0</v>
      </c>
      <c r="AI320" s="3">
        <f>[1]TK1!Q344</f>
        <v>0</v>
      </c>
      <c r="AJ320" s="3"/>
      <c r="AK320" s="3">
        <f>[1]TK1!S344</f>
        <v>1861</v>
      </c>
    </row>
    <row r="321" spans="1:37">
      <c r="A321" s="1">
        <v>15</v>
      </c>
      <c r="B321" s="3" t="s">
        <v>341</v>
      </c>
      <c r="C321" s="3" t="s">
        <v>342</v>
      </c>
      <c r="D321" s="9"/>
      <c r="E321" s="11"/>
      <c r="F321" s="11"/>
      <c r="G321" s="11"/>
      <c r="H321" s="11"/>
      <c r="I321" s="11"/>
      <c r="J321" s="11"/>
      <c r="K321" s="3"/>
      <c r="L321" s="3"/>
      <c r="M321" s="3"/>
      <c r="N321" s="3"/>
      <c r="O321" s="3"/>
      <c r="P321" s="3"/>
      <c r="Q321" s="3"/>
      <c r="R321" s="3">
        <v>2.4319999999999999</v>
      </c>
      <c r="S321" s="3">
        <v>2.4279999999999999</v>
      </c>
      <c r="T321" s="3">
        <v>2.41</v>
      </c>
      <c r="U321" s="3">
        <v>2.649</v>
      </c>
      <c r="V321" s="3">
        <v>2.621</v>
      </c>
      <c r="W321" s="3">
        <v>2.5249999999999999</v>
      </c>
      <c r="X321" s="3"/>
      <c r="Y321" s="3">
        <v>2.5510000000000002</v>
      </c>
      <c r="Z321" s="3">
        <v>2.6930000000000001</v>
      </c>
      <c r="AA321" s="3">
        <v>2.7930000000000001</v>
      </c>
      <c r="AB321" s="3"/>
      <c r="AC321" s="3">
        <v>2.589</v>
      </c>
      <c r="AD321" s="3">
        <v>2.645</v>
      </c>
      <c r="AE321" s="3">
        <v>2.6949999999999998</v>
      </c>
      <c r="AF321" s="3"/>
      <c r="AG321" s="3"/>
      <c r="AH321" s="3"/>
      <c r="AI321" s="3"/>
      <c r="AJ321" s="3"/>
      <c r="AK321" s="3">
        <v>2.6379999999999999</v>
      </c>
    </row>
    <row r="322" spans="1:37">
      <c r="A322" s="1">
        <v>16</v>
      </c>
      <c r="B322" s="3" t="s">
        <v>343</v>
      </c>
      <c r="C322" s="3" t="s">
        <v>344</v>
      </c>
      <c r="D322" s="9"/>
      <c r="E322" s="11"/>
      <c r="F322" s="11"/>
      <c r="G322" s="11"/>
      <c r="H322" s="11"/>
      <c r="I322" s="11"/>
      <c r="J322" s="11"/>
      <c r="K322" s="3"/>
      <c r="L322" s="3"/>
      <c r="M322" s="3"/>
      <c r="N322" s="3"/>
      <c r="O322" s="3"/>
      <c r="P322" s="3"/>
      <c r="Q322" s="3"/>
      <c r="R322" s="3">
        <v>457.39</v>
      </c>
      <c r="S322" s="3">
        <v>466.53</v>
      </c>
      <c r="T322" s="3">
        <v>516.69000000000005</v>
      </c>
      <c r="U322" s="3">
        <v>488.39</v>
      </c>
      <c r="V322" s="3">
        <v>486.94</v>
      </c>
      <c r="W322" s="3">
        <v>455.37</v>
      </c>
      <c r="X322" s="3"/>
      <c r="Y322" s="3">
        <v>511.98</v>
      </c>
      <c r="Z322" s="3">
        <v>492.64</v>
      </c>
      <c r="AA322" s="3">
        <v>443.75</v>
      </c>
      <c r="AB322" s="3"/>
      <c r="AC322" s="3">
        <v>505.12</v>
      </c>
      <c r="AD322" s="3">
        <v>497.41</v>
      </c>
      <c r="AE322" s="3">
        <v>474.21</v>
      </c>
      <c r="AF322" s="3"/>
      <c r="AG322" s="3"/>
      <c r="AH322" s="3"/>
      <c r="AI322" s="3"/>
      <c r="AJ322" s="3"/>
      <c r="AK322" s="3">
        <v>484.18</v>
      </c>
    </row>
    <row r="323" spans="1:37">
      <c r="B323" s="3" t="s">
        <v>345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 spans="1:37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 spans="1:37" ht="21">
      <c r="B325" s="38" t="s">
        <v>415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 t="s">
        <v>517</v>
      </c>
    </row>
    <row r="326" spans="1:37" ht="21">
      <c r="B326" s="38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1:37" ht="21">
      <c r="B327" s="38"/>
      <c r="C327" s="8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spans="1:37" ht="21">
      <c r="B328" s="38" t="s">
        <v>428</v>
      </c>
      <c r="C328" s="8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7">
        <v>0</v>
      </c>
      <c r="V328" s="38">
        <v>0</v>
      </c>
      <c r="W328" s="38">
        <v>0</v>
      </c>
      <c r="X328" s="11"/>
      <c r="Y328" s="38">
        <v>36.479999999999997</v>
      </c>
      <c r="Z328" s="38">
        <v>0</v>
      </c>
      <c r="AA328" s="38">
        <v>0</v>
      </c>
      <c r="AB328" s="11"/>
      <c r="AC328" s="38">
        <v>77.16</v>
      </c>
      <c r="AD328" s="38">
        <v>0</v>
      </c>
      <c r="AE328" s="38">
        <v>0</v>
      </c>
      <c r="AF328" s="11"/>
      <c r="AG328" s="11"/>
      <c r="AH328" s="11"/>
      <c r="AI328" s="11"/>
      <c r="AJ328" s="11"/>
      <c r="AK328" s="38">
        <v>113.63999999999999</v>
      </c>
    </row>
    <row r="329" spans="1:37" ht="21">
      <c r="B329" s="38" t="s">
        <v>429</v>
      </c>
      <c r="C329" s="8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7">
        <v>230.74</v>
      </c>
      <c r="V329" s="38">
        <v>0</v>
      </c>
      <c r="W329" s="38">
        <v>96.09</v>
      </c>
      <c r="X329" s="9"/>
      <c r="Y329" s="38">
        <v>747.76800000000003</v>
      </c>
      <c r="Z329" s="38">
        <v>221.41200000000001</v>
      </c>
      <c r="AA329" s="38">
        <v>104.154</v>
      </c>
      <c r="AB329" s="9"/>
      <c r="AC329" s="38">
        <v>96.5</v>
      </c>
      <c r="AD329" s="38">
        <v>3.85</v>
      </c>
      <c r="AE329" s="38">
        <v>455.10500000000002</v>
      </c>
      <c r="AF329" s="9"/>
      <c r="AG329" s="9"/>
      <c r="AH329" s="9"/>
      <c r="AI329" s="9"/>
      <c r="AJ329" s="9"/>
      <c r="AK329" s="38">
        <v>1955.6189999999999</v>
      </c>
    </row>
    <row r="330" spans="1:37" ht="21">
      <c r="B330" s="38" t="s">
        <v>430</v>
      </c>
      <c r="U330" s="37">
        <v>0</v>
      </c>
      <c r="V330" s="38">
        <v>0</v>
      </c>
      <c r="W330" s="38">
        <v>0</v>
      </c>
      <c r="Y330" s="38">
        <v>0</v>
      </c>
      <c r="Z330" s="38">
        <v>0</v>
      </c>
      <c r="AA330" s="38">
        <v>0</v>
      </c>
      <c r="AC330" s="38">
        <v>0</v>
      </c>
      <c r="AD330" s="38">
        <v>0</v>
      </c>
      <c r="AE330" s="38">
        <v>0</v>
      </c>
      <c r="AK330" s="38">
        <v>0</v>
      </c>
    </row>
    <row r="331" spans="1:37" s="1" customFormat="1" ht="21">
      <c r="B331" s="38" t="s">
        <v>431</v>
      </c>
      <c r="C331" s="8"/>
      <c r="D331" s="3"/>
      <c r="E331" s="6"/>
      <c r="F331" s="6"/>
      <c r="G331" s="6"/>
      <c r="H331" s="6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7">
        <v>0</v>
      </c>
      <c r="V331" s="38">
        <v>0</v>
      </c>
      <c r="W331" s="38">
        <v>0</v>
      </c>
      <c r="X331" s="3"/>
      <c r="Y331" s="38">
        <v>0</v>
      </c>
      <c r="Z331" s="38">
        <v>0</v>
      </c>
      <c r="AA331" s="38">
        <v>0</v>
      </c>
      <c r="AB331" s="3"/>
      <c r="AC331" s="38">
        <v>0</v>
      </c>
      <c r="AD331" s="38">
        <v>0</v>
      </c>
      <c r="AE331" s="38">
        <v>0</v>
      </c>
      <c r="AF331" s="3"/>
      <c r="AG331" s="3"/>
      <c r="AH331" s="3"/>
      <c r="AI331" s="3"/>
      <c r="AJ331" s="3"/>
      <c r="AK331" s="38">
        <v>0</v>
      </c>
    </row>
    <row r="332" spans="1:37" ht="21">
      <c r="A332" s="7"/>
      <c r="B332" s="38" t="s">
        <v>432</v>
      </c>
      <c r="C332" s="8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3"/>
      <c r="R332" s="3"/>
      <c r="S332" s="3"/>
      <c r="T332" s="3"/>
      <c r="U332" s="37">
        <v>0</v>
      </c>
      <c r="V332" s="38">
        <v>0</v>
      </c>
      <c r="W332" s="38">
        <v>29.768000000000001</v>
      </c>
      <c r="X332" s="3"/>
      <c r="Y332" s="38">
        <v>0</v>
      </c>
      <c r="Z332" s="38">
        <v>0</v>
      </c>
      <c r="AA332" s="38">
        <v>0</v>
      </c>
      <c r="AB332" s="3"/>
      <c r="AC332" s="38">
        <v>0.01</v>
      </c>
      <c r="AD332" s="38">
        <v>0</v>
      </c>
      <c r="AE332" s="38">
        <v>0</v>
      </c>
      <c r="AF332" s="3"/>
      <c r="AG332" s="3"/>
      <c r="AH332" s="3"/>
      <c r="AI332" s="3"/>
      <c r="AJ332" s="3"/>
      <c r="AK332" s="38">
        <v>29.778000000000002</v>
      </c>
    </row>
    <row r="333" spans="1:37" ht="21">
      <c r="A333" s="7"/>
      <c r="B333" s="38" t="s">
        <v>433</v>
      </c>
      <c r="C333" s="8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37">
        <v>0</v>
      </c>
      <c r="V333" s="38">
        <v>0</v>
      </c>
      <c r="W333" s="38">
        <v>0</v>
      </c>
      <c r="X333" s="9"/>
      <c r="Y333" s="38">
        <v>0</v>
      </c>
      <c r="Z333" s="38">
        <v>0</v>
      </c>
      <c r="AA333" s="38">
        <v>0</v>
      </c>
      <c r="AB333" s="9"/>
      <c r="AC333" s="38">
        <v>0</v>
      </c>
      <c r="AD333" s="38">
        <v>0</v>
      </c>
      <c r="AE333" s="38">
        <v>0</v>
      </c>
      <c r="AF333" s="9"/>
      <c r="AG333" s="9"/>
      <c r="AH333" s="9"/>
      <c r="AI333" s="9"/>
      <c r="AJ333" s="9"/>
      <c r="AK333" s="38">
        <v>0</v>
      </c>
    </row>
    <row r="334" spans="1:37" ht="21">
      <c r="A334" s="7"/>
      <c r="B334" s="38" t="s">
        <v>434</v>
      </c>
      <c r="C334" s="8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37">
        <v>0</v>
      </c>
      <c r="V334" s="38">
        <v>0</v>
      </c>
      <c r="W334" s="38">
        <v>0</v>
      </c>
      <c r="X334" s="9"/>
      <c r="Y334" s="38">
        <v>0</v>
      </c>
      <c r="Z334" s="38">
        <v>0</v>
      </c>
      <c r="AA334" s="38">
        <v>0</v>
      </c>
      <c r="AB334" s="9"/>
      <c r="AC334" s="38">
        <v>0</v>
      </c>
      <c r="AD334" s="38">
        <v>0</v>
      </c>
      <c r="AE334" s="38">
        <v>0</v>
      </c>
      <c r="AF334" s="9"/>
      <c r="AG334" s="9"/>
      <c r="AH334" s="9"/>
      <c r="AI334" s="9"/>
      <c r="AJ334" s="9"/>
      <c r="AK334" s="38">
        <v>0</v>
      </c>
    </row>
    <row r="335" spans="1:37" ht="21">
      <c r="A335" s="7"/>
      <c r="B335" s="38" t="s">
        <v>435</v>
      </c>
      <c r="C335" s="8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12"/>
      <c r="U335" s="37">
        <v>0</v>
      </c>
      <c r="V335" s="38">
        <v>0</v>
      </c>
      <c r="W335" s="38">
        <v>0</v>
      </c>
      <c r="X335" s="9"/>
      <c r="Y335" s="38">
        <v>0</v>
      </c>
      <c r="Z335" s="38">
        <v>0</v>
      </c>
      <c r="AA335" s="38">
        <v>0</v>
      </c>
      <c r="AB335" s="9"/>
      <c r="AC335" s="38">
        <v>0</v>
      </c>
      <c r="AD335" s="38">
        <v>0</v>
      </c>
      <c r="AE335" s="38">
        <v>0</v>
      </c>
      <c r="AF335" s="9"/>
      <c r="AG335" s="9"/>
      <c r="AH335" s="9"/>
      <c r="AI335" s="9"/>
      <c r="AJ335" s="9"/>
      <c r="AK335" s="38">
        <v>0</v>
      </c>
    </row>
    <row r="336" spans="1:37" ht="21">
      <c r="A336" s="7"/>
      <c r="B336" s="38" t="s">
        <v>436</v>
      </c>
      <c r="C336" s="8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12"/>
      <c r="U336" s="37">
        <v>0</v>
      </c>
      <c r="V336" s="38">
        <v>0</v>
      </c>
      <c r="W336" s="38">
        <v>0</v>
      </c>
      <c r="X336" s="9"/>
      <c r="Y336" s="38">
        <v>0</v>
      </c>
      <c r="Z336" s="38">
        <v>0</v>
      </c>
      <c r="AA336" s="38">
        <v>0</v>
      </c>
      <c r="AB336" s="9"/>
      <c r="AC336" s="38">
        <v>0</v>
      </c>
      <c r="AD336" s="38">
        <v>0</v>
      </c>
      <c r="AE336" s="38">
        <v>0</v>
      </c>
      <c r="AF336" s="9"/>
      <c r="AG336" s="9"/>
      <c r="AH336" s="9"/>
      <c r="AI336" s="9"/>
      <c r="AJ336" s="9"/>
      <c r="AK336" s="38">
        <v>0</v>
      </c>
    </row>
    <row r="337" spans="1:37" ht="21">
      <c r="A337" s="7"/>
      <c r="B337" s="38" t="s">
        <v>437</v>
      </c>
      <c r="C337" s="8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12"/>
      <c r="U337" s="37">
        <v>0</v>
      </c>
      <c r="V337" s="38">
        <v>0</v>
      </c>
      <c r="W337" s="38">
        <v>0</v>
      </c>
      <c r="X337" s="9"/>
      <c r="Y337" s="38">
        <v>0</v>
      </c>
      <c r="Z337" s="38">
        <v>0</v>
      </c>
      <c r="AA337" s="38">
        <v>0</v>
      </c>
      <c r="AB337" s="9"/>
      <c r="AC337" s="38">
        <v>3.92</v>
      </c>
      <c r="AD337" s="38">
        <v>0</v>
      </c>
      <c r="AE337" s="38">
        <v>0</v>
      </c>
      <c r="AF337" s="9"/>
      <c r="AG337" s="9"/>
      <c r="AH337" s="9"/>
      <c r="AI337" s="9"/>
      <c r="AJ337" s="9"/>
      <c r="AK337" s="38">
        <v>3.92</v>
      </c>
    </row>
    <row r="338" spans="1:37" ht="21">
      <c r="A338" s="7"/>
      <c r="B338" s="38" t="s">
        <v>438</v>
      </c>
      <c r="C338" s="8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3"/>
      <c r="U338" s="37">
        <v>0</v>
      </c>
      <c r="V338" s="38">
        <v>0</v>
      </c>
      <c r="W338" s="38">
        <v>0</v>
      </c>
      <c r="X338" s="11"/>
      <c r="Y338" s="38">
        <v>0</v>
      </c>
      <c r="Z338" s="38">
        <v>0</v>
      </c>
      <c r="AA338" s="38">
        <v>0</v>
      </c>
      <c r="AB338" s="11"/>
      <c r="AC338" s="38">
        <v>0</v>
      </c>
      <c r="AD338" s="38">
        <v>0</v>
      </c>
      <c r="AE338" s="38">
        <v>0</v>
      </c>
      <c r="AF338" s="11"/>
      <c r="AG338" s="11"/>
      <c r="AH338" s="11"/>
      <c r="AI338" s="11"/>
      <c r="AJ338" s="11"/>
      <c r="AK338" s="38">
        <v>0</v>
      </c>
    </row>
    <row r="339" spans="1:37" ht="21">
      <c r="A339" s="7"/>
      <c r="B339" s="38" t="s">
        <v>439</v>
      </c>
      <c r="C339" s="3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37">
        <v>0</v>
      </c>
      <c r="V339" s="38">
        <v>0</v>
      </c>
      <c r="W339" s="38">
        <v>0</v>
      </c>
      <c r="X339" s="9"/>
      <c r="Y339" s="38">
        <v>0</v>
      </c>
      <c r="Z339" s="38">
        <v>0</v>
      </c>
      <c r="AA339" s="38">
        <v>0</v>
      </c>
      <c r="AB339" s="9"/>
      <c r="AC339" s="38">
        <v>0</v>
      </c>
      <c r="AD339" s="38">
        <v>0</v>
      </c>
      <c r="AE339" s="38">
        <v>0</v>
      </c>
      <c r="AF339" s="9"/>
      <c r="AG339" s="9"/>
      <c r="AH339" s="9"/>
      <c r="AI339" s="9"/>
      <c r="AJ339" s="9"/>
      <c r="AK339" s="38">
        <v>0</v>
      </c>
    </row>
    <row r="340" spans="1:37" ht="21">
      <c r="B340" s="38" t="s">
        <v>440</v>
      </c>
      <c r="U340" s="37">
        <v>0</v>
      </c>
      <c r="V340" s="38">
        <v>0</v>
      </c>
      <c r="W340" s="38">
        <v>0</v>
      </c>
      <c r="Y340" s="38">
        <v>0</v>
      </c>
      <c r="Z340" s="38">
        <v>0</v>
      </c>
      <c r="AA340" s="38">
        <v>0</v>
      </c>
      <c r="AC340" s="38">
        <v>0</v>
      </c>
      <c r="AD340" s="38">
        <v>0</v>
      </c>
      <c r="AE340" s="38">
        <v>0</v>
      </c>
      <c r="AK340" s="38">
        <v>0</v>
      </c>
    </row>
    <row r="341" spans="1:37" ht="21">
      <c r="B341" s="38" t="s">
        <v>441</v>
      </c>
      <c r="U341" s="37">
        <v>0</v>
      </c>
      <c r="V341" s="38">
        <v>0</v>
      </c>
      <c r="W341" s="38">
        <v>0</v>
      </c>
      <c r="Y341" s="38">
        <v>0</v>
      </c>
      <c r="Z341" s="38">
        <v>0</v>
      </c>
      <c r="AA341" s="38">
        <v>0</v>
      </c>
      <c r="AC341" s="38">
        <v>0</v>
      </c>
      <c r="AD341" s="38">
        <v>0</v>
      </c>
      <c r="AE341" s="38">
        <v>0</v>
      </c>
      <c r="AK341" s="38">
        <v>0</v>
      </c>
    </row>
    <row r="342" spans="1:37" ht="21">
      <c r="B342" s="38" t="s">
        <v>442</v>
      </c>
      <c r="U342" s="37">
        <v>0</v>
      </c>
      <c r="V342" s="38">
        <v>0</v>
      </c>
      <c r="W342" s="38">
        <v>0</v>
      </c>
      <c r="Y342" s="38">
        <v>0</v>
      </c>
      <c r="Z342" s="38">
        <v>0</v>
      </c>
      <c r="AA342" s="38">
        <v>0</v>
      </c>
      <c r="AC342" s="38">
        <v>18.91</v>
      </c>
      <c r="AD342" s="38">
        <v>0</v>
      </c>
      <c r="AE342" s="38">
        <v>0</v>
      </c>
      <c r="AK342" s="38">
        <v>18.91</v>
      </c>
    </row>
    <row r="343" spans="1:37" ht="21">
      <c r="B343" s="38" t="s">
        <v>443</v>
      </c>
      <c r="U343" s="37">
        <v>0</v>
      </c>
      <c r="V343" s="38">
        <v>0</v>
      </c>
      <c r="W343" s="38">
        <v>0</v>
      </c>
      <c r="Y343" s="38">
        <v>0</v>
      </c>
      <c r="Z343" s="38">
        <v>0</v>
      </c>
      <c r="AA343" s="38">
        <v>0</v>
      </c>
      <c r="AC343" s="38">
        <v>0</v>
      </c>
      <c r="AD343" s="38">
        <v>0</v>
      </c>
      <c r="AE343" s="38">
        <v>0</v>
      </c>
      <c r="AK343" s="38">
        <v>0</v>
      </c>
    </row>
    <row r="344" spans="1:37" ht="21">
      <c r="B344" s="38" t="s">
        <v>444</v>
      </c>
      <c r="U344" s="37">
        <v>0</v>
      </c>
      <c r="V344" s="38">
        <v>0</v>
      </c>
      <c r="W344" s="38">
        <v>0</v>
      </c>
      <c r="Y344" s="38">
        <v>0</v>
      </c>
      <c r="Z344" s="38">
        <v>0</v>
      </c>
      <c r="AA344" s="38">
        <v>0</v>
      </c>
      <c r="AC344" s="38">
        <v>0</v>
      </c>
      <c r="AD344" s="38">
        <v>0</v>
      </c>
      <c r="AE344" s="38">
        <v>0</v>
      </c>
      <c r="AK344" s="38">
        <v>0</v>
      </c>
    </row>
    <row r="345" spans="1:37" ht="21">
      <c r="B345" s="38" t="s">
        <v>445</v>
      </c>
      <c r="C345" s="8"/>
      <c r="U345" s="37">
        <v>0</v>
      </c>
      <c r="V345" s="38">
        <v>0</v>
      </c>
      <c r="W345" s="38">
        <v>0</v>
      </c>
      <c r="Y345" s="38">
        <v>0</v>
      </c>
      <c r="Z345" s="38">
        <v>0</v>
      </c>
      <c r="AA345" s="38">
        <v>0</v>
      </c>
      <c r="AB345" s="9"/>
      <c r="AC345" s="38">
        <v>16.25</v>
      </c>
      <c r="AD345" s="38">
        <v>84.26</v>
      </c>
      <c r="AE345" s="38">
        <v>91.44</v>
      </c>
      <c r="AF345" s="9"/>
      <c r="AG345" s="9"/>
      <c r="AH345" s="9"/>
      <c r="AI345" s="9"/>
      <c r="AJ345" s="9"/>
      <c r="AK345" s="38">
        <v>191.95</v>
      </c>
    </row>
    <row r="346" spans="1:37" ht="21">
      <c r="B346" s="38" t="s">
        <v>446</v>
      </c>
      <c r="U346" s="37">
        <v>0</v>
      </c>
      <c r="V346" s="38">
        <v>0</v>
      </c>
      <c r="W346" s="38">
        <v>0</v>
      </c>
      <c r="Y346" s="38">
        <v>0</v>
      </c>
      <c r="Z346" s="38">
        <v>0</v>
      </c>
      <c r="AA346" s="38">
        <v>0</v>
      </c>
      <c r="AC346" s="38">
        <v>0</v>
      </c>
      <c r="AD346" s="38">
        <v>0</v>
      </c>
      <c r="AE346" s="38">
        <v>0</v>
      </c>
      <c r="AK346" s="38">
        <v>0</v>
      </c>
    </row>
    <row r="347" spans="1:37" ht="21">
      <c r="B347" s="38" t="s">
        <v>447</v>
      </c>
      <c r="U347" s="37">
        <v>230.74</v>
      </c>
      <c r="V347" s="38">
        <v>0</v>
      </c>
      <c r="W347" s="38">
        <v>125.858</v>
      </c>
      <c r="Y347" s="38">
        <v>784.24800000000005</v>
      </c>
      <c r="Z347" s="38">
        <v>221.41200000000001</v>
      </c>
      <c r="AA347" s="38">
        <v>104.154</v>
      </c>
      <c r="AC347" s="38">
        <v>212.74999999999997</v>
      </c>
      <c r="AD347" s="38">
        <v>88.11</v>
      </c>
      <c r="AE347" s="38">
        <v>546.54500000000007</v>
      </c>
      <c r="AK347" s="38">
        <v>2313.817</v>
      </c>
    </row>
    <row r="348" spans="1:37" ht="21">
      <c r="A348" s="7"/>
      <c r="B348" s="38" t="s">
        <v>448</v>
      </c>
      <c r="C348" s="8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37">
        <v>0</v>
      </c>
      <c r="V348" s="38">
        <v>0</v>
      </c>
      <c r="W348" s="38">
        <v>0</v>
      </c>
      <c r="X348" s="11"/>
      <c r="Y348" s="38">
        <v>0</v>
      </c>
      <c r="Z348" s="38">
        <v>0</v>
      </c>
      <c r="AA348" s="38">
        <v>0</v>
      </c>
      <c r="AB348" s="11"/>
      <c r="AC348" s="38">
        <v>0</v>
      </c>
      <c r="AD348" s="38">
        <v>0</v>
      </c>
      <c r="AE348" s="38">
        <v>0</v>
      </c>
      <c r="AF348" s="11"/>
      <c r="AG348" s="11"/>
      <c r="AH348" s="11"/>
      <c r="AI348" s="11"/>
      <c r="AJ348" s="11"/>
      <c r="AK348" s="38">
        <v>0</v>
      </c>
    </row>
    <row r="349" spans="1:37" ht="21">
      <c r="B349" s="38" t="s">
        <v>449</v>
      </c>
      <c r="U349" s="37">
        <v>0</v>
      </c>
      <c r="V349" s="38">
        <v>0</v>
      </c>
      <c r="W349" s="38">
        <v>0</v>
      </c>
      <c r="Y349" s="38">
        <v>0</v>
      </c>
      <c r="Z349" s="38">
        <v>0</v>
      </c>
      <c r="AA349" s="38">
        <v>0</v>
      </c>
      <c r="AC349" s="38">
        <v>0</v>
      </c>
      <c r="AD349" s="38">
        <v>0</v>
      </c>
      <c r="AE349" s="38">
        <v>0</v>
      </c>
      <c r="AK349" s="38">
        <v>0</v>
      </c>
    </row>
    <row r="350" spans="1:37" ht="21">
      <c r="B350" s="38" t="s">
        <v>450</v>
      </c>
      <c r="U350" s="37">
        <v>0</v>
      </c>
      <c r="V350" s="38">
        <v>0</v>
      </c>
      <c r="W350" s="38">
        <v>0</v>
      </c>
      <c r="Y350" s="38">
        <v>0</v>
      </c>
      <c r="Z350" s="38">
        <v>0</v>
      </c>
      <c r="AA350" s="38">
        <v>0</v>
      </c>
      <c r="AC350" s="38">
        <v>0</v>
      </c>
      <c r="AD350" s="38">
        <v>0</v>
      </c>
      <c r="AE350" s="38">
        <v>0</v>
      </c>
      <c r="AK350" s="38">
        <v>0</v>
      </c>
    </row>
    <row r="351" spans="1:37" ht="21">
      <c r="B351" s="38" t="s">
        <v>451</v>
      </c>
      <c r="U351" s="37">
        <v>0</v>
      </c>
      <c r="V351" s="38">
        <v>0</v>
      </c>
      <c r="W351" s="38">
        <v>0</v>
      </c>
      <c r="Y351" s="38">
        <v>0</v>
      </c>
      <c r="Z351" s="38">
        <v>0</v>
      </c>
      <c r="AA351" s="38">
        <v>0</v>
      </c>
      <c r="AC351" s="38">
        <v>0</v>
      </c>
      <c r="AD351" s="38">
        <v>0</v>
      </c>
      <c r="AE351" s="38">
        <v>0</v>
      </c>
      <c r="AK351" s="38">
        <v>0</v>
      </c>
    </row>
    <row r="352" spans="1:37" ht="21">
      <c r="B352" s="38" t="s">
        <v>452</v>
      </c>
      <c r="U352" s="37">
        <v>0</v>
      </c>
      <c r="V352" s="38">
        <v>0</v>
      </c>
      <c r="W352" s="38">
        <v>0</v>
      </c>
      <c r="Y352" s="38">
        <v>0</v>
      </c>
      <c r="Z352" s="38">
        <v>0</v>
      </c>
      <c r="AA352" s="38">
        <v>0</v>
      </c>
      <c r="AC352" s="38">
        <v>0</v>
      </c>
      <c r="AD352" s="38">
        <v>0</v>
      </c>
      <c r="AE352" s="38">
        <v>0</v>
      </c>
      <c r="AK352" s="38">
        <v>0</v>
      </c>
    </row>
    <row r="353" spans="2:37" ht="21">
      <c r="B353" s="38" t="s">
        <v>428</v>
      </c>
      <c r="U353" s="37">
        <v>0</v>
      </c>
      <c r="V353" s="38">
        <v>0</v>
      </c>
      <c r="W353" s="38">
        <v>0</v>
      </c>
      <c r="Y353" s="38">
        <v>0</v>
      </c>
      <c r="Z353" s="38">
        <v>0</v>
      </c>
      <c r="AA353" s="38">
        <v>0</v>
      </c>
      <c r="AC353" s="38">
        <v>0</v>
      </c>
      <c r="AD353" s="38">
        <v>0</v>
      </c>
      <c r="AE353" s="38">
        <v>0</v>
      </c>
      <c r="AK353" s="38">
        <v>0</v>
      </c>
    </row>
    <row r="354" spans="2:37" ht="21">
      <c r="B354" s="38" t="s">
        <v>453</v>
      </c>
      <c r="U354" s="37">
        <v>0</v>
      </c>
      <c r="V354" s="38">
        <v>0</v>
      </c>
      <c r="W354" s="38">
        <v>0</v>
      </c>
      <c r="Y354" s="38">
        <v>0</v>
      </c>
      <c r="Z354" s="38">
        <v>0</v>
      </c>
      <c r="AA354" s="38">
        <v>0</v>
      </c>
      <c r="AC354" s="38">
        <v>0</v>
      </c>
      <c r="AD354" s="38">
        <v>0</v>
      </c>
      <c r="AE354" s="38">
        <v>0</v>
      </c>
      <c r="AK354" s="38">
        <v>0</v>
      </c>
    </row>
    <row r="355" spans="2:37" ht="21">
      <c r="B355" s="38" t="s">
        <v>454</v>
      </c>
      <c r="U355" s="37">
        <v>0</v>
      </c>
      <c r="V355" s="38">
        <v>0</v>
      </c>
      <c r="W355" s="38">
        <v>0</v>
      </c>
      <c r="Y355" s="38">
        <v>0</v>
      </c>
      <c r="Z355" s="38">
        <v>0</v>
      </c>
      <c r="AA355" s="38">
        <v>0</v>
      </c>
      <c r="AC355" s="38">
        <v>0</v>
      </c>
      <c r="AD355" s="38">
        <v>0</v>
      </c>
      <c r="AE355" s="38">
        <v>0</v>
      </c>
      <c r="AK355" s="38">
        <v>0</v>
      </c>
    </row>
    <row r="356" spans="2:37" ht="21">
      <c r="B356" s="38" t="s">
        <v>455</v>
      </c>
      <c r="U356" s="37">
        <v>230.74</v>
      </c>
      <c r="V356" s="38">
        <v>0</v>
      </c>
      <c r="W356" s="38">
        <v>125.858</v>
      </c>
      <c r="Y356" s="38">
        <v>784.24800000000005</v>
      </c>
      <c r="Z356" s="38">
        <v>221.41200000000001</v>
      </c>
      <c r="AA356" s="38">
        <v>104.154</v>
      </c>
      <c r="AC356" s="38">
        <v>212.74999999999997</v>
      </c>
      <c r="AD356" s="38">
        <v>88.11</v>
      </c>
      <c r="AE356" s="38">
        <v>546.54500000000007</v>
      </c>
      <c r="AK356" s="38">
        <v>2313.817</v>
      </c>
    </row>
    <row r="357" spans="2:37" ht="21">
      <c r="B357" s="38" t="s">
        <v>456</v>
      </c>
      <c r="U357" s="37">
        <v>0</v>
      </c>
      <c r="V357" s="38">
        <v>0</v>
      </c>
      <c r="W357" s="38">
        <v>0</v>
      </c>
      <c r="Y357" s="38">
        <v>0</v>
      </c>
      <c r="Z357" s="38">
        <v>0</v>
      </c>
      <c r="AA357" s="38">
        <v>0</v>
      </c>
      <c r="AC357" s="38">
        <v>0</v>
      </c>
      <c r="AD357" s="38">
        <v>0</v>
      </c>
      <c r="AE357" s="38">
        <v>0</v>
      </c>
      <c r="AK357" s="38">
        <v>0</v>
      </c>
    </row>
    <row r="358" spans="2:37" ht="21">
      <c r="B358" s="38" t="s">
        <v>457</v>
      </c>
      <c r="U358" s="37">
        <v>0</v>
      </c>
      <c r="V358" s="38">
        <v>0</v>
      </c>
      <c r="W358" s="38">
        <v>0</v>
      </c>
      <c r="Y358" s="38">
        <v>0</v>
      </c>
      <c r="Z358" s="38">
        <v>0</v>
      </c>
      <c r="AA358" s="38">
        <v>0</v>
      </c>
      <c r="AC358" s="38">
        <v>0</v>
      </c>
      <c r="AD358" s="38">
        <v>0</v>
      </c>
      <c r="AE358" s="38">
        <v>0</v>
      </c>
      <c r="AK358" s="38">
        <v>0</v>
      </c>
    </row>
    <row r="359" spans="2:37" ht="21">
      <c r="B359" s="38" t="s">
        <v>458</v>
      </c>
      <c r="U359" s="37">
        <v>0</v>
      </c>
      <c r="V359" s="38">
        <v>0</v>
      </c>
      <c r="W359" s="38">
        <v>0</v>
      </c>
      <c r="Y359" s="38">
        <v>0</v>
      </c>
      <c r="Z359" s="38">
        <v>0</v>
      </c>
      <c r="AA359" s="38">
        <v>0</v>
      </c>
      <c r="AC359" s="38">
        <v>0</v>
      </c>
      <c r="AD359" s="38">
        <v>0</v>
      </c>
      <c r="AE359" s="38">
        <v>0</v>
      </c>
      <c r="AK359" s="38">
        <v>0</v>
      </c>
    </row>
    <row r="360" spans="2:37" ht="21">
      <c r="B360" s="38" t="s">
        <v>459</v>
      </c>
      <c r="U360" s="37">
        <v>0</v>
      </c>
      <c r="V360" s="38">
        <v>0</v>
      </c>
      <c r="W360" s="38">
        <v>0</v>
      </c>
      <c r="Y360" s="38">
        <v>0</v>
      </c>
      <c r="Z360" s="38">
        <v>0</v>
      </c>
      <c r="AA360" s="38">
        <v>0</v>
      </c>
      <c r="AC360" s="38">
        <v>0</v>
      </c>
      <c r="AD360" s="38">
        <v>0</v>
      </c>
      <c r="AE360" s="38">
        <v>0</v>
      </c>
      <c r="AK360" s="38">
        <v>0</v>
      </c>
    </row>
    <row r="361" spans="2:37" ht="21">
      <c r="B361" s="38" t="s">
        <v>460</v>
      </c>
      <c r="U361" s="37">
        <v>0</v>
      </c>
      <c r="V361" s="38">
        <v>0</v>
      </c>
      <c r="W361" s="38">
        <v>0</v>
      </c>
      <c r="Y361" s="38">
        <v>0</v>
      </c>
      <c r="Z361" s="38">
        <v>0</v>
      </c>
      <c r="AA361" s="38">
        <v>0</v>
      </c>
      <c r="AC361" s="38">
        <v>0</v>
      </c>
      <c r="AD361" s="38">
        <v>0</v>
      </c>
      <c r="AE361" s="38">
        <v>0</v>
      </c>
      <c r="AK361" s="38">
        <v>0</v>
      </c>
    </row>
    <row r="362" spans="2:37" ht="21">
      <c r="B362" s="38" t="s">
        <v>461</v>
      </c>
      <c r="U362" s="37">
        <v>0</v>
      </c>
      <c r="V362" s="38">
        <v>0</v>
      </c>
      <c r="W362" s="38">
        <v>0</v>
      </c>
      <c r="Y362" s="38">
        <v>0</v>
      </c>
      <c r="Z362" s="38">
        <v>0</v>
      </c>
      <c r="AA362" s="38">
        <v>0</v>
      </c>
      <c r="AC362" s="38">
        <v>0</v>
      </c>
      <c r="AD362" s="38">
        <v>0</v>
      </c>
      <c r="AE362" s="38">
        <v>0</v>
      </c>
      <c r="AK362" s="38">
        <v>0</v>
      </c>
    </row>
    <row r="363" spans="2:37" ht="21">
      <c r="B363" s="38"/>
      <c r="U363" s="37"/>
      <c r="V363" s="38"/>
      <c r="W363" s="38"/>
      <c r="Y363" s="38"/>
      <c r="Z363" s="38"/>
      <c r="AA363" s="38"/>
      <c r="AC363" s="38"/>
      <c r="AD363" s="38"/>
      <c r="AE363" s="38"/>
      <c r="AK363" s="38"/>
    </row>
    <row r="364" spans="2:37">
      <c r="AK364" s="1" t="s">
        <v>518</v>
      </c>
    </row>
    <row r="365" spans="2:37" ht="21">
      <c r="B365" s="38" t="s">
        <v>428</v>
      </c>
      <c r="U365" s="37">
        <v>0</v>
      </c>
      <c r="V365" s="38">
        <v>0</v>
      </c>
      <c r="W365" s="38">
        <v>0</v>
      </c>
      <c r="Y365" s="38">
        <v>0</v>
      </c>
      <c r="Z365" s="38">
        <v>0</v>
      </c>
      <c r="AA365" s="38">
        <v>77.16</v>
      </c>
      <c r="AC365" s="38">
        <v>5.8</v>
      </c>
      <c r="AD365" s="38">
        <v>0</v>
      </c>
      <c r="AE365" s="38">
        <v>0</v>
      </c>
      <c r="AK365" s="38">
        <v>82.96</v>
      </c>
    </row>
    <row r="366" spans="2:37" ht="21">
      <c r="B366" s="38" t="s">
        <v>429</v>
      </c>
      <c r="U366" s="37">
        <v>0</v>
      </c>
      <c r="V366" s="38">
        <v>200.67</v>
      </c>
      <c r="W366" s="38">
        <v>240.32</v>
      </c>
      <c r="Y366" s="38">
        <v>478.66</v>
      </c>
      <c r="Z366" s="38">
        <v>211.77</v>
      </c>
      <c r="AA366" s="38">
        <v>0</v>
      </c>
      <c r="AC366" s="38">
        <v>99.53</v>
      </c>
      <c r="AD366" s="38">
        <v>141.13</v>
      </c>
      <c r="AE366" s="38">
        <v>437.755</v>
      </c>
      <c r="AK366" s="38">
        <v>1809.835</v>
      </c>
    </row>
    <row r="367" spans="2:37" ht="21">
      <c r="B367" s="38" t="s">
        <v>430</v>
      </c>
      <c r="U367" s="37">
        <v>0</v>
      </c>
      <c r="V367" s="38">
        <v>0</v>
      </c>
      <c r="W367" s="38">
        <v>0</v>
      </c>
      <c r="Y367" s="38">
        <v>0</v>
      </c>
      <c r="Z367" s="38">
        <v>0</v>
      </c>
      <c r="AA367" s="38">
        <v>0</v>
      </c>
      <c r="AC367" s="38">
        <v>0</v>
      </c>
      <c r="AD367" s="38">
        <v>0</v>
      </c>
      <c r="AE367" s="38">
        <v>0</v>
      </c>
      <c r="AK367" s="38">
        <v>0</v>
      </c>
    </row>
    <row r="368" spans="2:37" ht="21">
      <c r="B368" s="38" t="s">
        <v>431</v>
      </c>
      <c r="U368" s="37">
        <v>0</v>
      </c>
      <c r="V368" s="38">
        <v>0</v>
      </c>
      <c r="W368" s="38">
        <v>0</v>
      </c>
      <c r="Y368" s="38">
        <v>0</v>
      </c>
      <c r="Z368" s="38">
        <v>0</v>
      </c>
      <c r="AA368" s="38">
        <v>0</v>
      </c>
      <c r="AC368" s="38">
        <v>0</v>
      </c>
      <c r="AD368" s="38">
        <v>0</v>
      </c>
      <c r="AE368" s="38">
        <v>0</v>
      </c>
      <c r="AK368" s="38">
        <v>0</v>
      </c>
    </row>
    <row r="369" spans="2:37" ht="21">
      <c r="B369" s="38" t="s">
        <v>432</v>
      </c>
      <c r="U369" s="37">
        <v>0</v>
      </c>
      <c r="V369" s="38">
        <v>0</v>
      </c>
      <c r="W369" s="38">
        <v>0</v>
      </c>
      <c r="Y369" s="38">
        <v>0</v>
      </c>
      <c r="Z369" s="38">
        <v>0</v>
      </c>
      <c r="AA369" s="38">
        <v>0</v>
      </c>
      <c r="AC369" s="38">
        <v>0</v>
      </c>
      <c r="AD369" s="38">
        <v>0</v>
      </c>
      <c r="AE369" s="38">
        <v>0</v>
      </c>
      <c r="AK369" s="38">
        <v>0</v>
      </c>
    </row>
    <row r="370" spans="2:37" ht="21">
      <c r="B370" s="38" t="s">
        <v>433</v>
      </c>
      <c r="U370" s="37">
        <v>0</v>
      </c>
      <c r="V370" s="38">
        <v>0</v>
      </c>
      <c r="W370" s="38">
        <v>0</v>
      </c>
      <c r="Y370" s="38">
        <v>0</v>
      </c>
      <c r="Z370" s="38">
        <v>0</v>
      </c>
      <c r="AA370" s="38">
        <v>0</v>
      </c>
      <c r="AC370" s="38">
        <v>0</v>
      </c>
      <c r="AD370" s="38">
        <v>0</v>
      </c>
      <c r="AE370" s="38">
        <v>0</v>
      </c>
      <c r="AK370" s="38">
        <v>0</v>
      </c>
    </row>
    <row r="371" spans="2:37" ht="21">
      <c r="B371" s="38" t="s">
        <v>434</v>
      </c>
      <c r="U371" s="37">
        <v>0</v>
      </c>
      <c r="V371" s="38">
        <v>0</v>
      </c>
      <c r="W371" s="38">
        <v>0</v>
      </c>
      <c r="Y371" s="38">
        <v>0</v>
      </c>
      <c r="Z371" s="38">
        <v>0</v>
      </c>
      <c r="AA371" s="38">
        <v>0</v>
      </c>
      <c r="AC371" s="38">
        <v>0</v>
      </c>
      <c r="AD371" s="38">
        <v>0</v>
      </c>
      <c r="AE371" s="38">
        <v>0</v>
      </c>
      <c r="AK371" s="38">
        <v>0</v>
      </c>
    </row>
    <row r="372" spans="2:37" ht="21">
      <c r="B372" s="38" t="s">
        <v>435</v>
      </c>
      <c r="U372" s="37">
        <v>0</v>
      </c>
      <c r="V372" s="38">
        <v>0</v>
      </c>
      <c r="W372" s="38">
        <v>0</v>
      </c>
      <c r="Y372" s="38">
        <v>0</v>
      </c>
      <c r="Z372" s="38">
        <v>0</v>
      </c>
      <c r="AA372" s="38">
        <v>0</v>
      </c>
      <c r="AC372" s="38">
        <v>0</v>
      </c>
      <c r="AD372" s="38">
        <v>0</v>
      </c>
      <c r="AE372" s="38">
        <v>0</v>
      </c>
      <c r="AK372" s="38">
        <v>0</v>
      </c>
    </row>
    <row r="373" spans="2:37" ht="21">
      <c r="B373" s="38" t="s">
        <v>436</v>
      </c>
      <c r="U373" s="37">
        <v>0</v>
      </c>
      <c r="V373" s="38">
        <v>0</v>
      </c>
      <c r="W373" s="38">
        <v>0</v>
      </c>
      <c r="Y373" s="38">
        <v>0</v>
      </c>
      <c r="Z373" s="38">
        <v>0</v>
      </c>
      <c r="AA373" s="38">
        <v>0</v>
      </c>
      <c r="AC373" s="38">
        <v>0</v>
      </c>
      <c r="AD373" s="38">
        <v>0</v>
      </c>
      <c r="AE373" s="38">
        <v>0</v>
      </c>
      <c r="AK373" s="38">
        <v>0</v>
      </c>
    </row>
    <row r="374" spans="2:37" ht="21">
      <c r="B374" s="38" t="s">
        <v>437</v>
      </c>
      <c r="U374" s="37">
        <v>0</v>
      </c>
      <c r="V374" s="38">
        <v>0</v>
      </c>
      <c r="W374" s="38">
        <v>0</v>
      </c>
      <c r="Y374" s="38">
        <v>0</v>
      </c>
      <c r="Z374" s="38">
        <v>0</v>
      </c>
      <c r="AA374" s="38">
        <v>0</v>
      </c>
      <c r="AC374" s="38">
        <v>0</v>
      </c>
      <c r="AD374" s="38">
        <v>0</v>
      </c>
      <c r="AE374" s="38">
        <v>0</v>
      </c>
      <c r="AK374" s="38">
        <v>0</v>
      </c>
    </row>
    <row r="375" spans="2:37" ht="21">
      <c r="B375" s="38" t="s">
        <v>438</v>
      </c>
      <c r="U375" s="37">
        <v>0</v>
      </c>
      <c r="V375" s="38">
        <v>0</v>
      </c>
      <c r="W375" s="38">
        <v>0</v>
      </c>
      <c r="Y375" s="38">
        <v>0</v>
      </c>
      <c r="Z375" s="38">
        <v>0</v>
      </c>
      <c r="AA375" s="38">
        <v>0</v>
      </c>
      <c r="AC375" s="38">
        <v>0</v>
      </c>
      <c r="AD375" s="38">
        <v>0</v>
      </c>
      <c r="AE375" s="38">
        <v>0</v>
      </c>
      <c r="AK375" s="38">
        <v>0</v>
      </c>
    </row>
    <row r="376" spans="2:37" ht="21">
      <c r="B376" s="38" t="s">
        <v>439</v>
      </c>
      <c r="U376" s="37">
        <v>0</v>
      </c>
      <c r="V376" s="38">
        <v>0</v>
      </c>
      <c r="W376" s="38">
        <v>0</v>
      </c>
      <c r="Y376" s="38">
        <v>0</v>
      </c>
      <c r="Z376" s="38">
        <v>0</v>
      </c>
      <c r="AA376" s="38">
        <v>0</v>
      </c>
      <c r="AC376" s="38">
        <v>0</v>
      </c>
      <c r="AD376" s="38">
        <v>0</v>
      </c>
      <c r="AE376" s="38">
        <v>0</v>
      </c>
      <c r="AK376" s="38">
        <v>0</v>
      </c>
    </row>
    <row r="377" spans="2:37" ht="21">
      <c r="B377" s="38" t="s">
        <v>440</v>
      </c>
      <c r="U377" s="37">
        <v>0</v>
      </c>
      <c r="V377" s="38">
        <v>0</v>
      </c>
      <c r="W377" s="38">
        <v>0</v>
      </c>
      <c r="Y377" s="38">
        <v>0</v>
      </c>
      <c r="Z377" s="38">
        <v>0</v>
      </c>
      <c r="AA377" s="38">
        <v>0</v>
      </c>
      <c r="AC377" s="38">
        <v>0</v>
      </c>
      <c r="AD377" s="38">
        <v>0</v>
      </c>
      <c r="AE377" s="38">
        <v>0</v>
      </c>
      <c r="AK377" s="38">
        <v>0</v>
      </c>
    </row>
    <row r="378" spans="2:37" ht="21">
      <c r="B378" s="38" t="s">
        <v>441</v>
      </c>
      <c r="U378" s="37">
        <v>0</v>
      </c>
      <c r="V378" s="38">
        <v>0</v>
      </c>
      <c r="W378" s="38">
        <v>0</v>
      </c>
      <c r="Y378" s="38">
        <v>0</v>
      </c>
      <c r="Z378" s="38">
        <v>0</v>
      </c>
      <c r="AA378" s="38">
        <v>0</v>
      </c>
      <c r="AC378" s="38">
        <v>0</v>
      </c>
      <c r="AD378" s="38">
        <v>0</v>
      </c>
      <c r="AE378" s="38">
        <v>0</v>
      </c>
      <c r="AK378" s="38">
        <v>0</v>
      </c>
    </row>
    <row r="379" spans="2:37" ht="21">
      <c r="B379" s="38" t="s">
        <v>442</v>
      </c>
      <c r="U379" s="37">
        <v>0</v>
      </c>
      <c r="V379" s="38">
        <v>0</v>
      </c>
      <c r="W379" s="38">
        <v>0</v>
      </c>
      <c r="Y379" s="38">
        <v>0</v>
      </c>
      <c r="Z379" s="38">
        <v>0</v>
      </c>
      <c r="AA379" s="38">
        <v>0</v>
      </c>
      <c r="AC379" s="38">
        <v>0</v>
      </c>
      <c r="AD379" s="38">
        <v>0</v>
      </c>
      <c r="AE379" s="38">
        <v>0</v>
      </c>
      <c r="AK379" s="38">
        <v>0</v>
      </c>
    </row>
    <row r="380" spans="2:37" ht="21">
      <c r="B380" s="38" t="s">
        <v>443</v>
      </c>
      <c r="U380" s="37">
        <v>0</v>
      </c>
      <c r="V380" s="38">
        <v>0</v>
      </c>
      <c r="W380" s="38">
        <v>0</v>
      </c>
      <c r="Y380" s="38">
        <v>0</v>
      </c>
      <c r="Z380" s="38">
        <v>0</v>
      </c>
      <c r="AA380" s="38">
        <v>0</v>
      </c>
      <c r="AC380" s="38">
        <v>0</v>
      </c>
      <c r="AD380" s="38">
        <v>0</v>
      </c>
      <c r="AE380" s="38">
        <v>0</v>
      </c>
      <c r="AK380" s="38">
        <v>0</v>
      </c>
    </row>
    <row r="381" spans="2:37" ht="21">
      <c r="B381" s="38" t="s">
        <v>444</v>
      </c>
      <c r="U381" s="37">
        <v>0</v>
      </c>
      <c r="V381" s="38">
        <v>0</v>
      </c>
      <c r="W381" s="38">
        <v>0</v>
      </c>
      <c r="Y381" s="38">
        <v>0</v>
      </c>
      <c r="Z381" s="38">
        <v>0</v>
      </c>
      <c r="AA381" s="38">
        <v>0</v>
      </c>
      <c r="AC381" s="38">
        <v>0</v>
      </c>
      <c r="AD381" s="38">
        <v>0</v>
      </c>
      <c r="AE381" s="38">
        <v>0</v>
      </c>
      <c r="AK381" s="38">
        <v>0</v>
      </c>
    </row>
    <row r="382" spans="2:37" ht="21">
      <c r="B382" s="38" t="s">
        <v>445</v>
      </c>
      <c r="U382" s="37">
        <v>0</v>
      </c>
      <c r="V382" s="38">
        <v>0</v>
      </c>
      <c r="W382" s="38">
        <v>0</v>
      </c>
      <c r="Y382" s="38">
        <v>0</v>
      </c>
      <c r="Z382" s="38">
        <v>0</v>
      </c>
      <c r="AA382" s="38">
        <v>0</v>
      </c>
      <c r="AC382" s="38">
        <v>146.22999999999999</v>
      </c>
      <c r="AD382" s="38">
        <v>45.72</v>
      </c>
      <c r="AE382" s="38">
        <v>0</v>
      </c>
      <c r="AK382" s="38">
        <v>191.95</v>
      </c>
    </row>
    <row r="383" spans="2:37" ht="21">
      <c r="B383" s="38" t="s">
        <v>446</v>
      </c>
      <c r="U383" s="37">
        <v>0</v>
      </c>
      <c r="V383" s="38">
        <v>0</v>
      </c>
      <c r="W383" s="38">
        <v>0</v>
      </c>
      <c r="Y383" s="38">
        <v>0</v>
      </c>
      <c r="Z383" s="38">
        <v>0</v>
      </c>
      <c r="AA383" s="38">
        <v>0</v>
      </c>
      <c r="AC383" s="38">
        <v>0</v>
      </c>
      <c r="AD383" s="38">
        <v>0</v>
      </c>
      <c r="AE383" s="38">
        <v>0</v>
      </c>
      <c r="AK383" s="38">
        <v>0</v>
      </c>
    </row>
    <row r="384" spans="2:37" ht="21">
      <c r="B384" s="38" t="s">
        <v>447</v>
      </c>
      <c r="U384" s="37">
        <v>0</v>
      </c>
      <c r="V384" s="38">
        <v>200.67</v>
      </c>
      <c r="W384" s="38">
        <v>240.32</v>
      </c>
      <c r="Y384" s="38">
        <v>478.66</v>
      </c>
      <c r="Z384" s="38">
        <v>211.77</v>
      </c>
      <c r="AA384" s="38">
        <v>77.16</v>
      </c>
      <c r="AC384" s="38">
        <v>251.56</v>
      </c>
      <c r="AD384" s="38">
        <v>186.85</v>
      </c>
      <c r="AE384" s="38">
        <v>437.755</v>
      </c>
      <c r="AK384" s="38">
        <v>2084.7449999999999</v>
      </c>
    </row>
    <row r="385" spans="2:37" ht="21">
      <c r="B385" s="38" t="s">
        <v>448</v>
      </c>
      <c r="U385" s="37">
        <v>0</v>
      </c>
      <c r="V385" s="38">
        <v>0</v>
      </c>
      <c r="W385" s="38">
        <v>0</v>
      </c>
      <c r="Y385" s="38">
        <v>0</v>
      </c>
      <c r="Z385" s="38">
        <v>0</v>
      </c>
      <c r="AA385" s="38">
        <v>0</v>
      </c>
      <c r="AC385" s="38">
        <v>0</v>
      </c>
      <c r="AD385" s="38">
        <v>0</v>
      </c>
      <c r="AE385" s="38">
        <v>0</v>
      </c>
      <c r="AK385" s="38">
        <v>0</v>
      </c>
    </row>
    <row r="386" spans="2:37" ht="21">
      <c r="B386" s="38" t="s">
        <v>449</v>
      </c>
      <c r="U386" s="37">
        <v>0</v>
      </c>
      <c r="V386" s="38">
        <v>0</v>
      </c>
      <c r="W386" s="38">
        <v>0</v>
      </c>
      <c r="Y386" s="38">
        <v>0</v>
      </c>
      <c r="Z386" s="38">
        <v>0</v>
      </c>
      <c r="AA386" s="38">
        <v>0</v>
      </c>
      <c r="AC386" s="38">
        <v>0</v>
      </c>
      <c r="AD386" s="38">
        <v>0</v>
      </c>
      <c r="AE386" s="38">
        <v>0</v>
      </c>
      <c r="AK386" s="38">
        <v>0</v>
      </c>
    </row>
    <row r="387" spans="2:37" ht="21">
      <c r="B387" s="38" t="s">
        <v>450</v>
      </c>
      <c r="U387" s="37">
        <v>0</v>
      </c>
      <c r="V387" s="38">
        <v>0</v>
      </c>
      <c r="W387" s="38">
        <v>0</v>
      </c>
      <c r="Y387" s="38">
        <v>0</v>
      </c>
      <c r="Z387" s="38">
        <v>0</v>
      </c>
      <c r="AA387" s="38">
        <v>0</v>
      </c>
      <c r="AC387" s="38">
        <v>0</v>
      </c>
      <c r="AD387" s="38">
        <v>0</v>
      </c>
      <c r="AE387" s="38">
        <v>0</v>
      </c>
      <c r="AK387" s="38">
        <v>0</v>
      </c>
    </row>
    <row r="388" spans="2:37" ht="21">
      <c r="B388" s="38" t="s">
        <v>451</v>
      </c>
      <c r="U388" s="37">
        <v>0</v>
      </c>
      <c r="V388" s="38">
        <v>0</v>
      </c>
      <c r="W388" s="38">
        <v>0</v>
      </c>
      <c r="Y388" s="38">
        <v>0</v>
      </c>
      <c r="Z388" s="38">
        <v>0</v>
      </c>
      <c r="AA388" s="38">
        <v>0</v>
      </c>
      <c r="AC388" s="38">
        <v>0</v>
      </c>
      <c r="AD388" s="38">
        <v>0</v>
      </c>
      <c r="AE388" s="38">
        <v>0</v>
      </c>
      <c r="AK388" s="38">
        <v>0</v>
      </c>
    </row>
    <row r="389" spans="2:37" ht="21">
      <c r="B389" s="38" t="s">
        <v>452</v>
      </c>
      <c r="U389" s="37">
        <v>0</v>
      </c>
      <c r="V389" s="38">
        <v>0</v>
      </c>
      <c r="W389" s="38">
        <v>0</v>
      </c>
      <c r="Y389" s="38">
        <v>0</v>
      </c>
      <c r="Z389" s="38">
        <v>0</v>
      </c>
      <c r="AA389" s="38">
        <v>0</v>
      </c>
      <c r="AC389" s="38">
        <v>0</v>
      </c>
      <c r="AD389" s="38">
        <v>0</v>
      </c>
      <c r="AE389" s="38">
        <v>0</v>
      </c>
      <c r="AK389" s="38">
        <v>0</v>
      </c>
    </row>
    <row r="390" spans="2:37" ht="21">
      <c r="B390" s="38" t="s">
        <v>428</v>
      </c>
      <c r="U390" s="37">
        <v>0</v>
      </c>
      <c r="V390" s="38">
        <v>0</v>
      </c>
      <c r="W390" s="38">
        <v>0</v>
      </c>
      <c r="Y390" s="38">
        <v>0</v>
      </c>
      <c r="Z390" s="38">
        <v>0</v>
      </c>
      <c r="AA390" s="38">
        <v>0</v>
      </c>
      <c r="AC390" s="38">
        <v>0</v>
      </c>
      <c r="AD390" s="38">
        <v>0</v>
      </c>
      <c r="AE390" s="38">
        <v>0</v>
      </c>
      <c r="AK390" s="38">
        <v>0</v>
      </c>
    </row>
    <row r="391" spans="2:37" ht="21">
      <c r="B391" s="38" t="s">
        <v>453</v>
      </c>
      <c r="U391" s="37">
        <v>0</v>
      </c>
      <c r="V391" s="38">
        <v>0</v>
      </c>
      <c r="W391" s="38">
        <v>0</v>
      </c>
      <c r="Y391" s="38">
        <v>0</v>
      </c>
      <c r="Z391" s="38">
        <v>0</v>
      </c>
      <c r="AA391" s="38">
        <v>0</v>
      </c>
      <c r="AC391" s="38">
        <v>0</v>
      </c>
      <c r="AD391" s="38">
        <v>0</v>
      </c>
      <c r="AE391" s="38">
        <v>0</v>
      </c>
      <c r="AK391" s="38">
        <v>0</v>
      </c>
    </row>
    <row r="392" spans="2:37" ht="21">
      <c r="B392" s="38" t="s">
        <v>454</v>
      </c>
      <c r="U392" s="37">
        <v>0</v>
      </c>
      <c r="V392" s="38">
        <v>0</v>
      </c>
      <c r="W392" s="38">
        <v>0</v>
      </c>
      <c r="Y392" s="38">
        <v>0</v>
      </c>
      <c r="Z392" s="38">
        <v>0</v>
      </c>
      <c r="AA392" s="38">
        <v>0</v>
      </c>
      <c r="AC392" s="38">
        <v>0</v>
      </c>
      <c r="AD392" s="38">
        <v>0</v>
      </c>
      <c r="AE392" s="38">
        <v>0</v>
      </c>
      <c r="AK392" s="38">
        <v>0</v>
      </c>
    </row>
    <row r="393" spans="2:37" ht="21">
      <c r="B393" s="38" t="s">
        <v>455</v>
      </c>
      <c r="U393" s="37">
        <v>0</v>
      </c>
      <c r="V393" s="38">
        <v>200.67</v>
      </c>
      <c r="W393" s="38">
        <v>240.32</v>
      </c>
      <c r="Y393" s="38">
        <v>478.66</v>
      </c>
      <c r="Z393" s="38">
        <v>211.77</v>
      </c>
      <c r="AA393" s="38">
        <v>77.16</v>
      </c>
      <c r="AC393" s="38">
        <v>251.56</v>
      </c>
      <c r="AD393" s="38">
        <v>186.85</v>
      </c>
      <c r="AE393" s="38">
        <v>437.755</v>
      </c>
      <c r="AK393" s="38">
        <v>2084.7449999999999</v>
      </c>
    </row>
    <row r="394" spans="2:37" ht="21">
      <c r="B394" s="38" t="s">
        <v>456</v>
      </c>
      <c r="U394" s="37">
        <v>0</v>
      </c>
      <c r="V394" s="38">
        <v>0</v>
      </c>
      <c r="W394" s="38">
        <v>0</v>
      </c>
      <c r="Y394" s="38">
        <v>0</v>
      </c>
      <c r="Z394" s="38">
        <v>0</v>
      </c>
      <c r="AA394" s="38">
        <v>0</v>
      </c>
      <c r="AC394" s="38">
        <v>0</v>
      </c>
      <c r="AD394" s="38">
        <v>0</v>
      </c>
      <c r="AE394" s="38">
        <v>0</v>
      </c>
      <c r="AK394" s="38">
        <v>0</v>
      </c>
    </row>
    <row r="395" spans="2:37" ht="21">
      <c r="B395" s="38" t="s">
        <v>457</v>
      </c>
      <c r="U395" s="37">
        <v>0</v>
      </c>
      <c r="V395" s="38">
        <v>0</v>
      </c>
      <c r="W395" s="38">
        <v>0</v>
      </c>
      <c r="Y395" s="38">
        <v>0</v>
      </c>
      <c r="Z395" s="38">
        <v>0</v>
      </c>
      <c r="AA395" s="38">
        <v>0</v>
      </c>
      <c r="AC395" s="38">
        <v>0</v>
      </c>
      <c r="AD395" s="38">
        <v>0</v>
      </c>
      <c r="AE395" s="38">
        <v>0</v>
      </c>
      <c r="AK395" s="38">
        <v>0</v>
      </c>
    </row>
    <row r="396" spans="2:37" ht="21">
      <c r="B396" s="38" t="s">
        <v>458</v>
      </c>
      <c r="U396" s="37">
        <v>0</v>
      </c>
      <c r="V396" s="38">
        <v>0</v>
      </c>
      <c r="W396" s="38">
        <v>0</v>
      </c>
      <c r="Y396" s="38">
        <v>0</v>
      </c>
      <c r="Z396" s="38">
        <v>0</v>
      </c>
      <c r="AA396" s="38">
        <v>0</v>
      </c>
      <c r="AC396" s="38">
        <v>0</v>
      </c>
      <c r="AD396" s="38">
        <v>0</v>
      </c>
      <c r="AE396" s="38">
        <v>0</v>
      </c>
      <c r="AK396" s="38">
        <v>0</v>
      </c>
    </row>
    <row r="397" spans="2:37" ht="21">
      <c r="B397" s="38" t="s">
        <v>459</v>
      </c>
      <c r="U397" s="37">
        <v>0</v>
      </c>
      <c r="V397" s="38">
        <v>0</v>
      </c>
      <c r="W397" s="38">
        <v>0</v>
      </c>
      <c r="Y397" s="38">
        <v>0</v>
      </c>
      <c r="Z397" s="38">
        <v>0</v>
      </c>
      <c r="AA397" s="38">
        <v>0</v>
      </c>
      <c r="AC397" s="38">
        <v>0</v>
      </c>
      <c r="AD397" s="38">
        <v>0</v>
      </c>
      <c r="AE397" s="38">
        <v>0</v>
      </c>
      <c r="AK397" s="38">
        <v>0</v>
      </c>
    </row>
    <row r="398" spans="2:37" ht="21">
      <c r="B398" s="38" t="s">
        <v>460</v>
      </c>
      <c r="U398" s="37">
        <v>0</v>
      </c>
      <c r="V398" s="38">
        <v>0</v>
      </c>
      <c r="W398" s="38">
        <v>0</v>
      </c>
      <c r="Y398" s="38">
        <v>0</v>
      </c>
      <c r="Z398" s="38">
        <v>0</v>
      </c>
      <c r="AA398" s="38">
        <v>0</v>
      </c>
      <c r="AC398" s="38">
        <v>0</v>
      </c>
      <c r="AD398" s="38">
        <v>0</v>
      </c>
      <c r="AE398" s="38">
        <v>0</v>
      </c>
      <c r="AK398" s="38">
        <v>0</v>
      </c>
    </row>
    <row r="399" spans="2:37" ht="21">
      <c r="B399" s="38" t="s">
        <v>461</v>
      </c>
      <c r="U399" s="37">
        <v>0</v>
      </c>
      <c r="V399" s="38">
        <v>0</v>
      </c>
      <c r="W399" s="38">
        <v>0</v>
      </c>
      <c r="Y399" s="38">
        <v>0</v>
      </c>
      <c r="Z399" s="38">
        <v>0</v>
      </c>
      <c r="AA399" s="38">
        <v>0</v>
      </c>
      <c r="AC399" s="38">
        <v>0</v>
      </c>
      <c r="AD399" s="38">
        <v>0</v>
      </c>
      <c r="AE399" s="38">
        <v>0</v>
      </c>
      <c r="AK399" s="38">
        <v>0</v>
      </c>
    </row>
    <row r="400" spans="2:37" ht="21">
      <c r="B400" s="38" t="s">
        <v>460</v>
      </c>
      <c r="U400" s="37">
        <v>0</v>
      </c>
      <c r="V400" s="38">
        <v>0</v>
      </c>
      <c r="W400" s="38">
        <v>0</v>
      </c>
      <c r="Y400" s="38">
        <v>0</v>
      </c>
      <c r="Z400" s="38">
        <v>0</v>
      </c>
      <c r="AA400" s="38">
        <v>0</v>
      </c>
      <c r="AC400" s="38">
        <v>0</v>
      </c>
      <c r="AD400" s="38">
        <v>0</v>
      </c>
      <c r="AE400" s="38">
        <v>0</v>
      </c>
      <c r="AK400" s="38">
        <v>0</v>
      </c>
    </row>
    <row r="401" spans="2:37" ht="21">
      <c r="B401" s="38" t="s">
        <v>461</v>
      </c>
      <c r="U401" s="37">
        <v>0</v>
      </c>
      <c r="V401" s="38">
        <v>0</v>
      </c>
      <c r="W401" s="38">
        <v>0</v>
      </c>
      <c r="Y401" s="38">
        <v>0</v>
      </c>
      <c r="Z401" s="38">
        <v>0</v>
      </c>
      <c r="AA401" s="38">
        <v>0</v>
      </c>
      <c r="AC401" s="38">
        <v>0</v>
      </c>
      <c r="AD401" s="38">
        <v>0</v>
      </c>
      <c r="AE401" s="38">
        <v>0</v>
      </c>
      <c r="AK401" s="38">
        <v>0</v>
      </c>
    </row>
    <row r="402" spans="2:37" ht="21">
      <c r="B402" s="26" t="s">
        <v>502</v>
      </c>
      <c r="U402" s="37"/>
      <c r="V402" s="38"/>
      <c r="W402" s="38"/>
      <c r="Y402" s="38"/>
      <c r="Z402" s="38"/>
      <c r="AA402" s="38"/>
      <c r="AC402" s="38"/>
      <c r="AD402" s="38"/>
      <c r="AE402" s="38"/>
      <c r="AK402" s="38">
        <v>0</v>
      </c>
    </row>
    <row r="403" spans="2:37" ht="21">
      <c r="B403" s="26" t="s">
        <v>503</v>
      </c>
      <c r="U403" s="1">
        <v>4408</v>
      </c>
      <c r="V403" s="26">
        <v>11113</v>
      </c>
      <c r="W403" s="26">
        <v>8460</v>
      </c>
      <c r="Y403" s="26">
        <v>13582</v>
      </c>
      <c r="Z403" s="26">
        <v>11514</v>
      </c>
      <c r="AA403" s="26">
        <v>10633</v>
      </c>
      <c r="AC403" s="38">
        <v>21365</v>
      </c>
      <c r="AD403" s="38">
        <v>13697</v>
      </c>
      <c r="AE403" s="38">
        <v>16049</v>
      </c>
      <c r="AK403" s="38">
        <v>110821</v>
      </c>
    </row>
    <row r="404" spans="2:37" ht="21">
      <c r="B404" s="26" t="s">
        <v>504</v>
      </c>
      <c r="U404" s="1">
        <v>0</v>
      </c>
      <c r="V404" s="1">
        <v>2479</v>
      </c>
      <c r="W404" s="26">
        <v>6811</v>
      </c>
      <c r="Y404" s="26">
        <v>0</v>
      </c>
      <c r="Z404" s="26"/>
      <c r="AA404" s="26"/>
      <c r="AC404" s="38">
        <v>6674</v>
      </c>
      <c r="AD404" s="38">
        <v>4435</v>
      </c>
      <c r="AE404" s="38">
        <v>6893</v>
      </c>
      <c r="AK404" s="38">
        <v>27292</v>
      </c>
    </row>
    <row r="405" spans="2:37" ht="21">
      <c r="B405" s="26" t="s">
        <v>505</v>
      </c>
      <c r="U405" s="1">
        <v>16160</v>
      </c>
      <c r="V405" s="26">
        <v>11521</v>
      </c>
      <c r="W405" s="26">
        <v>6735</v>
      </c>
      <c r="Y405" s="26">
        <v>0</v>
      </c>
      <c r="Z405" s="26">
        <v>4582</v>
      </c>
      <c r="AA405" s="26">
        <v>2425</v>
      </c>
      <c r="AC405" s="38">
        <v>2313</v>
      </c>
      <c r="AD405" s="38">
        <v>2350</v>
      </c>
      <c r="AE405" s="38"/>
      <c r="AK405" s="38">
        <v>46086</v>
      </c>
    </row>
    <row r="406" spans="2:37" ht="21">
      <c r="B406" s="26" t="s">
        <v>506</v>
      </c>
      <c r="U406" s="1">
        <v>0</v>
      </c>
      <c r="V406" s="26">
        <v>0</v>
      </c>
      <c r="W406" s="26">
        <v>0</v>
      </c>
      <c r="Y406" s="26">
        <v>0</v>
      </c>
      <c r="Z406" s="26"/>
      <c r="AA406" s="26"/>
      <c r="AC406" s="38"/>
      <c r="AD406" s="38"/>
      <c r="AE406" s="38"/>
      <c r="AK406" s="38">
        <v>0</v>
      </c>
    </row>
    <row r="407" spans="2:37" ht="21">
      <c r="B407" s="26" t="s">
        <v>507</v>
      </c>
      <c r="U407" s="1">
        <v>14991</v>
      </c>
      <c r="V407" s="26">
        <v>6069</v>
      </c>
      <c r="W407" s="26">
        <v>0</v>
      </c>
      <c r="Y407" s="26">
        <v>0</v>
      </c>
      <c r="Z407" s="26"/>
      <c r="AA407" s="26"/>
      <c r="AC407" s="38"/>
      <c r="AD407" s="38"/>
      <c r="AE407" s="38">
        <v>10740</v>
      </c>
      <c r="AK407" s="38">
        <v>31800</v>
      </c>
    </row>
    <row r="408" spans="2:37" ht="21">
      <c r="B408" s="26" t="s">
        <v>508</v>
      </c>
      <c r="U408" s="1">
        <v>0</v>
      </c>
      <c r="V408" s="26">
        <v>6410</v>
      </c>
      <c r="W408" s="26">
        <v>9536</v>
      </c>
      <c r="Y408" s="26">
        <v>9907</v>
      </c>
      <c r="Z408" s="26">
        <v>6393</v>
      </c>
      <c r="AA408" s="26">
        <v>7695</v>
      </c>
      <c r="AC408" s="38"/>
      <c r="AD408" s="38"/>
      <c r="AE408" s="38"/>
      <c r="AK408" s="38">
        <v>39941</v>
      </c>
    </row>
    <row r="409" spans="2:37" ht="21">
      <c r="B409" s="26" t="s">
        <v>509</v>
      </c>
      <c r="U409" s="37"/>
      <c r="V409" s="38"/>
      <c r="W409" s="38"/>
      <c r="Y409" s="38"/>
      <c r="Z409" s="26">
        <v>5281</v>
      </c>
      <c r="AA409" s="38"/>
      <c r="AC409" s="38"/>
      <c r="AD409" s="38"/>
      <c r="AE409" s="38"/>
      <c r="AK409" s="38">
        <v>5281</v>
      </c>
    </row>
    <row r="410" spans="2:37" ht="21">
      <c r="B410" s="26" t="s">
        <v>510</v>
      </c>
      <c r="U410" s="37"/>
      <c r="V410" s="38"/>
      <c r="W410" s="38"/>
      <c r="Y410" s="38"/>
      <c r="Z410" s="26"/>
      <c r="AA410" s="38">
        <v>6488</v>
      </c>
      <c r="AC410" s="38"/>
      <c r="AD410" s="38"/>
      <c r="AE410" s="38"/>
      <c r="AK410" s="38"/>
    </row>
    <row r="411" spans="2:37" ht="21">
      <c r="B411" s="26" t="s">
        <v>511</v>
      </c>
      <c r="U411" s="1">
        <v>16492</v>
      </c>
      <c r="V411" s="26">
        <v>0</v>
      </c>
      <c r="W411" s="26">
        <v>5460</v>
      </c>
      <c r="Y411" s="26">
        <v>30255</v>
      </c>
      <c r="Z411" s="26">
        <v>24746</v>
      </c>
      <c r="AA411" s="26">
        <v>30023</v>
      </c>
      <c r="AC411" s="38">
        <v>2750</v>
      </c>
      <c r="AD411" s="38"/>
      <c r="AE411" s="38"/>
      <c r="AK411" s="38">
        <v>109726</v>
      </c>
    </row>
    <row r="412" spans="2:37" ht="21">
      <c r="B412" s="26" t="s">
        <v>512</v>
      </c>
      <c r="U412" s="1">
        <v>9534</v>
      </c>
      <c r="V412" s="26">
        <v>0</v>
      </c>
      <c r="W412" s="26">
        <v>0</v>
      </c>
      <c r="Y412" s="26">
        <v>1979</v>
      </c>
      <c r="Z412" s="26">
        <v>3314</v>
      </c>
      <c r="AA412" s="26"/>
      <c r="AC412" s="38">
        <v>769</v>
      </c>
      <c r="AD412" s="38">
        <v>2950</v>
      </c>
      <c r="AE412" s="38"/>
      <c r="AK412" s="38">
        <v>18546</v>
      </c>
    </row>
    <row r="413" spans="2:37" ht="21">
      <c r="B413" s="26" t="s">
        <v>513</v>
      </c>
      <c r="U413" s="1">
        <v>0</v>
      </c>
      <c r="V413" s="26">
        <v>0</v>
      </c>
      <c r="W413" s="26">
        <v>0</v>
      </c>
      <c r="Y413" s="26">
        <v>0</v>
      </c>
      <c r="Z413" s="26"/>
      <c r="AA413" s="26"/>
      <c r="AC413" s="38"/>
      <c r="AD413" s="38"/>
      <c r="AE413" s="38"/>
      <c r="AK413" s="38">
        <v>0</v>
      </c>
    </row>
    <row r="414" spans="2:37" ht="21">
      <c r="B414" s="26" t="s">
        <v>514</v>
      </c>
      <c r="U414" s="1">
        <v>1630</v>
      </c>
      <c r="V414" s="26">
        <v>0</v>
      </c>
      <c r="W414" s="26">
        <v>5475</v>
      </c>
      <c r="Y414" s="26">
        <v>16438</v>
      </c>
      <c r="Z414" s="26">
        <v>6784</v>
      </c>
      <c r="AA414" s="26">
        <v>4427</v>
      </c>
      <c r="AC414" s="38">
        <v>4640</v>
      </c>
      <c r="AD414" s="38">
        <v>4918</v>
      </c>
      <c r="AE414" s="38"/>
      <c r="AK414" s="38">
        <v>44312</v>
      </c>
    </row>
    <row r="415" spans="2:37" ht="21">
      <c r="B415" s="26" t="s">
        <v>515</v>
      </c>
      <c r="U415" s="1">
        <v>0</v>
      </c>
      <c r="V415" s="26">
        <v>0</v>
      </c>
      <c r="W415" s="26">
        <v>0</v>
      </c>
      <c r="Y415" s="26">
        <v>0</v>
      </c>
      <c r="Z415" s="38"/>
      <c r="AA415" s="38"/>
      <c r="AC415" s="38"/>
      <c r="AD415" s="38"/>
      <c r="AE415" s="38"/>
      <c r="AK415" s="38">
        <v>0</v>
      </c>
    </row>
  </sheetData>
  <pageMargins left="0.70866141732283472" right="0.70866141732283472" top="0.74803149606299213" bottom="0.74803149606299213" header="0.31496062992125984" footer="0.31496062992125984"/>
  <pageSetup paperSize="9" scale="45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T61"/>
  <sheetViews>
    <sheetView topLeftCell="A46" workbookViewId="0">
      <selection sqref="A1:R61"/>
    </sheetView>
  </sheetViews>
  <sheetFormatPr defaultRowHeight="15"/>
  <cols>
    <col min="1" max="1" width="30.85546875" bestFit="1" customWidth="1"/>
    <col min="2" max="4" width="9.140625" style="25"/>
    <col min="5" max="5" width="0" style="25" hidden="1" customWidth="1"/>
    <col min="6" max="8" width="9.140625" style="25"/>
    <col min="9" max="9" width="0" style="25" hidden="1" customWidth="1"/>
    <col min="10" max="12" width="9.140625" style="25"/>
    <col min="13" max="17" width="0" style="25" hidden="1" customWidth="1"/>
    <col min="18" max="18" width="9.140625" style="25"/>
    <col min="19" max="21" width="0" hidden="1" customWidth="1"/>
  </cols>
  <sheetData>
    <row r="2" spans="1:20">
      <c r="A2" t="s">
        <v>347</v>
      </c>
    </row>
    <row r="3" spans="1:20">
      <c r="A3" t="s">
        <v>348</v>
      </c>
      <c r="R3" s="25" t="s">
        <v>349</v>
      </c>
    </row>
    <row r="4" spans="1:20">
      <c r="A4" t="s">
        <v>350</v>
      </c>
      <c r="B4" s="25" t="s">
        <v>26</v>
      </c>
      <c r="C4" s="25" t="s">
        <v>27</v>
      </c>
      <c r="D4" s="25" t="s">
        <v>28</v>
      </c>
      <c r="E4" s="25" t="s">
        <v>351</v>
      </c>
      <c r="F4" s="25" t="s">
        <v>30</v>
      </c>
      <c r="G4" s="25" t="s">
        <v>31</v>
      </c>
      <c r="H4" s="25" t="s">
        <v>32</v>
      </c>
      <c r="I4" s="25" t="s">
        <v>352</v>
      </c>
      <c r="J4" s="25" t="s">
        <v>34</v>
      </c>
      <c r="K4" s="25" t="s">
        <v>35</v>
      </c>
      <c r="L4" s="25" t="s">
        <v>36</v>
      </c>
      <c r="M4" s="25" t="s">
        <v>353</v>
      </c>
      <c r="N4" s="25" t="s">
        <v>38</v>
      </c>
      <c r="O4" s="25" t="s">
        <v>39</v>
      </c>
      <c r="P4" s="25" t="s">
        <v>40</v>
      </c>
      <c r="Q4" s="25" t="s">
        <v>354</v>
      </c>
      <c r="R4" s="25" t="s">
        <v>355</v>
      </c>
      <c r="S4" t="s">
        <v>356</v>
      </c>
      <c r="T4" t="s">
        <v>357</v>
      </c>
    </row>
    <row r="6" spans="1:20">
      <c r="A6" t="s">
        <v>358</v>
      </c>
      <c r="B6" s="44">
        <v>91.433333333333337</v>
      </c>
      <c r="C6" s="44">
        <v>91.225806451612897</v>
      </c>
      <c r="D6" s="44">
        <v>85.266666666666666</v>
      </c>
      <c r="E6" s="44">
        <v>89.329670329670336</v>
      </c>
      <c r="F6" s="44">
        <v>88.58064516129032</v>
      </c>
      <c r="G6" s="44">
        <v>89.58064516129032</v>
      </c>
      <c r="H6" s="44">
        <v>89.766666666666666</v>
      </c>
      <c r="I6" s="44">
        <v>88.341514726507725</v>
      </c>
      <c r="J6" s="44">
        <v>91</v>
      </c>
      <c r="K6" s="44">
        <v>90.9</v>
      </c>
      <c r="L6" s="44">
        <v>88.58064516129032</v>
      </c>
      <c r="M6" s="44">
        <v>90.152173913043484</v>
      </c>
      <c r="N6" s="44">
        <v>0</v>
      </c>
      <c r="O6" s="44">
        <v>0</v>
      </c>
      <c r="P6" s="44">
        <v>0</v>
      </c>
      <c r="Q6" s="44">
        <v>0</v>
      </c>
      <c r="R6" s="44">
        <v>89.596363636363634</v>
      </c>
      <c r="S6">
        <v>266.2</v>
      </c>
      <c r="T6">
        <v>261.00383561643838</v>
      </c>
    </row>
    <row r="7" spans="1:20">
      <c r="A7" t="s">
        <v>359</v>
      </c>
      <c r="B7" s="44">
        <v>342.8</v>
      </c>
      <c r="C7" s="44">
        <v>342.06451612903226</v>
      </c>
      <c r="D7" s="44">
        <v>338.73333333333335</v>
      </c>
      <c r="E7" s="44">
        <v>341.20879120879118</v>
      </c>
      <c r="F7" s="44">
        <v>342.93548387096774</v>
      </c>
      <c r="G7" s="44">
        <v>337.61290322580646</v>
      </c>
      <c r="H7" s="44">
        <v>337</v>
      </c>
      <c r="I7" s="44">
        <v>335.47896213183731</v>
      </c>
      <c r="J7" s="44">
        <v>336.93548387096774</v>
      </c>
      <c r="K7" s="44">
        <v>340</v>
      </c>
      <c r="L7" s="44">
        <v>336.12903225806451</v>
      </c>
      <c r="M7" s="44">
        <v>337.66304347826087</v>
      </c>
      <c r="N7" s="44">
        <v>0</v>
      </c>
      <c r="O7" s="44">
        <v>0</v>
      </c>
      <c r="P7" s="44">
        <v>0</v>
      </c>
      <c r="Q7" s="44">
        <v>0</v>
      </c>
      <c r="R7" s="44">
        <v>339.35272727272729</v>
      </c>
      <c r="S7">
        <v>434.88200000000001</v>
      </c>
      <c r="T7">
        <v>431.37471780821915</v>
      </c>
    </row>
    <row r="8" spans="1:20">
      <c r="A8" t="s">
        <v>360</v>
      </c>
      <c r="B8" s="44">
        <v>519.26633333333336</v>
      </c>
      <c r="C8" s="44">
        <v>518.13032258064516</v>
      </c>
      <c r="D8" s="44">
        <v>503.298</v>
      </c>
      <c r="E8" s="44">
        <v>513.61505494505491</v>
      </c>
      <c r="F8" s="44">
        <v>513.89612903225805</v>
      </c>
      <c r="G8" s="44">
        <v>510.50354838709677</v>
      </c>
      <c r="H8" s="44">
        <v>510.24966666666666</v>
      </c>
      <c r="I8" s="44">
        <v>505.97808555399718</v>
      </c>
      <c r="J8" s="44">
        <v>512.56548387096768</v>
      </c>
      <c r="K8" s="44">
        <v>515.43700000000001</v>
      </c>
      <c r="L8" s="44">
        <v>507.08967741935481</v>
      </c>
      <c r="M8" s="44">
        <v>511.6567391304348</v>
      </c>
      <c r="N8" s="44">
        <v>0</v>
      </c>
      <c r="O8" s="44">
        <v>0</v>
      </c>
      <c r="P8" s="44">
        <v>0</v>
      </c>
      <c r="Q8" s="44">
        <v>0</v>
      </c>
      <c r="R8" s="44">
        <v>512.27370909090905</v>
      </c>
    </row>
    <row r="9" spans="1:20">
      <c r="A9" t="s">
        <v>361</v>
      </c>
      <c r="B9" s="25">
        <v>123849</v>
      </c>
      <c r="C9" s="25">
        <v>124035</v>
      </c>
      <c r="D9" s="25">
        <v>114269</v>
      </c>
      <c r="E9" s="25">
        <v>362153</v>
      </c>
      <c r="F9" s="25">
        <v>126229</v>
      </c>
      <c r="G9" s="25">
        <v>120274</v>
      </c>
      <c r="H9" s="25">
        <v>120243</v>
      </c>
      <c r="I9" s="25">
        <v>366746</v>
      </c>
      <c r="J9" s="25">
        <v>116755</v>
      </c>
      <c r="K9" s="25">
        <v>123160</v>
      </c>
      <c r="L9" s="25">
        <v>128766</v>
      </c>
      <c r="M9" s="25">
        <v>368681</v>
      </c>
      <c r="N9" s="25">
        <v>0</v>
      </c>
      <c r="O9" s="25">
        <v>0</v>
      </c>
      <c r="P9" s="25">
        <v>0</v>
      </c>
      <c r="Q9" s="25">
        <v>0</v>
      </c>
      <c r="R9" s="25">
        <v>1097580</v>
      </c>
      <c r="S9">
        <v>149081</v>
      </c>
      <c r="T9">
        <v>1668079</v>
      </c>
    </row>
    <row r="10" spans="1:20">
      <c r="A10" t="s">
        <v>362</v>
      </c>
      <c r="B10" s="25">
        <v>169847</v>
      </c>
      <c r="C10" s="25">
        <v>177465</v>
      </c>
      <c r="D10" s="25">
        <v>116003</v>
      </c>
      <c r="E10" s="25">
        <v>463315</v>
      </c>
      <c r="F10" s="25">
        <v>176068</v>
      </c>
      <c r="G10" s="25">
        <v>173135</v>
      </c>
      <c r="H10" s="25">
        <v>168135</v>
      </c>
      <c r="I10" s="25">
        <v>517338</v>
      </c>
      <c r="J10" s="25">
        <v>170057</v>
      </c>
      <c r="K10" s="25">
        <v>171845</v>
      </c>
      <c r="L10" s="25">
        <v>178428</v>
      </c>
      <c r="M10" s="25">
        <v>520330</v>
      </c>
      <c r="N10" s="25">
        <v>0</v>
      </c>
      <c r="O10" s="25">
        <v>0</v>
      </c>
      <c r="P10" s="25">
        <v>0</v>
      </c>
      <c r="Q10" s="25">
        <v>0</v>
      </c>
      <c r="R10" s="25">
        <v>1500983</v>
      </c>
      <c r="S10">
        <v>305833</v>
      </c>
      <c r="T10">
        <v>3312496</v>
      </c>
    </row>
    <row r="11" spans="1:20">
      <c r="A11" t="s">
        <v>363</v>
      </c>
      <c r="B11" s="25">
        <v>312188</v>
      </c>
      <c r="C11" s="25">
        <v>311230</v>
      </c>
      <c r="D11" s="25">
        <v>299705</v>
      </c>
      <c r="E11" s="25">
        <v>923123</v>
      </c>
      <c r="F11" s="25">
        <v>322619</v>
      </c>
      <c r="G11" s="25">
        <v>310671</v>
      </c>
      <c r="H11" s="25">
        <v>250181</v>
      </c>
      <c r="I11" s="25">
        <v>883471</v>
      </c>
      <c r="J11" s="25">
        <v>316833</v>
      </c>
      <c r="K11" s="25">
        <v>315029</v>
      </c>
      <c r="L11" s="25">
        <v>294625</v>
      </c>
      <c r="M11" s="25">
        <v>926487</v>
      </c>
      <c r="N11" s="25">
        <v>0</v>
      </c>
      <c r="O11" s="25">
        <v>0</v>
      </c>
      <c r="P11" s="25">
        <v>0</v>
      </c>
      <c r="Q11" s="25">
        <v>0</v>
      </c>
      <c r="R11" s="25">
        <v>2733081</v>
      </c>
      <c r="S11">
        <v>479568</v>
      </c>
      <c r="T11">
        <v>5305769</v>
      </c>
    </row>
    <row r="12" spans="1:20">
      <c r="A12" t="s">
        <v>364</v>
      </c>
      <c r="B12" s="25">
        <v>605884</v>
      </c>
      <c r="C12" s="25">
        <v>612730</v>
      </c>
      <c r="D12" s="25">
        <v>529977</v>
      </c>
      <c r="E12" s="25">
        <v>1748591</v>
      </c>
      <c r="F12" s="25">
        <v>624916</v>
      </c>
      <c r="G12" s="25">
        <v>604080</v>
      </c>
      <c r="H12" s="25">
        <v>538559</v>
      </c>
      <c r="I12" s="25">
        <v>1767555</v>
      </c>
      <c r="J12" s="25">
        <v>603645</v>
      </c>
      <c r="K12" s="25">
        <v>610034</v>
      </c>
      <c r="L12" s="25">
        <v>601819</v>
      </c>
      <c r="M12" s="25">
        <v>1815498</v>
      </c>
      <c r="N12" s="25">
        <v>0</v>
      </c>
      <c r="O12" s="25">
        <v>0</v>
      </c>
      <c r="P12" s="25">
        <v>0</v>
      </c>
      <c r="Q12" s="25">
        <v>0</v>
      </c>
      <c r="R12" s="25">
        <v>5331644</v>
      </c>
      <c r="S12">
        <v>304316</v>
      </c>
      <c r="T12">
        <v>3319398</v>
      </c>
    </row>
    <row r="13" spans="1:20">
      <c r="A13" t="s">
        <v>365</v>
      </c>
      <c r="B13" s="25">
        <v>373484</v>
      </c>
      <c r="C13" s="25">
        <v>394121</v>
      </c>
      <c r="D13" s="25">
        <v>345203</v>
      </c>
      <c r="E13" s="25">
        <v>1112808</v>
      </c>
      <c r="F13" s="25">
        <v>391071</v>
      </c>
      <c r="G13" s="25">
        <v>375837</v>
      </c>
      <c r="H13" s="25">
        <v>332466</v>
      </c>
      <c r="I13" s="25">
        <v>1099374</v>
      </c>
      <c r="J13" s="25">
        <v>387080</v>
      </c>
      <c r="K13" s="25">
        <v>360199</v>
      </c>
      <c r="L13" s="25">
        <v>357347</v>
      </c>
      <c r="M13" s="25">
        <v>1104626</v>
      </c>
      <c r="N13" s="25">
        <v>0</v>
      </c>
      <c r="O13" s="25">
        <v>0</v>
      </c>
      <c r="P13" s="25">
        <v>0</v>
      </c>
      <c r="Q13" s="25">
        <v>0</v>
      </c>
      <c r="R13" s="25">
        <v>3316808</v>
      </c>
      <c r="S13">
        <v>6024</v>
      </c>
      <c r="T13">
        <v>41352</v>
      </c>
    </row>
    <row r="14" spans="1:20">
      <c r="A14" t="s">
        <v>366</v>
      </c>
      <c r="B14" s="25">
        <v>242160</v>
      </c>
      <c r="C14" s="25">
        <v>247969</v>
      </c>
      <c r="D14" s="25">
        <v>224339</v>
      </c>
      <c r="E14" s="25">
        <v>714468</v>
      </c>
      <c r="F14" s="25">
        <v>252629</v>
      </c>
      <c r="G14" s="25">
        <v>235339</v>
      </c>
      <c r="H14" s="25">
        <v>214848</v>
      </c>
      <c r="I14" s="25">
        <v>702816</v>
      </c>
      <c r="J14" s="25">
        <v>249793</v>
      </c>
      <c r="K14" s="25">
        <v>234635</v>
      </c>
      <c r="L14" s="25">
        <v>219675</v>
      </c>
      <c r="M14" s="25">
        <v>704103</v>
      </c>
      <c r="N14" s="25">
        <v>0</v>
      </c>
      <c r="O14" s="25">
        <v>0</v>
      </c>
      <c r="P14" s="25">
        <v>0</v>
      </c>
      <c r="Q14" s="25">
        <v>0</v>
      </c>
      <c r="R14" s="25">
        <v>2121387</v>
      </c>
    </row>
    <row r="15" spans="1:20">
      <c r="A15" t="s">
        <v>367</v>
      </c>
      <c r="B15" s="25">
        <v>13627</v>
      </c>
      <c r="C15" s="25">
        <v>16054</v>
      </c>
      <c r="D15" s="25">
        <v>21609</v>
      </c>
      <c r="E15" s="25">
        <v>51290</v>
      </c>
      <c r="F15" s="25">
        <v>7736</v>
      </c>
      <c r="G15" s="25">
        <v>5111</v>
      </c>
      <c r="H15" s="25">
        <v>13760</v>
      </c>
      <c r="I15" s="25">
        <v>26607</v>
      </c>
      <c r="J15" s="25">
        <v>4530</v>
      </c>
      <c r="K15" s="25">
        <v>3778</v>
      </c>
      <c r="L15" s="25">
        <v>2720</v>
      </c>
      <c r="M15" s="25">
        <v>11028</v>
      </c>
      <c r="N15" s="25">
        <v>0</v>
      </c>
      <c r="O15" s="25">
        <v>0</v>
      </c>
      <c r="P15" s="25">
        <v>0</v>
      </c>
      <c r="Q15" s="25">
        <v>0</v>
      </c>
      <c r="R15" s="25">
        <v>88925</v>
      </c>
    </row>
    <row r="16" spans="1:20">
      <c r="A16" t="s">
        <v>368</v>
      </c>
      <c r="B16" s="25">
        <v>70</v>
      </c>
      <c r="C16" s="25">
        <v>70</v>
      </c>
      <c r="D16" s="25">
        <v>69</v>
      </c>
      <c r="E16" s="25">
        <v>209</v>
      </c>
      <c r="F16" s="25">
        <v>71</v>
      </c>
      <c r="G16" s="25">
        <v>70</v>
      </c>
      <c r="H16" s="25">
        <v>69</v>
      </c>
      <c r="I16" s="25">
        <v>210</v>
      </c>
      <c r="J16" s="25">
        <v>70</v>
      </c>
      <c r="K16" s="25">
        <v>70</v>
      </c>
      <c r="L16" s="25">
        <v>70</v>
      </c>
      <c r="M16" s="25">
        <v>210</v>
      </c>
      <c r="N16" s="25">
        <v>0</v>
      </c>
      <c r="O16" s="25">
        <v>0</v>
      </c>
      <c r="P16" s="25">
        <v>0</v>
      </c>
      <c r="Q16" s="25">
        <v>0</v>
      </c>
      <c r="R16" s="25">
        <v>629</v>
      </c>
      <c r="S16">
        <v>35983</v>
      </c>
      <c r="T16">
        <v>343263</v>
      </c>
    </row>
    <row r="17" spans="1:20">
      <c r="A17" t="s">
        <v>369</v>
      </c>
      <c r="B17" s="25">
        <v>43943</v>
      </c>
      <c r="C17" s="25">
        <v>37169</v>
      </c>
      <c r="D17" s="25">
        <v>41533</v>
      </c>
      <c r="E17" s="25">
        <v>122645</v>
      </c>
      <c r="F17" s="25">
        <v>47416</v>
      </c>
      <c r="G17" s="25">
        <v>41993</v>
      </c>
      <c r="H17" s="25">
        <v>44373</v>
      </c>
      <c r="I17" s="25">
        <v>133782</v>
      </c>
      <c r="J17" s="25">
        <v>43952</v>
      </c>
      <c r="K17" s="25">
        <v>35541</v>
      </c>
      <c r="L17" s="25">
        <v>36373</v>
      </c>
      <c r="M17" s="25">
        <v>115866</v>
      </c>
      <c r="N17" s="25">
        <v>0</v>
      </c>
      <c r="O17" s="25">
        <v>0</v>
      </c>
      <c r="P17" s="25">
        <v>0</v>
      </c>
      <c r="Q17" s="25">
        <v>0</v>
      </c>
      <c r="R17" s="25">
        <v>372293</v>
      </c>
      <c r="S17">
        <v>35983</v>
      </c>
      <c r="T17">
        <v>343598</v>
      </c>
    </row>
    <row r="18" spans="1:20">
      <c r="A18" t="s">
        <v>370</v>
      </c>
      <c r="B18" s="25">
        <v>44013</v>
      </c>
      <c r="C18" s="25">
        <v>37239</v>
      </c>
      <c r="D18" s="25">
        <v>41602</v>
      </c>
      <c r="E18" s="25">
        <v>122854</v>
      </c>
      <c r="F18" s="25">
        <v>47487</v>
      </c>
      <c r="G18" s="25">
        <v>42063</v>
      </c>
      <c r="H18" s="25">
        <v>44442</v>
      </c>
      <c r="I18" s="25">
        <v>133992</v>
      </c>
      <c r="J18" s="25">
        <v>44022</v>
      </c>
      <c r="K18" s="25">
        <v>35611</v>
      </c>
      <c r="L18" s="25">
        <v>36443</v>
      </c>
      <c r="M18" s="25">
        <v>116076</v>
      </c>
      <c r="N18" s="25">
        <v>0</v>
      </c>
      <c r="O18" s="25">
        <v>0</v>
      </c>
      <c r="P18" s="25">
        <v>0</v>
      </c>
      <c r="Q18" s="25">
        <v>0</v>
      </c>
      <c r="R18" s="25">
        <v>372922</v>
      </c>
      <c r="S18">
        <v>166276</v>
      </c>
      <c r="T18">
        <v>1767030</v>
      </c>
    </row>
    <row r="19" spans="1:20">
      <c r="A19" t="s">
        <v>371</v>
      </c>
      <c r="B19" s="25">
        <v>169288</v>
      </c>
      <c r="C19" s="25">
        <v>183811</v>
      </c>
      <c r="D19" s="25">
        <v>143485</v>
      </c>
      <c r="E19" s="25">
        <v>496584</v>
      </c>
      <c r="F19" s="25">
        <v>184385</v>
      </c>
      <c r="G19" s="25">
        <v>165534</v>
      </c>
      <c r="H19" s="25">
        <v>123562</v>
      </c>
      <c r="I19" s="25">
        <v>473481</v>
      </c>
      <c r="J19" s="25">
        <v>177704</v>
      </c>
      <c r="K19" s="25">
        <v>178200</v>
      </c>
      <c r="L19" s="25">
        <v>170044</v>
      </c>
      <c r="M19" s="25">
        <v>525948</v>
      </c>
      <c r="N19" s="25">
        <v>0</v>
      </c>
      <c r="O19" s="25">
        <v>0</v>
      </c>
      <c r="P19" s="25">
        <v>0</v>
      </c>
      <c r="Q19" s="25">
        <v>0</v>
      </c>
      <c r="R19" s="25">
        <v>1496013</v>
      </c>
      <c r="S19">
        <v>95673</v>
      </c>
      <c r="T19">
        <v>1108284</v>
      </c>
    </row>
    <row r="20" spans="1:20">
      <c r="A20" t="s">
        <v>372</v>
      </c>
      <c r="B20" s="25">
        <v>129120</v>
      </c>
      <c r="C20" s="25">
        <v>128862</v>
      </c>
      <c r="D20" s="25">
        <v>125540</v>
      </c>
      <c r="E20" s="25">
        <v>383522</v>
      </c>
      <c r="F20" s="25">
        <v>138651</v>
      </c>
      <c r="G20" s="25">
        <v>148382</v>
      </c>
      <c r="H20" s="25">
        <v>136153</v>
      </c>
      <c r="I20" s="25">
        <v>423186</v>
      </c>
      <c r="J20" s="25">
        <v>141434</v>
      </c>
      <c r="K20" s="25">
        <v>131641</v>
      </c>
      <c r="L20" s="25">
        <v>133526</v>
      </c>
      <c r="M20" s="25">
        <v>406601</v>
      </c>
      <c r="N20" s="25">
        <v>0</v>
      </c>
      <c r="O20" s="25">
        <v>0</v>
      </c>
      <c r="P20" s="25">
        <v>0</v>
      </c>
      <c r="Q20" s="25">
        <v>0</v>
      </c>
      <c r="R20" s="25">
        <v>1213309</v>
      </c>
      <c r="S20">
        <v>261949</v>
      </c>
      <c r="T20">
        <v>2875314</v>
      </c>
    </row>
    <row r="21" spans="1:20">
      <c r="A21" t="s">
        <v>373</v>
      </c>
      <c r="B21" s="25">
        <v>298408</v>
      </c>
      <c r="C21" s="25">
        <v>312673</v>
      </c>
      <c r="D21" s="25">
        <v>269025</v>
      </c>
      <c r="E21" s="25">
        <v>880106</v>
      </c>
      <c r="F21" s="25">
        <v>323036</v>
      </c>
      <c r="G21" s="25">
        <v>313916</v>
      </c>
      <c r="H21" s="25">
        <v>259715</v>
      </c>
      <c r="I21" s="25">
        <v>896667</v>
      </c>
      <c r="J21" s="25">
        <v>319138</v>
      </c>
      <c r="K21" s="25">
        <v>309841</v>
      </c>
      <c r="L21" s="25">
        <v>303570</v>
      </c>
      <c r="M21" s="25">
        <v>932549</v>
      </c>
      <c r="N21" s="25">
        <v>0</v>
      </c>
      <c r="O21" s="25">
        <v>0</v>
      </c>
      <c r="P21" s="25">
        <v>0</v>
      </c>
      <c r="Q21" s="25">
        <v>0</v>
      </c>
      <c r="R21" s="25">
        <v>2709322</v>
      </c>
      <c r="S21">
        <v>297932</v>
      </c>
      <c r="T21">
        <v>3218912</v>
      </c>
    </row>
    <row r="22" spans="1:20">
      <c r="A22" t="s">
        <v>374</v>
      </c>
      <c r="B22" s="25">
        <v>342421</v>
      </c>
      <c r="C22" s="25">
        <v>349912</v>
      </c>
      <c r="D22" s="25">
        <v>310627</v>
      </c>
      <c r="E22" s="25">
        <v>1002960</v>
      </c>
      <c r="F22" s="25">
        <v>370523</v>
      </c>
      <c r="G22" s="25">
        <v>355979</v>
      </c>
      <c r="H22" s="25">
        <v>304157</v>
      </c>
      <c r="I22" s="25">
        <v>1030659</v>
      </c>
      <c r="J22" s="25">
        <v>363160</v>
      </c>
      <c r="K22" s="25">
        <v>345452</v>
      </c>
      <c r="L22" s="25">
        <v>340013</v>
      </c>
      <c r="M22" s="25">
        <v>1048625</v>
      </c>
      <c r="N22" s="25">
        <v>0</v>
      </c>
      <c r="O22" s="25">
        <v>0</v>
      </c>
      <c r="P22" s="25">
        <v>0</v>
      </c>
      <c r="Q22" s="25">
        <v>0</v>
      </c>
      <c r="R22" s="25">
        <v>3082244</v>
      </c>
      <c r="S22">
        <v>297932</v>
      </c>
      <c r="T22">
        <v>3218577</v>
      </c>
    </row>
    <row r="23" spans="1:20">
      <c r="A23" t="s">
        <v>375</v>
      </c>
      <c r="B23" s="25">
        <v>342351</v>
      </c>
      <c r="C23" s="25">
        <v>349842</v>
      </c>
      <c r="D23" s="25">
        <v>310558</v>
      </c>
      <c r="E23" s="25">
        <v>1002751</v>
      </c>
      <c r="F23" s="25">
        <v>370452</v>
      </c>
      <c r="G23" s="25">
        <v>355909</v>
      </c>
      <c r="H23" s="25">
        <v>304088</v>
      </c>
      <c r="I23" s="25">
        <v>1030449</v>
      </c>
      <c r="J23" s="25">
        <v>363090</v>
      </c>
      <c r="K23" s="25">
        <v>345382</v>
      </c>
      <c r="L23" s="25">
        <v>339943</v>
      </c>
      <c r="M23" s="25">
        <v>1048415</v>
      </c>
      <c r="N23" s="25">
        <v>0</v>
      </c>
      <c r="O23" s="25">
        <v>0</v>
      </c>
      <c r="P23" s="25">
        <v>0</v>
      </c>
      <c r="Q23" s="25">
        <v>0</v>
      </c>
      <c r="R23" s="25">
        <v>3081615</v>
      </c>
      <c r="S23">
        <v>167177</v>
      </c>
      <c r="T23">
        <v>1682083</v>
      </c>
    </row>
    <row r="24" spans="1:20">
      <c r="A24" t="s">
        <v>376</v>
      </c>
      <c r="B24" s="25">
        <v>212709</v>
      </c>
      <c r="C24" s="25">
        <v>202370</v>
      </c>
      <c r="D24" s="25">
        <v>209961</v>
      </c>
      <c r="E24" s="25">
        <v>625040</v>
      </c>
      <c r="F24" s="25">
        <v>275091</v>
      </c>
      <c r="G24" s="25">
        <v>250618</v>
      </c>
      <c r="H24" s="25">
        <v>218057</v>
      </c>
      <c r="I24" s="25">
        <v>743766</v>
      </c>
      <c r="J24" s="25">
        <v>238414</v>
      </c>
      <c r="K24" s="25">
        <v>192378</v>
      </c>
      <c r="L24" s="25">
        <v>211935</v>
      </c>
      <c r="M24" s="25">
        <v>642727</v>
      </c>
      <c r="N24" s="25">
        <v>0</v>
      </c>
      <c r="O24" s="25">
        <v>0</v>
      </c>
      <c r="P24" s="25">
        <v>0</v>
      </c>
      <c r="Q24" s="25">
        <v>0</v>
      </c>
      <c r="R24" s="25">
        <v>2011533</v>
      </c>
      <c r="S24">
        <v>40467</v>
      </c>
      <c r="T24">
        <v>429866</v>
      </c>
    </row>
    <row r="25" spans="1:20">
      <c r="A25" t="s">
        <v>377</v>
      </c>
      <c r="B25" s="25">
        <v>608</v>
      </c>
      <c r="C25" s="25">
        <v>3077</v>
      </c>
      <c r="D25" s="25">
        <v>3776</v>
      </c>
      <c r="F25" s="25">
        <v>3507</v>
      </c>
      <c r="G25" s="25">
        <v>4004</v>
      </c>
      <c r="H25" s="25">
        <v>5263</v>
      </c>
      <c r="J25" s="25">
        <v>4726</v>
      </c>
      <c r="K25" s="25">
        <v>7352</v>
      </c>
      <c r="L25" s="25">
        <v>11220</v>
      </c>
      <c r="O25" s="25">
        <v>0</v>
      </c>
      <c r="R25" s="25">
        <v>43533</v>
      </c>
      <c r="S25">
        <v>87066</v>
      </c>
    </row>
    <row r="26" spans="1:20">
      <c r="A26" t="s">
        <v>378</v>
      </c>
      <c r="B26" s="25">
        <v>44799</v>
      </c>
      <c r="C26" s="25">
        <v>50532</v>
      </c>
      <c r="D26" s="25">
        <v>38201</v>
      </c>
      <c r="E26" s="25">
        <v>133532</v>
      </c>
      <c r="F26" s="25">
        <v>43694</v>
      </c>
      <c r="G26" s="25">
        <v>34903</v>
      </c>
      <c r="H26" s="25">
        <v>28024</v>
      </c>
      <c r="I26" s="25">
        <v>106621</v>
      </c>
      <c r="J26" s="25">
        <v>47274</v>
      </c>
      <c r="K26" s="25">
        <v>40622</v>
      </c>
      <c r="L26" s="25">
        <v>38408</v>
      </c>
      <c r="M26" s="25">
        <v>126304</v>
      </c>
      <c r="N26" s="25">
        <v>0</v>
      </c>
      <c r="O26" s="25">
        <v>0</v>
      </c>
      <c r="P26" s="25">
        <v>0</v>
      </c>
      <c r="Q26" s="25">
        <v>0</v>
      </c>
      <c r="R26" s="25">
        <v>366457</v>
      </c>
      <c r="S26">
        <v>77244</v>
      </c>
      <c r="T26">
        <v>801999</v>
      </c>
    </row>
    <row r="27" spans="1:20">
      <c r="A27" t="s">
        <v>379</v>
      </c>
      <c r="B27" s="25">
        <v>48311</v>
      </c>
      <c r="C27" s="25">
        <v>84127</v>
      </c>
      <c r="D27" s="25">
        <v>75214</v>
      </c>
      <c r="E27" s="25">
        <v>207652</v>
      </c>
      <c r="F27" s="25">
        <v>90200</v>
      </c>
      <c r="G27" s="25">
        <v>84129</v>
      </c>
      <c r="H27" s="25">
        <v>83217</v>
      </c>
      <c r="I27" s="25">
        <v>257546</v>
      </c>
      <c r="J27" s="25">
        <v>66641</v>
      </c>
      <c r="K27" s="25">
        <v>72068</v>
      </c>
      <c r="L27" s="25">
        <v>72645</v>
      </c>
      <c r="M27" s="25">
        <v>211354</v>
      </c>
      <c r="N27" s="25">
        <v>0</v>
      </c>
      <c r="O27" s="25">
        <v>0</v>
      </c>
      <c r="P27" s="25">
        <v>0</v>
      </c>
      <c r="Q27" s="25">
        <v>0</v>
      </c>
      <c r="R27" s="25">
        <v>676552</v>
      </c>
    </row>
    <row r="28" spans="1:20">
      <c r="A28" t="s">
        <v>380</v>
      </c>
      <c r="B28" s="25">
        <v>165566</v>
      </c>
      <c r="C28" s="25">
        <v>165731</v>
      </c>
      <c r="D28" s="25">
        <v>179560</v>
      </c>
      <c r="E28" s="25">
        <v>510857</v>
      </c>
      <c r="F28" s="25">
        <v>243858</v>
      </c>
      <c r="G28" s="25">
        <v>220404</v>
      </c>
      <c r="H28" s="25">
        <v>192538</v>
      </c>
      <c r="I28" s="25">
        <v>656800</v>
      </c>
      <c r="J28" s="25">
        <v>214254</v>
      </c>
      <c r="K28" s="25">
        <v>165103</v>
      </c>
      <c r="L28" s="25">
        <v>174878</v>
      </c>
      <c r="M28" s="25">
        <v>554235</v>
      </c>
      <c r="N28" s="25">
        <v>0</v>
      </c>
      <c r="O28" s="25">
        <v>0</v>
      </c>
      <c r="P28" s="25">
        <v>0</v>
      </c>
      <c r="Q28" s="25">
        <v>0</v>
      </c>
      <c r="R28" s="25">
        <v>1721892</v>
      </c>
      <c r="S28">
        <v>25228</v>
      </c>
      <c r="T28">
        <v>301096</v>
      </c>
    </row>
    <row r="29" spans="1:20">
      <c r="A29" t="s">
        <v>381</v>
      </c>
      <c r="B29" s="25">
        <v>23830</v>
      </c>
      <c r="C29" s="25">
        <v>22998</v>
      </c>
      <c r="D29" s="25">
        <v>16478</v>
      </c>
      <c r="E29" s="25">
        <v>63306</v>
      </c>
      <c r="F29" s="25">
        <v>14142</v>
      </c>
      <c r="G29" s="25">
        <v>12532</v>
      </c>
      <c r="H29" s="25">
        <v>8766</v>
      </c>
      <c r="I29" s="25">
        <v>35440</v>
      </c>
      <c r="J29" s="25">
        <v>407</v>
      </c>
      <c r="K29" s="25">
        <v>6739</v>
      </c>
      <c r="L29" s="25">
        <v>9210</v>
      </c>
      <c r="M29" s="25">
        <v>16356</v>
      </c>
      <c r="N29" s="25">
        <v>0</v>
      </c>
      <c r="O29" s="25">
        <v>0</v>
      </c>
      <c r="P29" s="25">
        <v>0</v>
      </c>
      <c r="Q29" s="25">
        <v>0</v>
      </c>
      <c r="R29" s="25">
        <v>115102</v>
      </c>
      <c r="S29">
        <v>5419</v>
      </c>
      <c r="T29">
        <v>39824</v>
      </c>
    </row>
    <row r="30" spans="1:20">
      <c r="A30" t="s">
        <v>382</v>
      </c>
      <c r="B30" s="25">
        <v>2810</v>
      </c>
      <c r="C30" s="25">
        <v>3409</v>
      </c>
      <c r="D30" s="25">
        <v>1140</v>
      </c>
      <c r="E30" s="25">
        <v>7359</v>
      </c>
      <c r="F30" s="25">
        <v>2191</v>
      </c>
      <c r="G30" s="25">
        <v>3049</v>
      </c>
      <c r="H30" s="25">
        <v>3006</v>
      </c>
      <c r="I30" s="25">
        <v>8246</v>
      </c>
      <c r="J30" s="25">
        <v>4207</v>
      </c>
      <c r="K30" s="25">
        <v>2878</v>
      </c>
      <c r="L30" s="25">
        <v>2558</v>
      </c>
      <c r="M30" s="25">
        <v>9643</v>
      </c>
      <c r="N30" s="25">
        <v>0</v>
      </c>
      <c r="O30" s="25">
        <v>0</v>
      </c>
      <c r="P30" s="25">
        <v>0</v>
      </c>
      <c r="Q30" s="25">
        <v>0</v>
      </c>
      <c r="R30" s="25">
        <v>25248</v>
      </c>
      <c r="S30">
        <v>2495</v>
      </c>
      <c r="T30">
        <v>27282</v>
      </c>
    </row>
    <row r="31" spans="1:20">
      <c r="A31" t="s">
        <v>383</v>
      </c>
      <c r="B31" s="25">
        <v>1507</v>
      </c>
      <c r="C31" s="25">
        <v>2084</v>
      </c>
      <c r="D31" s="25">
        <v>2135</v>
      </c>
      <c r="E31" s="25">
        <v>5726</v>
      </c>
      <c r="F31" s="25">
        <v>2035</v>
      </c>
      <c r="G31" s="25">
        <v>2568</v>
      </c>
      <c r="H31" s="25">
        <v>3015</v>
      </c>
      <c r="I31" s="25">
        <v>7618</v>
      </c>
      <c r="J31" s="25">
        <v>3003</v>
      </c>
      <c r="K31" s="25">
        <v>2821</v>
      </c>
      <c r="L31" s="25">
        <v>2041</v>
      </c>
      <c r="M31" s="25">
        <v>7865</v>
      </c>
      <c r="N31" s="25">
        <v>0</v>
      </c>
      <c r="O31" s="25">
        <v>0</v>
      </c>
      <c r="P31" s="25">
        <v>0</v>
      </c>
      <c r="Q31" s="25">
        <v>0</v>
      </c>
      <c r="R31" s="25">
        <v>21209</v>
      </c>
      <c r="S31">
        <v>0</v>
      </c>
      <c r="T31">
        <v>20365</v>
      </c>
    </row>
    <row r="32" spans="1:20">
      <c r="A32" t="s">
        <v>384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>
        <v>14547</v>
      </c>
      <c r="T32">
        <v>149777</v>
      </c>
    </row>
    <row r="33" spans="1:20">
      <c r="A33" t="s">
        <v>385</v>
      </c>
      <c r="B33" s="25">
        <v>8175</v>
      </c>
      <c r="C33" s="25">
        <v>9005</v>
      </c>
      <c r="D33" s="25">
        <v>3881</v>
      </c>
      <c r="E33" s="25">
        <v>21061</v>
      </c>
      <c r="F33" s="25">
        <v>3144</v>
      </c>
      <c r="G33" s="25">
        <v>0</v>
      </c>
      <c r="H33" s="25">
        <v>1996</v>
      </c>
      <c r="I33" s="25">
        <v>5140</v>
      </c>
      <c r="J33" s="25">
        <v>5895</v>
      </c>
      <c r="K33" s="25">
        <v>4823</v>
      </c>
      <c r="L33" s="25">
        <v>5094</v>
      </c>
      <c r="M33" s="25">
        <v>15812</v>
      </c>
      <c r="N33" s="25">
        <v>0</v>
      </c>
      <c r="O33" s="25">
        <v>0</v>
      </c>
      <c r="P33" s="25">
        <v>0</v>
      </c>
      <c r="Q33" s="25">
        <v>0</v>
      </c>
      <c r="R33" s="25">
        <v>42013</v>
      </c>
      <c r="S33">
        <v>0</v>
      </c>
      <c r="T33">
        <v>0</v>
      </c>
    </row>
    <row r="34" spans="1:20">
      <c r="A34" t="s">
        <v>386</v>
      </c>
      <c r="B34" s="25">
        <v>0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>
        <v>5142</v>
      </c>
      <c r="T34">
        <v>41954</v>
      </c>
    </row>
    <row r="35" spans="1:20">
      <c r="A35" t="s">
        <v>387</v>
      </c>
      <c r="B35" s="25">
        <v>5010</v>
      </c>
      <c r="C35" s="25">
        <v>5505</v>
      </c>
      <c r="D35" s="25">
        <v>5505</v>
      </c>
      <c r="E35" s="25">
        <v>16020</v>
      </c>
      <c r="F35" s="25">
        <v>6005</v>
      </c>
      <c r="G35" s="25">
        <v>5010</v>
      </c>
      <c r="H35" s="25">
        <v>4002</v>
      </c>
      <c r="I35" s="25">
        <v>15017</v>
      </c>
      <c r="J35" s="25">
        <v>5250</v>
      </c>
      <c r="K35" s="25">
        <v>5034</v>
      </c>
      <c r="L35" s="25">
        <v>3210</v>
      </c>
      <c r="M35" s="25">
        <v>13494</v>
      </c>
      <c r="N35" s="25">
        <v>0</v>
      </c>
      <c r="O35" s="25">
        <v>0</v>
      </c>
      <c r="P35" s="25">
        <v>0</v>
      </c>
      <c r="Q35" s="25">
        <v>0</v>
      </c>
      <c r="R35" s="25">
        <v>44531</v>
      </c>
      <c r="S35">
        <v>339</v>
      </c>
      <c r="T35">
        <v>64244</v>
      </c>
    </row>
    <row r="36" spans="1:20">
      <c r="A36" t="s">
        <v>388</v>
      </c>
      <c r="B36" s="25">
        <v>0</v>
      </c>
      <c r="C36" s="25">
        <v>0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5">
        <v>61</v>
      </c>
      <c r="M36" s="25">
        <v>61</v>
      </c>
      <c r="N36" s="25">
        <v>0</v>
      </c>
      <c r="O36" s="25">
        <v>0</v>
      </c>
      <c r="P36" s="25">
        <v>0</v>
      </c>
      <c r="Q36" s="25">
        <v>0</v>
      </c>
      <c r="R36" s="25">
        <v>61</v>
      </c>
      <c r="S36" t="e">
        <v>#REF!</v>
      </c>
      <c r="T36">
        <v>0</v>
      </c>
    </row>
    <row r="37" spans="1:20">
      <c r="A37" t="s">
        <v>389</v>
      </c>
      <c r="B37" s="25">
        <v>0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</row>
    <row r="38" spans="1:20">
      <c r="A38" t="s">
        <v>390</v>
      </c>
      <c r="B38" s="25" t="s">
        <v>391</v>
      </c>
      <c r="C38" s="25">
        <v>0</v>
      </c>
      <c r="D38" s="25">
        <v>0</v>
      </c>
      <c r="E38" s="25" t="e">
        <v>#VALUE!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 t="e">
        <v>#VALUE!</v>
      </c>
    </row>
    <row r="39" spans="1:20">
      <c r="A39" t="s">
        <v>392</v>
      </c>
      <c r="B39" s="25">
        <v>300616</v>
      </c>
      <c r="C39" s="25">
        <v>346468</v>
      </c>
      <c r="D39" s="25">
        <v>325890</v>
      </c>
      <c r="E39" s="25">
        <v>972974</v>
      </c>
      <c r="F39" s="25">
        <v>408776</v>
      </c>
      <c r="G39" s="25">
        <v>366599</v>
      </c>
      <c r="H39" s="25">
        <v>329827</v>
      </c>
      <c r="I39" s="25">
        <v>1105202</v>
      </c>
      <c r="J39" s="25">
        <v>351657</v>
      </c>
      <c r="K39" s="25">
        <v>307440</v>
      </c>
      <c r="L39" s="25">
        <v>319325</v>
      </c>
      <c r="M39" s="25">
        <v>978422</v>
      </c>
      <c r="N39" s="25">
        <v>0</v>
      </c>
      <c r="O39" s="25">
        <v>0</v>
      </c>
      <c r="P39" s="25">
        <v>0</v>
      </c>
      <c r="Q39" s="25">
        <v>0</v>
      </c>
      <c r="R39" s="25">
        <v>3056598</v>
      </c>
      <c r="S39">
        <v>282206</v>
      </c>
      <c r="T39">
        <v>2947491</v>
      </c>
    </row>
    <row r="40" spans="1:20">
      <c r="A40" t="s">
        <v>393</v>
      </c>
      <c r="B40" s="25">
        <v>0</v>
      </c>
      <c r="C40" s="25">
        <v>774</v>
      </c>
      <c r="D40" s="25">
        <v>11218</v>
      </c>
      <c r="E40" s="25">
        <v>11992</v>
      </c>
      <c r="F40" s="25">
        <v>9978</v>
      </c>
      <c r="G40" s="25">
        <v>0</v>
      </c>
      <c r="H40" s="25">
        <v>0</v>
      </c>
      <c r="I40" s="25">
        <v>9978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  <c r="O40" s="25">
        <v>0</v>
      </c>
      <c r="P40" s="25">
        <v>0</v>
      </c>
      <c r="Q40" s="25">
        <v>0</v>
      </c>
      <c r="R40" s="25">
        <v>21970</v>
      </c>
      <c r="S40">
        <v>0</v>
      </c>
      <c r="T40">
        <v>0</v>
      </c>
    </row>
    <row r="41" spans="1:20">
      <c r="A41" t="s">
        <v>394</v>
      </c>
      <c r="B41" s="25">
        <v>130206</v>
      </c>
      <c r="C41" s="25">
        <v>172135</v>
      </c>
      <c r="D41" s="25">
        <v>138978</v>
      </c>
      <c r="E41" s="25">
        <v>441319</v>
      </c>
      <c r="F41" s="25">
        <v>167433</v>
      </c>
      <c r="G41" s="25">
        <v>142357</v>
      </c>
      <c r="H41" s="25">
        <v>149932</v>
      </c>
      <c r="I41" s="25">
        <v>459722</v>
      </c>
      <c r="J41" s="25">
        <v>147134</v>
      </c>
      <c r="K41" s="25">
        <v>123289</v>
      </c>
      <c r="L41" s="25">
        <v>164446</v>
      </c>
      <c r="M41" s="25">
        <v>434869</v>
      </c>
      <c r="N41" s="25">
        <v>0</v>
      </c>
      <c r="O41" s="25">
        <v>0</v>
      </c>
      <c r="P41" s="25">
        <v>0</v>
      </c>
      <c r="Q41" s="25">
        <v>0</v>
      </c>
      <c r="R41" s="25">
        <v>1335910</v>
      </c>
      <c r="S41">
        <v>142228</v>
      </c>
      <c r="T41">
        <v>1086181</v>
      </c>
    </row>
    <row r="42" spans="1:20">
      <c r="A42" t="s">
        <v>395</v>
      </c>
      <c r="B42" s="25">
        <v>130206</v>
      </c>
      <c r="C42" s="25">
        <v>172909</v>
      </c>
      <c r="D42" s="25">
        <v>150196</v>
      </c>
      <c r="E42" s="25">
        <v>453311</v>
      </c>
      <c r="F42" s="25">
        <v>177411</v>
      </c>
      <c r="G42" s="25">
        <v>142357</v>
      </c>
      <c r="H42" s="25">
        <v>149932</v>
      </c>
      <c r="I42" s="25">
        <v>469700</v>
      </c>
      <c r="J42" s="25">
        <v>147134</v>
      </c>
      <c r="K42" s="25">
        <v>123289</v>
      </c>
      <c r="L42" s="25">
        <v>164446</v>
      </c>
      <c r="M42" s="25">
        <v>434869</v>
      </c>
      <c r="N42" s="25">
        <v>0</v>
      </c>
      <c r="O42" s="25">
        <v>0</v>
      </c>
      <c r="P42" s="25">
        <v>0</v>
      </c>
      <c r="Q42" s="25">
        <v>0</v>
      </c>
      <c r="R42" s="25">
        <v>1357880</v>
      </c>
      <c r="S42">
        <v>142228</v>
      </c>
      <c r="T42">
        <v>1086181</v>
      </c>
    </row>
    <row r="43" spans="1:20">
      <c r="A43" t="s">
        <v>396</v>
      </c>
      <c r="B43" s="25">
        <v>46.27</v>
      </c>
      <c r="C43" s="25">
        <v>43.65</v>
      </c>
      <c r="D43" s="25">
        <v>34.82</v>
      </c>
      <c r="E43" s="25">
        <v>41.60274725274725</v>
      </c>
      <c r="F43" s="25">
        <v>38.36</v>
      </c>
      <c r="G43" s="25">
        <v>36.130000000000003</v>
      </c>
      <c r="H43" s="25">
        <v>29.11</v>
      </c>
      <c r="I43" s="25">
        <v>34.533333333333339</v>
      </c>
      <c r="J43" s="25">
        <v>28.57</v>
      </c>
      <c r="K43" s="25">
        <v>29.75</v>
      </c>
      <c r="L43" s="25">
        <v>36.28</v>
      </c>
      <c r="M43" s="25">
        <v>31.533333333333331</v>
      </c>
      <c r="N43" s="25">
        <v>0</v>
      </c>
      <c r="O43" s="25">
        <v>0</v>
      </c>
      <c r="P43" s="25">
        <v>0</v>
      </c>
      <c r="Q43" s="25">
        <v>0</v>
      </c>
      <c r="R43" s="44">
        <v>35.895236363636364</v>
      </c>
      <c r="S43">
        <v>26.89</v>
      </c>
      <c r="T43">
        <v>29.64868493150685</v>
      </c>
    </row>
    <row r="44" spans="1:20">
      <c r="A44" t="s">
        <v>397</v>
      </c>
      <c r="B44" s="25">
        <v>226.86</v>
      </c>
      <c r="C44" s="25">
        <v>227.39</v>
      </c>
      <c r="D44" s="25">
        <v>211.05</v>
      </c>
      <c r="E44" s="25">
        <v>221.82846153846154</v>
      </c>
      <c r="F44" s="25">
        <v>229.07</v>
      </c>
      <c r="G44" s="25">
        <v>199.79</v>
      </c>
      <c r="H44" s="25">
        <v>140.46</v>
      </c>
      <c r="I44" s="25">
        <v>189.77333333333334</v>
      </c>
      <c r="J44" s="25">
        <v>139.1</v>
      </c>
      <c r="K44" s="25">
        <v>113.72</v>
      </c>
      <c r="L44" s="25">
        <v>204.21999999999997</v>
      </c>
      <c r="M44" s="25">
        <v>152.34666666666666</v>
      </c>
      <c r="N44" s="25">
        <v>0</v>
      </c>
      <c r="O44" s="25">
        <v>0</v>
      </c>
      <c r="P44" s="25">
        <v>0</v>
      </c>
      <c r="Q44" s="25">
        <v>0</v>
      </c>
      <c r="R44" s="44">
        <v>188.17952727272726</v>
      </c>
      <c r="S44">
        <v>123.74</v>
      </c>
      <c r="T44">
        <v>114.91391780821918</v>
      </c>
    </row>
    <row r="45" spans="1:20">
      <c r="A45" t="s">
        <v>398</v>
      </c>
      <c r="B45" s="25">
        <v>30.6</v>
      </c>
      <c r="C45" s="25">
        <v>32.93</v>
      </c>
      <c r="D45" s="25">
        <v>29.52</v>
      </c>
      <c r="E45" s="25">
        <v>31.037692307692307</v>
      </c>
      <c r="F45" s="25">
        <v>36.26</v>
      </c>
      <c r="G45" s="25">
        <v>34.9</v>
      </c>
      <c r="H45" s="25">
        <v>32.619999999999997</v>
      </c>
      <c r="I45" s="25">
        <v>34.593333333333334</v>
      </c>
      <c r="J45" s="25">
        <v>41.72</v>
      </c>
      <c r="K45" s="25">
        <v>42.01</v>
      </c>
      <c r="L45" s="25">
        <v>27.21</v>
      </c>
      <c r="M45" s="25">
        <v>36.979999999999997</v>
      </c>
      <c r="N45" s="25">
        <v>0</v>
      </c>
      <c r="O45" s="25">
        <v>0</v>
      </c>
      <c r="P45" s="25">
        <v>0</v>
      </c>
      <c r="Q45" s="25">
        <v>0</v>
      </c>
      <c r="R45" s="44">
        <v>34.204072727272724</v>
      </c>
      <c r="S45">
        <v>22.42</v>
      </c>
      <c r="T45">
        <v>23.519342465753429</v>
      </c>
    </row>
    <row r="46" spans="1:20">
      <c r="A46" t="s">
        <v>399</v>
      </c>
      <c r="B46" s="25">
        <v>0.03</v>
      </c>
      <c r="C46" s="25">
        <v>0.04</v>
      </c>
      <c r="D46" s="25">
        <v>0.04</v>
      </c>
      <c r="E46" s="25">
        <v>3.6703296703296702E-2</v>
      </c>
      <c r="F46" s="25">
        <v>0.02</v>
      </c>
      <c r="G46" s="25">
        <v>0.01</v>
      </c>
      <c r="H46" s="25">
        <v>0.01</v>
      </c>
      <c r="I46" s="25">
        <v>1.3333333333333334E-2</v>
      </c>
      <c r="J46" s="25">
        <v>0</v>
      </c>
      <c r="K46" s="25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44">
        <v>1.0954284304743357E-2</v>
      </c>
      <c r="S46">
        <v>22.42</v>
      </c>
      <c r="T46">
        <v>23.519342465753429</v>
      </c>
    </row>
    <row r="47" spans="1:20">
      <c r="A47" t="s">
        <v>400</v>
      </c>
      <c r="B47" s="25">
        <v>303.76</v>
      </c>
      <c r="C47" s="25">
        <v>304.01</v>
      </c>
      <c r="D47" s="25">
        <v>275.43</v>
      </c>
      <c r="E47" s="25">
        <v>294.50560439560439</v>
      </c>
      <c r="F47" s="25">
        <v>303.70999999999998</v>
      </c>
      <c r="G47" s="25">
        <v>270.83</v>
      </c>
      <c r="H47" s="25">
        <v>202.2</v>
      </c>
      <c r="I47" s="25">
        <v>258.91333333333336</v>
      </c>
      <c r="J47" s="25">
        <v>209.39</v>
      </c>
      <c r="K47" s="25">
        <v>185.48</v>
      </c>
      <c r="L47" s="25">
        <v>267.70999999999998</v>
      </c>
      <c r="M47" s="25">
        <v>220.85999999999999</v>
      </c>
      <c r="N47" s="25">
        <v>0</v>
      </c>
      <c r="O47" s="25">
        <v>0</v>
      </c>
      <c r="P47" s="25">
        <v>0</v>
      </c>
      <c r="Q47" s="25">
        <v>0</v>
      </c>
      <c r="R47" s="44">
        <v>258.29545454545456</v>
      </c>
      <c r="S47">
        <v>0.14000000000000001</v>
      </c>
      <c r="T47">
        <v>0.1141095890410959</v>
      </c>
    </row>
    <row r="48" spans="1:20">
      <c r="A48" t="s">
        <v>401</v>
      </c>
      <c r="B48" s="25">
        <v>1.9</v>
      </c>
      <c r="C48" s="25">
        <v>6.63</v>
      </c>
      <c r="D48" s="25">
        <v>25.39</v>
      </c>
      <c r="E48" s="25">
        <v>11.255274725274726</v>
      </c>
      <c r="F48" s="25">
        <v>12.21</v>
      </c>
      <c r="G48" s="25">
        <v>30.27</v>
      </c>
      <c r="H48" s="25">
        <v>84.39</v>
      </c>
      <c r="I48" s="25">
        <v>42.29</v>
      </c>
      <c r="J48" s="25">
        <v>76.099999999999994</v>
      </c>
      <c r="K48" s="25">
        <v>68.16</v>
      </c>
      <c r="L48" s="25">
        <v>11.85</v>
      </c>
      <c r="M48" s="25">
        <v>52.036666666666662</v>
      </c>
      <c r="N48" s="25">
        <v>0</v>
      </c>
      <c r="O48" s="25">
        <v>0</v>
      </c>
      <c r="P48" s="25">
        <v>0</v>
      </c>
      <c r="Q48" s="25">
        <v>0</v>
      </c>
      <c r="R48" s="44">
        <v>35.069309090909087</v>
      </c>
      <c r="S48">
        <v>173.19</v>
      </c>
      <c r="T48">
        <v>168.19605479452053</v>
      </c>
    </row>
    <row r="49" spans="1:20">
      <c r="A49" t="s">
        <v>402</v>
      </c>
    </row>
    <row r="50" spans="1:20">
      <c r="A50" t="s">
        <v>403</v>
      </c>
      <c r="B50" s="25">
        <v>1121392</v>
      </c>
      <c r="C50" s="25">
        <v>1119830</v>
      </c>
      <c r="D50" s="25">
        <v>986697</v>
      </c>
      <c r="E50" s="25">
        <v>3227919</v>
      </c>
      <c r="F50" s="25">
        <v>1147653</v>
      </c>
      <c r="G50" s="25">
        <v>1104852</v>
      </c>
      <c r="H50" s="25">
        <v>1010184</v>
      </c>
      <c r="I50" s="25">
        <v>6490608</v>
      </c>
      <c r="J50" s="25">
        <v>1121427</v>
      </c>
      <c r="K50" s="25">
        <v>1114872</v>
      </c>
      <c r="L50" s="25">
        <v>1092602</v>
      </c>
      <c r="M50" s="25">
        <v>3328901</v>
      </c>
      <c r="N50" s="25">
        <v>0</v>
      </c>
      <c r="O50" s="25">
        <v>0</v>
      </c>
      <c r="P50" s="25">
        <v>0</v>
      </c>
      <c r="Q50" s="25">
        <v>0</v>
      </c>
      <c r="R50" s="25">
        <v>9819509</v>
      </c>
      <c r="S50">
        <v>152448</v>
      </c>
      <c r="T50">
        <v>1701471</v>
      </c>
    </row>
    <row r="51" spans="1:20">
      <c r="A51" t="s">
        <v>404</v>
      </c>
      <c r="B51" s="25">
        <v>1031032</v>
      </c>
      <c r="C51" s="25">
        <v>1029360</v>
      </c>
      <c r="D51" s="25">
        <v>920651</v>
      </c>
      <c r="E51" s="25">
        <v>2981043</v>
      </c>
      <c r="F51" s="25">
        <v>1057387</v>
      </c>
      <c r="G51" s="25">
        <v>1004377</v>
      </c>
      <c r="H51" s="25">
        <v>928710</v>
      </c>
      <c r="I51" s="25">
        <v>5971517</v>
      </c>
      <c r="J51" s="25">
        <v>1033206</v>
      </c>
      <c r="K51" s="25">
        <v>1021595</v>
      </c>
      <c r="L51" s="25">
        <v>1004000</v>
      </c>
      <c r="M51" s="25">
        <v>3058801</v>
      </c>
      <c r="N51" s="25">
        <v>0</v>
      </c>
      <c r="O51" s="25">
        <v>0</v>
      </c>
      <c r="P51" s="25">
        <v>0</v>
      </c>
      <c r="Q51" s="25">
        <v>0</v>
      </c>
      <c r="R51" s="25">
        <v>9030318</v>
      </c>
      <c r="S51" t="e">
        <v>#REF!</v>
      </c>
      <c r="T51" t="e">
        <v>#REF!</v>
      </c>
    </row>
    <row r="52" spans="1:20">
      <c r="A52" t="s">
        <v>405</v>
      </c>
      <c r="B52" s="25">
        <v>177133</v>
      </c>
      <c r="C52" s="25">
        <v>184953</v>
      </c>
      <c r="D52" s="25">
        <v>140724</v>
      </c>
      <c r="E52" s="25">
        <v>502810</v>
      </c>
      <c r="F52" s="25">
        <v>103678</v>
      </c>
      <c r="G52" s="25">
        <v>131768</v>
      </c>
      <c r="H52" s="25">
        <v>143060</v>
      </c>
      <c r="I52" s="25">
        <v>881316</v>
      </c>
      <c r="J52" s="25">
        <v>162703</v>
      </c>
      <c r="K52" s="25">
        <v>173300</v>
      </c>
      <c r="L52" s="25">
        <v>177622</v>
      </c>
      <c r="M52" s="25">
        <v>513625</v>
      </c>
      <c r="N52" s="25">
        <v>0</v>
      </c>
      <c r="O52" s="25">
        <v>0</v>
      </c>
      <c r="P52" s="25">
        <v>0</v>
      </c>
      <c r="Q52" s="25">
        <v>0</v>
      </c>
      <c r="R52" s="25">
        <v>1394941</v>
      </c>
      <c r="S52" t="e">
        <v>#REF!</v>
      </c>
      <c r="T52" t="e">
        <v>#REF!</v>
      </c>
    </row>
    <row r="54" spans="1:20">
      <c r="A54" t="s">
        <v>406</v>
      </c>
      <c r="B54" s="25">
        <v>54388</v>
      </c>
      <c r="C54" s="25">
        <v>46068</v>
      </c>
      <c r="D54" s="25">
        <v>23013</v>
      </c>
      <c r="F54" s="25">
        <v>52010</v>
      </c>
      <c r="G54" s="25">
        <v>26237</v>
      </c>
      <c r="H54" s="25">
        <v>6036</v>
      </c>
      <c r="J54" s="25">
        <v>11939</v>
      </c>
      <c r="K54" s="25">
        <v>39756</v>
      </c>
      <c r="L54" s="25">
        <v>31612</v>
      </c>
      <c r="N54" s="25">
        <v>0</v>
      </c>
      <c r="O54" s="25">
        <v>0</v>
      </c>
      <c r="P54" s="25">
        <v>0</v>
      </c>
      <c r="Q54" s="25">
        <v>0</v>
      </c>
      <c r="R54" s="25">
        <v>291059</v>
      </c>
    </row>
    <row r="55" spans="1:20">
      <c r="A55" t="s">
        <v>407</v>
      </c>
      <c r="B55" s="25">
        <v>30060</v>
      </c>
      <c r="C55" s="25">
        <v>34998</v>
      </c>
      <c r="D55" s="25">
        <v>12304</v>
      </c>
      <c r="F55" s="25">
        <v>35269</v>
      </c>
      <c r="G55" s="25">
        <v>11725</v>
      </c>
      <c r="H55" s="25">
        <v>676</v>
      </c>
      <c r="J55" s="25">
        <v>11029</v>
      </c>
      <c r="K55" s="25">
        <v>35830</v>
      </c>
      <c r="L55" s="25">
        <v>23570</v>
      </c>
      <c r="N55" s="25">
        <v>0</v>
      </c>
      <c r="O55" s="25">
        <v>0</v>
      </c>
      <c r="P55" s="25">
        <v>0</v>
      </c>
      <c r="R55" s="25">
        <v>195461</v>
      </c>
    </row>
    <row r="56" spans="1:20">
      <c r="A56" t="s">
        <v>408</v>
      </c>
      <c r="B56" s="25">
        <v>158321</v>
      </c>
      <c r="C56" s="25">
        <v>156302</v>
      </c>
      <c r="D56" s="25">
        <v>186948</v>
      </c>
      <c r="F56" s="25">
        <v>223081</v>
      </c>
      <c r="G56" s="25">
        <v>224381</v>
      </c>
      <c r="H56" s="25">
        <v>212021</v>
      </c>
      <c r="J56" s="25">
        <v>226475</v>
      </c>
      <c r="K56" s="25">
        <v>152622</v>
      </c>
      <c r="L56" s="25">
        <v>180323</v>
      </c>
      <c r="N56" s="25">
        <v>0</v>
      </c>
      <c r="O56" s="25">
        <v>0</v>
      </c>
      <c r="P56" s="25">
        <v>0</v>
      </c>
      <c r="R56" s="25">
        <v>1720474</v>
      </c>
    </row>
    <row r="57" spans="1:20">
      <c r="A57" t="s">
        <v>409</v>
      </c>
      <c r="B57" s="25">
        <v>135506</v>
      </c>
      <c r="C57" s="25">
        <v>130733</v>
      </c>
      <c r="D57" s="25">
        <v>167256</v>
      </c>
      <c r="F57" s="25">
        <v>208589</v>
      </c>
      <c r="G57" s="25">
        <v>208679</v>
      </c>
      <c r="H57" s="25">
        <v>191862</v>
      </c>
      <c r="J57" s="25">
        <v>203225</v>
      </c>
      <c r="K57" s="25">
        <v>129273</v>
      </c>
      <c r="L57" s="25">
        <v>151308</v>
      </c>
      <c r="N57" s="25">
        <v>0</v>
      </c>
      <c r="O57" s="25">
        <v>0</v>
      </c>
      <c r="P57" s="25">
        <v>0</v>
      </c>
      <c r="R57" s="25">
        <v>1526431</v>
      </c>
    </row>
    <row r="59" spans="1:20">
      <c r="A59" t="s">
        <v>410</v>
      </c>
      <c r="B59" s="25">
        <v>67879</v>
      </c>
      <c r="C59" s="25">
        <v>78974</v>
      </c>
      <c r="D59" s="25">
        <v>72920</v>
      </c>
      <c r="F59" s="25">
        <v>71879</v>
      </c>
      <c r="G59" s="25">
        <v>72869</v>
      </c>
      <c r="H59" s="25">
        <v>53509</v>
      </c>
      <c r="J59" s="25">
        <v>69857</v>
      </c>
      <c r="K59" s="25">
        <v>63271</v>
      </c>
      <c r="L59" s="25">
        <v>73410</v>
      </c>
      <c r="R59" s="25">
        <v>624568</v>
      </c>
    </row>
    <row r="60" spans="1:20">
      <c r="A60" t="s">
        <v>411</v>
      </c>
      <c r="B60" s="25">
        <v>63445</v>
      </c>
      <c r="C60" s="25">
        <v>67178</v>
      </c>
      <c r="D60" s="25">
        <v>47944</v>
      </c>
      <c r="F60" s="25">
        <v>66563</v>
      </c>
      <c r="G60" s="25">
        <v>67629</v>
      </c>
      <c r="H60" s="25">
        <v>64109</v>
      </c>
      <c r="J60" s="25">
        <v>67430</v>
      </c>
      <c r="K60" s="25">
        <v>62293</v>
      </c>
      <c r="L60" s="25">
        <v>64262</v>
      </c>
      <c r="R60" s="25">
        <v>570853</v>
      </c>
    </row>
    <row r="61" spans="1:20">
      <c r="A61" t="s">
        <v>412</v>
      </c>
      <c r="B61" s="25">
        <v>242160</v>
      </c>
      <c r="C61" s="25">
        <v>247969</v>
      </c>
      <c r="D61" s="25">
        <v>224339</v>
      </c>
      <c r="F61" s="25">
        <v>252629</v>
      </c>
      <c r="G61" s="25">
        <v>235339</v>
      </c>
      <c r="H61" s="25">
        <v>214848</v>
      </c>
      <c r="J61" s="25">
        <v>249793</v>
      </c>
      <c r="K61" s="25">
        <v>234635</v>
      </c>
      <c r="L61" s="25">
        <v>219675</v>
      </c>
      <c r="R61" s="25">
        <v>2121387</v>
      </c>
    </row>
  </sheetData>
  <pageMargins left="0.70866141732283472" right="0.70866141732283472" top="0.74803149606299213" bottom="0.74803149606299213" header="0.31496062992125984" footer="0.31496062992125984"/>
  <pageSetup paperSize="9" scale="54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2"/>
  <sheetViews>
    <sheetView workbookViewId="0">
      <selection sqref="A1:R42"/>
    </sheetView>
  </sheetViews>
  <sheetFormatPr defaultRowHeight="15"/>
  <cols>
    <col min="1" max="1" width="38.7109375" bestFit="1" customWidth="1"/>
    <col min="2" max="4" width="9.140625" style="25"/>
    <col min="5" max="5" width="0" style="25" hidden="1" customWidth="1"/>
    <col min="6" max="8" width="9.140625" style="25"/>
    <col min="9" max="9" width="0" style="25" hidden="1" customWidth="1"/>
    <col min="10" max="12" width="9.140625" style="25"/>
    <col min="13" max="17" width="0" style="25" hidden="1" customWidth="1"/>
    <col min="18" max="18" width="9.140625" style="25"/>
  </cols>
  <sheetData>
    <row r="1" spans="1:18">
      <c r="A1" t="s">
        <v>462</v>
      </c>
    </row>
    <row r="2" spans="1:18">
      <c r="R2" s="25" t="s">
        <v>463</v>
      </c>
    </row>
    <row r="3" spans="1:18">
      <c r="A3" t="s">
        <v>350</v>
      </c>
      <c r="B3" s="25" t="s">
        <v>416</v>
      </c>
      <c r="C3" s="25" t="s">
        <v>417</v>
      </c>
      <c r="D3" s="25" t="s">
        <v>418</v>
      </c>
      <c r="E3" s="25" t="s">
        <v>351</v>
      </c>
      <c r="F3" s="25" t="s">
        <v>419</v>
      </c>
      <c r="G3" s="25" t="s">
        <v>420</v>
      </c>
      <c r="H3" s="25" t="s">
        <v>421</v>
      </c>
      <c r="I3" s="25" t="s">
        <v>464</v>
      </c>
      <c r="J3" s="25" t="s">
        <v>422</v>
      </c>
      <c r="K3" s="25" t="s">
        <v>423</v>
      </c>
      <c r="L3" s="25" t="s">
        <v>424</v>
      </c>
      <c r="M3" s="25" t="s">
        <v>353</v>
      </c>
      <c r="N3" s="25" t="s">
        <v>425</v>
      </c>
      <c r="O3" s="25" t="s">
        <v>426</v>
      </c>
      <c r="P3" s="25" t="s">
        <v>427</v>
      </c>
      <c r="Q3" s="25" t="s">
        <v>354</v>
      </c>
      <c r="R3" s="25" t="s">
        <v>355</v>
      </c>
    </row>
    <row r="4" spans="1:18">
      <c r="A4" t="s">
        <v>465</v>
      </c>
    </row>
    <row r="5" spans="1:18">
      <c r="A5" t="s">
        <v>466</v>
      </c>
      <c r="B5" s="25">
        <v>0</v>
      </c>
      <c r="C5" s="25">
        <v>0</v>
      </c>
      <c r="D5" s="25">
        <v>0</v>
      </c>
      <c r="E5" s="25">
        <v>0</v>
      </c>
      <c r="F5" s="25">
        <v>0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61</v>
      </c>
      <c r="M5" s="25">
        <v>61</v>
      </c>
      <c r="N5" s="25">
        <v>0</v>
      </c>
      <c r="O5" s="25">
        <v>0</v>
      </c>
      <c r="P5" s="25">
        <v>0</v>
      </c>
      <c r="Q5" s="25">
        <v>0</v>
      </c>
      <c r="R5" s="25">
        <v>61</v>
      </c>
    </row>
    <row r="6" spans="1:18">
      <c r="A6" t="s">
        <v>467</v>
      </c>
      <c r="B6" s="25">
        <v>44894</v>
      </c>
      <c r="C6" s="25">
        <v>43794</v>
      </c>
      <c r="D6" s="25">
        <v>43973</v>
      </c>
      <c r="E6" s="25">
        <v>132661</v>
      </c>
      <c r="F6" s="25">
        <v>38710</v>
      </c>
      <c r="G6" s="25">
        <v>39881</v>
      </c>
      <c r="H6" s="25">
        <v>37018</v>
      </c>
      <c r="I6" s="25">
        <v>115609</v>
      </c>
      <c r="J6" s="25">
        <v>43152</v>
      </c>
      <c r="K6" s="25">
        <v>37436</v>
      </c>
      <c r="L6" s="25">
        <v>42325</v>
      </c>
      <c r="M6" s="25">
        <v>122913</v>
      </c>
      <c r="N6" s="25">
        <v>0</v>
      </c>
      <c r="O6" s="25">
        <v>0</v>
      </c>
      <c r="P6" s="25">
        <v>0</v>
      </c>
      <c r="Q6" s="25">
        <v>0</v>
      </c>
      <c r="R6" s="25">
        <v>371183</v>
      </c>
    </row>
    <row r="7" spans="1:18">
      <c r="A7" t="s">
        <v>468</v>
      </c>
      <c r="B7" s="25">
        <v>56241</v>
      </c>
      <c r="C7" s="25">
        <v>70449</v>
      </c>
      <c r="D7" s="25">
        <v>67434</v>
      </c>
      <c r="E7" s="25">
        <v>194124</v>
      </c>
      <c r="F7" s="25">
        <v>81811</v>
      </c>
      <c r="G7" s="25">
        <v>86541</v>
      </c>
      <c r="H7" s="25">
        <v>86671</v>
      </c>
      <c r="I7" s="25">
        <v>255023</v>
      </c>
      <c r="J7" s="25">
        <v>85010</v>
      </c>
      <c r="K7" s="25">
        <v>65269</v>
      </c>
      <c r="L7" s="25">
        <v>76111</v>
      </c>
      <c r="M7" s="25">
        <v>226390</v>
      </c>
      <c r="N7" s="25">
        <v>0</v>
      </c>
      <c r="O7" s="25">
        <v>0</v>
      </c>
      <c r="P7" s="25">
        <v>0</v>
      </c>
      <c r="Q7" s="25">
        <v>0</v>
      </c>
      <c r="R7" s="25">
        <v>675537</v>
      </c>
    </row>
    <row r="8" spans="1:18">
      <c r="A8" t="s">
        <v>469</v>
      </c>
      <c r="B8" s="25">
        <v>160930</v>
      </c>
      <c r="C8" s="25">
        <v>174872</v>
      </c>
      <c r="D8" s="25">
        <v>178409</v>
      </c>
      <c r="E8" s="25">
        <v>514211</v>
      </c>
      <c r="F8" s="25">
        <v>230467</v>
      </c>
      <c r="G8" s="25">
        <v>231332</v>
      </c>
      <c r="H8" s="25">
        <v>198793</v>
      </c>
      <c r="I8" s="25">
        <v>660592</v>
      </c>
      <c r="J8" s="25">
        <v>212559</v>
      </c>
      <c r="K8" s="25">
        <v>191049</v>
      </c>
      <c r="L8" s="25">
        <v>154786</v>
      </c>
      <c r="M8" s="25">
        <v>558394</v>
      </c>
      <c r="N8" s="25">
        <v>0</v>
      </c>
      <c r="O8" s="25">
        <v>0</v>
      </c>
      <c r="P8" s="25">
        <v>0</v>
      </c>
      <c r="Q8" s="25">
        <v>0</v>
      </c>
      <c r="R8" s="25">
        <v>1733197</v>
      </c>
    </row>
    <row r="9" spans="1:18">
      <c r="A9" t="s">
        <v>470</v>
      </c>
      <c r="B9" s="25">
        <v>22590</v>
      </c>
      <c r="C9" s="25">
        <v>25266</v>
      </c>
      <c r="D9" s="25">
        <v>20763</v>
      </c>
      <c r="E9" s="25">
        <v>68619</v>
      </c>
      <c r="F9" s="25">
        <v>17227</v>
      </c>
      <c r="G9" s="25">
        <v>17203</v>
      </c>
      <c r="H9" s="25">
        <v>15265</v>
      </c>
      <c r="I9" s="25">
        <v>49695</v>
      </c>
      <c r="J9" s="25">
        <v>7768</v>
      </c>
      <c r="K9" s="25">
        <v>13202</v>
      </c>
      <c r="L9" s="25">
        <v>20146</v>
      </c>
      <c r="M9" s="25">
        <v>41116</v>
      </c>
      <c r="N9" s="25">
        <v>0</v>
      </c>
      <c r="O9" s="25">
        <v>0</v>
      </c>
      <c r="P9" s="25">
        <v>0</v>
      </c>
      <c r="Q9" s="25">
        <v>0</v>
      </c>
      <c r="R9" s="25">
        <v>159430</v>
      </c>
    </row>
    <row r="10" spans="1:18">
      <c r="A10" t="s">
        <v>471</v>
      </c>
      <c r="B10" s="25">
        <v>2949</v>
      </c>
      <c r="C10" s="25">
        <v>3122</v>
      </c>
      <c r="D10" s="25">
        <v>2886</v>
      </c>
      <c r="E10" s="25">
        <v>8957</v>
      </c>
      <c r="F10" s="25">
        <v>1900</v>
      </c>
      <c r="G10" s="25">
        <v>2476</v>
      </c>
      <c r="H10" s="25">
        <v>3202</v>
      </c>
      <c r="I10" s="25">
        <v>7578</v>
      </c>
      <c r="J10" s="25">
        <v>3348</v>
      </c>
      <c r="K10" s="25">
        <v>2474</v>
      </c>
      <c r="L10" s="25">
        <v>3774</v>
      </c>
      <c r="M10" s="25">
        <v>9596</v>
      </c>
      <c r="N10" s="25">
        <v>0</v>
      </c>
      <c r="O10" s="25">
        <v>0</v>
      </c>
      <c r="P10" s="25">
        <v>0</v>
      </c>
      <c r="Q10" s="25">
        <v>0</v>
      </c>
      <c r="R10" s="25">
        <v>26131</v>
      </c>
    </row>
    <row r="11" spans="1:18">
      <c r="A11" t="s">
        <v>472</v>
      </c>
      <c r="B11" s="25">
        <v>1473</v>
      </c>
      <c r="C11" s="25">
        <v>1473</v>
      </c>
      <c r="D11" s="25">
        <v>2015</v>
      </c>
      <c r="E11" s="25">
        <v>4961</v>
      </c>
      <c r="F11" s="25">
        <v>1995</v>
      </c>
      <c r="G11" s="25">
        <v>2247</v>
      </c>
      <c r="H11" s="25">
        <v>3070</v>
      </c>
      <c r="I11" s="25">
        <v>7312</v>
      </c>
      <c r="J11" s="25">
        <v>2334</v>
      </c>
      <c r="K11" s="25">
        <v>1974</v>
      </c>
      <c r="L11" s="25">
        <v>1751</v>
      </c>
      <c r="M11" s="25">
        <v>6059</v>
      </c>
      <c r="N11" s="25">
        <v>0</v>
      </c>
      <c r="O11" s="25">
        <v>0</v>
      </c>
      <c r="P11" s="25">
        <v>0</v>
      </c>
      <c r="Q11" s="25">
        <v>0</v>
      </c>
      <c r="R11" s="25">
        <v>18332</v>
      </c>
    </row>
    <row r="12" spans="1:18">
      <c r="A12" t="s">
        <v>473</v>
      </c>
      <c r="B12" s="25">
        <v>8237</v>
      </c>
      <c r="C12" s="25">
        <v>8506</v>
      </c>
      <c r="D12" s="25">
        <v>3285</v>
      </c>
      <c r="E12" s="25">
        <v>20028</v>
      </c>
      <c r="F12" s="25">
        <v>4737</v>
      </c>
      <c r="G12" s="25">
        <v>2492</v>
      </c>
      <c r="H12" s="25">
        <v>1976</v>
      </c>
      <c r="I12" s="25">
        <v>9205</v>
      </c>
      <c r="J12" s="25">
        <v>4688</v>
      </c>
      <c r="K12" s="25">
        <v>4746</v>
      </c>
      <c r="L12" s="25">
        <v>5028</v>
      </c>
      <c r="M12" s="25">
        <v>14462</v>
      </c>
      <c r="N12" s="25">
        <v>0</v>
      </c>
      <c r="O12" s="25">
        <v>0</v>
      </c>
      <c r="P12" s="25">
        <v>0</v>
      </c>
      <c r="Q12" s="25">
        <v>0</v>
      </c>
      <c r="R12" s="25">
        <v>43695</v>
      </c>
    </row>
    <row r="13" spans="1:18">
      <c r="A13" t="s">
        <v>387</v>
      </c>
      <c r="B13" s="25">
        <v>4973</v>
      </c>
      <c r="C13" s="25">
        <v>5081</v>
      </c>
      <c r="D13" s="25">
        <v>5192</v>
      </c>
      <c r="E13" s="25">
        <v>15246</v>
      </c>
      <c r="F13" s="25">
        <v>5312</v>
      </c>
      <c r="G13" s="25">
        <v>5404</v>
      </c>
      <c r="H13" s="25">
        <v>4740</v>
      </c>
      <c r="I13" s="25">
        <v>15456</v>
      </c>
      <c r="J13" s="25">
        <v>5125</v>
      </c>
      <c r="K13" s="25">
        <v>5806</v>
      </c>
      <c r="L13" s="25">
        <v>1916</v>
      </c>
      <c r="M13" s="25">
        <v>12847</v>
      </c>
      <c r="N13" s="25">
        <v>0</v>
      </c>
      <c r="O13" s="25">
        <v>0</v>
      </c>
      <c r="P13" s="25">
        <v>0</v>
      </c>
      <c r="Q13" s="25">
        <v>0</v>
      </c>
      <c r="R13" s="25">
        <v>43549</v>
      </c>
    </row>
    <row r="14" spans="1:18">
      <c r="A14" t="s">
        <v>474</v>
      </c>
      <c r="B14" s="25">
        <v>302287</v>
      </c>
      <c r="C14" s="25">
        <v>332563</v>
      </c>
      <c r="D14" s="25">
        <v>323957</v>
      </c>
      <c r="E14" s="25">
        <v>958807</v>
      </c>
      <c r="F14" s="25">
        <v>382159</v>
      </c>
      <c r="G14" s="25">
        <v>387576</v>
      </c>
      <c r="H14" s="25">
        <v>350735</v>
      </c>
      <c r="I14" s="25">
        <v>1120470</v>
      </c>
      <c r="J14" s="25">
        <v>363984</v>
      </c>
      <c r="K14" s="25">
        <v>321956</v>
      </c>
      <c r="L14" s="25">
        <v>305898</v>
      </c>
      <c r="M14" s="25">
        <v>991838</v>
      </c>
      <c r="N14" s="25">
        <v>0</v>
      </c>
      <c r="O14" s="25">
        <v>0</v>
      </c>
      <c r="P14" s="25">
        <v>0</v>
      </c>
      <c r="Q14" s="25">
        <v>0</v>
      </c>
      <c r="R14" s="25">
        <v>3071115</v>
      </c>
    </row>
    <row r="15" spans="1:18">
      <c r="A15" t="s">
        <v>475</v>
      </c>
      <c r="B15" s="25">
        <v>48967</v>
      </c>
      <c r="C15" s="25">
        <v>46846</v>
      </c>
      <c r="D15" s="25">
        <v>52302</v>
      </c>
      <c r="E15" s="25">
        <v>148115</v>
      </c>
      <c r="F15" s="25">
        <v>62386</v>
      </c>
      <c r="G15" s="25">
        <v>65547</v>
      </c>
      <c r="H15" s="25">
        <v>54051</v>
      </c>
      <c r="I15" s="25">
        <v>181984</v>
      </c>
      <c r="J15" s="25">
        <v>50479</v>
      </c>
      <c r="K15" s="25">
        <v>48294</v>
      </c>
      <c r="L15" s="25">
        <v>45298</v>
      </c>
      <c r="M15" s="25">
        <v>144071</v>
      </c>
      <c r="N15" s="25">
        <v>0</v>
      </c>
      <c r="O15" s="25">
        <v>0</v>
      </c>
      <c r="P15" s="25">
        <v>0</v>
      </c>
      <c r="Q15" s="25">
        <v>0</v>
      </c>
      <c r="R15" s="25">
        <v>474170</v>
      </c>
    </row>
    <row r="16" spans="1:18">
      <c r="A16" t="s">
        <v>476</v>
      </c>
      <c r="B16" s="25">
        <v>253320</v>
      </c>
      <c r="C16" s="25">
        <v>285717</v>
      </c>
      <c r="D16" s="25">
        <v>271655</v>
      </c>
      <c r="E16" s="25">
        <v>810692</v>
      </c>
      <c r="F16" s="25">
        <v>319773</v>
      </c>
      <c r="G16" s="25">
        <v>322029</v>
      </c>
      <c r="H16" s="25">
        <v>296684</v>
      </c>
      <c r="I16" s="25">
        <v>938486</v>
      </c>
      <c r="J16" s="25">
        <v>313505</v>
      </c>
      <c r="K16" s="25">
        <v>273662</v>
      </c>
      <c r="L16" s="25">
        <v>260600</v>
      </c>
      <c r="M16" s="25">
        <v>847767</v>
      </c>
      <c r="N16" s="25">
        <v>0</v>
      </c>
      <c r="O16" s="25">
        <v>0</v>
      </c>
      <c r="P16" s="25">
        <v>0</v>
      </c>
      <c r="Q16" s="25">
        <v>0</v>
      </c>
      <c r="R16" s="25">
        <v>2596945</v>
      </c>
    </row>
    <row r="17" spans="1:18">
      <c r="A17" t="s">
        <v>477</v>
      </c>
      <c r="B17" s="25">
        <v>164547</v>
      </c>
      <c r="C17" s="25">
        <v>193887</v>
      </c>
      <c r="D17" s="25">
        <v>189776</v>
      </c>
      <c r="E17" s="25">
        <v>548210</v>
      </c>
      <c r="F17" s="25">
        <v>226195</v>
      </c>
      <c r="G17" s="25">
        <v>160870</v>
      </c>
      <c r="H17" s="25">
        <v>163201</v>
      </c>
      <c r="I17" s="25">
        <v>550266</v>
      </c>
      <c r="J17" s="25">
        <v>154121</v>
      </c>
      <c r="K17" s="25">
        <v>157708</v>
      </c>
      <c r="L17" s="25">
        <v>154055</v>
      </c>
      <c r="M17" s="25">
        <v>465884</v>
      </c>
      <c r="N17" s="25">
        <v>0</v>
      </c>
      <c r="O17" s="25">
        <v>0</v>
      </c>
      <c r="P17" s="25">
        <v>0</v>
      </c>
      <c r="Q17" s="25">
        <v>0</v>
      </c>
      <c r="R17" s="25">
        <v>1564360</v>
      </c>
    </row>
    <row r="18" spans="1:18">
      <c r="A18" t="s">
        <v>478</v>
      </c>
      <c r="B18" s="25">
        <v>313616</v>
      </c>
      <c r="C18" s="25">
        <v>360068</v>
      </c>
      <c r="D18" s="25">
        <v>315795</v>
      </c>
      <c r="E18" s="25">
        <v>989479</v>
      </c>
      <c r="F18" s="25">
        <v>361747</v>
      </c>
      <c r="G18" s="25">
        <v>387194</v>
      </c>
      <c r="H18" s="25">
        <v>356719</v>
      </c>
      <c r="I18" s="25">
        <v>1105660</v>
      </c>
      <c r="J18" s="25">
        <v>385292</v>
      </c>
      <c r="K18" s="25">
        <v>332929</v>
      </c>
      <c r="L18" s="25">
        <v>365433</v>
      </c>
      <c r="M18" s="25">
        <v>1083654</v>
      </c>
      <c r="N18" s="25">
        <v>0</v>
      </c>
      <c r="O18" s="25">
        <v>0</v>
      </c>
      <c r="P18" s="25">
        <v>0</v>
      </c>
      <c r="Q18" s="25">
        <v>0</v>
      </c>
      <c r="R18" s="25">
        <v>3178793</v>
      </c>
    </row>
    <row r="19" spans="1:18">
      <c r="A19" t="s">
        <v>479</v>
      </c>
      <c r="B19" s="25">
        <v>478163</v>
      </c>
      <c r="C19" s="25">
        <v>553955</v>
      </c>
      <c r="D19" s="25">
        <v>505571</v>
      </c>
      <c r="E19" s="25">
        <v>1537689</v>
      </c>
      <c r="F19" s="25">
        <v>587942</v>
      </c>
      <c r="G19" s="25">
        <v>548064</v>
      </c>
      <c r="H19" s="25">
        <v>519920</v>
      </c>
      <c r="I19" s="25">
        <v>1655926</v>
      </c>
      <c r="J19" s="25">
        <v>539413</v>
      </c>
      <c r="K19" s="25">
        <v>490637</v>
      </c>
      <c r="L19" s="25">
        <v>519488</v>
      </c>
      <c r="M19" s="25">
        <v>1549538</v>
      </c>
      <c r="N19" s="25">
        <v>0</v>
      </c>
      <c r="O19" s="25">
        <v>0</v>
      </c>
      <c r="P19" s="25">
        <v>0</v>
      </c>
      <c r="Q19" s="25">
        <v>0</v>
      </c>
      <c r="R19" s="25">
        <v>4743153</v>
      </c>
    </row>
    <row r="20" spans="1:18">
      <c r="A20" t="s">
        <v>480</v>
      </c>
      <c r="B20" s="25">
        <v>0</v>
      </c>
      <c r="C20" s="25">
        <v>0</v>
      </c>
      <c r="E20" s="25">
        <v>0</v>
      </c>
      <c r="I20" s="25">
        <v>0</v>
      </c>
      <c r="L20" s="25">
        <v>0</v>
      </c>
      <c r="M20" s="25">
        <v>0</v>
      </c>
      <c r="N20" s="25">
        <v>0</v>
      </c>
      <c r="O20" s="25">
        <v>0</v>
      </c>
      <c r="Q20" s="25">
        <v>0</v>
      </c>
      <c r="R20" s="25">
        <v>0</v>
      </c>
    </row>
    <row r="21" spans="1:18">
      <c r="A21" t="s">
        <v>481</v>
      </c>
      <c r="B21" s="25">
        <v>0</v>
      </c>
      <c r="O21" s="25">
        <v>0</v>
      </c>
      <c r="P21" s="25">
        <v>0</v>
      </c>
      <c r="Q21" s="25">
        <v>0</v>
      </c>
      <c r="R21" s="25">
        <v>0</v>
      </c>
    </row>
    <row r="22" spans="1:18">
      <c r="A22" t="s">
        <v>482</v>
      </c>
      <c r="R22" s="25">
        <v>0</v>
      </c>
    </row>
    <row r="23" spans="1:18">
      <c r="A23" t="s">
        <v>483</v>
      </c>
      <c r="Q23" s="25">
        <v>0</v>
      </c>
      <c r="R23" s="25">
        <v>0</v>
      </c>
    </row>
    <row r="24" spans="1:18">
      <c r="A24" t="s">
        <v>484</v>
      </c>
      <c r="B24" s="25"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K24" s="25">
        <v>0</v>
      </c>
      <c r="L24" s="25">
        <v>61</v>
      </c>
      <c r="M24" s="25">
        <v>61</v>
      </c>
      <c r="O24" s="25">
        <v>0</v>
      </c>
      <c r="P24" s="25">
        <v>0</v>
      </c>
      <c r="Q24" s="25">
        <v>0</v>
      </c>
      <c r="R24" s="25">
        <v>61</v>
      </c>
    </row>
    <row r="25" spans="1:18">
      <c r="A25" t="s">
        <v>485</v>
      </c>
      <c r="B25" s="25">
        <v>0</v>
      </c>
      <c r="C25" s="25">
        <v>0</v>
      </c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</row>
    <row r="26" spans="1:18">
      <c r="A26" t="s">
        <v>486</v>
      </c>
      <c r="B26" s="25">
        <v>0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</row>
    <row r="27" spans="1:18">
      <c r="A27" t="s">
        <v>487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</row>
    <row r="28" spans="1:18">
      <c r="A28" t="s">
        <v>488</v>
      </c>
      <c r="B28" s="25">
        <v>0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</row>
    <row r="29" spans="1:18">
      <c r="A29" t="s">
        <v>489</v>
      </c>
      <c r="B29" s="25">
        <v>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</row>
    <row r="30" spans="1:18">
      <c r="A30" t="s">
        <v>490</v>
      </c>
      <c r="B30" s="25">
        <v>0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</row>
    <row r="31" spans="1:18">
      <c r="A31" t="s">
        <v>491</v>
      </c>
      <c r="B31" s="25">
        <v>0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</row>
    <row r="32" spans="1:18">
      <c r="A32" t="s">
        <v>492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</row>
    <row r="33" spans="1:18">
      <c r="A33" t="s">
        <v>493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</row>
    <row r="34" spans="1:18">
      <c r="A34" t="s">
        <v>485</v>
      </c>
      <c r="B34" s="25">
        <v>0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R34" s="25">
        <v>0</v>
      </c>
    </row>
    <row r="35" spans="1:18">
      <c r="A35" t="s">
        <v>494</v>
      </c>
      <c r="R35" s="25">
        <v>0</v>
      </c>
    </row>
    <row r="36" spans="1:18">
      <c r="A36" t="s">
        <v>495</v>
      </c>
      <c r="B36" s="25">
        <v>10596</v>
      </c>
      <c r="C36" s="25">
        <v>3603</v>
      </c>
      <c r="E36" s="25">
        <v>14199</v>
      </c>
      <c r="F36" s="25">
        <v>0</v>
      </c>
      <c r="G36" s="25">
        <v>0</v>
      </c>
      <c r="K36" s="25">
        <v>10891</v>
      </c>
      <c r="L36" s="25">
        <v>14379</v>
      </c>
      <c r="M36" s="25">
        <v>25270</v>
      </c>
      <c r="Q36" s="25">
        <v>0</v>
      </c>
      <c r="R36" s="25">
        <v>39469</v>
      </c>
    </row>
    <row r="37" spans="1:18">
      <c r="A37" t="s">
        <v>496</v>
      </c>
      <c r="L37" s="25">
        <v>3364</v>
      </c>
      <c r="M37" s="25">
        <v>3364</v>
      </c>
      <c r="R37" s="25">
        <v>3364</v>
      </c>
    </row>
    <row r="38" spans="1:18">
      <c r="A38" t="s">
        <v>497</v>
      </c>
      <c r="B38" s="25">
        <v>1049</v>
      </c>
      <c r="C38" s="25">
        <v>2760</v>
      </c>
      <c r="E38" s="25">
        <v>3809</v>
      </c>
      <c r="F38" s="25">
        <v>0</v>
      </c>
      <c r="G38" s="25">
        <v>0</v>
      </c>
      <c r="J38" s="25">
        <v>4928</v>
      </c>
      <c r="M38" s="25">
        <v>4928</v>
      </c>
      <c r="Q38" s="25">
        <v>0</v>
      </c>
      <c r="R38" s="25">
        <v>8737</v>
      </c>
    </row>
    <row r="39" spans="1:18">
      <c r="A39" t="s">
        <v>498</v>
      </c>
      <c r="B39" s="25">
        <v>0</v>
      </c>
      <c r="C39" s="25">
        <v>0</v>
      </c>
      <c r="D39" s="25">
        <v>4025</v>
      </c>
      <c r="E39" s="25">
        <v>4025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Q39" s="25">
        <v>0</v>
      </c>
      <c r="R39" s="25">
        <v>4025</v>
      </c>
    </row>
    <row r="40" spans="1:18">
      <c r="A40" t="s">
        <v>499</v>
      </c>
      <c r="B40" s="25">
        <v>12862</v>
      </c>
      <c r="C40" s="25">
        <v>11037</v>
      </c>
      <c r="E40" s="25">
        <v>23899</v>
      </c>
      <c r="F40" s="25">
        <v>1169</v>
      </c>
      <c r="G40" s="25">
        <v>298</v>
      </c>
      <c r="H40" s="25">
        <v>250</v>
      </c>
      <c r="I40" s="25">
        <v>1717</v>
      </c>
      <c r="J40" s="25">
        <v>716</v>
      </c>
      <c r="K40" s="25">
        <v>32</v>
      </c>
      <c r="L40" s="25">
        <v>93</v>
      </c>
      <c r="M40" s="25">
        <v>841</v>
      </c>
      <c r="Q40" s="25">
        <v>0</v>
      </c>
      <c r="R40" s="25">
        <v>26457</v>
      </c>
    </row>
    <row r="41" spans="1:18">
      <c r="A41" t="s">
        <v>500</v>
      </c>
      <c r="B41" s="25">
        <v>0</v>
      </c>
      <c r="C41" s="25">
        <v>0</v>
      </c>
      <c r="D41" s="25">
        <v>0</v>
      </c>
      <c r="E41" s="25">
        <v>0</v>
      </c>
      <c r="F41" s="25">
        <v>0</v>
      </c>
      <c r="I41" s="25">
        <v>0</v>
      </c>
      <c r="M41" s="25">
        <v>0</v>
      </c>
      <c r="O41" s="25">
        <v>0</v>
      </c>
      <c r="P41" s="25">
        <v>0</v>
      </c>
      <c r="Q41" s="25">
        <v>0</v>
      </c>
      <c r="R41" s="25">
        <v>0</v>
      </c>
    </row>
    <row r="42" spans="1:18">
      <c r="A42" t="s">
        <v>501</v>
      </c>
      <c r="B42" s="25">
        <v>0</v>
      </c>
      <c r="C42" s="25">
        <v>0</v>
      </c>
      <c r="D42" s="25">
        <v>0</v>
      </c>
      <c r="E42" s="25">
        <v>0</v>
      </c>
      <c r="F42" s="25">
        <v>0</v>
      </c>
      <c r="G42" s="25">
        <v>0</v>
      </c>
      <c r="I42" s="25">
        <v>0</v>
      </c>
      <c r="Q42" s="25">
        <v>0</v>
      </c>
      <c r="R42" s="25">
        <v>0</v>
      </c>
    </row>
  </sheetData>
  <pageMargins left="0.70866141732283472" right="0.70866141732283472" top="0.74803149606299213" bottom="0.74803149606299213" header="0.31496062992125984" footer="0.31496062992125984"/>
  <pageSetup paperSize="9" scale="75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PAGE1-8 &amp;11-12</vt:lpstr>
      <vt:lpstr>page-9</vt:lpstr>
      <vt:lpstr>page-10</vt:lpstr>
      <vt:lpstr>'page-10'!Print_Area</vt:lpstr>
      <vt:lpstr>'PAGE1-8 &amp;11-12'!Print_Area</vt:lpstr>
      <vt:lpstr>'page-9'!Print_Area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2024-01-12T05:58:05Z</dcterms:modified>
</cp:coreProperties>
</file>