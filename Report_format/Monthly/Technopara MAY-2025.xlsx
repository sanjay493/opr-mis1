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24226"/>
  <xr:revisionPtr revIDLastSave="0" documentId="13_ncr:1_{E381D254-80B3-45F4-A3F7-ECB7EFE0508A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PAGE-1-8" sheetId="1" r:id="rId1"/>
    <sheet name="PAGE-9" sheetId="2" r:id="rId2"/>
    <sheet name="PAGE-10" sheetId="3" r:id="rId3"/>
    <sheet name="PAGE-11&amp;12" sheetId="4" r:id="rId4"/>
  </sheets>
  <externalReferences>
    <externalReference r:id="rId5"/>
  </externalReferences>
  <definedNames>
    <definedName name="_xlnm.Print_Area" localSheetId="2">'PAGE-10'!$A$1:$R$29</definedName>
    <definedName name="_xlnm.Print_Area" localSheetId="3">'PAGE-11&amp;12'!$A$1:$R$40</definedName>
    <definedName name="_xlnm.Print_Area" localSheetId="0">'PAGE-1-8'!$A$1:$AM$348</definedName>
    <definedName name="_xlnm.Print_Area" localSheetId="1">'PAGE-9'!$A$1:$R$54</definedName>
  </definedNames>
  <calcPr calcId="181029"/>
</workbook>
</file>

<file path=xl/calcChain.xml><?xml version="1.0" encoding="utf-8"?>
<calcChain xmlns="http://schemas.openxmlformats.org/spreadsheetml/2006/main">
  <c r="S7" i="2" l="1"/>
  <c r="T7" i="2" s="1"/>
  <c r="S8" i="2"/>
  <c r="T8" i="2"/>
  <c r="S9" i="2"/>
  <c r="T9" i="2"/>
  <c r="S10" i="2"/>
  <c r="T10" i="2"/>
  <c r="S11" i="2"/>
  <c r="T11" i="2" s="1"/>
  <c r="S12" i="2"/>
  <c r="T12" i="2"/>
  <c r="S13" i="2"/>
  <c r="T13" i="2"/>
  <c r="S14" i="2"/>
  <c r="T14" i="2"/>
  <c r="S15" i="2"/>
  <c r="T15" i="2" s="1"/>
  <c r="S16" i="2"/>
  <c r="T16" i="2"/>
  <c r="S17" i="2"/>
  <c r="T17" i="2"/>
  <c r="S18" i="2"/>
  <c r="T18" i="2"/>
  <c r="S19" i="2"/>
  <c r="T19" i="2" s="1"/>
  <c r="S20" i="2"/>
  <c r="T20" i="2"/>
  <c r="S21" i="2"/>
  <c r="T21" i="2"/>
  <c r="S22" i="2"/>
  <c r="T22" i="2"/>
  <c r="S23" i="2"/>
  <c r="T23" i="2" s="1"/>
  <c r="S24" i="2"/>
  <c r="T24" i="2"/>
  <c r="S25" i="2"/>
  <c r="T25" i="2"/>
  <c r="S26" i="2"/>
  <c r="T26" i="2"/>
  <c r="S27" i="2"/>
  <c r="T27" i="2" s="1"/>
  <c r="S28" i="2"/>
  <c r="T28" i="2"/>
  <c r="S29" i="2"/>
  <c r="T29" i="2"/>
  <c r="S30" i="2"/>
  <c r="T30" i="2"/>
  <c r="S31" i="2"/>
  <c r="T31" i="2" s="1"/>
  <c r="S32" i="2"/>
  <c r="T32" i="2"/>
  <c r="S33" i="2"/>
  <c r="T33" i="2"/>
  <c r="S34" i="2"/>
  <c r="T34" i="2"/>
  <c r="S35" i="2"/>
  <c r="T35" i="2" s="1"/>
  <c r="S36" i="2"/>
  <c r="T36" i="2"/>
  <c r="S37" i="2"/>
  <c r="T37" i="2"/>
  <c r="S38" i="2"/>
  <c r="T38" i="2"/>
  <c r="S39" i="2"/>
  <c r="T39" i="2" s="1"/>
  <c r="S40" i="2"/>
  <c r="T40" i="2"/>
  <c r="S41" i="2"/>
  <c r="T41" i="2"/>
  <c r="S42" i="2"/>
  <c r="T42" i="2"/>
  <c r="S43" i="2"/>
  <c r="T43" i="2" s="1"/>
  <c r="S44" i="2"/>
  <c r="T44" i="2"/>
  <c r="S45" i="2"/>
  <c r="T45" i="2"/>
  <c r="S46" i="2"/>
  <c r="T46" i="2"/>
  <c r="S47" i="2"/>
  <c r="T47" i="2" s="1"/>
  <c r="S6" i="2"/>
  <c r="T6" i="2" s="1"/>
  <c r="AO273" i="1"/>
  <c r="AP273" i="1"/>
  <c r="AO274" i="1"/>
  <c r="AP274" i="1"/>
  <c r="AO275" i="1"/>
  <c r="AP275" i="1"/>
  <c r="AO276" i="1"/>
  <c r="AP276" i="1"/>
  <c r="AO277" i="1"/>
  <c r="AP277" i="1"/>
  <c r="AO278" i="1"/>
  <c r="AP278" i="1"/>
  <c r="AO279" i="1"/>
  <c r="AP279" i="1"/>
  <c r="AO280" i="1"/>
  <c r="AP280" i="1"/>
  <c r="AO281" i="1"/>
  <c r="AP281" i="1"/>
  <c r="AO282" i="1"/>
  <c r="AP282" i="1"/>
  <c r="AO283" i="1"/>
  <c r="AP283" i="1"/>
  <c r="AO284" i="1"/>
  <c r="AP284" i="1"/>
  <c r="AO285" i="1"/>
  <c r="AP285" i="1"/>
  <c r="AO286" i="1"/>
  <c r="AP286" i="1"/>
  <c r="AO287" i="1"/>
  <c r="AP287" i="1"/>
  <c r="AO288" i="1"/>
  <c r="AP288" i="1"/>
  <c r="AO289" i="1"/>
  <c r="AP289" i="1"/>
  <c r="AO290" i="1"/>
  <c r="AP290" i="1"/>
  <c r="AO291" i="1"/>
  <c r="AP291" i="1"/>
  <c r="AO292" i="1"/>
  <c r="AP292" i="1"/>
  <c r="AO293" i="1"/>
  <c r="AP293" i="1"/>
  <c r="AO294" i="1"/>
  <c r="AP294" i="1"/>
  <c r="AO295" i="1"/>
  <c r="AP295" i="1"/>
  <c r="AO296" i="1"/>
  <c r="AP296" i="1"/>
  <c r="AO297" i="1"/>
  <c r="AP297" i="1"/>
  <c r="AO298" i="1"/>
  <c r="AP298" i="1"/>
  <c r="AO299" i="1"/>
  <c r="AP299" i="1"/>
  <c r="AO300" i="1"/>
  <c r="AP300" i="1"/>
  <c r="AO301" i="1"/>
  <c r="AP301" i="1"/>
  <c r="AO302" i="1"/>
  <c r="AP302" i="1"/>
  <c r="AO303" i="1"/>
  <c r="AP303" i="1"/>
  <c r="AO304" i="1"/>
  <c r="AP304" i="1"/>
  <c r="AO305" i="1"/>
  <c r="AP305" i="1"/>
  <c r="AO306" i="1"/>
  <c r="AP306" i="1"/>
  <c r="AO307" i="1"/>
  <c r="AP307" i="1"/>
  <c r="AO308" i="1"/>
  <c r="AP308" i="1"/>
  <c r="AO309" i="1"/>
  <c r="AP309" i="1"/>
  <c r="AO310" i="1"/>
  <c r="AP310" i="1"/>
  <c r="AO311" i="1"/>
  <c r="AP311" i="1"/>
  <c r="AO312" i="1"/>
  <c r="AP312" i="1"/>
  <c r="AO313" i="1"/>
  <c r="AP313" i="1"/>
  <c r="AO314" i="1"/>
  <c r="AP314" i="1"/>
  <c r="AO315" i="1"/>
  <c r="AP315" i="1"/>
  <c r="AO316" i="1"/>
  <c r="AP316" i="1"/>
  <c r="AO317" i="1"/>
  <c r="AP317" i="1"/>
  <c r="AO318" i="1"/>
  <c r="AP318" i="1"/>
  <c r="AO319" i="1"/>
  <c r="AP319" i="1"/>
  <c r="AO320" i="1"/>
  <c r="AP320" i="1"/>
  <c r="AO321" i="1"/>
  <c r="AP321" i="1"/>
  <c r="AO322" i="1"/>
  <c r="AP322" i="1"/>
  <c r="AO323" i="1"/>
  <c r="AP323" i="1"/>
  <c r="AO324" i="1"/>
  <c r="AP324" i="1"/>
  <c r="AO325" i="1"/>
  <c r="AP325" i="1"/>
  <c r="AO326" i="1"/>
  <c r="AP326" i="1"/>
  <c r="AO327" i="1"/>
  <c r="AP327" i="1"/>
  <c r="AO328" i="1"/>
  <c r="AP328" i="1"/>
  <c r="AO329" i="1"/>
  <c r="AP329" i="1"/>
  <c r="AO330" i="1"/>
  <c r="AP330" i="1"/>
  <c r="AO331" i="1"/>
  <c r="AP331" i="1"/>
  <c r="AO332" i="1"/>
  <c r="AP332" i="1"/>
  <c r="AO333" i="1"/>
  <c r="AP333" i="1"/>
  <c r="AO334" i="1"/>
  <c r="AP334" i="1"/>
  <c r="AO335" i="1"/>
  <c r="AP335" i="1"/>
  <c r="AO336" i="1"/>
  <c r="AP336" i="1"/>
  <c r="AO337" i="1"/>
  <c r="AP337" i="1"/>
  <c r="AO338" i="1"/>
  <c r="AP338" i="1"/>
  <c r="AO339" i="1"/>
  <c r="AP339" i="1"/>
  <c r="AO340" i="1"/>
  <c r="AP340" i="1"/>
  <c r="AO341" i="1"/>
  <c r="AP341" i="1"/>
  <c r="AO342" i="1"/>
  <c r="AP342" i="1"/>
  <c r="AO343" i="1"/>
  <c r="AP343" i="1"/>
  <c r="AO344" i="1"/>
  <c r="AP344" i="1"/>
  <c r="AO345" i="1"/>
  <c r="AP345" i="1"/>
  <c r="AO346" i="1"/>
  <c r="AP346" i="1"/>
  <c r="AO347" i="1"/>
  <c r="AP347" i="1"/>
  <c r="AO348" i="1"/>
  <c r="AP348" i="1"/>
  <c r="AO259" i="1"/>
  <c r="AP259" i="1"/>
  <c r="AO260" i="1"/>
  <c r="AP260" i="1"/>
  <c r="AO261" i="1"/>
  <c r="AP261" i="1"/>
  <c r="AO262" i="1"/>
  <c r="AP262" i="1"/>
  <c r="AO263" i="1"/>
  <c r="AP263" i="1"/>
  <c r="AO264" i="1"/>
  <c r="AP264" i="1"/>
  <c r="AO265" i="1"/>
  <c r="AP265" i="1"/>
  <c r="AO266" i="1"/>
  <c r="AP266" i="1"/>
  <c r="AO267" i="1"/>
  <c r="AP267" i="1"/>
  <c r="AO268" i="1"/>
  <c r="AP268" i="1"/>
  <c r="AO269" i="1"/>
  <c r="AP269" i="1"/>
  <c r="AO270" i="1"/>
  <c r="AP270" i="1"/>
  <c r="AO271" i="1"/>
  <c r="AP271" i="1"/>
  <c r="AO272" i="1"/>
  <c r="AP272" i="1"/>
  <c r="AO250" i="1"/>
  <c r="AP250" i="1"/>
  <c r="AO251" i="1"/>
  <c r="AP251" i="1"/>
  <c r="AO252" i="1"/>
  <c r="AP252" i="1"/>
  <c r="AO253" i="1"/>
  <c r="AP253" i="1"/>
  <c r="AO254" i="1"/>
  <c r="AP254" i="1"/>
  <c r="AO255" i="1"/>
  <c r="AP255" i="1"/>
  <c r="AO256" i="1"/>
  <c r="AP256" i="1"/>
  <c r="AO257" i="1"/>
  <c r="AP257" i="1"/>
  <c r="AO258" i="1"/>
  <c r="AP258" i="1"/>
  <c r="AO6" i="1"/>
  <c r="AP6" i="1"/>
  <c r="AO7" i="1"/>
  <c r="AP7" i="1"/>
  <c r="AO8" i="1"/>
  <c r="AP8" i="1"/>
  <c r="AO9" i="1"/>
  <c r="AP9" i="1"/>
  <c r="AO10" i="1"/>
  <c r="AP10" i="1"/>
  <c r="AO11" i="1"/>
  <c r="AP11" i="1"/>
  <c r="AO12" i="1"/>
  <c r="AP12" i="1"/>
  <c r="AO13" i="1"/>
  <c r="AP13" i="1"/>
  <c r="AO14" i="1"/>
  <c r="AP14" i="1"/>
  <c r="AO15" i="1"/>
  <c r="AP15" i="1"/>
  <c r="AO16" i="1"/>
  <c r="AP16" i="1"/>
  <c r="AO17" i="1"/>
  <c r="AP17" i="1"/>
  <c r="AO18" i="1"/>
  <c r="AP18" i="1"/>
  <c r="AO19" i="1"/>
  <c r="AP19" i="1"/>
  <c r="AO20" i="1"/>
  <c r="AP20" i="1"/>
  <c r="AO21" i="1"/>
  <c r="AP21" i="1"/>
  <c r="AO22" i="1"/>
  <c r="AP22" i="1"/>
  <c r="AO23" i="1"/>
  <c r="AP23" i="1"/>
  <c r="AO24" i="1"/>
  <c r="AP24" i="1"/>
  <c r="AO25" i="1"/>
  <c r="AP25" i="1"/>
  <c r="AO26" i="1"/>
  <c r="AP26" i="1"/>
  <c r="AO27" i="1"/>
  <c r="AP27" i="1"/>
  <c r="AO28" i="1"/>
  <c r="AP28" i="1"/>
  <c r="AO29" i="1"/>
  <c r="AP29" i="1"/>
  <c r="AO30" i="1"/>
  <c r="AP30" i="1"/>
  <c r="AO31" i="1"/>
  <c r="AP31" i="1"/>
  <c r="AO32" i="1"/>
  <c r="AP32" i="1"/>
  <c r="AO33" i="1"/>
  <c r="AP33" i="1"/>
  <c r="AO34" i="1"/>
  <c r="AP34" i="1"/>
  <c r="AO35" i="1"/>
  <c r="AP35" i="1"/>
  <c r="AO36" i="1"/>
  <c r="AP36" i="1"/>
  <c r="AO37" i="1"/>
  <c r="AP37" i="1"/>
  <c r="AO38" i="1"/>
  <c r="AP38" i="1"/>
  <c r="AO39" i="1"/>
  <c r="AP39" i="1"/>
  <c r="AO40" i="1"/>
  <c r="AP40" i="1"/>
  <c r="AO41" i="1"/>
  <c r="AP41" i="1"/>
  <c r="AO42" i="1"/>
  <c r="AP42" i="1"/>
  <c r="AO43" i="1"/>
  <c r="AP43" i="1"/>
  <c r="AO44" i="1"/>
  <c r="AP44" i="1"/>
  <c r="AO45" i="1"/>
  <c r="AP45" i="1"/>
  <c r="AO46" i="1"/>
  <c r="AP46" i="1"/>
  <c r="AO47" i="1"/>
  <c r="AP47" i="1"/>
  <c r="AO48" i="1"/>
  <c r="AP48" i="1"/>
  <c r="AO49" i="1"/>
  <c r="AP49" i="1"/>
  <c r="AO50" i="1"/>
  <c r="AP50" i="1"/>
  <c r="AO51" i="1"/>
  <c r="AP51" i="1"/>
  <c r="AO52" i="1"/>
  <c r="AP52" i="1"/>
  <c r="AO53" i="1"/>
  <c r="AP53" i="1"/>
  <c r="AO54" i="1"/>
  <c r="AP54" i="1"/>
  <c r="AO55" i="1"/>
  <c r="AP55" i="1"/>
  <c r="AO56" i="1"/>
  <c r="AP56" i="1"/>
  <c r="AO57" i="1"/>
  <c r="AP57" i="1"/>
  <c r="AO58" i="1"/>
  <c r="AP58" i="1"/>
  <c r="AO59" i="1"/>
  <c r="AP59" i="1"/>
  <c r="AO60" i="1"/>
  <c r="AP60" i="1"/>
  <c r="AO61" i="1"/>
  <c r="AP61" i="1"/>
  <c r="AO62" i="1"/>
  <c r="AP62" i="1"/>
  <c r="AO63" i="1"/>
  <c r="AP63" i="1"/>
  <c r="AO64" i="1"/>
  <c r="AP64" i="1"/>
  <c r="AO65" i="1"/>
  <c r="AP65" i="1"/>
  <c r="AO66" i="1"/>
  <c r="AP66" i="1"/>
  <c r="AO67" i="1"/>
  <c r="AP67" i="1"/>
  <c r="AO68" i="1"/>
  <c r="AP68" i="1"/>
  <c r="AO69" i="1"/>
  <c r="AP69" i="1"/>
  <c r="AO70" i="1"/>
  <c r="AP70" i="1"/>
  <c r="AO71" i="1"/>
  <c r="AP71" i="1"/>
  <c r="AO72" i="1"/>
  <c r="AP72" i="1"/>
  <c r="AO73" i="1"/>
  <c r="AP73" i="1"/>
  <c r="AO74" i="1"/>
  <c r="AP74" i="1"/>
  <c r="AO75" i="1"/>
  <c r="AP75" i="1"/>
  <c r="AO76" i="1"/>
  <c r="AP76" i="1"/>
  <c r="AO77" i="1"/>
  <c r="AP77" i="1"/>
  <c r="AO78" i="1"/>
  <c r="AP78" i="1"/>
  <c r="AO79" i="1"/>
  <c r="AP79" i="1"/>
  <c r="AO80" i="1"/>
  <c r="AP80" i="1"/>
  <c r="AO81" i="1"/>
  <c r="AP81" i="1"/>
  <c r="AO82" i="1"/>
  <c r="AP82" i="1"/>
  <c r="AO83" i="1"/>
  <c r="AP83" i="1"/>
  <c r="AO84" i="1"/>
  <c r="AP84" i="1"/>
  <c r="AO85" i="1"/>
  <c r="AP85" i="1"/>
  <c r="AO86" i="1"/>
  <c r="AP86" i="1"/>
  <c r="AO87" i="1"/>
  <c r="AP87" i="1"/>
  <c r="AO88" i="1"/>
  <c r="AP88" i="1"/>
  <c r="AO89" i="1"/>
  <c r="AP89" i="1"/>
  <c r="AO90" i="1"/>
  <c r="AP90" i="1"/>
  <c r="AO91" i="1"/>
  <c r="AP91" i="1"/>
  <c r="AO92" i="1"/>
  <c r="AP92" i="1"/>
  <c r="AO93" i="1"/>
  <c r="AP93" i="1"/>
  <c r="AO94" i="1"/>
  <c r="AP94" i="1"/>
  <c r="AO95" i="1"/>
  <c r="AP95" i="1"/>
  <c r="AO96" i="1"/>
  <c r="AP96" i="1"/>
  <c r="AO97" i="1"/>
  <c r="AP97" i="1"/>
  <c r="AO98" i="1"/>
  <c r="AP98" i="1"/>
  <c r="AO99" i="1"/>
  <c r="AP99" i="1"/>
  <c r="AO100" i="1"/>
  <c r="AP100" i="1"/>
  <c r="AO101" i="1"/>
  <c r="AP101" i="1"/>
  <c r="AO102" i="1"/>
  <c r="AP102" i="1"/>
  <c r="AO103" i="1"/>
  <c r="AP103" i="1"/>
  <c r="AO104" i="1"/>
  <c r="AP104" i="1"/>
  <c r="AO105" i="1"/>
  <c r="AP105" i="1"/>
  <c r="AO106" i="1"/>
  <c r="AP106" i="1"/>
  <c r="AO107" i="1"/>
  <c r="AP107" i="1"/>
  <c r="AO108" i="1"/>
  <c r="AP108" i="1"/>
  <c r="AO109" i="1"/>
  <c r="AP109" i="1"/>
  <c r="AO110" i="1"/>
  <c r="AP110" i="1"/>
  <c r="AO111" i="1"/>
  <c r="AP111" i="1"/>
  <c r="AO112" i="1"/>
  <c r="AP112" i="1"/>
  <c r="AO113" i="1"/>
  <c r="AP113" i="1"/>
  <c r="AO114" i="1"/>
  <c r="AP114" i="1"/>
  <c r="AO115" i="1"/>
  <c r="AP115" i="1"/>
  <c r="AO116" i="1"/>
  <c r="AP116" i="1"/>
  <c r="AO117" i="1"/>
  <c r="AP117" i="1"/>
  <c r="AO118" i="1"/>
  <c r="AP118" i="1"/>
  <c r="AO119" i="1"/>
  <c r="AP119" i="1"/>
  <c r="AO120" i="1"/>
  <c r="AP120" i="1"/>
  <c r="AO121" i="1"/>
  <c r="AP121" i="1"/>
  <c r="AO122" i="1"/>
  <c r="AP122" i="1"/>
  <c r="AO123" i="1"/>
  <c r="AP123" i="1"/>
  <c r="AO124" i="1"/>
  <c r="AP124" i="1"/>
  <c r="AO125" i="1"/>
  <c r="AP125" i="1"/>
  <c r="AO126" i="1"/>
  <c r="AP126" i="1"/>
  <c r="AO127" i="1"/>
  <c r="AP127" i="1"/>
  <c r="AO128" i="1"/>
  <c r="AP128" i="1"/>
  <c r="AO129" i="1"/>
  <c r="AP129" i="1"/>
  <c r="AO130" i="1"/>
  <c r="AP130" i="1"/>
  <c r="AO131" i="1"/>
  <c r="AP131" i="1"/>
  <c r="AO132" i="1"/>
  <c r="AP132" i="1"/>
  <c r="AO133" i="1"/>
  <c r="AP133" i="1"/>
  <c r="AO134" i="1"/>
  <c r="AP134" i="1"/>
  <c r="AO135" i="1"/>
  <c r="AP135" i="1"/>
  <c r="AO136" i="1"/>
  <c r="AP136" i="1"/>
  <c r="AO137" i="1"/>
  <c r="AP137" i="1"/>
  <c r="AO138" i="1"/>
  <c r="AP138" i="1"/>
  <c r="AO139" i="1"/>
  <c r="AP139" i="1"/>
  <c r="AO140" i="1"/>
  <c r="AP140" i="1"/>
  <c r="AO141" i="1"/>
  <c r="AP141" i="1"/>
  <c r="AO142" i="1"/>
  <c r="AP142" i="1"/>
  <c r="AO143" i="1"/>
  <c r="AP143" i="1"/>
  <c r="AO144" i="1"/>
  <c r="AP144" i="1"/>
  <c r="AO145" i="1"/>
  <c r="AP145" i="1"/>
  <c r="AO146" i="1"/>
  <c r="AP146" i="1"/>
  <c r="AO147" i="1"/>
  <c r="AP147" i="1"/>
  <c r="AO148" i="1"/>
  <c r="AP148" i="1"/>
  <c r="AO149" i="1"/>
  <c r="AP149" i="1"/>
  <c r="AO150" i="1"/>
  <c r="AP150" i="1"/>
  <c r="AO151" i="1"/>
  <c r="AP151" i="1"/>
  <c r="AO152" i="1"/>
  <c r="AP152" i="1"/>
  <c r="AO153" i="1"/>
  <c r="AP153" i="1"/>
  <c r="AO154" i="1"/>
  <c r="AP154" i="1"/>
  <c r="AO155" i="1"/>
  <c r="AP155" i="1"/>
  <c r="AO156" i="1"/>
  <c r="AP156" i="1"/>
  <c r="AO157" i="1"/>
  <c r="AP157" i="1"/>
  <c r="AO158" i="1"/>
  <c r="AP158" i="1"/>
  <c r="AO159" i="1"/>
  <c r="AP159" i="1"/>
  <c r="AO160" i="1"/>
  <c r="AP160" i="1"/>
  <c r="AO161" i="1"/>
  <c r="AP161" i="1"/>
  <c r="AO162" i="1"/>
  <c r="AP162" i="1"/>
  <c r="AO163" i="1"/>
  <c r="AP163" i="1"/>
  <c r="AO164" i="1"/>
  <c r="AP164" i="1"/>
  <c r="AO165" i="1"/>
  <c r="AP165" i="1"/>
  <c r="AO166" i="1"/>
  <c r="AP166" i="1"/>
  <c r="AO167" i="1"/>
  <c r="AP167" i="1"/>
  <c r="AO168" i="1"/>
  <c r="AP168" i="1"/>
  <c r="AO169" i="1"/>
  <c r="AP169" i="1"/>
  <c r="AO170" i="1"/>
  <c r="AP170" i="1"/>
  <c r="AO171" i="1"/>
  <c r="AP171" i="1"/>
  <c r="AO172" i="1"/>
  <c r="AP172" i="1"/>
  <c r="AO173" i="1"/>
  <c r="AP173" i="1"/>
  <c r="AO174" i="1"/>
  <c r="AP174" i="1"/>
  <c r="AO175" i="1"/>
  <c r="AP175" i="1"/>
  <c r="AO176" i="1"/>
  <c r="AP176" i="1"/>
  <c r="AO177" i="1"/>
  <c r="AP177" i="1"/>
  <c r="AO178" i="1"/>
  <c r="AP178" i="1"/>
  <c r="AO179" i="1"/>
  <c r="AP179" i="1"/>
  <c r="AO180" i="1"/>
  <c r="AP180" i="1"/>
  <c r="AO181" i="1"/>
  <c r="AP181" i="1"/>
  <c r="AO182" i="1"/>
  <c r="AP182" i="1"/>
  <c r="AO183" i="1"/>
  <c r="AP183" i="1"/>
  <c r="AO184" i="1"/>
  <c r="AP184" i="1"/>
  <c r="AO185" i="1"/>
  <c r="AP185" i="1"/>
  <c r="AO186" i="1"/>
  <c r="AP186" i="1"/>
  <c r="AO187" i="1"/>
  <c r="AP187" i="1"/>
  <c r="AO188" i="1"/>
  <c r="AP188" i="1"/>
  <c r="AO189" i="1"/>
  <c r="AP189" i="1"/>
  <c r="AO190" i="1"/>
  <c r="AP190" i="1"/>
  <c r="AO191" i="1"/>
  <c r="AP191" i="1"/>
  <c r="AO192" i="1"/>
  <c r="AP192" i="1"/>
  <c r="AO193" i="1"/>
  <c r="AP193" i="1"/>
  <c r="AO194" i="1"/>
  <c r="AP194" i="1"/>
  <c r="AO195" i="1"/>
  <c r="AP195" i="1"/>
  <c r="AO196" i="1"/>
  <c r="AP196" i="1"/>
  <c r="AO197" i="1"/>
  <c r="AP197" i="1"/>
  <c r="AO198" i="1"/>
  <c r="AP198" i="1"/>
  <c r="AO199" i="1"/>
  <c r="AP199" i="1"/>
  <c r="AO200" i="1"/>
  <c r="AP200" i="1"/>
  <c r="AO201" i="1"/>
  <c r="AP201" i="1"/>
  <c r="AO202" i="1"/>
  <c r="AP202" i="1"/>
  <c r="AO203" i="1"/>
  <c r="AP203" i="1"/>
  <c r="AO204" i="1"/>
  <c r="AP204" i="1"/>
  <c r="AO205" i="1"/>
  <c r="AP205" i="1"/>
  <c r="AO206" i="1"/>
  <c r="AP206" i="1"/>
  <c r="AO207" i="1"/>
  <c r="AP207" i="1"/>
  <c r="AO208" i="1"/>
  <c r="AP208" i="1"/>
  <c r="AO209" i="1"/>
  <c r="AP209" i="1"/>
  <c r="AO210" i="1"/>
  <c r="AP210" i="1"/>
  <c r="AO211" i="1"/>
  <c r="AP211" i="1"/>
  <c r="AO212" i="1"/>
  <c r="AP212" i="1"/>
  <c r="AO213" i="1"/>
  <c r="AP213" i="1"/>
  <c r="AO214" i="1"/>
  <c r="AP214" i="1"/>
  <c r="AO215" i="1"/>
  <c r="AP215" i="1"/>
  <c r="AO216" i="1"/>
  <c r="AP216" i="1"/>
  <c r="AO217" i="1"/>
  <c r="AP217" i="1"/>
  <c r="AO218" i="1"/>
  <c r="AP218" i="1"/>
  <c r="AO219" i="1"/>
  <c r="AP219" i="1"/>
  <c r="AO220" i="1"/>
  <c r="AP220" i="1"/>
  <c r="AO221" i="1"/>
  <c r="AP221" i="1"/>
  <c r="AO222" i="1"/>
  <c r="AP222" i="1"/>
  <c r="AO223" i="1"/>
  <c r="AP223" i="1"/>
  <c r="AO224" i="1"/>
  <c r="AP224" i="1"/>
  <c r="AO225" i="1"/>
  <c r="AP225" i="1"/>
  <c r="AO226" i="1"/>
  <c r="AP226" i="1"/>
  <c r="AO227" i="1"/>
  <c r="AP227" i="1"/>
  <c r="AO228" i="1"/>
  <c r="AP228" i="1"/>
  <c r="AO229" i="1"/>
  <c r="AP229" i="1"/>
  <c r="AO230" i="1"/>
  <c r="AP230" i="1"/>
  <c r="AO231" i="1"/>
  <c r="AP231" i="1"/>
  <c r="AO232" i="1"/>
  <c r="AP232" i="1"/>
  <c r="AO233" i="1"/>
  <c r="AP233" i="1"/>
  <c r="AO234" i="1"/>
  <c r="AP234" i="1"/>
  <c r="AO235" i="1"/>
  <c r="AP235" i="1"/>
  <c r="AO236" i="1"/>
  <c r="AP236" i="1"/>
  <c r="AO237" i="1"/>
  <c r="AP237" i="1"/>
  <c r="AO238" i="1"/>
  <c r="AP238" i="1"/>
  <c r="AO239" i="1"/>
  <c r="AP239" i="1"/>
  <c r="AO240" i="1"/>
  <c r="AP240" i="1"/>
  <c r="AO241" i="1"/>
  <c r="AP241" i="1"/>
  <c r="AO242" i="1"/>
  <c r="AP242" i="1"/>
  <c r="AO243" i="1"/>
  <c r="AP243" i="1"/>
  <c r="AO244" i="1"/>
  <c r="AP244" i="1"/>
  <c r="AO245" i="1"/>
  <c r="AP245" i="1"/>
  <c r="AO246" i="1"/>
  <c r="AP246" i="1"/>
  <c r="AO247" i="1"/>
  <c r="AP247" i="1"/>
  <c r="AO248" i="1"/>
  <c r="AP248" i="1"/>
  <c r="AO249" i="1"/>
  <c r="AP249" i="1"/>
  <c r="AP5" i="1"/>
  <c r="AO5" i="1"/>
  <c r="C34" i="4"/>
  <c r="B34" i="4"/>
  <c r="Q40" i="4"/>
  <c r="M40" i="4"/>
  <c r="I40" i="4"/>
  <c r="E40" i="4"/>
  <c r="R40" i="4" s="1"/>
  <c r="Q38" i="4"/>
  <c r="M38" i="4"/>
  <c r="I38" i="4"/>
  <c r="E38" i="4"/>
  <c r="R38" i="4" s="1"/>
  <c r="Q37" i="4"/>
  <c r="M37" i="4"/>
  <c r="I37" i="4"/>
  <c r="E37" i="4"/>
  <c r="R37" i="4" s="1"/>
  <c r="Q36" i="4"/>
  <c r="M36" i="4"/>
  <c r="I36" i="4"/>
  <c r="E36" i="4"/>
  <c r="R36" i="4" s="1"/>
  <c r="Q35" i="4"/>
  <c r="M35" i="4"/>
  <c r="I35" i="4"/>
  <c r="E35" i="4"/>
  <c r="R35" i="4" s="1"/>
  <c r="P34" i="4"/>
  <c r="O34" i="4"/>
  <c r="N34" i="4"/>
  <c r="L34" i="4"/>
  <c r="K34" i="4"/>
  <c r="J34" i="4"/>
  <c r="H34" i="4"/>
  <c r="G34" i="4"/>
  <c r="F34" i="4"/>
  <c r="D34" i="4"/>
  <c r="Q33" i="4"/>
  <c r="M33" i="4"/>
  <c r="I33" i="4"/>
  <c r="E33" i="4"/>
  <c r="R33" i="4" s="1"/>
  <c r="Q32" i="4"/>
  <c r="M32" i="4"/>
  <c r="I32" i="4"/>
  <c r="E32" i="4"/>
  <c r="Q31" i="4"/>
  <c r="M31" i="4"/>
  <c r="I31" i="4"/>
  <c r="E31" i="4"/>
  <c r="R31" i="4" s="1"/>
  <c r="Q30" i="4"/>
  <c r="M30" i="4"/>
  <c r="I30" i="4"/>
  <c r="E30" i="4"/>
  <c r="P29" i="4"/>
  <c r="O29" i="4"/>
  <c r="N29" i="4"/>
  <c r="L29" i="4"/>
  <c r="K29" i="4"/>
  <c r="J29" i="4"/>
  <c r="H29" i="4"/>
  <c r="G29" i="4"/>
  <c r="F29" i="4"/>
  <c r="D29" i="4"/>
  <c r="C29" i="4"/>
  <c r="B29" i="4"/>
  <c r="Q28" i="4"/>
  <c r="M28" i="4"/>
  <c r="I28" i="4"/>
  <c r="E28" i="4"/>
  <c r="Q27" i="4"/>
  <c r="M27" i="4"/>
  <c r="I27" i="4"/>
  <c r="E27" i="4"/>
  <c r="R27" i="4" s="1"/>
  <c r="Q26" i="4"/>
  <c r="M26" i="4"/>
  <c r="I26" i="4"/>
  <c r="E26" i="4"/>
  <c r="Q25" i="4"/>
  <c r="M25" i="4"/>
  <c r="I25" i="4"/>
  <c r="E25" i="4"/>
  <c r="P23" i="4"/>
  <c r="O23" i="4"/>
  <c r="N23" i="4"/>
  <c r="L23" i="4"/>
  <c r="K23" i="4"/>
  <c r="J23" i="4"/>
  <c r="H23" i="4"/>
  <c r="G23" i="4"/>
  <c r="F23" i="4"/>
  <c r="D23" i="4"/>
  <c r="C23" i="4"/>
  <c r="B23" i="4"/>
  <c r="P22" i="4"/>
  <c r="O22" i="4"/>
  <c r="N22" i="4"/>
  <c r="L22" i="4"/>
  <c r="K22" i="4"/>
  <c r="J22" i="4"/>
  <c r="M22" i="4" s="1"/>
  <c r="H22" i="4"/>
  <c r="G22" i="4"/>
  <c r="F22" i="4"/>
  <c r="I22" i="4" s="1"/>
  <c r="D22" i="4"/>
  <c r="C22" i="4"/>
  <c r="B22" i="4"/>
  <c r="Q21" i="4"/>
  <c r="M21" i="4"/>
  <c r="I21" i="4"/>
  <c r="E21" i="4"/>
  <c r="Q20" i="4"/>
  <c r="M20" i="4"/>
  <c r="I20" i="4"/>
  <c r="E20" i="4"/>
  <c r="R20" i="4" s="1"/>
  <c r="Q19" i="4"/>
  <c r="M19" i="4"/>
  <c r="I19" i="4"/>
  <c r="E19" i="4"/>
  <c r="Q18" i="4"/>
  <c r="M18" i="4"/>
  <c r="I18" i="4"/>
  <c r="E18" i="4"/>
  <c r="Q17" i="4"/>
  <c r="M17" i="4"/>
  <c r="I17" i="4"/>
  <c r="E17" i="4"/>
  <c r="Q14" i="4"/>
  <c r="M14" i="4"/>
  <c r="I14" i="4"/>
  <c r="E14" i="4"/>
  <c r="R14" i="4" s="1"/>
  <c r="Q13" i="4"/>
  <c r="M13" i="4"/>
  <c r="I13" i="4"/>
  <c r="E13" i="4"/>
  <c r="Q12" i="4"/>
  <c r="M12" i="4"/>
  <c r="I12" i="4"/>
  <c r="E12" i="4"/>
  <c r="R12" i="4" s="1"/>
  <c r="Q11" i="4"/>
  <c r="M11" i="4"/>
  <c r="I11" i="4"/>
  <c r="C11" i="4"/>
  <c r="B11" i="4"/>
  <c r="Q10" i="4"/>
  <c r="M10" i="4"/>
  <c r="I10" i="4"/>
  <c r="E10" i="4"/>
  <c r="R10" i="4" s="1"/>
  <c r="Q9" i="4"/>
  <c r="M9" i="4"/>
  <c r="I9" i="4"/>
  <c r="E9" i="4"/>
  <c r="Q8" i="4"/>
  <c r="M8" i="4"/>
  <c r="I8" i="4"/>
  <c r="E8" i="4"/>
  <c r="R8" i="4" s="1"/>
  <c r="P7" i="4"/>
  <c r="P15" i="4" s="1"/>
  <c r="O7" i="4"/>
  <c r="O15" i="4" s="1"/>
  <c r="N7" i="4"/>
  <c r="N15" i="4" s="1"/>
  <c r="L7" i="4"/>
  <c r="L15" i="4" s="1"/>
  <c r="K7" i="4"/>
  <c r="K15" i="4" s="1"/>
  <c r="J7" i="4"/>
  <c r="J15" i="4" s="1"/>
  <c r="H7" i="4"/>
  <c r="H15" i="4" s="1"/>
  <c r="G7" i="4"/>
  <c r="G15" i="4" s="1"/>
  <c r="F7" i="4"/>
  <c r="F15" i="4" s="1"/>
  <c r="D7" i="4"/>
  <c r="D15" i="4" s="1"/>
  <c r="C7" i="4"/>
  <c r="C15" i="4" s="1"/>
  <c r="B7" i="4"/>
  <c r="Q6" i="4"/>
  <c r="M6" i="4"/>
  <c r="I6" i="4"/>
  <c r="E6" i="4"/>
  <c r="R6" i="4" s="1"/>
  <c r="Q5" i="4"/>
  <c r="M5" i="4"/>
  <c r="I5" i="4"/>
  <c r="E5" i="4"/>
  <c r="Q4" i="4"/>
  <c r="M4" i="4"/>
  <c r="I4" i="4"/>
  <c r="E4" i="4"/>
  <c r="R4" i="4" s="1"/>
  <c r="Q3" i="4"/>
  <c r="M3" i="4"/>
  <c r="I3" i="4"/>
  <c r="E3" i="4"/>
  <c r="Q29" i="4" l="1"/>
  <c r="R3" i="4"/>
  <c r="R9" i="4"/>
  <c r="R13" i="4"/>
  <c r="R17" i="4"/>
  <c r="R19" i="4"/>
  <c r="R21" i="4"/>
  <c r="R28" i="4"/>
  <c r="I29" i="4"/>
  <c r="R30" i="4"/>
  <c r="R32" i="4"/>
  <c r="Q34" i="4"/>
  <c r="R18" i="4"/>
  <c r="R5" i="4"/>
  <c r="M23" i="4"/>
  <c r="R25" i="4"/>
  <c r="R26" i="4"/>
  <c r="Q22" i="4"/>
  <c r="I23" i="4"/>
  <c r="Q23" i="4"/>
  <c r="I34" i="4"/>
  <c r="B15" i="4"/>
  <c r="E15" i="4" s="1"/>
  <c r="M29" i="4"/>
  <c r="M34" i="4"/>
  <c r="I15" i="4"/>
  <c r="M15" i="4"/>
  <c r="Q15" i="4"/>
  <c r="E7" i="4"/>
  <c r="I7" i="4"/>
  <c r="M7" i="4"/>
  <c r="Q7" i="4"/>
  <c r="E11" i="4"/>
  <c r="R11" i="4" s="1"/>
  <c r="E29" i="4"/>
  <c r="E34" i="4"/>
  <c r="E22" i="4"/>
  <c r="R22" i="4" s="1"/>
  <c r="E23" i="4"/>
  <c r="R23" i="4" l="1"/>
  <c r="R29" i="4"/>
  <c r="R34" i="4"/>
  <c r="R7" i="4"/>
  <c r="R15" i="4"/>
</calcChain>
</file>

<file path=xl/sharedStrings.xml><?xml version="1.0" encoding="utf-8"?>
<sst xmlns="http://schemas.openxmlformats.org/spreadsheetml/2006/main" count="1371" uniqueCount="472">
  <si>
    <t>PRODN. PERFORMANCE - 2025-26</t>
  </si>
  <si>
    <t>Statistical Section, RSP.</t>
  </si>
  <si>
    <t>Page:-9</t>
  </si>
  <si>
    <t xml:space="preserve">   P R O D U C T S</t>
  </si>
  <si>
    <t>Apr</t>
  </si>
  <si>
    <t>May</t>
  </si>
  <si>
    <t>Jun</t>
  </si>
  <si>
    <t>1ST QR</t>
  </si>
  <si>
    <t>Jul</t>
  </si>
  <si>
    <t>Aug</t>
  </si>
  <si>
    <t>Sep</t>
  </si>
  <si>
    <t>2ND QR.</t>
  </si>
  <si>
    <t>Oct</t>
  </si>
  <si>
    <t>Nov</t>
  </si>
  <si>
    <t>Dec</t>
  </si>
  <si>
    <t>3RD QR</t>
  </si>
  <si>
    <t>Jan</t>
  </si>
  <si>
    <t>Feb</t>
  </si>
  <si>
    <t>Mar</t>
  </si>
  <si>
    <t>4TH QR</t>
  </si>
  <si>
    <t>CUM</t>
  </si>
  <si>
    <t xml:space="preserve"> Battery-6 (Nos./Day)</t>
  </si>
  <si>
    <t xml:space="preserve"> Oven Pushed (Nos./Day)</t>
  </si>
  <si>
    <t>Equivalent  Oven Pushed</t>
  </si>
  <si>
    <t xml:space="preserve"> Sinter - I</t>
  </si>
  <si>
    <t xml:space="preserve"> Sinter - II</t>
  </si>
  <si>
    <t xml:space="preserve"> Sinter - III</t>
  </si>
  <si>
    <t>Sinter Total</t>
  </si>
  <si>
    <t xml:space="preserve"> Hot Metal</t>
  </si>
  <si>
    <t>Cold Pig</t>
  </si>
  <si>
    <t xml:space="preserve"> SMS -I Fndry Cast</t>
  </si>
  <si>
    <t xml:space="preserve">  CCM-I - Slabs</t>
  </si>
  <si>
    <t>SMS-I Total</t>
  </si>
  <si>
    <t xml:space="preserve">  CCM-II - Slabs</t>
  </si>
  <si>
    <t>SMS-2/Caster-III</t>
  </si>
  <si>
    <t>SMS-II Total</t>
  </si>
  <si>
    <t xml:space="preserve"> Total Crude Steel</t>
  </si>
  <si>
    <t>Total Slabs</t>
  </si>
  <si>
    <t>HSM-2 -  H R Coils Total</t>
  </si>
  <si>
    <t>SSL</t>
  </si>
  <si>
    <t>OPM  Plates</t>
  </si>
  <si>
    <t>NPM Plates</t>
  </si>
  <si>
    <t>HSM-2/  H R Coils for Sale</t>
  </si>
  <si>
    <t xml:space="preserve"> ERW Pipes</t>
  </si>
  <si>
    <t xml:space="preserve"> SW Pipes</t>
  </si>
  <si>
    <t xml:space="preserve"> CRNO Sheets/Coils</t>
  </si>
  <si>
    <t>Saleable Steel Total</t>
  </si>
  <si>
    <t xml:space="preserve"> Gr.Slag - S G P</t>
  </si>
  <si>
    <t xml:space="preserve">       - Cast House</t>
  </si>
  <si>
    <t xml:space="preserve">        - Total</t>
  </si>
  <si>
    <t>Avg.Power Gen. CPP-I</t>
  </si>
  <si>
    <t>Avg.Power Gen. CPP-I I</t>
  </si>
  <si>
    <t>Avg.Power Gen. CPP-I I I</t>
  </si>
  <si>
    <t>Avg.Power Gen. Solar</t>
  </si>
  <si>
    <t>Avg.Power Gen. Total</t>
  </si>
  <si>
    <t>Net drawal from GRIDCO.</t>
  </si>
  <si>
    <t>RMHP-Despatch</t>
  </si>
  <si>
    <t>With Sinter</t>
  </si>
  <si>
    <t>Without Sinter</t>
  </si>
  <si>
    <t>Sized Ore</t>
  </si>
  <si>
    <t>HSM 2 HR COIL TOTAL</t>
  </si>
  <si>
    <t>HSM 2 HR COIL SALE</t>
  </si>
  <si>
    <t>BF-1</t>
  </si>
  <si>
    <t>BF-4</t>
  </si>
  <si>
    <t>BF-5</t>
  </si>
  <si>
    <t>DESP.PERFORMANCE  - 2025-26</t>
  </si>
  <si>
    <t>Page:-10</t>
  </si>
  <si>
    <t>APR</t>
  </si>
  <si>
    <t>MAY</t>
  </si>
  <si>
    <t>JUN</t>
  </si>
  <si>
    <t>JUL</t>
  </si>
  <si>
    <t>AUG</t>
  </si>
  <si>
    <t>SEP</t>
  </si>
  <si>
    <t>2ND QR</t>
  </si>
  <si>
    <t>OCT</t>
  </si>
  <si>
    <t>NOV</t>
  </si>
  <si>
    <t>DEC</t>
  </si>
  <si>
    <t>JAN</t>
  </si>
  <si>
    <t>FEB</t>
  </si>
  <si>
    <t>MAR</t>
  </si>
  <si>
    <t xml:space="preserve"> SALEABLE STEEL</t>
  </si>
  <si>
    <t xml:space="preserve"> Slabs &amp; Billet</t>
  </si>
  <si>
    <t>PM  Plates</t>
  </si>
  <si>
    <t>NPM Pkates</t>
  </si>
  <si>
    <t xml:space="preserve"> H R Coils 2/sale</t>
  </si>
  <si>
    <t xml:space="preserve">SSL - HR Plates </t>
  </si>
  <si>
    <t xml:space="preserve"> E R W Pipes</t>
  </si>
  <si>
    <t xml:space="preserve"> S W Pipes</t>
  </si>
  <si>
    <t>Galvanised sheets</t>
  </si>
  <si>
    <t>TOT. SAL.STEEL</t>
  </si>
  <si>
    <t>CMO Direct despatch</t>
  </si>
  <si>
    <t xml:space="preserve"> Sal.Steel - Road</t>
  </si>
  <si>
    <t>Sal.Steel-Rail</t>
  </si>
  <si>
    <t>Gross Desp. - Road</t>
  </si>
  <si>
    <t>Gross Desp. - Rail</t>
  </si>
  <si>
    <t>Gross Despatches Total</t>
  </si>
  <si>
    <t>Sinter- Total</t>
  </si>
  <si>
    <t>Sinter-BSL&amp;BSP</t>
  </si>
  <si>
    <t>Sinter-DSP</t>
  </si>
  <si>
    <t>Export</t>
  </si>
  <si>
    <t xml:space="preserve">HR Coil sale   </t>
  </si>
  <si>
    <t xml:space="preserve">  PM Plates</t>
  </si>
  <si>
    <t xml:space="preserve">NEW  PM Plates </t>
  </si>
  <si>
    <t xml:space="preserve">HR Plate NDL </t>
  </si>
  <si>
    <t xml:space="preserve">HR Plate SSL </t>
  </si>
  <si>
    <t>***PPC (Statistics)***</t>
  </si>
  <si>
    <t>TECHNOLOGICAL PARAMETERS  -</t>
  </si>
  <si>
    <t xml:space="preserve">TECHNO ECONOMIC PARAMETERS </t>
  </si>
  <si>
    <t>25-26</t>
  </si>
  <si>
    <t>-</t>
  </si>
  <si>
    <t xml:space="preserve">                    </t>
  </si>
  <si>
    <t>COKE OVENS</t>
  </si>
  <si>
    <t>UNIT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</si>
  <si>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</si>
  <si>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</si>
  <si>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</si>
  <si>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</si>
  <si>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</si>
  <si>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</si>
  <si>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</si>
  <si>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</si>
  <si>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</si>
  <si>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</si>
  <si>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</si>
  <si>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</si>
  <si>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</si>
  <si>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</si>
  <si>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</si>
  <si>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</si>
  <si>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</si>
  <si>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</si>
  <si>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Norm</t>
  </si>
  <si>
    <t>1st Qr</t>
  </si>
  <si>
    <t>2nd Qr.</t>
  </si>
  <si>
    <t>3rd Qr.</t>
  </si>
  <si>
    <t>4th Qr.</t>
  </si>
  <si>
    <t>Cum.</t>
  </si>
  <si>
    <t>BATTERY - (1-5)</t>
  </si>
  <si>
    <t>2025-26</t>
  </si>
  <si>
    <t>Page 1</t>
  </si>
  <si>
    <t>Gross Coke Yield</t>
  </si>
  <si>
    <t>%</t>
  </si>
  <si>
    <t>BFCoke (H/C+N/C)Yld</t>
  </si>
  <si>
    <t>T / Oven</t>
  </si>
  <si>
    <t>% dry coal</t>
  </si>
  <si>
    <t>H/Coke Yield(+25mm)</t>
  </si>
  <si>
    <t>COG Yield on dry Coal</t>
  </si>
  <si>
    <t>Nm3 / T</t>
  </si>
  <si>
    <t>Dry Coal Charge</t>
  </si>
  <si>
    <t>Imported Coal Usage</t>
  </si>
  <si>
    <t>Coke Micum(-10mm)</t>
  </si>
  <si>
    <t>C.V. of C.O.Gas</t>
  </si>
  <si>
    <t>K.Cal./Nm3</t>
  </si>
  <si>
    <t>Avg.N2 content in COG</t>
  </si>
  <si>
    <t>BATTERY - 6</t>
  </si>
  <si>
    <t>H/Coke Yield (+25mm)</t>
  </si>
  <si>
    <t>Breeze Coke Yield</t>
  </si>
  <si>
    <t xml:space="preserve">COAL CHEMICALS </t>
  </si>
  <si>
    <t xml:space="preserve">Crude Tar Yield </t>
  </si>
  <si>
    <t xml:space="preserve">Amm.Sulph.Yield </t>
  </si>
  <si>
    <t>Sul Cons./T.of H2SO4</t>
  </si>
  <si>
    <t>Kgs</t>
  </si>
  <si>
    <t>--</t>
  </si>
  <si>
    <t>Acid cons./Tof Sulphate</t>
  </si>
  <si>
    <t>Page: 2</t>
  </si>
  <si>
    <t>SINTER PLANT-I</t>
  </si>
  <si>
    <t>July</t>
  </si>
  <si>
    <t>FeO in Sinter</t>
  </si>
  <si>
    <t>9.5+-0.5</t>
  </si>
  <si>
    <t>Fe in Sinter</t>
  </si>
  <si>
    <t>CaO in Sinter</t>
  </si>
  <si>
    <t>Basicity  (CaO/ SiO2)</t>
  </si>
  <si>
    <t>1.6-1.65</t>
  </si>
  <si>
    <t>Specific productivity</t>
  </si>
  <si>
    <t>T/m2/Hr</t>
  </si>
  <si>
    <t>Iron Ore Fines Cons.</t>
  </si>
  <si>
    <t>Kg / T</t>
  </si>
  <si>
    <t>Limestone Cons.</t>
  </si>
  <si>
    <t>Dolomite Cons.</t>
  </si>
  <si>
    <t>Millscale Cons.</t>
  </si>
  <si>
    <t>LD Slag Cons.</t>
  </si>
  <si>
    <t>Sinter Dust Cons.</t>
  </si>
  <si>
    <t>Coke Breeze Cons</t>
  </si>
  <si>
    <t>N/Coke thro Sinter-Dry</t>
  </si>
  <si>
    <t>Machine Utilisation</t>
  </si>
  <si>
    <t>% on Avl.T.</t>
  </si>
  <si>
    <t>Lime Crusher-Fines</t>
  </si>
  <si>
    <t>-3mm %</t>
  </si>
  <si>
    <t>90 min.</t>
  </si>
  <si>
    <t>Coke Crusher-Fines</t>
  </si>
  <si>
    <t>80 min.</t>
  </si>
  <si>
    <t>Tumbler Index</t>
  </si>
  <si>
    <t>Plant Return Fines</t>
  </si>
  <si>
    <t>SINTER PLANT - II</t>
  </si>
  <si>
    <t>Limestone Consumption</t>
  </si>
  <si>
    <t>Dolomite Consumption</t>
  </si>
  <si>
    <t>Coke Breeze Cons.</t>
  </si>
  <si>
    <t>calcined lime</t>
  </si>
  <si>
    <t>Flux (-3mm)</t>
  </si>
  <si>
    <t>Coke Breeze (-3mm)</t>
  </si>
  <si>
    <t>Page: 3</t>
  </si>
  <si>
    <t>SINTER PLANT - III</t>
  </si>
  <si>
    <t>Coke Breeze Con</t>
  </si>
  <si>
    <t>BLAST FURNACES</t>
  </si>
  <si>
    <t>cum</t>
  </si>
  <si>
    <t>Productivity - BF #1</t>
  </si>
  <si>
    <t xml:space="preserve"> T/m3 / day</t>
  </si>
  <si>
    <t>Productivity - BF #4</t>
  </si>
  <si>
    <t>Productivity - BF #5</t>
  </si>
  <si>
    <t>Productivity - (Shop)</t>
  </si>
  <si>
    <t>Coke Rate -BF#1</t>
  </si>
  <si>
    <t xml:space="preserve">    Kg / T</t>
  </si>
  <si>
    <t>Coke Rate    BF#4</t>
  </si>
  <si>
    <t>Coke Rate  BF#5</t>
  </si>
  <si>
    <t>Coke Rate SHOP</t>
  </si>
  <si>
    <t>BF#1 PCI(Dry)</t>
  </si>
  <si>
    <t>BF#4 PCI(Dry)</t>
  </si>
  <si>
    <t>BF#5 PCI(Dry)</t>
  </si>
  <si>
    <t>PCI - Shop</t>
  </si>
  <si>
    <t>Carbon Rate</t>
  </si>
  <si>
    <t>Sinter.-wet</t>
  </si>
  <si>
    <t>Iron Ore( Lump).-wet</t>
  </si>
  <si>
    <t>Iron Ore Fines  (sinter)</t>
  </si>
  <si>
    <t>Specific Iron bearing material .(wet)</t>
  </si>
  <si>
    <t>Specific Iron bearing material .(dry)</t>
  </si>
  <si>
    <t xml:space="preserve">Scrap </t>
  </si>
  <si>
    <t xml:space="preserve">Pellet </t>
  </si>
  <si>
    <t xml:space="preserve">LD Slag </t>
  </si>
  <si>
    <t xml:space="preserve">Quartzite </t>
  </si>
  <si>
    <t>N/C --BF- 1</t>
  </si>
  <si>
    <t>N/C --BF- 4</t>
  </si>
  <si>
    <t>N/C --BF- 5</t>
  </si>
  <si>
    <t>N/C -SHOP</t>
  </si>
  <si>
    <t>Sinter in Burden</t>
  </si>
  <si>
    <t>Pellet Burden</t>
  </si>
  <si>
    <t>BF Return Fines</t>
  </si>
  <si>
    <t>Blast Temp. - Overall</t>
  </si>
  <si>
    <t>oC</t>
  </si>
  <si>
    <t>Slag Volume</t>
  </si>
  <si>
    <t xml:space="preserve">      Kg / T</t>
  </si>
  <si>
    <t>Slag Basicity</t>
  </si>
  <si>
    <t xml:space="preserve">  CaO / SiO2</t>
  </si>
  <si>
    <t>Off Cast Due to Si</t>
  </si>
  <si>
    <t>&gt; 1.0  %</t>
  </si>
  <si>
    <t>Off Cast due to S</t>
  </si>
  <si>
    <t>&gt;0.050  %</t>
  </si>
  <si>
    <t>BFG Yld (On Hot Metal)</t>
  </si>
  <si>
    <t>Nm3 / THM</t>
  </si>
  <si>
    <t>BFG Yld (On dryCoke)</t>
  </si>
  <si>
    <t xml:space="preserve">    Nm3 / T</t>
  </si>
  <si>
    <t>Avg.LiningLife(small)</t>
  </si>
  <si>
    <t>Cycle/ Ladle</t>
  </si>
  <si>
    <t>Avg.Lining Life (Big)</t>
  </si>
  <si>
    <t>Avg.Lining Life (Torpedo)</t>
  </si>
  <si>
    <t xml:space="preserve"> </t>
  </si>
  <si>
    <t>Page: 4</t>
  </si>
  <si>
    <t>STEEL MELTING SHOP-I</t>
  </si>
  <si>
    <t>Converter Avail. % on</t>
  </si>
  <si>
    <t xml:space="preserve"> Cal Time</t>
  </si>
  <si>
    <t>Conv.Utilisation% on</t>
  </si>
  <si>
    <t>Avail. Time</t>
  </si>
  <si>
    <t>Met.Input (HM+scrap+iron ore)</t>
  </si>
  <si>
    <t>Kg /Tonne</t>
  </si>
  <si>
    <t>Hot Metal Cons.</t>
  </si>
  <si>
    <t>Scrap Consumption</t>
  </si>
  <si>
    <t>Burnt Lime Cons.</t>
  </si>
  <si>
    <t>Calcined Dolo cons.</t>
  </si>
  <si>
    <t>Raw Dolo cons.</t>
  </si>
  <si>
    <t>Ferro- Mn Consmn LC</t>
  </si>
  <si>
    <t>Kg / Tonne</t>
  </si>
  <si>
    <t>Ferro Silicon Consmn</t>
  </si>
  <si>
    <t>Silico -Mn Cons.</t>
  </si>
  <si>
    <t>Aluminium Consmn</t>
  </si>
  <si>
    <t>Refractory Cons.</t>
  </si>
  <si>
    <t xml:space="preserve">Mettalic Yield    </t>
  </si>
  <si>
    <t xml:space="preserve">Blow Weight </t>
  </si>
  <si>
    <t>Tons / Blow</t>
  </si>
  <si>
    <t>Tap to Tap time</t>
  </si>
  <si>
    <t>Hrs</t>
  </si>
  <si>
    <t>Avg. Lining Life</t>
  </si>
  <si>
    <t>Nos / Lining</t>
  </si>
  <si>
    <t>Oxygen Consmn.(LD)</t>
  </si>
  <si>
    <t>Nm3 /Tonne</t>
  </si>
  <si>
    <t>Oxygen Cons.(CCM I)</t>
  </si>
  <si>
    <t>HP N2 Consmn.</t>
  </si>
  <si>
    <t>Nm3 /Blow</t>
  </si>
  <si>
    <t>Converter Yield</t>
  </si>
  <si>
    <t>Caster Yield</t>
  </si>
  <si>
    <t>Hot Metal to Slab Ratio</t>
  </si>
  <si>
    <t>Page: 5</t>
  </si>
  <si>
    <t>STEEL MELTING SHOP-II</t>
  </si>
  <si>
    <t>Met. Input( HM+Scrap+iron ore cons))</t>
  </si>
  <si>
    <t>Raw Dolo  cons.</t>
  </si>
  <si>
    <t>Ferro- Mn Cons.(LC)</t>
  </si>
  <si>
    <t>Ferro- Mn Cons(HC).</t>
  </si>
  <si>
    <t>Silico- Mn Cons.</t>
  </si>
  <si>
    <t>LD SLAG CONSP</t>
  </si>
  <si>
    <t>Refractory Consmn.</t>
  </si>
  <si>
    <t xml:space="preserve">Mettalic Yield </t>
  </si>
  <si>
    <t>Blow Weight</t>
  </si>
  <si>
    <t>01::00</t>
  </si>
  <si>
    <t>Oxygen Cons.(BOF II)</t>
  </si>
  <si>
    <t>Oxygen Cons.(CCM II)</t>
  </si>
  <si>
    <t>PLATE MILL</t>
  </si>
  <si>
    <t>7 &amp; 8 mm production</t>
  </si>
  <si>
    <t>Tons</t>
  </si>
  <si>
    <t>22 mm &amp; above prod.</t>
  </si>
  <si>
    <t>Normalising</t>
  </si>
  <si>
    <t>Normalized Rolled Plates</t>
  </si>
  <si>
    <t>Yield - Primes</t>
  </si>
  <si>
    <t>Yield - Total</t>
  </si>
  <si>
    <t>Average Slab Weight</t>
  </si>
  <si>
    <t>Mill Availability</t>
  </si>
  <si>
    <t>Util. on Avail. Time</t>
  </si>
  <si>
    <t>T/Hr.</t>
  </si>
  <si>
    <t>Page: 6</t>
  </si>
  <si>
    <t>NEW PLATE MILL</t>
  </si>
  <si>
    <t>Normalising  Production</t>
  </si>
  <si>
    <t>HOT STRIP MILL</t>
  </si>
  <si>
    <t>Slab Cobbled</t>
  </si>
  <si>
    <t>H R Coil Yield</t>
  </si>
  <si>
    <t>Utilis. on Avail. Time</t>
  </si>
  <si>
    <t>Rolling Rate -HR Coils</t>
  </si>
  <si>
    <t>R.H.Fce Avail-Average</t>
  </si>
  <si>
    <t>Nos./Day</t>
  </si>
  <si>
    <t>ERW PIPE PLANT</t>
  </si>
  <si>
    <t>Rejection</t>
  </si>
  <si>
    <t>1.0 max.</t>
  </si>
  <si>
    <t>Yield from HR Coils</t>
  </si>
  <si>
    <t>API Acceptance</t>
  </si>
  <si>
    <t>Utili.on Available Time</t>
  </si>
  <si>
    <t xml:space="preserve">Rolling Rate </t>
  </si>
  <si>
    <t>SW PIPE PLANT</t>
  </si>
  <si>
    <t>Utili. on Avail. Time</t>
  </si>
  <si>
    <t>Page: 7</t>
  </si>
  <si>
    <t>COLD ROLLING MILL</t>
  </si>
  <si>
    <t>Acid Cons.in Pick Input</t>
  </si>
  <si>
    <t>Kg/T</t>
  </si>
  <si>
    <t>Zinc cons. Excl.Dross</t>
  </si>
  <si>
    <t>Gms/M2</t>
  </si>
  <si>
    <t>Zinc cons. Incl.Dross</t>
  </si>
  <si>
    <t>YIELD FROM HR COILS</t>
  </si>
  <si>
    <t>Pickled Coils</t>
  </si>
  <si>
    <t>Galvanised Sheet</t>
  </si>
  <si>
    <t>SILICON STEEL MILL</t>
  </si>
  <si>
    <t>Yield from HRC-CRNO</t>
  </si>
  <si>
    <t>Acid cons. in AP line</t>
  </si>
  <si>
    <t>REV. MILL Availability</t>
  </si>
  <si>
    <t>Util.on Time REV.MILL</t>
  </si>
  <si>
    <t>Rolling Rate(Rev Mill)</t>
  </si>
  <si>
    <t>T/Hr</t>
  </si>
  <si>
    <t xml:space="preserve"> C P P - I</t>
  </si>
  <si>
    <t>Fce.Oil Consmn.</t>
  </si>
  <si>
    <t>KL / Month</t>
  </si>
  <si>
    <t>Steam leakage</t>
  </si>
  <si>
    <t>Steam- TA/KWH of Gen.</t>
  </si>
  <si>
    <t>Kg</t>
  </si>
  <si>
    <t>Aux Power Cons.-KWH</t>
  </si>
  <si>
    <t xml:space="preserve"> /T.of Steam</t>
  </si>
  <si>
    <t xml:space="preserve"> C P P - II</t>
  </si>
  <si>
    <t>HEAT &amp; POWER</t>
  </si>
  <si>
    <t>HEAT CONS.PER T OF</t>
  </si>
  <si>
    <t>Dry Coal input</t>
  </si>
  <si>
    <t>1000KCal</t>
  </si>
  <si>
    <t>Hot Metal Prouction</t>
  </si>
  <si>
    <t>Sinter Production(SP-I)</t>
  </si>
  <si>
    <t>Sinter Prodn.(SP-II)</t>
  </si>
  <si>
    <t>Sinter Prodn.(SP-III)</t>
  </si>
  <si>
    <t>Slabs Rolled- PM</t>
  </si>
  <si>
    <t>Slabs Rolled- NPM</t>
  </si>
  <si>
    <t>Slabs Rolled -  HSM</t>
  </si>
  <si>
    <t>Steam Gen - CPP I</t>
  </si>
  <si>
    <t>Steam Gen. - CPP II</t>
  </si>
  <si>
    <t xml:space="preserve">            </t>
  </si>
  <si>
    <t>Page: 8</t>
  </si>
  <si>
    <t>ELECT.CONS.PER T OF</t>
  </si>
  <si>
    <t>Dry Coal Charged</t>
  </si>
  <si>
    <t>KWH</t>
  </si>
  <si>
    <t>CO Gas of 1000 NM3</t>
  </si>
  <si>
    <t>BF#1-  HM Prod.(Incl.GCP)</t>
  </si>
  <si>
    <t>BF#5- New HM Prod.(Incl.GCP)</t>
  </si>
  <si>
    <t>Sinter Prod(SP-I)</t>
  </si>
  <si>
    <t>Sinter Prod(SP-II)</t>
  </si>
  <si>
    <t>Sinter Prod(SP-III)</t>
  </si>
  <si>
    <t>Crude Steel (S M S - I)</t>
  </si>
  <si>
    <t>Crude Steel (S M S - II)</t>
  </si>
  <si>
    <t>Old Plates Production</t>
  </si>
  <si>
    <t>New Plates Production</t>
  </si>
  <si>
    <t>H.R.Coil Production</t>
  </si>
  <si>
    <t>Saleable Steel</t>
  </si>
  <si>
    <t>KWH/TSS</t>
  </si>
  <si>
    <t>OBBP</t>
  </si>
  <si>
    <t>Flux Crus.Index(Ov.All)</t>
  </si>
  <si>
    <t>(-3mm) %</t>
  </si>
  <si>
    <t>Coke Crus.Index(Ov.All)</t>
  </si>
  <si>
    <t>LD fines usage in B-Mix</t>
  </si>
  <si>
    <t>Met. Waste in B-Mix</t>
  </si>
  <si>
    <t>Std. Dvn for Fe in B-Mix</t>
  </si>
  <si>
    <t>GENERAL</t>
  </si>
  <si>
    <t xml:space="preserve">**Energy consumption. </t>
  </si>
  <si>
    <t>G.Cal/TCS</t>
  </si>
  <si>
    <t>Coal to H M Ratio **</t>
  </si>
  <si>
    <t>H M to Slab Ratio-Total</t>
  </si>
  <si>
    <t>coke screen loss</t>
  </si>
  <si>
    <t>BF Fuel Rate</t>
  </si>
  <si>
    <t>BF#1</t>
  </si>
  <si>
    <t xml:space="preserve">BF#4 </t>
  </si>
  <si>
    <t>BF#5</t>
  </si>
  <si>
    <t>SHOP</t>
  </si>
  <si>
    <t>Fce Oil Cons.-Total</t>
  </si>
  <si>
    <t>KL</t>
  </si>
  <si>
    <t>Make-Up Water Cons.</t>
  </si>
  <si>
    <t>M3/ TCS</t>
  </si>
  <si>
    <t>M3/ TSS</t>
  </si>
  <si>
    <t>LD Gas Recv. - SMS-II</t>
  </si>
  <si>
    <t>Nm3/ TCS</t>
  </si>
  <si>
    <t>De Sulphurised. Heats(DS)</t>
  </si>
  <si>
    <t>Nos.</t>
  </si>
  <si>
    <t xml:space="preserve">Sp. CO2 Emmission </t>
  </si>
  <si>
    <t>T/TCS</t>
  </si>
  <si>
    <t>Labour Productivity</t>
  </si>
  <si>
    <t>TCS/M/Yr</t>
  </si>
  <si>
    <t>**  Current Month data is provisional</t>
  </si>
  <si>
    <t>Slabs Rolled -  HSM2</t>
  </si>
  <si>
    <t xml:space="preserve">RHOB </t>
  </si>
  <si>
    <t>Blow SMS2</t>
  </si>
  <si>
    <t>Blow SMS1</t>
  </si>
  <si>
    <t>HOT STRIP MILL2</t>
  </si>
  <si>
    <t>H.R.Coil 2 Production</t>
  </si>
  <si>
    <t>page-11</t>
  </si>
  <si>
    <t>External Consumption  - 2025-26</t>
  </si>
  <si>
    <t>JACKAL CC SLAB-ASP</t>
  </si>
  <si>
    <t>SPADE  M1//CC SLAB - ASP</t>
  </si>
  <si>
    <t>SPADE M2 FRG SLAB - ASP</t>
  </si>
  <si>
    <t>PLATE MILL - BSP</t>
  </si>
  <si>
    <t xml:space="preserve"> SLABS - TOTAL-OPM</t>
  </si>
  <si>
    <t>IPT PLATE  MILL</t>
  </si>
  <si>
    <t>DMR 249 A - D BSP</t>
  </si>
  <si>
    <t>2062 E250 A-Cu</t>
  </si>
  <si>
    <t>SLABS NPM</t>
  </si>
  <si>
    <t>BSP SLAB HSM-I</t>
  </si>
  <si>
    <t>BSP SLAB HSM-2</t>
  </si>
  <si>
    <t>BSL SLAB HSM-2</t>
  </si>
  <si>
    <t xml:space="preserve"> SLABS - TOTAL-HSM+PM</t>
  </si>
  <si>
    <t>page-12</t>
  </si>
  <si>
    <t>External Receipt - 2025-26</t>
  </si>
  <si>
    <t>PM SLAB BSP</t>
  </si>
  <si>
    <t>TOTAL IPT SLAB</t>
  </si>
  <si>
    <t>NPM SLAB BSP</t>
  </si>
  <si>
    <t>HSM1 SLAB BSP</t>
  </si>
  <si>
    <t>HSM2 SLAB BSL</t>
  </si>
  <si>
    <t>HSM2 SLAB BSP</t>
  </si>
  <si>
    <t xml:space="preserve"> HARD COKE</t>
  </si>
  <si>
    <t xml:space="preserve"> -BSL</t>
  </si>
  <si>
    <t xml:space="preserve">   -DSP</t>
  </si>
  <si>
    <t xml:space="preserve">  -BSP</t>
  </si>
  <si>
    <t xml:space="preserve">  -HDCG</t>
  </si>
  <si>
    <t xml:space="preserve">BREEZE COKE </t>
  </si>
  <si>
    <t>BRMP</t>
  </si>
  <si>
    <t xml:space="preserve"> GIMB</t>
  </si>
  <si>
    <t>MELG</t>
  </si>
  <si>
    <t>M BRZ COKE BSL</t>
  </si>
  <si>
    <t xml:space="preserve">PELLET </t>
  </si>
  <si>
    <t>Rolling Rate-PLATE</t>
  </si>
  <si>
    <t>Oxygen enrchiment %</t>
  </si>
  <si>
    <t>BF-I</t>
  </si>
  <si>
    <t>BF-IV</t>
  </si>
  <si>
    <t>BF-V</t>
  </si>
  <si>
    <t>Shop</t>
  </si>
  <si>
    <t>Hot Blast Tempeture</t>
  </si>
  <si>
    <t>SI % IN HOTMETAL</t>
  </si>
  <si>
    <t>SMS-2/Caster-IV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</si>
</sst>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Times New Roman"/>
      <family val="1"/>
    </font>
    <font>
      <i/>
      <sz val="14"/>
      <name val="Times New Roman"/>
      <family val="1"/>
    </font>
    <font>
      <sz val="10"/>
      <name val="Arial"/>
      <family val="2"/>
    </font>
    <font>
      <b/>
      <sz val="1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6"/>
      <name val="Times New Roman"/>
      <family val="1"/>
    </font>
    <font>
      <sz val="16"/>
      <color rgb="FFFF0000"/>
      <name val="Times New Roman"/>
      <family val="1"/>
    </font>
    <font>
      <sz val="16"/>
      <name val="Verdana"/>
      <family val="2"/>
    </font>
    <font>
      <sz val="11"/>
      <name val="Times New Roman"/>
      <family val="1"/>
    </font>
    <font>
      <sz val="10"/>
      <color rgb="FFFF0000"/>
      <name val="Arial"/>
      <family val="2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11"/>
      <name val="Times New Roman"/>
      <family val="1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110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1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1" fontId="6" fillId="0" borderId="1" xfId="0" applyNumberFormat="1" applyFont="1" applyBorder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1" fontId="7" fillId="2" borderId="2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1" fontId="6" fillId="2" borderId="2" xfId="0" applyNumberFormat="1" applyFont="1" applyFill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1" fontId="7" fillId="0" borderId="6" xfId="0" applyNumberFormat="1" applyFont="1" applyBorder="1" applyAlignment="1">
      <alignment horizontal="center" vertical="center"/>
    </xf>
    <xf numFmtId="1" fontId="7" fillId="0" borderId="7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2" xfId="2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1" fontId="5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quotePrefix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8" fillId="0" borderId="6" xfId="0" applyFont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0" xfId="0" quotePrefix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2" fontId="8" fillId="0" borderId="0" xfId="0" applyNumberFormat="1" applyFont="1" applyAlignment="1">
      <alignment horizontal="center" vertical="center"/>
    </xf>
    <xf numFmtId="2" fontId="8" fillId="0" borderId="6" xfId="0" applyNumberFormat="1" applyFont="1" applyBorder="1" applyAlignment="1">
      <alignment horizontal="center" vertical="center"/>
    </xf>
    <xf numFmtId="2" fontId="8" fillId="0" borderId="0" xfId="1" applyNumberFormat="1" applyFont="1" applyFill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" fontId="8" fillId="0" borderId="6" xfId="0" applyNumberFormat="1" applyFont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4" fontId="8" fillId="0" borderId="6" xfId="0" applyNumberFormat="1" applyFont="1" applyBorder="1" applyAlignment="1">
      <alignment horizontal="center" vertical="center"/>
    </xf>
    <xf numFmtId="1" fontId="8" fillId="0" borderId="0" xfId="0" quotePrefix="1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top"/>
    </xf>
    <xf numFmtId="164" fontId="8" fillId="0" borderId="0" xfId="0" quotePrefix="1" applyNumberFormat="1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65" fontId="8" fillId="0" borderId="0" xfId="0" quotePrefix="1" applyNumberFormat="1" applyFont="1" applyAlignment="1">
      <alignment horizontal="center" vertical="center"/>
    </xf>
    <xf numFmtId="165" fontId="8" fillId="0" borderId="6" xfId="0" applyNumberFormat="1" applyFont="1" applyBorder="1" applyAlignment="1">
      <alignment horizontal="center" vertical="center"/>
    </xf>
    <xf numFmtId="2" fontId="8" fillId="0" borderId="0" xfId="0" quotePrefix="1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/>
    </xf>
    <xf numFmtId="0" fontId="8" fillId="0" borderId="4" xfId="0" applyFont="1" applyBorder="1" applyAlignment="1">
      <alignment horizontal="center" vertical="center"/>
    </xf>
    <xf numFmtId="20" fontId="8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right" vertical="center"/>
    </xf>
    <xf numFmtId="165" fontId="7" fillId="0" borderId="0" xfId="0" applyNumberFormat="1" applyFont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7" fillId="0" borderId="2" xfId="0" applyFont="1" applyBorder="1" applyAlignment="1">
      <alignment horizontal="right"/>
    </xf>
    <xf numFmtId="0" fontId="12" fillId="0" borderId="0" xfId="0" applyFont="1"/>
    <xf numFmtId="0" fontId="6" fillId="0" borderId="0" xfId="0" applyFont="1"/>
    <xf numFmtId="0" fontId="6" fillId="0" borderId="2" xfId="0" applyFont="1" applyBorder="1" applyAlignment="1">
      <alignment horizontal="right"/>
    </xf>
    <xf numFmtId="1" fontId="16" fillId="0" borderId="2" xfId="0" applyNumberFormat="1" applyFont="1" applyBorder="1" applyAlignment="1">
      <alignment horizontal="center"/>
    </xf>
    <xf numFmtId="1" fontId="17" fillId="0" borderId="2" xfId="0" applyNumberFormat="1" applyFont="1" applyBorder="1" applyAlignment="1">
      <alignment horizontal="center"/>
    </xf>
    <xf numFmtId="1" fontId="6" fillId="0" borderId="2" xfId="0" applyNumberFormat="1" applyFont="1" applyBorder="1" applyAlignment="1">
      <alignment horizontal="center"/>
    </xf>
    <xf numFmtId="0" fontId="0" fillId="0" borderId="2" xfId="0" applyBorder="1"/>
    <xf numFmtId="0" fontId="12" fillId="0" borderId="2" xfId="0" applyFont="1" applyBorder="1"/>
    <xf numFmtId="0" fontId="4" fillId="0" borderId="2" xfId="0" applyFont="1" applyBorder="1"/>
    <xf numFmtId="0" fontId="13" fillId="0" borderId="2" xfId="0" applyFont="1" applyBorder="1"/>
    <xf numFmtId="0" fontId="0" fillId="0" borderId="2" xfId="0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4" fillId="0" borderId="2" xfId="0" applyFont="1" applyBorder="1" applyAlignment="1">
      <alignment horizontal="right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1" fontId="11" fillId="0" borderId="2" xfId="0" applyNumberFormat="1" applyFont="1" applyBorder="1" applyAlignment="1">
      <alignment horizontal="center"/>
    </xf>
    <xf numFmtId="0" fontId="16" fillId="0" borderId="2" xfId="0" applyFont="1" applyBorder="1" applyAlignment="1">
      <alignment horizontal="right"/>
    </xf>
    <xf numFmtId="1" fontId="18" fillId="0" borderId="2" xfId="0" applyNumberFormat="1" applyFont="1" applyBorder="1" applyAlignment="1">
      <alignment horizontal="center"/>
    </xf>
    <xf numFmtId="0" fontId="7" fillId="0" borderId="2" xfId="0" applyFont="1" applyBorder="1"/>
    <xf numFmtId="165" fontId="11" fillId="0" borderId="2" xfId="0" applyNumberFormat="1" applyFont="1" applyBorder="1" applyAlignment="1">
      <alignment horizontal="center"/>
    </xf>
    <xf numFmtId="1" fontId="19" fillId="0" borderId="2" xfId="0" applyNumberFormat="1" applyFont="1" applyBorder="1" applyAlignment="1">
      <alignment horizontal="center" vertical="center"/>
    </xf>
    <xf numFmtId="2" fontId="19" fillId="0" borderId="2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/>
    </xf>
    <xf numFmtId="1" fontId="19" fillId="0" borderId="2" xfId="0" applyNumberFormat="1" applyFont="1" applyBorder="1" applyAlignment="1">
      <alignment horizontal="center"/>
    </xf>
    <xf numFmtId="1" fontId="20" fillId="0" borderId="2" xfId="0" applyNumberFormat="1" applyFont="1" applyBorder="1" applyAlignment="1">
      <alignment horizontal="center"/>
    </xf>
    <xf numFmtId="1" fontId="20" fillId="0" borderId="2" xfId="0" applyNumberFormat="1" applyFont="1" applyBorder="1" applyAlignment="1">
      <alignment horizontal="center" vertical="center"/>
    </xf>
    <xf numFmtId="1" fontId="16" fillId="0" borderId="2" xfId="0" applyNumberFormat="1" applyFont="1" applyBorder="1" applyAlignment="1">
      <alignment horizontal="center" vertical="center"/>
    </xf>
    <xf numFmtId="1" fontId="8" fillId="0" borderId="6" xfId="0" applyNumberFormat="1" applyFont="1" applyBorder="1" applyAlignment="1">
      <alignment horizontal="center"/>
    </xf>
    <xf numFmtId="0" fontId="2" fillId="0" borderId="8" xfId="0" applyFont="1" applyBorder="1" applyAlignment="1">
      <alignment horizontal="right" vertical="center"/>
    </xf>
    <xf numFmtId="0" fontId="8" fillId="0" borderId="8" xfId="2" applyFont="1" applyBorder="1" applyAlignment="1">
      <alignment horizontal="right" vertical="center"/>
    </xf>
    <xf numFmtId="0" fontId="7" fillId="0" borderId="6" xfId="0" applyFont="1" applyBorder="1" applyAlignment="1">
      <alignment horizontal="right"/>
    </xf>
    <xf numFmtId="0" fontId="8" fillId="0" borderId="0" xfId="0" applyFont="1" applyBorder="1" applyAlignment="1">
      <alignment horizontal="center" vertical="center"/>
    </xf>
    <xf numFmtId="0" fontId="2" fillId="0" borderId="0" xfId="0" applyFont="1"/>
  </cellXfs>
  <cellStyles count="3">
    <cellStyle name="Normal" xfId="0" builtinId="0"/>
    <cellStyle name="Normal 2" xfId="2" xr:uid="{00000000-0005-0000-0000-000001000000}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43</xdr:row>
      <xdr:rowOff>0</xdr:rowOff>
    </xdr:from>
    <xdr:to>
      <xdr:col>16</xdr:col>
      <xdr:colOff>0</xdr:colOff>
      <xdr:row>43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19050" y="10487025"/>
          <a:ext cx="42386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- SLABS -EXPORT FOR OCT. 12281 T AND APRIL TO OCTOBER 61460 T</a:t>
          </a:r>
        </a:p>
        <a:p>
          <a:pPr algn="l" rtl="0">
            <a:defRPr sz="1000"/>
          </a:pP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nja\Downloads\mis%20monthly\rsp\technopara%20APRIL-2026.xlsx" TargetMode="External"/><Relationship Id="rId1" Type="http://schemas.openxmlformats.org/officeDocument/2006/relationships/externalLinkPath" Target="technopara%20APRIL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ge 1-8"/>
      <sheetName val="page-9"/>
      <sheetName val="page-10"/>
      <sheetName val="TK2"/>
      <sheetName val="page-12"/>
    </sheetNames>
    <sheetDataSet>
      <sheetData sheetId="0">
        <row r="5">
          <cell r="A5" t="str">
            <v>Gross Coke Yield</v>
          </cell>
        </row>
        <row r="6">
          <cell r="A6" t="str">
            <v>BFCoke (H/C+N/C)Yld</v>
          </cell>
        </row>
        <row r="7">
          <cell r="A7" t="str">
            <v>BFCoke (H/C+N/C)Yld</v>
          </cell>
        </row>
        <row r="8">
          <cell r="A8" t="str">
            <v>H/Coke Yield(+25mm)</v>
          </cell>
        </row>
        <row r="9">
          <cell r="A9" t="str">
            <v>H/Coke Yield(+25mm)</v>
          </cell>
        </row>
        <row r="10">
          <cell r="A10" t="str">
            <v>COG Yield on dry Coal</v>
          </cell>
        </row>
        <row r="11">
          <cell r="A11" t="str">
            <v>Dry Coal Charge</v>
          </cell>
        </row>
        <row r="12">
          <cell r="A12" t="str">
            <v>Imported Coal Usage</v>
          </cell>
        </row>
        <row r="13">
          <cell r="A13" t="str">
            <v>Coke Micum(-10mm)</v>
          </cell>
        </row>
        <row r="14">
          <cell r="A14" t="str">
            <v>C.V. of C.O.Gas</v>
          </cell>
        </row>
        <row r="15">
          <cell r="A15" t="str">
            <v>Avg.N2 content in COG</v>
          </cell>
        </row>
        <row r="16">
          <cell r="A16" t="str">
            <v>BATTERY - 6</v>
          </cell>
        </row>
        <row r="17">
          <cell r="A17" t="str">
            <v>Dry Coal Charge</v>
          </cell>
        </row>
        <row r="18">
          <cell r="A18" t="str">
            <v>Gross Coke Yield</v>
          </cell>
        </row>
        <row r="19">
          <cell r="A19" t="str">
            <v>Gross Coke Yield</v>
          </cell>
        </row>
        <row r="20">
          <cell r="A20" t="str">
            <v>H/Coke Yield (+25mm)</v>
          </cell>
        </row>
        <row r="21">
          <cell r="A21" t="str">
            <v>H/Coke Yield(+25mm)</v>
          </cell>
        </row>
        <row r="22">
          <cell r="A22" t="str">
            <v>Breeze Coke Yield</v>
          </cell>
        </row>
        <row r="23">
          <cell r="A23" t="str">
            <v>Breeze Coke Yield</v>
          </cell>
        </row>
        <row r="24">
          <cell r="A24" t="str">
            <v>Imported Coal Usage</v>
          </cell>
        </row>
        <row r="25">
          <cell r="A25" t="str">
            <v>Coke Micum(-10mm)</v>
          </cell>
        </row>
        <row r="26">
          <cell r="A26" t="str">
            <v xml:space="preserve">COAL CHEMICALS </v>
          </cell>
        </row>
        <row r="27">
          <cell r="A27" t="str">
            <v xml:space="preserve">Crude Tar Yield </v>
          </cell>
        </row>
        <row r="28">
          <cell r="A28" t="str">
            <v xml:space="preserve">Amm.Sulph.Yield </v>
          </cell>
        </row>
        <row r="29">
          <cell r="A29" t="str">
            <v>Sul Cons./T.of H2SO4</v>
          </cell>
        </row>
        <row r="30">
          <cell r="A30" t="str">
            <v>Acid cons./Tof Sulphate</v>
          </cell>
        </row>
        <row r="31">
          <cell r="A31" t="str">
            <v>Coke Screen Loss</v>
          </cell>
        </row>
        <row r="32">
          <cell r="A32"/>
        </row>
        <row r="33">
          <cell r="A33" t="str">
            <v>SINTER PLANT-I</v>
          </cell>
        </row>
        <row r="34">
          <cell r="A34" t="str">
            <v>FeO in Sinter</v>
          </cell>
        </row>
        <row r="35">
          <cell r="A35" t="str">
            <v>Fe in Sinter</v>
          </cell>
        </row>
        <row r="36">
          <cell r="A36" t="str">
            <v>CaO in Sinter</v>
          </cell>
        </row>
        <row r="37">
          <cell r="A37" t="str">
            <v>Basicity  (CaO/ SiO2)</v>
          </cell>
        </row>
        <row r="38">
          <cell r="A38" t="str">
            <v>Specific productivity</v>
          </cell>
        </row>
        <row r="39">
          <cell r="A39" t="str">
            <v>Iron Ore Fines Cons.</v>
          </cell>
        </row>
        <row r="40">
          <cell r="A40" t="str">
            <v>Limestone Cons.</v>
          </cell>
        </row>
        <row r="41">
          <cell r="A41" t="str">
            <v>Dolomite Cons.</v>
          </cell>
        </row>
        <row r="42">
          <cell r="A42" t="str">
            <v>Millscale Cons.</v>
          </cell>
        </row>
        <row r="43">
          <cell r="A43" t="str">
            <v>LD Slag Cons.</v>
          </cell>
        </row>
        <row r="44">
          <cell r="A44" t="str">
            <v>Sinter Dust Cons.</v>
          </cell>
        </row>
        <row r="45">
          <cell r="A45" t="str">
            <v>Coke Breeze Cons (DRY)</v>
          </cell>
        </row>
        <row r="46">
          <cell r="A46" t="str">
            <v>Coke Breeze Cons (DRY)</v>
          </cell>
        </row>
        <row r="47">
          <cell r="A47" t="str">
            <v>Coke Breeze Cons (WET)</v>
          </cell>
        </row>
        <row r="48">
          <cell r="A48" t="str">
            <v>Machine Utilisation</v>
          </cell>
        </row>
        <row r="49">
          <cell r="A49" t="str">
            <v>Lime Crusher-Fines</v>
          </cell>
        </row>
        <row r="50">
          <cell r="A50" t="str">
            <v>Coke Crusher-Fines</v>
          </cell>
        </row>
        <row r="51">
          <cell r="A51" t="str">
            <v>Tumbler Index</v>
          </cell>
        </row>
        <row r="52">
          <cell r="A52" t="str">
            <v>Plant Return Fines</v>
          </cell>
        </row>
        <row r="53">
          <cell r="A53" t="str">
            <v>SINTER PLANT - II</v>
          </cell>
        </row>
        <row r="54">
          <cell r="A54" t="str">
            <v>FeO in Sinter</v>
          </cell>
        </row>
        <row r="55">
          <cell r="A55" t="str">
            <v>Fe in Sinter</v>
          </cell>
        </row>
        <row r="56">
          <cell r="A56" t="str">
            <v>CaO in Sinter</v>
          </cell>
        </row>
        <row r="57">
          <cell r="A57" t="str">
            <v>Basicity  (CaO/ SiO2)</v>
          </cell>
        </row>
        <row r="58">
          <cell r="A58" t="str">
            <v>Specific productivity</v>
          </cell>
        </row>
        <row r="59">
          <cell r="A59" t="str">
            <v>Iron Ore Fines Cons.</v>
          </cell>
        </row>
        <row r="60">
          <cell r="A60" t="str">
            <v>Limestone Consumption</v>
          </cell>
        </row>
        <row r="61">
          <cell r="A61" t="str">
            <v>Dolomite Consumption</v>
          </cell>
        </row>
        <row r="62">
          <cell r="A62" t="str">
            <v>Sinter Dust Cons.</v>
          </cell>
        </row>
        <row r="63">
          <cell r="A63" t="str">
            <v>Coke Breeze Cons (DRY)</v>
          </cell>
        </row>
        <row r="64">
          <cell r="A64" t="str">
            <v>Coke Breeze Cons (WET)</v>
          </cell>
        </row>
        <row r="65">
          <cell r="A65" t="str">
            <v>calcined lime</v>
          </cell>
        </row>
        <row r="66">
          <cell r="A66" t="str">
            <v>Millscale Cons.</v>
          </cell>
        </row>
        <row r="67">
          <cell r="A67" t="str">
            <v>LD Slag Cons.</v>
          </cell>
        </row>
        <row r="68">
          <cell r="A68" t="str">
            <v>N/Coke thro Sinter-Dry</v>
          </cell>
        </row>
        <row r="69">
          <cell r="A69" t="str">
            <v>Machine Utilisation</v>
          </cell>
        </row>
        <row r="70">
          <cell r="A70" t="str">
            <v>Flux (-3mm)</v>
          </cell>
        </row>
        <row r="71">
          <cell r="A71" t="str">
            <v>Coke Breeze (-3mm)</v>
          </cell>
        </row>
        <row r="72">
          <cell r="A72" t="str">
            <v>Tumbler Index</v>
          </cell>
        </row>
        <row r="73">
          <cell r="A73" t="str">
            <v>Plant Return Fines</v>
          </cell>
        </row>
        <row r="74">
          <cell r="A74"/>
        </row>
        <row r="75">
          <cell r="A75"/>
        </row>
        <row r="76">
          <cell r="A76" t="str">
            <v>SINTER PLANT - III</v>
          </cell>
        </row>
        <row r="77">
          <cell r="A77" t="str">
            <v>FeO in Sinter</v>
          </cell>
        </row>
        <row r="78">
          <cell r="A78" t="str">
            <v>Fe in Sinter</v>
          </cell>
        </row>
        <row r="79">
          <cell r="A79" t="str">
            <v>CaO in Sinter</v>
          </cell>
        </row>
        <row r="80">
          <cell r="A80" t="str">
            <v>Basicity  (CaO/ SiO2)</v>
          </cell>
        </row>
        <row r="81">
          <cell r="A81" t="str">
            <v>Specific productivity</v>
          </cell>
        </row>
        <row r="82">
          <cell r="A82" t="str">
            <v>Iron Ore Fines Cons.</v>
          </cell>
        </row>
        <row r="83">
          <cell r="A83" t="str">
            <v>Limestone Cons.</v>
          </cell>
        </row>
        <row r="84">
          <cell r="A84" t="str">
            <v>Dolomite Cons.</v>
          </cell>
        </row>
        <row r="85">
          <cell r="A85" t="str">
            <v>Sinter Dust Cons.</v>
          </cell>
        </row>
        <row r="86">
          <cell r="A86" t="str">
            <v>Coke Breeze Cons (DRY)</v>
          </cell>
        </row>
        <row r="87">
          <cell r="A87" t="str">
            <v>Coke Breeze Cons (WET)</v>
          </cell>
        </row>
        <row r="88">
          <cell r="A88" t="str">
            <v>calcined lime</v>
          </cell>
        </row>
        <row r="89">
          <cell r="A89" t="str">
            <v>Millscale Cons.</v>
          </cell>
        </row>
        <row r="90">
          <cell r="A90" t="str">
            <v>LD Slag Cons.</v>
          </cell>
        </row>
        <row r="91">
          <cell r="A91" t="str">
            <v>Machine Utilisation</v>
          </cell>
        </row>
        <row r="92">
          <cell r="A92" t="str">
            <v>Tumbler Index</v>
          </cell>
        </row>
        <row r="93">
          <cell r="A93" t="str">
            <v>Plant Return Fines</v>
          </cell>
        </row>
        <row r="94">
          <cell r="A94"/>
        </row>
        <row r="95">
          <cell r="A95"/>
        </row>
        <row r="96">
          <cell r="A96" t="str">
            <v>BLAST FURNACES</v>
          </cell>
        </row>
        <row r="97">
          <cell r="A97" t="str">
            <v>Productivity - BF #1</v>
          </cell>
        </row>
        <row r="98">
          <cell r="A98" t="str">
            <v>Productivity - BF #4</v>
          </cell>
        </row>
        <row r="99">
          <cell r="A99" t="str">
            <v>Productivity - BF #5</v>
          </cell>
        </row>
        <row r="100">
          <cell r="A100" t="str">
            <v>Productivity - (Shop)</v>
          </cell>
        </row>
        <row r="101">
          <cell r="A101" t="str">
            <v>Coke Rate -BF#1</v>
          </cell>
        </row>
        <row r="102">
          <cell r="A102" t="str">
            <v>Coke Rate    BF#4</v>
          </cell>
        </row>
        <row r="103">
          <cell r="A103" t="str">
            <v>Coke Rate  BF#5</v>
          </cell>
        </row>
        <row r="104">
          <cell r="A104" t="str">
            <v>Coke Rate SHOP</v>
          </cell>
        </row>
        <row r="105">
          <cell r="A105" t="str">
            <v>BF#1 PCI(Dry)</v>
          </cell>
        </row>
        <row r="106">
          <cell r="A106" t="str">
            <v>BF#4 PCI(Dry)</v>
          </cell>
        </row>
        <row r="107">
          <cell r="A107" t="str">
            <v>BF#5 PCI(Dry)</v>
          </cell>
        </row>
        <row r="108">
          <cell r="A108" t="str">
            <v>PCI - Shop</v>
          </cell>
        </row>
        <row r="109">
          <cell r="A109" t="str">
            <v>N/C --BF- 1</v>
          </cell>
        </row>
        <row r="110">
          <cell r="A110" t="str">
            <v>N/C --BF- 4</v>
          </cell>
        </row>
        <row r="111">
          <cell r="A111" t="str">
            <v>N/C --BF- 5</v>
          </cell>
        </row>
        <row r="112">
          <cell r="A112" t="str">
            <v>N/C -SHOP</v>
          </cell>
        </row>
        <row r="113">
          <cell r="A113" t="str">
            <v xml:space="preserve">Coal to H M Ratio </v>
          </cell>
        </row>
        <row r="114">
          <cell r="A114" t="str">
            <v>Carbon Rate</v>
          </cell>
        </row>
        <row r="115">
          <cell r="A115" t="str">
            <v>Sinter.-wet</v>
          </cell>
        </row>
        <row r="116">
          <cell r="A116" t="str">
            <v>Iron Ore( Lump).-wet</v>
          </cell>
        </row>
        <row r="117">
          <cell r="A117" t="str">
            <v>Iron Ore Fines  (sinter)</v>
          </cell>
        </row>
        <row r="118">
          <cell r="A118" t="str">
            <v>Specific Iron bearing material .(wet)</v>
          </cell>
        </row>
        <row r="119">
          <cell r="A119" t="str">
            <v>Specific Iron bearing material .(dry)</v>
          </cell>
        </row>
        <row r="120">
          <cell r="A120" t="str">
            <v xml:space="preserve">Scrap </v>
          </cell>
        </row>
        <row r="121">
          <cell r="A121" t="str">
            <v xml:space="preserve">Pellet </v>
          </cell>
        </row>
        <row r="122">
          <cell r="A122" t="str">
            <v xml:space="preserve">LD Slag </v>
          </cell>
        </row>
        <row r="123">
          <cell r="A123" t="str">
            <v xml:space="preserve">Quartzite </v>
          </cell>
        </row>
        <row r="124">
          <cell r="A124" t="str">
            <v>Sinter in Burden</v>
          </cell>
        </row>
        <row r="125">
          <cell r="A125" t="str">
            <v>Pellet Burden</v>
          </cell>
        </row>
        <row r="126">
          <cell r="A126" t="str">
            <v>BF Return Fines</v>
          </cell>
        </row>
        <row r="127">
          <cell r="A127" t="str">
            <v>Blast Temp. - Overall</v>
          </cell>
        </row>
        <row r="128">
          <cell r="A128" t="str">
            <v>Slag Volume</v>
          </cell>
        </row>
        <row r="129">
          <cell r="A129" t="str">
            <v>Slag Basicity</v>
          </cell>
        </row>
        <row r="130">
          <cell r="A130" t="str">
            <v>Off Cast Due to Si</v>
          </cell>
        </row>
        <row r="131">
          <cell r="A131" t="str">
            <v>Off Cast due to S</v>
          </cell>
        </row>
        <row r="132">
          <cell r="A132" t="str">
            <v>Oxygen enrchiment %</v>
          </cell>
        </row>
        <row r="133">
          <cell r="A133" t="str">
            <v>BF-I</v>
          </cell>
        </row>
        <row r="134">
          <cell r="A134" t="str">
            <v>BF-IV</v>
          </cell>
        </row>
        <row r="135">
          <cell r="A135" t="str">
            <v>BF-V</v>
          </cell>
        </row>
        <row r="136">
          <cell r="A136" t="str">
            <v>Shop</v>
          </cell>
        </row>
        <row r="137">
          <cell r="A137" t="str">
            <v>Hot Blast Tempeture</v>
          </cell>
        </row>
        <row r="138">
          <cell r="A138" t="str">
            <v>BF-I</v>
          </cell>
        </row>
        <row r="139">
          <cell r="A139" t="str">
            <v>BF-IV</v>
          </cell>
        </row>
        <row r="140">
          <cell r="A140" t="str">
            <v>BF-V</v>
          </cell>
        </row>
        <row r="141">
          <cell r="A141" t="str">
            <v>Shop</v>
          </cell>
        </row>
        <row r="142">
          <cell r="A142" t="str">
            <v>SI % IN HOTMETAL</v>
          </cell>
        </row>
        <row r="143">
          <cell r="A143" t="str">
            <v>BF-I</v>
          </cell>
        </row>
        <row r="144">
          <cell r="A144" t="str">
            <v>BF-IV</v>
          </cell>
        </row>
        <row r="145">
          <cell r="A145" t="str">
            <v>BF-V</v>
          </cell>
        </row>
        <row r="146">
          <cell r="A146" t="str">
            <v>Shop</v>
          </cell>
        </row>
        <row r="147">
          <cell r="A147" t="str">
            <v>BFG Yld (On Hot Metal)</v>
          </cell>
        </row>
        <row r="148">
          <cell r="A148" t="str">
            <v>BFG Yld (On dryCoke)</v>
          </cell>
        </row>
        <row r="149">
          <cell r="A149" t="str">
            <v>Avg.LiningLife(small)</v>
          </cell>
        </row>
        <row r="150">
          <cell r="A150" t="str">
            <v>Avg.Lining Life (Big)</v>
          </cell>
        </row>
        <row r="151">
          <cell r="A151" t="str">
            <v>Avg.Lining Life (Torpedo)</v>
          </cell>
        </row>
        <row r="152">
          <cell r="A152" t="str">
            <v>BF Fuel Rate</v>
          </cell>
        </row>
        <row r="153">
          <cell r="A153" t="str">
            <v>BF#1</v>
          </cell>
        </row>
        <row r="154">
          <cell r="A154" t="str">
            <v xml:space="preserve">BF#4 </v>
          </cell>
        </row>
        <row r="155">
          <cell r="A155" t="str">
            <v xml:space="preserve">BF#4 </v>
          </cell>
        </row>
        <row r="156">
          <cell r="A156" t="str">
            <v>BF#5</v>
          </cell>
        </row>
        <row r="157">
          <cell r="A157" t="str">
            <v>SHOP</v>
          </cell>
        </row>
        <row r="158">
          <cell r="A158" t="str">
            <v xml:space="preserve"> </v>
          </cell>
        </row>
        <row r="159">
          <cell r="A159"/>
        </row>
        <row r="160">
          <cell r="A160" t="str">
            <v>STEEL MELTING SHOP-I</v>
          </cell>
        </row>
        <row r="161">
          <cell r="A161" t="str">
            <v>Converter Avail. % on</v>
          </cell>
        </row>
        <row r="162">
          <cell r="A162" t="str">
            <v>Conv.Utilisation% on</v>
          </cell>
        </row>
        <row r="163">
          <cell r="A163" t="str">
            <v>Met.Input (HM+scrap+iron ore)</v>
          </cell>
        </row>
        <row r="164">
          <cell r="A164" t="str">
            <v>Hot Metal Cons.</v>
          </cell>
        </row>
        <row r="165">
          <cell r="A165" t="str">
            <v>Scrap Consumption</v>
          </cell>
        </row>
        <row r="166">
          <cell r="A166" t="str">
            <v>Burnt Lime Cons.</v>
          </cell>
        </row>
        <row r="167">
          <cell r="A167" t="str">
            <v>Calcined Dolo cons.</v>
          </cell>
        </row>
        <row r="168">
          <cell r="A168" t="str">
            <v>Raw Dolo cons.</v>
          </cell>
        </row>
        <row r="169">
          <cell r="A169" t="str">
            <v>Ferro- Mn Consmn LC</v>
          </cell>
        </row>
        <row r="170">
          <cell r="A170" t="str">
            <v>Ferro Silicon Consmn</v>
          </cell>
        </row>
        <row r="171">
          <cell r="A171" t="str">
            <v>Silico -Mn Cons.</v>
          </cell>
        </row>
        <row r="172">
          <cell r="A172" t="str">
            <v>Aluminium Consmn</v>
          </cell>
        </row>
        <row r="173">
          <cell r="A173" t="str">
            <v>Refractory Cons.</v>
          </cell>
        </row>
        <row r="174">
          <cell r="A174" t="str">
            <v xml:space="preserve">Mettalic Yield    </v>
          </cell>
        </row>
        <row r="175">
          <cell r="A175" t="str">
            <v xml:space="preserve">Blow Weight </v>
          </cell>
        </row>
        <row r="176">
          <cell r="A176" t="str">
            <v>Tap to Tap time</v>
          </cell>
        </row>
        <row r="177">
          <cell r="A177" t="str">
            <v>Avg. Lining Life</v>
          </cell>
        </row>
        <row r="178">
          <cell r="A178" t="str">
            <v>Oxygen Consmn.(LD)</v>
          </cell>
        </row>
        <row r="179">
          <cell r="A179" t="str">
            <v>Oxygen Cons.(CCM I)</v>
          </cell>
        </row>
        <row r="180">
          <cell r="A180" t="str">
            <v>HP N2 Consmn.</v>
          </cell>
        </row>
        <row r="181">
          <cell r="A181" t="str">
            <v>Converter Yield</v>
          </cell>
        </row>
        <row r="182">
          <cell r="A182" t="str">
            <v>Caster Yield</v>
          </cell>
        </row>
        <row r="183">
          <cell r="A183" t="str">
            <v>Hot Metal to Slab Ratio</v>
          </cell>
        </row>
        <row r="184">
          <cell r="A184" t="str">
            <v>Blow SMS1</v>
          </cell>
        </row>
        <row r="185">
          <cell r="A185"/>
        </row>
        <row r="186">
          <cell r="A186"/>
        </row>
        <row r="187">
          <cell r="A187" t="str">
            <v>STEEL MELTING SHOP-II</v>
          </cell>
        </row>
        <row r="188">
          <cell r="A188" t="str">
            <v>Converter Avail. % on</v>
          </cell>
        </row>
        <row r="189">
          <cell r="A189" t="str">
            <v>Conv.Utilisation% on</v>
          </cell>
        </row>
        <row r="190">
          <cell r="A190" t="str">
            <v>Met. Input( HM+Scrap+iron ore cons))</v>
          </cell>
        </row>
        <row r="191">
          <cell r="A191" t="str">
            <v>Hot Metal Cons.</v>
          </cell>
        </row>
        <row r="192">
          <cell r="A192" t="str">
            <v>Scrap Consumption</v>
          </cell>
        </row>
        <row r="193">
          <cell r="A193" t="str">
            <v>Raw Dolo  cons.</v>
          </cell>
        </row>
        <row r="194">
          <cell r="A194" t="str">
            <v>Calcined Dolo cons.</v>
          </cell>
        </row>
        <row r="195">
          <cell r="A195" t="str">
            <v>Burnt Lime Cons.</v>
          </cell>
        </row>
        <row r="196">
          <cell r="A196" t="str">
            <v>Ferro- Mn Cons.(LC)</v>
          </cell>
        </row>
        <row r="197">
          <cell r="A197" t="str">
            <v>Ferro- Mn Cons(HC).</v>
          </cell>
        </row>
        <row r="198">
          <cell r="A198" t="str">
            <v>Ferro Silicon Consmn</v>
          </cell>
        </row>
        <row r="199">
          <cell r="A199" t="str">
            <v>Silico- Mn Cons.</v>
          </cell>
        </row>
        <row r="200">
          <cell r="A200" t="str">
            <v>Aluminium Consmn</v>
          </cell>
        </row>
        <row r="201">
          <cell r="A201" t="str">
            <v>LD Slag Consmn</v>
          </cell>
        </row>
        <row r="202">
          <cell r="A202" t="str">
            <v>Refractory Consmn.</v>
          </cell>
        </row>
        <row r="203">
          <cell r="A203" t="str">
            <v xml:space="preserve">Mettalic Yield </v>
          </cell>
        </row>
        <row r="204">
          <cell r="A204" t="str">
            <v>Blow Weight</v>
          </cell>
        </row>
        <row r="205">
          <cell r="A205" t="str">
            <v>Tap to Tap time</v>
          </cell>
        </row>
        <row r="206">
          <cell r="A206" t="str">
            <v>Avg. Lining Life</v>
          </cell>
        </row>
        <row r="207">
          <cell r="A207" t="str">
            <v>Oxygen Cons.(BOF II)</v>
          </cell>
        </row>
        <row r="208">
          <cell r="A208" t="str">
            <v>Oxygen Cons.(CCM II)</v>
          </cell>
        </row>
        <row r="209">
          <cell r="A209" t="str">
            <v>HP N2 Consmn.</v>
          </cell>
        </row>
        <row r="210">
          <cell r="A210" t="str">
            <v>Converter Yield</v>
          </cell>
        </row>
        <row r="211">
          <cell r="A211" t="str">
            <v>Caster Yield</v>
          </cell>
        </row>
        <row r="212">
          <cell r="A212" t="str">
            <v>Hot Metal to Slab Ratio</v>
          </cell>
        </row>
        <row r="213">
          <cell r="A213" t="str">
            <v>De Sulphurised. Heats(DS)</v>
          </cell>
        </row>
        <row r="214">
          <cell r="A214" t="str">
            <v>Blow SMS2</v>
          </cell>
        </row>
        <row r="215">
          <cell r="A215" t="str">
            <v xml:space="preserve">RHOB </v>
          </cell>
        </row>
        <row r="216">
          <cell r="A216" t="str">
            <v>PLATE MILL</v>
          </cell>
        </row>
        <row r="217">
          <cell r="A217" t="str">
            <v>7 &amp; 8 mm production</v>
          </cell>
        </row>
        <row r="218">
          <cell r="A218" t="str">
            <v>22 mm &amp; above prod.</v>
          </cell>
        </row>
        <row r="219">
          <cell r="A219" t="str">
            <v>Normalising</v>
          </cell>
        </row>
        <row r="220">
          <cell r="A220" t="str">
            <v>Normalized Rolled Plates</v>
          </cell>
        </row>
        <row r="221">
          <cell r="A221" t="str">
            <v>Yield - Primes</v>
          </cell>
        </row>
        <row r="222">
          <cell r="A222" t="str">
            <v>Yield - Total</v>
          </cell>
        </row>
        <row r="223">
          <cell r="A223" t="str">
            <v>Average Slab Weight</v>
          </cell>
        </row>
        <row r="224">
          <cell r="A224" t="str">
            <v>Mill Availability</v>
          </cell>
        </row>
        <row r="225">
          <cell r="A225" t="str">
            <v>Util. on Avail. Time</v>
          </cell>
        </row>
        <row r="226">
          <cell r="A226" t="str">
            <v>Rolling Rate-PLATE</v>
          </cell>
        </row>
        <row r="227">
          <cell r="A227"/>
        </row>
        <row r="228">
          <cell r="A228"/>
        </row>
        <row r="229">
          <cell r="A229" t="str">
            <v>NEW PLATE MILL</v>
          </cell>
        </row>
        <row r="230">
          <cell r="A230" t="str">
            <v>7 &amp; 8 mm production</v>
          </cell>
        </row>
        <row r="231">
          <cell r="A231" t="str">
            <v>22 mm &amp; above production</v>
          </cell>
        </row>
        <row r="232">
          <cell r="A232" t="str">
            <v>Normalising  Production</v>
          </cell>
        </row>
        <row r="233">
          <cell r="A233" t="str">
            <v>Normalized Rolled Plates</v>
          </cell>
        </row>
        <row r="234">
          <cell r="A234" t="str">
            <v>Yield - Primes</v>
          </cell>
        </row>
        <row r="235">
          <cell r="A235" t="str">
            <v>Yield - Total</v>
          </cell>
        </row>
        <row r="236">
          <cell r="A236" t="str">
            <v>Average Slab Weight</v>
          </cell>
        </row>
        <row r="237">
          <cell r="A237" t="str">
            <v>Mill Availability</v>
          </cell>
        </row>
        <row r="238">
          <cell r="A238" t="str">
            <v>Util. on Avail. Time</v>
          </cell>
        </row>
        <row r="239">
          <cell r="A239" t="str">
            <v>Rolling Rate-PLATE</v>
          </cell>
        </row>
        <row r="240">
          <cell r="A240"/>
        </row>
        <row r="241">
          <cell r="A241"/>
        </row>
        <row r="242">
          <cell r="A242" t="str">
            <v>HOT STRIP MILL</v>
          </cell>
        </row>
        <row r="243">
          <cell r="A243" t="str">
            <v>Slab Cobbled</v>
          </cell>
        </row>
        <row r="244">
          <cell r="A244" t="str">
            <v>H R Coil Yield</v>
          </cell>
        </row>
        <row r="245">
          <cell r="A245" t="str">
            <v>Average Slab Weight</v>
          </cell>
        </row>
        <row r="246">
          <cell r="A246" t="str">
            <v>Mill Availability</v>
          </cell>
        </row>
        <row r="247">
          <cell r="A247" t="str">
            <v>Utilis. on Avail. Time</v>
          </cell>
        </row>
        <row r="248">
          <cell r="A248" t="str">
            <v>Rolling Rate -HR Coils</v>
          </cell>
        </row>
        <row r="249">
          <cell r="A249" t="str">
            <v>R.H.Fce Avail-Average</v>
          </cell>
        </row>
        <row r="250">
          <cell r="A250"/>
        </row>
        <row r="251">
          <cell r="A251" t="str">
            <v>HOT STRIP MILL-2</v>
          </cell>
        </row>
        <row r="252">
          <cell r="A252" t="str">
            <v>Slab Cobbled</v>
          </cell>
        </row>
        <row r="253">
          <cell r="A253" t="str">
            <v>H R Coil Yield</v>
          </cell>
        </row>
        <row r="254">
          <cell r="A254" t="str">
            <v>Average Slab Weight</v>
          </cell>
        </row>
        <row r="255">
          <cell r="A255" t="str">
            <v>Mill Availability on Cal Hrs</v>
          </cell>
        </row>
        <row r="256">
          <cell r="A256" t="str">
            <v>Utilisation on Avail. Hrs</v>
          </cell>
        </row>
        <row r="257">
          <cell r="A257" t="str">
            <v>Rolling Rate -HR Coils</v>
          </cell>
        </row>
        <row r="258">
          <cell r="A258" t="str">
            <v>R.H.Fce Avail-Average</v>
          </cell>
        </row>
        <row r="259">
          <cell r="A259" t="str">
            <v>ERW PIPE PLANT</v>
          </cell>
        </row>
        <row r="260">
          <cell r="A260" t="str">
            <v>Rejection</v>
          </cell>
        </row>
        <row r="261">
          <cell r="A261" t="str">
            <v>Yield from HR Coils</v>
          </cell>
        </row>
        <row r="262">
          <cell r="A262" t="str">
            <v>API Acceptance</v>
          </cell>
        </row>
        <row r="263">
          <cell r="A263" t="str">
            <v>Mill Availability</v>
          </cell>
        </row>
        <row r="264">
          <cell r="A264" t="str">
            <v>Utili.on Available Time</v>
          </cell>
        </row>
        <row r="265">
          <cell r="A265" t="str">
            <v xml:space="preserve">Rolling Rate </v>
          </cell>
        </row>
        <row r="266">
          <cell r="A266" t="str">
            <v>SW PIPE PLANT</v>
          </cell>
        </row>
        <row r="267">
          <cell r="A267" t="str">
            <v>Rejection</v>
          </cell>
        </row>
        <row r="268">
          <cell r="A268" t="str">
            <v>Yield from HR Coils</v>
          </cell>
        </row>
        <row r="269">
          <cell r="A269" t="str">
            <v>API Acceptance</v>
          </cell>
        </row>
        <row r="270">
          <cell r="A270" t="str">
            <v>Mill Availability</v>
          </cell>
        </row>
        <row r="271">
          <cell r="A271" t="str">
            <v>Utili. on Avail. Time</v>
          </cell>
        </row>
        <row r="272">
          <cell r="A272" t="str">
            <v xml:space="preserve">Rolling Rate </v>
          </cell>
        </row>
        <row r="273">
          <cell r="A273"/>
        </row>
        <row r="274">
          <cell r="A274" t="str">
            <v>SSM</v>
          </cell>
        </row>
        <row r="275">
          <cell r="A275"/>
        </row>
        <row r="276">
          <cell r="A276" t="str">
            <v>COLD ROLLING MILL</v>
          </cell>
        </row>
        <row r="277">
          <cell r="A277" t="str">
            <v>Acid Cons.in Pick Input</v>
          </cell>
        </row>
        <row r="278">
          <cell r="A278" t="str">
            <v>Zinc cons. Excl.Dross</v>
          </cell>
        </row>
        <row r="279">
          <cell r="A279" t="str">
            <v>Zinc cons. Incl.Dross</v>
          </cell>
        </row>
        <row r="280">
          <cell r="A280" t="str">
            <v>Zinc cons. Excl.Dross</v>
          </cell>
        </row>
        <row r="281">
          <cell r="A281" t="str">
            <v>Zinc cons. Incl.Dross</v>
          </cell>
        </row>
        <row r="282">
          <cell r="A282" t="str">
            <v>YIELD FROM HR COILS</v>
          </cell>
        </row>
        <row r="283">
          <cell r="A283" t="str">
            <v>Pickled Coils</v>
          </cell>
        </row>
        <row r="284">
          <cell r="A284" t="str">
            <v>Galvanised Sheet</v>
          </cell>
        </row>
        <row r="285">
          <cell r="A285" t="str">
            <v>SILICON STEEL MILL</v>
          </cell>
        </row>
        <row r="286">
          <cell r="A286" t="str">
            <v>Yield from HRC-CRNO</v>
          </cell>
        </row>
        <row r="287">
          <cell r="A287" t="str">
            <v>Acid cons. in AP line</v>
          </cell>
        </row>
        <row r="288">
          <cell r="A288" t="str">
            <v>REV. MILL Availability On Cal Hrs</v>
          </cell>
        </row>
        <row r="289">
          <cell r="A289" t="str">
            <v>REV.MILL Utilisation.on Avail Hrs</v>
          </cell>
        </row>
        <row r="290">
          <cell r="A290" t="str">
            <v>Rolling Rate(Rev Mill)</v>
          </cell>
        </row>
        <row r="291">
          <cell r="A291" t="str">
            <v xml:space="preserve"> C P P - I</v>
          </cell>
        </row>
        <row r="292">
          <cell r="A292" t="str">
            <v>Fce.Oil Consmn.</v>
          </cell>
        </row>
        <row r="293">
          <cell r="A293" t="str">
            <v>Steam leakage</v>
          </cell>
        </row>
        <row r="294">
          <cell r="A294" t="str">
            <v>Steam- TA/KWH of Gen.</v>
          </cell>
        </row>
        <row r="295">
          <cell r="A295" t="str">
            <v>Aux Power Cons.-KWH</v>
          </cell>
        </row>
        <row r="296">
          <cell r="A296" t="str">
            <v xml:space="preserve"> C P P - II</v>
          </cell>
        </row>
        <row r="297">
          <cell r="A297" t="str">
            <v>Fce.Oil Consmn.</v>
          </cell>
        </row>
        <row r="298">
          <cell r="A298" t="str">
            <v>Steam- TA/KWH of Gen.</v>
          </cell>
        </row>
        <row r="299">
          <cell r="A299" t="str">
            <v>Aux Power Cons.-KWH</v>
          </cell>
        </row>
        <row r="300">
          <cell r="A300"/>
        </row>
        <row r="301">
          <cell r="A301"/>
        </row>
        <row r="302">
          <cell r="A302"/>
        </row>
        <row r="303">
          <cell r="A303" t="str">
            <v>HEAT &amp; POWER</v>
          </cell>
        </row>
        <row r="304">
          <cell r="A304" t="str">
            <v>HEAT CONS.PER T OF</v>
          </cell>
        </row>
        <row r="305">
          <cell r="A305" t="str">
            <v>Dry Coal input</v>
          </cell>
        </row>
        <row r="306">
          <cell r="A306" t="str">
            <v>Hot Metal Prouction</v>
          </cell>
        </row>
        <row r="307">
          <cell r="A307" t="str">
            <v>Sinter Production(SP-I)</v>
          </cell>
        </row>
        <row r="308">
          <cell r="A308" t="str">
            <v>Sinter Prodn.(SP-II)</v>
          </cell>
        </row>
        <row r="309">
          <cell r="A309" t="str">
            <v>Sinter Prodn.(SP-III)</v>
          </cell>
        </row>
        <row r="310">
          <cell r="A310" t="str">
            <v>Slabs Rolled- PM</v>
          </cell>
        </row>
        <row r="311">
          <cell r="A311" t="str">
            <v>Slabs Rolled- NPM</v>
          </cell>
        </row>
        <row r="312">
          <cell r="A312" t="str">
            <v>Slabs Rolled -  HSM</v>
          </cell>
        </row>
        <row r="313">
          <cell r="A313" t="str">
            <v>Slabs Rolled -  HSM2</v>
          </cell>
        </row>
        <row r="314">
          <cell r="A314" t="str">
            <v>Steam Gen - CPP I</v>
          </cell>
        </row>
        <row r="315">
          <cell r="A315" t="str">
            <v>Steam Gen. - CPP II</v>
          </cell>
        </row>
        <row r="316">
          <cell r="A316" t="str">
            <v xml:space="preserve">            </v>
          </cell>
        </row>
        <row r="317">
          <cell r="A317"/>
        </row>
        <row r="318">
          <cell r="A318" t="str">
            <v>ELECT.CONS.PER T OF</v>
          </cell>
        </row>
        <row r="319">
          <cell r="A319" t="str">
            <v>Dry Coal Charged</v>
          </cell>
        </row>
        <row r="320">
          <cell r="A320" t="str">
            <v>CO Gas of 1000 NM3</v>
          </cell>
        </row>
        <row r="321">
          <cell r="A321" t="str">
            <v>BF#1-  HM Prod.(Incl.GCP)</v>
          </cell>
        </row>
        <row r="322">
          <cell r="A322" t="str">
            <v>BF#5- New HM Prod.(Incl.GCP)</v>
          </cell>
        </row>
        <row r="323">
          <cell r="A323" t="str">
            <v>Sinter Prod(SP-I)</v>
          </cell>
        </row>
        <row r="324">
          <cell r="A324" t="str">
            <v>Sinter Prod(SP-II)</v>
          </cell>
        </row>
        <row r="325">
          <cell r="A325" t="str">
            <v>Sinter Prod(SP-III)</v>
          </cell>
        </row>
        <row r="326">
          <cell r="A326" t="str">
            <v>Crude Steel (S M S - I)</v>
          </cell>
        </row>
        <row r="327">
          <cell r="A327" t="str">
            <v>Crude Steel (S M S - II)</v>
          </cell>
        </row>
        <row r="328">
          <cell r="A328" t="str">
            <v>Old Plates Production</v>
          </cell>
        </row>
        <row r="329">
          <cell r="A329" t="str">
            <v>New Plates Production</v>
          </cell>
        </row>
        <row r="330">
          <cell r="A330" t="str">
            <v>H.R.Coil Production</v>
          </cell>
        </row>
        <row r="331">
          <cell r="A331" t="str">
            <v>H.R.Coil-2 Production</v>
          </cell>
        </row>
        <row r="332">
          <cell r="A332" t="str">
            <v>Saleable Steel</v>
          </cell>
        </row>
        <row r="333">
          <cell r="A333" t="str">
            <v>OBBP</v>
          </cell>
        </row>
        <row r="334">
          <cell r="A334" t="str">
            <v>Flux Crus.Index(Ov.All)</v>
          </cell>
        </row>
        <row r="335">
          <cell r="A335" t="str">
            <v>Coke Crus.Index(Ov.All)</v>
          </cell>
        </row>
        <row r="336">
          <cell r="A336" t="str">
            <v>LD fines usage in B-Mix</v>
          </cell>
        </row>
        <row r="337">
          <cell r="A337" t="str">
            <v>Met. Waste in B-Mix</v>
          </cell>
        </row>
        <row r="338">
          <cell r="A338" t="str">
            <v>Std. Dvn for Fe in B-Mix</v>
          </cell>
        </row>
        <row r="339">
          <cell r="A339" t="str">
            <v>GENERAL</v>
          </cell>
        </row>
        <row r="340">
          <cell r="A340" t="str">
            <v xml:space="preserve">**Energy consumption. </v>
          </cell>
        </row>
        <row r="341">
          <cell r="A341" t="str">
            <v>H M to Slab Ratio-Total</v>
          </cell>
        </row>
        <row r="342">
          <cell r="A342" t="str">
            <v>Fce Oil Cons.-Total</v>
          </cell>
        </row>
        <row r="343">
          <cell r="A343" t="str">
            <v>Make-Up Water Cons.</v>
          </cell>
        </row>
        <row r="344">
          <cell r="A344" t="str">
            <v>Make-Up Water Cons.</v>
          </cell>
        </row>
        <row r="345">
          <cell r="A345" t="str">
            <v>LD Gas Recv. - SMS-II</v>
          </cell>
        </row>
        <row r="346">
          <cell r="A346" t="str">
            <v xml:space="preserve">Sp. CO2 Emmission </v>
          </cell>
        </row>
        <row r="347">
          <cell r="A347" t="str">
            <v>Labour Productivity</v>
          </cell>
        </row>
        <row r="348">
          <cell r="A348" t="str">
            <v xml:space="preserve">  Current Month data is provisional</v>
          </cell>
        </row>
      </sheetData>
      <sheetData sheetId="1">
        <row r="6">
          <cell r="A6" t="str">
            <v xml:space="preserve"> Battery-6 (Nos./Day)</v>
          </cell>
        </row>
        <row r="7">
          <cell r="A7" t="str">
            <v xml:space="preserve"> Oven Pushed (Nos./Day)</v>
          </cell>
        </row>
        <row r="8">
          <cell r="A8" t="str">
            <v>Equivalent  Oven Pushed</v>
          </cell>
        </row>
        <row r="9">
          <cell r="A9" t="str">
            <v xml:space="preserve"> Sinter - I</v>
          </cell>
        </row>
        <row r="10">
          <cell r="A10" t="str">
            <v xml:space="preserve"> Sinter - II</v>
          </cell>
        </row>
        <row r="11">
          <cell r="A11" t="str">
            <v xml:space="preserve"> Sinter - III</v>
          </cell>
        </row>
        <row r="12">
          <cell r="A12" t="str">
            <v>Sinter Total</v>
          </cell>
        </row>
        <row r="13">
          <cell r="A13" t="str">
            <v>BF-1</v>
          </cell>
        </row>
        <row r="14">
          <cell r="A14" t="str">
            <v xml:space="preserve">BF#5 </v>
          </cell>
        </row>
        <row r="15">
          <cell r="A15" t="str">
            <v>Tota  Hot Metal</v>
          </cell>
        </row>
        <row r="16">
          <cell r="A16" t="str">
            <v>Cold Pig</v>
          </cell>
        </row>
        <row r="17">
          <cell r="A17" t="str">
            <v xml:space="preserve"> SMS -I Fndry Cast</v>
          </cell>
        </row>
        <row r="18">
          <cell r="A18" t="str">
            <v xml:space="preserve">  CCM-I - Slabs</v>
          </cell>
        </row>
        <row r="19">
          <cell r="A19" t="str">
            <v>SMS-I Total</v>
          </cell>
        </row>
        <row r="20">
          <cell r="A20" t="str">
            <v xml:space="preserve">  CCM-II - Slabs</v>
          </cell>
        </row>
        <row r="21">
          <cell r="A21" t="str">
            <v>SMS-2/Caster-III</v>
          </cell>
        </row>
        <row r="22">
          <cell r="A22" t="str">
            <v>SMS-2/Caster-4</v>
          </cell>
        </row>
        <row r="23">
          <cell r="A23" t="str">
            <v>SMS-II Total</v>
          </cell>
        </row>
        <row r="24">
          <cell r="A24" t="str">
            <v xml:space="preserve"> Total Crude Steel</v>
          </cell>
        </row>
        <row r="25">
          <cell r="A25" t="str">
            <v>Total Slabs</v>
          </cell>
        </row>
        <row r="26">
          <cell r="A26" t="str">
            <v xml:space="preserve">HSM-2 -  Total HR Coils </v>
          </cell>
        </row>
        <row r="27">
          <cell r="A27" t="str">
            <v>HSM-2-  H R C/S</v>
          </cell>
        </row>
        <row r="28">
          <cell r="A28" t="str">
            <v>SSL - HR Plates</v>
          </cell>
        </row>
        <row r="29">
          <cell r="A29" t="str">
            <v>OPM  Plates</v>
          </cell>
        </row>
        <row r="30">
          <cell r="A30" t="str">
            <v>NPM Plates</v>
          </cell>
        </row>
        <row r="31">
          <cell r="A31" t="str">
            <v xml:space="preserve"> CRNO Coils</v>
          </cell>
        </row>
        <row r="32">
          <cell r="A32" t="str">
            <v xml:space="preserve"> ERW Pipes</v>
          </cell>
        </row>
        <row r="33">
          <cell r="A33" t="str">
            <v xml:space="preserve"> SW Pipes</v>
          </cell>
        </row>
        <row r="34">
          <cell r="A34" t="str">
            <v>Saleable Steel Total</v>
          </cell>
        </row>
        <row r="35">
          <cell r="A35" t="str">
            <v xml:space="preserve">       Gr.Slag - Cast House</v>
          </cell>
        </row>
        <row r="36">
          <cell r="A36" t="str">
            <v>Avg.Power Gen. CPP-I (MW)</v>
          </cell>
        </row>
        <row r="37">
          <cell r="A37" t="str">
            <v>Avg.Power Gen. CPP-I I  (MW)</v>
          </cell>
        </row>
        <row r="38">
          <cell r="A38" t="str">
            <v>Avg.Power Gen. CPP-I I I  (MW)</v>
          </cell>
        </row>
        <row r="39">
          <cell r="A39" t="str">
            <v>Avg.Power Gen. Solar  (MW)</v>
          </cell>
        </row>
        <row r="40">
          <cell r="A40" t="str">
            <v>Avg.Power Gen. Total (MW)</v>
          </cell>
        </row>
        <row r="41">
          <cell r="A41" t="str">
            <v>Net drawal from GRIDCO. (MW)</v>
          </cell>
        </row>
        <row r="42">
          <cell r="A42" t="str">
            <v>RMHP-Despatch</v>
          </cell>
        </row>
        <row r="43">
          <cell r="A43" t="str">
            <v>With Sinter</v>
          </cell>
        </row>
        <row r="44">
          <cell r="A44" t="str">
            <v>Without Sinter</v>
          </cell>
        </row>
        <row r="45">
          <cell r="A45" t="str">
            <v>Sized Ore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P348"/>
  <sheetViews>
    <sheetView topLeftCell="R339" workbookViewId="0">
      <selection activeCell="AO348" sqref="AO348"/>
    </sheetView>
  </sheetViews>
  <sheetFormatPr defaultColWidth="9.109375" defaultRowHeight="21" x14ac:dyDescent="0.4"/>
  <cols>
    <col min="1" max="1" width="48.88671875" style="34" bestFit="1" customWidth="1"/>
    <col min="2" max="2" width="16.6640625" style="33" bestFit="1" customWidth="1"/>
    <col min="3" max="17" width="9.109375" style="33" hidden="1" customWidth="1"/>
    <col min="18" max="18" width="11.109375" style="33" customWidth="1"/>
    <col min="19" max="19" width="11.6640625" style="33" bestFit="1" customWidth="1"/>
    <col min="20" max="20" width="13.6640625" style="33" customWidth="1"/>
    <col min="21" max="21" width="11.6640625" style="33" bestFit="1" customWidth="1"/>
    <col min="22" max="22" width="11.6640625" style="33" customWidth="1"/>
    <col min="23" max="23" width="11.5546875" style="35" customWidth="1"/>
    <col min="24" max="24" width="12.44140625" style="33" customWidth="1"/>
    <col min="25" max="38" width="0" style="33" hidden="1" customWidth="1"/>
    <col min="39" max="39" width="13.109375" style="33" customWidth="1"/>
    <col min="40" max="16384" width="9.109375" style="36"/>
  </cols>
  <sheetData>
    <row r="2" spans="1:42" ht="32.25" customHeight="1" x14ac:dyDescent="0.4">
      <c r="A2" s="37" t="s">
        <v>105</v>
      </c>
      <c r="B2" s="38"/>
      <c r="C2" s="38"/>
      <c r="D2" s="38"/>
      <c r="E2" s="38"/>
      <c r="F2" s="38"/>
      <c r="G2" s="38"/>
      <c r="H2" s="39" t="s">
        <v>106</v>
      </c>
      <c r="I2" s="38"/>
      <c r="J2" s="40" t="s">
        <v>107</v>
      </c>
      <c r="K2" s="38"/>
      <c r="L2" s="38"/>
      <c r="M2" s="38"/>
      <c r="N2" s="38"/>
      <c r="O2" s="38"/>
      <c r="P2" s="38"/>
      <c r="Q2" s="38"/>
      <c r="R2" s="38"/>
      <c r="S2" s="38"/>
      <c r="T2" s="38"/>
      <c r="U2" s="62"/>
      <c r="V2" s="108"/>
      <c r="W2" s="41"/>
      <c r="X2" s="38" t="s">
        <v>108</v>
      </c>
      <c r="Y2" s="42" t="s">
        <v>109</v>
      </c>
      <c r="Z2" s="38"/>
      <c r="AA2" s="38" t="s">
        <v>110</v>
      </c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</row>
    <row r="3" spans="1:42" s="33" customFormat="1" x14ac:dyDescent="0.4">
      <c r="A3" s="43" t="s">
        <v>111</v>
      </c>
      <c r="B3" s="38" t="s">
        <v>112</v>
      </c>
      <c r="C3" s="38" t="s">
        <v>113</v>
      </c>
      <c r="D3" s="42" t="s">
        <v>114</v>
      </c>
      <c r="E3" s="42" t="s">
        <v>115</v>
      </c>
      <c r="F3" s="42" t="s">
        <v>116</v>
      </c>
      <c r="G3" s="42" t="s">
        <v>117</v>
      </c>
      <c r="H3" s="42" t="s">
        <v>118</v>
      </c>
      <c r="I3" s="38" t="s">
        <v>119</v>
      </c>
      <c r="J3" s="38" t="s">
        <v>120</v>
      </c>
      <c r="K3" s="38" t="s">
        <v>121</v>
      </c>
      <c r="L3" s="38" t="s">
        <v>122</v>
      </c>
      <c r="M3" s="38" t="s">
        <v>123</v>
      </c>
      <c r="N3" s="38" t="s">
        <v>124</v>
      </c>
      <c r="O3" s="38" t="s">
        <v>125</v>
      </c>
      <c r="P3" s="38" t="s">
        <v>126</v>
      </c>
      <c r="Q3" s="38" t="s">
        <v>127</v>
      </c>
      <c r="R3" s="38" t="s">
        <v>128</v>
      </c>
      <c r="S3" s="38" t="s">
        <v>129</v>
      </c>
      <c r="T3" s="38" t="s">
        <v>130</v>
      </c>
      <c r="U3" s="38" t="s">
        <v>131</v>
      </c>
      <c r="V3" s="38"/>
      <c r="W3" s="41" t="s">
        <v>4</v>
      </c>
      <c r="X3" s="38" t="s">
        <v>5</v>
      </c>
      <c r="Y3" s="38" t="s">
        <v>6</v>
      </c>
      <c r="Z3" s="38" t="s">
        <v>132</v>
      </c>
      <c r="AA3" s="38" t="s">
        <v>8</v>
      </c>
      <c r="AB3" s="38" t="s">
        <v>9</v>
      </c>
      <c r="AC3" s="38" t="s">
        <v>10</v>
      </c>
      <c r="AD3" s="38" t="s">
        <v>133</v>
      </c>
      <c r="AE3" s="38" t="s">
        <v>12</v>
      </c>
      <c r="AF3" s="38" t="s">
        <v>13</v>
      </c>
      <c r="AG3" s="38" t="s">
        <v>14</v>
      </c>
      <c r="AH3" s="38" t="s">
        <v>134</v>
      </c>
      <c r="AI3" s="38" t="s">
        <v>16</v>
      </c>
      <c r="AJ3" s="38" t="s">
        <v>17</v>
      </c>
      <c r="AK3" s="38" t="s">
        <v>18</v>
      </c>
      <c r="AL3" s="38" t="s">
        <v>135</v>
      </c>
      <c r="AM3" s="38" t="s">
        <v>136</v>
      </c>
    </row>
    <row r="4" spans="1:42" x14ac:dyDescent="0.4">
      <c r="A4" s="43" t="s">
        <v>137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62" t="s">
        <v>138</v>
      </c>
      <c r="V4" s="108"/>
      <c r="W4" s="38">
        <v>2025</v>
      </c>
      <c r="X4" s="38">
        <v>2025</v>
      </c>
      <c r="Y4" s="38">
        <v>2025</v>
      </c>
      <c r="Z4" s="38">
        <v>2023</v>
      </c>
      <c r="AA4" s="38">
        <v>2025</v>
      </c>
      <c r="AB4" s="38">
        <v>2025</v>
      </c>
      <c r="AC4" s="38">
        <v>2025</v>
      </c>
      <c r="AD4" s="38">
        <v>2023</v>
      </c>
      <c r="AE4" s="38">
        <v>2025</v>
      </c>
      <c r="AF4" s="38">
        <v>2025</v>
      </c>
      <c r="AG4" s="38">
        <v>2025</v>
      </c>
      <c r="AH4" s="38">
        <v>2023</v>
      </c>
      <c r="AI4" s="38">
        <v>2026</v>
      </c>
      <c r="AJ4" s="38">
        <v>2026</v>
      </c>
      <c r="AK4" s="38">
        <v>2026</v>
      </c>
      <c r="AL4" s="38">
        <v>2024</v>
      </c>
      <c r="AM4" s="38" t="s">
        <v>139</v>
      </c>
    </row>
    <row r="5" spans="1:42" x14ac:dyDescent="0.4">
      <c r="A5" s="37" t="s">
        <v>140</v>
      </c>
      <c r="B5" s="38" t="s">
        <v>141</v>
      </c>
      <c r="C5" s="44">
        <v>77.03893350791256</v>
      </c>
      <c r="D5" s="44">
        <v>75.5</v>
      </c>
      <c r="E5" s="38">
        <v>74.709999999999994</v>
      </c>
      <c r="F5" s="44">
        <v>74.333516538718385</v>
      </c>
      <c r="G5" s="44">
        <v>72.648362439426691</v>
      </c>
      <c r="H5" s="44">
        <v>72.73582333696838</v>
      </c>
      <c r="I5" s="44">
        <v>72.492790983727275</v>
      </c>
      <c r="J5" s="44">
        <v>73.751619183543667</v>
      </c>
      <c r="K5" s="44">
        <v>74.302602620496856</v>
      </c>
      <c r="L5" s="44">
        <v>75.195495049252898</v>
      </c>
      <c r="M5" s="44">
        <v>76.788311418479722</v>
      </c>
      <c r="N5" s="44">
        <v>77.526701737605606</v>
      </c>
      <c r="O5" s="44">
        <v>77.681894898791001</v>
      </c>
      <c r="P5" s="44">
        <v>77.306846440572102</v>
      </c>
      <c r="Q5" s="44">
        <v>77.257597045323436</v>
      </c>
      <c r="R5" s="44">
        <v>77.414250419552815</v>
      </c>
      <c r="S5" s="44">
        <v>77.401978849211602</v>
      </c>
      <c r="T5" s="44">
        <v>77.311558132035614</v>
      </c>
      <c r="U5" s="44">
        <v>77.3</v>
      </c>
      <c r="V5" s="44"/>
      <c r="W5" s="45">
        <v>76.748056104787693</v>
      </c>
      <c r="X5" s="44">
        <v>76.750386761051999</v>
      </c>
      <c r="Y5" s="44" t="e">
        <v>#DIV/0!</v>
      </c>
      <c r="Z5" s="44">
        <v>76.74921526852826</v>
      </c>
      <c r="AA5" s="44" t="e">
        <v>#DIV/0!</v>
      </c>
      <c r="AB5" s="44" t="e">
        <v>#DIV/0!</v>
      </c>
      <c r="AC5" s="44" t="e">
        <v>#DIV/0!</v>
      </c>
      <c r="AD5" s="44" t="e">
        <v>#DIV/0!</v>
      </c>
      <c r="AE5" s="44" t="e">
        <v>#DIV/0!</v>
      </c>
      <c r="AF5" s="44" t="e">
        <v>#DIV/0!</v>
      </c>
      <c r="AG5" s="44" t="e">
        <v>#DIV/0!</v>
      </c>
      <c r="AH5" s="44" t="e">
        <v>#DIV/0!</v>
      </c>
      <c r="AI5" s="44" t="e">
        <v>#DIV/0!</v>
      </c>
      <c r="AJ5" s="44" t="e">
        <v>#DIV/0!</v>
      </c>
      <c r="AK5" s="44" t="e">
        <v>#DIV/0!</v>
      </c>
      <c r="AL5" s="44"/>
      <c r="AM5" s="44">
        <v>76.74921526852826</v>
      </c>
      <c r="AO5" s="109" t="str">
        <f>IF(A5='[1]page 1-8'!$A5,"","False")</f>
        <v/>
      </c>
      <c r="AP5" s="109" t="str">
        <f>'[1]page 1-8'!$A5</f>
        <v>Gross Coke Yield</v>
      </c>
    </row>
    <row r="6" spans="1:42" x14ac:dyDescent="0.4">
      <c r="A6" s="37" t="s">
        <v>142</v>
      </c>
      <c r="B6" s="38" t="s">
        <v>143</v>
      </c>
      <c r="C6" s="44">
        <v>11.285878876361014</v>
      </c>
      <c r="D6" s="44">
        <v>10.79</v>
      </c>
      <c r="E6" s="38">
        <v>10.58</v>
      </c>
      <c r="F6" s="44">
        <v>10.531531116637499</v>
      </c>
      <c r="G6" s="44">
        <v>10.374253197337634</v>
      </c>
      <c r="H6" s="44">
        <v>10.431599857460213</v>
      </c>
      <c r="I6" s="44">
        <v>10.216721829337017</v>
      </c>
      <c r="J6" s="44">
        <v>10.331218356484486</v>
      </c>
      <c r="K6" s="44">
        <v>10.261403202542926</v>
      </c>
      <c r="L6" s="44">
        <v>10.419584785298358</v>
      </c>
      <c r="M6" s="44">
        <v>10.834750388378049</v>
      </c>
      <c r="N6" s="44">
        <v>10.863095021967249</v>
      </c>
      <c r="O6" s="44">
        <v>10.906473029783225</v>
      </c>
      <c r="P6" s="44">
        <v>10.876820096558887</v>
      </c>
      <c r="Q6" s="44">
        <v>10.944045503021686</v>
      </c>
      <c r="R6" s="44">
        <v>11.195826479446286</v>
      </c>
      <c r="S6" s="44">
        <v>11.008953798078091</v>
      </c>
      <c r="T6" s="44">
        <v>11.099677354642415</v>
      </c>
      <c r="U6" s="44">
        <v>11.1</v>
      </c>
      <c r="V6" s="44"/>
      <c r="W6" s="45">
        <v>11.069422705091613</v>
      </c>
      <c r="X6" s="44">
        <v>10.975286930766384</v>
      </c>
      <c r="Y6" s="44" t="e">
        <v>#DIV/0!</v>
      </c>
      <c r="Z6" s="44">
        <v>11.022478652204017</v>
      </c>
      <c r="AA6" s="44" t="e">
        <v>#DIV/0!</v>
      </c>
      <c r="AB6" s="44" t="e">
        <v>#DIV/0!</v>
      </c>
      <c r="AC6" s="44" t="e">
        <v>#DIV/0!</v>
      </c>
      <c r="AD6" s="44" t="e">
        <v>#DIV/0!</v>
      </c>
      <c r="AE6" s="44" t="e">
        <v>#DIV/0!</v>
      </c>
      <c r="AF6" s="44" t="e">
        <v>#DIV/0!</v>
      </c>
      <c r="AG6" s="44" t="e">
        <v>#DIV/0!</v>
      </c>
      <c r="AH6" s="44" t="e">
        <v>#DIV/0!</v>
      </c>
      <c r="AI6" s="44" t="e">
        <v>#DIV/0!</v>
      </c>
      <c r="AJ6" s="44" t="e">
        <v>#DIV/0!</v>
      </c>
      <c r="AK6" s="44" t="e">
        <v>#DIV/0!</v>
      </c>
      <c r="AL6" s="44"/>
      <c r="AM6" s="44">
        <v>11.022478652204017</v>
      </c>
      <c r="AO6" s="109" t="str">
        <f>IF(A6='[1]page 1-8'!$A6,"","False")</f>
        <v/>
      </c>
      <c r="AP6" s="109" t="str">
        <f>'[1]page 1-8'!$A6</f>
        <v>BFCoke (H/C+N/C)Yld</v>
      </c>
    </row>
    <row r="7" spans="1:42" x14ac:dyDescent="0.4">
      <c r="A7" s="37" t="s">
        <v>142</v>
      </c>
      <c r="B7" s="38" t="s">
        <v>144</v>
      </c>
      <c r="C7" s="44">
        <v>71.436476483297227</v>
      </c>
      <c r="D7" s="44">
        <v>68.77</v>
      </c>
      <c r="E7" s="44">
        <v>68.05</v>
      </c>
      <c r="F7" s="44">
        <v>67.573730317733293</v>
      </c>
      <c r="G7" s="44">
        <v>66.504069934231566</v>
      </c>
      <c r="H7" s="44">
        <v>66.981568390715069</v>
      </c>
      <c r="I7" s="44">
        <v>65.371989302520689</v>
      </c>
      <c r="J7" s="44">
        <v>65.843022579369077</v>
      </c>
      <c r="K7" s="44">
        <v>65.466352902562178</v>
      </c>
      <c r="L7" s="44">
        <v>66.767987326552927</v>
      </c>
      <c r="M7" s="44">
        <v>69.630478600975181</v>
      </c>
      <c r="N7" s="44">
        <v>70.137306476871004</v>
      </c>
      <c r="O7" s="44">
        <v>70.445595141049637</v>
      </c>
      <c r="P7" s="44">
        <v>68.312191456551588</v>
      </c>
      <c r="Q7" s="44">
        <v>68.366967750340876</v>
      </c>
      <c r="R7" s="44">
        <v>69.603231730000161</v>
      </c>
      <c r="S7" s="44">
        <v>70.384910808930698</v>
      </c>
      <c r="T7" s="44">
        <v>69.741479006460921</v>
      </c>
      <c r="U7" s="44">
        <v>69.7</v>
      </c>
      <c r="V7" s="44"/>
      <c r="W7" s="45">
        <v>69.710604593449034</v>
      </c>
      <c r="X7" s="44">
        <v>69.48631100276593</v>
      </c>
      <c r="Y7" s="44" t="e">
        <v>#DIV/0!</v>
      </c>
      <c r="Z7" s="44">
        <v>69.59905103596212</v>
      </c>
      <c r="AA7" s="44" t="e">
        <v>#DIV/0!</v>
      </c>
      <c r="AB7" s="44" t="e">
        <v>#DIV/0!</v>
      </c>
      <c r="AC7" s="44" t="e">
        <v>#DIV/0!</v>
      </c>
      <c r="AD7" s="44" t="e">
        <v>#DIV/0!</v>
      </c>
      <c r="AE7" s="44" t="e">
        <v>#DIV/0!</v>
      </c>
      <c r="AF7" s="44" t="e">
        <v>#DIV/0!</v>
      </c>
      <c r="AG7" s="44" t="e">
        <v>#DIV/0!</v>
      </c>
      <c r="AH7" s="44" t="e">
        <v>#DIV/0!</v>
      </c>
      <c r="AI7" s="44" t="e">
        <v>#DIV/0!</v>
      </c>
      <c r="AJ7" s="44" t="e">
        <v>#DIV/0!</v>
      </c>
      <c r="AK7" s="44" t="e">
        <v>#DIV/0!</v>
      </c>
      <c r="AL7" s="44"/>
      <c r="AM7" s="44">
        <v>69.59905103596212</v>
      </c>
      <c r="AO7" s="109" t="str">
        <f>IF(A7='[1]page 1-8'!$A7,"","False")</f>
        <v/>
      </c>
      <c r="AP7" s="109" t="str">
        <f>'[1]page 1-8'!$A7</f>
        <v>BFCoke (H/C+N/C)Yld</v>
      </c>
    </row>
    <row r="8" spans="1:42" x14ac:dyDescent="0.4">
      <c r="A8" s="37" t="s">
        <v>145</v>
      </c>
      <c r="B8" s="38" t="s">
        <v>143</v>
      </c>
      <c r="C8" s="44">
        <v>10.847320187859493</v>
      </c>
      <c r="D8" s="44">
        <v>10.6</v>
      </c>
      <c r="E8" s="44">
        <v>10.32</v>
      </c>
      <c r="F8" s="44">
        <v>10.226351662521875</v>
      </c>
      <c r="G8" s="44">
        <v>10.119549003127295</v>
      </c>
      <c r="H8" s="44">
        <v>10.147938101339722</v>
      </c>
      <c r="I8" s="44">
        <v>10.088839679024693</v>
      </c>
      <c r="J8" s="44">
        <v>10.191078151369597</v>
      </c>
      <c r="K8" s="44">
        <v>10.154017877649263</v>
      </c>
      <c r="L8" s="44">
        <v>10.202987548099298</v>
      </c>
      <c r="M8" s="44">
        <v>10.66773733047823</v>
      </c>
      <c r="N8" s="44">
        <v>10.69811372136088</v>
      </c>
      <c r="O8" s="44">
        <v>10.756899202758792</v>
      </c>
      <c r="P8" s="44">
        <v>10.553847929369674</v>
      </c>
      <c r="Q8" s="44">
        <v>10.575747521428289</v>
      </c>
      <c r="R8" s="44">
        <v>10.876510835101438</v>
      </c>
      <c r="S8" s="44">
        <v>10.786638925544231</v>
      </c>
      <c r="T8" s="44">
        <v>10.912476177739142</v>
      </c>
      <c r="U8" s="44">
        <v>10.9</v>
      </c>
      <c r="V8" s="44"/>
      <c r="W8" s="45">
        <v>10.874044747260841</v>
      </c>
      <c r="X8" s="44">
        <v>10.816364309514995</v>
      </c>
      <c r="Y8" s="44" t="e">
        <v>#DIV/0!</v>
      </c>
      <c r="Z8" s="44">
        <v>10.845280406185092</v>
      </c>
      <c r="AA8" s="44" t="e">
        <v>#DIV/0!</v>
      </c>
      <c r="AB8" s="44" t="e">
        <v>#DIV/0!</v>
      </c>
      <c r="AC8" s="44" t="e">
        <v>#DIV/0!</v>
      </c>
      <c r="AD8" s="44" t="e">
        <v>#DIV/0!</v>
      </c>
      <c r="AE8" s="44" t="e">
        <v>#DIV/0!</v>
      </c>
      <c r="AF8" s="44" t="e">
        <v>#DIV/0!</v>
      </c>
      <c r="AG8" s="44" t="e">
        <v>#DIV/0!</v>
      </c>
      <c r="AH8" s="44" t="e">
        <v>#DIV/0!</v>
      </c>
      <c r="AI8" s="44" t="e">
        <v>#DIV/0!</v>
      </c>
      <c r="AJ8" s="44" t="e">
        <v>#DIV/0!</v>
      </c>
      <c r="AK8" s="44" t="e">
        <v>#DIV/0!</v>
      </c>
      <c r="AL8" s="44"/>
      <c r="AM8" s="44">
        <v>10.845280406185092</v>
      </c>
      <c r="AO8" s="109" t="str">
        <f>IF(A8='[1]page 1-8'!$A8,"","False")</f>
        <v/>
      </c>
      <c r="AP8" s="109" t="str">
        <f>'[1]page 1-8'!$A8</f>
        <v>H/Coke Yield(+25mm)</v>
      </c>
    </row>
    <row r="9" spans="1:42" x14ac:dyDescent="0.4">
      <c r="A9" s="37" t="s">
        <v>145</v>
      </c>
      <c r="B9" s="38" t="s">
        <v>144</v>
      </c>
      <c r="C9" s="44">
        <v>68.660521878352341</v>
      </c>
      <c r="D9" s="44">
        <v>67.55</v>
      </c>
      <c r="E9" s="44">
        <v>66.34</v>
      </c>
      <c r="F9" s="44">
        <v>65.615599643044987</v>
      </c>
      <c r="G9" s="44">
        <v>64.871290665970264</v>
      </c>
      <c r="H9" s="44">
        <v>65.160169029443836</v>
      </c>
      <c r="I9" s="44">
        <v>64.553731675284993</v>
      </c>
      <c r="J9" s="44">
        <v>64.949879643921832</v>
      </c>
      <c r="K9" s="44">
        <v>64.781249175783103</v>
      </c>
      <c r="L9" s="44">
        <v>65.380047030824613</v>
      </c>
      <c r="M9" s="44">
        <v>68.557154459917811</v>
      </c>
      <c r="N9" s="44">
        <v>69.072108757419755</v>
      </c>
      <c r="O9" s="44">
        <v>69.479488386511591</v>
      </c>
      <c r="P9" s="44">
        <v>66.283755174227949</v>
      </c>
      <c r="Q9" s="44">
        <v>66.06622656435448</v>
      </c>
      <c r="R9" s="44">
        <v>67.618081207245012</v>
      </c>
      <c r="S9" s="44">
        <v>68.963557539419639</v>
      </c>
      <c r="T9" s="44">
        <v>68.565256803612485</v>
      </c>
      <c r="U9" s="46">
        <v>68.5</v>
      </c>
      <c r="V9" s="46"/>
      <c r="W9" s="45">
        <v>68.480195752132346</v>
      </c>
      <c r="X9" s="44">
        <v>68.480146265997845</v>
      </c>
      <c r="Y9" s="44" t="e">
        <v>#DIV/0!</v>
      </c>
      <c r="Z9" s="44">
        <v>68.480171139951793</v>
      </c>
      <c r="AA9" s="44" t="e">
        <v>#DIV/0!</v>
      </c>
      <c r="AB9" s="44" t="e">
        <v>#DIV/0!</v>
      </c>
      <c r="AC9" s="44" t="e">
        <v>#DIV/0!</v>
      </c>
      <c r="AD9" s="44" t="e">
        <v>#DIV/0!</v>
      </c>
      <c r="AE9" s="44" t="e">
        <v>#DIV/0!</v>
      </c>
      <c r="AF9" s="44" t="e">
        <v>#DIV/0!</v>
      </c>
      <c r="AG9" s="44" t="e">
        <v>#DIV/0!</v>
      </c>
      <c r="AH9" s="44" t="e">
        <v>#DIV/0!</v>
      </c>
      <c r="AI9" s="44" t="e">
        <v>#DIV/0!</v>
      </c>
      <c r="AJ9" s="44" t="e">
        <v>#DIV/0!</v>
      </c>
      <c r="AK9" s="44" t="e">
        <v>#DIV/0!</v>
      </c>
      <c r="AL9" s="44"/>
      <c r="AM9" s="44">
        <v>68.480171139951793</v>
      </c>
      <c r="AO9" s="109" t="str">
        <f>IF(A9='[1]page 1-8'!$A9,"","False")</f>
        <v/>
      </c>
      <c r="AP9" s="109" t="str">
        <f>'[1]page 1-8'!$A9</f>
        <v>H/Coke Yield(+25mm)</v>
      </c>
    </row>
    <row r="10" spans="1:42" x14ac:dyDescent="0.4">
      <c r="A10" s="37" t="s">
        <v>146</v>
      </c>
      <c r="B10" s="38" t="s">
        <v>147</v>
      </c>
      <c r="C10" s="47">
        <v>320.0005121584752</v>
      </c>
      <c r="D10" s="47">
        <v>319</v>
      </c>
      <c r="E10" s="47">
        <v>318</v>
      </c>
      <c r="F10" s="47">
        <v>324.61384047735834</v>
      </c>
      <c r="G10" s="47">
        <v>318.45093483008407</v>
      </c>
      <c r="H10" s="47">
        <v>309.01522822869606</v>
      </c>
      <c r="I10" s="47">
        <v>314.76865634500086</v>
      </c>
      <c r="J10" s="47">
        <v>312.49092194233282</v>
      </c>
      <c r="K10" s="47">
        <v>309.50467548267613</v>
      </c>
      <c r="L10" s="47">
        <v>302.41027250374725</v>
      </c>
      <c r="M10" s="47">
        <v>298.90326273055075</v>
      </c>
      <c r="N10" s="47">
        <v>299.81391706443918</v>
      </c>
      <c r="O10" s="47">
        <v>304.92819268604052</v>
      </c>
      <c r="P10" s="47">
        <v>316.71280371863617</v>
      </c>
      <c r="Q10" s="47">
        <v>318.99158586192118</v>
      </c>
      <c r="R10" s="47">
        <v>319.72036067804009</v>
      </c>
      <c r="S10" s="47">
        <v>320.08010572180882</v>
      </c>
      <c r="T10" s="47">
        <v>320.48901534434793</v>
      </c>
      <c r="U10" s="38">
        <v>320</v>
      </c>
      <c r="V10" s="38"/>
      <c r="W10" s="48">
        <v>320.42292339859347</v>
      </c>
      <c r="X10" s="47">
        <v>320.24056356648009</v>
      </c>
      <c r="Y10" s="47" t="e">
        <v>#DIV/0!</v>
      </c>
      <c r="Z10" s="47">
        <v>320.33162092030778</v>
      </c>
      <c r="AA10" s="47" t="e">
        <v>#DIV/0!</v>
      </c>
      <c r="AB10" s="47" t="e">
        <v>#DIV/0!</v>
      </c>
      <c r="AC10" s="47" t="e">
        <v>#DIV/0!</v>
      </c>
      <c r="AD10" s="47" t="e">
        <v>#DIV/0!</v>
      </c>
      <c r="AE10" s="47" t="e">
        <v>#DIV/0!</v>
      </c>
      <c r="AF10" s="47" t="e">
        <v>#DIV/0!</v>
      </c>
      <c r="AG10" s="47" t="e">
        <v>#DIV/0!</v>
      </c>
      <c r="AH10" s="47" t="e">
        <v>#DIV/0!</v>
      </c>
      <c r="AI10" s="47" t="e">
        <v>#DIV/0!</v>
      </c>
      <c r="AJ10" s="47" t="e">
        <v>#DIV/0!</v>
      </c>
      <c r="AK10" s="47" t="e">
        <v>#DIV/0!</v>
      </c>
      <c r="AL10" s="47"/>
      <c r="AM10" s="47">
        <v>320.33162092030778</v>
      </c>
      <c r="AO10" s="109" t="str">
        <f>IF(A10='[1]page 1-8'!$A10,"","False")</f>
        <v/>
      </c>
      <c r="AP10" s="109" t="str">
        <f>'[1]page 1-8'!$A10</f>
        <v>COG Yield on dry Coal</v>
      </c>
    </row>
    <row r="11" spans="1:42" x14ac:dyDescent="0.4">
      <c r="A11" s="37" t="s">
        <v>148</v>
      </c>
      <c r="B11" s="38" t="s">
        <v>143</v>
      </c>
      <c r="C11" s="44">
        <v>15.79848199679865</v>
      </c>
      <c r="D11" s="44">
        <v>15.69</v>
      </c>
      <c r="E11" s="44">
        <v>15.55</v>
      </c>
      <c r="F11" s="44">
        <v>15.585244542691351</v>
      </c>
      <c r="G11" s="44">
        <v>15.599426031515261</v>
      </c>
      <c r="H11" s="44">
        <v>15.573836367358389</v>
      </c>
      <c r="I11" s="44">
        <v>15.628592518513226</v>
      </c>
      <c r="J11" s="44">
        <v>15.690680578995197</v>
      </c>
      <c r="K11" s="44">
        <v>15.67431626719093</v>
      </c>
      <c r="L11" s="44">
        <v>15.605659542106039</v>
      </c>
      <c r="M11" s="44">
        <v>15.560356048200864</v>
      </c>
      <c r="N11" s="44">
        <v>15.488326495043752</v>
      </c>
      <c r="O11" s="44">
        <v>15.482122065894607</v>
      </c>
      <c r="P11" s="44">
        <v>15.922223931985613</v>
      </c>
      <c r="Q11" s="44">
        <v>16.007797132361656</v>
      </c>
      <c r="R11" s="44">
        <v>16.085210702394292</v>
      </c>
      <c r="S11" s="44">
        <v>15.64107089367972</v>
      </c>
      <c r="T11" s="44">
        <v>15.915460229362399</v>
      </c>
      <c r="U11" s="44">
        <v>15.91</v>
      </c>
      <c r="V11" s="44"/>
      <c r="W11" s="45">
        <v>15.879108737685296</v>
      </c>
      <c r="X11" s="44">
        <v>15.794890781192152</v>
      </c>
      <c r="Y11" s="44" t="e">
        <v>#DIV/0!</v>
      </c>
      <c r="Z11" s="44">
        <v>15.837110546965151</v>
      </c>
      <c r="AA11" s="44" t="e">
        <v>#DIV/0!</v>
      </c>
      <c r="AB11" s="44" t="e">
        <v>#DIV/0!</v>
      </c>
      <c r="AC11" s="44" t="e">
        <v>#DIV/0!</v>
      </c>
      <c r="AD11" s="44" t="e">
        <v>#DIV/0!</v>
      </c>
      <c r="AE11" s="44" t="e">
        <v>#DIV/0!</v>
      </c>
      <c r="AF11" s="44" t="e">
        <v>#DIV/0!</v>
      </c>
      <c r="AG11" s="44" t="e">
        <v>#DIV/0!</v>
      </c>
      <c r="AH11" s="44" t="e">
        <v>#DIV/0!</v>
      </c>
      <c r="AI11" s="44" t="e">
        <v>#DIV/0!</v>
      </c>
      <c r="AJ11" s="44" t="e">
        <v>#DIV/0!</v>
      </c>
      <c r="AK11" s="44" t="e">
        <v>#DIV/0!</v>
      </c>
      <c r="AL11" s="44"/>
      <c r="AM11" s="44">
        <v>15.837110546965151</v>
      </c>
      <c r="AO11" s="109" t="str">
        <f>IF(A11='[1]page 1-8'!$A11,"","False")</f>
        <v/>
      </c>
      <c r="AP11" s="109" t="str">
        <f>'[1]page 1-8'!$A11</f>
        <v>Dry Coal Charge</v>
      </c>
    </row>
    <row r="12" spans="1:42" x14ac:dyDescent="0.4">
      <c r="A12" s="37" t="s">
        <v>149</v>
      </c>
      <c r="B12" s="38" t="s">
        <v>141</v>
      </c>
      <c r="C12" s="44">
        <v>68.546313909760997</v>
      </c>
      <c r="D12" s="44">
        <v>74.28</v>
      </c>
      <c r="E12" s="44">
        <v>76.430000000000007</v>
      </c>
      <c r="F12" s="44">
        <v>74.429621673338417</v>
      </c>
      <c r="G12" s="44">
        <v>75.851588209790108</v>
      </c>
      <c r="H12" s="44">
        <v>74.250801395957126</v>
      </c>
      <c r="I12" s="44">
        <v>78.358787061054045</v>
      </c>
      <c r="J12" s="44">
        <v>84.696346907986836</v>
      </c>
      <c r="K12" s="44">
        <v>88.700791018880182</v>
      </c>
      <c r="L12" s="44">
        <v>80.694406531215151</v>
      </c>
      <c r="M12" s="44">
        <v>81.240174683186154</v>
      </c>
      <c r="N12" s="44">
        <v>87.659131101486793</v>
      </c>
      <c r="O12" s="44">
        <v>89.180622034881026</v>
      </c>
      <c r="P12" s="44">
        <v>90.82</v>
      </c>
      <c r="Q12" s="44">
        <v>90.82</v>
      </c>
      <c r="R12" s="44">
        <v>88.628518012150437</v>
      </c>
      <c r="S12" s="44">
        <v>88.18</v>
      </c>
      <c r="T12" s="44">
        <v>88.947485669525975</v>
      </c>
      <c r="U12" s="44">
        <v>85</v>
      </c>
      <c r="V12" s="44"/>
      <c r="W12" s="45">
        <v>88.305376935442936</v>
      </c>
      <c r="X12" s="44">
        <v>87.399750680812588</v>
      </c>
      <c r="Y12" s="44" t="e">
        <v>#DIV/0!</v>
      </c>
      <c r="Z12" s="44">
        <v>87.855207133795915</v>
      </c>
      <c r="AA12" s="44" t="e">
        <v>#DIV/0!</v>
      </c>
      <c r="AB12" s="44" t="e">
        <v>#DIV/0!</v>
      </c>
      <c r="AC12" s="44" t="e">
        <v>#DIV/0!</v>
      </c>
      <c r="AD12" s="44" t="e">
        <v>#DIV/0!</v>
      </c>
      <c r="AE12" s="44" t="e">
        <v>#DIV/0!</v>
      </c>
      <c r="AF12" s="44" t="e">
        <v>#DIV/0!</v>
      </c>
      <c r="AG12" s="44" t="e">
        <v>#DIV/0!</v>
      </c>
      <c r="AH12" s="44" t="e">
        <v>#DIV/0!</v>
      </c>
      <c r="AI12" s="44" t="e">
        <v>#DIV/0!</v>
      </c>
      <c r="AJ12" s="44" t="e">
        <v>#DIV/0!</v>
      </c>
      <c r="AK12" s="44" t="e">
        <v>#DIV/0!</v>
      </c>
      <c r="AL12" s="44"/>
      <c r="AM12" s="44">
        <v>87.855207133795915</v>
      </c>
      <c r="AO12" s="109" t="str">
        <f>IF(A12='[1]page 1-8'!$A12,"","False")</f>
        <v/>
      </c>
      <c r="AP12" s="109" t="str">
        <f>'[1]page 1-8'!$A12</f>
        <v>Imported Coal Usage</v>
      </c>
    </row>
    <row r="13" spans="1:42" x14ac:dyDescent="0.4">
      <c r="A13" s="37" t="s">
        <v>150</v>
      </c>
      <c r="B13" s="38" t="s">
        <v>141</v>
      </c>
      <c r="C13" s="44">
        <v>8.6308333333333334</v>
      </c>
      <c r="D13" s="44">
        <v>8.7200000000000006</v>
      </c>
      <c r="E13" s="44">
        <v>8.4</v>
      </c>
      <c r="F13" s="44">
        <v>8.4</v>
      </c>
      <c r="G13" s="44">
        <v>8.1958333333333329</v>
      </c>
      <c r="H13" s="44">
        <v>8.1091666666666669</v>
      </c>
      <c r="I13" s="44">
        <v>8.2008333333333336</v>
      </c>
      <c r="J13" s="44">
        <v>7.9666666666666668</v>
      </c>
      <c r="K13" s="44">
        <v>8.2916666666666661</v>
      </c>
      <c r="L13" s="44">
        <v>9.0250000000000004</v>
      </c>
      <c r="M13" s="44">
        <v>8.9833333333333343</v>
      </c>
      <c r="N13" s="44">
        <v>9.1166666666666654</v>
      </c>
      <c r="O13" s="44">
        <v>8.9499999999999993</v>
      </c>
      <c r="P13" s="44">
        <v>8.35</v>
      </c>
      <c r="Q13" s="44">
        <v>8.2750000000000004</v>
      </c>
      <c r="R13" s="44">
        <v>8.4583333333333321</v>
      </c>
      <c r="S13" s="44">
        <v>8.2583333333333329</v>
      </c>
      <c r="T13" s="44">
        <v>7.8641666666666659</v>
      </c>
      <c r="U13" s="44">
        <v>8.4</v>
      </c>
      <c r="V13" s="44"/>
      <c r="W13" s="45">
        <v>7.6</v>
      </c>
      <c r="X13" s="44">
        <v>7.4</v>
      </c>
      <c r="Y13" s="44" t="e">
        <v>#DIV/0!</v>
      </c>
      <c r="Z13" s="44">
        <v>5</v>
      </c>
      <c r="AA13" s="44" t="e">
        <v>#DIV/0!</v>
      </c>
      <c r="AB13" s="44" t="e">
        <v>#DIV/0!</v>
      </c>
      <c r="AC13" s="44" t="e">
        <v>#DIV/0!</v>
      </c>
      <c r="AD13" s="44">
        <v>0</v>
      </c>
      <c r="AE13" s="44" t="e">
        <v>#DIV/0!</v>
      </c>
      <c r="AF13" s="44" t="e">
        <v>#DIV/0!</v>
      </c>
      <c r="AG13" s="44" t="e">
        <v>#DIV/0!</v>
      </c>
      <c r="AH13" s="44">
        <v>0</v>
      </c>
      <c r="AI13" s="44" t="e">
        <v>#DIV/0!</v>
      </c>
      <c r="AJ13" s="44" t="e">
        <v>#DIV/0!</v>
      </c>
      <c r="AK13" s="44" t="e">
        <v>#DIV/0!</v>
      </c>
      <c r="AL13" s="44"/>
      <c r="AM13" s="44">
        <v>7.5</v>
      </c>
      <c r="AO13" s="109" t="str">
        <f>IF(A13='[1]page 1-8'!$A13,"","False")</f>
        <v/>
      </c>
      <c r="AP13" s="109" t="str">
        <f>'[1]page 1-8'!$A13</f>
        <v>Coke Micum(-10mm)</v>
      </c>
    </row>
    <row r="14" spans="1:42" x14ac:dyDescent="0.4">
      <c r="A14" s="37" t="s">
        <v>151</v>
      </c>
      <c r="B14" s="38" t="s">
        <v>152</v>
      </c>
      <c r="C14" s="47">
        <v>4450.5</v>
      </c>
      <c r="D14" s="47">
        <v>4386</v>
      </c>
      <c r="E14" s="47">
        <v>4378</v>
      </c>
      <c r="F14" s="47">
        <v>4343.166666666667</v>
      </c>
      <c r="G14" s="47">
        <v>4370.25</v>
      </c>
      <c r="H14" s="47">
        <v>4373.5</v>
      </c>
      <c r="I14" s="47">
        <v>4373.166666666667</v>
      </c>
      <c r="J14" s="47">
        <v>4362.583333333333</v>
      </c>
      <c r="K14" s="47">
        <v>4327.5</v>
      </c>
      <c r="L14" s="47">
        <v>4388.916666666667</v>
      </c>
      <c r="M14" s="47">
        <v>4411.416666666667</v>
      </c>
      <c r="N14" s="47">
        <v>4339.583333333333</v>
      </c>
      <c r="O14" s="47">
        <v>4281.583333333333</v>
      </c>
      <c r="P14" s="47">
        <v>4284.416666666667</v>
      </c>
      <c r="Q14" s="47">
        <v>4282.416666666667</v>
      </c>
      <c r="R14" s="47">
        <v>4269.4254345837144</v>
      </c>
      <c r="S14" s="47">
        <v>4254.1110326428125</v>
      </c>
      <c r="T14" s="47">
        <v>4246.5967223483785</v>
      </c>
      <c r="U14" s="38">
        <v>4200</v>
      </c>
      <c r="V14" s="38"/>
      <c r="W14" s="48">
        <v>4244.6816546762584</v>
      </c>
      <c r="X14" s="47">
        <v>4250.246053853296</v>
      </c>
      <c r="Y14" s="47" t="e">
        <v>#DIV/0!</v>
      </c>
      <c r="Z14" s="47">
        <v>2831.6425695098515</v>
      </c>
      <c r="AA14" s="47" t="e">
        <v>#DIV/0!</v>
      </c>
      <c r="AB14" s="47" t="e">
        <v>#DIV/0!</v>
      </c>
      <c r="AC14" s="47" t="e">
        <v>#DIV/0!</v>
      </c>
      <c r="AD14" s="47">
        <v>0</v>
      </c>
      <c r="AE14" s="47" t="e">
        <v>#DIV/0!</v>
      </c>
      <c r="AF14" s="47" t="e">
        <v>#DIV/0!</v>
      </c>
      <c r="AG14" s="47" t="e">
        <v>#DIV/0!</v>
      </c>
      <c r="AH14" s="47">
        <v>0</v>
      </c>
      <c r="AI14" s="47" t="e">
        <v>#DIV/0!</v>
      </c>
      <c r="AJ14" s="47" t="e">
        <v>#DIV/0!</v>
      </c>
      <c r="AK14" s="47" t="e">
        <v>#DIV/0!</v>
      </c>
      <c r="AL14" s="47"/>
      <c r="AM14" s="47">
        <v>4247.4638542647772</v>
      </c>
      <c r="AO14" s="109" t="str">
        <f>IF(A14='[1]page 1-8'!$A14,"","False")</f>
        <v/>
      </c>
      <c r="AP14" s="109" t="str">
        <f>'[1]page 1-8'!$A14</f>
        <v>C.V. of C.O.Gas</v>
      </c>
    </row>
    <row r="15" spans="1:42" x14ac:dyDescent="0.4">
      <c r="A15" s="37" t="s">
        <v>153</v>
      </c>
      <c r="B15" s="38" t="s">
        <v>141</v>
      </c>
      <c r="C15" s="44">
        <v>4.3250000000000002</v>
      </c>
      <c r="D15" s="44">
        <v>4.88</v>
      </c>
      <c r="E15" s="44">
        <v>5.2</v>
      </c>
      <c r="F15" s="49">
        <v>5.5</v>
      </c>
      <c r="G15" s="49">
        <v>5.2750000000000004</v>
      </c>
      <c r="H15" s="49">
        <v>5.2166666666666659</v>
      </c>
      <c r="I15" s="49">
        <v>5.0333333333333323</v>
      </c>
      <c r="J15" s="49">
        <v>5.1833333333333336</v>
      </c>
      <c r="K15" s="49">
        <v>6.4083333333333323</v>
      </c>
      <c r="L15" s="49">
        <v>4.7666666666666666</v>
      </c>
      <c r="M15" s="44">
        <v>4.5749999999999993</v>
      </c>
      <c r="N15" s="44">
        <v>4.3999999999999995</v>
      </c>
      <c r="O15" s="44">
        <v>4.7</v>
      </c>
      <c r="P15" s="44">
        <v>4.9083333333333332</v>
      </c>
      <c r="Q15" s="44">
        <v>4.8416666666666668</v>
      </c>
      <c r="R15" s="44">
        <v>5.0668344007319313</v>
      </c>
      <c r="S15" s="44">
        <v>5.1583333333333332</v>
      </c>
      <c r="T15" s="44">
        <v>5.1876025238228554</v>
      </c>
      <c r="U15" s="44">
        <v>5.5</v>
      </c>
      <c r="V15" s="44"/>
      <c r="W15" s="45">
        <v>5.2181654676258988</v>
      </c>
      <c r="X15" s="44">
        <v>5.2078922934076131</v>
      </c>
      <c r="Y15" s="44" t="e">
        <v>#DIV/0!</v>
      </c>
      <c r="Z15" s="44">
        <v>3.4753525870111708</v>
      </c>
      <c r="AA15" s="44" t="e">
        <v>#DIV/0!</v>
      </c>
      <c r="AB15" s="44" t="e">
        <v>#DIV/0!</v>
      </c>
      <c r="AC15" s="44" t="e">
        <v>#DIV/0!</v>
      </c>
      <c r="AD15" s="44">
        <v>0</v>
      </c>
      <c r="AE15" s="44" t="e">
        <v>#DIV/0!</v>
      </c>
      <c r="AF15" s="44" t="e">
        <v>#DIV/0!</v>
      </c>
      <c r="AG15" s="44" t="e">
        <v>#DIV/0!</v>
      </c>
      <c r="AH15" s="44">
        <v>0</v>
      </c>
      <c r="AI15" s="44" t="e">
        <v>#DIV/0!</v>
      </c>
      <c r="AJ15" s="44" t="e">
        <v>#DIV/0!</v>
      </c>
      <c r="AK15" s="44" t="e">
        <v>#DIV/0!</v>
      </c>
      <c r="AL15" s="44"/>
      <c r="AM15" s="44">
        <v>5.2130288805167559</v>
      </c>
      <c r="AO15" s="109" t="str">
        <f>IF(A15='[1]page 1-8'!$A15,"","False")</f>
        <v/>
      </c>
      <c r="AP15" s="109" t="str">
        <f>'[1]page 1-8'!$A15</f>
        <v>Avg.N2 content in COG</v>
      </c>
    </row>
    <row r="16" spans="1:42" x14ac:dyDescent="0.4">
      <c r="A16" s="43" t="s">
        <v>154</v>
      </c>
      <c r="B16" s="38"/>
      <c r="C16" s="44"/>
      <c r="D16" s="44"/>
      <c r="E16" s="44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4"/>
      <c r="V16" s="44"/>
      <c r="W16" s="50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O16" s="109" t="str">
        <f>IF(A16='[1]page 1-8'!$A16,"","False")</f>
        <v/>
      </c>
      <c r="AP16" s="109" t="str">
        <f>'[1]page 1-8'!$A16</f>
        <v>BATTERY - 6</v>
      </c>
    </row>
    <row r="17" spans="1:42" x14ac:dyDescent="0.4">
      <c r="A17" s="37" t="s">
        <v>148</v>
      </c>
      <c r="B17" s="38" t="s">
        <v>143</v>
      </c>
      <c r="C17" s="44"/>
      <c r="D17" s="44"/>
      <c r="E17" s="44"/>
      <c r="F17" s="49"/>
      <c r="G17" s="49"/>
      <c r="H17" s="49"/>
      <c r="I17" s="49">
        <v>30.012472017908539</v>
      </c>
      <c r="J17" s="44">
        <v>29.953559499376233</v>
      </c>
      <c r="K17" s="44">
        <v>29.274853161139688</v>
      </c>
      <c r="L17" s="44">
        <v>29.954111852359873</v>
      </c>
      <c r="M17" s="44">
        <v>30.562756052141527</v>
      </c>
      <c r="N17" s="44">
        <v>30.159059987631416</v>
      </c>
      <c r="O17" s="44">
        <v>30.353610650960182</v>
      </c>
      <c r="P17" s="44">
        <v>30.650552310817673</v>
      </c>
      <c r="Q17" s="44">
        <v>30.598272799657011</v>
      </c>
      <c r="R17" s="44">
        <v>30.788719975676496</v>
      </c>
      <c r="S17" s="44">
        <v>30.77809262644729</v>
      </c>
      <c r="T17" s="44">
        <v>30.201915945611866</v>
      </c>
      <c r="U17" s="44">
        <v>30.26</v>
      </c>
      <c r="V17" s="44"/>
      <c r="W17" s="45">
        <v>30.179042593290614</v>
      </c>
      <c r="X17" s="44">
        <v>29.83729671123961</v>
      </c>
      <c r="Y17" s="44" t="e">
        <v>#DIV/0!</v>
      </c>
      <c r="Z17" s="44">
        <v>30.004575645756457</v>
      </c>
      <c r="AA17" s="44" t="e">
        <v>#DIV/0!</v>
      </c>
      <c r="AB17" s="44" t="e">
        <v>#DIV/0!</v>
      </c>
      <c r="AC17" s="44" t="e">
        <v>#DIV/0!</v>
      </c>
      <c r="AD17" s="44" t="e">
        <v>#DIV/0!</v>
      </c>
      <c r="AE17" s="44" t="e">
        <v>#DIV/0!</v>
      </c>
      <c r="AF17" s="44" t="e">
        <v>#DIV/0!</v>
      </c>
      <c r="AG17" s="44" t="e">
        <v>#DIV/0!</v>
      </c>
      <c r="AH17" s="44" t="e">
        <v>#DIV/0!</v>
      </c>
      <c r="AI17" s="44" t="e">
        <v>#DIV/0!</v>
      </c>
      <c r="AJ17" s="44" t="e">
        <v>#DIV/0!</v>
      </c>
      <c r="AK17" s="44" t="e">
        <v>#DIV/0!</v>
      </c>
      <c r="AL17" s="44"/>
      <c r="AM17" s="44">
        <v>30.004575645756457</v>
      </c>
      <c r="AO17" s="109" t="str">
        <f>IF(A17='[1]page 1-8'!$A17,"","False")</f>
        <v/>
      </c>
      <c r="AP17" s="109" t="str">
        <f>'[1]page 1-8'!$A17</f>
        <v>Dry Coal Charge</v>
      </c>
    </row>
    <row r="18" spans="1:42" x14ac:dyDescent="0.4">
      <c r="A18" s="37" t="s">
        <v>140</v>
      </c>
      <c r="B18" s="38" t="s">
        <v>141</v>
      </c>
      <c r="C18" s="44"/>
      <c r="D18" s="44"/>
      <c r="E18" s="44"/>
      <c r="F18" s="49"/>
      <c r="G18" s="49"/>
      <c r="H18" s="49"/>
      <c r="I18" s="49">
        <v>75.510000000000005</v>
      </c>
      <c r="J18" s="44">
        <v>75.384782807302273</v>
      </c>
      <c r="K18" s="44">
        <v>75.702377584730812</v>
      </c>
      <c r="L18" s="44">
        <v>74.942447870050827</v>
      </c>
      <c r="M18" s="44">
        <v>75.436768582720987</v>
      </c>
      <c r="N18" s="44">
        <v>75.993598156137736</v>
      </c>
      <c r="O18" s="44">
        <v>76.761124928875844</v>
      </c>
      <c r="P18" s="44">
        <v>76.691434992207036</v>
      </c>
      <c r="Q18" s="44">
        <v>77.10257457293956</v>
      </c>
      <c r="R18" s="44">
        <v>77.373521317031404</v>
      </c>
      <c r="S18" s="44">
        <v>77.408410938318269</v>
      </c>
      <c r="T18" s="44">
        <v>77.400254160808885</v>
      </c>
      <c r="U18" s="44">
        <v>77.2</v>
      </c>
      <c r="V18" s="44"/>
      <c r="W18" s="45">
        <v>77.049896958721035</v>
      </c>
      <c r="X18" s="44">
        <v>76.950283309794841</v>
      </c>
      <c r="Y18" s="44" t="e">
        <v>#DIV/0!</v>
      </c>
      <c r="Z18" s="44">
        <v>76.999326056050492</v>
      </c>
      <c r="AA18" s="44" t="e">
        <v>#DIV/0!</v>
      </c>
      <c r="AB18" s="44" t="e">
        <v>#DIV/0!</v>
      </c>
      <c r="AC18" s="44" t="e">
        <v>#DIV/0!</v>
      </c>
      <c r="AD18" s="44" t="e">
        <v>#DIV/0!</v>
      </c>
      <c r="AE18" s="44" t="e">
        <v>#DIV/0!</v>
      </c>
      <c r="AF18" s="44" t="e">
        <v>#DIV/0!</v>
      </c>
      <c r="AG18" s="44" t="e">
        <v>#DIV/0!</v>
      </c>
      <c r="AH18" s="44" t="e">
        <v>#DIV/0!</v>
      </c>
      <c r="AI18" s="44" t="e">
        <v>#DIV/0!</v>
      </c>
      <c r="AJ18" s="44" t="e">
        <v>#DIV/0!</v>
      </c>
      <c r="AK18" s="44" t="e">
        <v>#DIV/0!</v>
      </c>
      <c r="AL18" s="44"/>
      <c r="AM18" s="44">
        <v>76.999326056050492</v>
      </c>
      <c r="AO18" s="109" t="str">
        <f>IF(A18='[1]page 1-8'!$A18,"","False")</f>
        <v/>
      </c>
      <c r="AP18" s="109" t="str">
        <f>'[1]page 1-8'!$A18</f>
        <v>Gross Coke Yield</v>
      </c>
    </row>
    <row r="19" spans="1:42" x14ac:dyDescent="0.4">
      <c r="A19" s="37" t="s">
        <v>140</v>
      </c>
      <c r="B19" s="38" t="s">
        <v>143</v>
      </c>
      <c r="C19" s="44"/>
      <c r="D19" s="44"/>
      <c r="E19" s="44"/>
      <c r="F19" s="49"/>
      <c r="G19" s="49"/>
      <c r="H19" s="49"/>
      <c r="I19" s="49">
        <v>22.66</v>
      </c>
      <c r="J19" s="44">
        <v>22.580425771660831</v>
      </c>
      <c r="K19" s="44">
        <v>22.161759877421474</v>
      </c>
      <c r="L19" s="44">
        <v>22.448344659891514</v>
      </c>
      <c r="M19" s="44">
        <v>23.055555555555557</v>
      </c>
      <c r="N19" s="44">
        <v>22.918954854669142</v>
      </c>
      <c r="O19" s="44">
        <v>23.299772992208112</v>
      </c>
      <c r="P19" s="44">
        <v>23.506348400203148</v>
      </c>
      <c r="Q19" s="44">
        <v>23.592056103387026</v>
      </c>
      <c r="R19" s="44">
        <v>23.82231681362116</v>
      </c>
      <c r="S19" s="44">
        <v>23.824832419256552</v>
      </c>
      <c r="T19" s="44">
        <v>23.376359703337453</v>
      </c>
      <c r="U19" s="44">
        <v>23.37</v>
      </c>
      <c r="V19" s="44"/>
      <c r="W19" s="45">
        <v>23.252921221258951</v>
      </c>
      <c r="X19" s="44">
        <v>22.959884351282977</v>
      </c>
      <c r="Y19" s="44" t="e">
        <v>#DIV/0!</v>
      </c>
      <c r="Z19" s="44">
        <v>23.103321033210332</v>
      </c>
      <c r="AA19" s="44" t="e">
        <v>#DIV/0!</v>
      </c>
      <c r="AB19" s="44" t="e">
        <v>#DIV/0!</v>
      </c>
      <c r="AC19" s="44" t="e">
        <v>#DIV/0!</v>
      </c>
      <c r="AD19" s="44" t="e">
        <v>#DIV/0!</v>
      </c>
      <c r="AE19" s="44" t="e">
        <v>#DIV/0!</v>
      </c>
      <c r="AF19" s="44" t="e">
        <v>#DIV/0!</v>
      </c>
      <c r="AG19" s="44" t="e">
        <v>#DIV/0!</v>
      </c>
      <c r="AH19" s="44" t="e">
        <v>#DIV/0!</v>
      </c>
      <c r="AI19" s="44" t="e">
        <v>#DIV/0!</v>
      </c>
      <c r="AJ19" s="44" t="e">
        <v>#DIV/0!</v>
      </c>
      <c r="AK19" s="44" t="e">
        <v>#DIV/0!</v>
      </c>
      <c r="AL19" s="44"/>
      <c r="AM19" s="44">
        <v>23.103321033210332</v>
      </c>
      <c r="AO19" s="109" t="str">
        <f>IF(A19='[1]page 1-8'!$A19,"","False")</f>
        <v/>
      </c>
      <c r="AP19" s="109" t="str">
        <f>'[1]page 1-8'!$A19</f>
        <v>Gross Coke Yield</v>
      </c>
    </row>
    <row r="20" spans="1:42" x14ac:dyDescent="0.4">
      <c r="A20" s="37" t="s">
        <v>155</v>
      </c>
      <c r="B20" s="38" t="s">
        <v>143</v>
      </c>
      <c r="C20" s="44"/>
      <c r="D20" s="44"/>
      <c r="E20" s="44"/>
      <c r="F20" s="49"/>
      <c r="G20" s="49"/>
      <c r="H20" s="49"/>
      <c r="I20" s="49">
        <v>18.88</v>
      </c>
      <c r="J20" s="44">
        <v>19.160730814117269</v>
      </c>
      <c r="K20" s="44">
        <v>18.906497391558133</v>
      </c>
      <c r="L20" s="44">
        <v>19.191096701789387</v>
      </c>
      <c r="M20" s="44">
        <v>19.678957169459963</v>
      </c>
      <c r="N20" s="44">
        <v>19.619264069264069</v>
      </c>
      <c r="O20" s="44">
        <v>19.78541628320756</v>
      </c>
      <c r="P20" s="44">
        <v>19.489366429659725</v>
      </c>
      <c r="Q20" s="44">
        <v>19.608348134991118</v>
      </c>
      <c r="R20" s="44">
        <v>20.073882639100031</v>
      </c>
      <c r="S20" s="44">
        <v>20.738543570993297</v>
      </c>
      <c r="T20" s="44">
        <v>20.191841779975277</v>
      </c>
      <c r="U20" s="44">
        <v>20.2</v>
      </c>
      <c r="V20" s="44"/>
      <c r="W20" s="45">
        <v>20.162457595175272</v>
      </c>
      <c r="X20" s="44">
        <v>19.931333574268159</v>
      </c>
      <c r="Y20" s="44" t="e">
        <v>#DIV/0!</v>
      </c>
      <c r="Z20" s="44">
        <v>20.044464944649448</v>
      </c>
      <c r="AA20" s="44" t="e">
        <v>#DIV/0!</v>
      </c>
      <c r="AB20" s="44" t="e">
        <v>#DIV/0!</v>
      </c>
      <c r="AC20" s="44" t="e">
        <v>#DIV/0!</v>
      </c>
      <c r="AD20" s="44" t="e">
        <v>#DIV/0!</v>
      </c>
      <c r="AE20" s="44" t="e">
        <v>#DIV/0!</v>
      </c>
      <c r="AF20" s="44" t="e">
        <v>#DIV/0!</v>
      </c>
      <c r="AG20" s="44" t="e">
        <v>#DIV/0!</v>
      </c>
      <c r="AH20" s="44" t="e">
        <v>#DIV/0!</v>
      </c>
      <c r="AI20" s="44" t="e">
        <v>#DIV/0!</v>
      </c>
      <c r="AJ20" s="44" t="e">
        <v>#DIV/0!</v>
      </c>
      <c r="AK20" s="44" t="e">
        <v>#DIV/0!</v>
      </c>
      <c r="AL20" s="44"/>
      <c r="AM20" s="44">
        <v>20.044464944649448</v>
      </c>
      <c r="AO20" s="109" t="str">
        <f>IF(A20='[1]page 1-8'!$A20,"","False")</f>
        <v/>
      </c>
      <c r="AP20" s="109" t="str">
        <f>'[1]page 1-8'!$A20</f>
        <v>H/Coke Yield (+25mm)</v>
      </c>
    </row>
    <row r="21" spans="1:42" x14ac:dyDescent="0.4">
      <c r="A21" s="37" t="s">
        <v>145</v>
      </c>
      <c r="B21" s="38" t="s">
        <v>144</v>
      </c>
      <c r="C21" s="44"/>
      <c r="D21" s="44"/>
      <c r="E21" s="44"/>
      <c r="F21" s="49"/>
      <c r="G21" s="49"/>
      <c r="H21" s="49"/>
      <c r="I21" s="44">
        <v>62.91</v>
      </c>
      <c r="J21" s="44">
        <v>63.968126440920258</v>
      </c>
      <c r="K21" s="44">
        <v>64.582723224911618</v>
      </c>
      <c r="L21" s="44">
        <v>64.06832155925683</v>
      </c>
      <c r="M21" s="44">
        <v>64.388686464946815</v>
      </c>
      <c r="N21" s="44">
        <v>65.052637838547227</v>
      </c>
      <c r="O21" s="44">
        <v>65.183073311186732</v>
      </c>
      <c r="P21" s="44">
        <v>63.585694091330389</v>
      </c>
      <c r="Q21" s="44">
        <v>64.08318620916053</v>
      </c>
      <c r="R21" s="44">
        <v>65.198821694954091</v>
      </c>
      <c r="S21" s="44">
        <v>67.380860219950364</v>
      </c>
      <c r="T21" s="44">
        <v>66.856161762509032</v>
      </c>
      <c r="U21" s="44">
        <v>66.8</v>
      </c>
      <c r="V21" s="44"/>
      <c r="W21" s="45">
        <v>66.809467307812398</v>
      </c>
      <c r="X21" s="44">
        <v>66.800064922637887</v>
      </c>
      <c r="Y21" s="44" t="e">
        <v>#DIV/0!</v>
      </c>
      <c r="Z21" s="44">
        <v>66.804693995011831</v>
      </c>
      <c r="AA21" s="44" t="e">
        <v>#DIV/0!</v>
      </c>
      <c r="AB21" s="44" t="e">
        <v>#DIV/0!</v>
      </c>
      <c r="AC21" s="44" t="e">
        <v>#DIV/0!</v>
      </c>
      <c r="AD21" s="44" t="e">
        <v>#DIV/0!</v>
      </c>
      <c r="AE21" s="44" t="e">
        <v>#DIV/0!</v>
      </c>
      <c r="AF21" s="44" t="e">
        <v>#DIV/0!</v>
      </c>
      <c r="AG21" s="44" t="e">
        <v>#DIV/0!</v>
      </c>
      <c r="AH21" s="44" t="e">
        <v>#DIV/0!</v>
      </c>
      <c r="AI21" s="44" t="e">
        <v>#DIV/0!</v>
      </c>
      <c r="AJ21" s="44" t="e">
        <v>#DIV/0!</v>
      </c>
      <c r="AK21" s="44" t="e">
        <v>#DIV/0!</v>
      </c>
      <c r="AL21" s="44"/>
      <c r="AM21" s="44">
        <v>66.804693995011831</v>
      </c>
      <c r="AO21" s="109" t="str">
        <f>IF(A21='[1]page 1-8'!$A21,"","False")</f>
        <v/>
      </c>
      <c r="AP21" s="109" t="str">
        <f>'[1]page 1-8'!$A21</f>
        <v>H/Coke Yield(+25mm)</v>
      </c>
    </row>
    <row r="22" spans="1:42" x14ac:dyDescent="0.4">
      <c r="A22" s="37" t="s">
        <v>156</v>
      </c>
      <c r="B22" s="38" t="s">
        <v>143</v>
      </c>
      <c r="C22" s="44"/>
      <c r="D22" s="44"/>
      <c r="E22" s="44"/>
      <c r="F22" s="49"/>
      <c r="G22" s="49"/>
      <c r="H22" s="49"/>
      <c r="I22" s="49">
        <v>3.78</v>
      </c>
      <c r="J22" s="44">
        <v>3.4196949575435633</v>
      </c>
      <c r="K22" s="44">
        <v>3.2552624858633394</v>
      </c>
      <c r="L22" s="44">
        <v>3.2572479581021261</v>
      </c>
      <c r="M22" s="44">
        <v>3.3759776536312849</v>
      </c>
      <c r="N22" s="44">
        <v>3.2996907854050712</v>
      </c>
      <c r="O22" s="44">
        <v>3.5143873857291856</v>
      </c>
      <c r="P22" s="44">
        <v>4.017013712544439</v>
      </c>
      <c r="Q22" s="44">
        <v>3.9837079683959087</v>
      </c>
      <c r="R22" s="44">
        <v>3.7484341745211309</v>
      </c>
      <c r="S22" s="44">
        <v>3.086288848263254</v>
      </c>
      <c r="T22" s="44">
        <v>3.1845488257107539</v>
      </c>
      <c r="U22" s="44">
        <v>3.17</v>
      </c>
      <c r="V22" s="44"/>
      <c r="W22" s="45">
        <v>3.0904636260836789</v>
      </c>
      <c r="X22" s="44">
        <v>3.0285507770148175</v>
      </c>
      <c r="Y22" s="44" t="e">
        <v>#DIV/0!</v>
      </c>
      <c r="Z22" s="44">
        <v>3.0588560885608858</v>
      </c>
      <c r="AA22" s="44" t="e">
        <v>#DIV/0!</v>
      </c>
      <c r="AB22" s="44" t="e">
        <v>#DIV/0!</v>
      </c>
      <c r="AC22" s="44" t="e">
        <v>#DIV/0!</v>
      </c>
      <c r="AD22" s="44" t="e">
        <v>#DIV/0!</v>
      </c>
      <c r="AE22" s="44" t="e">
        <v>#DIV/0!</v>
      </c>
      <c r="AF22" s="44" t="e">
        <v>#DIV/0!</v>
      </c>
      <c r="AG22" s="44" t="e">
        <v>#DIV/0!</v>
      </c>
      <c r="AH22" s="44" t="e">
        <v>#DIV/0!</v>
      </c>
      <c r="AI22" s="44" t="e">
        <v>#DIV/0!</v>
      </c>
      <c r="AJ22" s="44" t="e">
        <v>#DIV/0!</v>
      </c>
      <c r="AK22" s="44" t="e">
        <v>#DIV/0!</v>
      </c>
      <c r="AL22" s="44"/>
      <c r="AM22" s="44">
        <v>3.0588560885608858</v>
      </c>
      <c r="AO22" s="109" t="str">
        <f>IF(A22='[1]page 1-8'!$A22,"","False")</f>
        <v/>
      </c>
      <c r="AP22" s="109" t="str">
        <f>'[1]page 1-8'!$A22</f>
        <v>Breeze Coke Yield</v>
      </c>
    </row>
    <row r="23" spans="1:42" x14ac:dyDescent="0.4">
      <c r="A23" s="37" t="s">
        <v>156</v>
      </c>
      <c r="B23" s="38" t="s">
        <v>144</v>
      </c>
      <c r="C23" s="44"/>
      <c r="D23" s="44"/>
      <c r="E23" s="44"/>
      <c r="F23" s="49"/>
      <c r="G23" s="49"/>
      <c r="H23" s="49"/>
      <c r="I23" s="49">
        <v>12.6</v>
      </c>
      <c r="J23" s="44">
        <v>11.416656366382021</v>
      </c>
      <c r="K23" s="44">
        <v>11.119654359819204</v>
      </c>
      <c r="L23" s="44">
        <v>10.87412631079399</v>
      </c>
      <c r="M23" s="44">
        <v>11.046051108321858</v>
      </c>
      <c r="N23" s="44">
        <v>10.940960317590513</v>
      </c>
      <c r="O23" s="44">
        <v>11.57815268220163</v>
      </c>
      <c r="P23" s="44">
        <v>13.105844461819668</v>
      </c>
      <c r="Q23" s="44">
        <v>13.019388363779031</v>
      </c>
      <c r="R23" s="44">
        <v>12.17469962207732</v>
      </c>
      <c r="S23" s="44">
        <v>10.027550718367904</v>
      </c>
      <c r="T23" s="44">
        <v>10.544194717466086</v>
      </c>
      <c r="U23" s="44">
        <v>10.5</v>
      </c>
      <c r="V23" s="44"/>
      <c r="W23" s="45">
        <v>10.240429650908636</v>
      </c>
      <c r="X23" s="44">
        <v>10.150218387156945</v>
      </c>
      <c r="Y23" s="44" t="e">
        <v>#DIV/0!</v>
      </c>
      <c r="Z23" s="44">
        <v>10.194632061038661</v>
      </c>
      <c r="AA23" s="44" t="e">
        <v>#DIV/0!</v>
      </c>
      <c r="AB23" s="44" t="e">
        <v>#DIV/0!</v>
      </c>
      <c r="AC23" s="44" t="e">
        <v>#DIV/0!</v>
      </c>
      <c r="AD23" s="44" t="e">
        <v>#DIV/0!</v>
      </c>
      <c r="AE23" s="44" t="e">
        <v>#DIV/0!</v>
      </c>
      <c r="AF23" s="44" t="e">
        <v>#DIV/0!</v>
      </c>
      <c r="AG23" s="44" t="e">
        <v>#DIV/0!</v>
      </c>
      <c r="AH23" s="44" t="e">
        <v>#DIV/0!</v>
      </c>
      <c r="AI23" s="44" t="e">
        <v>#DIV/0!</v>
      </c>
      <c r="AJ23" s="44" t="e">
        <v>#DIV/0!</v>
      </c>
      <c r="AK23" s="44" t="e">
        <v>#DIV/0!</v>
      </c>
      <c r="AL23" s="44"/>
      <c r="AM23" s="44">
        <v>10.194632061038661</v>
      </c>
      <c r="AO23" s="109" t="str">
        <f>IF(A23='[1]page 1-8'!$A23,"","False")</f>
        <v/>
      </c>
      <c r="AP23" s="109" t="str">
        <f>'[1]page 1-8'!$A23</f>
        <v>Breeze Coke Yield</v>
      </c>
    </row>
    <row r="24" spans="1:42" x14ac:dyDescent="0.4">
      <c r="A24" s="37" t="s">
        <v>149</v>
      </c>
      <c r="B24" s="38" t="s">
        <v>141</v>
      </c>
      <c r="C24" s="44"/>
      <c r="D24" s="44"/>
      <c r="E24" s="44"/>
      <c r="F24" s="49"/>
      <c r="G24" s="49"/>
      <c r="H24" s="49"/>
      <c r="I24" s="49">
        <v>98.36</v>
      </c>
      <c r="J24" s="44">
        <v>93.648935544289401</v>
      </c>
      <c r="K24" s="44">
        <v>95.782955919384023</v>
      </c>
      <c r="L24" s="44">
        <v>93.389879276437298</v>
      </c>
      <c r="M24" s="44">
        <v>92.587636229579957</v>
      </c>
      <c r="N24" s="44">
        <v>92.166045340427786</v>
      </c>
      <c r="O24" s="44">
        <v>92.344960157358884</v>
      </c>
      <c r="P24" s="44">
        <v>94.212169624331295</v>
      </c>
      <c r="Q24" s="44">
        <v>91.017744940479133</v>
      </c>
      <c r="R24" s="44">
        <v>91.537451099253857</v>
      </c>
      <c r="S24" s="44">
        <v>91.601959512585736</v>
      </c>
      <c r="T24" s="44">
        <v>90.105830010719913</v>
      </c>
      <c r="U24" s="44">
        <v>87</v>
      </c>
      <c r="V24" s="44"/>
      <c r="W24" s="45">
        <v>88.000681198910087</v>
      </c>
      <c r="X24" s="44">
        <v>87.440066133921192</v>
      </c>
      <c r="Y24" s="44" t="e">
        <v>#DIV/0!</v>
      </c>
      <c r="Z24" s="44">
        <v>87.716227174855291</v>
      </c>
      <c r="AA24" s="44" t="e">
        <v>#DIV/0!</v>
      </c>
      <c r="AB24" s="44" t="e">
        <v>#DIV/0!</v>
      </c>
      <c r="AC24" s="44" t="e">
        <v>#DIV/0!</v>
      </c>
      <c r="AD24" s="44" t="e">
        <v>#DIV/0!</v>
      </c>
      <c r="AE24" s="44" t="e">
        <v>#DIV/0!</v>
      </c>
      <c r="AF24" s="44" t="e">
        <v>#DIV/0!</v>
      </c>
      <c r="AG24" s="44" t="e">
        <v>#DIV/0!</v>
      </c>
      <c r="AH24" s="44" t="e">
        <v>#DIV/0!</v>
      </c>
      <c r="AI24" s="44" t="e">
        <v>#DIV/0!</v>
      </c>
      <c r="AJ24" s="44" t="e">
        <v>#DIV/0!</v>
      </c>
      <c r="AK24" s="44" t="e">
        <v>#DIV/0!</v>
      </c>
      <c r="AL24" s="44"/>
      <c r="AM24" s="44">
        <v>87.716227174855291</v>
      </c>
      <c r="AO24" s="109" t="str">
        <f>IF(A24='[1]page 1-8'!$A24,"","False")</f>
        <v/>
      </c>
      <c r="AP24" s="109" t="str">
        <f>'[1]page 1-8'!$A24</f>
        <v>Imported Coal Usage</v>
      </c>
    </row>
    <row r="25" spans="1:42" x14ac:dyDescent="0.4">
      <c r="A25" s="37" t="s">
        <v>150</v>
      </c>
      <c r="B25" s="38" t="s">
        <v>141</v>
      </c>
      <c r="C25" s="44"/>
      <c r="D25" s="44"/>
      <c r="E25" s="44"/>
      <c r="F25" s="49"/>
      <c r="G25" s="49"/>
      <c r="H25" s="49"/>
      <c r="I25" s="49"/>
      <c r="J25" s="44">
        <v>6.625</v>
      </c>
      <c r="K25" s="44">
        <v>6.7416666666666671</v>
      </c>
      <c r="L25" s="44">
        <v>6.3500000000000005</v>
      </c>
      <c r="M25" s="44">
        <v>6.1499999999999995</v>
      </c>
      <c r="N25" s="44">
        <v>6.4916666666666671</v>
      </c>
      <c r="O25" s="44">
        <v>6.8416666666666677</v>
      </c>
      <c r="P25" s="44">
        <v>6.966666666666665</v>
      </c>
      <c r="Q25" s="44">
        <v>7.0249999999999995</v>
      </c>
      <c r="R25" s="44">
        <v>6.92</v>
      </c>
      <c r="S25" s="44">
        <v>6.9416666666666664</v>
      </c>
      <c r="T25" s="44">
        <v>6.6416666666666666</v>
      </c>
      <c r="U25" s="44">
        <v>6.9</v>
      </c>
      <c r="V25" s="44"/>
      <c r="W25" s="45">
        <v>6.5</v>
      </c>
      <c r="X25" s="44">
        <v>6.4</v>
      </c>
      <c r="Y25" s="44">
        <v>0</v>
      </c>
      <c r="Z25" s="44">
        <v>4.3</v>
      </c>
      <c r="AA25" s="44">
        <v>0</v>
      </c>
      <c r="AB25" s="44">
        <v>0</v>
      </c>
      <c r="AC25" s="44">
        <v>0</v>
      </c>
      <c r="AD25" s="44">
        <v>0</v>
      </c>
      <c r="AE25" s="44">
        <v>0</v>
      </c>
      <c r="AF25" s="44">
        <v>0</v>
      </c>
      <c r="AG25" s="44">
        <v>0</v>
      </c>
      <c r="AH25" s="44">
        <v>0</v>
      </c>
      <c r="AI25" s="44">
        <v>0</v>
      </c>
      <c r="AJ25" s="44">
        <v>0</v>
      </c>
      <c r="AK25" s="44">
        <v>0</v>
      </c>
      <c r="AL25" s="44"/>
      <c r="AM25" s="44">
        <v>6.45</v>
      </c>
      <c r="AO25" s="109" t="str">
        <f>IF(A25='[1]page 1-8'!$A25,"","False")</f>
        <v/>
      </c>
      <c r="AP25" s="109" t="str">
        <f>'[1]page 1-8'!$A25</f>
        <v>Coke Micum(-10mm)</v>
      </c>
    </row>
    <row r="26" spans="1:42" x14ac:dyDescent="0.4">
      <c r="A26" s="43" t="s">
        <v>157</v>
      </c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41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O26" s="109" t="str">
        <f>IF(A26='[1]page 1-8'!$A26,"","False")</f>
        <v/>
      </c>
      <c r="AP26" s="109" t="str">
        <f>'[1]page 1-8'!$A26</f>
        <v xml:space="preserve">COAL CHEMICALS </v>
      </c>
    </row>
    <row r="27" spans="1:42" x14ac:dyDescent="0.4">
      <c r="A27" s="37" t="s">
        <v>158</v>
      </c>
      <c r="B27" s="38" t="s">
        <v>144</v>
      </c>
      <c r="C27" s="44">
        <v>3.1521127372142703</v>
      </c>
      <c r="D27" s="44">
        <v>3.2</v>
      </c>
      <c r="E27" s="44">
        <v>3.18</v>
      </c>
      <c r="F27" s="44">
        <v>3.1504923890967187</v>
      </c>
      <c r="G27" s="44">
        <v>3.1775048577573886</v>
      </c>
      <c r="H27" s="44">
        <v>3.1863900140208754</v>
      </c>
      <c r="I27" s="44">
        <v>3.1924337577993991</v>
      </c>
      <c r="J27" s="44">
        <v>3.0741990492729898</v>
      </c>
      <c r="K27" s="44">
        <v>2.8455109546371746</v>
      </c>
      <c r="L27" s="44">
        <v>2.8298694102138491</v>
      </c>
      <c r="M27" s="44">
        <v>2.8466089263015899</v>
      </c>
      <c r="N27" s="44">
        <v>2.8691885441527445</v>
      </c>
      <c r="O27" s="44">
        <v>3.2091519132813238</v>
      </c>
      <c r="P27" s="44">
        <v>3.1774287571685376</v>
      </c>
      <c r="Q27" s="44">
        <v>3.0602845212845597</v>
      </c>
      <c r="R27" s="44">
        <v>3.1549120461535423</v>
      </c>
      <c r="S27" s="44">
        <v>3.1206229145912419</v>
      </c>
      <c r="T27" s="44">
        <v>3.1086667712456042</v>
      </c>
      <c r="U27" s="38">
        <v>3.2</v>
      </c>
      <c r="V27" s="38"/>
      <c r="W27" s="44">
        <v>3.2024171577013241</v>
      </c>
      <c r="X27" s="44">
        <v>3.2250191344816397</v>
      </c>
      <c r="Y27" s="44" t="e">
        <v>#DIV/0!</v>
      </c>
      <c r="Z27" s="44">
        <v>3.2137333366552259</v>
      </c>
      <c r="AA27" s="44" t="e">
        <v>#DIV/0!</v>
      </c>
      <c r="AB27" s="44" t="e">
        <v>#DIV/0!</v>
      </c>
      <c r="AC27" s="44" t="e">
        <v>#DIV/0!</v>
      </c>
      <c r="AD27" s="44" t="e">
        <v>#DIV/0!</v>
      </c>
      <c r="AE27" s="44" t="e">
        <v>#DIV/0!</v>
      </c>
      <c r="AF27" s="44" t="e">
        <v>#DIV/0!</v>
      </c>
      <c r="AG27" s="44" t="e">
        <v>#DIV/0!</v>
      </c>
      <c r="AH27" s="44" t="e">
        <v>#DIV/0!</v>
      </c>
      <c r="AI27" s="44" t="e">
        <v>#DIV/0!</v>
      </c>
      <c r="AJ27" s="44" t="e">
        <v>#DIV/0!</v>
      </c>
      <c r="AK27" s="44" t="e">
        <v>#DIV/0!</v>
      </c>
      <c r="AL27" s="44"/>
      <c r="AM27" s="44">
        <v>3.2137333366552259</v>
      </c>
      <c r="AO27" s="109" t="str">
        <f>IF(A27='[1]page 1-8'!$A27,"","False")</f>
        <v/>
      </c>
      <c r="AP27" s="109" t="str">
        <f>'[1]page 1-8'!$A27</f>
        <v xml:space="preserve">Crude Tar Yield </v>
      </c>
    </row>
    <row r="28" spans="1:42" x14ac:dyDescent="0.4">
      <c r="A28" s="37" t="s">
        <v>159</v>
      </c>
      <c r="B28" s="38" t="s">
        <v>144</v>
      </c>
      <c r="C28" s="44">
        <v>0.79334461195366746</v>
      </c>
      <c r="D28" s="44">
        <v>0.82</v>
      </c>
      <c r="E28" s="44">
        <v>0.65</v>
      </c>
      <c r="F28" s="44">
        <v>0.52814369606029621</v>
      </c>
      <c r="G28" s="44">
        <v>0.56089319632426859</v>
      </c>
      <c r="H28" s="44">
        <v>0.46955327932699797</v>
      </c>
      <c r="I28" s="44">
        <v>0.34336145839998944</v>
      </c>
      <c r="J28" s="44">
        <v>0.41983716378510172</v>
      </c>
      <c r="K28" s="44">
        <v>0.30917291117799273</v>
      </c>
      <c r="L28" s="44">
        <v>0.44237778422699903</v>
      </c>
      <c r="M28" s="44">
        <v>0.25600308687780116</v>
      </c>
      <c r="N28" s="44">
        <v>0.42643073489558425</v>
      </c>
      <c r="O28" s="44">
        <v>0.18195750395309085</v>
      </c>
      <c r="P28" s="44">
        <v>0.10716563862937856</v>
      </c>
      <c r="Q28" s="44">
        <v>0.18469656119990627</v>
      </c>
      <c r="R28" s="44">
        <v>0.26224800943091786</v>
      </c>
      <c r="S28" s="44">
        <v>0.27262200097954942</v>
      </c>
      <c r="T28" s="44">
        <v>0.21673522139962711</v>
      </c>
      <c r="U28" s="38">
        <v>0.4</v>
      </c>
      <c r="V28" s="38"/>
      <c r="W28" s="44">
        <v>0.12157067731103086</v>
      </c>
      <c r="X28" s="44">
        <v>0.17929937387394859</v>
      </c>
      <c r="Y28" s="44" t="e">
        <v>#DIV/0!</v>
      </c>
      <c r="Z28" s="44">
        <v>0.22179411327529577</v>
      </c>
      <c r="AA28" s="44" t="e">
        <v>#DIV/0!</v>
      </c>
      <c r="AB28" s="44" t="e">
        <v>#DIV/0!</v>
      </c>
      <c r="AC28" s="44" t="e">
        <v>#DIV/0!</v>
      </c>
      <c r="AD28" s="44" t="e">
        <v>#DIV/0!</v>
      </c>
      <c r="AE28" s="44" t="e">
        <v>#DIV/0!</v>
      </c>
      <c r="AF28" s="44" t="e">
        <v>#DIV/0!</v>
      </c>
      <c r="AG28" s="44" t="e">
        <v>#DIV/0!</v>
      </c>
      <c r="AH28" s="44" t="e">
        <v>#DIV/0!</v>
      </c>
      <c r="AI28" s="44" t="e">
        <v>#DIV/0!</v>
      </c>
      <c r="AJ28" s="44" t="e">
        <v>#DIV/0!</v>
      </c>
      <c r="AK28" s="44" t="e">
        <v>#DIV/0!</v>
      </c>
      <c r="AL28" s="44"/>
      <c r="AM28" s="44">
        <v>0.15047382447515087</v>
      </c>
      <c r="AO28" s="109" t="str">
        <f>IF(A28='[1]page 1-8'!$A28,"","False")</f>
        <v/>
      </c>
      <c r="AP28" s="109" t="str">
        <f>'[1]page 1-8'!$A28</f>
        <v xml:space="preserve">Amm.Sulph.Yield </v>
      </c>
    </row>
    <row r="29" spans="1:42" x14ac:dyDescent="0.4">
      <c r="A29" s="37" t="s">
        <v>160</v>
      </c>
      <c r="B29" s="38" t="s">
        <v>161</v>
      </c>
      <c r="C29" s="47">
        <v>312.27171127950714</v>
      </c>
      <c r="D29" s="47">
        <v>325</v>
      </c>
      <c r="E29" s="47">
        <v>361</v>
      </c>
      <c r="F29" s="47">
        <v>365.30253577705247</v>
      </c>
      <c r="G29" s="47">
        <v>370.4286964129484</v>
      </c>
      <c r="H29" s="47">
        <v>395.5208113247412</v>
      </c>
      <c r="I29" s="47">
        <v>346.19354838709677</v>
      </c>
      <c r="J29" s="47">
        <v>365.20509193776519</v>
      </c>
      <c r="K29" s="47">
        <v>377.51761087409466</v>
      </c>
      <c r="L29" s="47">
        <v>251.05117423853963</v>
      </c>
      <c r="M29" s="47">
        <v>360.23054755043228</v>
      </c>
      <c r="N29" s="47" t="s">
        <v>162</v>
      </c>
      <c r="O29" s="47" t="s">
        <v>162</v>
      </c>
      <c r="P29" s="47" t="s">
        <v>162</v>
      </c>
      <c r="Q29" s="47" t="s">
        <v>162</v>
      </c>
      <c r="R29" s="47">
        <v>309.22124470511568</v>
      </c>
      <c r="S29" s="47">
        <v>253</v>
      </c>
      <c r="T29" s="47">
        <v>384.99665103817813</v>
      </c>
      <c r="U29" s="38">
        <v>350</v>
      </c>
      <c r="V29" s="38"/>
      <c r="W29" s="47">
        <v>369.76744186046511</v>
      </c>
      <c r="X29" s="47">
        <v>370.71651090342675</v>
      </c>
      <c r="Y29" s="47" t="s">
        <v>109</v>
      </c>
      <c r="Z29" s="47">
        <v>370.17310252996003</v>
      </c>
      <c r="AA29" s="47" t="s">
        <v>109</v>
      </c>
      <c r="AB29" s="47" t="s">
        <v>109</v>
      </c>
      <c r="AC29" s="47" t="s">
        <v>109</v>
      </c>
      <c r="AD29" s="44" t="s">
        <v>162</v>
      </c>
      <c r="AE29" s="47" t="s">
        <v>109</v>
      </c>
      <c r="AF29" s="47" t="s">
        <v>109</v>
      </c>
      <c r="AG29" s="47" t="s">
        <v>109</v>
      </c>
      <c r="AH29" s="44" t="s">
        <v>162</v>
      </c>
      <c r="AI29" s="47" t="s">
        <v>109</v>
      </c>
      <c r="AJ29" s="47" t="s">
        <v>109</v>
      </c>
      <c r="AK29" s="47" t="s">
        <v>109</v>
      </c>
      <c r="AL29" s="51"/>
      <c r="AM29" s="47">
        <v>370.17310252996003</v>
      </c>
      <c r="AO29" s="109" t="str">
        <f>IF(A29='[1]page 1-8'!$A29,"","False")</f>
        <v/>
      </c>
      <c r="AP29" s="109" t="str">
        <f>'[1]page 1-8'!$A29</f>
        <v>Sul Cons./T.of H2SO4</v>
      </c>
    </row>
    <row r="30" spans="1:42" x14ac:dyDescent="0.4">
      <c r="A30" s="37" t="s">
        <v>163</v>
      </c>
      <c r="B30" s="38" t="s">
        <v>161</v>
      </c>
      <c r="C30" s="47">
        <v>788.43589923514139</v>
      </c>
      <c r="D30" s="47">
        <v>783</v>
      </c>
      <c r="E30" s="47">
        <v>786</v>
      </c>
      <c r="F30" s="47">
        <v>774.8974263334577</v>
      </c>
      <c r="G30" s="47">
        <v>795.58632626568578</v>
      </c>
      <c r="H30" s="47">
        <v>784.44790046656294</v>
      </c>
      <c r="I30" s="47">
        <v>784.49933441798544</v>
      </c>
      <c r="J30" s="47">
        <v>790.61460771030909</v>
      </c>
      <c r="K30" s="47">
        <v>795.07109004739345</v>
      </c>
      <c r="L30" s="47">
        <v>796.11969746793818</v>
      </c>
      <c r="M30" s="47">
        <v>797.62845849802363</v>
      </c>
      <c r="N30" s="47">
        <v>1115.035733919736</v>
      </c>
      <c r="O30" s="47">
        <v>1025.553319919517</v>
      </c>
      <c r="P30" s="47">
        <v>3609.4695621217516</v>
      </c>
      <c r="Q30" s="47">
        <v>1842.8775948460986</v>
      </c>
      <c r="R30" s="47">
        <v>1599.3219487694626</v>
      </c>
      <c r="S30" s="47">
        <v>1559.4065577858123</v>
      </c>
      <c r="T30" s="47">
        <v>1957.405924739792</v>
      </c>
      <c r="U30" s="38">
        <v>1100</v>
      </c>
      <c r="V30" s="38"/>
      <c r="W30" s="48">
        <v>3100.9771986970686</v>
      </c>
      <c r="X30" s="47">
        <v>2341.4096916299559</v>
      </c>
      <c r="Y30" s="47" t="e">
        <v>#DIV/0!</v>
      </c>
      <c r="Z30" s="47">
        <v>2647.8318002628121</v>
      </c>
      <c r="AA30" s="47" t="e">
        <v>#DIV/0!</v>
      </c>
      <c r="AB30" s="47" t="e">
        <v>#DIV/0!</v>
      </c>
      <c r="AC30" s="47" t="e">
        <v>#DIV/0!</v>
      </c>
      <c r="AD30" s="47" t="e">
        <v>#DIV/0!</v>
      </c>
      <c r="AE30" s="47" t="e">
        <v>#DIV/0!</v>
      </c>
      <c r="AF30" s="47" t="e">
        <v>#DIV/0!</v>
      </c>
      <c r="AG30" s="47" t="e">
        <v>#DIV/0!</v>
      </c>
      <c r="AH30" s="47" t="e">
        <v>#DIV/0!</v>
      </c>
      <c r="AI30" s="47" t="e">
        <v>#DIV/0!</v>
      </c>
      <c r="AJ30" s="47" t="e">
        <v>#DIV/0!</v>
      </c>
      <c r="AK30" s="47" t="e">
        <v>#DIV/0!</v>
      </c>
      <c r="AL30" s="47"/>
      <c r="AM30" s="47">
        <v>2647.8318002628121</v>
      </c>
      <c r="AO30" s="109" t="str">
        <f>IF(A30='[1]page 1-8'!$A30,"","False")</f>
        <v/>
      </c>
      <c r="AP30" s="109" t="str">
        <f>'[1]page 1-8'!$A30</f>
        <v>Acid cons./Tof Sulphate</v>
      </c>
    </row>
    <row r="31" spans="1:42" x14ac:dyDescent="0.4">
      <c r="A31" s="37" t="s">
        <v>403</v>
      </c>
      <c r="B31" s="42"/>
      <c r="C31" s="38"/>
      <c r="D31" s="38"/>
      <c r="E31" s="38"/>
      <c r="F31" s="38"/>
      <c r="G31" s="38"/>
      <c r="H31" s="38"/>
      <c r="I31" s="38"/>
      <c r="J31" s="57"/>
      <c r="K31" s="57"/>
      <c r="L31" s="57"/>
      <c r="M31" s="57"/>
      <c r="N31" s="57"/>
      <c r="O31" s="57"/>
      <c r="P31" s="57"/>
      <c r="Q31" s="57"/>
      <c r="R31" s="57">
        <v>14.78</v>
      </c>
      <c r="S31" s="57">
        <v>14.79</v>
      </c>
      <c r="T31" s="57">
        <v>13.3</v>
      </c>
      <c r="U31" s="44">
        <v>14</v>
      </c>
      <c r="V31" s="44"/>
      <c r="W31" s="45">
        <v>12.58</v>
      </c>
      <c r="X31" s="44">
        <v>10.15</v>
      </c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>
        <v>11.36</v>
      </c>
      <c r="AO31" s="109" t="str">
        <f>IF(A31='[1]page 1-8'!$A31,"","False")</f>
        <v/>
      </c>
      <c r="AP31" s="109" t="str">
        <f>'[1]page 1-8'!$A31</f>
        <v>Coke Screen Loss</v>
      </c>
    </row>
    <row r="32" spans="1:42" x14ac:dyDescent="0.4">
      <c r="A32" s="37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 t="s">
        <v>138</v>
      </c>
      <c r="V32" s="38"/>
      <c r="W32" s="41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 t="s">
        <v>164</v>
      </c>
      <c r="AO32" s="109" t="str">
        <f>IF(A32='[1]page 1-8'!$A32,"","False")</f>
        <v/>
      </c>
      <c r="AP32" s="109">
        <f>'[1]page 1-8'!$A32</f>
        <v>0</v>
      </c>
    </row>
    <row r="33" spans="1:42" s="33" customFormat="1" x14ac:dyDescent="0.4">
      <c r="A33" s="38" t="s">
        <v>165</v>
      </c>
      <c r="B33" s="38" t="s">
        <v>112</v>
      </c>
      <c r="C33" s="38" t="s">
        <v>113</v>
      </c>
      <c r="D33" s="42" t="s">
        <v>114</v>
      </c>
      <c r="E33" s="42" t="s">
        <v>115</v>
      </c>
      <c r="F33" s="42" t="s">
        <v>116</v>
      </c>
      <c r="G33" s="42" t="s">
        <v>117</v>
      </c>
      <c r="H33" s="38" t="s">
        <v>118</v>
      </c>
      <c r="I33" s="38" t="s">
        <v>119</v>
      </c>
      <c r="J33" s="38" t="s">
        <v>120</v>
      </c>
      <c r="K33" s="38" t="s">
        <v>121</v>
      </c>
      <c r="L33" s="38" t="s">
        <v>122</v>
      </c>
      <c r="M33" s="38" t="s">
        <v>123</v>
      </c>
      <c r="N33" s="38" t="s">
        <v>124</v>
      </c>
      <c r="O33" s="38" t="s">
        <v>125</v>
      </c>
      <c r="P33" s="38" t="s">
        <v>126</v>
      </c>
      <c r="Q33" s="38" t="s">
        <v>127</v>
      </c>
      <c r="R33" s="38" t="s">
        <v>128</v>
      </c>
      <c r="S33" s="38" t="s">
        <v>129</v>
      </c>
      <c r="T33" s="38" t="s">
        <v>130</v>
      </c>
      <c r="U33" s="38" t="s">
        <v>131</v>
      </c>
      <c r="V33" s="38"/>
      <c r="W33" s="41" t="s">
        <v>4</v>
      </c>
      <c r="X33" s="38" t="s">
        <v>5</v>
      </c>
      <c r="Y33" s="38" t="s">
        <v>6</v>
      </c>
      <c r="Z33" s="38" t="s">
        <v>132</v>
      </c>
      <c r="AA33" s="38" t="s">
        <v>166</v>
      </c>
      <c r="AB33" s="38" t="s">
        <v>9</v>
      </c>
      <c r="AC33" s="38" t="s">
        <v>10</v>
      </c>
      <c r="AD33" s="38" t="s">
        <v>133</v>
      </c>
      <c r="AE33" s="38" t="s">
        <v>12</v>
      </c>
      <c r="AF33" s="38" t="s">
        <v>13</v>
      </c>
      <c r="AG33" s="38" t="s">
        <v>14</v>
      </c>
      <c r="AH33" s="38" t="s">
        <v>134</v>
      </c>
      <c r="AI33" s="38" t="s">
        <v>16</v>
      </c>
      <c r="AJ33" s="38" t="s">
        <v>17</v>
      </c>
      <c r="AK33" s="38" t="s">
        <v>18</v>
      </c>
      <c r="AL33" s="38" t="s">
        <v>135</v>
      </c>
      <c r="AM33" s="38" t="s">
        <v>136</v>
      </c>
      <c r="AO33" s="109" t="str">
        <f>IF(A33='[1]page 1-8'!$A33,"","False")</f>
        <v/>
      </c>
      <c r="AP33" s="109" t="str">
        <f>'[1]page 1-8'!$A33</f>
        <v>SINTER PLANT-I</v>
      </c>
    </row>
    <row r="34" spans="1:42" x14ac:dyDescent="0.4">
      <c r="A34" s="37" t="s">
        <v>167</v>
      </c>
      <c r="B34" s="38" t="s">
        <v>141</v>
      </c>
      <c r="C34" s="44">
        <v>9.4</v>
      </c>
      <c r="D34" s="44">
        <v>9.4</v>
      </c>
      <c r="E34" s="44">
        <v>9.4</v>
      </c>
      <c r="F34" s="44">
        <v>9.2941666666666674</v>
      </c>
      <c r="G34" s="44">
        <v>9.3975000000000009</v>
      </c>
      <c r="H34" s="44">
        <v>9.3000000000000007</v>
      </c>
      <c r="I34" s="44">
        <v>9.3591666666666669</v>
      </c>
      <c r="J34" s="44">
        <v>9.4</v>
      </c>
      <c r="K34" s="44">
        <v>9.5550000000000015</v>
      </c>
      <c r="L34" s="44">
        <v>9.6690000000000005</v>
      </c>
      <c r="M34" s="44">
        <v>9.8125000000000018</v>
      </c>
      <c r="N34" s="44">
        <v>9.7766666666666655</v>
      </c>
      <c r="O34" s="44">
        <v>9.7233333333333345</v>
      </c>
      <c r="P34" s="44">
        <v>9.76</v>
      </c>
      <c r="Q34" s="44">
        <v>9.7211111111111101</v>
      </c>
      <c r="R34" s="44">
        <v>9.7391666666666676</v>
      </c>
      <c r="S34" s="44">
        <v>9.7791666666666668</v>
      </c>
      <c r="T34" s="44">
        <v>10.033333333333331</v>
      </c>
      <c r="U34" s="52" t="s">
        <v>168</v>
      </c>
      <c r="V34" s="52"/>
      <c r="W34" s="45">
        <v>10.130000000000001</v>
      </c>
      <c r="X34" s="44">
        <v>10.29</v>
      </c>
      <c r="Y34" s="44">
        <v>0</v>
      </c>
      <c r="Z34" s="44">
        <v>10.210000000000001</v>
      </c>
      <c r="AA34" s="44">
        <v>0</v>
      </c>
      <c r="AB34" s="44">
        <v>0</v>
      </c>
      <c r="AC34" s="44">
        <v>0</v>
      </c>
      <c r="AD34" s="44" t="e">
        <v>#DIV/0!</v>
      </c>
      <c r="AE34" s="44">
        <v>0</v>
      </c>
      <c r="AF34" s="44">
        <v>0</v>
      </c>
      <c r="AG34" s="44">
        <v>0</v>
      </c>
      <c r="AH34" s="44" t="e">
        <v>#DIV/0!</v>
      </c>
      <c r="AI34" s="44">
        <v>0</v>
      </c>
      <c r="AJ34" s="44">
        <v>0</v>
      </c>
      <c r="AK34" s="44">
        <v>0</v>
      </c>
      <c r="AL34" s="44" t="e">
        <v>#DIV/0!</v>
      </c>
      <c r="AM34" s="44">
        <v>10.210000000000001</v>
      </c>
      <c r="AO34" s="109" t="str">
        <f>IF(A34='[1]page 1-8'!$A34,"","False")</f>
        <v/>
      </c>
      <c r="AP34" s="109" t="str">
        <f>'[1]page 1-8'!$A34</f>
        <v>FeO in Sinter</v>
      </c>
    </row>
    <row r="35" spans="1:42" x14ac:dyDescent="0.4">
      <c r="A35" s="37" t="s">
        <v>169</v>
      </c>
      <c r="B35" s="38" t="s">
        <v>141</v>
      </c>
      <c r="C35" s="44">
        <v>53</v>
      </c>
      <c r="D35" s="44">
        <v>53.4</v>
      </c>
      <c r="E35" s="44">
        <v>53.2</v>
      </c>
      <c r="F35" s="44">
        <v>53.08</v>
      </c>
      <c r="G35" s="44">
        <v>53.747500000000002</v>
      </c>
      <c r="H35" s="44">
        <v>53.166666666666664</v>
      </c>
      <c r="I35" s="44">
        <v>53.954166666666673</v>
      </c>
      <c r="J35" s="44">
        <v>54.141666666666666</v>
      </c>
      <c r="K35" s="44">
        <v>54.307500000000012</v>
      </c>
      <c r="L35" s="44">
        <v>54.846000000000004</v>
      </c>
      <c r="M35" s="44">
        <v>54.439166666666672</v>
      </c>
      <c r="N35" s="44">
        <v>54.180833333333332</v>
      </c>
      <c r="O35" s="44">
        <v>53.014166666666661</v>
      </c>
      <c r="P35" s="44">
        <v>54.12</v>
      </c>
      <c r="Q35" s="44">
        <v>53.070833333333333</v>
      </c>
      <c r="R35" s="44">
        <v>53.065000000000005</v>
      </c>
      <c r="S35" s="44">
        <v>53.045833333333327</v>
      </c>
      <c r="T35" s="44">
        <v>53.74583333333333</v>
      </c>
      <c r="U35" s="49">
        <v>54</v>
      </c>
      <c r="V35" s="49"/>
      <c r="W35" s="45">
        <v>53.41</v>
      </c>
      <c r="X35" s="44">
        <v>53.68</v>
      </c>
      <c r="Y35" s="44">
        <v>0</v>
      </c>
      <c r="Z35" s="44">
        <v>53.545000000000002</v>
      </c>
      <c r="AA35" s="44">
        <v>0</v>
      </c>
      <c r="AB35" s="44">
        <v>0</v>
      </c>
      <c r="AC35" s="44">
        <v>0</v>
      </c>
      <c r="AD35" s="44" t="e">
        <v>#DIV/0!</v>
      </c>
      <c r="AE35" s="44">
        <v>0</v>
      </c>
      <c r="AF35" s="44">
        <v>0</v>
      </c>
      <c r="AG35" s="44">
        <v>0</v>
      </c>
      <c r="AH35" s="44" t="e">
        <v>#DIV/0!</v>
      </c>
      <c r="AI35" s="44">
        <v>0</v>
      </c>
      <c r="AJ35" s="44">
        <v>0</v>
      </c>
      <c r="AK35" s="44">
        <v>0</v>
      </c>
      <c r="AL35" s="44" t="e">
        <v>#DIV/0!</v>
      </c>
      <c r="AM35" s="44">
        <v>53.545000000000002</v>
      </c>
      <c r="AO35" s="109" t="str">
        <f>IF(A35='[1]page 1-8'!$A35,"","False")</f>
        <v/>
      </c>
      <c r="AP35" s="109" t="str">
        <f>'[1]page 1-8'!$A35</f>
        <v>Fe in Sinter</v>
      </c>
    </row>
    <row r="36" spans="1:42" x14ac:dyDescent="0.4">
      <c r="A36" s="37" t="s">
        <v>170</v>
      </c>
      <c r="B36" s="38" t="s">
        <v>141</v>
      </c>
      <c r="C36" s="44">
        <v>10.7</v>
      </c>
      <c r="D36" s="44">
        <v>10.5</v>
      </c>
      <c r="E36" s="44">
        <v>10.8</v>
      </c>
      <c r="F36" s="44">
        <v>10.949166666666668</v>
      </c>
      <c r="G36" s="44">
        <v>10.828333333333333</v>
      </c>
      <c r="H36" s="44">
        <v>11.172499999999999</v>
      </c>
      <c r="I36" s="44">
        <v>10.946666666666665</v>
      </c>
      <c r="J36" s="44">
        <v>10.954166666666666</v>
      </c>
      <c r="K36" s="44">
        <v>10.9825</v>
      </c>
      <c r="L36" s="44">
        <v>10.224</v>
      </c>
      <c r="M36" s="44">
        <v>10.68</v>
      </c>
      <c r="N36" s="44">
        <v>11.066666666666665</v>
      </c>
      <c r="O36" s="44">
        <v>11.823333333333332</v>
      </c>
      <c r="P36" s="44">
        <v>10.6</v>
      </c>
      <c r="Q36" s="44">
        <v>11.327500000000001</v>
      </c>
      <c r="R36" s="44">
        <v>10.967500000000001</v>
      </c>
      <c r="S36" s="44">
        <v>10.993333333333334</v>
      </c>
      <c r="T36" s="44">
        <v>10.352500000000001</v>
      </c>
      <c r="U36" s="42"/>
      <c r="V36" s="42"/>
      <c r="W36" s="45">
        <v>10.73</v>
      </c>
      <c r="X36" s="44">
        <v>10.42</v>
      </c>
      <c r="Y36" s="44">
        <v>0</v>
      </c>
      <c r="Z36" s="44">
        <v>10.574999999999999</v>
      </c>
      <c r="AA36" s="44">
        <v>0</v>
      </c>
      <c r="AB36" s="44">
        <v>0</v>
      </c>
      <c r="AC36" s="44">
        <v>0</v>
      </c>
      <c r="AD36" s="44" t="e">
        <v>#DIV/0!</v>
      </c>
      <c r="AE36" s="44">
        <v>0</v>
      </c>
      <c r="AF36" s="44">
        <v>0</v>
      </c>
      <c r="AG36" s="44">
        <v>0</v>
      </c>
      <c r="AH36" s="44" t="e">
        <v>#DIV/0!</v>
      </c>
      <c r="AI36" s="44">
        <v>0</v>
      </c>
      <c r="AJ36" s="44">
        <v>0</v>
      </c>
      <c r="AK36" s="44">
        <v>0</v>
      </c>
      <c r="AL36" s="44" t="e">
        <v>#DIV/0!</v>
      </c>
      <c r="AM36" s="44">
        <v>10.574999999999999</v>
      </c>
      <c r="AO36" s="109" t="str">
        <f>IF(A36='[1]page 1-8'!$A36,"","False")</f>
        <v/>
      </c>
      <c r="AP36" s="109" t="str">
        <f>'[1]page 1-8'!$A36</f>
        <v>CaO in Sinter</v>
      </c>
    </row>
    <row r="37" spans="1:42" x14ac:dyDescent="0.4">
      <c r="A37" s="37" t="s">
        <v>171</v>
      </c>
      <c r="B37" s="38"/>
      <c r="C37" s="44">
        <v>1.8166666666666664</v>
      </c>
      <c r="D37" s="44">
        <v>1.9</v>
      </c>
      <c r="E37" s="44">
        <v>1.8</v>
      </c>
      <c r="F37" s="44">
        <v>1.8033333333333335</v>
      </c>
      <c r="G37" s="44">
        <v>1.8266666666666669</v>
      </c>
      <c r="H37" s="44">
        <v>1.7658333333333331</v>
      </c>
      <c r="I37" s="44">
        <v>1.780833333333333</v>
      </c>
      <c r="J37" s="44">
        <v>1.8041666666666667</v>
      </c>
      <c r="K37" s="44">
        <v>1.8199999999999996</v>
      </c>
      <c r="L37" s="44">
        <v>1.7039999999999995</v>
      </c>
      <c r="M37" s="44">
        <v>1.7150000000000001</v>
      </c>
      <c r="N37" s="44">
        <v>1.718333333333333</v>
      </c>
      <c r="O37" s="44">
        <v>1.7008333333333334</v>
      </c>
      <c r="P37" s="44">
        <v>1.75</v>
      </c>
      <c r="Q37" s="44">
        <v>1.6691666666666665</v>
      </c>
      <c r="R37" s="44">
        <v>1.7075000000000002</v>
      </c>
      <c r="S37" s="44">
        <v>1.668333333333333</v>
      </c>
      <c r="T37" s="44">
        <v>1.6150000000000002</v>
      </c>
      <c r="U37" s="52" t="s">
        <v>172</v>
      </c>
      <c r="V37" s="52"/>
      <c r="W37" s="45">
        <v>1.6</v>
      </c>
      <c r="X37" s="44">
        <v>1.6</v>
      </c>
      <c r="Y37" s="44">
        <v>0</v>
      </c>
      <c r="Z37" s="44">
        <v>1.6</v>
      </c>
      <c r="AA37" s="44">
        <v>0</v>
      </c>
      <c r="AB37" s="44">
        <v>0</v>
      </c>
      <c r="AC37" s="44">
        <v>0</v>
      </c>
      <c r="AD37" s="44" t="e">
        <v>#DIV/0!</v>
      </c>
      <c r="AE37" s="44">
        <v>0</v>
      </c>
      <c r="AF37" s="44">
        <v>0</v>
      </c>
      <c r="AG37" s="44">
        <v>0</v>
      </c>
      <c r="AH37" s="44" t="e">
        <v>#DIV/0!</v>
      </c>
      <c r="AI37" s="44">
        <v>0</v>
      </c>
      <c r="AJ37" s="44">
        <v>0</v>
      </c>
      <c r="AK37" s="44">
        <v>0</v>
      </c>
      <c r="AL37" s="44" t="e">
        <v>#DIV/0!</v>
      </c>
      <c r="AM37" s="44">
        <v>1.6</v>
      </c>
      <c r="AO37" s="109" t="str">
        <f>IF(A37='[1]page 1-8'!$A37,"","False")</f>
        <v/>
      </c>
      <c r="AP37" s="109" t="str">
        <f>'[1]page 1-8'!$A37</f>
        <v>Basicity  (CaO/ SiO2)</v>
      </c>
    </row>
    <row r="38" spans="1:42" x14ac:dyDescent="0.4">
      <c r="A38" s="37" t="s">
        <v>173</v>
      </c>
      <c r="B38" s="38" t="s">
        <v>174</v>
      </c>
      <c r="C38" s="44">
        <v>0.89431578452688565</v>
      </c>
      <c r="D38" s="44">
        <v>0.92</v>
      </c>
      <c r="E38" s="44">
        <v>0.91</v>
      </c>
      <c r="F38" s="44">
        <v>0.91695526429142826</v>
      </c>
      <c r="G38" s="44">
        <v>0.87436281859070464</v>
      </c>
      <c r="H38" s="44">
        <v>0.8407718402853116</v>
      </c>
      <c r="I38" s="44">
        <v>0.80919005063344429</v>
      </c>
      <c r="J38" s="44">
        <v>0.88286785409959811</v>
      </c>
      <c r="K38" s="44">
        <v>0.84495247325699796</v>
      </c>
      <c r="L38" s="44">
        <v>0.82726684234272529</v>
      </c>
      <c r="M38" s="44">
        <v>0.80943352198303098</v>
      </c>
      <c r="N38" s="44">
        <v>0.75680786062257455</v>
      </c>
      <c r="O38" s="44">
        <v>0.67485386601375263</v>
      </c>
      <c r="P38" s="44">
        <v>0.77659422523247168</v>
      </c>
      <c r="Q38" s="44">
        <v>0.74102680740154925</v>
      </c>
      <c r="R38" s="44">
        <v>0.71869473014452911</v>
      </c>
      <c r="S38" s="44">
        <v>0.71352948988831877</v>
      </c>
      <c r="T38" s="44">
        <v>0.71847916101995279</v>
      </c>
      <c r="U38" s="44">
        <v>0.72</v>
      </c>
      <c r="V38" s="44"/>
      <c r="W38" s="45">
        <v>0.70052671181339354</v>
      </c>
      <c r="X38" s="44">
        <v>0.7176463992375185</v>
      </c>
      <c r="Y38" s="44" t="e">
        <v>#DIV/0!</v>
      </c>
      <c r="Z38" s="44">
        <v>0.70922294843863465</v>
      </c>
      <c r="AA38" s="44" t="e">
        <v>#DIV/0!</v>
      </c>
      <c r="AB38" s="44" t="e">
        <v>#DIV/0!</v>
      </c>
      <c r="AC38" s="44" t="e">
        <v>#DIV/0!</v>
      </c>
      <c r="AD38" s="44" t="e">
        <v>#DIV/0!</v>
      </c>
      <c r="AE38" s="44" t="e">
        <v>#DIV/0!</v>
      </c>
      <c r="AF38" s="44" t="e">
        <v>#DIV/0!</v>
      </c>
      <c r="AG38" s="44" t="e">
        <v>#DIV/0!</v>
      </c>
      <c r="AH38" s="44" t="e">
        <v>#DIV/0!</v>
      </c>
      <c r="AI38" s="44" t="e">
        <v>#DIV/0!</v>
      </c>
      <c r="AJ38" s="44" t="e">
        <v>#DIV/0!</v>
      </c>
      <c r="AK38" s="44" t="e">
        <v>#DIV/0!</v>
      </c>
      <c r="AL38" s="44" t="e">
        <v>#DIV/0!</v>
      </c>
      <c r="AM38" s="44">
        <v>0.70922294843863465</v>
      </c>
      <c r="AO38" s="109" t="str">
        <f>IF(A38='[1]page 1-8'!$A38,"","False")</f>
        <v/>
      </c>
      <c r="AP38" s="109" t="str">
        <f>'[1]page 1-8'!$A38</f>
        <v>Specific productivity</v>
      </c>
    </row>
    <row r="39" spans="1:42" x14ac:dyDescent="0.4">
      <c r="A39" s="37" t="s">
        <v>175</v>
      </c>
      <c r="B39" s="38" t="s">
        <v>176</v>
      </c>
      <c r="C39" s="47">
        <v>843.57616024539959</v>
      </c>
      <c r="D39" s="47">
        <v>817</v>
      </c>
      <c r="E39" s="47">
        <v>811</v>
      </c>
      <c r="F39" s="47">
        <v>801.08374313712864</v>
      </c>
      <c r="G39" s="47">
        <v>799.1801113176615</v>
      </c>
      <c r="H39" s="47">
        <v>798.44631325284217</v>
      </c>
      <c r="I39" s="47">
        <v>797.80276820845052</v>
      </c>
      <c r="J39" s="47">
        <v>796.54254884996487</v>
      </c>
      <c r="K39" s="47">
        <v>830.36755040797595</v>
      </c>
      <c r="L39" s="47">
        <v>832.85329016633409</v>
      </c>
      <c r="M39" s="47">
        <v>943.78176920451301</v>
      </c>
      <c r="N39" s="47">
        <v>895.83507594134176</v>
      </c>
      <c r="O39" s="47">
        <v>891.84129143878249</v>
      </c>
      <c r="P39" s="47">
        <v>846</v>
      </c>
      <c r="Q39" s="47">
        <v>847.50887149891344</v>
      </c>
      <c r="R39" s="53">
        <v>853.58083950861646</v>
      </c>
      <c r="S39" s="53">
        <v>860.55181488129563</v>
      </c>
      <c r="T39" s="53">
        <v>872.20769476491523</v>
      </c>
      <c r="U39" s="47">
        <v>855</v>
      </c>
      <c r="V39" s="47"/>
      <c r="W39" s="104">
        <v>872.83318185573819</v>
      </c>
      <c r="X39" s="53">
        <v>884.57301781989486</v>
      </c>
      <c r="Y39" s="53" t="e">
        <v>#DIV/0!</v>
      </c>
      <c r="Z39" s="53">
        <v>878.86745933269879</v>
      </c>
      <c r="AA39" s="47" t="e">
        <v>#DIV/0!</v>
      </c>
      <c r="AB39" s="47" t="e">
        <v>#DIV/0!</v>
      </c>
      <c r="AC39" s="47" t="e">
        <v>#DIV/0!</v>
      </c>
      <c r="AD39" s="53" t="e">
        <v>#DIV/0!</v>
      </c>
      <c r="AE39" s="47" t="e">
        <v>#DIV/0!</v>
      </c>
      <c r="AF39" s="47" t="e">
        <v>#DIV/0!</v>
      </c>
      <c r="AG39" s="47" t="e">
        <v>#DIV/0!</v>
      </c>
      <c r="AH39" s="53" t="e">
        <v>#DIV/0!</v>
      </c>
      <c r="AI39" s="47" t="e">
        <v>#DIV/0!</v>
      </c>
      <c r="AJ39" s="47" t="e">
        <v>#DIV/0!</v>
      </c>
      <c r="AK39" s="47" t="e">
        <v>#DIV/0!</v>
      </c>
      <c r="AL39" s="53" t="e">
        <v>#DIV/0!</v>
      </c>
      <c r="AM39" s="53">
        <v>878.86745933269879</v>
      </c>
      <c r="AO39" s="109" t="str">
        <f>IF(A39='[1]page 1-8'!$A39,"","False")</f>
        <v/>
      </c>
      <c r="AP39" s="109" t="str">
        <f>'[1]page 1-8'!$A39</f>
        <v>Iron Ore Fines Cons.</v>
      </c>
    </row>
    <row r="40" spans="1:42" x14ac:dyDescent="0.4">
      <c r="A40" s="37" t="s">
        <v>177</v>
      </c>
      <c r="B40" s="38" t="s">
        <v>176</v>
      </c>
      <c r="C40" s="47">
        <v>77.220731535093918</v>
      </c>
      <c r="D40" s="47">
        <v>82</v>
      </c>
      <c r="E40" s="47">
        <v>75</v>
      </c>
      <c r="F40" s="47">
        <v>64.62802700052255</v>
      </c>
      <c r="G40" s="47">
        <v>66.089972283809942</v>
      </c>
      <c r="H40" s="47">
        <v>93.250094242903586</v>
      </c>
      <c r="I40" s="47">
        <v>90.554400707110034</v>
      </c>
      <c r="J40" s="47">
        <v>89.139555004162645</v>
      </c>
      <c r="K40" s="47">
        <v>87.544331737804129</v>
      </c>
      <c r="L40" s="47">
        <v>80.185651820633524</v>
      </c>
      <c r="M40" s="47">
        <v>93.657075557277594</v>
      </c>
      <c r="N40" s="47">
        <v>112.80825978012227</v>
      </c>
      <c r="O40" s="47">
        <v>115.00100360765867</v>
      </c>
      <c r="P40" s="47">
        <v>129</v>
      </c>
      <c r="Q40" s="47">
        <v>152.56947043752518</v>
      </c>
      <c r="R40" s="53">
        <v>135.53329085893137</v>
      </c>
      <c r="S40" s="53">
        <v>150.27560963063436</v>
      </c>
      <c r="T40" s="53">
        <v>129.81758548707015</v>
      </c>
      <c r="U40" s="47">
        <v>131</v>
      </c>
      <c r="V40" s="47"/>
      <c r="W40" s="48">
        <v>137.47004874824424</v>
      </c>
      <c r="X40" s="47">
        <v>148.48870729592275</v>
      </c>
      <c r="Y40" s="47" t="e">
        <v>#DIV/0!</v>
      </c>
      <c r="Z40" s="47">
        <v>143.13364092309052</v>
      </c>
      <c r="AA40" s="47" t="e">
        <v>#DIV/0!</v>
      </c>
      <c r="AB40" s="47" t="e">
        <v>#DIV/0!</v>
      </c>
      <c r="AC40" s="47" t="e">
        <v>#DIV/0!</v>
      </c>
      <c r="AD40" s="47" t="e">
        <v>#DIV/0!</v>
      </c>
      <c r="AE40" s="47" t="e">
        <v>#DIV/0!</v>
      </c>
      <c r="AF40" s="47" t="e">
        <v>#DIV/0!</v>
      </c>
      <c r="AG40" s="47" t="e">
        <v>#DIV/0!</v>
      </c>
      <c r="AH40" s="47" t="e">
        <v>#DIV/0!</v>
      </c>
      <c r="AI40" s="47" t="e">
        <v>#DIV/0!</v>
      </c>
      <c r="AJ40" s="47" t="e">
        <v>#DIV/0!</v>
      </c>
      <c r="AK40" s="47" t="e">
        <v>#DIV/0!</v>
      </c>
      <c r="AL40" s="47" t="e">
        <v>#DIV/0!</v>
      </c>
      <c r="AM40" s="53">
        <v>143.13364092309052</v>
      </c>
      <c r="AO40" s="109" t="str">
        <f>IF(A40='[1]page 1-8'!$A40,"","False")</f>
        <v/>
      </c>
      <c r="AP40" s="109" t="str">
        <f>'[1]page 1-8'!$A40</f>
        <v>Limestone Cons.</v>
      </c>
    </row>
    <row r="41" spans="1:42" x14ac:dyDescent="0.4">
      <c r="A41" s="37" t="s">
        <v>178</v>
      </c>
      <c r="B41" s="38" t="s">
        <v>176</v>
      </c>
      <c r="C41" s="47">
        <v>143.49963708975542</v>
      </c>
      <c r="D41" s="47">
        <v>123</v>
      </c>
      <c r="E41" s="47">
        <v>127</v>
      </c>
      <c r="F41" s="47">
        <v>143.71049598785979</v>
      </c>
      <c r="G41" s="47">
        <v>151.85576327258281</v>
      </c>
      <c r="H41" s="47">
        <v>139.85576431875594</v>
      </c>
      <c r="I41" s="47">
        <v>141.92026403997815</v>
      </c>
      <c r="J41" s="47">
        <v>142.60924925317096</v>
      </c>
      <c r="K41" s="47">
        <v>141.55774906376331</v>
      </c>
      <c r="L41" s="47">
        <v>144.46506539863609</v>
      </c>
      <c r="M41" s="47">
        <v>142.95027321900264</v>
      </c>
      <c r="N41" s="47">
        <v>135.29184289737219</v>
      </c>
      <c r="O41" s="47">
        <v>131.83674411912557</v>
      </c>
      <c r="P41" s="47">
        <v>107.0054040898506</v>
      </c>
      <c r="Q41" s="47">
        <v>96.638405538484747</v>
      </c>
      <c r="R41" s="47">
        <v>94.348069476575162</v>
      </c>
      <c r="S41" s="47">
        <v>98.316561214848264</v>
      </c>
      <c r="T41" s="47">
        <v>100.54527490323972</v>
      </c>
      <c r="U41" s="47">
        <v>110</v>
      </c>
      <c r="V41" s="47"/>
      <c r="W41" s="48">
        <v>98.000495744856636</v>
      </c>
      <c r="X41" s="47">
        <v>93.89623680694983</v>
      </c>
      <c r="Y41" s="47" t="e">
        <v>#DIV/0!</v>
      </c>
      <c r="Z41" s="47">
        <v>95.890906024502769</v>
      </c>
      <c r="AA41" s="47" t="e">
        <v>#DIV/0!</v>
      </c>
      <c r="AB41" s="47" t="e">
        <v>#DIV/0!</v>
      </c>
      <c r="AC41" s="47" t="e">
        <v>#DIV/0!</v>
      </c>
      <c r="AD41" s="47" t="e">
        <v>#DIV/0!</v>
      </c>
      <c r="AE41" s="47" t="e">
        <v>#DIV/0!</v>
      </c>
      <c r="AF41" s="47" t="e">
        <v>#DIV/0!</v>
      </c>
      <c r="AG41" s="47" t="e">
        <v>#DIV/0!</v>
      </c>
      <c r="AH41" s="47" t="e">
        <v>#DIV/0!</v>
      </c>
      <c r="AI41" s="47" t="e">
        <v>#DIV/0!</v>
      </c>
      <c r="AJ41" s="47" t="e">
        <v>#DIV/0!</v>
      </c>
      <c r="AK41" s="47" t="e">
        <v>#DIV/0!</v>
      </c>
      <c r="AL41" s="47" t="e">
        <v>#DIV/0!</v>
      </c>
      <c r="AM41" s="47">
        <v>95.890906024502769</v>
      </c>
      <c r="AO41" s="109" t="str">
        <f>IF(A41='[1]page 1-8'!$A41,"","False")</f>
        <v/>
      </c>
      <c r="AP41" s="109" t="str">
        <f>'[1]page 1-8'!$A41</f>
        <v>Dolomite Cons.</v>
      </c>
    </row>
    <row r="42" spans="1:42" x14ac:dyDescent="0.4">
      <c r="A42" s="37" t="s">
        <v>179</v>
      </c>
      <c r="B42" s="38" t="s">
        <v>176</v>
      </c>
      <c r="C42" s="47">
        <v>10.11287986521415</v>
      </c>
      <c r="D42" s="47">
        <v>10</v>
      </c>
      <c r="E42" s="47">
        <v>10</v>
      </c>
      <c r="F42" s="47">
        <v>10.586180485465388</v>
      </c>
      <c r="G42" s="47">
        <v>12.802697645118856</v>
      </c>
      <c r="H42" s="47">
        <v>10.111294703724973</v>
      </c>
      <c r="I42" s="47">
        <v>12.695171427662007</v>
      </c>
      <c r="J42" s="47">
        <v>12.295336195497804</v>
      </c>
      <c r="K42" s="47">
        <v>8.0789166935343868</v>
      </c>
      <c r="L42" s="47">
        <v>5.653022058800282</v>
      </c>
      <c r="M42" s="47">
        <v>4.6310390317253853</v>
      </c>
      <c r="N42" s="47">
        <v>12.689823048006275</v>
      </c>
      <c r="O42" s="47">
        <v>10.025418806364115</v>
      </c>
      <c r="P42" s="47">
        <v>6.7282854598454556</v>
      </c>
      <c r="Q42" s="47">
        <v>9.3074572818829928</v>
      </c>
      <c r="R42" s="47">
        <v>5.6428067744609249</v>
      </c>
      <c r="S42" s="47">
        <v>4.9727503837688127</v>
      </c>
      <c r="T42" s="47">
        <v>4.376499691704244</v>
      </c>
      <c r="U42" s="38">
        <v>5</v>
      </c>
      <c r="V42" s="38"/>
      <c r="W42" s="48">
        <v>4.1146823101710321</v>
      </c>
      <c r="X42" s="47">
        <v>3.7108505269407748</v>
      </c>
      <c r="Y42" s="47" t="e">
        <v>#DIV/0!</v>
      </c>
      <c r="Z42" s="47">
        <v>3.9071127119698996</v>
      </c>
      <c r="AA42" s="47" t="e">
        <v>#DIV/0!</v>
      </c>
      <c r="AB42" s="47" t="e">
        <v>#DIV/0!</v>
      </c>
      <c r="AC42" s="47" t="e">
        <v>#DIV/0!</v>
      </c>
      <c r="AD42" s="47" t="e">
        <v>#DIV/0!</v>
      </c>
      <c r="AE42" s="47" t="e">
        <v>#DIV/0!</v>
      </c>
      <c r="AF42" s="47" t="e">
        <v>#DIV/0!</v>
      </c>
      <c r="AG42" s="47" t="e">
        <v>#DIV/0!</v>
      </c>
      <c r="AH42" s="47" t="e">
        <v>#DIV/0!</v>
      </c>
      <c r="AI42" s="47" t="e">
        <v>#DIV/0!</v>
      </c>
      <c r="AJ42" s="47" t="e">
        <v>#DIV/0!</v>
      </c>
      <c r="AK42" s="47" t="e">
        <v>#DIV/0!</v>
      </c>
      <c r="AL42" s="47" t="e">
        <v>#DIV/0!</v>
      </c>
      <c r="AM42" s="47">
        <v>3.9071127119698996</v>
      </c>
      <c r="AO42" s="109" t="str">
        <f>IF(A42='[1]page 1-8'!$A42,"","False")</f>
        <v/>
      </c>
      <c r="AP42" s="109" t="str">
        <f>'[1]page 1-8'!$A42</f>
        <v>Millscale Cons.</v>
      </c>
    </row>
    <row r="43" spans="1:42" x14ac:dyDescent="0.4">
      <c r="A43" s="37" t="s">
        <v>180</v>
      </c>
      <c r="B43" s="38" t="s">
        <v>176</v>
      </c>
      <c r="C43" s="49">
        <v>37.713763986823565</v>
      </c>
      <c r="D43" s="49">
        <v>35</v>
      </c>
      <c r="E43" s="49">
        <v>38</v>
      </c>
      <c r="F43" s="49">
        <v>39.148610246168602</v>
      </c>
      <c r="G43" s="49">
        <v>33.87702081493422</v>
      </c>
      <c r="H43" s="49">
        <v>34.008476576674965</v>
      </c>
      <c r="I43" s="49">
        <v>24.145310131897567</v>
      </c>
      <c r="J43" s="47">
        <v>19.135147488532297</v>
      </c>
      <c r="K43" s="47">
        <v>24.007341087770641</v>
      </c>
      <c r="L43" s="47">
        <v>24.290921967428726</v>
      </c>
      <c r="M43" s="47">
        <v>12.463214605300788</v>
      </c>
      <c r="N43" s="47">
        <v>13.217151384449027</v>
      </c>
      <c r="O43" s="47">
        <v>15.633187617790677</v>
      </c>
      <c r="P43" s="47">
        <v>3.5311882913230339</v>
      </c>
      <c r="Q43" s="47">
        <v>7.2836239238864566</v>
      </c>
      <c r="R43" s="47">
        <v>5.9745091732337032</v>
      </c>
      <c r="S43" s="47">
        <v>3.8099376494126376</v>
      </c>
      <c r="T43" s="47">
        <v>4.2724963041653359</v>
      </c>
      <c r="U43" s="47">
        <v>4</v>
      </c>
      <c r="V43" s="47"/>
      <c r="W43" s="48">
        <v>0.26439725687845989</v>
      </c>
      <c r="X43" s="47">
        <v>0</v>
      </c>
      <c r="Y43" s="47" t="e">
        <v>#DIV/0!</v>
      </c>
      <c r="Z43" s="47">
        <v>0.12849702649849618</v>
      </c>
      <c r="AA43" s="47" t="e">
        <v>#DIV/0!</v>
      </c>
      <c r="AB43" s="47" t="e">
        <v>#DIV/0!</v>
      </c>
      <c r="AC43" s="47" t="e">
        <v>#DIV/0!</v>
      </c>
      <c r="AD43" s="47" t="e">
        <v>#DIV/0!</v>
      </c>
      <c r="AE43" s="47" t="e">
        <v>#DIV/0!</v>
      </c>
      <c r="AF43" s="47" t="e">
        <v>#DIV/0!</v>
      </c>
      <c r="AG43" s="47" t="e">
        <v>#DIV/0!</v>
      </c>
      <c r="AH43" s="47" t="e">
        <v>#DIV/0!</v>
      </c>
      <c r="AI43" s="47" t="e">
        <v>#DIV/0!</v>
      </c>
      <c r="AJ43" s="47" t="e">
        <v>#DIV/0!</v>
      </c>
      <c r="AK43" s="47" t="e">
        <v>#DIV/0!</v>
      </c>
      <c r="AL43" s="47" t="e">
        <v>#DIV/0!</v>
      </c>
      <c r="AM43" s="47">
        <v>0.12849702649849618</v>
      </c>
      <c r="AO43" s="109" t="str">
        <f>IF(A43='[1]page 1-8'!$A43,"","False")</f>
        <v/>
      </c>
      <c r="AP43" s="109" t="str">
        <f>'[1]page 1-8'!$A43</f>
        <v>LD Slag Cons.</v>
      </c>
    </row>
    <row r="44" spans="1:42" x14ac:dyDescent="0.4">
      <c r="A44" s="37" t="s">
        <v>181</v>
      </c>
      <c r="B44" s="38" t="s">
        <v>176</v>
      </c>
      <c r="C44" s="47">
        <v>111.73431685841246</v>
      </c>
      <c r="D44" s="47">
        <v>141</v>
      </c>
      <c r="E44" s="47">
        <v>139</v>
      </c>
      <c r="F44" s="47">
        <v>135.33403483153305</v>
      </c>
      <c r="G44" s="47">
        <v>137.14950753840569</v>
      </c>
      <c r="H44" s="47">
        <v>123.58186449455857</v>
      </c>
      <c r="I44" s="47">
        <v>135.15521897640437</v>
      </c>
      <c r="J44" s="47">
        <v>146.44052302518816</v>
      </c>
      <c r="K44" s="47">
        <v>118.92686193298778</v>
      </c>
      <c r="L44" s="47">
        <v>116.27267294991005</v>
      </c>
      <c r="M44" s="47">
        <v>21.725292668751557</v>
      </c>
      <c r="N44" s="47">
        <v>103.69335917848306</v>
      </c>
      <c r="O44" s="47">
        <v>52.571278347475619</v>
      </c>
      <c r="P44" s="47">
        <v>119</v>
      </c>
      <c r="Q44" s="47">
        <v>91.289392211650906</v>
      </c>
      <c r="R44" s="47">
        <v>92.540330063216757</v>
      </c>
      <c r="S44" s="47">
        <v>81.935656792911033</v>
      </c>
      <c r="T44" s="47">
        <v>94.757300666364557</v>
      </c>
      <c r="U44" s="47">
        <v>90</v>
      </c>
      <c r="V44" s="47"/>
      <c r="W44" s="48">
        <v>66.619846319094435</v>
      </c>
      <c r="X44" s="47">
        <v>56.483051178488004</v>
      </c>
      <c r="Y44" s="47" t="e">
        <v>#DIV/0!</v>
      </c>
      <c r="Z44" s="47">
        <v>61.409532070046943</v>
      </c>
      <c r="AA44" s="47" t="e">
        <v>#DIV/0!</v>
      </c>
      <c r="AB44" s="47" t="e">
        <v>#DIV/0!</v>
      </c>
      <c r="AC44" s="47" t="e">
        <v>#DIV/0!</v>
      </c>
      <c r="AD44" s="47" t="e">
        <v>#DIV/0!</v>
      </c>
      <c r="AE44" s="47" t="e">
        <v>#DIV/0!</v>
      </c>
      <c r="AF44" s="47" t="e">
        <v>#DIV/0!</v>
      </c>
      <c r="AG44" s="47" t="e">
        <v>#DIV/0!</v>
      </c>
      <c r="AH44" s="47" t="e">
        <v>#DIV/0!</v>
      </c>
      <c r="AI44" s="47" t="e">
        <v>#DIV/0!</v>
      </c>
      <c r="AJ44" s="47" t="e">
        <v>#DIV/0!</v>
      </c>
      <c r="AK44" s="47" t="e">
        <v>#DIV/0!</v>
      </c>
      <c r="AL44" s="47" t="e">
        <v>#DIV/0!</v>
      </c>
      <c r="AM44" s="47">
        <v>61.409532070046943</v>
      </c>
      <c r="AO44" s="109" t="str">
        <f>IF(A44='[1]page 1-8'!$A44,"","False")</f>
        <v/>
      </c>
      <c r="AP44" s="109" t="str">
        <f>'[1]page 1-8'!$A44</f>
        <v>Sinter Dust Cons.</v>
      </c>
    </row>
    <row r="45" spans="1:42" x14ac:dyDescent="0.4">
      <c r="A45" s="37" t="s">
        <v>182</v>
      </c>
      <c r="B45" s="38" t="s">
        <v>176</v>
      </c>
      <c r="C45" s="47">
        <v>72.333102340688967</v>
      </c>
      <c r="D45" s="47">
        <v>68</v>
      </c>
      <c r="E45" s="47">
        <v>67</v>
      </c>
      <c r="F45" s="47">
        <v>68.690274228530939</v>
      </c>
      <c r="G45" s="47">
        <v>69.011185977076323</v>
      </c>
      <c r="H45" s="47">
        <v>68.574307446774782</v>
      </c>
      <c r="I45" s="47">
        <v>68.725316644753107</v>
      </c>
      <c r="J45" s="47">
        <v>69.206157462576925</v>
      </c>
      <c r="K45" s="47">
        <v>69.244314377123587</v>
      </c>
      <c r="L45" s="47">
        <v>67.969053814367143</v>
      </c>
      <c r="M45" s="47">
        <v>68.254012183384233</v>
      </c>
      <c r="N45" s="47">
        <v>72.628265041283143</v>
      </c>
      <c r="O45" s="47">
        <v>63.154179004527784</v>
      </c>
      <c r="P45" s="47">
        <v>69</v>
      </c>
      <c r="Q45" s="47">
        <v>70.05074816549299</v>
      </c>
      <c r="R45" s="47">
        <v>70.287660980045288</v>
      </c>
      <c r="S45" s="47">
        <v>72.053779073702572</v>
      </c>
      <c r="T45" s="47">
        <v>68.942174116528363</v>
      </c>
      <c r="U45" s="47">
        <v>70</v>
      </c>
      <c r="V45" s="47"/>
      <c r="W45" s="48">
        <v>66.718995290423862</v>
      </c>
      <c r="X45" s="47">
        <v>65.381280126247034</v>
      </c>
      <c r="Y45" s="47" t="e">
        <v>#DIV/0!</v>
      </c>
      <c r="Z45" s="47">
        <v>66.031409491914729</v>
      </c>
      <c r="AA45" s="47" t="e">
        <v>#DIV/0!</v>
      </c>
      <c r="AB45" s="47" t="e">
        <v>#DIV/0!</v>
      </c>
      <c r="AC45" s="47" t="e">
        <v>#DIV/0!</v>
      </c>
      <c r="AD45" s="47" t="e">
        <v>#DIV/0!</v>
      </c>
      <c r="AE45" s="47" t="e">
        <v>#DIV/0!</v>
      </c>
      <c r="AF45" s="47" t="e">
        <v>#DIV/0!</v>
      </c>
      <c r="AG45" s="47" t="e">
        <v>#DIV/0!</v>
      </c>
      <c r="AH45" s="47" t="e">
        <v>#DIV/0!</v>
      </c>
      <c r="AI45" s="47" t="e">
        <v>#DIV/0!</v>
      </c>
      <c r="AJ45" s="47" t="e">
        <v>#DIV/0!</v>
      </c>
      <c r="AK45" s="47" t="e">
        <v>#DIV/0!</v>
      </c>
      <c r="AL45" s="47" t="e">
        <v>#DIV/0!</v>
      </c>
      <c r="AM45" s="47">
        <v>66.031409491914729</v>
      </c>
      <c r="AO45" s="109" t="str">
        <f>IF(A45='[1]page 1-8'!$A45,"","False")</f>
        <v>False</v>
      </c>
      <c r="AP45" s="109" t="str">
        <f>'[1]page 1-8'!$A45</f>
        <v>Coke Breeze Cons (DRY)</v>
      </c>
    </row>
    <row r="46" spans="1:42" x14ac:dyDescent="0.4">
      <c r="A46" s="37"/>
      <c r="B46" s="38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8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O46" s="109" t="str">
        <f>IF(A46='[1]page 1-8'!$A46,"","False")</f>
        <v>False</v>
      </c>
      <c r="AP46" s="109" t="str">
        <f>'[1]page 1-8'!$A46</f>
        <v>Coke Breeze Cons (DRY)</v>
      </c>
    </row>
    <row r="47" spans="1:42" x14ac:dyDescent="0.4">
      <c r="A47" s="37" t="s">
        <v>183</v>
      </c>
      <c r="B47" s="38" t="s">
        <v>176</v>
      </c>
      <c r="C47" s="47">
        <v>19.306825011577001</v>
      </c>
      <c r="D47" s="47">
        <v>23</v>
      </c>
      <c r="E47" s="47">
        <v>19.5</v>
      </c>
      <c r="F47" s="47">
        <v>18.960494198323563</v>
      </c>
      <c r="G47" s="47">
        <v>18.076253490256786</v>
      </c>
      <c r="H47" s="47">
        <v>16.118883459401566</v>
      </c>
      <c r="I47" s="47">
        <v>15.246447922864284</v>
      </c>
      <c r="J47" s="47">
        <v>12.427561664408495</v>
      </c>
      <c r="K47" s="47">
        <v>5.5864189876243149</v>
      </c>
      <c r="L47" s="47">
        <v>5.396928777613021</v>
      </c>
      <c r="M47" s="47">
        <v>14.428177381710164</v>
      </c>
      <c r="N47" s="47">
        <v>2.1856850358765105</v>
      </c>
      <c r="O47" s="47">
        <v>0</v>
      </c>
      <c r="P47" s="47">
        <v>7</v>
      </c>
      <c r="Q47" s="47">
        <v>0</v>
      </c>
      <c r="R47" s="47">
        <v>0</v>
      </c>
      <c r="S47" s="47">
        <v>0</v>
      </c>
      <c r="T47" s="47">
        <v>0</v>
      </c>
      <c r="U47" s="47"/>
      <c r="V47" s="47"/>
      <c r="W47" s="48">
        <v>0</v>
      </c>
      <c r="X47" s="47">
        <v>0</v>
      </c>
      <c r="Y47" s="47" t="e">
        <v>#DIV/0!</v>
      </c>
      <c r="Z47" s="47">
        <v>0</v>
      </c>
      <c r="AA47" s="47" t="e">
        <v>#DIV/0!</v>
      </c>
      <c r="AB47" s="47" t="e">
        <v>#DIV/0!</v>
      </c>
      <c r="AC47" s="47" t="e">
        <v>#DIV/0!</v>
      </c>
      <c r="AD47" s="47" t="e">
        <v>#DIV/0!</v>
      </c>
      <c r="AE47" s="47" t="e">
        <v>#DIV/0!</v>
      </c>
      <c r="AF47" s="47" t="e">
        <v>#DIV/0!</v>
      </c>
      <c r="AG47" s="47" t="e">
        <v>#DIV/0!</v>
      </c>
      <c r="AH47" s="47" t="e">
        <v>#DIV/0!</v>
      </c>
      <c r="AI47" s="47" t="e">
        <v>#DIV/0!</v>
      </c>
      <c r="AJ47" s="47" t="e">
        <v>#DIV/0!</v>
      </c>
      <c r="AK47" s="47" t="e">
        <v>#DIV/0!</v>
      </c>
      <c r="AL47" s="47" t="e">
        <v>#DIV/0!</v>
      </c>
      <c r="AM47" s="47">
        <v>0</v>
      </c>
      <c r="AO47" s="109" t="str">
        <f>IF(A47='[1]page 1-8'!$A47,"","False")</f>
        <v>False</v>
      </c>
      <c r="AP47" s="109" t="str">
        <f>'[1]page 1-8'!$A47</f>
        <v>Coke Breeze Cons (WET)</v>
      </c>
    </row>
    <row r="48" spans="1:42" x14ac:dyDescent="0.4">
      <c r="A48" s="37" t="s">
        <v>184</v>
      </c>
      <c r="B48" s="38" t="s">
        <v>185</v>
      </c>
      <c r="C48" s="49">
        <v>86.062879170879683</v>
      </c>
      <c r="D48" s="49">
        <v>70.7</v>
      </c>
      <c r="E48" s="49">
        <v>76.13</v>
      </c>
      <c r="F48" s="44">
        <v>73.401084010840108</v>
      </c>
      <c r="G48" s="44">
        <v>82.438494169845185</v>
      </c>
      <c r="H48" s="44">
        <v>80.360806950726015</v>
      </c>
      <c r="I48" s="44">
        <v>50.104077285838109</v>
      </c>
      <c r="J48" s="44">
        <v>32.048504821498888</v>
      </c>
      <c r="K48" s="44">
        <v>17.416001368613141</v>
      </c>
      <c r="L48" s="44">
        <v>19.164536340852127</v>
      </c>
      <c r="M48" s="44">
        <v>18.345148401826485</v>
      </c>
      <c r="N48" s="44">
        <v>50.840805017893565</v>
      </c>
      <c r="O48" s="44">
        <v>38.717299842431252</v>
      </c>
      <c r="P48" s="44">
        <v>92.91</v>
      </c>
      <c r="Q48" s="44">
        <v>90.145701782280156</v>
      </c>
      <c r="R48" s="44">
        <v>88.419174548581253</v>
      </c>
      <c r="S48" s="44">
        <v>97.011756782477562</v>
      </c>
      <c r="T48" s="44">
        <v>71.809154106340372</v>
      </c>
      <c r="U48" s="49">
        <v>90</v>
      </c>
      <c r="V48" s="49"/>
      <c r="W48" s="45">
        <v>98.866952789699582</v>
      </c>
      <c r="X48" s="44">
        <v>98.885654885654901</v>
      </c>
      <c r="Y48" s="44" t="e">
        <v>#DIV/0!</v>
      </c>
      <c r="Z48" s="44">
        <v>98.876451953537483</v>
      </c>
      <c r="AA48" s="44" t="e">
        <v>#DIV/0!</v>
      </c>
      <c r="AB48" s="44" t="e">
        <v>#DIV/0!</v>
      </c>
      <c r="AC48" s="44" t="e">
        <v>#DIV/0!</v>
      </c>
      <c r="AD48" s="44" t="e">
        <v>#DIV/0!</v>
      </c>
      <c r="AE48" s="44" t="e">
        <v>#DIV/0!</v>
      </c>
      <c r="AF48" s="44" t="e">
        <v>#DIV/0!</v>
      </c>
      <c r="AG48" s="44" t="e">
        <v>#DIV/0!</v>
      </c>
      <c r="AH48" s="44" t="e">
        <v>#DIV/0!</v>
      </c>
      <c r="AI48" s="44" t="e">
        <v>#DIV/0!</v>
      </c>
      <c r="AJ48" s="44" t="e">
        <v>#DIV/0!</v>
      </c>
      <c r="AK48" s="44" t="e">
        <v>#DIV/0!</v>
      </c>
      <c r="AL48" s="44" t="e">
        <v>#DIV/0!</v>
      </c>
      <c r="AM48" s="44">
        <v>98.876451953537483</v>
      </c>
      <c r="AO48" s="109" t="str">
        <f>IF(A48='[1]page 1-8'!$A48,"","False")</f>
        <v/>
      </c>
      <c r="AP48" s="109" t="str">
        <f>'[1]page 1-8'!$A48</f>
        <v>Machine Utilisation</v>
      </c>
    </row>
    <row r="49" spans="1:42" x14ac:dyDescent="0.4">
      <c r="A49" s="37" t="s">
        <v>186</v>
      </c>
      <c r="B49" s="42" t="s">
        <v>187</v>
      </c>
      <c r="C49" s="44">
        <v>85.783333333333317</v>
      </c>
      <c r="D49" s="44">
        <v>85.5</v>
      </c>
      <c r="E49" s="44">
        <v>85</v>
      </c>
      <c r="F49" s="44">
        <v>83.922499999999999</v>
      </c>
      <c r="G49" s="44">
        <v>84.683333333333337</v>
      </c>
      <c r="H49" s="44">
        <v>85.56583333333333</v>
      </c>
      <c r="I49" s="44">
        <v>85.506666666666661</v>
      </c>
      <c r="J49" s="44">
        <v>85.446666666666673</v>
      </c>
      <c r="K49" s="44">
        <v>86.097499999999982</v>
      </c>
      <c r="L49" s="44">
        <v>85.921428571428578</v>
      </c>
      <c r="M49" s="44">
        <v>84.477500000000006</v>
      </c>
      <c r="N49" s="44">
        <v>83.634166666666673</v>
      </c>
      <c r="O49" s="44">
        <v>83.878333333333345</v>
      </c>
      <c r="P49" s="44">
        <v>85.89</v>
      </c>
      <c r="Q49" s="44">
        <v>85.231666666666669</v>
      </c>
      <c r="R49" s="44">
        <v>86.015000000000001</v>
      </c>
      <c r="S49" s="44">
        <v>85.363333333333344</v>
      </c>
      <c r="T49" s="44">
        <v>84.06750000000001</v>
      </c>
      <c r="U49" s="38" t="s">
        <v>188</v>
      </c>
      <c r="V49" s="38"/>
      <c r="W49" s="45">
        <v>88.27</v>
      </c>
      <c r="X49" s="44">
        <v>87</v>
      </c>
      <c r="Y49" s="44">
        <v>0</v>
      </c>
      <c r="Z49" s="44">
        <v>87.634999999999991</v>
      </c>
      <c r="AA49" s="44">
        <v>0</v>
      </c>
      <c r="AB49" s="44">
        <v>0</v>
      </c>
      <c r="AC49" s="44">
        <v>0</v>
      </c>
      <c r="AD49" s="44" t="e">
        <v>#DIV/0!</v>
      </c>
      <c r="AE49" s="44">
        <v>0</v>
      </c>
      <c r="AF49" s="44">
        <v>0</v>
      </c>
      <c r="AG49" s="44">
        <v>0</v>
      </c>
      <c r="AH49" s="44" t="e">
        <v>#DIV/0!</v>
      </c>
      <c r="AI49" s="44">
        <v>0</v>
      </c>
      <c r="AJ49" s="44">
        <v>0</v>
      </c>
      <c r="AK49" s="44">
        <v>0</v>
      </c>
      <c r="AL49" s="44" t="e">
        <v>#DIV/0!</v>
      </c>
      <c r="AM49" s="44">
        <v>87.634999999999991</v>
      </c>
      <c r="AO49" s="109" t="str">
        <f>IF(A49='[1]page 1-8'!$A49,"","False")</f>
        <v/>
      </c>
      <c r="AP49" s="109" t="str">
        <f>'[1]page 1-8'!$A49</f>
        <v>Lime Crusher-Fines</v>
      </c>
    </row>
    <row r="50" spans="1:42" x14ac:dyDescent="0.4">
      <c r="A50" s="37" t="s">
        <v>189</v>
      </c>
      <c r="B50" s="42" t="s">
        <v>187</v>
      </c>
      <c r="C50" s="44">
        <v>66.61666666666666</v>
      </c>
      <c r="D50" s="44">
        <v>81</v>
      </c>
      <c r="E50" s="44">
        <v>81.2</v>
      </c>
      <c r="F50" s="44">
        <v>81.310833333333335</v>
      </c>
      <c r="G50" s="44">
        <v>81.717500000000001</v>
      </c>
      <c r="H50" s="44">
        <v>81.27</v>
      </c>
      <c r="I50" s="44">
        <v>82.791666666666671</v>
      </c>
      <c r="J50" s="44">
        <v>82.72</v>
      </c>
      <c r="K50" s="44">
        <v>82.171666666666667</v>
      </c>
      <c r="L50" s="44">
        <v>82.31</v>
      </c>
      <c r="M50" s="44">
        <v>82.31</v>
      </c>
      <c r="N50" s="44">
        <v>82.31</v>
      </c>
      <c r="O50" s="44">
        <v>75.715833333333322</v>
      </c>
      <c r="P50" s="44">
        <v>78.95</v>
      </c>
      <c r="Q50" s="44">
        <v>80.41</v>
      </c>
      <c r="R50" s="44">
        <v>80.318333333333314</v>
      </c>
      <c r="S50" s="44">
        <v>74.706666666666678</v>
      </c>
      <c r="T50" s="44">
        <v>76.648333333333341</v>
      </c>
      <c r="U50" s="38" t="s">
        <v>190</v>
      </c>
      <c r="V50" s="38"/>
      <c r="W50" s="45">
        <v>82.34</v>
      </c>
      <c r="X50" s="44">
        <v>82.21</v>
      </c>
      <c r="Y50" s="44">
        <v>0</v>
      </c>
      <c r="Z50" s="44">
        <v>82.275000000000006</v>
      </c>
      <c r="AA50" s="44">
        <v>0</v>
      </c>
      <c r="AB50" s="44">
        <v>0</v>
      </c>
      <c r="AC50" s="44">
        <v>0</v>
      </c>
      <c r="AD50" s="44" t="e">
        <v>#DIV/0!</v>
      </c>
      <c r="AE50" s="44">
        <v>0</v>
      </c>
      <c r="AF50" s="44">
        <v>0</v>
      </c>
      <c r="AG50" s="44">
        <v>0</v>
      </c>
      <c r="AH50" s="44" t="e">
        <v>#DIV/0!</v>
      </c>
      <c r="AI50" s="44">
        <v>0</v>
      </c>
      <c r="AJ50" s="44">
        <v>0</v>
      </c>
      <c r="AK50" s="44">
        <v>0</v>
      </c>
      <c r="AL50" s="44" t="e">
        <v>#DIV/0!</v>
      </c>
      <c r="AM50" s="44">
        <v>82.275000000000006</v>
      </c>
      <c r="AO50" s="109" t="str">
        <f>IF(A50='[1]page 1-8'!$A50,"","False")</f>
        <v/>
      </c>
      <c r="AP50" s="109" t="str">
        <f>'[1]page 1-8'!$A50</f>
        <v>Coke Crusher-Fines</v>
      </c>
    </row>
    <row r="51" spans="1:42" x14ac:dyDescent="0.4">
      <c r="A51" s="37" t="s">
        <v>191</v>
      </c>
      <c r="B51" s="38" t="s">
        <v>141</v>
      </c>
      <c r="C51" s="44">
        <v>70.474999999999994</v>
      </c>
      <c r="D51" s="44">
        <v>70.2</v>
      </c>
      <c r="E51" s="44">
        <v>70.3</v>
      </c>
      <c r="F51" s="44">
        <v>70.196666666666673</v>
      </c>
      <c r="G51" s="44">
        <v>70.053333333333327</v>
      </c>
      <c r="H51" s="44">
        <v>70.076666666666668</v>
      </c>
      <c r="I51" s="44">
        <v>70.240000000000009</v>
      </c>
      <c r="J51" s="44">
        <v>70.164166666666659</v>
      </c>
      <c r="K51" s="44">
        <v>70.207499999999996</v>
      </c>
      <c r="L51" s="44">
        <v>71</v>
      </c>
      <c r="M51" s="44">
        <v>70.19916666666667</v>
      </c>
      <c r="N51" s="44">
        <v>71.005833333333342</v>
      </c>
      <c r="O51" s="44">
        <v>70.852500000000006</v>
      </c>
      <c r="P51" s="44">
        <v>70.989999999999995</v>
      </c>
      <c r="Q51" s="44">
        <v>70.276363636363655</v>
      </c>
      <c r="R51" s="44">
        <v>71.53416666666665</v>
      </c>
      <c r="S51" s="44">
        <v>72.396666666666675</v>
      </c>
      <c r="T51" s="44">
        <v>72.589999999999989</v>
      </c>
      <c r="U51" s="49">
        <v>72</v>
      </c>
      <c r="V51" s="49"/>
      <c r="W51" s="45">
        <v>72.489999999999995</v>
      </c>
      <c r="X51" s="44">
        <v>72.08</v>
      </c>
      <c r="Y51" s="44">
        <v>0</v>
      </c>
      <c r="Z51" s="44">
        <v>72.284999999999997</v>
      </c>
      <c r="AA51" s="44">
        <v>0</v>
      </c>
      <c r="AB51" s="44">
        <v>0</v>
      </c>
      <c r="AC51" s="44">
        <v>0</v>
      </c>
      <c r="AD51" s="44" t="e">
        <v>#DIV/0!</v>
      </c>
      <c r="AE51" s="44">
        <v>0</v>
      </c>
      <c r="AF51" s="44">
        <v>0</v>
      </c>
      <c r="AG51" s="44">
        <v>0</v>
      </c>
      <c r="AH51" s="44" t="e">
        <v>#DIV/0!</v>
      </c>
      <c r="AI51" s="44">
        <v>0</v>
      </c>
      <c r="AJ51" s="44">
        <v>0</v>
      </c>
      <c r="AK51" s="44">
        <v>0</v>
      </c>
      <c r="AL51" s="44" t="e">
        <v>#DIV/0!</v>
      </c>
      <c r="AM51" s="44">
        <v>72.284999999999997</v>
      </c>
      <c r="AO51" s="109" t="str">
        <f>IF(A51='[1]page 1-8'!$A51,"","False")</f>
        <v/>
      </c>
      <c r="AP51" s="109" t="str">
        <f>'[1]page 1-8'!$A51</f>
        <v>Tumbler Index</v>
      </c>
    </row>
    <row r="52" spans="1:42" x14ac:dyDescent="0.4">
      <c r="A52" s="37" t="s">
        <v>192</v>
      </c>
      <c r="B52" s="38" t="s">
        <v>141</v>
      </c>
      <c r="C52" s="44">
        <v>24.868082706497642</v>
      </c>
      <c r="D52" s="44">
        <v>23.3</v>
      </c>
      <c r="E52" s="44">
        <v>20.84</v>
      </c>
      <c r="F52" s="44">
        <v>21.006409611208269</v>
      </c>
      <c r="G52" s="44">
        <v>20.452765645676305</v>
      </c>
      <c r="H52" s="44">
        <v>20.525307826105117</v>
      </c>
      <c r="I52" s="44">
        <v>20.489155828030071</v>
      </c>
      <c r="J52" s="44">
        <v>20.980099383152837</v>
      </c>
      <c r="K52" s="44">
        <v>20.966245939745441</v>
      </c>
      <c r="L52" s="44">
        <v>19.474781424409983</v>
      </c>
      <c r="M52" s="44">
        <v>19.407706127441614</v>
      </c>
      <c r="N52" s="44">
        <v>18.419598817626433</v>
      </c>
      <c r="O52" s="44">
        <v>19.137755916687365</v>
      </c>
      <c r="P52" s="44">
        <v>19.059999999999999</v>
      </c>
      <c r="Q52" s="44">
        <v>18.572548525519604</v>
      </c>
      <c r="R52" s="44">
        <v>18.72360765292267</v>
      </c>
      <c r="S52" s="44">
        <v>18.694957327453785</v>
      </c>
      <c r="T52" s="44">
        <v>18.651264908120012</v>
      </c>
      <c r="U52" s="38">
        <v>19</v>
      </c>
      <c r="V52" s="38"/>
      <c r="W52" s="45">
        <v>18.974207890296487</v>
      </c>
      <c r="X52" s="44">
        <v>18.746367325896987</v>
      </c>
      <c r="Y52" s="44" t="e">
        <v>#DIV/0!</v>
      </c>
      <c r="Z52" s="44">
        <v>18.856977911385492</v>
      </c>
      <c r="AA52" s="44" t="e">
        <v>#DIV/0!</v>
      </c>
      <c r="AB52" s="44" t="e">
        <v>#DIV/0!</v>
      </c>
      <c r="AC52" s="44" t="e">
        <v>#DIV/0!</v>
      </c>
      <c r="AD52" s="44" t="e">
        <v>#DIV/0!</v>
      </c>
      <c r="AE52" s="44" t="e">
        <v>#DIV/0!</v>
      </c>
      <c r="AF52" s="44" t="e">
        <v>#DIV/0!</v>
      </c>
      <c r="AG52" s="44" t="e">
        <v>#DIV/0!</v>
      </c>
      <c r="AH52" s="44" t="e">
        <v>#DIV/0!</v>
      </c>
      <c r="AI52" s="44" t="e">
        <v>#DIV/0!</v>
      </c>
      <c r="AJ52" s="44" t="e">
        <v>#DIV/0!</v>
      </c>
      <c r="AK52" s="44" t="e">
        <v>#DIV/0!</v>
      </c>
      <c r="AL52" s="44" t="e">
        <v>#DIV/0!</v>
      </c>
      <c r="AM52" s="44">
        <v>18.856977911385492</v>
      </c>
      <c r="AO52" s="109" t="str">
        <f>IF(A52='[1]page 1-8'!$A52,"","False")</f>
        <v/>
      </c>
      <c r="AP52" s="109" t="str">
        <f>'[1]page 1-8'!$A52</f>
        <v>Plant Return Fines</v>
      </c>
    </row>
    <row r="53" spans="1:42" x14ac:dyDescent="0.4">
      <c r="A53" s="38" t="s">
        <v>193</v>
      </c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41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O53" s="109" t="str">
        <f>IF(A53='[1]page 1-8'!$A53,"","False")</f>
        <v/>
      </c>
      <c r="AP53" s="109" t="str">
        <f>'[1]page 1-8'!$A53</f>
        <v>SINTER PLANT - II</v>
      </c>
    </row>
    <row r="54" spans="1:42" x14ac:dyDescent="0.4">
      <c r="A54" s="37" t="s">
        <v>167</v>
      </c>
      <c r="B54" s="38" t="s">
        <v>141</v>
      </c>
      <c r="C54" s="44">
        <v>9.7583333333333346</v>
      </c>
      <c r="D54" s="44">
        <v>9.6999999999999993</v>
      </c>
      <c r="E54" s="44">
        <v>9.6999999999999993</v>
      </c>
      <c r="F54" s="44">
        <v>9.7433333333333341</v>
      </c>
      <c r="G54" s="44">
        <v>9.6816666666666666</v>
      </c>
      <c r="H54" s="44">
        <v>9.4133333333333322</v>
      </c>
      <c r="I54" s="44">
        <v>9.8441666666666663</v>
      </c>
      <c r="J54" s="44">
        <v>10.015833333333333</v>
      </c>
      <c r="K54" s="44">
        <v>9.9599999999999991</v>
      </c>
      <c r="L54" s="44">
        <v>10.048333333333332</v>
      </c>
      <c r="M54" s="44">
        <v>10.361666666666666</v>
      </c>
      <c r="N54" s="44">
        <v>9.7583333333333329</v>
      </c>
      <c r="O54" s="44">
        <v>10.220000000000001</v>
      </c>
      <c r="P54" s="44">
        <v>9.8241666666666667</v>
      </c>
      <c r="Q54" s="44">
        <v>9.8708333333333318</v>
      </c>
      <c r="R54" s="44">
        <v>10.112500000000001</v>
      </c>
      <c r="S54" s="44">
        <v>10.213333333333333</v>
      </c>
      <c r="T54" s="44">
        <v>10.144166666666667</v>
      </c>
      <c r="U54" s="52" t="s">
        <v>168</v>
      </c>
      <c r="V54" s="52"/>
      <c r="W54" s="45">
        <v>10.25</v>
      </c>
      <c r="X54" s="44">
        <v>10.33</v>
      </c>
      <c r="Y54" s="44">
        <v>0</v>
      </c>
      <c r="Z54" s="44">
        <v>10.29</v>
      </c>
      <c r="AA54" s="44">
        <v>0</v>
      </c>
      <c r="AB54" s="44">
        <v>0</v>
      </c>
      <c r="AC54" s="44">
        <v>0</v>
      </c>
      <c r="AD54" s="44" t="e">
        <v>#DIV/0!</v>
      </c>
      <c r="AE54" s="44">
        <v>0</v>
      </c>
      <c r="AF54" s="44">
        <v>0</v>
      </c>
      <c r="AG54" s="44">
        <v>0</v>
      </c>
      <c r="AH54" s="44" t="e">
        <v>#DIV/0!</v>
      </c>
      <c r="AI54" s="44">
        <v>0</v>
      </c>
      <c r="AJ54" s="44">
        <v>0</v>
      </c>
      <c r="AK54" s="44">
        <v>0</v>
      </c>
      <c r="AL54" s="44" t="e">
        <v>#DIV/0!</v>
      </c>
      <c r="AM54" s="44">
        <v>10.29</v>
      </c>
      <c r="AO54" s="109" t="str">
        <f>IF(A54='[1]page 1-8'!$A54,"","False")</f>
        <v/>
      </c>
      <c r="AP54" s="109" t="str">
        <f>'[1]page 1-8'!$A54</f>
        <v>FeO in Sinter</v>
      </c>
    </row>
    <row r="55" spans="1:42" x14ac:dyDescent="0.4">
      <c r="A55" s="37" t="s">
        <v>169</v>
      </c>
      <c r="B55" s="38" t="s">
        <v>141</v>
      </c>
      <c r="C55" s="44">
        <v>53.291666666666664</v>
      </c>
      <c r="D55" s="44">
        <v>53.5</v>
      </c>
      <c r="E55" s="44">
        <v>53.3</v>
      </c>
      <c r="F55" s="44">
        <v>53.093333333333334</v>
      </c>
      <c r="G55" s="44">
        <v>53.81583333333333</v>
      </c>
      <c r="H55" s="44">
        <v>53.32</v>
      </c>
      <c r="I55" s="44">
        <v>54.111666666666672</v>
      </c>
      <c r="J55" s="44">
        <v>54.379166666666663</v>
      </c>
      <c r="K55" s="44">
        <v>54.732499999999995</v>
      </c>
      <c r="L55" s="44">
        <v>54.985833333333339</v>
      </c>
      <c r="M55" s="44">
        <v>55.085833333333333</v>
      </c>
      <c r="N55" s="44">
        <v>54.508333333333347</v>
      </c>
      <c r="O55" s="44">
        <v>52.896666666666668</v>
      </c>
      <c r="P55" s="44">
        <v>54.552499999999988</v>
      </c>
      <c r="Q55" s="44">
        <v>53.510833333333331</v>
      </c>
      <c r="R55" s="44">
        <v>53.347499999999989</v>
      </c>
      <c r="S55" s="44">
        <v>53.179166666666667</v>
      </c>
      <c r="T55" s="44">
        <v>53.975833333333334</v>
      </c>
      <c r="U55" s="54">
        <v>54</v>
      </c>
      <c r="V55" s="54"/>
      <c r="W55" s="45">
        <v>53.68</v>
      </c>
      <c r="X55" s="44">
        <v>54.21</v>
      </c>
      <c r="Y55" s="44">
        <v>0</v>
      </c>
      <c r="Z55" s="44">
        <v>53.945</v>
      </c>
      <c r="AA55" s="44">
        <v>0</v>
      </c>
      <c r="AB55" s="44">
        <v>0</v>
      </c>
      <c r="AC55" s="44">
        <v>0</v>
      </c>
      <c r="AD55" s="44" t="e">
        <v>#DIV/0!</v>
      </c>
      <c r="AE55" s="44">
        <v>0</v>
      </c>
      <c r="AF55" s="44">
        <v>0</v>
      </c>
      <c r="AG55" s="44">
        <v>0</v>
      </c>
      <c r="AH55" s="44" t="e">
        <v>#DIV/0!</v>
      </c>
      <c r="AI55" s="44">
        <v>0</v>
      </c>
      <c r="AJ55" s="44">
        <v>0</v>
      </c>
      <c r="AK55" s="44">
        <v>0</v>
      </c>
      <c r="AL55" s="44" t="e">
        <v>#DIV/0!</v>
      </c>
      <c r="AM55" s="44">
        <v>53.945</v>
      </c>
      <c r="AO55" s="109" t="str">
        <f>IF(A55='[1]page 1-8'!$A55,"","False")</f>
        <v/>
      </c>
      <c r="AP55" s="109" t="str">
        <f>'[1]page 1-8'!$A55</f>
        <v>Fe in Sinter</v>
      </c>
    </row>
    <row r="56" spans="1:42" x14ac:dyDescent="0.4">
      <c r="A56" s="37" t="s">
        <v>170</v>
      </c>
      <c r="B56" s="38" t="s">
        <v>141</v>
      </c>
      <c r="C56" s="44">
        <v>10.333333333333334</v>
      </c>
      <c r="D56" s="44">
        <v>10.4</v>
      </c>
      <c r="E56" s="44">
        <v>10.6</v>
      </c>
      <c r="F56" s="44">
        <v>10.751666666666667</v>
      </c>
      <c r="G56" s="44">
        <v>10.76</v>
      </c>
      <c r="H56" s="44">
        <v>11.0625</v>
      </c>
      <c r="I56" s="44">
        <v>10.789166666666667</v>
      </c>
      <c r="J56" s="44">
        <v>10.706666666666665</v>
      </c>
      <c r="K56" s="44">
        <v>10.452499999999999</v>
      </c>
      <c r="L56" s="44">
        <v>10.155000000000001</v>
      </c>
      <c r="M56" s="44">
        <v>10.265833333333333</v>
      </c>
      <c r="N56" s="44">
        <v>10.643333333333333</v>
      </c>
      <c r="O56" s="44">
        <v>11.673333333333332</v>
      </c>
      <c r="P56" s="44">
        <v>10.202500000000001</v>
      </c>
      <c r="Q56" s="44">
        <v>11.000833333333333</v>
      </c>
      <c r="R56" s="44">
        <v>10.828333333333333</v>
      </c>
      <c r="S56" s="44">
        <v>10.899999999999999</v>
      </c>
      <c r="T56" s="44">
        <v>10.215</v>
      </c>
      <c r="U56" s="42"/>
      <c r="V56" s="42"/>
      <c r="W56" s="45">
        <v>10.43</v>
      </c>
      <c r="X56" s="44">
        <v>9.99</v>
      </c>
      <c r="Y56" s="44">
        <v>0</v>
      </c>
      <c r="Z56" s="44">
        <v>10.210000000000001</v>
      </c>
      <c r="AA56" s="44">
        <v>0</v>
      </c>
      <c r="AB56" s="44">
        <v>0</v>
      </c>
      <c r="AC56" s="44">
        <v>0</v>
      </c>
      <c r="AD56" s="44" t="e">
        <v>#DIV/0!</v>
      </c>
      <c r="AE56" s="44">
        <v>0</v>
      </c>
      <c r="AF56" s="44">
        <v>0</v>
      </c>
      <c r="AG56" s="44">
        <v>0</v>
      </c>
      <c r="AH56" s="44" t="e">
        <v>#DIV/0!</v>
      </c>
      <c r="AI56" s="44">
        <v>0</v>
      </c>
      <c r="AJ56" s="44">
        <v>0</v>
      </c>
      <c r="AK56" s="44">
        <v>0</v>
      </c>
      <c r="AL56" s="44" t="e">
        <v>#DIV/0!</v>
      </c>
      <c r="AM56" s="44">
        <v>10.210000000000001</v>
      </c>
      <c r="AO56" s="109" t="str">
        <f>IF(A56='[1]page 1-8'!$A56,"","False")</f>
        <v/>
      </c>
      <c r="AP56" s="109" t="str">
        <f>'[1]page 1-8'!$A56</f>
        <v>CaO in Sinter</v>
      </c>
    </row>
    <row r="57" spans="1:42" x14ac:dyDescent="0.4">
      <c r="A57" s="37" t="s">
        <v>171</v>
      </c>
      <c r="B57" s="38"/>
      <c r="C57" s="44">
        <v>1.8916666666666666</v>
      </c>
      <c r="D57" s="44">
        <v>1.9</v>
      </c>
      <c r="E57" s="44">
        <v>1.8</v>
      </c>
      <c r="F57" s="44">
        <v>1.8525</v>
      </c>
      <c r="G57" s="44">
        <v>1.8174999999999999</v>
      </c>
      <c r="H57" s="44">
        <v>1.7775000000000001</v>
      </c>
      <c r="I57" s="44">
        <v>1.7849999999999999</v>
      </c>
      <c r="J57" s="44">
        <v>1.8058333333333334</v>
      </c>
      <c r="K57" s="44">
        <v>1.7841666666666665</v>
      </c>
      <c r="L57" s="44">
        <v>1.7233333333333334</v>
      </c>
      <c r="M57" s="44">
        <v>1.7958333333333334</v>
      </c>
      <c r="N57" s="44">
        <v>1.8066666666666669</v>
      </c>
      <c r="O57" s="44">
        <v>1.7249999999999999</v>
      </c>
      <c r="P57" s="44">
        <v>1.781666666666667</v>
      </c>
      <c r="Q57" s="44">
        <v>1.7041666666666666</v>
      </c>
      <c r="R57" s="44">
        <v>1.7483333333333331</v>
      </c>
      <c r="S57" s="44">
        <v>1.6841666666666668</v>
      </c>
      <c r="T57" s="44">
        <v>1.6375</v>
      </c>
      <c r="U57" s="52" t="s">
        <v>172</v>
      </c>
      <c r="V57" s="52"/>
      <c r="W57" s="45">
        <v>1.65</v>
      </c>
      <c r="X57" s="44">
        <v>1.63</v>
      </c>
      <c r="Y57" s="44">
        <v>0</v>
      </c>
      <c r="Z57" s="44">
        <v>1.64</v>
      </c>
      <c r="AA57" s="44">
        <v>0</v>
      </c>
      <c r="AB57" s="44">
        <v>0</v>
      </c>
      <c r="AC57" s="44">
        <v>0</v>
      </c>
      <c r="AD57" s="44" t="e">
        <v>#DIV/0!</v>
      </c>
      <c r="AE57" s="44">
        <v>0</v>
      </c>
      <c r="AF57" s="44">
        <v>0</v>
      </c>
      <c r="AG57" s="44">
        <v>0</v>
      </c>
      <c r="AH57" s="44" t="e">
        <v>#DIV/0!</v>
      </c>
      <c r="AI57" s="44">
        <v>0</v>
      </c>
      <c r="AJ57" s="44">
        <v>0</v>
      </c>
      <c r="AK57" s="44">
        <v>0</v>
      </c>
      <c r="AL57" s="44" t="e">
        <v>#DIV/0!</v>
      </c>
      <c r="AM57" s="44">
        <v>1.64</v>
      </c>
      <c r="AO57" s="109" t="str">
        <f>IF(A57='[1]page 1-8'!$A57,"","False")</f>
        <v/>
      </c>
      <c r="AP57" s="109" t="str">
        <f>'[1]page 1-8'!$A57</f>
        <v>Basicity  (CaO/ SiO2)</v>
      </c>
    </row>
    <row r="58" spans="1:42" x14ac:dyDescent="0.4">
      <c r="A58" s="37" t="s">
        <v>173</v>
      </c>
      <c r="B58" s="38" t="s">
        <v>174</v>
      </c>
      <c r="C58" s="44">
        <v>1.3028575395482431</v>
      </c>
      <c r="D58" s="44">
        <v>1.3</v>
      </c>
      <c r="E58" s="44">
        <v>1.3</v>
      </c>
      <c r="F58" s="44">
        <v>1.2915793123518844</v>
      </c>
      <c r="G58" s="44">
        <v>1.2874985646284802</v>
      </c>
      <c r="H58" s="44">
        <v>1.2727068742968466</v>
      </c>
      <c r="I58" s="44">
        <v>1.2656430424887184</v>
      </c>
      <c r="J58" s="44">
        <v>1.2894302877745143</v>
      </c>
      <c r="K58" s="44">
        <v>1.2896221748475523</v>
      </c>
      <c r="L58" s="44">
        <v>1.2813115168431419</v>
      </c>
      <c r="M58" s="44">
        <v>1.2803303372868791</v>
      </c>
      <c r="N58" s="44">
        <v>1.3027246600021014</v>
      </c>
      <c r="O58" s="44">
        <v>1.3001395033562784</v>
      </c>
      <c r="P58" s="44">
        <v>1.3012590436355416</v>
      </c>
      <c r="Q58" s="44">
        <v>1.3044019859492437</v>
      </c>
      <c r="R58" s="44">
        <v>1.3089795964944313</v>
      </c>
      <c r="S58" s="44">
        <v>1.3067854636899072</v>
      </c>
      <c r="T58" s="44">
        <v>1.2996544158296996</v>
      </c>
      <c r="U58" s="44">
        <v>1.3</v>
      </c>
      <c r="V58" s="44"/>
      <c r="W58" s="45">
        <v>1.3021039931244214</v>
      </c>
      <c r="X58" s="44">
        <v>1.2983344679527387</v>
      </c>
      <c r="Y58" s="44" t="e">
        <v>#DIV/0!</v>
      </c>
      <c r="Z58" s="44">
        <v>1.300184850561821</v>
      </c>
      <c r="AA58" s="44" t="e">
        <v>#DIV/0!</v>
      </c>
      <c r="AB58" s="44" t="e">
        <v>#DIV/0!</v>
      </c>
      <c r="AC58" s="44" t="e">
        <v>#DIV/0!</v>
      </c>
      <c r="AD58" s="44" t="e">
        <v>#DIV/0!</v>
      </c>
      <c r="AE58" s="44" t="e">
        <v>#DIV/0!</v>
      </c>
      <c r="AF58" s="44" t="e">
        <v>#DIV/0!</v>
      </c>
      <c r="AG58" s="44" t="e">
        <v>#DIV/0!</v>
      </c>
      <c r="AH58" s="44" t="e">
        <v>#DIV/0!</v>
      </c>
      <c r="AI58" s="44" t="e">
        <v>#DIV/0!</v>
      </c>
      <c r="AJ58" s="44" t="e">
        <v>#DIV/0!</v>
      </c>
      <c r="AK58" s="44" t="e">
        <v>#DIV/0!</v>
      </c>
      <c r="AL58" s="44" t="e">
        <v>#DIV/0!</v>
      </c>
      <c r="AM58" s="44">
        <v>1.300184850561821</v>
      </c>
      <c r="AO58" s="109" t="str">
        <f>IF(A58='[1]page 1-8'!$A58,"","False")</f>
        <v/>
      </c>
      <c r="AP58" s="109" t="str">
        <f>'[1]page 1-8'!$A58</f>
        <v>Specific productivity</v>
      </c>
    </row>
    <row r="59" spans="1:42" x14ac:dyDescent="0.4">
      <c r="A59" s="37" t="s">
        <v>175</v>
      </c>
      <c r="B59" s="38" t="s">
        <v>176</v>
      </c>
      <c r="C59" s="47">
        <v>792.89538097775414</v>
      </c>
      <c r="D59" s="47">
        <v>797</v>
      </c>
      <c r="E59" s="47">
        <v>794</v>
      </c>
      <c r="F59" s="47">
        <v>778.03574037897079</v>
      </c>
      <c r="G59" s="47">
        <v>794.87658919174169</v>
      </c>
      <c r="H59" s="47">
        <v>780.05065335679706</v>
      </c>
      <c r="I59" s="47">
        <v>786.10023016276773</v>
      </c>
      <c r="J59" s="47">
        <v>789.34372208781008</v>
      </c>
      <c r="K59" s="47">
        <v>792.21177962585807</v>
      </c>
      <c r="L59" s="47">
        <v>801.92329005654585</v>
      </c>
      <c r="M59" s="47">
        <v>818.97243738084853</v>
      </c>
      <c r="N59" s="47">
        <v>766.63357369282755</v>
      </c>
      <c r="O59" s="47">
        <v>756.86469535834556</v>
      </c>
      <c r="P59" s="47">
        <v>805.29086165030242</v>
      </c>
      <c r="Q59" s="47">
        <v>764.73319146896313</v>
      </c>
      <c r="R59" s="47">
        <v>781.19997888367277</v>
      </c>
      <c r="S59" s="47">
        <v>761.70225381132013</v>
      </c>
      <c r="T59" s="47">
        <v>770.96052165114349</v>
      </c>
      <c r="U59" s="47">
        <v>750</v>
      </c>
      <c r="V59" s="47"/>
      <c r="W59" s="48">
        <v>774.91828769079427</v>
      </c>
      <c r="X59" s="47">
        <v>756.76753791109991</v>
      </c>
      <c r="Y59" s="47" t="e">
        <v>#DIV/0!</v>
      </c>
      <c r="Z59" s="47">
        <v>765.69052016773162</v>
      </c>
      <c r="AA59" s="47" t="e">
        <v>#DIV/0!</v>
      </c>
      <c r="AB59" s="47" t="e">
        <v>#DIV/0!</v>
      </c>
      <c r="AC59" s="47" t="e">
        <v>#DIV/0!</v>
      </c>
      <c r="AD59" s="47" t="e">
        <v>#DIV/0!</v>
      </c>
      <c r="AE59" s="47" t="e">
        <v>#DIV/0!</v>
      </c>
      <c r="AF59" s="47" t="e">
        <v>#DIV/0!</v>
      </c>
      <c r="AG59" s="47" t="e">
        <v>#DIV/0!</v>
      </c>
      <c r="AH59" s="47" t="e">
        <v>#DIV/0!</v>
      </c>
      <c r="AI59" s="47" t="e">
        <v>#DIV/0!</v>
      </c>
      <c r="AJ59" s="47" t="e">
        <v>#DIV/0!</v>
      </c>
      <c r="AK59" s="47" t="e">
        <v>#DIV/0!</v>
      </c>
      <c r="AL59" s="47" t="e">
        <v>#DIV/0!</v>
      </c>
      <c r="AM59" s="47">
        <v>765.69052016773162</v>
      </c>
      <c r="AO59" s="109" t="str">
        <f>IF(A59='[1]page 1-8'!$A59,"","False")</f>
        <v/>
      </c>
      <c r="AP59" s="109" t="str">
        <f>'[1]page 1-8'!$A59</f>
        <v>Iron Ore Fines Cons.</v>
      </c>
    </row>
    <row r="60" spans="1:42" x14ac:dyDescent="0.4">
      <c r="A60" s="34" t="s">
        <v>194</v>
      </c>
      <c r="B60" s="38" t="s">
        <v>176</v>
      </c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>
        <v>101.3205937949963</v>
      </c>
      <c r="S60" s="47">
        <v>104.11704106665086</v>
      </c>
      <c r="T60" s="47">
        <v>77.774639312944217</v>
      </c>
      <c r="U60" s="47">
        <v>83</v>
      </c>
      <c r="V60" s="47"/>
      <c r="W60" s="47">
        <v>77.612413924412152</v>
      </c>
      <c r="X60" s="47">
        <v>73.704947007309116</v>
      </c>
      <c r="Y60" s="47" t="e">
        <v>#DIV/0!</v>
      </c>
      <c r="Z60" s="47">
        <v>75.625873602236425</v>
      </c>
      <c r="AA60" s="47" t="e">
        <v>#DIV/0!</v>
      </c>
      <c r="AB60" s="47" t="e">
        <v>#DIV/0!</v>
      </c>
      <c r="AC60" s="47" t="e">
        <v>#DIV/0!</v>
      </c>
      <c r="AD60" s="47" t="e">
        <v>#DIV/0!</v>
      </c>
      <c r="AE60" s="47" t="e">
        <v>#DIV/0!</v>
      </c>
      <c r="AF60" s="47" t="e">
        <v>#DIV/0!</v>
      </c>
      <c r="AG60" s="47" t="e">
        <v>#DIV/0!</v>
      </c>
      <c r="AH60" s="47" t="e">
        <v>#DIV/0!</v>
      </c>
      <c r="AI60" s="47" t="e">
        <v>#DIV/0!</v>
      </c>
      <c r="AJ60" s="47" t="e">
        <v>#DIV/0!</v>
      </c>
      <c r="AK60" s="47" t="e">
        <v>#DIV/0!</v>
      </c>
      <c r="AL60" s="47" t="e">
        <v>#DIV/0!</v>
      </c>
      <c r="AM60" s="47">
        <v>75.625873602236425</v>
      </c>
      <c r="AO60" s="109" t="str">
        <f>IF(A60='[1]page 1-8'!$A60,"","False")</f>
        <v/>
      </c>
      <c r="AP60" s="109" t="str">
        <f>'[1]page 1-8'!$A60</f>
        <v>Limestone Consumption</v>
      </c>
    </row>
    <row r="61" spans="1:42" x14ac:dyDescent="0.4">
      <c r="A61" s="34" t="s">
        <v>195</v>
      </c>
      <c r="B61" s="38" t="s">
        <v>176</v>
      </c>
      <c r="C61" s="47">
        <v>176.02217097375782</v>
      </c>
      <c r="D61" s="47">
        <v>173</v>
      </c>
      <c r="E61" s="47">
        <v>174</v>
      </c>
      <c r="F61" s="47">
        <v>170.69215608706034</v>
      </c>
      <c r="G61" s="47">
        <v>176.33925214624225</v>
      </c>
      <c r="H61" s="47">
        <v>172.23666064301477</v>
      </c>
      <c r="I61" s="47">
        <v>181.22816195165564</v>
      </c>
      <c r="J61" s="47">
        <v>190.15247101468128</v>
      </c>
      <c r="K61" s="47">
        <v>188.67803330316059</v>
      </c>
      <c r="L61" s="47">
        <v>189.9850208919139</v>
      </c>
      <c r="M61" s="47">
        <v>191.03854520803895</v>
      </c>
      <c r="N61" s="47">
        <v>178.78812095430709</v>
      </c>
      <c r="O61" s="47">
        <v>174.44013914377737</v>
      </c>
      <c r="P61" s="47">
        <v>187.26995761881059</v>
      </c>
      <c r="Q61" s="47">
        <v>199.72603225087067</v>
      </c>
      <c r="R61" s="47">
        <v>79.973730514013056</v>
      </c>
      <c r="S61" s="47">
        <v>80.900042245065848</v>
      </c>
      <c r="T61" s="47">
        <v>93.938661402399504</v>
      </c>
      <c r="U61" s="47">
        <v>110</v>
      </c>
      <c r="V61" s="47"/>
      <c r="W61" s="47">
        <v>85.221971884619052</v>
      </c>
      <c r="X61" s="47">
        <v>85.537015103070331</v>
      </c>
      <c r="Y61" s="47" t="e">
        <v>#DIV/0!</v>
      </c>
      <c r="Z61" s="47">
        <v>85.382138578274763</v>
      </c>
      <c r="AA61" s="47" t="e">
        <v>#DIV/0!</v>
      </c>
      <c r="AB61" s="47" t="e">
        <v>#DIV/0!</v>
      </c>
      <c r="AC61" s="47" t="e">
        <v>#DIV/0!</v>
      </c>
      <c r="AD61" s="47" t="e">
        <v>#DIV/0!</v>
      </c>
      <c r="AE61" s="47" t="e">
        <v>#DIV/0!</v>
      </c>
      <c r="AF61" s="47" t="e">
        <v>#DIV/0!</v>
      </c>
      <c r="AG61" s="47" t="e">
        <v>#DIV/0!</v>
      </c>
      <c r="AH61" s="47" t="e">
        <v>#DIV/0!</v>
      </c>
      <c r="AI61" s="47" t="e">
        <v>#DIV/0!</v>
      </c>
      <c r="AJ61" s="47" t="e">
        <v>#DIV/0!</v>
      </c>
      <c r="AK61" s="47" t="e">
        <v>#DIV/0!</v>
      </c>
      <c r="AL61" s="47" t="e">
        <v>#DIV/0!</v>
      </c>
      <c r="AM61" s="47">
        <v>85.382138578274763</v>
      </c>
      <c r="AO61" s="109" t="str">
        <f>IF(A61='[1]page 1-8'!$A61,"","False")</f>
        <v/>
      </c>
      <c r="AP61" s="109" t="str">
        <f>'[1]page 1-8'!$A61</f>
        <v>Dolomite Consumption</v>
      </c>
    </row>
    <row r="62" spans="1:42" x14ac:dyDescent="0.4">
      <c r="A62" s="37" t="s">
        <v>181</v>
      </c>
      <c r="B62" s="38" t="s">
        <v>176</v>
      </c>
      <c r="C62" s="47">
        <v>147.07262804715597</v>
      </c>
      <c r="D62" s="47">
        <v>142</v>
      </c>
      <c r="E62" s="47">
        <v>138</v>
      </c>
      <c r="F62" s="47">
        <v>151.93963267822713</v>
      </c>
      <c r="G62" s="47">
        <v>144.12782309931114</v>
      </c>
      <c r="H62" s="47">
        <v>160.19478986533272</v>
      </c>
      <c r="I62" s="47">
        <v>144.42488969744471</v>
      </c>
      <c r="J62" s="47">
        <v>147.18233217999079</v>
      </c>
      <c r="K62" s="47">
        <v>140.73873708229615</v>
      </c>
      <c r="L62" s="47">
        <v>120.35501971506559</v>
      </c>
      <c r="M62" s="47">
        <v>122.58342334713846</v>
      </c>
      <c r="N62" s="47">
        <v>187.71656431409434</v>
      </c>
      <c r="O62" s="47">
        <v>230.29102178864105</v>
      </c>
      <c r="P62" s="47">
        <v>244.95000226234106</v>
      </c>
      <c r="Q62" s="47">
        <v>265.20317798420598</v>
      </c>
      <c r="R62" s="47">
        <v>263.58939786017987</v>
      </c>
      <c r="S62" s="47">
        <v>255.51347518781759</v>
      </c>
      <c r="T62" s="47">
        <v>244.34932749544066</v>
      </c>
      <c r="U62" s="47">
        <v>240</v>
      </c>
      <c r="V62" s="47"/>
      <c r="W62" s="48">
        <v>254.52352997175771</v>
      </c>
      <c r="X62" s="47">
        <v>281.6191767875444</v>
      </c>
      <c r="Y62" s="47" t="e">
        <v>#DIV/0!</v>
      </c>
      <c r="Z62" s="47">
        <v>268.29884684504788</v>
      </c>
      <c r="AA62" s="47" t="e">
        <v>#DIV/0!</v>
      </c>
      <c r="AB62" s="47" t="e">
        <v>#DIV/0!</v>
      </c>
      <c r="AC62" s="47" t="e">
        <v>#DIV/0!</v>
      </c>
      <c r="AD62" s="47" t="e">
        <v>#DIV/0!</v>
      </c>
      <c r="AE62" s="47" t="e">
        <v>#DIV/0!</v>
      </c>
      <c r="AF62" s="47" t="e">
        <v>#DIV/0!</v>
      </c>
      <c r="AG62" s="47" t="e">
        <v>#DIV/0!</v>
      </c>
      <c r="AH62" s="47" t="e">
        <v>#DIV/0!</v>
      </c>
      <c r="AI62" s="47" t="e">
        <v>#DIV/0!</v>
      </c>
      <c r="AJ62" s="47" t="e">
        <v>#DIV/0!</v>
      </c>
      <c r="AK62" s="47" t="e">
        <v>#DIV/0!</v>
      </c>
      <c r="AL62" s="47" t="e">
        <v>#DIV/0!</v>
      </c>
      <c r="AM62" s="47">
        <v>268.29884684504788</v>
      </c>
      <c r="AO62" s="109" t="str">
        <f>IF(A62='[1]page 1-8'!$A62,"","False")</f>
        <v/>
      </c>
      <c r="AP62" s="109" t="str">
        <f>'[1]page 1-8'!$A62</f>
        <v>Sinter Dust Cons.</v>
      </c>
    </row>
    <row r="63" spans="1:42" x14ac:dyDescent="0.4">
      <c r="A63" s="37" t="s">
        <v>196</v>
      </c>
      <c r="B63" s="38" t="s">
        <v>176</v>
      </c>
      <c r="C63" s="47">
        <v>65.925969095510851</v>
      </c>
      <c r="D63" s="47">
        <v>66</v>
      </c>
      <c r="E63" s="47">
        <v>66</v>
      </c>
      <c r="F63" s="47">
        <v>66.813501694661554</v>
      </c>
      <c r="G63" s="47">
        <v>66.254044098848951</v>
      </c>
      <c r="H63" s="47">
        <v>65.825703870822906</v>
      </c>
      <c r="I63" s="47">
        <v>65.331231247966372</v>
      </c>
      <c r="J63" s="47">
        <v>65.785508641397186</v>
      </c>
      <c r="K63" s="47">
        <v>65.950417703854569</v>
      </c>
      <c r="L63" s="47">
        <v>64.219926669782069</v>
      </c>
      <c r="M63" s="47">
        <v>65.062038660401583</v>
      </c>
      <c r="N63" s="47">
        <v>72.799419694725003</v>
      </c>
      <c r="O63" s="47">
        <v>62.737000862574043</v>
      </c>
      <c r="P63" s="47">
        <v>66.945387086557176</v>
      </c>
      <c r="Q63" s="47">
        <v>69.991517316554166</v>
      </c>
      <c r="R63" s="47">
        <v>70.38711167873349</v>
      </c>
      <c r="S63" s="47">
        <v>72.038954397563117</v>
      </c>
      <c r="T63" s="47">
        <v>68.598545504288353</v>
      </c>
      <c r="U63" s="47">
        <v>70</v>
      </c>
      <c r="V63" s="47"/>
      <c r="W63" s="48">
        <v>65.50947228128075</v>
      </c>
      <c r="X63" s="47">
        <v>65.634838321662883</v>
      </c>
      <c r="Y63" s="47" t="e">
        <v>#DIV/0!</v>
      </c>
      <c r="Z63" s="47">
        <v>65.573207867412137</v>
      </c>
      <c r="AA63" s="47" t="e">
        <v>#DIV/0!</v>
      </c>
      <c r="AB63" s="47" t="e">
        <v>#DIV/0!</v>
      </c>
      <c r="AC63" s="47" t="e">
        <v>#DIV/0!</v>
      </c>
      <c r="AD63" s="47" t="e">
        <v>#DIV/0!</v>
      </c>
      <c r="AE63" s="47" t="e">
        <v>#DIV/0!</v>
      </c>
      <c r="AF63" s="47" t="e">
        <v>#DIV/0!</v>
      </c>
      <c r="AG63" s="47" t="e">
        <v>#DIV/0!</v>
      </c>
      <c r="AH63" s="47" t="e">
        <v>#DIV/0!</v>
      </c>
      <c r="AI63" s="47" t="e">
        <v>#DIV/0!</v>
      </c>
      <c r="AJ63" s="47" t="e">
        <v>#DIV/0!</v>
      </c>
      <c r="AK63" s="47" t="e">
        <v>#DIV/0!</v>
      </c>
      <c r="AL63" s="47" t="e">
        <v>#DIV/0!</v>
      </c>
      <c r="AM63" s="47">
        <v>65.573207867412137</v>
      </c>
      <c r="AO63" s="109" t="str">
        <f>IF(A63='[1]page 1-8'!$A63,"","False")</f>
        <v>False</v>
      </c>
      <c r="AP63" s="109" t="str">
        <f>'[1]page 1-8'!$A63</f>
        <v>Coke Breeze Cons (DRY)</v>
      </c>
    </row>
    <row r="64" spans="1:42" x14ac:dyDescent="0.4">
      <c r="A64" s="37"/>
      <c r="B64" s="38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8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O64" s="109" t="str">
        <f>IF(A64='[1]page 1-8'!$A64,"","False")</f>
        <v>False</v>
      </c>
      <c r="AP64" s="109" t="str">
        <f>'[1]page 1-8'!$A64</f>
        <v>Coke Breeze Cons (WET)</v>
      </c>
    </row>
    <row r="65" spans="1:42" x14ac:dyDescent="0.4">
      <c r="A65" s="37" t="s">
        <v>197</v>
      </c>
      <c r="B65" s="38" t="s">
        <v>176</v>
      </c>
      <c r="C65" s="47">
        <v>14.539034401225523</v>
      </c>
      <c r="D65" s="47">
        <v>13</v>
      </c>
      <c r="E65" s="47">
        <v>13</v>
      </c>
      <c r="F65" s="47">
        <v>11.113436168766601</v>
      </c>
      <c r="G65" s="47">
        <v>11.528501435172606</v>
      </c>
      <c r="H65" s="47">
        <v>14.202288496998078</v>
      </c>
      <c r="I65" s="47">
        <v>12.75333034918706</v>
      </c>
      <c r="J65" s="47">
        <v>11.727997606597466</v>
      </c>
      <c r="K65" s="47">
        <v>10.553386889944935</v>
      </c>
      <c r="L65" s="47">
        <v>11.814757220764175</v>
      </c>
      <c r="M65" s="47">
        <v>14.218261011688828</v>
      </c>
      <c r="N65" s="47">
        <v>14.221782348638065</v>
      </c>
      <c r="O65" s="47">
        <v>14.233519647927256</v>
      </c>
      <c r="P65" s="47">
        <v>15.345911949685535</v>
      </c>
      <c r="Q65" s="47">
        <v>14.309578346022622</v>
      </c>
      <c r="R65" s="47">
        <v>12.064397048944837</v>
      </c>
      <c r="S65" s="47">
        <v>11.925955022592463</v>
      </c>
      <c r="T65" s="47">
        <v>13.795728404330804</v>
      </c>
      <c r="U65" s="47">
        <v>12</v>
      </c>
      <c r="V65" s="47"/>
      <c r="W65" s="48">
        <v>16.094944943356708</v>
      </c>
      <c r="X65" s="47">
        <v>16.772324743628296</v>
      </c>
      <c r="Y65" s="47" t="e">
        <v>#DIV/0!</v>
      </c>
      <c r="Z65" s="47">
        <v>16.439322084664536</v>
      </c>
      <c r="AA65" s="47" t="e">
        <v>#DIV/0!</v>
      </c>
      <c r="AB65" s="47" t="e">
        <v>#DIV/0!</v>
      </c>
      <c r="AC65" s="47" t="e">
        <v>#DIV/0!</v>
      </c>
      <c r="AD65" s="47" t="e">
        <v>#DIV/0!</v>
      </c>
      <c r="AE65" s="47" t="e">
        <v>#DIV/0!</v>
      </c>
      <c r="AF65" s="47" t="e">
        <v>#DIV/0!</v>
      </c>
      <c r="AG65" s="47" t="e">
        <v>#DIV/0!</v>
      </c>
      <c r="AH65" s="47" t="e">
        <v>#DIV/0!</v>
      </c>
      <c r="AI65" s="47" t="e">
        <v>#DIV/0!</v>
      </c>
      <c r="AJ65" s="47" t="e">
        <v>#DIV/0!</v>
      </c>
      <c r="AK65" s="47" t="e">
        <v>#DIV/0!</v>
      </c>
      <c r="AL65" s="47" t="e">
        <v>#DIV/0!</v>
      </c>
      <c r="AM65" s="47">
        <v>16.439322084664536</v>
      </c>
      <c r="AO65" s="109" t="str">
        <f>IF(A65='[1]page 1-8'!$A65,"","False")</f>
        <v/>
      </c>
      <c r="AP65" s="109" t="str">
        <f>'[1]page 1-8'!$A65</f>
        <v>calcined lime</v>
      </c>
    </row>
    <row r="66" spans="1:42" x14ac:dyDescent="0.4">
      <c r="A66" s="37" t="s">
        <v>179</v>
      </c>
      <c r="B66" s="38" t="s">
        <v>176</v>
      </c>
      <c r="C66" s="49">
        <v>9.6155046956174228</v>
      </c>
      <c r="D66" s="49">
        <v>10.4</v>
      </c>
      <c r="E66" s="49">
        <v>10</v>
      </c>
      <c r="F66" s="49">
        <v>10.194444402016385</v>
      </c>
      <c r="G66" s="49">
        <v>12.591722217153695</v>
      </c>
      <c r="H66" s="49">
        <v>9.7331839425599131</v>
      </c>
      <c r="I66" s="49">
        <v>13.565881021249158</v>
      </c>
      <c r="J66" s="47">
        <v>10.573571112672026</v>
      </c>
      <c r="K66" s="47">
        <v>7.0799860451082441</v>
      </c>
      <c r="L66" s="47">
        <v>5.5220464820804853</v>
      </c>
      <c r="M66" s="47">
        <v>7.5774435355613337</v>
      </c>
      <c r="N66" s="47">
        <v>17.139189252877451</v>
      </c>
      <c r="O66" s="47">
        <v>12.173508391493321</v>
      </c>
      <c r="P66" s="47">
        <v>9.5428562810129254</v>
      </c>
      <c r="Q66" s="47">
        <v>9.4226564763308112</v>
      </c>
      <c r="R66" s="47">
        <v>5.6481332149656636</v>
      </c>
      <c r="S66" s="47">
        <v>5.4538132965727142</v>
      </c>
      <c r="T66" s="47">
        <v>4.8697255734471261</v>
      </c>
      <c r="U66" s="47">
        <v>4</v>
      </c>
      <c r="V66" s="47"/>
      <c r="W66" s="48">
        <v>4.4553041601878585</v>
      </c>
      <c r="X66" s="47">
        <v>4.0810815786728201</v>
      </c>
      <c r="Y66" s="47" t="e">
        <v>#DIV/0!</v>
      </c>
      <c r="Z66" s="47">
        <v>4.2650509185303518</v>
      </c>
      <c r="AA66" s="47" t="e">
        <v>#DIV/0!</v>
      </c>
      <c r="AB66" s="47" t="e">
        <v>#DIV/0!</v>
      </c>
      <c r="AC66" s="47" t="e">
        <v>#DIV/0!</v>
      </c>
      <c r="AD66" s="47" t="e">
        <v>#DIV/0!</v>
      </c>
      <c r="AE66" s="47" t="e">
        <v>#DIV/0!</v>
      </c>
      <c r="AF66" s="47" t="e">
        <v>#DIV/0!</v>
      </c>
      <c r="AG66" s="47" t="e">
        <v>#DIV/0!</v>
      </c>
      <c r="AH66" s="47" t="e">
        <v>#DIV/0!</v>
      </c>
      <c r="AI66" s="47" t="e">
        <v>#DIV/0!</v>
      </c>
      <c r="AJ66" s="47" t="e">
        <v>#DIV/0!</v>
      </c>
      <c r="AK66" s="47" t="e">
        <v>#DIV/0!</v>
      </c>
      <c r="AL66" s="47" t="e">
        <v>#DIV/0!</v>
      </c>
      <c r="AM66" s="47">
        <v>4.2650509185303518</v>
      </c>
      <c r="AO66" s="109" t="str">
        <f>IF(A66='[1]page 1-8'!$A66,"","False")</f>
        <v/>
      </c>
      <c r="AP66" s="109" t="str">
        <f>'[1]page 1-8'!$A66</f>
        <v>Millscale Cons.</v>
      </c>
    </row>
    <row r="67" spans="1:42" x14ac:dyDescent="0.4">
      <c r="A67" s="37" t="s">
        <v>180</v>
      </c>
      <c r="B67" s="38" t="s">
        <v>176</v>
      </c>
      <c r="C67" s="47">
        <v>35.760893998934328</v>
      </c>
      <c r="D67" s="47">
        <v>36</v>
      </c>
      <c r="E67" s="47">
        <v>38</v>
      </c>
      <c r="F67" s="47">
        <v>38.469860888575937</v>
      </c>
      <c r="G67" s="47">
        <v>32.771361915140844</v>
      </c>
      <c r="H67" s="47">
        <v>32.342646771965782</v>
      </c>
      <c r="I67" s="47">
        <v>21.753707262441285</v>
      </c>
      <c r="J67" s="47">
        <v>16.34136770814364</v>
      </c>
      <c r="K67" s="47">
        <v>20.203948857207514</v>
      </c>
      <c r="L67" s="47">
        <v>31.172198044146665</v>
      </c>
      <c r="M67" s="47">
        <v>30.613740358571576</v>
      </c>
      <c r="N67" s="47">
        <v>15.91229030017274</v>
      </c>
      <c r="O67" s="47">
        <v>13.700044333999566</v>
      </c>
      <c r="P67" s="47">
        <v>4.5427808696439076</v>
      </c>
      <c r="Q67" s="47">
        <v>8.7046504696738864</v>
      </c>
      <c r="R67" s="47">
        <v>6.3101978783902961</v>
      </c>
      <c r="S67" s="47">
        <v>3.7664811342429609</v>
      </c>
      <c r="T67" s="47">
        <v>4.9778024678079662</v>
      </c>
      <c r="U67" s="47">
        <v>4</v>
      </c>
      <c r="V67" s="47"/>
      <c r="W67" s="48">
        <v>0.28559642052486278</v>
      </c>
      <c r="X67" s="47">
        <v>0</v>
      </c>
      <c r="Y67" s="47" t="e">
        <v>#DIV/0!</v>
      </c>
      <c r="Z67" s="47">
        <v>0.14040035942492013</v>
      </c>
      <c r="AA67" s="47" t="e">
        <v>#DIV/0!</v>
      </c>
      <c r="AB67" s="47" t="e">
        <v>#DIV/0!</v>
      </c>
      <c r="AC67" s="47" t="e">
        <v>#DIV/0!</v>
      </c>
      <c r="AD67" s="47" t="e">
        <v>#DIV/0!</v>
      </c>
      <c r="AE67" s="47" t="e">
        <v>#DIV/0!</v>
      </c>
      <c r="AF67" s="47" t="e">
        <v>#DIV/0!</v>
      </c>
      <c r="AG67" s="47" t="e">
        <v>#DIV/0!</v>
      </c>
      <c r="AH67" s="47" t="e">
        <v>#DIV/0!</v>
      </c>
      <c r="AI67" s="47" t="e">
        <v>#DIV/0!</v>
      </c>
      <c r="AJ67" s="47" t="e">
        <v>#DIV/0!</v>
      </c>
      <c r="AK67" s="47" t="e">
        <v>#DIV/0!</v>
      </c>
      <c r="AL67" s="47" t="e">
        <v>#DIV/0!</v>
      </c>
      <c r="AM67" s="47">
        <v>0.14040035942492013</v>
      </c>
      <c r="AO67" s="109" t="str">
        <f>IF(A67='[1]page 1-8'!$A67,"","False")</f>
        <v/>
      </c>
      <c r="AP67" s="109" t="str">
        <f>'[1]page 1-8'!$A67</f>
        <v>LD Slag Cons.</v>
      </c>
    </row>
    <row r="68" spans="1:42" x14ac:dyDescent="0.4">
      <c r="A68" s="37" t="s">
        <v>183</v>
      </c>
      <c r="B68" s="38" t="s">
        <v>176</v>
      </c>
      <c r="C68" s="47">
        <v>21.120391800985747</v>
      </c>
      <c r="D68" s="47">
        <v>24</v>
      </c>
      <c r="E68" s="47">
        <v>18</v>
      </c>
      <c r="F68" s="47">
        <v>20.479515138925589</v>
      </c>
      <c r="G68" s="47">
        <v>21.392242749195191</v>
      </c>
      <c r="H68" s="47">
        <v>20.139362453317574</v>
      </c>
      <c r="I68" s="47">
        <v>18.558633380851969</v>
      </c>
      <c r="J68" s="47">
        <v>23.11725504478958</v>
      </c>
      <c r="K68" s="47">
        <v>15.063975635513314</v>
      </c>
      <c r="L68" s="47">
        <v>0.12853925703166866</v>
      </c>
      <c r="M68" s="47">
        <v>3.9370560751327286</v>
      </c>
      <c r="N68" s="47">
        <v>0.52354518983892029</v>
      </c>
      <c r="O68" s="47">
        <v>0</v>
      </c>
      <c r="P68" s="47">
        <v>7</v>
      </c>
      <c r="Q68" s="47">
        <v>0</v>
      </c>
      <c r="R68" s="47">
        <v>0</v>
      </c>
      <c r="S68" s="47">
        <v>0</v>
      </c>
      <c r="T68" s="47">
        <v>0</v>
      </c>
      <c r="U68" s="47"/>
      <c r="V68" s="47"/>
      <c r="W68" s="48">
        <v>0</v>
      </c>
      <c r="X68" s="47">
        <v>0</v>
      </c>
      <c r="Y68" s="47" t="e">
        <v>#DIV/0!</v>
      </c>
      <c r="Z68" s="47">
        <v>0</v>
      </c>
      <c r="AA68" s="47" t="e">
        <v>#DIV/0!</v>
      </c>
      <c r="AB68" s="47" t="e">
        <v>#DIV/0!</v>
      </c>
      <c r="AC68" s="47" t="e">
        <v>#DIV/0!</v>
      </c>
      <c r="AD68" s="47" t="e">
        <v>#DIV/0!</v>
      </c>
      <c r="AE68" s="47" t="e">
        <v>#DIV/0!</v>
      </c>
      <c r="AF68" s="47" t="e">
        <v>#DIV/0!</v>
      </c>
      <c r="AG68" s="47" t="e">
        <v>#DIV/0!</v>
      </c>
      <c r="AH68" s="47" t="e">
        <v>#DIV/0!</v>
      </c>
      <c r="AI68" s="47" t="e">
        <v>#DIV/0!</v>
      </c>
      <c r="AJ68" s="47" t="e">
        <v>#DIV/0!</v>
      </c>
      <c r="AK68" s="47" t="e">
        <v>#DIV/0!</v>
      </c>
      <c r="AL68" s="47" t="e">
        <v>#DIV/0!</v>
      </c>
      <c r="AM68" s="47">
        <v>0</v>
      </c>
      <c r="AO68" s="109" t="str">
        <f>IF(A68='[1]page 1-8'!$A68,"","False")</f>
        <v/>
      </c>
      <c r="AP68" s="109" t="str">
        <f>'[1]page 1-8'!$A68</f>
        <v>N/Coke thro Sinter-Dry</v>
      </c>
    </row>
    <row r="69" spans="1:42" x14ac:dyDescent="0.4">
      <c r="A69" s="37" t="s">
        <v>184</v>
      </c>
      <c r="B69" s="38" t="s">
        <v>185</v>
      </c>
      <c r="C69" s="49">
        <v>95.024762394803119</v>
      </c>
      <c r="D69" s="49">
        <v>95.2</v>
      </c>
      <c r="E69" s="49">
        <v>96.13</v>
      </c>
      <c r="F69" s="49">
        <v>96.262216102101746</v>
      </c>
      <c r="G69" s="49">
        <v>97.179128076616934</v>
      </c>
      <c r="H69" s="49">
        <v>92.872126155623107</v>
      </c>
      <c r="I69" s="49">
        <v>82.398994049968749</v>
      </c>
      <c r="J69" s="44">
        <v>89.539035636793528</v>
      </c>
      <c r="K69" s="44">
        <v>81.502787057397796</v>
      </c>
      <c r="L69" s="44">
        <v>83.114040211007335</v>
      </c>
      <c r="M69" s="44">
        <v>80.572524828760976</v>
      </c>
      <c r="N69" s="44">
        <v>92.292209903917211</v>
      </c>
      <c r="O69" s="44">
        <v>91.357118784642623</v>
      </c>
      <c r="P69" s="44">
        <v>77.1445415106121</v>
      </c>
      <c r="Q69" s="44">
        <v>92.587598635683193</v>
      </c>
      <c r="R69" s="44">
        <v>97.510459630278035</v>
      </c>
      <c r="S69" s="44">
        <v>96.615315699454314</v>
      </c>
      <c r="T69" s="44">
        <v>91.970207305105518</v>
      </c>
      <c r="U69" s="49">
        <v>95</v>
      </c>
      <c r="V69" s="49"/>
      <c r="W69" s="45">
        <v>92.957227138643077</v>
      </c>
      <c r="X69" s="44">
        <v>90.202436971311087</v>
      </c>
      <c r="Y69" s="44" t="e">
        <v>#DIV/0!</v>
      </c>
      <c r="Z69" s="44">
        <v>91.534003008547984</v>
      </c>
      <c r="AA69" s="44" t="e">
        <v>#DIV/0!</v>
      </c>
      <c r="AB69" s="44" t="e">
        <v>#DIV/0!</v>
      </c>
      <c r="AC69" s="44" t="e">
        <v>#DIV/0!</v>
      </c>
      <c r="AD69" s="44" t="e">
        <v>#DIV/0!</v>
      </c>
      <c r="AE69" s="44" t="e">
        <v>#DIV/0!</v>
      </c>
      <c r="AF69" s="44" t="e">
        <v>#DIV/0!</v>
      </c>
      <c r="AG69" s="44" t="e">
        <v>#DIV/0!</v>
      </c>
      <c r="AH69" s="44" t="e">
        <v>#DIV/0!</v>
      </c>
      <c r="AI69" s="44" t="e">
        <v>#DIV/0!</v>
      </c>
      <c r="AJ69" s="44" t="e">
        <v>#DIV/0!</v>
      </c>
      <c r="AK69" s="44" t="e">
        <v>#DIV/0!</v>
      </c>
      <c r="AL69" s="44" t="e">
        <v>#DIV/0!</v>
      </c>
      <c r="AM69" s="44">
        <v>91.534003008547984</v>
      </c>
      <c r="AO69" s="109" t="str">
        <f>IF(A69='[1]page 1-8'!$A69,"","False")</f>
        <v/>
      </c>
      <c r="AP69" s="109" t="str">
        <f>'[1]page 1-8'!$A69</f>
        <v>Machine Utilisation</v>
      </c>
    </row>
    <row r="70" spans="1:42" x14ac:dyDescent="0.4">
      <c r="A70" s="37" t="s">
        <v>198</v>
      </c>
      <c r="B70" s="38" t="s">
        <v>141</v>
      </c>
      <c r="C70" s="44">
        <v>90.1</v>
      </c>
      <c r="D70" s="44">
        <v>90</v>
      </c>
      <c r="E70" s="44">
        <v>90.3</v>
      </c>
      <c r="F70" s="44">
        <v>90.34333333333332</v>
      </c>
      <c r="G70" s="44">
        <v>90.431666666666658</v>
      </c>
      <c r="H70" s="44">
        <v>88.419166666666669</v>
      </c>
      <c r="I70" s="44">
        <v>88.081666666666663</v>
      </c>
      <c r="J70" s="44">
        <v>87.554166666666674</v>
      </c>
      <c r="K70" s="44">
        <v>87.509166666666673</v>
      </c>
      <c r="L70" s="44">
        <v>89.951666666666654</v>
      </c>
      <c r="M70" s="44">
        <v>88.788333333333313</v>
      </c>
      <c r="N70" s="44">
        <v>88.172499999999999</v>
      </c>
      <c r="O70" s="44">
        <v>89.311666666666667</v>
      </c>
      <c r="P70" s="44">
        <v>90.115833333333342</v>
      </c>
      <c r="Q70" s="44">
        <v>89.30083333333333</v>
      </c>
      <c r="R70" s="44">
        <v>89.259166666666658</v>
      </c>
      <c r="S70" s="44">
        <v>87.492500000000007</v>
      </c>
      <c r="T70" s="44">
        <v>87.73</v>
      </c>
      <c r="U70" s="49">
        <v>90</v>
      </c>
      <c r="V70" s="49"/>
      <c r="W70" s="45">
        <v>85.44</v>
      </c>
      <c r="X70" s="44">
        <v>88.96</v>
      </c>
      <c r="Y70" s="44">
        <v>0</v>
      </c>
      <c r="Z70" s="44">
        <v>87.199999999999989</v>
      </c>
      <c r="AA70" s="44">
        <v>0</v>
      </c>
      <c r="AB70" s="44">
        <v>0</v>
      </c>
      <c r="AC70" s="44">
        <v>0</v>
      </c>
      <c r="AD70" s="44" t="e">
        <v>#DIV/0!</v>
      </c>
      <c r="AE70" s="44">
        <v>0</v>
      </c>
      <c r="AF70" s="44">
        <v>0</v>
      </c>
      <c r="AG70" s="44">
        <v>0</v>
      </c>
      <c r="AH70" s="44" t="e">
        <v>#DIV/0!</v>
      </c>
      <c r="AI70" s="44">
        <v>0</v>
      </c>
      <c r="AJ70" s="44">
        <v>0</v>
      </c>
      <c r="AK70" s="44">
        <v>0</v>
      </c>
      <c r="AL70" s="44" t="e">
        <v>#DIV/0!</v>
      </c>
      <c r="AM70" s="44">
        <v>87.199999999999989</v>
      </c>
      <c r="AO70" s="109" t="str">
        <f>IF(A70='[1]page 1-8'!$A70,"","False")</f>
        <v/>
      </c>
      <c r="AP70" s="109" t="str">
        <f>'[1]page 1-8'!$A70</f>
        <v>Flux (-3mm)</v>
      </c>
    </row>
    <row r="71" spans="1:42" x14ac:dyDescent="0.4">
      <c r="A71" s="37" t="s">
        <v>199</v>
      </c>
      <c r="B71" s="38" t="s">
        <v>141</v>
      </c>
      <c r="C71" s="44">
        <v>80.625</v>
      </c>
      <c r="D71" s="44">
        <v>80.7</v>
      </c>
      <c r="E71" s="44">
        <v>80.8</v>
      </c>
      <c r="F71" s="44">
        <v>80.652500000000003</v>
      </c>
      <c r="G71" s="44">
        <v>80.534999999999997</v>
      </c>
      <c r="H71" s="44">
        <v>77.520833333333329</v>
      </c>
      <c r="I71" s="44">
        <v>73.970000000000013</v>
      </c>
      <c r="J71" s="44">
        <v>75.969166666666666</v>
      </c>
      <c r="K71" s="44">
        <v>78.39500000000001</v>
      </c>
      <c r="L71" s="44">
        <v>81.952500000000001</v>
      </c>
      <c r="M71" s="44">
        <v>80.37166666666667</v>
      </c>
      <c r="N71" s="44">
        <v>79.303333333333327</v>
      </c>
      <c r="O71" s="44">
        <v>82.099166666666648</v>
      </c>
      <c r="P71" s="44">
        <v>82.782500000000013</v>
      </c>
      <c r="Q71" s="44">
        <v>78.71916666666668</v>
      </c>
      <c r="R71" s="44">
        <v>75.716666666666683</v>
      </c>
      <c r="S71" s="44">
        <v>74.643333333333317</v>
      </c>
      <c r="T71" s="44">
        <v>78.018333333333331</v>
      </c>
      <c r="U71" s="49">
        <v>80</v>
      </c>
      <c r="V71" s="49"/>
      <c r="W71" s="45">
        <v>76.48</v>
      </c>
      <c r="X71" s="44">
        <v>77.87</v>
      </c>
      <c r="Y71" s="44">
        <v>0</v>
      </c>
      <c r="Z71" s="44">
        <v>77.175000000000011</v>
      </c>
      <c r="AA71" s="44">
        <v>0</v>
      </c>
      <c r="AB71" s="44">
        <v>0</v>
      </c>
      <c r="AC71" s="44">
        <v>0</v>
      </c>
      <c r="AD71" s="44" t="e">
        <v>#DIV/0!</v>
      </c>
      <c r="AE71" s="44">
        <v>0</v>
      </c>
      <c r="AF71" s="44">
        <v>0</v>
      </c>
      <c r="AG71" s="44">
        <v>0</v>
      </c>
      <c r="AH71" s="44" t="e">
        <v>#DIV/0!</v>
      </c>
      <c r="AI71" s="44">
        <v>0</v>
      </c>
      <c r="AJ71" s="44">
        <v>0</v>
      </c>
      <c r="AK71" s="44">
        <v>0</v>
      </c>
      <c r="AL71" s="44" t="e">
        <v>#DIV/0!</v>
      </c>
      <c r="AM71" s="44">
        <v>77.175000000000011</v>
      </c>
      <c r="AO71" s="109" t="str">
        <f>IF(A71='[1]page 1-8'!$A71,"","False")</f>
        <v/>
      </c>
      <c r="AP71" s="109" t="str">
        <f>'[1]page 1-8'!$A71</f>
        <v>Coke Breeze (-3mm)</v>
      </c>
    </row>
    <row r="72" spans="1:42" x14ac:dyDescent="0.4">
      <c r="A72" s="37" t="s">
        <v>191</v>
      </c>
      <c r="B72" s="38" t="s">
        <v>141</v>
      </c>
      <c r="C72" s="44">
        <v>73.733333333333334</v>
      </c>
      <c r="D72" s="44">
        <v>73.900000000000006</v>
      </c>
      <c r="E72" s="44">
        <v>73.900000000000006</v>
      </c>
      <c r="F72" s="44">
        <v>73.735833333333332</v>
      </c>
      <c r="G72" s="44">
        <v>73.44916666666667</v>
      </c>
      <c r="H72" s="44">
        <v>72.485833333333332</v>
      </c>
      <c r="I72" s="44">
        <v>72.80083333333333</v>
      </c>
      <c r="J72" s="44">
        <v>72.995833333333337</v>
      </c>
      <c r="K72" s="44">
        <v>73.26166666666667</v>
      </c>
      <c r="L72" s="44">
        <v>73.597500000000011</v>
      </c>
      <c r="M72" s="44">
        <v>74.710000000000022</v>
      </c>
      <c r="N72" s="44">
        <v>74.447499999999991</v>
      </c>
      <c r="O72" s="44">
        <v>74.283333333333331</v>
      </c>
      <c r="P72" s="44">
        <v>73.726666666666659</v>
      </c>
      <c r="Q72" s="44">
        <v>73.782727272727271</v>
      </c>
      <c r="R72" s="44">
        <v>73.910833333333329</v>
      </c>
      <c r="S72" s="44">
        <v>74.247500000000002</v>
      </c>
      <c r="T72" s="44">
        <v>74.284999999999997</v>
      </c>
      <c r="U72" s="49">
        <v>74</v>
      </c>
      <c r="V72" s="49"/>
      <c r="W72" s="45">
        <v>74.459999999999994</v>
      </c>
      <c r="X72" s="44">
        <v>74.58</v>
      </c>
      <c r="Y72" s="44">
        <v>0</v>
      </c>
      <c r="Z72" s="44">
        <v>74.52</v>
      </c>
      <c r="AA72" s="44">
        <v>0</v>
      </c>
      <c r="AB72" s="44">
        <v>0</v>
      </c>
      <c r="AC72" s="44">
        <v>0</v>
      </c>
      <c r="AD72" s="44" t="e">
        <v>#DIV/0!</v>
      </c>
      <c r="AE72" s="44">
        <v>0</v>
      </c>
      <c r="AF72" s="44">
        <v>0</v>
      </c>
      <c r="AG72" s="44">
        <v>0</v>
      </c>
      <c r="AH72" s="44" t="e">
        <v>#DIV/0!</v>
      </c>
      <c r="AI72" s="44">
        <v>0</v>
      </c>
      <c r="AJ72" s="44">
        <v>0</v>
      </c>
      <c r="AK72" s="44">
        <v>0</v>
      </c>
      <c r="AL72" s="44" t="e">
        <v>#DIV/0!</v>
      </c>
      <c r="AM72" s="44">
        <v>74.52</v>
      </c>
      <c r="AO72" s="109" t="str">
        <f>IF(A72='[1]page 1-8'!$A72,"","False")</f>
        <v/>
      </c>
      <c r="AP72" s="109" t="str">
        <f>'[1]page 1-8'!$A72</f>
        <v>Tumbler Index</v>
      </c>
    </row>
    <row r="73" spans="1:42" x14ac:dyDescent="0.4">
      <c r="A73" s="37" t="s">
        <v>192</v>
      </c>
      <c r="B73" s="38" t="s">
        <v>141</v>
      </c>
      <c r="C73" s="44">
        <v>18.410779110560757</v>
      </c>
      <c r="D73" s="44">
        <v>17.8</v>
      </c>
      <c r="E73" s="44">
        <v>16.920000000000002</v>
      </c>
      <c r="F73" s="44">
        <v>17.993230683830369</v>
      </c>
      <c r="G73" s="44">
        <v>18.174514204572372</v>
      </c>
      <c r="H73" s="44">
        <v>17.151905554840972</v>
      </c>
      <c r="I73" s="44">
        <v>16.568831180335248</v>
      </c>
      <c r="J73" s="44">
        <v>16.412519713908271</v>
      </c>
      <c r="K73" s="44">
        <v>16.435793578404422</v>
      </c>
      <c r="L73" s="44">
        <v>16.019595940596599</v>
      </c>
      <c r="M73" s="44">
        <v>14.524949043090194</v>
      </c>
      <c r="N73" s="44">
        <v>8.9923213053780859</v>
      </c>
      <c r="O73" s="44">
        <v>10.786850233736169</v>
      </c>
      <c r="P73" s="44">
        <v>10.361671937079381</v>
      </c>
      <c r="Q73" s="44">
        <v>10.181840572099681</v>
      </c>
      <c r="R73" s="44">
        <v>10.300831795246369</v>
      </c>
      <c r="S73" s="44">
        <v>11.415754352056981</v>
      </c>
      <c r="T73" s="44">
        <v>9.2788776162921529</v>
      </c>
      <c r="U73" s="38">
        <v>19</v>
      </c>
      <c r="V73" s="38"/>
      <c r="W73" s="45">
        <v>9.107712233710048</v>
      </c>
      <c r="X73" s="44">
        <v>9.4465084769166374</v>
      </c>
      <c r="Y73" s="44" t="e">
        <v>#DIV/0!</v>
      </c>
      <c r="Z73" s="44">
        <v>9.2806116606622222</v>
      </c>
      <c r="AA73" s="44" t="e">
        <v>#DIV/0!</v>
      </c>
      <c r="AB73" s="44" t="e">
        <v>#DIV/0!</v>
      </c>
      <c r="AC73" s="44" t="e">
        <v>#DIV/0!</v>
      </c>
      <c r="AD73" s="44" t="e">
        <v>#DIV/0!</v>
      </c>
      <c r="AE73" s="44" t="e">
        <v>#DIV/0!</v>
      </c>
      <c r="AF73" s="44" t="e">
        <v>#DIV/0!</v>
      </c>
      <c r="AG73" s="44" t="e">
        <v>#DIV/0!</v>
      </c>
      <c r="AH73" s="44" t="e">
        <v>#DIV/0!</v>
      </c>
      <c r="AI73" s="44" t="e">
        <v>#DIV/0!</v>
      </c>
      <c r="AJ73" s="44" t="e">
        <v>#DIV/0!</v>
      </c>
      <c r="AK73" s="44" t="e">
        <v>#DIV/0!</v>
      </c>
      <c r="AL73" s="44" t="e">
        <v>#DIV/0!</v>
      </c>
      <c r="AM73" s="44">
        <v>9.2806116606622222</v>
      </c>
      <c r="AO73" s="109" t="str">
        <f>IF(A73='[1]page 1-8'!$A73,"","False")</f>
        <v/>
      </c>
      <c r="AP73" s="109" t="str">
        <f>'[1]page 1-8'!$A73</f>
        <v>Plant Return Fines</v>
      </c>
    </row>
    <row r="74" spans="1:42" x14ac:dyDescent="0.4">
      <c r="A74" s="37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 t="s">
        <v>138</v>
      </c>
      <c r="V74" s="38"/>
      <c r="W74" s="41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 t="s">
        <v>200</v>
      </c>
      <c r="AO74" s="109" t="str">
        <f>IF(A74='[1]page 1-8'!$A74,"","False")</f>
        <v/>
      </c>
      <c r="AP74" s="109">
        <f>'[1]page 1-8'!$A74</f>
        <v>0</v>
      </c>
    </row>
    <row r="75" spans="1:42" s="33" customFormat="1" x14ac:dyDescent="0.4">
      <c r="A75" s="37"/>
      <c r="B75" s="38" t="s">
        <v>112</v>
      </c>
      <c r="C75" s="38" t="s">
        <v>113</v>
      </c>
      <c r="D75" s="42" t="s">
        <v>114</v>
      </c>
      <c r="E75" s="42" t="s">
        <v>115</v>
      </c>
      <c r="F75" s="42" t="s">
        <v>116</v>
      </c>
      <c r="G75" s="42" t="s">
        <v>117</v>
      </c>
      <c r="H75" s="38" t="s">
        <v>118</v>
      </c>
      <c r="I75" s="38" t="s">
        <v>119</v>
      </c>
      <c r="J75" s="38" t="s">
        <v>120</v>
      </c>
      <c r="K75" s="38" t="s">
        <v>121</v>
      </c>
      <c r="L75" s="38" t="s">
        <v>122</v>
      </c>
      <c r="M75" s="38" t="s">
        <v>123</v>
      </c>
      <c r="N75" s="38" t="s">
        <v>124</v>
      </c>
      <c r="O75" s="38" t="s">
        <v>125</v>
      </c>
      <c r="P75" s="38" t="s">
        <v>126</v>
      </c>
      <c r="Q75" s="38" t="s">
        <v>127</v>
      </c>
      <c r="R75" s="38" t="s">
        <v>128</v>
      </c>
      <c r="S75" s="38" t="s">
        <v>129</v>
      </c>
      <c r="T75" s="38" t="s">
        <v>130</v>
      </c>
      <c r="U75" s="38" t="s">
        <v>131</v>
      </c>
      <c r="V75" s="38"/>
      <c r="W75" s="41" t="s">
        <v>4</v>
      </c>
      <c r="X75" s="38" t="s">
        <v>5</v>
      </c>
      <c r="Y75" s="38" t="s">
        <v>6</v>
      </c>
      <c r="Z75" s="38" t="s">
        <v>132</v>
      </c>
      <c r="AA75" s="38" t="s">
        <v>166</v>
      </c>
      <c r="AB75" s="38" t="s">
        <v>9</v>
      </c>
      <c r="AC75" s="38" t="s">
        <v>10</v>
      </c>
      <c r="AD75" s="38" t="s">
        <v>133</v>
      </c>
      <c r="AE75" s="38" t="s">
        <v>12</v>
      </c>
      <c r="AF75" s="38" t="s">
        <v>13</v>
      </c>
      <c r="AG75" s="38" t="s">
        <v>14</v>
      </c>
      <c r="AH75" s="38" t="s">
        <v>134</v>
      </c>
      <c r="AI75" s="38" t="s">
        <v>16</v>
      </c>
      <c r="AJ75" s="38" t="s">
        <v>17</v>
      </c>
      <c r="AK75" s="38" t="s">
        <v>18</v>
      </c>
      <c r="AL75" s="38" t="s">
        <v>135</v>
      </c>
      <c r="AM75" s="38" t="s">
        <v>136</v>
      </c>
      <c r="AO75" s="109" t="str">
        <f>IF(A75='[1]page 1-8'!$A75,"","False")</f>
        <v/>
      </c>
      <c r="AP75" s="109">
        <f>'[1]page 1-8'!$A75</f>
        <v>0</v>
      </c>
    </row>
    <row r="76" spans="1:42" x14ac:dyDescent="0.4">
      <c r="A76" s="55" t="s">
        <v>201</v>
      </c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41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O76" s="109" t="str">
        <f>IF(A76='[1]page 1-8'!$A76,"","False")</f>
        <v/>
      </c>
      <c r="AP76" s="109" t="str">
        <f>'[1]page 1-8'!$A76</f>
        <v>SINTER PLANT - III</v>
      </c>
    </row>
    <row r="77" spans="1:42" x14ac:dyDescent="0.4">
      <c r="A77" s="37" t="s">
        <v>167</v>
      </c>
      <c r="B77" s="38" t="s">
        <v>141</v>
      </c>
      <c r="C77" s="44"/>
      <c r="D77" s="44"/>
      <c r="E77" s="44"/>
      <c r="F77" s="44"/>
      <c r="G77" s="44"/>
      <c r="H77" s="44"/>
      <c r="I77" s="44"/>
      <c r="J77" s="44">
        <v>9.745000000000001</v>
      </c>
      <c r="K77" s="44">
        <v>9.7841666666666676</v>
      </c>
      <c r="L77" s="44">
        <v>10.059166666666664</v>
      </c>
      <c r="M77" s="44">
        <v>10.208333333333334</v>
      </c>
      <c r="N77" s="44">
        <v>9.83</v>
      </c>
      <c r="O77" s="44">
        <v>10.176666666666668</v>
      </c>
      <c r="P77" s="44">
        <v>9.6958333333333346</v>
      </c>
      <c r="Q77" s="44">
        <v>9.894166666666667</v>
      </c>
      <c r="R77" s="44">
        <v>10.106666666666667</v>
      </c>
      <c r="S77" s="44">
        <v>10.290833333333333</v>
      </c>
      <c r="T77" s="44">
        <v>10.1525</v>
      </c>
      <c r="U77" s="52" t="s">
        <v>168</v>
      </c>
      <c r="V77" s="52"/>
      <c r="W77" s="45">
        <v>10.09</v>
      </c>
      <c r="X77" s="44">
        <v>10.220000000000001</v>
      </c>
      <c r="Y77" s="44">
        <v>0</v>
      </c>
      <c r="Z77" s="44">
        <v>10.155000000000001</v>
      </c>
      <c r="AA77" s="44">
        <v>0</v>
      </c>
      <c r="AB77" s="44">
        <v>0</v>
      </c>
      <c r="AC77" s="44">
        <v>0</v>
      </c>
      <c r="AD77" s="44" t="e">
        <v>#DIV/0!</v>
      </c>
      <c r="AE77" s="44">
        <v>0</v>
      </c>
      <c r="AF77" s="44">
        <v>0</v>
      </c>
      <c r="AG77" s="44">
        <v>0</v>
      </c>
      <c r="AH77" s="44" t="e">
        <v>#DIV/0!</v>
      </c>
      <c r="AI77" s="44">
        <v>0</v>
      </c>
      <c r="AJ77" s="44">
        <v>0</v>
      </c>
      <c r="AK77" s="44">
        <v>0</v>
      </c>
      <c r="AL77" s="44" t="e">
        <v>#DIV/0!</v>
      </c>
      <c r="AM77" s="44">
        <v>10.155000000000001</v>
      </c>
      <c r="AO77" s="109" t="str">
        <f>IF(A77='[1]page 1-8'!$A77,"","False")</f>
        <v/>
      </c>
      <c r="AP77" s="109" t="str">
        <f>'[1]page 1-8'!$A77</f>
        <v>FeO in Sinter</v>
      </c>
    </row>
    <row r="78" spans="1:42" x14ac:dyDescent="0.4">
      <c r="A78" s="37" t="s">
        <v>169</v>
      </c>
      <c r="B78" s="38" t="s">
        <v>141</v>
      </c>
      <c r="C78" s="44"/>
      <c r="D78" s="44"/>
      <c r="E78" s="44"/>
      <c r="F78" s="44"/>
      <c r="G78" s="44"/>
      <c r="H78" s="44"/>
      <c r="I78" s="44"/>
      <c r="J78" s="44">
        <v>54.06333333333334</v>
      </c>
      <c r="K78" s="44">
        <v>54.52</v>
      </c>
      <c r="L78" s="44">
        <v>54.742500000000014</v>
      </c>
      <c r="M78" s="44">
        <v>55.218333333333327</v>
      </c>
      <c r="N78" s="44">
        <v>54.677500000000002</v>
      </c>
      <c r="O78" s="44">
        <v>53.1</v>
      </c>
      <c r="P78" s="44">
        <v>54.633333333333326</v>
      </c>
      <c r="Q78" s="44">
        <v>53.49583333333333</v>
      </c>
      <c r="R78" s="44">
        <v>53.392499999999991</v>
      </c>
      <c r="S78" s="44">
        <v>53.159166666666664</v>
      </c>
      <c r="T78" s="44">
        <v>54.170833333333341</v>
      </c>
      <c r="U78" s="49">
        <v>54</v>
      </c>
      <c r="V78" s="49"/>
      <c r="W78" s="45">
        <v>53.87</v>
      </c>
      <c r="X78" s="44">
        <v>54.32</v>
      </c>
      <c r="Y78" s="44">
        <v>0</v>
      </c>
      <c r="Z78" s="44">
        <v>54.094999999999999</v>
      </c>
      <c r="AA78" s="44">
        <v>0</v>
      </c>
      <c r="AB78" s="44">
        <v>0</v>
      </c>
      <c r="AC78" s="44">
        <v>0</v>
      </c>
      <c r="AD78" s="44" t="e">
        <v>#DIV/0!</v>
      </c>
      <c r="AE78" s="44">
        <v>0</v>
      </c>
      <c r="AF78" s="44">
        <v>0</v>
      </c>
      <c r="AG78" s="44">
        <v>0</v>
      </c>
      <c r="AH78" s="44" t="e">
        <v>#DIV/0!</v>
      </c>
      <c r="AI78" s="44">
        <v>0</v>
      </c>
      <c r="AJ78" s="44">
        <v>0</v>
      </c>
      <c r="AK78" s="44">
        <v>0</v>
      </c>
      <c r="AL78" s="44" t="e">
        <v>#DIV/0!</v>
      </c>
      <c r="AM78" s="44">
        <v>54.094999999999999</v>
      </c>
      <c r="AO78" s="109" t="str">
        <f>IF(A78='[1]page 1-8'!$A78,"","False")</f>
        <v/>
      </c>
      <c r="AP78" s="109" t="str">
        <f>'[1]page 1-8'!$A78</f>
        <v>Fe in Sinter</v>
      </c>
    </row>
    <row r="79" spans="1:42" x14ac:dyDescent="0.4">
      <c r="A79" s="37" t="s">
        <v>170</v>
      </c>
      <c r="B79" s="38" t="s">
        <v>141</v>
      </c>
      <c r="C79" s="44"/>
      <c r="D79" s="44"/>
      <c r="E79" s="44"/>
      <c r="F79" s="44"/>
      <c r="G79" s="44"/>
      <c r="H79" s="44"/>
      <c r="I79" s="44"/>
      <c r="J79" s="44">
        <v>10.864166666666666</v>
      </c>
      <c r="K79" s="44">
        <v>10.620000000000001</v>
      </c>
      <c r="L79" s="44">
        <v>10.341666666666667</v>
      </c>
      <c r="M79" s="44">
        <v>10.260833333333332</v>
      </c>
      <c r="N79" s="44">
        <v>10.626666666666665</v>
      </c>
      <c r="O79" s="44">
        <v>11.569166666666666</v>
      </c>
      <c r="P79" s="44">
        <v>10.129166666666666</v>
      </c>
      <c r="Q79" s="44">
        <v>11.011666666666665</v>
      </c>
      <c r="R79" s="44">
        <v>10.776666666666666</v>
      </c>
      <c r="S79" s="44">
        <v>10.935</v>
      </c>
      <c r="T79" s="44">
        <v>10.148333333333332</v>
      </c>
      <c r="U79" s="42"/>
      <c r="V79" s="42"/>
      <c r="W79" s="45">
        <v>10.25</v>
      </c>
      <c r="X79" s="44">
        <v>9.91</v>
      </c>
      <c r="Y79" s="44">
        <v>0</v>
      </c>
      <c r="Z79" s="44">
        <v>10.08</v>
      </c>
      <c r="AA79" s="44">
        <v>0</v>
      </c>
      <c r="AB79" s="44">
        <v>0</v>
      </c>
      <c r="AC79" s="44">
        <v>0</v>
      </c>
      <c r="AD79" s="44" t="e">
        <v>#DIV/0!</v>
      </c>
      <c r="AE79" s="44">
        <v>0</v>
      </c>
      <c r="AF79" s="44">
        <v>0</v>
      </c>
      <c r="AG79" s="44">
        <v>0</v>
      </c>
      <c r="AH79" s="44" t="e">
        <v>#DIV/0!</v>
      </c>
      <c r="AI79" s="44">
        <v>0</v>
      </c>
      <c r="AJ79" s="44">
        <v>0</v>
      </c>
      <c r="AK79" s="44">
        <v>0</v>
      </c>
      <c r="AL79" s="44" t="e">
        <v>#DIV/0!</v>
      </c>
      <c r="AM79" s="44">
        <v>10.08</v>
      </c>
      <c r="AO79" s="109" t="str">
        <f>IF(A79='[1]page 1-8'!$A79,"","False")</f>
        <v/>
      </c>
      <c r="AP79" s="109" t="str">
        <f>'[1]page 1-8'!$A79</f>
        <v>CaO in Sinter</v>
      </c>
    </row>
    <row r="80" spans="1:42" x14ac:dyDescent="0.4">
      <c r="A80" s="37" t="s">
        <v>171</v>
      </c>
      <c r="B80" s="38"/>
      <c r="C80" s="44"/>
      <c r="D80" s="44"/>
      <c r="E80" s="44"/>
      <c r="F80" s="44"/>
      <c r="G80" s="44"/>
      <c r="H80" s="44"/>
      <c r="I80" s="44"/>
      <c r="J80" s="44">
        <v>1.76</v>
      </c>
      <c r="K80" s="44">
        <v>1.7566666666666666</v>
      </c>
      <c r="L80" s="44">
        <v>1.7141666666666664</v>
      </c>
      <c r="M80" s="44">
        <v>1.8</v>
      </c>
      <c r="N80" s="44">
        <v>1.8250000000000002</v>
      </c>
      <c r="O80" s="44">
        <v>1.7324999999999999</v>
      </c>
      <c r="P80" s="44">
        <v>1.781666666666667</v>
      </c>
      <c r="Q80" s="44">
        <v>1.7008333333333336</v>
      </c>
      <c r="R80" s="44">
        <v>1.7408333333333335</v>
      </c>
      <c r="S80" s="44">
        <v>1.6841666666666664</v>
      </c>
      <c r="T80" s="44">
        <v>1.6475</v>
      </c>
      <c r="U80" s="52" t="s">
        <v>172</v>
      </c>
      <c r="V80" s="52"/>
      <c r="W80" s="45">
        <v>1.63</v>
      </c>
      <c r="X80" s="44">
        <v>1.65</v>
      </c>
      <c r="Y80" s="44">
        <v>0</v>
      </c>
      <c r="Z80" s="44">
        <v>1.64</v>
      </c>
      <c r="AA80" s="44">
        <v>0</v>
      </c>
      <c r="AB80" s="44">
        <v>0</v>
      </c>
      <c r="AC80" s="44">
        <v>0</v>
      </c>
      <c r="AD80" s="44" t="e">
        <v>#DIV/0!</v>
      </c>
      <c r="AE80" s="44">
        <v>0</v>
      </c>
      <c r="AF80" s="44">
        <v>0</v>
      </c>
      <c r="AG80" s="44">
        <v>0</v>
      </c>
      <c r="AH80" s="44" t="e">
        <v>#DIV/0!</v>
      </c>
      <c r="AI80" s="44">
        <v>0</v>
      </c>
      <c r="AJ80" s="44">
        <v>0</v>
      </c>
      <c r="AK80" s="44">
        <v>0</v>
      </c>
      <c r="AL80" s="44" t="e">
        <v>#DIV/0!</v>
      </c>
      <c r="AM80" s="44">
        <v>1.64</v>
      </c>
      <c r="AO80" s="109" t="str">
        <f>IF(A80='[1]page 1-8'!$A80,"","False")</f>
        <v/>
      </c>
      <c r="AP80" s="109" t="str">
        <f>'[1]page 1-8'!$A80</f>
        <v>Basicity  (CaO/ SiO2)</v>
      </c>
    </row>
    <row r="81" spans="1:42" x14ac:dyDescent="0.4">
      <c r="A81" s="37" t="s">
        <v>173</v>
      </c>
      <c r="B81" s="38" t="s">
        <v>174</v>
      </c>
      <c r="C81" s="44"/>
      <c r="D81" s="44"/>
      <c r="E81" s="44"/>
      <c r="F81" s="44"/>
      <c r="G81" s="44"/>
      <c r="H81" s="44"/>
      <c r="I81" s="44"/>
      <c r="J81" s="44">
        <v>1.0295379001739813</v>
      </c>
      <c r="K81" s="44">
        <v>1.2185016975828664</v>
      </c>
      <c r="L81" s="44">
        <v>1.2086609330583493</v>
      </c>
      <c r="M81" s="44">
        <v>1.2904579005960151</v>
      </c>
      <c r="N81" s="44">
        <v>1.2897807952888043</v>
      </c>
      <c r="O81" s="44">
        <v>1.2966026200362766</v>
      </c>
      <c r="P81" s="44">
        <v>1.2921581008699938</v>
      </c>
      <c r="Q81" s="44">
        <v>1.3044931205735391</v>
      </c>
      <c r="R81" s="44">
        <v>1.2761099984200204</v>
      </c>
      <c r="S81" s="44">
        <v>1.2667957891530188</v>
      </c>
      <c r="T81" s="44">
        <v>1.2908022502820624</v>
      </c>
      <c r="U81" s="44">
        <v>1.28</v>
      </c>
      <c r="V81" s="44"/>
      <c r="W81" s="45">
        <v>1.2873725981620718</v>
      </c>
      <c r="X81" s="44">
        <v>1.2824782758819127</v>
      </c>
      <c r="Y81" s="44" t="e">
        <v>#DIV/0!</v>
      </c>
      <c r="Z81" s="44">
        <v>1.2848713147592625</v>
      </c>
      <c r="AA81" s="44" t="e">
        <v>#DIV/0!</v>
      </c>
      <c r="AB81" s="44" t="e">
        <v>#DIV/0!</v>
      </c>
      <c r="AC81" s="44" t="e">
        <v>#DIV/0!</v>
      </c>
      <c r="AD81" s="44" t="e">
        <v>#DIV/0!</v>
      </c>
      <c r="AE81" s="44" t="e">
        <v>#DIV/0!</v>
      </c>
      <c r="AF81" s="44" t="e">
        <v>#DIV/0!</v>
      </c>
      <c r="AG81" s="44" t="e">
        <v>#DIV/0!</v>
      </c>
      <c r="AH81" s="44" t="e">
        <v>#DIV/0!</v>
      </c>
      <c r="AI81" s="44" t="e">
        <v>#DIV/0!</v>
      </c>
      <c r="AJ81" s="44" t="e">
        <v>#DIV/0!</v>
      </c>
      <c r="AK81" s="44" t="e">
        <v>#DIV/0!</v>
      </c>
      <c r="AL81" s="44" t="e">
        <v>#DIV/0!</v>
      </c>
      <c r="AM81" s="44">
        <v>1.2848713147592625</v>
      </c>
      <c r="AO81" s="109" t="str">
        <f>IF(A81='[1]page 1-8'!$A81,"","False")</f>
        <v/>
      </c>
      <c r="AP81" s="109" t="str">
        <f>'[1]page 1-8'!$A81</f>
        <v>Specific productivity</v>
      </c>
    </row>
    <row r="82" spans="1:42" x14ac:dyDescent="0.4">
      <c r="A82" s="37" t="s">
        <v>175</v>
      </c>
      <c r="B82" s="38" t="s">
        <v>176</v>
      </c>
      <c r="C82" s="47"/>
      <c r="D82" s="47"/>
      <c r="E82" s="47"/>
      <c r="F82" s="47"/>
      <c r="G82" s="47"/>
      <c r="H82" s="47"/>
      <c r="I82" s="47"/>
      <c r="J82" s="47">
        <v>758.907714841342</v>
      </c>
      <c r="K82" s="47">
        <v>683.50700547165832</v>
      </c>
      <c r="L82" s="47">
        <v>674.60759952050341</v>
      </c>
      <c r="M82" s="47">
        <v>699.22258019330445</v>
      </c>
      <c r="N82" s="47">
        <v>731.44273024883796</v>
      </c>
      <c r="O82" s="47">
        <v>708.42542662572907</v>
      </c>
      <c r="P82" s="47">
        <v>759.8941697920219</v>
      </c>
      <c r="Q82" s="47">
        <v>746.39467192417283</v>
      </c>
      <c r="R82" s="47">
        <v>780.41512654074177</v>
      </c>
      <c r="S82" s="47">
        <v>757.01522996334677</v>
      </c>
      <c r="T82" s="47">
        <v>778.96372229871019</v>
      </c>
      <c r="U82" s="38">
        <v>760</v>
      </c>
      <c r="V82" s="38"/>
      <c r="W82" s="48">
        <v>749.39730107690866</v>
      </c>
      <c r="X82" s="47">
        <v>764.87085284796819</v>
      </c>
      <c r="Y82" s="47" t="e">
        <v>#DIV/0!</v>
      </c>
      <c r="Z82" s="47">
        <v>757.2904579485305</v>
      </c>
      <c r="AA82" s="47" t="e">
        <v>#DIV/0!</v>
      </c>
      <c r="AB82" s="47" t="e">
        <v>#DIV/0!</v>
      </c>
      <c r="AC82" s="47" t="e">
        <v>#DIV/0!</v>
      </c>
      <c r="AD82" s="47" t="e">
        <v>#DIV/0!</v>
      </c>
      <c r="AE82" s="47" t="e">
        <v>#DIV/0!</v>
      </c>
      <c r="AF82" s="47" t="e">
        <v>#DIV/0!</v>
      </c>
      <c r="AG82" s="47" t="e">
        <v>#DIV/0!</v>
      </c>
      <c r="AH82" s="47" t="e">
        <v>#DIV/0!</v>
      </c>
      <c r="AI82" s="47" t="e">
        <v>#DIV/0!</v>
      </c>
      <c r="AJ82" s="47" t="e">
        <v>#DIV/0!</v>
      </c>
      <c r="AK82" s="47" t="e">
        <v>#DIV/0!</v>
      </c>
      <c r="AL82" s="47" t="e">
        <v>#DIV/0!</v>
      </c>
      <c r="AM82" s="47">
        <v>757.2904579485305</v>
      </c>
      <c r="AO82" s="109" t="str">
        <f>IF(A82='[1]page 1-8'!$A82,"","False")</f>
        <v/>
      </c>
      <c r="AP82" s="109" t="str">
        <f>'[1]page 1-8'!$A82</f>
        <v>Iron Ore Fines Cons.</v>
      </c>
    </row>
    <row r="83" spans="1:42" x14ac:dyDescent="0.4">
      <c r="A83" s="37" t="s">
        <v>177</v>
      </c>
      <c r="B83" s="38" t="s">
        <v>176</v>
      </c>
      <c r="C83" s="47"/>
      <c r="D83" s="47"/>
      <c r="E83" s="47"/>
      <c r="F83" s="47"/>
      <c r="G83" s="47"/>
      <c r="H83" s="47"/>
      <c r="I83" s="47"/>
      <c r="J83" s="47">
        <v>92.491053243271239</v>
      </c>
      <c r="K83" s="47">
        <v>74.752352161485078</v>
      </c>
      <c r="L83" s="47">
        <v>55.865715998201885</v>
      </c>
      <c r="M83" s="47">
        <v>56.153426298477044</v>
      </c>
      <c r="N83" s="47">
        <v>70.790340850873278</v>
      </c>
      <c r="O83" s="47">
        <v>86.214821254704475</v>
      </c>
      <c r="P83" s="47">
        <v>74</v>
      </c>
      <c r="Q83" s="47">
        <v>90.301226865238846</v>
      </c>
      <c r="R83" s="47">
        <v>85.080360226627704</v>
      </c>
      <c r="S83" s="47">
        <v>84.457665686277451</v>
      </c>
      <c r="T83" s="47">
        <v>64.908514962815005</v>
      </c>
      <c r="U83" s="38">
        <v>67</v>
      </c>
      <c r="V83" s="38"/>
      <c r="W83" s="48">
        <v>72.044828470101919</v>
      </c>
      <c r="X83" s="47">
        <v>70.919532708241789</v>
      </c>
      <c r="Y83" s="47" t="e">
        <v>#DIV/0!</v>
      </c>
      <c r="Z83" s="47">
        <v>71.470807966810256</v>
      </c>
      <c r="AA83" s="47" t="e">
        <v>#DIV/0!</v>
      </c>
      <c r="AB83" s="47" t="e">
        <v>#DIV/0!</v>
      </c>
      <c r="AC83" s="47" t="e">
        <v>#DIV/0!</v>
      </c>
      <c r="AD83" s="47" t="e">
        <v>#DIV/0!</v>
      </c>
      <c r="AE83" s="47" t="e">
        <v>#DIV/0!</v>
      </c>
      <c r="AF83" s="47" t="e">
        <v>#DIV/0!</v>
      </c>
      <c r="AG83" s="47" t="e">
        <v>#DIV/0!</v>
      </c>
      <c r="AH83" s="47" t="e">
        <v>#DIV/0!</v>
      </c>
      <c r="AI83" s="47" t="e">
        <v>#DIV/0!</v>
      </c>
      <c r="AJ83" s="47" t="e">
        <v>#DIV/0!</v>
      </c>
      <c r="AK83" s="47" t="e">
        <v>#DIV/0!</v>
      </c>
      <c r="AL83" s="47" t="e">
        <v>#DIV/0!</v>
      </c>
      <c r="AM83" s="47">
        <v>71.470807966810256</v>
      </c>
      <c r="AO83" s="109" t="str">
        <f>IF(A83='[1]page 1-8'!$A83,"","False")</f>
        <v/>
      </c>
      <c r="AP83" s="109" t="str">
        <f>'[1]page 1-8'!$A83</f>
        <v>Limestone Cons.</v>
      </c>
    </row>
    <row r="84" spans="1:42" x14ac:dyDescent="0.4">
      <c r="A84" s="37" t="s">
        <v>178</v>
      </c>
      <c r="B84" s="38" t="s">
        <v>176</v>
      </c>
      <c r="C84" s="47"/>
      <c r="D84" s="47"/>
      <c r="E84" s="47"/>
      <c r="F84" s="47"/>
      <c r="G84" s="47"/>
      <c r="H84" s="47"/>
      <c r="I84" s="47"/>
      <c r="J84" s="47">
        <v>127.9279360732245</v>
      </c>
      <c r="K84" s="47">
        <v>100.79648551836718</v>
      </c>
      <c r="L84" s="47">
        <v>104.75656810349133</v>
      </c>
      <c r="M84" s="47">
        <v>106.63590235278775</v>
      </c>
      <c r="N84" s="47">
        <v>84.545293465972932</v>
      </c>
      <c r="O84" s="47">
        <v>95.18174657635582</v>
      </c>
      <c r="P84" s="47">
        <v>77.732833276508686</v>
      </c>
      <c r="Q84" s="47">
        <v>97.060492761856196</v>
      </c>
      <c r="R84" s="47">
        <v>83.658600265687113</v>
      </c>
      <c r="S84" s="47">
        <v>95.633720105666697</v>
      </c>
      <c r="T84" s="47">
        <v>96.614315917453169</v>
      </c>
      <c r="U84" s="38">
        <v>108</v>
      </c>
      <c r="V84" s="38"/>
      <c r="W84" s="48">
        <v>84.99758271495179</v>
      </c>
      <c r="X84" s="47">
        <v>73.848675497720563</v>
      </c>
      <c r="Y84" s="47" t="e">
        <v>#DIV/0!</v>
      </c>
      <c r="Z84" s="47">
        <v>79.310454451526766</v>
      </c>
      <c r="AA84" s="47" t="e">
        <v>#DIV/0!</v>
      </c>
      <c r="AB84" s="47" t="e">
        <v>#DIV/0!</v>
      </c>
      <c r="AC84" s="47" t="e">
        <v>#DIV/0!</v>
      </c>
      <c r="AD84" s="47" t="e">
        <v>#DIV/0!</v>
      </c>
      <c r="AE84" s="47" t="e">
        <v>#DIV/0!</v>
      </c>
      <c r="AF84" s="47" t="e">
        <v>#DIV/0!</v>
      </c>
      <c r="AG84" s="47" t="e">
        <v>#DIV/0!</v>
      </c>
      <c r="AH84" s="47" t="e">
        <v>#DIV/0!</v>
      </c>
      <c r="AI84" s="47" t="e">
        <v>#DIV/0!</v>
      </c>
      <c r="AJ84" s="47" t="e">
        <v>#DIV/0!</v>
      </c>
      <c r="AK84" s="47" t="e">
        <v>#DIV/0!</v>
      </c>
      <c r="AL84" s="47" t="e">
        <v>#DIV/0!</v>
      </c>
      <c r="AM84" s="47">
        <v>79.310454451526766</v>
      </c>
      <c r="AO84" s="109" t="str">
        <f>IF(A84='[1]page 1-8'!$A84,"","False")</f>
        <v/>
      </c>
      <c r="AP84" s="109" t="str">
        <f>'[1]page 1-8'!$A84</f>
        <v>Dolomite Cons.</v>
      </c>
    </row>
    <row r="85" spans="1:42" x14ac:dyDescent="0.4">
      <c r="A85" s="37" t="s">
        <v>181</v>
      </c>
      <c r="B85" s="38" t="s">
        <v>176</v>
      </c>
      <c r="C85" s="47"/>
      <c r="D85" s="47"/>
      <c r="E85" s="47"/>
      <c r="F85" s="47"/>
      <c r="G85" s="47"/>
      <c r="H85" s="47"/>
      <c r="I85" s="47"/>
      <c r="J85" s="47">
        <v>200.11350915059649</v>
      </c>
      <c r="K85" s="47">
        <v>244.43308921495162</v>
      </c>
      <c r="L85" s="47">
        <v>252.04909844663104</v>
      </c>
      <c r="M85" s="47">
        <v>264.59956479947448</v>
      </c>
      <c r="N85" s="47">
        <v>254.33189300143616</v>
      </c>
      <c r="O85" s="47">
        <v>260.82933984503251</v>
      </c>
      <c r="P85" s="47">
        <v>265.79120354585751</v>
      </c>
      <c r="Q85" s="47">
        <v>230.79219932962482</v>
      </c>
      <c r="R85" s="47">
        <v>195.45874268799386</v>
      </c>
      <c r="S85" s="47">
        <v>227.3798850149108</v>
      </c>
      <c r="T85" s="47">
        <v>215.5861167092315</v>
      </c>
      <c r="U85" s="38">
        <v>225</v>
      </c>
      <c r="V85" s="38"/>
      <c r="W85" s="48">
        <v>248.59748797035664</v>
      </c>
      <c r="X85" s="47">
        <v>248.99271765244785</v>
      </c>
      <c r="Y85" s="47" t="e">
        <v>#DIV/0!</v>
      </c>
      <c r="Z85" s="47">
        <v>248.79909713722563</v>
      </c>
      <c r="AA85" s="47" t="e">
        <v>#DIV/0!</v>
      </c>
      <c r="AB85" s="47" t="e">
        <v>#DIV/0!</v>
      </c>
      <c r="AC85" s="47" t="e">
        <v>#DIV/0!</v>
      </c>
      <c r="AD85" s="47" t="e">
        <v>#DIV/0!</v>
      </c>
      <c r="AE85" s="47" t="e">
        <v>#DIV/0!</v>
      </c>
      <c r="AF85" s="47" t="e">
        <v>#DIV/0!</v>
      </c>
      <c r="AG85" s="47" t="e">
        <v>#DIV/0!</v>
      </c>
      <c r="AH85" s="47" t="e">
        <v>#DIV/0!</v>
      </c>
      <c r="AI85" s="47" t="e">
        <v>#DIV/0!</v>
      </c>
      <c r="AJ85" s="47" t="e">
        <v>#DIV/0!</v>
      </c>
      <c r="AK85" s="47" t="e">
        <v>#DIV/0!</v>
      </c>
      <c r="AL85" s="47" t="e">
        <v>#DIV/0!</v>
      </c>
      <c r="AM85" s="47">
        <v>248.79909713722563</v>
      </c>
      <c r="AO85" s="109" t="str">
        <f>IF(A85='[1]page 1-8'!$A85,"","False")</f>
        <v/>
      </c>
      <c r="AP85" s="109" t="str">
        <f>'[1]page 1-8'!$A85</f>
        <v>Sinter Dust Cons.</v>
      </c>
    </row>
    <row r="86" spans="1:42" x14ac:dyDescent="0.4">
      <c r="A86" s="37" t="s">
        <v>202</v>
      </c>
      <c r="B86" s="38" t="s">
        <v>176</v>
      </c>
      <c r="C86" s="47"/>
      <c r="D86" s="47"/>
      <c r="E86" s="47"/>
      <c r="F86" s="47"/>
      <c r="G86" s="47"/>
      <c r="H86" s="47"/>
      <c r="I86" s="47"/>
      <c r="J86" s="47">
        <v>72.887094149306037</v>
      </c>
      <c r="K86" s="47">
        <v>70.365080154393027</v>
      </c>
      <c r="L86" s="47">
        <v>64.990822136756407</v>
      </c>
      <c r="M86" s="47">
        <v>65.222116494631237</v>
      </c>
      <c r="N86" s="47">
        <v>72.881492178561913</v>
      </c>
      <c r="O86" s="47">
        <v>61.071978604953948</v>
      </c>
      <c r="P86" s="47">
        <v>67.363927719058978</v>
      </c>
      <c r="Q86" s="47">
        <v>70.017500467559458</v>
      </c>
      <c r="R86" s="47">
        <v>70.381633762297056</v>
      </c>
      <c r="S86" s="47">
        <v>72.054644560862059</v>
      </c>
      <c r="T86" s="47">
        <v>68.574500475814105</v>
      </c>
      <c r="U86" s="47">
        <v>66</v>
      </c>
      <c r="V86" s="47"/>
      <c r="W86" s="48">
        <v>62.674198645671432</v>
      </c>
      <c r="X86" s="47">
        <v>61.016537192323156</v>
      </c>
      <c r="Y86" s="47" t="e">
        <v>#DIV/0!</v>
      </c>
      <c r="Z86" s="47">
        <v>61.828615027578643</v>
      </c>
      <c r="AA86" s="47" t="e">
        <v>#DIV/0!</v>
      </c>
      <c r="AB86" s="47" t="e">
        <v>#DIV/0!</v>
      </c>
      <c r="AC86" s="47" t="e">
        <v>#DIV/0!</v>
      </c>
      <c r="AD86" s="47" t="e">
        <v>#DIV/0!</v>
      </c>
      <c r="AE86" s="47" t="e">
        <v>#DIV/0!</v>
      </c>
      <c r="AF86" s="47" t="e">
        <v>#DIV/0!</v>
      </c>
      <c r="AG86" s="47" t="e">
        <v>#DIV/0!</v>
      </c>
      <c r="AH86" s="47" t="e">
        <v>#DIV/0!</v>
      </c>
      <c r="AI86" s="47" t="e">
        <v>#DIV/0!</v>
      </c>
      <c r="AJ86" s="47" t="e">
        <v>#DIV/0!</v>
      </c>
      <c r="AK86" s="47" t="e">
        <v>#DIV/0!</v>
      </c>
      <c r="AL86" s="47" t="e">
        <v>#DIV/0!</v>
      </c>
      <c r="AM86" s="47">
        <v>61.928615027578644</v>
      </c>
      <c r="AO86" s="109" t="str">
        <f>IF(A86='[1]page 1-8'!$A86,"","False")</f>
        <v>False</v>
      </c>
      <c r="AP86" s="109" t="str">
        <f>'[1]page 1-8'!$A86</f>
        <v>Coke Breeze Cons (DRY)</v>
      </c>
    </row>
    <row r="87" spans="1:42" x14ac:dyDescent="0.4">
      <c r="A87" s="37"/>
      <c r="B87" s="38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8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O87" s="109" t="str">
        <f>IF(A87='[1]page 1-8'!$A87,"","False")</f>
        <v>False</v>
      </c>
      <c r="AP87" s="109" t="str">
        <f>'[1]page 1-8'!$A87</f>
        <v>Coke Breeze Cons (WET)</v>
      </c>
    </row>
    <row r="88" spans="1:42" x14ac:dyDescent="0.4">
      <c r="A88" s="37" t="s">
        <v>197</v>
      </c>
      <c r="B88" s="38" t="s">
        <v>176</v>
      </c>
      <c r="C88" s="47"/>
      <c r="D88" s="47"/>
      <c r="E88" s="47"/>
      <c r="F88" s="47"/>
      <c r="G88" s="47"/>
      <c r="H88" s="47"/>
      <c r="I88" s="47"/>
      <c r="J88" s="49">
        <v>7.8055007142610568</v>
      </c>
      <c r="K88" s="49">
        <v>10.142887272864449</v>
      </c>
      <c r="L88" s="49">
        <v>16.331601818091006</v>
      </c>
      <c r="M88" s="49">
        <v>22.961839048258476</v>
      </c>
      <c r="N88" s="49">
        <v>22.28117776994052</v>
      </c>
      <c r="O88" s="49">
        <v>22.523978542955657</v>
      </c>
      <c r="P88" s="49">
        <v>26.571019434026592</v>
      </c>
      <c r="Q88" s="49">
        <v>25.434695552768464</v>
      </c>
      <c r="R88" s="49">
        <v>23.584247282782719</v>
      </c>
      <c r="S88" s="49">
        <v>24.947321045266328</v>
      </c>
      <c r="T88" s="49">
        <v>23.435154774628586</v>
      </c>
      <c r="U88" s="38">
        <v>23</v>
      </c>
      <c r="V88" s="38"/>
      <c r="W88" s="50">
        <v>27.696570699909476</v>
      </c>
      <c r="X88" s="49">
        <v>24.956919788229207</v>
      </c>
      <c r="Y88" s="49" t="e">
        <v>#DIV/0!</v>
      </c>
      <c r="Z88" s="49">
        <v>26.299057398547156</v>
      </c>
      <c r="AA88" s="49" t="e">
        <v>#DIV/0!</v>
      </c>
      <c r="AB88" s="49" t="e">
        <v>#DIV/0!</v>
      </c>
      <c r="AC88" s="49" t="e">
        <v>#DIV/0!</v>
      </c>
      <c r="AD88" s="49" t="e">
        <v>#DIV/0!</v>
      </c>
      <c r="AE88" s="49" t="e">
        <v>#DIV/0!</v>
      </c>
      <c r="AF88" s="49" t="e">
        <v>#DIV/0!</v>
      </c>
      <c r="AG88" s="49" t="e">
        <v>#DIV/0!</v>
      </c>
      <c r="AH88" s="49" t="e">
        <v>#DIV/0!</v>
      </c>
      <c r="AI88" s="49" t="e">
        <v>#DIV/0!</v>
      </c>
      <c r="AJ88" s="49" t="e">
        <v>#DIV/0!</v>
      </c>
      <c r="AK88" s="49" t="e">
        <v>#DIV/0!</v>
      </c>
      <c r="AL88" s="49" t="e">
        <v>#DIV/0!</v>
      </c>
      <c r="AM88" s="49">
        <v>26.299057398547156</v>
      </c>
      <c r="AO88" s="109" t="str">
        <f>IF(A88='[1]page 1-8'!$A88,"","False")</f>
        <v/>
      </c>
      <c r="AP88" s="109" t="str">
        <f>'[1]page 1-8'!$A88</f>
        <v>calcined lime</v>
      </c>
    </row>
    <row r="89" spans="1:42" x14ac:dyDescent="0.4">
      <c r="A89" s="37"/>
      <c r="B89" s="38"/>
      <c r="C89" s="47"/>
      <c r="D89" s="47"/>
      <c r="E89" s="47"/>
      <c r="F89" s="47"/>
      <c r="G89" s="47"/>
      <c r="H89" s="47"/>
      <c r="I89" s="47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38"/>
      <c r="V89" s="38"/>
      <c r="W89" s="50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O89" s="109" t="str">
        <f>IF(A89='[1]page 1-8'!$A89,"","False")</f>
        <v>False</v>
      </c>
      <c r="AP89" s="109" t="str">
        <f>'[1]page 1-8'!$A89</f>
        <v>Millscale Cons.</v>
      </c>
    </row>
    <row r="90" spans="1:42" x14ac:dyDescent="0.4">
      <c r="A90" s="37" t="s">
        <v>180</v>
      </c>
      <c r="B90" s="38"/>
      <c r="C90" s="47"/>
      <c r="D90" s="47"/>
      <c r="E90" s="47"/>
      <c r="F90" s="47"/>
      <c r="G90" s="47"/>
      <c r="H90" s="47"/>
      <c r="I90" s="47"/>
      <c r="J90" s="56" t="s">
        <v>162</v>
      </c>
      <c r="K90" s="49">
        <v>12</v>
      </c>
      <c r="L90" s="49">
        <v>27.828904650117376</v>
      </c>
      <c r="M90" s="49">
        <v>13.348846308040825</v>
      </c>
      <c r="N90" s="49">
        <v>8.1206187860566512</v>
      </c>
      <c r="O90" s="49">
        <v>11.492510183923562</v>
      </c>
      <c r="P90" s="49">
        <v>4.8436413228776001</v>
      </c>
      <c r="Q90" s="49">
        <v>1.3247967126932019</v>
      </c>
      <c r="R90" s="49">
        <v>7.0042546064201696</v>
      </c>
      <c r="S90" s="49">
        <v>4.2574924899526732</v>
      </c>
      <c r="T90" s="49">
        <v>5.1803403985658658</v>
      </c>
      <c r="U90" s="38">
        <v>4</v>
      </c>
      <c r="V90" s="38"/>
      <c r="W90" s="50">
        <v>0.29202101253419083</v>
      </c>
      <c r="X90" s="49">
        <v>0</v>
      </c>
      <c r="Y90" s="49" t="e">
        <v>#DIV/0!</v>
      </c>
      <c r="Z90" s="49">
        <v>0.14305924242183404</v>
      </c>
      <c r="AA90" s="49" t="e">
        <v>#DIV/0!</v>
      </c>
      <c r="AB90" s="49" t="e">
        <v>#DIV/0!</v>
      </c>
      <c r="AC90" s="49" t="e">
        <v>#DIV/0!</v>
      </c>
      <c r="AD90" s="49" t="e">
        <v>#DIV/0!</v>
      </c>
      <c r="AE90" s="49" t="e">
        <v>#DIV/0!</v>
      </c>
      <c r="AF90" s="49" t="e">
        <v>#DIV/0!</v>
      </c>
      <c r="AG90" s="49" t="e">
        <v>#DIV/0!</v>
      </c>
      <c r="AH90" s="49" t="e">
        <v>#DIV/0!</v>
      </c>
      <c r="AI90" s="49" t="e">
        <v>#DIV/0!</v>
      </c>
      <c r="AJ90" s="49" t="e">
        <v>#DIV/0!</v>
      </c>
      <c r="AK90" s="49" t="e">
        <v>#DIV/0!</v>
      </c>
      <c r="AL90" s="49" t="e">
        <v>#DIV/0!</v>
      </c>
      <c r="AM90" s="49">
        <v>0.14305924242183404</v>
      </c>
      <c r="AO90" s="109" t="str">
        <f>IF(A90='[1]page 1-8'!$A90,"","False")</f>
        <v/>
      </c>
      <c r="AP90" s="109" t="str">
        <f>'[1]page 1-8'!$A90</f>
        <v>LD Slag Cons.</v>
      </c>
    </row>
    <row r="91" spans="1:42" x14ac:dyDescent="0.4">
      <c r="A91" s="37" t="s">
        <v>184</v>
      </c>
      <c r="B91" s="38" t="s">
        <v>185</v>
      </c>
      <c r="C91" s="49"/>
      <c r="D91" s="49"/>
      <c r="E91" s="49"/>
      <c r="F91" s="49"/>
      <c r="G91" s="49"/>
      <c r="H91" s="49"/>
      <c r="I91" s="49"/>
      <c r="J91" s="44">
        <v>77.550220063455768</v>
      </c>
      <c r="K91" s="44">
        <v>79.180767036283967</v>
      </c>
      <c r="L91" s="44">
        <v>87.74875088201081</v>
      </c>
      <c r="M91" s="44">
        <v>83.455780370161861</v>
      </c>
      <c r="N91" s="44">
        <v>90.190481834884139</v>
      </c>
      <c r="O91" s="44">
        <v>91.679047959016316</v>
      </c>
      <c r="P91" s="44">
        <v>93.52302770539346</v>
      </c>
      <c r="Q91" s="44">
        <v>94.028202534658178</v>
      </c>
      <c r="R91" s="44">
        <v>95.042289133879351</v>
      </c>
      <c r="S91" s="44">
        <v>95.521099934527712</v>
      </c>
      <c r="T91" s="44">
        <v>96.621297134238304</v>
      </c>
      <c r="U91" s="49">
        <v>95</v>
      </c>
      <c r="V91" s="49"/>
      <c r="W91" s="45">
        <v>96.938775510204081</v>
      </c>
      <c r="X91" s="44">
        <v>96.875261324041816</v>
      </c>
      <c r="Y91" s="44" t="e">
        <v>#DIV/0!</v>
      </c>
      <c r="Z91" s="44">
        <v>96.906305664410397</v>
      </c>
      <c r="AA91" s="44" t="e">
        <v>#DIV/0!</v>
      </c>
      <c r="AB91" s="44" t="e">
        <v>#DIV/0!</v>
      </c>
      <c r="AC91" s="44" t="e">
        <v>#DIV/0!</v>
      </c>
      <c r="AD91" s="44" t="e">
        <v>#DIV/0!</v>
      </c>
      <c r="AE91" s="44" t="e">
        <v>#DIV/0!</v>
      </c>
      <c r="AF91" s="44" t="e">
        <v>#DIV/0!</v>
      </c>
      <c r="AG91" s="44" t="e">
        <v>#DIV/0!</v>
      </c>
      <c r="AH91" s="44" t="e">
        <v>#DIV/0!</v>
      </c>
      <c r="AI91" s="44" t="e">
        <v>#DIV/0!</v>
      </c>
      <c r="AJ91" s="44" t="e">
        <v>#DIV/0!</v>
      </c>
      <c r="AK91" s="44" t="e">
        <v>#DIV/0!</v>
      </c>
      <c r="AL91" s="44" t="e">
        <v>#DIV/0!</v>
      </c>
      <c r="AM91" s="44">
        <v>96.906305664410397</v>
      </c>
      <c r="AO91" s="109" t="str">
        <f>IF(A91='[1]page 1-8'!$A91,"","False")</f>
        <v/>
      </c>
      <c r="AP91" s="109" t="str">
        <f>'[1]page 1-8'!$A91</f>
        <v>Machine Utilisation</v>
      </c>
    </row>
    <row r="92" spans="1:42" x14ac:dyDescent="0.4">
      <c r="A92" s="37" t="s">
        <v>191</v>
      </c>
      <c r="B92" s="38" t="s">
        <v>141</v>
      </c>
      <c r="C92" s="44"/>
      <c r="D92" s="44"/>
      <c r="E92" s="44"/>
      <c r="F92" s="44"/>
      <c r="G92" s="44"/>
      <c r="H92" s="44"/>
      <c r="I92" s="44"/>
      <c r="J92" s="44">
        <v>72.558333333333337</v>
      </c>
      <c r="K92" s="44">
        <v>73.107500000000002</v>
      </c>
      <c r="L92" s="44">
        <v>74.185833333333335</v>
      </c>
      <c r="M92" s="44">
        <v>74.997499999999988</v>
      </c>
      <c r="N92" s="44">
        <v>74.575000000000003</v>
      </c>
      <c r="O92" s="44">
        <v>74.311666666666667</v>
      </c>
      <c r="P92" s="44">
        <v>73.740833333333342</v>
      </c>
      <c r="Q92" s="44">
        <v>73.444166666666675</v>
      </c>
      <c r="R92" s="44">
        <v>73.686666666666667</v>
      </c>
      <c r="S92" s="44">
        <v>74.415833333333325</v>
      </c>
      <c r="T92" s="44">
        <v>74.321666666666673</v>
      </c>
      <c r="U92" s="49">
        <v>74</v>
      </c>
      <c r="V92" s="49"/>
      <c r="W92" s="45">
        <v>74.64</v>
      </c>
      <c r="X92" s="44">
        <v>74.400000000000006</v>
      </c>
      <c r="Y92" s="44">
        <v>0</v>
      </c>
      <c r="Z92" s="44">
        <v>74.52000000000001</v>
      </c>
      <c r="AA92" s="44">
        <v>0</v>
      </c>
      <c r="AB92" s="44">
        <v>0</v>
      </c>
      <c r="AC92" s="44">
        <v>0</v>
      </c>
      <c r="AD92" s="44" t="e">
        <v>#DIV/0!</v>
      </c>
      <c r="AE92" s="44">
        <v>0</v>
      </c>
      <c r="AF92" s="44">
        <v>0</v>
      </c>
      <c r="AG92" s="44">
        <v>0</v>
      </c>
      <c r="AH92" s="44" t="e">
        <v>#DIV/0!</v>
      </c>
      <c r="AI92" s="44">
        <v>0</v>
      </c>
      <c r="AJ92" s="44">
        <v>0</v>
      </c>
      <c r="AK92" s="44">
        <v>0</v>
      </c>
      <c r="AL92" s="44" t="e">
        <v>#DIV/0!</v>
      </c>
      <c r="AM92" s="44">
        <v>74.52000000000001</v>
      </c>
      <c r="AO92" s="109" t="str">
        <f>IF(A92='[1]page 1-8'!$A92,"","False")</f>
        <v/>
      </c>
      <c r="AP92" s="109" t="str">
        <f>'[1]page 1-8'!$A92</f>
        <v>Tumbler Index</v>
      </c>
    </row>
    <row r="93" spans="1:42" x14ac:dyDescent="0.4">
      <c r="A93" s="37" t="s">
        <v>192</v>
      </c>
      <c r="B93" s="38" t="s">
        <v>141</v>
      </c>
      <c r="C93" s="44"/>
      <c r="D93" s="44"/>
      <c r="E93" s="44"/>
      <c r="F93" s="44"/>
      <c r="G93" s="44"/>
      <c r="H93" s="44"/>
      <c r="I93" s="44"/>
      <c r="J93" s="44">
        <v>18.546176674842446</v>
      </c>
      <c r="K93" s="44">
        <v>16.315513684432538</v>
      </c>
      <c r="L93" s="44">
        <v>15.716288656194319</v>
      </c>
      <c r="M93" s="44">
        <v>14.069537693159385</v>
      </c>
      <c r="N93" s="44">
        <v>16.226458920630531</v>
      </c>
      <c r="O93" s="44">
        <v>14.528371125823764</v>
      </c>
      <c r="P93" s="44">
        <v>16.803756432869925</v>
      </c>
      <c r="Q93" s="44">
        <v>15.057107421188057</v>
      </c>
      <c r="R93" s="44">
        <v>14.414357999980442</v>
      </c>
      <c r="S93" s="44">
        <v>15.758764205072467</v>
      </c>
      <c r="T93" s="44">
        <v>15.449737637103855</v>
      </c>
      <c r="U93" s="38">
        <v>18</v>
      </c>
      <c r="V93" s="38"/>
      <c r="W93" s="45">
        <v>16.702249068131618</v>
      </c>
      <c r="X93" s="44">
        <v>16.906952263261477</v>
      </c>
      <c r="Y93" s="44" t="e">
        <v>#DIV/0!</v>
      </c>
      <c r="Z93" s="44">
        <v>16.806750355784956</v>
      </c>
      <c r="AA93" s="44" t="e">
        <v>#DIV/0!</v>
      </c>
      <c r="AB93" s="44" t="e">
        <v>#DIV/0!</v>
      </c>
      <c r="AC93" s="44" t="e">
        <v>#DIV/0!</v>
      </c>
      <c r="AD93" s="44" t="e">
        <v>#DIV/0!</v>
      </c>
      <c r="AE93" s="44" t="e">
        <v>#DIV/0!</v>
      </c>
      <c r="AF93" s="44" t="e">
        <v>#DIV/0!</v>
      </c>
      <c r="AG93" s="44" t="e">
        <v>#DIV/0!</v>
      </c>
      <c r="AH93" s="44" t="e">
        <v>#DIV/0!</v>
      </c>
      <c r="AI93" s="44" t="e">
        <v>#DIV/0!</v>
      </c>
      <c r="AJ93" s="44" t="e">
        <v>#DIV/0!</v>
      </c>
      <c r="AK93" s="44" t="e">
        <v>#DIV/0!</v>
      </c>
      <c r="AL93" s="44" t="e">
        <v>#DIV/0!</v>
      </c>
      <c r="AM93" s="44">
        <v>16.806750355784956</v>
      </c>
      <c r="AO93" s="109" t="str">
        <f>IF(A93='[1]page 1-8'!$A93,"","False")</f>
        <v/>
      </c>
      <c r="AP93" s="109" t="str">
        <f>'[1]page 1-8'!$A93</f>
        <v>Plant Return Fines</v>
      </c>
    </row>
    <row r="94" spans="1:42" x14ac:dyDescent="0.4">
      <c r="A94" s="37"/>
      <c r="B94" s="38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38"/>
      <c r="V94" s="38"/>
      <c r="W94" s="45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O94" s="109" t="str">
        <f>IF(A94='[1]page 1-8'!$A94,"","False")</f>
        <v/>
      </c>
      <c r="AP94" s="109">
        <f>'[1]page 1-8'!$A94</f>
        <v>0</v>
      </c>
    </row>
    <row r="95" spans="1:42" x14ac:dyDescent="0.4">
      <c r="A95" s="37"/>
      <c r="B95" s="38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38" t="s">
        <v>138</v>
      </c>
      <c r="V95" s="38"/>
      <c r="W95" s="45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O95" s="109" t="str">
        <f>IF(A95='[1]page 1-8'!$A95,"","False")</f>
        <v/>
      </c>
      <c r="AP95" s="109">
        <f>'[1]page 1-8'!$A95</f>
        <v>0</v>
      </c>
    </row>
    <row r="96" spans="1:42" s="33" customFormat="1" x14ac:dyDescent="0.4">
      <c r="A96" s="38" t="s">
        <v>203</v>
      </c>
      <c r="B96" s="38" t="s">
        <v>112</v>
      </c>
      <c r="C96" s="38" t="s">
        <v>113</v>
      </c>
      <c r="D96" s="42" t="s">
        <v>114</v>
      </c>
      <c r="E96" s="42" t="s">
        <v>115</v>
      </c>
      <c r="F96" s="42" t="s">
        <v>116</v>
      </c>
      <c r="G96" s="42" t="s">
        <v>117</v>
      </c>
      <c r="H96" s="42" t="s">
        <v>118</v>
      </c>
      <c r="I96" s="38" t="s">
        <v>119</v>
      </c>
      <c r="J96" s="38" t="s">
        <v>120</v>
      </c>
      <c r="K96" s="38" t="s">
        <v>121</v>
      </c>
      <c r="L96" s="38" t="s">
        <v>122</v>
      </c>
      <c r="M96" s="38" t="s">
        <v>123</v>
      </c>
      <c r="N96" s="38" t="s">
        <v>124</v>
      </c>
      <c r="O96" s="38" t="s">
        <v>125</v>
      </c>
      <c r="P96" s="38" t="s">
        <v>126</v>
      </c>
      <c r="Q96" s="38" t="s">
        <v>127</v>
      </c>
      <c r="R96" s="38" t="s">
        <v>128</v>
      </c>
      <c r="S96" s="38" t="s">
        <v>129</v>
      </c>
      <c r="T96" s="38" t="s">
        <v>130</v>
      </c>
      <c r="U96" s="38" t="s">
        <v>131</v>
      </c>
      <c r="V96" s="38"/>
      <c r="W96" s="41" t="s">
        <v>4</v>
      </c>
      <c r="X96" s="38" t="s">
        <v>5</v>
      </c>
      <c r="Y96" s="38" t="s">
        <v>6</v>
      </c>
      <c r="Z96" s="38" t="s">
        <v>132</v>
      </c>
      <c r="AA96" s="38" t="s">
        <v>8</v>
      </c>
      <c r="AB96" s="38" t="s">
        <v>9</v>
      </c>
      <c r="AC96" s="38" t="s">
        <v>10</v>
      </c>
      <c r="AD96" s="38" t="s">
        <v>133</v>
      </c>
      <c r="AE96" s="38" t="s">
        <v>12</v>
      </c>
      <c r="AF96" s="38" t="s">
        <v>13</v>
      </c>
      <c r="AG96" s="38" t="s">
        <v>14</v>
      </c>
      <c r="AH96" s="38" t="s">
        <v>134</v>
      </c>
      <c r="AI96" s="38" t="s">
        <v>16</v>
      </c>
      <c r="AJ96" s="38" t="s">
        <v>17</v>
      </c>
      <c r="AK96" s="36" t="s">
        <v>18</v>
      </c>
      <c r="AL96" s="38" t="s">
        <v>135</v>
      </c>
      <c r="AM96" s="33" t="s">
        <v>204</v>
      </c>
      <c r="AO96" s="109" t="str">
        <f>IF(A96='[1]page 1-8'!$A96,"","False")</f>
        <v/>
      </c>
      <c r="AP96" s="109" t="str">
        <f>'[1]page 1-8'!$A96</f>
        <v>BLAST FURNACES</v>
      </c>
    </row>
    <row r="97" spans="1:42" x14ac:dyDescent="0.4">
      <c r="A97" s="37" t="s">
        <v>205</v>
      </c>
      <c r="B97" s="38" t="s">
        <v>206</v>
      </c>
      <c r="C97" s="57"/>
      <c r="D97" s="57"/>
      <c r="E97" s="57"/>
      <c r="F97" s="57"/>
      <c r="G97" s="57"/>
      <c r="H97" s="57"/>
      <c r="I97" s="57"/>
      <c r="J97" s="57"/>
      <c r="K97" s="57"/>
      <c r="L97" s="57">
        <v>0.21099999999999999</v>
      </c>
      <c r="M97" s="57" t="s">
        <v>162</v>
      </c>
      <c r="N97" s="58">
        <v>1.284</v>
      </c>
      <c r="O97" s="58">
        <v>1.5680000000000001</v>
      </c>
      <c r="P97" s="57">
        <v>1.7390000000000001</v>
      </c>
      <c r="Q97" s="57">
        <v>1.6439999999999999</v>
      </c>
      <c r="R97" s="57">
        <v>1.5757497144402144</v>
      </c>
      <c r="S97" s="57">
        <v>1.6030860968084153</v>
      </c>
      <c r="T97" s="57">
        <v>1.8950856890565337</v>
      </c>
      <c r="U97" s="44">
        <v>2.36</v>
      </c>
      <c r="V97" s="44"/>
      <c r="W97" s="59">
        <v>2.0438631790744464</v>
      </c>
      <c r="X97" s="57">
        <v>2.0197238223863732</v>
      </c>
      <c r="Y97" s="57" t="e">
        <v>#DIV/0!</v>
      </c>
      <c r="Z97" s="57">
        <v>2.0317102615694163</v>
      </c>
      <c r="AA97" s="57" t="e">
        <v>#DIV/0!</v>
      </c>
      <c r="AB97" s="57" t="e">
        <v>#DIV/0!</v>
      </c>
      <c r="AC97" s="57" t="e">
        <v>#DIV/0!</v>
      </c>
      <c r="AD97" s="57" t="e">
        <v>#DIV/0!</v>
      </c>
      <c r="AE97" s="57" t="e">
        <v>#DIV/0!</v>
      </c>
      <c r="AF97" s="57" t="e">
        <v>#DIV/0!</v>
      </c>
      <c r="AG97" s="57" t="e">
        <v>#DIV/0!</v>
      </c>
      <c r="AH97" s="57" t="e">
        <v>#DIV/0!</v>
      </c>
      <c r="AI97" s="57" t="e">
        <v>#DIV/0!</v>
      </c>
      <c r="AJ97" s="57" t="e">
        <v>#DIV/0!</v>
      </c>
      <c r="AK97" s="57" t="e">
        <v>#DIV/0!</v>
      </c>
      <c r="AL97" s="57" t="e">
        <v>#DIV/0!</v>
      </c>
      <c r="AM97" s="57">
        <v>2.0317102615694163</v>
      </c>
      <c r="AO97" s="109" t="str">
        <f>IF(A97='[1]page 1-8'!$A97,"","False")</f>
        <v/>
      </c>
      <c r="AP97" s="109" t="str">
        <f>'[1]page 1-8'!$A97</f>
        <v>Productivity - BF #1</v>
      </c>
    </row>
    <row r="98" spans="1:42" x14ac:dyDescent="0.4">
      <c r="A98" s="37" t="s">
        <v>207</v>
      </c>
      <c r="B98" s="38" t="s">
        <v>206</v>
      </c>
      <c r="C98" s="57">
        <v>1.4382216150985634</v>
      </c>
      <c r="D98" s="57">
        <v>1.39</v>
      </c>
      <c r="E98" s="57">
        <v>1.42</v>
      </c>
      <c r="F98" s="57">
        <v>1.4527989558202574</v>
      </c>
      <c r="G98" s="57">
        <v>1.4471742239491521</v>
      </c>
      <c r="H98" s="57">
        <v>1.4965778495957578</v>
      </c>
      <c r="I98" s="57">
        <v>1.3845237942450719</v>
      </c>
      <c r="J98" s="57">
        <v>1.3376007941428121</v>
      </c>
      <c r="K98" s="57">
        <v>1.2985505069601075</v>
      </c>
      <c r="L98" s="57">
        <v>1.488</v>
      </c>
      <c r="M98" s="57">
        <v>1.4794316792173188</v>
      </c>
      <c r="N98" s="57">
        <v>1.1299999999999999</v>
      </c>
      <c r="O98" s="57">
        <v>0.93100000000000005</v>
      </c>
      <c r="P98" s="57">
        <v>1.5629999999999999</v>
      </c>
      <c r="Q98" s="57">
        <v>1.55</v>
      </c>
      <c r="R98" s="57">
        <v>1.3544888404326352</v>
      </c>
      <c r="S98" s="57">
        <v>1.4852457715154312</v>
      </c>
      <c r="T98" s="57">
        <v>1.5714306849268587</v>
      </c>
      <c r="U98" s="44">
        <v>0</v>
      </c>
      <c r="V98" s="44"/>
      <c r="W98" s="59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7"/>
      <c r="AK98" s="57"/>
      <c r="AL98" s="57"/>
      <c r="AM98" s="57"/>
      <c r="AO98" s="109" t="str">
        <f>IF(A98='[1]page 1-8'!$A98,"","False")</f>
        <v/>
      </c>
      <c r="AP98" s="109" t="str">
        <f>'[1]page 1-8'!$A98</f>
        <v>Productivity - BF #4</v>
      </c>
    </row>
    <row r="99" spans="1:42" x14ac:dyDescent="0.4">
      <c r="A99" s="37" t="s">
        <v>208</v>
      </c>
      <c r="B99" s="38" t="s">
        <v>206</v>
      </c>
      <c r="C99" s="57"/>
      <c r="D99" s="57"/>
      <c r="E99" s="57"/>
      <c r="F99" s="57"/>
      <c r="G99" s="57"/>
      <c r="H99" s="57"/>
      <c r="I99" s="57" t="s">
        <v>109</v>
      </c>
      <c r="J99" s="57">
        <v>1.4377444630366885</v>
      </c>
      <c r="K99" s="57">
        <v>1.7025336963312232</v>
      </c>
      <c r="L99" s="57">
        <v>2.2427922751217038</v>
      </c>
      <c r="M99" s="57">
        <v>2.0468259311753689</v>
      </c>
      <c r="N99" s="58">
        <v>2.1713204437612759</v>
      </c>
      <c r="O99" s="58">
        <v>2.0732785605677724</v>
      </c>
      <c r="P99" s="58">
        <v>2.159277545933441</v>
      </c>
      <c r="Q99" s="58">
        <v>2.1989999999999998</v>
      </c>
      <c r="R99" s="58">
        <v>2.2358441905225468</v>
      </c>
      <c r="S99" s="58">
        <v>2.3097472528070337</v>
      </c>
      <c r="T99" s="58">
        <v>2.5680870160804283</v>
      </c>
      <c r="U99" s="44">
        <v>2.88</v>
      </c>
      <c r="V99" s="44"/>
      <c r="W99" s="59">
        <v>2.7176199754589185</v>
      </c>
      <c r="X99" s="57">
        <v>2.634870317002882</v>
      </c>
      <c r="Y99" s="57" t="e">
        <v>#DIV/0!</v>
      </c>
      <c r="Z99" s="57">
        <v>2.67449402392465</v>
      </c>
      <c r="AA99" s="57" t="e">
        <v>#DIV/0!</v>
      </c>
      <c r="AB99" s="57" t="e">
        <v>#DIV/0!</v>
      </c>
      <c r="AC99" s="57" t="e">
        <v>#DIV/0!</v>
      </c>
      <c r="AD99" s="57" t="e">
        <v>#DIV/0!</v>
      </c>
      <c r="AE99" s="57" t="e">
        <v>#DIV/0!</v>
      </c>
      <c r="AF99" s="57" t="e">
        <v>#DIV/0!</v>
      </c>
      <c r="AG99" s="57" t="e">
        <v>#DIV/0!</v>
      </c>
      <c r="AH99" s="57" t="e">
        <v>#DIV/0!</v>
      </c>
      <c r="AI99" s="57" t="e">
        <v>#DIV/0!</v>
      </c>
      <c r="AJ99" s="57" t="e">
        <v>#DIV/0!</v>
      </c>
      <c r="AK99" s="57" t="e">
        <v>#DIV/0!</v>
      </c>
      <c r="AL99" s="57" t="e">
        <v>#DIV/0!</v>
      </c>
      <c r="AM99" s="57">
        <v>2.67449402392465</v>
      </c>
      <c r="AO99" s="109" t="str">
        <f>IF(A99='[1]page 1-8'!$A99,"","False")</f>
        <v/>
      </c>
      <c r="AP99" s="109" t="str">
        <f>'[1]page 1-8'!$A99</f>
        <v>Productivity - BF #5</v>
      </c>
    </row>
    <row r="100" spans="1:42" x14ac:dyDescent="0.4">
      <c r="A100" s="37" t="s">
        <v>209</v>
      </c>
      <c r="B100" s="38" t="s">
        <v>206</v>
      </c>
      <c r="C100" s="57"/>
      <c r="D100" s="57"/>
      <c r="E100" s="57">
        <v>1.42</v>
      </c>
      <c r="F100" s="57">
        <v>1.4527989558202574</v>
      </c>
      <c r="G100" s="57">
        <v>1.4471742239491521</v>
      </c>
      <c r="H100" s="57">
        <v>1.4965778495957578</v>
      </c>
      <c r="I100" s="57">
        <v>1.3845237942450719</v>
      </c>
      <c r="J100" s="57">
        <v>1.3919999999999999</v>
      </c>
      <c r="K100" s="57">
        <v>1.5549999999999999</v>
      </c>
      <c r="L100" s="57">
        <v>2.0710000000000002</v>
      </c>
      <c r="M100" s="57">
        <v>1.881</v>
      </c>
      <c r="N100" s="57">
        <v>1.768</v>
      </c>
      <c r="O100" s="57">
        <v>1.8129999999999999</v>
      </c>
      <c r="P100" s="57">
        <v>1.9830000000000001</v>
      </c>
      <c r="Q100" s="57">
        <v>1.919</v>
      </c>
      <c r="R100" s="57">
        <v>1.8819696212979755</v>
      </c>
      <c r="S100" s="57">
        <v>1.9605228144230782</v>
      </c>
      <c r="T100" s="57">
        <v>2.3098015437473731</v>
      </c>
      <c r="U100" s="44">
        <v>2.72</v>
      </c>
      <c r="V100" s="44"/>
      <c r="W100" s="59">
        <v>2.507699077643097</v>
      </c>
      <c r="X100" s="59">
        <v>2.4524387552416687</v>
      </c>
      <c r="Y100" s="59" t="e">
        <v>#DIV/0!</v>
      </c>
      <c r="Z100" s="59">
        <v>2.4791969186354037</v>
      </c>
      <c r="AA100" s="59" t="e">
        <v>#DIV/0!</v>
      </c>
      <c r="AB100" s="59" t="e">
        <v>#DIV/0!</v>
      </c>
      <c r="AC100" s="59" t="e">
        <v>#DIV/0!</v>
      </c>
      <c r="AD100" s="59" t="e">
        <v>#DIV/0!</v>
      </c>
      <c r="AE100" s="59" t="e">
        <v>#DIV/0!</v>
      </c>
      <c r="AF100" s="59" t="e">
        <v>#DIV/0!</v>
      </c>
      <c r="AG100" s="59" t="e">
        <v>#DIV/0!</v>
      </c>
      <c r="AH100" s="59" t="e">
        <v>#DIV/0!</v>
      </c>
      <c r="AI100" s="59" t="e">
        <v>#DIV/0!</v>
      </c>
      <c r="AJ100" s="59" t="e">
        <v>#DIV/0!</v>
      </c>
      <c r="AK100" s="59" t="e">
        <v>#DIV/0!</v>
      </c>
      <c r="AL100" s="59" t="e">
        <v>#DIV/0!</v>
      </c>
      <c r="AM100" s="59">
        <v>2.4791969186354037</v>
      </c>
      <c r="AO100" s="109" t="str">
        <f>IF(A100='[1]page 1-8'!$A100,"","False")</f>
        <v/>
      </c>
      <c r="AP100" s="109" t="str">
        <f>'[1]page 1-8'!$A100</f>
        <v>Productivity - (Shop)</v>
      </c>
    </row>
    <row r="101" spans="1:42" x14ac:dyDescent="0.4">
      <c r="A101" s="37" t="s">
        <v>210</v>
      </c>
      <c r="B101" s="38" t="s">
        <v>211</v>
      </c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47">
        <v>492</v>
      </c>
      <c r="P101" s="47">
        <v>444</v>
      </c>
      <c r="Q101" s="47">
        <v>455</v>
      </c>
      <c r="R101" s="47">
        <v>447</v>
      </c>
      <c r="S101" s="47">
        <v>454</v>
      </c>
      <c r="T101" s="47">
        <v>434</v>
      </c>
      <c r="U101" s="47">
        <v>417</v>
      </c>
      <c r="V101" s="47"/>
      <c r="W101" s="48">
        <v>444</v>
      </c>
      <c r="X101" s="51">
        <v>442</v>
      </c>
      <c r="Y101" s="47"/>
      <c r="Z101" s="47"/>
      <c r="AA101" s="51"/>
      <c r="AB101" s="51"/>
      <c r="AC101" s="51"/>
      <c r="AD101" s="51"/>
      <c r="AE101" s="51"/>
      <c r="AF101" s="51"/>
      <c r="AG101" s="51"/>
      <c r="AH101" s="58"/>
      <c r="AI101" s="51"/>
      <c r="AJ101" s="51"/>
      <c r="AL101" s="58"/>
      <c r="AM101" s="33">
        <v>443</v>
      </c>
      <c r="AO101" s="109" t="str">
        <f>IF(A101='[1]page 1-8'!$A101,"","False")</f>
        <v/>
      </c>
      <c r="AP101" s="109" t="str">
        <f>'[1]page 1-8'!$A101</f>
        <v>Coke Rate -BF#1</v>
      </c>
    </row>
    <row r="102" spans="1:42" x14ac:dyDescent="0.4">
      <c r="A102" s="37" t="s">
        <v>212</v>
      </c>
      <c r="B102" s="38" t="s">
        <v>211</v>
      </c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47">
        <v>561</v>
      </c>
      <c r="P102" s="47">
        <v>462</v>
      </c>
      <c r="Q102" s="47">
        <v>479</v>
      </c>
      <c r="R102" s="47">
        <v>478</v>
      </c>
      <c r="S102" s="47">
        <v>486</v>
      </c>
      <c r="T102" s="47">
        <v>481</v>
      </c>
      <c r="U102" s="47">
        <v>0</v>
      </c>
      <c r="V102" s="47"/>
      <c r="W102" s="48"/>
      <c r="X102" s="51"/>
      <c r="Y102" s="47"/>
      <c r="Z102" s="47"/>
      <c r="AA102" s="51"/>
      <c r="AB102" s="51"/>
      <c r="AC102" s="51"/>
      <c r="AD102" s="51"/>
      <c r="AE102" s="51"/>
      <c r="AF102" s="51"/>
      <c r="AG102" s="51"/>
      <c r="AH102" s="58"/>
      <c r="AI102" s="51"/>
      <c r="AJ102" s="51"/>
      <c r="AL102" s="58"/>
      <c r="AO102" s="109" t="str">
        <f>IF(A102='[1]page 1-8'!$A102,"","False")</f>
        <v/>
      </c>
      <c r="AP102" s="109" t="str">
        <f>'[1]page 1-8'!$A102</f>
        <v>Coke Rate    BF#4</v>
      </c>
    </row>
    <row r="103" spans="1:42" x14ac:dyDescent="0.4">
      <c r="A103" s="37" t="s">
        <v>213</v>
      </c>
      <c r="B103" s="38" t="s">
        <v>211</v>
      </c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47">
        <v>413</v>
      </c>
      <c r="P103" s="47">
        <v>399</v>
      </c>
      <c r="Q103" s="47">
        <v>397</v>
      </c>
      <c r="R103" s="47">
        <v>389</v>
      </c>
      <c r="S103" s="47">
        <v>385</v>
      </c>
      <c r="T103" s="47">
        <v>371</v>
      </c>
      <c r="U103" s="47">
        <v>358</v>
      </c>
      <c r="V103" s="47"/>
      <c r="W103" s="48">
        <v>371</v>
      </c>
      <c r="X103" s="51">
        <v>370</v>
      </c>
      <c r="Y103" s="47"/>
      <c r="Z103" s="47"/>
      <c r="AA103" s="51"/>
      <c r="AB103" s="51"/>
      <c r="AC103" s="51"/>
      <c r="AD103" s="51"/>
      <c r="AE103" s="51"/>
      <c r="AF103" s="51"/>
      <c r="AG103" s="51"/>
      <c r="AH103" s="58"/>
      <c r="AI103" s="51"/>
      <c r="AJ103" s="51"/>
      <c r="AL103" s="58"/>
      <c r="AM103" s="33">
        <v>371</v>
      </c>
      <c r="AO103" s="109" t="str">
        <f>IF(A103='[1]page 1-8'!$A103,"","False")</f>
        <v/>
      </c>
      <c r="AP103" s="109" t="str">
        <f>'[1]page 1-8'!$A103</f>
        <v>Coke Rate  BF#5</v>
      </c>
    </row>
    <row r="104" spans="1:42" x14ac:dyDescent="0.4">
      <c r="A104" s="37" t="s">
        <v>214</v>
      </c>
      <c r="B104" s="38" t="s">
        <v>211</v>
      </c>
      <c r="C104" s="47">
        <v>565.90404268756549</v>
      </c>
      <c r="D104" s="47">
        <v>548</v>
      </c>
      <c r="E104" s="47">
        <v>534</v>
      </c>
      <c r="F104" s="47">
        <v>529.07674680816797</v>
      </c>
      <c r="G104" s="47">
        <v>528.71228040391304</v>
      </c>
      <c r="H104" s="47">
        <v>525.34338987177409</v>
      </c>
      <c r="I104" s="47">
        <v>528.90295242289983</v>
      </c>
      <c r="J104" s="47">
        <v>494.80402272069955</v>
      </c>
      <c r="K104" s="47">
        <v>463.92566901925824</v>
      </c>
      <c r="L104" s="47">
        <v>417.99280401609855</v>
      </c>
      <c r="M104" s="47">
        <v>409.82129892227448</v>
      </c>
      <c r="N104" s="47">
        <v>417.68825684146759</v>
      </c>
      <c r="O104" s="47">
        <v>439.51862313038976</v>
      </c>
      <c r="P104" s="47">
        <v>414.95838410670711</v>
      </c>
      <c r="Q104" s="47">
        <v>424</v>
      </c>
      <c r="R104" s="47">
        <v>415.24867538537882</v>
      </c>
      <c r="S104" s="47">
        <v>415.32929351185447</v>
      </c>
      <c r="T104" s="47">
        <v>390.59257673508432</v>
      </c>
      <c r="U104" s="47">
        <v>373</v>
      </c>
      <c r="V104" s="47"/>
      <c r="W104" s="48">
        <v>389.68545842407002</v>
      </c>
      <c r="X104" s="47">
        <v>387.51033250673282</v>
      </c>
      <c r="Y104" s="47" t="e">
        <v>#DIV/0!</v>
      </c>
      <c r="Z104" s="47">
        <v>388.57568097778915</v>
      </c>
      <c r="AA104" s="47" t="e">
        <v>#DIV/0!</v>
      </c>
      <c r="AB104" s="47" t="e">
        <v>#DIV/0!</v>
      </c>
      <c r="AC104" s="47" t="e">
        <v>#DIV/0!</v>
      </c>
      <c r="AD104" s="47" t="e">
        <v>#DIV/0!</v>
      </c>
      <c r="AE104" s="47" t="e">
        <v>#DIV/0!</v>
      </c>
      <c r="AF104" s="47" t="e">
        <v>#DIV/0!</v>
      </c>
      <c r="AG104" s="47" t="e">
        <v>#DIV/0!</v>
      </c>
      <c r="AH104" s="47" t="e">
        <v>#DIV/0!</v>
      </c>
      <c r="AI104" s="47" t="e">
        <v>#DIV/0!</v>
      </c>
      <c r="AJ104" s="47" t="e">
        <v>#DIV/0!</v>
      </c>
      <c r="AK104" s="47" t="e">
        <v>#DIV/0!</v>
      </c>
      <c r="AL104" s="47" t="e">
        <v>#DIV/0!</v>
      </c>
      <c r="AM104" s="47">
        <v>388.57568097778915</v>
      </c>
      <c r="AO104" s="109" t="str">
        <f>IF(A104='[1]page 1-8'!$A104,"","False")</f>
        <v/>
      </c>
      <c r="AP104" s="109" t="str">
        <f>'[1]page 1-8'!$A104</f>
        <v>Coke Rate SHOP</v>
      </c>
    </row>
    <row r="105" spans="1:42" x14ac:dyDescent="0.4">
      <c r="A105" s="37" t="s">
        <v>215</v>
      </c>
      <c r="B105" s="38" t="s">
        <v>211</v>
      </c>
      <c r="C105" s="47"/>
      <c r="D105" s="47"/>
      <c r="E105" s="47"/>
      <c r="F105" s="47"/>
      <c r="G105" s="47"/>
      <c r="H105" s="47"/>
      <c r="I105" s="47"/>
      <c r="J105" s="51"/>
      <c r="K105" s="51"/>
      <c r="L105" s="51"/>
      <c r="M105" s="51"/>
      <c r="N105" s="44">
        <v>89.06</v>
      </c>
      <c r="O105" s="44">
        <v>97.92</v>
      </c>
      <c r="P105" s="47">
        <v>95</v>
      </c>
      <c r="Q105" s="47">
        <v>91.26</v>
      </c>
      <c r="R105" s="47">
        <v>86.453197008533337</v>
      </c>
      <c r="S105" s="47">
        <v>94.114943121787732</v>
      </c>
      <c r="T105" s="47">
        <v>96.452202369577677</v>
      </c>
      <c r="U105" s="47">
        <v>110</v>
      </c>
      <c r="V105" s="47"/>
      <c r="W105" s="48">
        <v>92.395703441184835</v>
      </c>
      <c r="X105" s="47">
        <v>98.551262595936549</v>
      </c>
      <c r="Y105" s="47" t="e">
        <v>#DIV/0!</v>
      </c>
      <c r="Z105" s="47">
        <v>95.476425944847264</v>
      </c>
      <c r="AA105" s="47" t="e">
        <v>#DIV/0!</v>
      </c>
      <c r="AB105" s="47" t="e">
        <v>#DIV/0!</v>
      </c>
      <c r="AC105" s="47" t="e">
        <v>#DIV/0!</v>
      </c>
      <c r="AD105" s="47" t="e">
        <v>#DIV/0!</v>
      </c>
      <c r="AE105" s="47" t="e">
        <v>#DIV/0!</v>
      </c>
      <c r="AF105" s="47" t="e">
        <v>#DIV/0!</v>
      </c>
      <c r="AG105" s="47" t="e">
        <v>#DIV/0!</v>
      </c>
      <c r="AH105" s="47" t="e">
        <v>#DIV/0!</v>
      </c>
      <c r="AI105" s="47" t="e">
        <v>#DIV/0!</v>
      </c>
      <c r="AJ105" s="47" t="e">
        <v>#DIV/0!</v>
      </c>
      <c r="AK105" s="47" t="e">
        <v>#DIV/0!</v>
      </c>
      <c r="AL105" s="47" t="e">
        <v>#DIV/0!</v>
      </c>
      <c r="AM105" s="47">
        <v>95.476425944847264</v>
      </c>
      <c r="AO105" s="109" t="str">
        <f>IF(A105='[1]page 1-8'!$A105,"","False")</f>
        <v/>
      </c>
      <c r="AP105" s="109" t="str">
        <f>'[1]page 1-8'!$A105</f>
        <v>BF#1 PCI(Dry)</v>
      </c>
    </row>
    <row r="106" spans="1:42" x14ac:dyDescent="0.4">
      <c r="A106" s="37" t="s">
        <v>216</v>
      </c>
      <c r="B106" s="38" t="s">
        <v>211</v>
      </c>
      <c r="C106" s="47"/>
      <c r="D106" s="47"/>
      <c r="E106" s="47"/>
      <c r="F106" s="47"/>
      <c r="G106" s="47"/>
      <c r="H106" s="47"/>
      <c r="I106" s="47"/>
      <c r="J106" s="51" t="s">
        <v>162</v>
      </c>
      <c r="K106" s="47">
        <v>6.6257448600754998</v>
      </c>
      <c r="L106" s="47">
        <v>44.079053895106028</v>
      </c>
      <c r="M106" s="47">
        <v>71.425953750870377</v>
      </c>
      <c r="N106" s="44">
        <v>78.47</v>
      </c>
      <c r="O106" s="44">
        <v>20.93</v>
      </c>
      <c r="P106" s="47">
        <v>82</v>
      </c>
      <c r="Q106" s="47">
        <v>74.900000000000006</v>
      </c>
      <c r="R106" s="47">
        <v>72.883163405504604</v>
      </c>
      <c r="S106" s="47">
        <v>78.85417116053604</v>
      </c>
      <c r="T106" s="47">
        <v>89.891912443647811</v>
      </c>
      <c r="U106" s="47">
        <v>0</v>
      </c>
      <c r="V106" s="47"/>
      <c r="W106" s="48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O106" s="109" t="str">
        <f>IF(A106='[1]page 1-8'!$A106,"","False")</f>
        <v/>
      </c>
      <c r="AP106" s="109" t="str">
        <f>'[1]page 1-8'!$A106</f>
        <v>BF#4 PCI(Dry)</v>
      </c>
    </row>
    <row r="107" spans="1:42" x14ac:dyDescent="0.4">
      <c r="A107" s="37" t="s">
        <v>217</v>
      </c>
      <c r="B107" s="38" t="s">
        <v>211</v>
      </c>
      <c r="C107" s="47"/>
      <c r="D107" s="47"/>
      <c r="E107" s="47"/>
      <c r="F107" s="47"/>
      <c r="G107" s="47"/>
      <c r="H107" s="47"/>
      <c r="I107" s="47"/>
      <c r="J107" s="49">
        <v>84.67</v>
      </c>
      <c r="K107" s="49">
        <v>125.22518641055346</v>
      </c>
      <c r="L107" s="49">
        <v>130.92496345917402</v>
      </c>
      <c r="M107" s="49">
        <v>144.1521788302401</v>
      </c>
      <c r="N107" s="44">
        <v>143.22</v>
      </c>
      <c r="O107" s="44">
        <v>129</v>
      </c>
      <c r="P107" s="47">
        <v>124</v>
      </c>
      <c r="Q107" s="47">
        <v>127.6</v>
      </c>
      <c r="R107" s="47">
        <v>137.6574327807472</v>
      </c>
      <c r="S107" s="47">
        <v>149.45038136094058</v>
      </c>
      <c r="T107" s="47">
        <v>147.63069881838231</v>
      </c>
      <c r="U107" s="47">
        <v>150</v>
      </c>
      <c r="V107" s="47"/>
      <c r="W107" s="48">
        <v>154.999739383605</v>
      </c>
      <c r="X107" s="47">
        <v>157.89975055833298</v>
      </c>
      <c r="Y107" s="47" t="e">
        <v>#DIV/0!</v>
      </c>
      <c r="Z107" s="47">
        <v>156.48872247190806</v>
      </c>
      <c r="AA107" s="47" t="e">
        <v>#DIV/0!</v>
      </c>
      <c r="AB107" s="47" t="e">
        <v>#DIV/0!</v>
      </c>
      <c r="AC107" s="47" t="e">
        <v>#DIV/0!</v>
      </c>
      <c r="AD107" s="47" t="e">
        <v>#DIV/0!</v>
      </c>
      <c r="AE107" s="47" t="e">
        <v>#DIV/0!</v>
      </c>
      <c r="AF107" s="47" t="e">
        <v>#DIV/0!</v>
      </c>
      <c r="AG107" s="47" t="e">
        <v>#DIV/0!</v>
      </c>
      <c r="AH107" s="47" t="e">
        <v>#DIV/0!</v>
      </c>
      <c r="AI107" s="47" t="e">
        <v>#DIV/0!</v>
      </c>
      <c r="AJ107" s="47" t="e">
        <v>#DIV/0!</v>
      </c>
      <c r="AK107" s="47" t="e">
        <v>#DIV/0!</v>
      </c>
      <c r="AL107" s="47" t="e">
        <v>#DIV/0!</v>
      </c>
      <c r="AM107" s="47">
        <v>156.48872247190806</v>
      </c>
      <c r="AO107" s="109" t="str">
        <f>IF(A107='[1]page 1-8'!$A107,"","False")</f>
        <v/>
      </c>
      <c r="AP107" s="109" t="str">
        <f>'[1]page 1-8'!$A107</f>
        <v>BF#5 PCI(Dry)</v>
      </c>
    </row>
    <row r="108" spans="1:42" x14ac:dyDescent="0.4">
      <c r="A108" s="37" t="s">
        <v>218</v>
      </c>
      <c r="B108" s="38" t="s">
        <v>211</v>
      </c>
      <c r="C108" s="47"/>
      <c r="D108" s="47"/>
      <c r="E108" s="47"/>
      <c r="F108" s="47"/>
      <c r="G108" s="47"/>
      <c r="H108" s="47"/>
      <c r="I108" s="47"/>
      <c r="J108" s="49"/>
      <c r="K108" s="49">
        <v>88.058978816814403</v>
      </c>
      <c r="L108" s="49">
        <v>121.33785053918166</v>
      </c>
      <c r="M108" s="49">
        <v>127.41256095231726</v>
      </c>
      <c r="N108" s="44">
        <v>125.89</v>
      </c>
      <c r="O108" s="44">
        <v>116</v>
      </c>
      <c r="P108" s="47">
        <v>114</v>
      </c>
      <c r="Q108" s="47">
        <v>110.46</v>
      </c>
      <c r="R108" s="47">
        <v>117.07878832589915</v>
      </c>
      <c r="S108" s="47">
        <v>126.9348577674001</v>
      </c>
      <c r="T108" s="47">
        <v>133.08682674539637</v>
      </c>
      <c r="U108" s="47">
        <v>140</v>
      </c>
      <c r="V108" s="47"/>
      <c r="W108" s="48">
        <v>139.10215101551043</v>
      </c>
      <c r="X108" s="47">
        <v>143.40452763778896</v>
      </c>
      <c r="Y108" s="47" t="e">
        <v>#DIV/0!</v>
      </c>
      <c r="Z108" s="47">
        <v>141.29727935394521</v>
      </c>
      <c r="AA108" s="47" t="e">
        <v>#DIV/0!</v>
      </c>
      <c r="AB108" s="47" t="e">
        <v>#DIV/0!</v>
      </c>
      <c r="AC108" s="47" t="e">
        <v>#DIV/0!</v>
      </c>
      <c r="AD108" s="47" t="e">
        <v>#DIV/0!</v>
      </c>
      <c r="AE108" s="47" t="e">
        <v>#DIV/0!</v>
      </c>
      <c r="AF108" s="47" t="e">
        <v>#DIV/0!</v>
      </c>
      <c r="AG108" s="47" t="e">
        <v>#DIV/0!</v>
      </c>
      <c r="AH108" s="47" t="e">
        <v>#DIV/0!</v>
      </c>
      <c r="AI108" s="47" t="e">
        <v>#DIV/0!</v>
      </c>
      <c r="AJ108" s="47" t="e">
        <v>#DIV/0!</v>
      </c>
      <c r="AK108" s="47" t="e">
        <v>#DIV/0!</v>
      </c>
      <c r="AL108" s="47" t="e">
        <v>#DIV/0!</v>
      </c>
      <c r="AM108" s="47">
        <v>141.29727935394521</v>
      </c>
      <c r="AO108" s="109" t="str">
        <f>IF(A108='[1]page 1-8'!$A108,"","False")</f>
        <v/>
      </c>
      <c r="AP108" s="109" t="str">
        <f>'[1]page 1-8'!$A108</f>
        <v>PCI - Shop</v>
      </c>
    </row>
    <row r="109" spans="1:42" x14ac:dyDescent="0.4">
      <c r="A109" s="37" t="s">
        <v>229</v>
      </c>
      <c r="B109" s="38" t="s">
        <v>211</v>
      </c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9">
        <v>22.06</v>
      </c>
      <c r="O109" s="49">
        <v>6.86</v>
      </c>
      <c r="P109" s="47">
        <v>15</v>
      </c>
      <c r="Q109" s="47">
        <v>4.68</v>
      </c>
      <c r="R109" s="47">
        <v>30.51</v>
      </c>
      <c r="S109" s="47">
        <v>14.12</v>
      </c>
      <c r="T109" s="47">
        <v>0</v>
      </c>
      <c r="U109" s="49">
        <v>0</v>
      </c>
      <c r="V109" s="49"/>
      <c r="W109" s="51">
        <v>0</v>
      </c>
      <c r="X109" s="51">
        <v>0</v>
      </c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>
        <v>0</v>
      </c>
      <c r="AO109" s="109" t="str">
        <f>IF(A109='[1]page 1-8'!$A109,"","False")</f>
        <v/>
      </c>
      <c r="AP109" s="109" t="str">
        <f>'[1]page 1-8'!$A109</f>
        <v>N/C --BF- 1</v>
      </c>
    </row>
    <row r="110" spans="1:42" x14ac:dyDescent="0.4">
      <c r="A110" s="37" t="s">
        <v>230</v>
      </c>
      <c r="B110" s="38" t="s">
        <v>211</v>
      </c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9">
        <v>24.16</v>
      </c>
      <c r="O110" s="49">
        <v>4.49</v>
      </c>
      <c r="P110" s="47">
        <v>10</v>
      </c>
      <c r="Q110" s="47">
        <v>4.7300000000000004</v>
      </c>
      <c r="R110" s="47">
        <v>27.64</v>
      </c>
      <c r="S110" s="47">
        <v>15.39</v>
      </c>
      <c r="T110" s="47">
        <v>9.1</v>
      </c>
      <c r="U110" s="49">
        <v>0</v>
      </c>
      <c r="V110" s="49"/>
      <c r="W110" s="51">
        <v>0</v>
      </c>
      <c r="X110" s="51">
        <v>0</v>
      </c>
      <c r="Y110" s="51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>
        <v>0</v>
      </c>
      <c r="AO110" s="109" t="str">
        <f>IF(A110='[1]page 1-8'!$A110,"","False")</f>
        <v/>
      </c>
      <c r="AP110" s="109" t="str">
        <f>'[1]page 1-8'!$A110</f>
        <v>N/C --BF- 4</v>
      </c>
    </row>
    <row r="111" spans="1:42" x14ac:dyDescent="0.4">
      <c r="A111" s="37" t="s">
        <v>231</v>
      </c>
      <c r="B111" s="38" t="s">
        <v>211</v>
      </c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9">
        <v>36.299999999999997</v>
      </c>
      <c r="O111" s="49">
        <v>39.03</v>
      </c>
      <c r="P111" s="47">
        <v>37.65</v>
      </c>
      <c r="Q111" s="47">
        <v>37.979999999999997</v>
      </c>
      <c r="R111" s="47">
        <v>40.78</v>
      </c>
      <c r="S111" s="47">
        <v>38.299999999999997</v>
      </c>
      <c r="T111" s="47">
        <v>34</v>
      </c>
      <c r="U111" s="49">
        <v>17</v>
      </c>
      <c r="V111" s="49"/>
      <c r="W111" s="51">
        <v>27</v>
      </c>
      <c r="X111" s="51">
        <v>25</v>
      </c>
      <c r="Y111" s="51"/>
      <c r="Z111" s="5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>
        <v>26</v>
      </c>
      <c r="AO111" s="109" t="str">
        <f>IF(A111='[1]page 1-8'!$A111,"","False")</f>
        <v/>
      </c>
      <c r="AP111" s="109" t="str">
        <f>'[1]page 1-8'!$A111</f>
        <v>N/C --BF- 5</v>
      </c>
    </row>
    <row r="112" spans="1:42" x14ac:dyDescent="0.4">
      <c r="A112" s="37" t="s">
        <v>232</v>
      </c>
      <c r="B112" s="38" t="s">
        <v>211</v>
      </c>
      <c r="C112" s="44">
        <v>20.855881270019662</v>
      </c>
      <c r="D112" s="44">
        <v>24.77</v>
      </c>
      <c r="E112" s="44">
        <v>24.75</v>
      </c>
      <c r="F112" s="44">
        <v>25.891329270468773</v>
      </c>
      <c r="G112" s="44">
        <v>26.53384479667783</v>
      </c>
      <c r="H112" s="44">
        <v>24.487461803301233</v>
      </c>
      <c r="I112" s="44">
        <v>26.160232442272232</v>
      </c>
      <c r="J112" s="49">
        <v>28.090382708818204</v>
      </c>
      <c r="K112" s="49">
        <v>26.933875724522274</v>
      </c>
      <c r="L112" s="49">
        <v>30.654370079910844</v>
      </c>
      <c r="M112" s="49">
        <v>30.781680425687629</v>
      </c>
      <c r="N112" s="49">
        <v>32.409999999999997</v>
      </c>
      <c r="O112" s="49">
        <v>29.61</v>
      </c>
      <c r="P112" s="47">
        <v>30</v>
      </c>
      <c r="Q112" s="47">
        <v>25.06</v>
      </c>
      <c r="R112" s="47">
        <v>36.630000000000003</v>
      </c>
      <c r="S112" s="47">
        <v>29.81</v>
      </c>
      <c r="T112" s="47">
        <v>25</v>
      </c>
      <c r="U112" s="47">
        <v>13</v>
      </c>
      <c r="V112" s="47"/>
      <c r="W112" s="51">
        <v>20</v>
      </c>
      <c r="X112" s="51">
        <v>19</v>
      </c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>
        <v>20</v>
      </c>
      <c r="AO112" s="109" t="str">
        <f>IF(A112='[1]page 1-8'!$A112,"","False")</f>
        <v/>
      </c>
      <c r="AP112" s="109" t="str">
        <f>'[1]page 1-8'!$A112</f>
        <v>N/C -SHOP</v>
      </c>
    </row>
    <row r="113" spans="1:42" x14ac:dyDescent="0.4">
      <c r="A113" s="37" t="s">
        <v>401</v>
      </c>
      <c r="B113" s="42" t="s">
        <v>162</v>
      </c>
      <c r="C113" s="38">
        <v>1.006</v>
      </c>
      <c r="D113" s="38">
        <v>0.98299999999999998</v>
      </c>
      <c r="E113" s="57">
        <v>0.97</v>
      </c>
      <c r="F113" s="57">
        <v>0.96599999999999997</v>
      </c>
      <c r="G113" s="57">
        <v>0.96599999999999997</v>
      </c>
      <c r="H113" s="57">
        <v>0.95599999999999996</v>
      </c>
      <c r="I113" s="57">
        <v>0.96</v>
      </c>
      <c r="J113" s="57">
        <v>0.96399999999999997</v>
      </c>
      <c r="K113" s="57">
        <v>0.995</v>
      </c>
      <c r="L113" s="57">
        <v>0.99358333333333315</v>
      </c>
      <c r="M113" s="57">
        <v>0.94599999999999995</v>
      </c>
      <c r="N113" s="57">
        <v>0.94199999999999995</v>
      </c>
      <c r="O113" s="57">
        <v>0.95799999999999996</v>
      </c>
      <c r="P113" s="57">
        <v>0.93799999999999994</v>
      </c>
      <c r="Q113" s="57">
        <v>0.96899999999999997</v>
      </c>
      <c r="R113" s="57">
        <v>0.96699999999999997</v>
      </c>
      <c r="S113" s="57">
        <v>0.97099999999999997</v>
      </c>
      <c r="T113" s="57">
        <v>0.89500000000000002</v>
      </c>
      <c r="U113" s="57">
        <v>0.85799999999999998</v>
      </c>
      <c r="V113" s="57"/>
      <c r="W113" s="59">
        <v>0.88800000000000001</v>
      </c>
      <c r="X113" s="57">
        <v>0.88500000000000001</v>
      </c>
      <c r="Y113" s="57">
        <v>0</v>
      </c>
      <c r="Z113" s="57">
        <v>0.98899999999999999</v>
      </c>
      <c r="AA113" s="57">
        <v>0</v>
      </c>
      <c r="AB113" s="57">
        <v>0</v>
      </c>
      <c r="AC113" s="57">
        <v>0</v>
      </c>
      <c r="AD113" s="57">
        <v>0.97899999999999998</v>
      </c>
      <c r="AE113" s="57">
        <v>0</v>
      </c>
      <c r="AF113" s="57">
        <v>0</v>
      </c>
      <c r="AG113" s="57">
        <v>0</v>
      </c>
      <c r="AH113" s="57">
        <v>0.98099999999999998</v>
      </c>
      <c r="AI113" s="57">
        <v>0</v>
      </c>
      <c r="AJ113" s="57">
        <v>0</v>
      </c>
      <c r="AK113" s="57">
        <v>0</v>
      </c>
      <c r="AL113" s="57"/>
      <c r="AM113" s="57">
        <v>0.88600000000000001</v>
      </c>
      <c r="AO113" s="109" t="str">
        <f>IF(A113='[1]page 1-8'!$A113,"","False")</f>
        <v>False</v>
      </c>
      <c r="AP113" s="109" t="str">
        <f>'[1]page 1-8'!$A113</f>
        <v xml:space="preserve">Coal to H M Ratio </v>
      </c>
    </row>
    <row r="114" spans="1:42" x14ac:dyDescent="0.4">
      <c r="A114" s="37" t="s">
        <v>219</v>
      </c>
      <c r="B114" s="38" t="s">
        <v>211</v>
      </c>
      <c r="C114" s="47">
        <v>464.03659913678132</v>
      </c>
      <c r="D114" s="47">
        <v>452</v>
      </c>
      <c r="E114" s="47">
        <v>445</v>
      </c>
      <c r="F114" s="47">
        <v>441.34259526870352</v>
      </c>
      <c r="G114" s="47">
        <v>442.18851571581268</v>
      </c>
      <c r="H114" s="47">
        <v>440.00573404868658</v>
      </c>
      <c r="I114" s="47">
        <v>441.656002896139</v>
      </c>
      <c r="J114" s="47">
        <v>416.61261703026105</v>
      </c>
      <c r="K114" s="47">
        <v>467.74603518262171</v>
      </c>
      <c r="L114" s="47">
        <v>459.55606425652064</v>
      </c>
      <c r="M114" s="47">
        <v>458.48589110291374</v>
      </c>
      <c r="N114" s="47">
        <v>460.72633263198344</v>
      </c>
      <c r="O114" s="47">
        <v>432.13230627425384</v>
      </c>
      <c r="P114" s="47">
        <v>455</v>
      </c>
      <c r="Q114" s="47">
        <v>457</v>
      </c>
      <c r="R114" s="47">
        <v>465</v>
      </c>
      <c r="S114" s="47">
        <v>463</v>
      </c>
      <c r="T114" s="47">
        <v>449</v>
      </c>
      <c r="U114" s="47">
        <v>436</v>
      </c>
      <c r="V114" s="47"/>
      <c r="W114" s="48">
        <v>445</v>
      </c>
      <c r="X114" s="47">
        <v>447</v>
      </c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48">
        <v>446</v>
      </c>
      <c r="AO114" s="109" t="str">
        <f>IF(A114='[1]page 1-8'!$A114,"","False")</f>
        <v/>
      </c>
      <c r="AP114" s="109" t="str">
        <f>'[1]page 1-8'!$A114</f>
        <v>Carbon Rate</v>
      </c>
    </row>
    <row r="115" spans="1:42" x14ac:dyDescent="0.4">
      <c r="A115" s="37" t="s">
        <v>220</v>
      </c>
      <c r="B115" s="38" t="s">
        <v>211</v>
      </c>
      <c r="C115" s="47">
        <v>1206.6436471027287</v>
      </c>
      <c r="D115" s="47">
        <v>1212</v>
      </c>
      <c r="E115" s="47">
        <v>1209</v>
      </c>
      <c r="F115" s="47">
        <v>1188.0297017194018</v>
      </c>
      <c r="G115" s="47">
        <v>1203.4974266049721</v>
      </c>
      <c r="H115" s="47">
        <v>1218.4418621165396</v>
      </c>
      <c r="I115" s="47">
        <v>1223.7218130717852</v>
      </c>
      <c r="J115" s="47">
        <v>1252.8870500185474</v>
      </c>
      <c r="K115" s="47">
        <v>1283.017391821712</v>
      </c>
      <c r="L115" s="47">
        <v>1281.0984541433793</v>
      </c>
      <c r="M115" s="47">
        <v>1240.7626322604278</v>
      </c>
      <c r="N115" s="47">
        <v>1281.1610091801708</v>
      </c>
      <c r="O115" s="47">
        <v>1270.6143373522561</v>
      </c>
      <c r="P115" s="47">
        <v>1281.059469325573</v>
      </c>
      <c r="Q115" s="47">
        <v>1247.4671525306801</v>
      </c>
      <c r="R115" s="47">
        <v>1229.0405356781198</v>
      </c>
      <c r="S115" s="47">
        <v>1221.0611851834051</v>
      </c>
      <c r="T115" s="47">
        <v>1215.146974137778</v>
      </c>
      <c r="U115" s="47">
        <v>1190</v>
      </c>
      <c r="V115" s="47"/>
      <c r="W115" s="48">
        <v>1256.6608150748855</v>
      </c>
      <c r="X115" s="47">
        <v>1257.3740767405275</v>
      </c>
      <c r="Y115" s="47" t="e">
        <v>#DIV/0!</v>
      </c>
      <c r="Z115" s="47">
        <v>1257.0247304250347</v>
      </c>
      <c r="AA115" s="47" t="e">
        <v>#DIV/0!</v>
      </c>
      <c r="AB115" s="47" t="e">
        <v>#DIV/0!</v>
      </c>
      <c r="AC115" s="47" t="e">
        <v>#DIV/0!</v>
      </c>
      <c r="AD115" s="47" t="e">
        <v>#DIV/0!</v>
      </c>
      <c r="AE115" s="47" t="e">
        <v>#DIV/0!</v>
      </c>
      <c r="AF115" s="47" t="e">
        <v>#DIV/0!</v>
      </c>
      <c r="AG115" s="47" t="e">
        <v>#DIV/0!</v>
      </c>
      <c r="AH115" s="47" t="e">
        <v>#DIV/0!</v>
      </c>
      <c r="AI115" s="47" t="e">
        <v>#DIV/0!</v>
      </c>
      <c r="AJ115" s="47" t="e">
        <v>#DIV/0!</v>
      </c>
      <c r="AK115" s="47" t="e">
        <v>#DIV/0!</v>
      </c>
      <c r="AL115" s="47" t="e">
        <v>#DIV/0!</v>
      </c>
      <c r="AM115" s="47">
        <v>1257.0247304250347</v>
      </c>
      <c r="AO115" s="109" t="str">
        <f>IF(A115='[1]page 1-8'!$A115,"","False")</f>
        <v/>
      </c>
      <c r="AP115" s="109" t="str">
        <f>'[1]page 1-8'!$A115</f>
        <v>Sinter.-wet</v>
      </c>
    </row>
    <row r="116" spans="1:42" x14ac:dyDescent="0.4">
      <c r="A116" s="37" t="s">
        <v>221</v>
      </c>
      <c r="B116" s="38" t="s">
        <v>211</v>
      </c>
      <c r="C116" s="47">
        <v>490.38623706383038</v>
      </c>
      <c r="D116" s="47">
        <v>483</v>
      </c>
      <c r="E116" s="47">
        <v>487</v>
      </c>
      <c r="F116" s="47">
        <v>508.09295007469711</v>
      </c>
      <c r="G116" s="47">
        <v>492.77396566150372</v>
      </c>
      <c r="H116" s="47">
        <v>477.38462370827244</v>
      </c>
      <c r="I116" s="47">
        <v>472.53500540908522</v>
      </c>
      <c r="J116" s="47">
        <v>440.10378966595277</v>
      </c>
      <c r="K116" s="47">
        <v>412.94540061278485</v>
      </c>
      <c r="L116" s="47">
        <v>406.84167930424172</v>
      </c>
      <c r="M116" s="47">
        <v>452.18801722481004</v>
      </c>
      <c r="N116" s="47">
        <v>434.37516372681728</v>
      </c>
      <c r="O116" s="47">
        <v>464.07412945562731</v>
      </c>
      <c r="P116" s="47">
        <v>415.2726830373598</v>
      </c>
      <c r="Q116" s="47">
        <v>477.97333466143544</v>
      </c>
      <c r="R116" s="47">
        <v>436.90185289452569</v>
      </c>
      <c r="S116" s="47">
        <v>415.41584840033659</v>
      </c>
      <c r="T116" s="47">
        <v>254.72874865799008</v>
      </c>
      <c r="U116" s="47">
        <v>163</v>
      </c>
      <c r="V116" s="47"/>
      <c r="W116" s="48">
        <v>164.570463534954</v>
      </c>
      <c r="X116" s="47">
        <v>235.40516758659308</v>
      </c>
      <c r="Y116" s="47" t="e">
        <v>#DIV/0!</v>
      </c>
      <c r="Z116" s="47">
        <v>200.71124800352632</v>
      </c>
      <c r="AA116" s="47" t="e">
        <v>#DIV/0!</v>
      </c>
      <c r="AB116" s="47" t="e">
        <v>#DIV/0!</v>
      </c>
      <c r="AC116" s="47" t="e">
        <v>#DIV/0!</v>
      </c>
      <c r="AD116" s="47" t="e">
        <v>#DIV/0!</v>
      </c>
      <c r="AE116" s="47" t="e">
        <v>#DIV/0!</v>
      </c>
      <c r="AF116" s="47" t="e">
        <v>#DIV/0!</v>
      </c>
      <c r="AG116" s="47" t="e">
        <v>#DIV/0!</v>
      </c>
      <c r="AH116" s="47" t="e">
        <v>#DIV/0!</v>
      </c>
      <c r="AI116" s="47" t="e">
        <v>#DIV/0!</v>
      </c>
      <c r="AJ116" s="47" t="e">
        <v>#DIV/0!</v>
      </c>
      <c r="AK116" s="47" t="e">
        <v>#DIV/0!</v>
      </c>
      <c r="AL116" s="47" t="e">
        <v>#DIV/0!</v>
      </c>
      <c r="AM116" s="47">
        <v>200.71124800352632</v>
      </c>
      <c r="AO116" s="109" t="str">
        <f>IF(A116='[1]page 1-8'!$A116,"","False")</f>
        <v/>
      </c>
      <c r="AP116" s="109" t="str">
        <f>'[1]page 1-8'!$A116</f>
        <v>Iron Ore( Lump).-wet</v>
      </c>
    </row>
    <row r="117" spans="1:42" x14ac:dyDescent="0.4">
      <c r="A117" s="37" t="s">
        <v>222</v>
      </c>
      <c r="B117" s="38" t="s">
        <v>211</v>
      </c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>
        <v>1199.3162615630906</v>
      </c>
      <c r="N117" s="47">
        <v>1491.8449284347705</v>
      </c>
      <c r="O117" s="47">
        <v>1230.5057596713204</v>
      </c>
      <c r="P117" s="47">
        <v>1275.4211449043373</v>
      </c>
      <c r="Q117" s="47">
        <v>1246.4148160855298</v>
      </c>
      <c r="R117" s="47">
        <v>1291.850665085411</v>
      </c>
      <c r="S117" s="47">
        <v>1242.3145266693634</v>
      </c>
      <c r="T117" s="47">
        <v>1224.6389218478409</v>
      </c>
      <c r="U117" s="47">
        <v>1165</v>
      </c>
      <c r="V117" s="47"/>
      <c r="W117" s="48">
        <v>1274.1128172081242</v>
      </c>
      <c r="X117" s="47">
        <v>1285.2251819854412</v>
      </c>
      <c r="Y117" s="47" t="e">
        <v>#DIV/0!</v>
      </c>
      <c r="Z117" s="47">
        <v>1279.7824898033591</v>
      </c>
      <c r="AA117" s="47" t="e">
        <v>#DIV/0!</v>
      </c>
      <c r="AB117" s="47" t="e">
        <v>#DIV/0!</v>
      </c>
      <c r="AC117" s="47" t="e">
        <v>#DIV/0!</v>
      </c>
      <c r="AD117" s="47" t="e">
        <v>#DIV/0!</v>
      </c>
      <c r="AE117" s="47" t="e">
        <v>#DIV/0!</v>
      </c>
      <c r="AF117" s="47" t="e">
        <v>#DIV/0!</v>
      </c>
      <c r="AG117" s="47" t="e">
        <v>#DIV/0!</v>
      </c>
      <c r="AH117" s="47" t="e">
        <v>#DIV/0!</v>
      </c>
      <c r="AI117" s="47" t="e">
        <v>#DIV/0!</v>
      </c>
      <c r="AJ117" s="47" t="e">
        <v>#DIV/0!</v>
      </c>
      <c r="AK117" s="47" t="e">
        <v>#DIV/0!</v>
      </c>
      <c r="AL117" s="47" t="e">
        <v>#DIV/0!</v>
      </c>
      <c r="AM117" s="47">
        <v>1279.7824898033591</v>
      </c>
      <c r="AO117" s="109" t="str">
        <f>IF(A117='[1]page 1-8'!$A117,"","False")</f>
        <v/>
      </c>
      <c r="AP117" s="109" t="str">
        <f>'[1]page 1-8'!$A117</f>
        <v>Iron Ore Fines  (sinter)</v>
      </c>
    </row>
    <row r="118" spans="1:42" x14ac:dyDescent="0.4">
      <c r="A118" s="37" t="s">
        <v>223</v>
      </c>
      <c r="B118" s="38" t="s">
        <v>211</v>
      </c>
      <c r="C118" s="47"/>
      <c r="D118" s="47"/>
      <c r="E118" s="47"/>
      <c r="F118" s="47"/>
      <c r="G118" s="47"/>
      <c r="H118" s="47"/>
      <c r="I118" s="47"/>
      <c r="J118" s="47"/>
      <c r="K118" s="47"/>
      <c r="L118" s="47">
        <v>1644.1449565409632</v>
      </c>
      <c r="M118" s="47">
        <v>1651.5042787879006</v>
      </c>
      <c r="N118" s="47">
        <v>1690.6728953886968</v>
      </c>
      <c r="O118" s="47">
        <v>1694.5798891269478</v>
      </c>
      <c r="P118" s="47">
        <v>1715</v>
      </c>
      <c r="Q118" s="47">
        <v>1745.3009165748986</v>
      </c>
      <c r="R118" s="47">
        <v>1743.6913916463036</v>
      </c>
      <c r="S118" s="47">
        <v>1741.7402383218764</v>
      </c>
      <c r="T118" s="47">
        <v>1723.7470138191015</v>
      </c>
      <c r="U118" s="47">
        <v>1700</v>
      </c>
      <c r="V118" s="47"/>
      <c r="W118" s="48">
        <v>1718.8041642593662</v>
      </c>
      <c r="X118" s="48">
        <v>1719.1611337759646</v>
      </c>
      <c r="Y118" s="48" t="e">
        <v>#DIV/0!</v>
      </c>
      <c r="Z118" s="48">
        <v>1718.9862947352956</v>
      </c>
      <c r="AA118" s="48" t="e">
        <v>#DIV/0!</v>
      </c>
      <c r="AB118" s="48" t="e">
        <v>#DIV/0!</v>
      </c>
      <c r="AC118" s="48" t="e">
        <v>#DIV/0!</v>
      </c>
      <c r="AD118" s="48" t="e">
        <v>#DIV/0!</v>
      </c>
      <c r="AE118" s="48" t="e">
        <v>#DIV/0!</v>
      </c>
      <c r="AF118" s="48" t="e">
        <v>#DIV/0!</v>
      </c>
      <c r="AG118" s="48" t="e">
        <v>#DIV/0!</v>
      </c>
      <c r="AH118" s="48" t="e">
        <v>#DIV/0!</v>
      </c>
      <c r="AI118" s="48" t="e">
        <v>#DIV/0!</v>
      </c>
      <c r="AJ118" s="48" t="e">
        <v>#DIV/0!</v>
      </c>
      <c r="AK118" s="48" t="e">
        <v>#DIV/0!</v>
      </c>
      <c r="AL118" s="48" t="e">
        <v>#DIV/0!</v>
      </c>
      <c r="AM118" s="48">
        <v>1718.9862947352956</v>
      </c>
      <c r="AO118" s="109" t="str">
        <f>IF(A118='[1]page 1-8'!$A118,"","False")</f>
        <v/>
      </c>
      <c r="AP118" s="109" t="str">
        <f>'[1]page 1-8'!$A118</f>
        <v>Specific Iron bearing material .(wet)</v>
      </c>
    </row>
    <row r="119" spans="1:42" x14ac:dyDescent="0.4">
      <c r="A119" s="37" t="s">
        <v>224</v>
      </c>
      <c r="B119" s="38" t="s">
        <v>211</v>
      </c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>
        <v>1715</v>
      </c>
      <c r="S119" s="47">
        <v>1713</v>
      </c>
      <c r="T119" s="47">
        <v>1697</v>
      </c>
      <c r="U119" s="47"/>
      <c r="V119" s="47"/>
      <c r="W119" s="48">
        <v>1700</v>
      </c>
      <c r="X119" s="48">
        <v>1697</v>
      </c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>
        <v>1698</v>
      </c>
      <c r="AO119" s="109" t="str">
        <f>IF(A119='[1]page 1-8'!$A119,"","False")</f>
        <v/>
      </c>
      <c r="AP119" s="109" t="str">
        <f>'[1]page 1-8'!$A119</f>
        <v>Specific Iron bearing material .(dry)</v>
      </c>
    </row>
    <row r="120" spans="1:42" x14ac:dyDescent="0.4">
      <c r="A120" s="34" t="s">
        <v>225</v>
      </c>
      <c r="B120" s="38" t="s">
        <v>211</v>
      </c>
      <c r="C120" s="47"/>
      <c r="D120" s="47"/>
      <c r="E120" s="47"/>
      <c r="F120" s="47"/>
      <c r="G120" s="47"/>
      <c r="H120" s="47"/>
      <c r="I120" s="47"/>
      <c r="J120" s="44">
        <v>20.11</v>
      </c>
      <c r="K120" s="44">
        <v>3.182449426837402</v>
      </c>
      <c r="L120" s="44">
        <v>2.9096521851752044</v>
      </c>
      <c r="M120" s="44">
        <v>6.7006125809559443</v>
      </c>
      <c r="N120" s="44">
        <v>5.152733000041124</v>
      </c>
      <c r="O120" s="44">
        <v>8.1198724789512848</v>
      </c>
      <c r="P120" s="44">
        <v>3</v>
      </c>
      <c r="Q120" s="44">
        <v>6.1083473060740374</v>
      </c>
      <c r="R120" s="44">
        <v>2.8240349899164809</v>
      </c>
      <c r="S120" s="44">
        <v>0.51621424493208889</v>
      </c>
      <c r="T120" s="44">
        <v>7.2124607651490136</v>
      </c>
      <c r="U120" s="47">
        <v>0</v>
      </c>
      <c r="V120" s="47"/>
      <c r="W120" s="45">
        <v>8.8912714990444872</v>
      </c>
      <c r="X120" s="44">
        <v>7.0021064981468149</v>
      </c>
      <c r="Y120" s="44" t="e">
        <v>#DIV/0!</v>
      </c>
      <c r="Z120" s="44">
        <v>7.9273950201756085</v>
      </c>
      <c r="AA120" s="44" t="e">
        <v>#DIV/0!</v>
      </c>
      <c r="AB120" s="44" t="e">
        <v>#DIV/0!</v>
      </c>
      <c r="AC120" s="44" t="e">
        <v>#DIV/0!</v>
      </c>
      <c r="AD120" s="44" t="e">
        <v>#DIV/0!</v>
      </c>
      <c r="AE120" s="44" t="e">
        <v>#DIV/0!</v>
      </c>
      <c r="AF120" s="44" t="e">
        <v>#DIV/0!</v>
      </c>
      <c r="AG120" s="44" t="e">
        <v>#DIV/0!</v>
      </c>
      <c r="AH120" s="44" t="e">
        <v>#DIV/0!</v>
      </c>
      <c r="AI120" s="44" t="e">
        <v>#DIV/0!</v>
      </c>
      <c r="AJ120" s="44" t="e">
        <v>#DIV/0!</v>
      </c>
      <c r="AK120" s="44" t="e">
        <v>#DIV/0!</v>
      </c>
      <c r="AL120" s="44" t="e">
        <v>#DIV/0!</v>
      </c>
      <c r="AM120" s="44">
        <v>7.9273950201756085</v>
      </c>
      <c r="AO120" s="109" t="str">
        <f>IF(A120='[1]page 1-8'!$A120,"","False")</f>
        <v/>
      </c>
      <c r="AP120" s="109" t="str">
        <f>'[1]page 1-8'!$A120</f>
        <v xml:space="preserve">Scrap </v>
      </c>
    </row>
    <row r="121" spans="1:42" x14ac:dyDescent="0.4">
      <c r="A121" s="34" t="s">
        <v>226</v>
      </c>
      <c r="B121" s="38" t="s">
        <v>211</v>
      </c>
      <c r="C121" s="47"/>
      <c r="D121" s="47"/>
      <c r="E121" s="47"/>
      <c r="F121" s="47"/>
      <c r="G121" s="47"/>
      <c r="H121" s="47"/>
      <c r="I121" s="47"/>
      <c r="J121" s="44">
        <v>20.11</v>
      </c>
      <c r="K121" s="44">
        <v>3.182449426837402</v>
      </c>
      <c r="L121" s="44">
        <v>2.9096521851752044</v>
      </c>
      <c r="M121" s="44">
        <v>6.7006125809559443</v>
      </c>
      <c r="N121" s="44">
        <v>5.152733000041124</v>
      </c>
      <c r="O121" s="44">
        <v>8.1198724789512848</v>
      </c>
      <c r="P121" s="44">
        <v>19.012213802630715</v>
      </c>
      <c r="Q121" s="44">
        <v>19.860429382783003</v>
      </c>
      <c r="R121" s="44">
        <v>77.749003073658059</v>
      </c>
      <c r="S121" s="44">
        <v>105.26320473813475</v>
      </c>
      <c r="T121" s="44">
        <v>253.87129102333341</v>
      </c>
      <c r="U121" s="47">
        <v>347</v>
      </c>
      <c r="V121" s="47"/>
      <c r="W121" s="45">
        <v>297.57288564952671</v>
      </c>
      <c r="X121" s="44">
        <v>226.38188944884411</v>
      </c>
      <c r="Y121" s="44" t="e">
        <v>#DIV/0!</v>
      </c>
      <c r="Z121" s="44">
        <v>261.25031630673453</v>
      </c>
      <c r="AA121" s="44" t="e">
        <v>#DIV/0!</v>
      </c>
      <c r="AB121" s="44" t="e">
        <v>#DIV/0!</v>
      </c>
      <c r="AC121" s="44" t="e">
        <v>#DIV/0!</v>
      </c>
      <c r="AD121" s="44" t="e">
        <v>#DIV/0!</v>
      </c>
      <c r="AE121" s="44" t="e">
        <v>#DIV/0!</v>
      </c>
      <c r="AF121" s="44" t="e">
        <v>#DIV/0!</v>
      </c>
      <c r="AG121" s="44" t="e">
        <v>#DIV/0!</v>
      </c>
      <c r="AH121" s="44" t="e">
        <v>#DIV/0!</v>
      </c>
      <c r="AI121" s="44" t="e">
        <v>#DIV/0!</v>
      </c>
      <c r="AJ121" s="44" t="e">
        <v>#DIV/0!</v>
      </c>
      <c r="AK121" s="44" t="e">
        <v>#DIV/0!</v>
      </c>
      <c r="AL121" s="44" t="e">
        <v>#DIV/0!</v>
      </c>
      <c r="AM121" s="44">
        <v>261.25031630673453</v>
      </c>
      <c r="AO121" s="109" t="str">
        <f>IF(A121='[1]page 1-8'!$A121,"","False")</f>
        <v/>
      </c>
      <c r="AP121" s="109" t="str">
        <f>'[1]page 1-8'!$A121</f>
        <v xml:space="preserve">Pellet </v>
      </c>
    </row>
    <row r="122" spans="1:42" x14ac:dyDescent="0.4">
      <c r="A122" s="37" t="s">
        <v>227</v>
      </c>
      <c r="B122" s="38" t="s">
        <v>211</v>
      </c>
      <c r="C122" s="47">
        <v>5.4395606367250862</v>
      </c>
      <c r="D122" s="47">
        <v>7</v>
      </c>
      <c r="E122" s="47">
        <v>3</v>
      </c>
      <c r="F122" s="47">
        <v>2.5619751825749217</v>
      </c>
      <c r="G122" s="47">
        <v>0.51450577129958619</v>
      </c>
      <c r="H122" s="47">
        <v>0.75914353730455009</v>
      </c>
      <c r="I122" s="47">
        <v>0.28089422854941176</v>
      </c>
      <c r="J122" s="47">
        <v>1.6070228768718902</v>
      </c>
      <c r="K122" s="47">
        <v>0.16369856191799492</v>
      </c>
      <c r="L122" s="47">
        <v>6.6581597363627315E-2</v>
      </c>
      <c r="M122" s="47">
        <v>0.36874156096979033</v>
      </c>
      <c r="N122" s="44">
        <v>0.50646162139139583</v>
      </c>
      <c r="O122" s="44">
        <v>0.39120630035263743</v>
      </c>
      <c r="P122" s="44">
        <v>0.40984162884115583</v>
      </c>
      <c r="Q122" s="44">
        <v>0.8335224034220764</v>
      </c>
      <c r="R122" s="44">
        <v>9.5812572975889798E-2</v>
      </c>
      <c r="S122" s="44">
        <v>4.2276166610817623E-2</v>
      </c>
      <c r="T122" s="44">
        <v>8.3648782956295464E-2</v>
      </c>
      <c r="U122" s="47">
        <v>0</v>
      </c>
      <c r="V122" s="47"/>
      <c r="W122" s="45">
        <v>0</v>
      </c>
      <c r="X122" s="44">
        <v>0</v>
      </c>
      <c r="Y122" s="44" t="e">
        <v>#DIV/0!</v>
      </c>
      <c r="Z122" s="44">
        <v>0</v>
      </c>
      <c r="AA122" s="44" t="e">
        <v>#DIV/0!</v>
      </c>
      <c r="AB122" s="44" t="e">
        <v>#DIV/0!</v>
      </c>
      <c r="AC122" s="44" t="e">
        <v>#DIV/0!</v>
      </c>
      <c r="AD122" s="44" t="e">
        <v>#DIV/0!</v>
      </c>
      <c r="AE122" s="44" t="e">
        <v>#DIV/0!</v>
      </c>
      <c r="AF122" s="44" t="e">
        <v>#DIV/0!</v>
      </c>
      <c r="AG122" s="44" t="e">
        <v>#DIV/0!</v>
      </c>
      <c r="AH122" s="44" t="e">
        <v>#DIV/0!</v>
      </c>
      <c r="AI122" s="44" t="e">
        <v>#DIV/0!</v>
      </c>
      <c r="AJ122" s="44" t="e">
        <v>#DIV/0!</v>
      </c>
      <c r="AK122" s="44" t="e">
        <v>#DIV/0!</v>
      </c>
      <c r="AL122" s="44" t="e">
        <v>#DIV/0!</v>
      </c>
      <c r="AM122" s="45">
        <v>0</v>
      </c>
      <c r="AO122" s="109" t="str">
        <f>IF(A122='[1]page 1-8'!$A122,"","False")</f>
        <v/>
      </c>
      <c r="AP122" s="109" t="str">
        <f>'[1]page 1-8'!$A122</f>
        <v xml:space="preserve">LD Slag </v>
      </c>
    </row>
    <row r="123" spans="1:42" x14ac:dyDescent="0.4">
      <c r="A123" s="37" t="s">
        <v>228</v>
      </c>
      <c r="B123" s="38" t="s">
        <v>211</v>
      </c>
      <c r="C123" s="47">
        <v>1.0653052290114686</v>
      </c>
      <c r="D123" s="47">
        <v>2</v>
      </c>
      <c r="E123" s="47">
        <v>5</v>
      </c>
      <c r="F123" s="47">
        <v>10.587847615227016</v>
      </c>
      <c r="G123" s="47">
        <v>7.6651832038984642</v>
      </c>
      <c r="H123" s="47">
        <v>8.0711836552507705</v>
      </c>
      <c r="I123" s="47">
        <v>20.713290118432571</v>
      </c>
      <c r="J123" s="47">
        <v>23.326382133124088</v>
      </c>
      <c r="K123" s="47">
        <v>17.230752845741716</v>
      </c>
      <c r="L123" s="47">
        <v>7.1442700394447485</v>
      </c>
      <c r="M123" s="47">
        <v>4.7017561618100627</v>
      </c>
      <c r="N123" s="49">
        <v>4.9131729807547186</v>
      </c>
      <c r="O123" s="49">
        <v>2.3563420390069649</v>
      </c>
      <c r="P123" s="47">
        <v>2.7644731525018091</v>
      </c>
      <c r="Q123" s="47">
        <v>3.3029622210293899</v>
      </c>
      <c r="R123" s="47">
        <v>3.9816735834992656</v>
      </c>
      <c r="S123" s="47">
        <v>4.4608030958614302</v>
      </c>
      <c r="T123" s="47">
        <v>4.7334150157169841</v>
      </c>
      <c r="U123" s="49">
        <v>6</v>
      </c>
      <c r="V123" s="49"/>
      <c r="W123" s="48">
        <v>1.9999111150615527</v>
      </c>
      <c r="X123" s="47">
        <v>3.7090366104045009</v>
      </c>
      <c r="Y123" s="47" t="e">
        <v>#DIV/0!</v>
      </c>
      <c r="Z123" s="47">
        <v>2.8719291037567718</v>
      </c>
      <c r="AA123" s="47" t="e">
        <v>#DIV/0!</v>
      </c>
      <c r="AB123" s="47" t="e">
        <v>#DIV/0!</v>
      </c>
      <c r="AC123" s="47" t="e">
        <v>#DIV/0!</v>
      </c>
      <c r="AD123" s="47" t="e">
        <v>#DIV/0!</v>
      </c>
      <c r="AE123" s="47" t="e">
        <v>#DIV/0!</v>
      </c>
      <c r="AF123" s="47" t="e">
        <v>#DIV/0!</v>
      </c>
      <c r="AG123" s="47" t="e">
        <v>#DIV/0!</v>
      </c>
      <c r="AH123" s="47" t="e">
        <v>#DIV/0!</v>
      </c>
      <c r="AI123" s="47" t="e">
        <v>#DIV/0!</v>
      </c>
      <c r="AJ123" s="47" t="e">
        <v>#DIV/0!</v>
      </c>
      <c r="AK123" s="47" t="e">
        <v>#DIV/0!</v>
      </c>
      <c r="AL123" s="47" t="e">
        <v>#DIV/0!</v>
      </c>
      <c r="AM123" s="47">
        <v>2.8719291037567718</v>
      </c>
      <c r="AO123" s="109" t="str">
        <f>IF(A123='[1]page 1-8'!$A123,"","False")</f>
        <v/>
      </c>
      <c r="AP123" s="109" t="str">
        <f>'[1]page 1-8'!$A123</f>
        <v xml:space="preserve">Quartzite </v>
      </c>
    </row>
    <row r="124" spans="1:42" x14ac:dyDescent="0.4">
      <c r="A124" s="37" t="s">
        <v>233</v>
      </c>
      <c r="B124" s="38" t="s">
        <v>141</v>
      </c>
      <c r="C124" s="49">
        <v>71.103264495270352</v>
      </c>
      <c r="D124" s="49">
        <v>71.5</v>
      </c>
      <c r="E124" s="49">
        <v>71.3</v>
      </c>
      <c r="F124" s="49">
        <v>70.043855641143978</v>
      </c>
      <c r="G124" s="49">
        <v>70.949579889861667</v>
      </c>
      <c r="H124" s="49">
        <v>71.849441691195011</v>
      </c>
      <c r="I124" s="49">
        <v>72.142484542389226</v>
      </c>
      <c r="J124" s="49">
        <v>74.004360841788781</v>
      </c>
      <c r="K124" s="49">
        <v>75.65127003641301</v>
      </c>
      <c r="L124" s="49">
        <v>75.766896555151732</v>
      </c>
      <c r="M124" s="49">
        <v>73.001012616675581</v>
      </c>
      <c r="N124" s="49">
        <v>74.491062341955129</v>
      </c>
      <c r="O124" s="49">
        <v>73.517595670555608</v>
      </c>
      <c r="P124" s="44">
        <v>76.099999999999994</v>
      </c>
      <c r="Q124" s="44">
        <v>72.209999999999994</v>
      </c>
      <c r="R124" s="44">
        <v>71.260000000000005</v>
      </c>
      <c r="S124" s="44">
        <v>70.92</v>
      </c>
      <c r="T124" s="44">
        <v>71.23</v>
      </c>
      <c r="U124" s="47">
        <v>70</v>
      </c>
      <c r="V124" s="47"/>
      <c r="W124" s="60">
        <v>73.599999999999994</v>
      </c>
      <c r="X124" s="60">
        <v>73.72</v>
      </c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>
        <v>73.66</v>
      </c>
      <c r="AO124" s="109" t="str">
        <f>IF(A124='[1]page 1-8'!$A124,"","False")</f>
        <v/>
      </c>
      <c r="AP124" s="109" t="str">
        <f>'[1]page 1-8'!$A124</f>
        <v>Sinter in Burden</v>
      </c>
    </row>
    <row r="125" spans="1:42" x14ac:dyDescent="0.4">
      <c r="A125" s="37" t="s">
        <v>234</v>
      </c>
      <c r="B125" s="38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4">
        <v>1.1200000000000001</v>
      </c>
      <c r="Q125" s="44">
        <v>1.1499999999999999</v>
      </c>
      <c r="R125" s="44">
        <v>4.3899999999999997</v>
      </c>
      <c r="S125" s="44">
        <v>6.01</v>
      </c>
      <c r="T125" s="44">
        <v>14.5</v>
      </c>
      <c r="U125" s="49">
        <v>20.399999999999999</v>
      </c>
      <c r="V125" s="49"/>
      <c r="W125" s="60">
        <v>17.12</v>
      </c>
      <c r="X125" s="60">
        <v>13.02</v>
      </c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>
        <v>15.03</v>
      </c>
      <c r="AO125" s="109" t="str">
        <f>IF(A125='[1]page 1-8'!$A125,"","False")</f>
        <v/>
      </c>
      <c r="AP125" s="109" t="str">
        <f>'[1]page 1-8'!$A125</f>
        <v>Pellet Burden</v>
      </c>
    </row>
    <row r="126" spans="1:42" x14ac:dyDescent="0.4">
      <c r="A126" s="37" t="s">
        <v>235</v>
      </c>
      <c r="B126" s="38" t="s">
        <v>141</v>
      </c>
      <c r="C126" s="44">
        <v>20.027400473687358</v>
      </c>
      <c r="D126" s="44">
        <v>17</v>
      </c>
      <c r="E126" s="49">
        <v>18</v>
      </c>
      <c r="F126" s="49">
        <v>17.761397183789406</v>
      </c>
      <c r="G126" s="49">
        <v>18.702476439899325</v>
      </c>
      <c r="H126" s="49">
        <v>16.95</v>
      </c>
      <c r="I126" s="49">
        <v>15.562034938104105</v>
      </c>
      <c r="J126" s="44">
        <v>17.982362913385419</v>
      </c>
      <c r="K126" s="44">
        <v>20.217404465515187</v>
      </c>
      <c r="L126" s="44">
        <v>23.545300528436496</v>
      </c>
      <c r="M126" s="44">
        <v>20.866743634337194</v>
      </c>
      <c r="N126" s="49">
        <v>21.4</v>
      </c>
      <c r="O126" s="49">
        <v>19.7</v>
      </c>
      <c r="P126" s="61">
        <v>21.7</v>
      </c>
      <c r="Q126" s="61">
        <v>22.59</v>
      </c>
      <c r="R126" s="61">
        <v>23.08</v>
      </c>
      <c r="S126" s="61">
        <v>23</v>
      </c>
      <c r="T126" s="61">
        <v>20.64</v>
      </c>
      <c r="U126" s="49">
        <v>20.8</v>
      </c>
      <c r="V126" s="49"/>
      <c r="W126" s="60">
        <v>22.56</v>
      </c>
      <c r="X126" s="60">
        <v>20.71</v>
      </c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>
        <v>21.63</v>
      </c>
      <c r="AO126" s="109" t="str">
        <f>IF(A126='[1]page 1-8'!$A126,"","False")</f>
        <v/>
      </c>
      <c r="AP126" s="109" t="str">
        <f>'[1]page 1-8'!$A126</f>
        <v>BF Return Fines</v>
      </c>
    </row>
    <row r="127" spans="1:42" x14ac:dyDescent="0.4">
      <c r="A127" s="37" t="s">
        <v>236</v>
      </c>
      <c r="B127" s="38" t="s">
        <v>237</v>
      </c>
      <c r="C127" s="47">
        <v>963.66666666666663</v>
      </c>
      <c r="D127" s="47">
        <v>978</v>
      </c>
      <c r="E127" s="47">
        <v>962</v>
      </c>
      <c r="F127" s="47">
        <v>964.08333333333337</v>
      </c>
      <c r="G127" s="47">
        <v>958.08333333333337</v>
      </c>
      <c r="H127" s="47">
        <v>891.91666666666663</v>
      </c>
      <c r="I127" s="47">
        <v>871.58333333333337</v>
      </c>
      <c r="J127" s="47">
        <v>962.58333333333337</v>
      </c>
      <c r="K127" s="47">
        <v>953.16666666666663</v>
      </c>
      <c r="L127" s="47">
        <v>1074.5</v>
      </c>
      <c r="M127" s="47">
        <v>1060.75</v>
      </c>
      <c r="N127" s="47">
        <v>1040.5</v>
      </c>
      <c r="O127" s="47">
        <v>1107.75</v>
      </c>
      <c r="P127" s="47">
        <v>1112</v>
      </c>
      <c r="Q127" s="47">
        <v>1094.1666666666667</v>
      </c>
      <c r="R127" s="47">
        <v>1087.8333333333333</v>
      </c>
      <c r="S127" s="47">
        <v>1097</v>
      </c>
      <c r="T127" s="47">
        <v>1112</v>
      </c>
      <c r="U127" s="38">
        <v>1157</v>
      </c>
      <c r="V127" s="38"/>
      <c r="W127" s="51">
        <v>1145</v>
      </c>
      <c r="X127" s="51">
        <v>1145</v>
      </c>
      <c r="Y127" s="51" t="e">
        <v>#DIV/0!</v>
      </c>
      <c r="Z127" s="51">
        <v>1145</v>
      </c>
      <c r="AA127" s="51" t="e">
        <v>#DIV/0!</v>
      </c>
      <c r="AB127" s="51" t="e">
        <v>#DIV/0!</v>
      </c>
      <c r="AC127" s="51" t="e">
        <v>#DIV/0!</v>
      </c>
      <c r="AD127" s="51" t="e">
        <v>#DIV/0!</v>
      </c>
      <c r="AE127" s="51" t="e">
        <v>#DIV/0!</v>
      </c>
      <c r="AF127" s="51" t="e">
        <v>#DIV/0!</v>
      </c>
      <c r="AG127" s="51" t="e">
        <v>#DIV/0!</v>
      </c>
      <c r="AH127" s="51" t="e">
        <v>#DIV/0!</v>
      </c>
      <c r="AI127" s="51" t="e">
        <v>#DIV/0!</v>
      </c>
      <c r="AJ127" s="51" t="e">
        <v>#DIV/0!</v>
      </c>
      <c r="AK127" s="51" t="e">
        <v>#DIV/0!</v>
      </c>
      <c r="AL127" s="51" t="e">
        <v>#DIV/0!</v>
      </c>
      <c r="AM127" s="51">
        <v>1145</v>
      </c>
      <c r="AO127" s="109" t="str">
        <f>IF(A127='[1]page 1-8'!$A127,"","False")</f>
        <v/>
      </c>
      <c r="AP127" s="109" t="str">
        <f>'[1]page 1-8'!$A127</f>
        <v>Blast Temp. - Overall</v>
      </c>
    </row>
    <row r="128" spans="1:42" x14ac:dyDescent="0.4">
      <c r="A128" s="37" t="s">
        <v>238</v>
      </c>
      <c r="B128" s="38" t="s">
        <v>239</v>
      </c>
      <c r="C128" s="47">
        <v>403.26086566478637</v>
      </c>
      <c r="D128" s="47">
        <v>400</v>
      </c>
      <c r="E128" s="47">
        <v>393</v>
      </c>
      <c r="F128" s="47">
        <v>398.35349352950396</v>
      </c>
      <c r="G128" s="47">
        <v>397.69347235960663</v>
      </c>
      <c r="H128" s="47">
        <v>395.46221527890492</v>
      </c>
      <c r="I128" s="47">
        <v>404.43686813572117</v>
      </c>
      <c r="J128" s="47">
        <v>389.1988929186773</v>
      </c>
      <c r="K128" s="47">
        <v>375.32661643290317</v>
      </c>
      <c r="L128" s="47">
        <v>368.02977942744997</v>
      </c>
      <c r="M128" s="47">
        <v>378.81447178072648</v>
      </c>
      <c r="N128" s="47">
        <v>382.48356997315989</v>
      </c>
      <c r="O128" s="47">
        <v>389.88232359989252</v>
      </c>
      <c r="P128" s="47">
        <v>364.62147862506225</v>
      </c>
      <c r="Q128" s="47">
        <v>389.97688733451758</v>
      </c>
      <c r="R128" s="47">
        <v>387.89940561406002</v>
      </c>
      <c r="S128" s="47">
        <v>390.07462410925228</v>
      </c>
      <c r="T128" s="47">
        <v>369.62484557812485</v>
      </c>
      <c r="U128" s="47">
        <v>370</v>
      </c>
      <c r="V128" s="47"/>
      <c r="W128" s="48">
        <v>380.54142038131641</v>
      </c>
      <c r="X128" s="47">
        <v>366.02405140922059</v>
      </c>
      <c r="Y128" s="47" t="e">
        <v>#DIV/0!</v>
      </c>
      <c r="Z128" s="47">
        <v>373.13447049572409</v>
      </c>
      <c r="AA128" s="47" t="e">
        <v>#DIV/0!</v>
      </c>
      <c r="AB128" s="47" t="e">
        <v>#DIV/0!</v>
      </c>
      <c r="AC128" s="47" t="e">
        <v>#DIV/0!</v>
      </c>
      <c r="AD128" s="47" t="e">
        <v>#DIV/0!</v>
      </c>
      <c r="AE128" s="47" t="e">
        <v>#DIV/0!</v>
      </c>
      <c r="AF128" s="47" t="e">
        <v>#DIV/0!</v>
      </c>
      <c r="AG128" s="47" t="e">
        <v>#DIV/0!</v>
      </c>
      <c r="AH128" s="47" t="e">
        <v>#DIV/0!</v>
      </c>
      <c r="AI128" s="47" t="e">
        <v>#DIV/0!</v>
      </c>
      <c r="AJ128" s="47" t="e">
        <v>#DIV/0!</v>
      </c>
      <c r="AK128" s="47" t="e">
        <v>#DIV/0!</v>
      </c>
      <c r="AL128" s="47" t="e">
        <v>#DIV/0!</v>
      </c>
      <c r="AM128" s="47">
        <v>373.13447049572409</v>
      </c>
      <c r="AO128" s="109" t="str">
        <f>IF(A128='[1]page 1-8'!$A128,"","False")</f>
        <v/>
      </c>
      <c r="AP128" s="109" t="str">
        <f>'[1]page 1-8'!$A128</f>
        <v>Slag Volume</v>
      </c>
    </row>
    <row r="129" spans="1:42" x14ac:dyDescent="0.4">
      <c r="A129" s="37" t="s">
        <v>240</v>
      </c>
      <c r="B129" s="38" t="s">
        <v>241</v>
      </c>
      <c r="C129" s="44">
        <v>0.94499999999999995</v>
      </c>
      <c r="D129" s="44">
        <v>0.94</v>
      </c>
      <c r="E129" s="44">
        <v>0.94</v>
      </c>
      <c r="F129" s="44">
        <v>0.93916666666666659</v>
      </c>
      <c r="G129" s="44">
        <v>0.94</v>
      </c>
      <c r="H129" s="44">
        <v>0.94166666666666676</v>
      </c>
      <c r="I129" s="44">
        <v>0.94583333333333341</v>
      </c>
      <c r="J129" s="44">
        <v>0.95916666666666661</v>
      </c>
      <c r="K129" s="44">
        <v>0.97166666666666679</v>
      </c>
      <c r="L129" s="44">
        <v>0.97500000000000009</v>
      </c>
      <c r="M129" s="44">
        <v>1.0691666666666666</v>
      </c>
      <c r="N129" s="44">
        <v>0.99583333333333324</v>
      </c>
      <c r="O129" s="44">
        <v>0.99583333333333346</v>
      </c>
      <c r="P129" s="44">
        <v>0.99416666666666664</v>
      </c>
      <c r="Q129" s="44">
        <v>0.99583333333333346</v>
      </c>
      <c r="R129" s="44">
        <v>1.0016666666666667</v>
      </c>
      <c r="S129" s="44">
        <v>0.99750000000000005</v>
      </c>
      <c r="T129" s="44">
        <v>0.99833333333333341</v>
      </c>
      <c r="U129" s="38">
        <v>1</v>
      </c>
      <c r="V129" s="38"/>
      <c r="W129" s="50">
        <v>1</v>
      </c>
      <c r="X129" s="44">
        <v>1</v>
      </c>
      <c r="Y129" s="44">
        <v>0</v>
      </c>
      <c r="Z129" s="44">
        <v>1</v>
      </c>
      <c r="AA129" s="44">
        <v>0</v>
      </c>
      <c r="AB129" s="44">
        <v>0</v>
      </c>
      <c r="AC129" s="44">
        <v>0</v>
      </c>
      <c r="AD129" s="44" t="e">
        <v>#DIV/0!</v>
      </c>
      <c r="AE129" s="44">
        <v>0</v>
      </c>
      <c r="AF129" s="44">
        <v>0</v>
      </c>
      <c r="AG129" s="44">
        <v>0</v>
      </c>
      <c r="AH129" s="44" t="e">
        <v>#DIV/0!</v>
      </c>
      <c r="AI129" s="44">
        <v>0</v>
      </c>
      <c r="AJ129" s="44">
        <v>0</v>
      </c>
      <c r="AK129" s="44">
        <v>0</v>
      </c>
      <c r="AL129" s="44" t="e">
        <v>#DIV/0!</v>
      </c>
      <c r="AM129" s="49">
        <v>1</v>
      </c>
      <c r="AO129" s="109" t="str">
        <f>IF(A129='[1]page 1-8'!$A129,"","False")</f>
        <v/>
      </c>
      <c r="AP129" s="109" t="str">
        <f>'[1]page 1-8'!$A129</f>
        <v>Slag Basicity</v>
      </c>
    </row>
    <row r="130" spans="1:42" x14ac:dyDescent="0.4">
      <c r="A130" s="37" t="s">
        <v>242</v>
      </c>
      <c r="B130" s="42" t="s">
        <v>243</v>
      </c>
      <c r="C130" s="49">
        <v>10.79749478079332</v>
      </c>
      <c r="D130" s="49">
        <v>10.3</v>
      </c>
      <c r="E130" s="49">
        <v>0.55000000000000004</v>
      </c>
      <c r="F130" s="49">
        <v>0.16636167027116952</v>
      </c>
      <c r="G130" s="49">
        <v>0.3482345319080013</v>
      </c>
      <c r="H130" s="49">
        <v>0.50819672131147542</v>
      </c>
      <c r="I130" s="49">
        <v>0.54036171151301282</v>
      </c>
      <c r="J130" s="44">
        <v>6.2971175166297115</v>
      </c>
      <c r="K130" s="44">
        <v>8.6915382535820491</v>
      </c>
      <c r="L130" s="44">
        <v>1.4276116896204232</v>
      </c>
      <c r="M130" s="44">
        <v>2.1018593371059016</v>
      </c>
      <c r="N130" s="44">
        <v>4.6332046332046328</v>
      </c>
      <c r="O130" s="44">
        <v>9.0511638898735676</v>
      </c>
      <c r="P130" s="44">
        <v>8.4577694820345322</v>
      </c>
      <c r="Q130" s="44">
        <v>5.2607248520710064</v>
      </c>
      <c r="R130" s="44">
        <v>2.5006844939308204</v>
      </c>
      <c r="S130" s="44">
        <v>1.9986675549633577</v>
      </c>
      <c r="T130" s="44">
        <v>0.91443500979751791</v>
      </c>
      <c r="U130" s="38">
        <v>0</v>
      </c>
      <c r="V130" s="38"/>
      <c r="W130" s="45">
        <v>1.2004801920768307</v>
      </c>
      <c r="X130" s="44">
        <v>0.11235955056179775</v>
      </c>
      <c r="Y130" s="44" t="e">
        <v>#DIV/0!</v>
      </c>
      <c r="Z130" s="44">
        <v>0.63842135809634359</v>
      </c>
      <c r="AA130" s="44" t="e">
        <v>#DIV/0!</v>
      </c>
      <c r="AB130" s="44" t="e">
        <v>#DIV/0!</v>
      </c>
      <c r="AC130" s="44" t="e">
        <v>#DIV/0!</v>
      </c>
      <c r="AD130" s="44" t="e">
        <v>#DIV/0!</v>
      </c>
      <c r="AE130" s="44" t="e">
        <v>#DIV/0!</v>
      </c>
      <c r="AF130" s="44" t="e">
        <v>#DIV/0!</v>
      </c>
      <c r="AG130" s="44" t="e">
        <v>#DIV/0!</v>
      </c>
      <c r="AH130" s="44" t="e">
        <v>#DIV/0!</v>
      </c>
      <c r="AI130" s="44" t="e">
        <v>#DIV/0!</v>
      </c>
      <c r="AJ130" s="44" t="e">
        <v>#DIV/0!</v>
      </c>
      <c r="AK130" s="44" t="e">
        <v>#DIV/0!</v>
      </c>
      <c r="AL130" s="44" t="e">
        <v>#DIV/0!</v>
      </c>
      <c r="AM130" s="44">
        <v>0.63842135809634359</v>
      </c>
      <c r="AO130" s="109" t="str">
        <f>IF(A130='[1]page 1-8'!$A130,"","False")</f>
        <v/>
      </c>
      <c r="AP130" s="109" t="str">
        <f>'[1]page 1-8'!$A130</f>
        <v>Off Cast Due to Si</v>
      </c>
    </row>
    <row r="131" spans="1:42" x14ac:dyDescent="0.4">
      <c r="A131" s="37" t="s">
        <v>244</v>
      </c>
      <c r="B131" s="42" t="s">
        <v>245</v>
      </c>
      <c r="C131" s="49">
        <v>47.181628392484342</v>
      </c>
      <c r="D131" s="49">
        <v>49.8</v>
      </c>
      <c r="E131" s="49">
        <v>61.12</v>
      </c>
      <c r="F131" s="44">
        <v>70.944934287140242</v>
      </c>
      <c r="G131" s="44">
        <v>71.266601878846785</v>
      </c>
      <c r="H131" s="44">
        <v>69.393442622950815</v>
      </c>
      <c r="I131" s="44">
        <v>62.891486546096168</v>
      </c>
      <c r="J131" s="44">
        <v>30.820399113082043</v>
      </c>
      <c r="K131" s="44">
        <v>22.992700729927009</v>
      </c>
      <c r="L131" s="44">
        <v>7.5075579442391671</v>
      </c>
      <c r="M131" s="44">
        <v>11.479385610347617</v>
      </c>
      <c r="N131" s="44">
        <v>14.624984431436044</v>
      </c>
      <c r="O131" s="44">
        <v>17.523336878175588</v>
      </c>
      <c r="P131" s="44">
        <v>8.0377974801679901</v>
      </c>
      <c r="Q131" s="44">
        <v>6.3239644970414206</v>
      </c>
      <c r="R131" s="44">
        <v>4.4720270146938033</v>
      </c>
      <c r="S131" s="44">
        <v>4.9217188540972687</v>
      </c>
      <c r="T131" s="44">
        <v>5.9998133806102452</v>
      </c>
      <c r="U131" s="38">
        <v>0</v>
      </c>
      <c r="V131" s="38"/>
      <c r="W131" s="45">
        <v>4.8019207683073235</v>
      </c>
      <c r="X131" s="44">
        <v>5.1685393258426959</v>
      </c>
      <c r="Y131" s="44" t="e">
        <v>#DIV/0!</v>
      </c>
      <c r="Z131" s="44">
        <v>4.9912942542077774</v>
      </c>
      <c r="AA131" s="44" t="e">
        <v>#DIV/0!</v>
      </c>
      <c r="AB131" s="44" t="e">
        <v>#DIV/0!</v>
      </c>
      <c r="AC131" s="44" t="e">
        <v>#DIV/0!</v>
      </c>
      <c r="AD131" s="44" t="e">
        <v>#DIV/0!</v>
      </c>
      <c r="AE131" s="44" t="e">
        <v>#DIV/0!</v>
      </c>
      <c r="AF131" s="44" t="e">
        <v>#DIV/0!</v>
      </c>
      <c r="AG131" s="44" t="e">
        <v>#DIV/0!</v>
      </c>
      <c r="AH131" s="44" t="e">
        <v>#DIV/0!</v>
      </c>
      <c r="AI131" s="44" t="e">
        <v>#DIV/0!</v>
      </c>
      <c r="AJ131" s="44" t="e">
        <v>#DIV/0!</v>
      </c>
      <c r="AK131" s="44" t="e">
        <v>#DIV/0!</v>
      </c>
      <c r="AL131" s="44" t="e">
        <v>#DIV/0!</v>
      </c>
      <c r="AM131" s="44">
        <v>4.9912942542077774</v>
      </c>
      <c r="AO131" s="109" t="str">
        <f>IF(A131='[1]page 1-8'!$A131,"","False")</f>
        <v/>
      </c>
      <c r="AP131" s="109" t="str">
        <f>'[1]page 1-8'!$A131</f>
        <v>Off Cast due to S</v>
      </c>
    </row>
    <row r="132" spans="1:42" x14ac:dyDescent="0.4">
      <c r="A132" s="105" t="s">
        <v>464</v>
      </c>
      <c r="B132" s="42"/>
      <c r="C132" s="49"/>
      <c r="D132" s="49"/>
      <c r="E132" s="49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38"/>
      <c r="V132" s="38"/>
      <c r="W132" s="45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O132" s="109" t="str">
        <f>IF(A132='[1]page 1-8'!$A132,"","False")</f>
        <v/>
      </c>
      <c r="AP132" s="109" t="str">
        <f>'[1]page 1-8'!$A132</f>
        <v>Oxygen enrchiment %</v>
      </c>
    </row>
    <row r="133" spans="1:42" x14ac:dyDescent="0.4">
      <c r="A133" s="105" t="s">
        <v>465</v>
      </c>
      <c r="B133" s="42"/>
      <c r="C133" s="49"/>
      <c r="D133" s="49"/>
      <c r="E133" s="49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38"/>
      <c r="V133" s="38"/>
      <c r="W133" s="45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O133" s="109" t="str">
        <f>IF(A133='[1]page 1-8'!$A133,"","False")</f>
        <v/>
      </c>
      <c r="AP133" s="109" t="str">
        <f>'[1]page 1-8'!$A133</f>
        <v>BF-I</v>
      </c>
    </row>
    <row r="134" spans="1:42" x14ac:dyDescent="0.4">
      <c r="A134" s="106" t="s">
        <v>466</v>
      </c>
      <c r="B134" s="42"/>
      <c r="C134" s="49"/>
      <c r="D134" s="49"/>
      <c r="E134" s="49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38"/>
      <c r="V134" s="38"/>
      <c r="W134" s="45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O134" s="109" t="str">
        <f>IF(A134='[1]page 1-8'!$A134,"","False")</f>
        <v/>
      </c>
      <c r="AP134" s="109" t="str">
        <f>'[1]page 1-8'!$A134</f>
        <v>BF-IV</v>
      </c>
    </row>
    <row r="135" spans="1:42" x14ac:dyDescent="0.4">
      <c r="A135" s="105" t="s">
        <v>467</v>
      </c>
      <c r="B135" s="42"/>
      <c r="C135" s="49"/>
      <c r="D135" s="49"/>
      <c r="E135" s="49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38"/>
      <c r="V135" s="38"/>
      <c r="W135" s="45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O135" s="109" t="str">
        <f>IF(A135='[1]page 1-8'!$A135,"","False")</f>
        <v/>
      </c>
      <c r="AP135" s="109" t="str">
        <f>'[1]page 1-8'!$A135</f>
        <v>BF-V</v>
      </c>
    </row>
    <row r="136" spans="1:42" x14ac:dyDescent="0.4">
      <c r="A136" s="105" t="s">
        <v>468</v>
      </c>
      <c r="B136" s="42"/>
      <c r="C136" s="49"/>
      <c r="D136" s="49"/>
      <c r="E136" s="49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38"/>
      <c r="V136" s="38"/>
      <c r="W136" s="45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O136" s="109" t="str">
        <f>IF(A136='[1]page 1-8'!$A136,"","False")</f>
        <v/>
      </c>
      <c r="AP136" s="109" t="str">
        <f>'[1]page 1-8'!$A136</f>
        <v>Shop</v>
      </c>
    </row>
    <row r="137" spans="1:42" x14ac:dyDescent="0.4">
      <c r="A137" s="105" t="s">
        <v>469</v>
      </c>
      <c r="B137" s="42"/>
      <c r="C137" s="49"/>
      <c r="D137" s="49"/>
      <c r="E137" s="49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38"/>
      <c r="V137" s="38"/>
      <c r="W137" s="45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O137" s="109" t="str">
        <f>IF(A137='[1]page 1-8'!$A137,"","False")</f>
        <v/>
      </c>
      <c r="AP137" s="109" t="str">
        <f>'[1]page 1-8'!$A137</f>
        <v>Hot Blast Tempeture</v>
      </c>
    </row>
    <row r="138" spans="1:42" x14ac:dyDescent="0.4">
      <c r="A138" s="105" t="s">
        <v>465</v>
      </c>
      <c r="B138" s="42"/>
      <c r="C138" s="49"/>
      <c r="D138" s="49"/>
      <c r="E138" s="49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38"/>
      <c r="V138" s="38"/>
      <c r="W138" s="45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O138" s="109" t="str">
        <f>IF(A138='[1]page 1-8'!$A138,"","False")</f>
        <v/>
      </c>
      <c r="AP138" s="109" t="str">
        <f>'[1]page 1-8'!$A138</f>
        <v>BF-I</v>
      </c>
    </row>
    <row r="139" spans="1:42" x14ac:dyDescent="0.4">
      <c r="A139" s="106" t="s">
        <v>466</v>
      </c>
      <c r="B139" s="42"/>
      <c r="C139" s="49"/>
      <c r="D139" s="49"/>
      <c r="E139" s="49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38"/>
      <c r="V139" s="38"/>
      <c r="W139" s="45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O139" s="109" t="str">
        <f>IF(A139='[1]page 1-8'!$A139,"","False")</f>
        <v/>
      </c>
      <c r="AP139" s="109" t="str">
        <f>'[1]page 1-8'!$A139</f>
        <v>BF-IV</v>
      </c>
    </row>
    <row r="140" spans="1:42" x14ac:dyDescent="0.4">
      <c r="A140" s="105" t="s">
        <v>467</v>
      </c>
      <c r="B140" s="42"/>
      <c r="C140" s="49"/>
      <c r="D140" s="49"/>
      <c r="E140" s="49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38"/>
      <c r="V140" s="38"/>
      <c r="W140" s="45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  <c r="AK140" s="44"/>
      <c r="AL140" s="44"/>
      <c r="AM140" s="44"/>
      <c r="AO140" s="109" t="str">
        <f>IF(A140='[1]page 1-8'!$A140,"","False")</f>
        <v/>
      </c>
      <c r="AP140" s="109" t="str">
        <f>'[1]page 1-8'!$A140</f>
        <v>BF-V</v>
      </c>
    </row>
    <row r="141" spans="1:42" x14ac:dyDescent="0.4">
      <c r="A141" s="105" t="s">
        <v>468</v>
      </c>
      <c r="B141" s="42"/>
      <c r="C141" s="49"/>
      <c r="D141" s="49"/>
      <c r="E141" s="49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38"/>
      <c r="V141" s="38"/>
      <c r="W141" s="45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4"/>
      <c r="AM141" s="44"/>
      <c r="AO141" s="109" t="str">
        <f>IF(A141='[1]page 1-8'!$A141,"","False")</f>
        <v/>
      </c>
      <c r="AP141" s="109" t="str">
        <f>'[1]page 1-8'!$A141</f>
        <v>Shop</v>
      </c>
    </row>
    <row r="142" spans="1:42" x14ac:dyDescent="0.4">
      <c r="A142" s="105" t="s">
        <v>470</v>
      </c>
      <c r="B142" s="42"/>
      <c r="C142" s="49"/>
      <c r="D142" s="49"/>
      <c r="E142" s="49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38"/>
      <c r="V142" s="38"/>
      <c r="W142" s="45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  <c r="AJ142" s="44"/>
      <c r="AK142" s="44"/>
      <c r="AL142" s="44"/>
      <c r="AM142" s="44"/>
      <c r="AO142" s="109" t="str">
        <f>IF(A142='[1]page 1-8'!$A142,"","False")</f>
        <v/>
      </c>
      <c r="AP142" s="109" t="str">
        <f>'[1]page 1-8'!$A142</f>
        <v>SI % IN HOTMETAL</v>
      </c>
    </row>
    <row r="143" spans="1:42" x14ac:dyDescent="0.4">
      <c r="A143" s="105" t="s">
        <v>465</v>
      </c>
      <c r="B143" s="42"/>
      <c r="C143" s="49"/>
      <c r="D143" s="49"/>
      <c r="E143" s="49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38"/>
      <c r="V143" s="38"/>
      <c r="W143" s="45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  <c r="AJ143" s="44"/>
      <c r="AK143" s="44"/>
      <c r="AL143" s="44"/>
      <c r="AM143" s="44"/>
      <c r="AO143" s="109" t="str">
        <f>IF(A143='[1]page 1-8'!$A143,"","False")</f>
        <v/>
      </c>
      <c r="AP143" s="109" t="str">
        <f>'[1]page 1-8'!$A143</f>
        <v>BF-I</v>
      </c>
    </row>
    <row r="144" spans="1:42" x14ac:dyDescent="0.4">
      <c r="A144" s="106" t="s">
        <v>466</v>
      </c>
      <c r="B144" s="42"/>
      <c r="C144" s="49"/>
      <c r="D144" s="49"/>
      <c r="E144" s="49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38"/>
      <c r="V144" s="38"/>
      <c r="W144" s="45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  <c r="AK144" s="44"/>
      <c r="AL144" s="44"/>
      <c r="AM144" s="44"/>
      <c r="AO144" s="109" t="str">
        <f>IF(A144='[1]page 1-8'!$A144,"","False")</f>
        <v/>
      </c>
      <c r="AP144" s="109" t="str">
        <f>'[1]page 1-8'!$A144</f>
        <v>BF-IV</v>
      </c>
    </row>
    <row r="145" spans="1:42" x14ac:dyDescent="0.4">
      <c r="A145" s="105" t="s">
        <v>467</v>
      </c>
      <c r="B145" s="42"/>
      <c r="C145" s="49"/>
      <c r="D145" s="49"/>
      <c r="E145" s="49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38"/>
      <c r="V145" s="38"/>
      <c r="W145" s="45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  <c r="AK145" s="44"/>
      <c r="AL145" s="44"/>
      <c r="AM145" s="44"/>
      <c r="AO145" s="109" t="str">
        <f>IF(A145='[1]page 1-8'!$A145,"","False")</f>
        <v/>
      </c>
      <c r="AP145" s="109" t="str">
        <f>'[1]page 1-8'!$A145</f>
        <v>BF-V</v>
      </c>
    </row>
    <row r="146" spans="1:42" x14ac:dyDescent="0.4">
      <c r="A146" s="105" t="s">
        <v>468</v>
      </c>
      <c r="B146" s="42"/>
      <c r="C146" s="49"/>
      <c r="D146" s="49"/>
      <c r="E146" s="49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38"/>
      <c r="V146" s="38"/>
      <c r="W146" s="45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  <c r="AJ146" s="44"/>
      <c r="AK146" s="44"/>
      <c r="AL146" s="44"/>
      <c r="AM146" s="44"/>
      <c r="AO146" s="109" t="str">
        <f>IF(A146='[1]page 1-8'!$A146,"","False")</f>
        <v/>
      </c>
      <c r="AP146" s="109" t="str">
        <f>'[1]page 1-8'!$A146</f>
        <v>Shop</v>
      </c>
    </row>
    <row r="147" spans="1:42" x14ac:dyDescent="0.4">
      <c r="A147" s="37" t="s">
        <v>246</v>
      </c>
      <c r="B147" s="38" t="s">
        <v>247</v>
      </c>
      <c r="C147" s="49"/>
      <c r="D147" s="49"/>
      <c r="E147" s="47">
        <v>1560</v>
      </c>
      <c r="F147" s="47">
        <v>1555</v>
      </c>
      <c r="G147" s="47">
        <v>1541</v>
      </c>
      <c r="H147" s="47">
        <v>1563</v>
      </c>
      <c r="I147" s="47">
        <v>1584</v>
      </c>
      <c r="J147" s="47">
        <v>1610.5318444270076</v>
      </c>
      <c r="K147" s="47">
        <v>1642</v>
      </c>
      <c r="L147" s="47">
        <v>1636.6584053772074</v>
      </c>
      <c r="M147" s="47">
        <v>1630.3531543972731</v>
      </c>
      <c r="N147" s="47">
        <v>1625.2017179553548</v>
      </c>
      <c r="O147" s="47">
        <v>1660.7289569358559</v>
      </c>
      <c r="P147" s="47">
        <v>1688.2110230169146</v>
      </c>
      <c r="Q147" s="47">
        <v>1693.1691113587672</v>
      </c>
      <c r="R147" s="47">
        <v>1697.5249833540026</v>
      </c>
      <c r="S147" s="47">
        <v>1700.3678214455078</v>
      </c>
      <c r="T147" s="47">
        <v>1676.0370815842439</v>
      </c>
      <c r="U147" s="47">
        <v>1650</v>
      </c>
      <c r="V147" s="47"/>
      <c r="W147" s="48">
        <v>1649.8584248353857</v>
      </c>
      <c r="X147" s="47">
        <v>1647.827675000575</v>
      </c>
      <c r="Y147" s="47" t="e">
        <v>#DIV/0!</v>
      </c>
      <c r="Z147" s="47">
        <v>1648.8223099384281</v>
      </c>
      <c r="AA147" s="47" t="e">
        <v>#DIV/0!</v>
      </c>
      <c r="AB147" s="47" t="e">
        <v>#DIV/0!</v>
      </c>
      <c r="AC147" s="47" t="e">
        <v>#DIV/0!</v>
      </c>
      <c r="AD147" s="47" t="e">
        <v>#DIV/0!</v>
      </c>
      <c r="AE147" s="47" t="e">
        <v>#DIV/0!</v>
      </c>
      <c r="AF147" s="47" t="e">
        <v>#DIV/0!</v>
      </c>
      <c r="AG147" s="47" t="e">
        <v>#DIV/0!</v>
      </c>
      <c r="AH147" s="47" t="e">
        <v>#DIV/0!</v>
      </c>
      <c r="AI147" s="47" t="e">
        <v>#DIV/0!</v>
      </c>
      <c r="AJ147" s="47" t="e">
        <v>#DIV/0!</v>
      </c>
      <c r="AK147" s="47" t="e">
        <v>#DIV/0!</v>
      </c>
      <c r="AL147" s="47" t="e">
        <v>#DIV/0!</v>
      </c>
      <c r="AM147" s="47">
        <v>1648.8223099384281</v>
      </c>
      <c r="AO147" s="109" t="str">
        <f>IF(A147='[1]page 1-8'!$A147,"","False")</f>
        <v/>
      </c>
      <c r="AP147" s="109" t="str">
        <f>'[1]page 1-8'!$A147</f>
        <v>BFG Yld (On Hot Metal)</v>
      </c>
    </row>
    <row r="148" spans="1:42" x14ac:dyDescent="0.4">
      <c r="A148" s="37" t="s">
        <v>248</v>
      </c>
      <c r="B148" s="38" t="s">
        <v>249</v>
      </c>
      <c r="C148" s="47">
        <v>2895.1175105874854</v>
      </c>
      <c r="D148" s="47">
        <v>2875</v>
      </c>
      <c r="E148" s="47">
        <v>2919</v>
      </c>
      <c r="F148" s="47">
        <v>2938.7661319374406</v>
      </c>
      <c r="G148" s="47">
        <v>2915.0141341395788</v>
      </c>
      <c r="H148" s="47">
        <v>2975.9918575554966</v>
      </c>
      <c r="I148" s="47">
        <v>2994.429158169004</v>
      </c>
      <c r="J148" s="47">
        <v>3254.88834058267</v>
      </c>
      <c r="K148" s="47">
        <v>3540</v>
      </c>
      <c r="L148" s="47">
        <v>3915.5181372791603</v>
      </c>
      <c r="M148" s="47">
        <v>3978.2050339615985</v>
      </c>
      <c r="N148" s="47">
        <v>3890.9442421125941</v>
      </c>
      <c r="O148" s="47">
        <v>3778.5178364175385</v>
      </c>
      <c r="P148" s="47">
        <v>4068.3863434912287</v>
      </c>
      <c r="Q148" s="47">
        <v>3994.3894414224269</v>
      </c>
      <c r="R148" s="47">
        <v>4087.9720610272507</v>
      </c>
      <c r="S148" s="47">
        <v>4094.0233400536085</v>
      </c>
      <c r="T148" s="47">
        <v>4291.0110980450099</v>
      </c>
      <c r="U148" s="47">
        <v>4424</v>
      </c>
      <c r="V148" s="47"/>
      <c r="W148" s="48">
        <v>4233.8208654425825</v>
      </c>
      <c r="X148" s="48">
        <v>4252.3451293313447</v>
      </c>
      <c r="Y148" s="48" t="e">
        <v>#DIV/0!</v>
      </c>
      <c r="Z148" s="48">
        <v>4243.2462726165149</v>
      </c>
      <c r="AA148" s="48" t="e">
        <v>#DIV/0!</v>
      </c>
      <c r="AB148" s="48" t="e">
        <v>#DIV/0!</v>
      </c>
      <c r="AC148" s="48" t="e">
        <v>#DIV/0!</v>
      </c>
      <c r="AD148" s="48" t="e">
        <v>#DIV/0!</v>
      </c>
      <c r="AE148" s="48" t="e">
        <v>#DIV/0!</v>
      </c>
      <c r="AF148" s="48" t="e">
        <v>#DIV/0!</v>
      </c>
      <c r="AG148" s="48" t="e">
        <v>#DIV/0!</v>
      </c>
      <c r="AH148" s="48" t="e">
        <v>#DIV/0!</v>
      </c>
      <c r="AI148" s="48" t="e">
        <v>#DIV/0!</v>
      </c>
      <c r="AJ148" s="48" t="e">
        <v>#DIV/0!</v>
      </c>
      <c r="AK148" s="48" t="e">
        <v>#DIV/0!</v>
      </c>
      <c r="AL148" s="48" t="e">
        <v>#DIV/0!</v>
      </c>
      <c r="AM148" s="47">
        <v>4243.2462726165149</v>
      </c>
      <c r="AO148" s="109" t="str">
        <f>IF(A148='[1]page 1-8'!$A148,"","False")</f>
        <v/>
      </c>
      <c r="AP148" s="109" t="str">
        <f>'[1]page 1-8'!$A148</f>
        <v>BFG Yld (On dryCoke)</v>
      </c>
    </row>
    <row r="149" spans="1:42" x14ac:dyDescent="0.4">
      <c r="A149" s="37" t="s">
        <v>250</v>
      </c>
      <c r="B149" s="38" t="s">
        <v>251</v>
      </c>
      <c r="C149" s="47">
        <v>309</v>
      </c>
      <c r="D149" s="47">
        <v>443</v>
      </c>
      <c r="E149" s="47">
        <v>311</v>
      </c>
      <c r="F149" s="47">
        <v>593.88888888888891</v>
      </c>
      <c r="G149" s="47">
        <v>665.8</v>
      </c>
      <c r="H149" s="47">
        <v>556.5</v>
      </c>
      <c r="I149" s="47">
        <v>559.27272727272725</v>
      </c>
      <c r="J149" s="47">
        <v>483.30769230769232</v>
      </c>
      <c r="K149" s="47">
        <v>380.86363636363637</v>
      </c>
      <c r="L149" s="47">
        <v>49.333333333333336</v>
      </c>
      <c r="M149" s="47">
        <v>297.21739130434781</v>
      </c>
      <c r="N149" s="47">
        <v>315.05263157894734</v>
      </c>
      <c r="O149" s="47">
        <v>336.68421052631578</v>
      </c>
      <c r="P149" s="47">
        <v>357.85714285714283</v>
      </c>
      <c r="Q149" s="47">
        <v>489.23076923076923</v>
      </c>
      <c r="R149" s="47">
        <v>562.28571428571433</v>
      </c>
      <c r="S149" s="47">
        <v>540.47058823529414</v>
      </c>
      <c r="T149" s="47">
        <v>519.11111111111109</v>
      </c>
      <c r="U149" s="38">
        <v>600</v>
      </c>
      <c r="V149" s="38"/>
      <c r="W149" s="48" t="s">
        <v>162</v>
      </c>
      <c r="X149" s="47">
        <v>502</v>
      </c>
      <c r="Y149" s="47" t="s">
        <v>162</v>
      </c>
      <c r="Z149" s="47">
        <v>502</v>
      </c>
      <c r="AA149" s="47" t="s">
        <v>162</v>
      </c>
      <c r="AB149" s="47" t="s">
        <v>162</v>
      </c>
      <c r="AC149" s="47" t="s">
        <v>162</v>
      </c>
      <c r="AD149" s="47" t="s">
        <v>162</v>
      </c>
      <c r="AE149" s="47" t="s">
        <v>162</v>
      </c>
      <c r="AF149" s="47" t="s">
        <v>162</v>
      </c>
      <c r="AG149" s="47" t="s">
        <v>162</v>
      </c>
      <c r="AH149" s="47" t="s">
        <v>162</v>
      </c>
      <c r="AI149" s="47" t="s">
        <v>162</v>
      </c>
      <c r="AJ149" s="47" t="s">
        <v>162</v>
      </c>
      <c r="AK149" s="47" t="s">
        <v>162</v>
      </c>
      <c r="AL149" s="47" t="s">
        <v>162</v>
      </c>
      <c r="AM149" s="47">
        <v>502</v>
      </c>
      <c r="AO149" s="109" t="str">
        <f>IF(A149='[1]page 1-8'!$A149,"","False")</f>
        <v/>
      </c>
      <c r="AP149" s="109" t="str">
        <f>'[1]page 1-8'!$A149</f>
        <v>Avg.LiningLife(small)</v>
      </c>
    </row>
    <row r="150" spans="1:42" x14ac:dyDescent="0.4">
      <c r="A150" s="37" t="s">
        <v>252</v>
      </c>
      <c r="B150" s="38" t="s">
        <v>251</v>
      </c>
      <c r="C150" s="47">
        <v>1192</v>
      </c>
      <c r="D150" s="47">
        <v>1403</v>
      </c>
      <c r="E150" s="47">
        <v>1411</v>
      </c>
      <c r="F150" s="47">
        <v>1383.1818181818182</v>
      </c>
      <c r="G150" s="47">
        <v>1553.6363636363637</v>
      </c>
      <c r="H150" s="47">
        <v>1553.2142857142858</v>
      </c>
      <c r="I150" s="47">
        <v>1217</v>
      </c>
      <c r="J150" s="47">
        <v>711.66666666666663</v>
      </c>
      <c r="K150" s="47">
        <v>409.68965517241378</v>
      </c>
      <c r="L150" s="47">
        <v>70.3125</v>
      </c>
      <c r="M150" s="47">
        <v>177.05</v>
      </c>
      <c r="N150" s="47">
        <v>184.91176470588235</v>
      </c>
      <c r="O150" s="47">
        <v>285.4736842105263</v>
      </c>
      <c r="P150" s="47">
        <v>160.125</v>
      </c>
      <c r="Q150" s="47">
        <v>351.5</v>
      </c>
      <c r="R150" s="47">
        <v>388</v>
      </c>
      <c r="S150" s="47">
        <v>430.53846153846155</v>
      </c>
      <c r="T150" s="47">
        <v>613</v>
      </c>
      <c r="U150" s="38">
        <v>1000</v>
      </c>
      <c r="V150" s="38"/>
      <c r="W150" s="48">
        <v>347</v>
      </c>
      <c r="X150" s="47">
        <v>749.5</v>
      </c>
      <c r="Y150" s="47" t="s">
        <v>162</v>
      </c>
      <c r="Z150" s="47">
        <v>615.33333333333337</v>
      </c>
      <c r="AA150" s="47" t="s">
        <v>162</v>
      </c>
      <c r="AB150" s="47" t="s">
        <v>162</v>
      </c>
      <c r="AC150" s="47" t="s">
        <v>162</v>
      </c>
      <c r="AD150" s="47" t="s">
        <v>162</v>
      </c>
      <c r="AE150" s="47" t="s">
        <v>162</v>
      </c>
      <c r="AF150" s="47" t="s">
        <v>162</v>
      </c>
      <c r="AG150" s="47" t="s">
        <v>162</v>
      </c>
      <c r="AH150" s="47" t="s">
        <v>162</v>
      </c>
      <c r="AI150" s="47" t="s">
        <v>162</v>
      </c>
      <c r="AJ150" s="47" t="s">
        <v>162</v>
      </c>
      <c r="AK150" s="47" t="s">
        <v>162</v>
      </c>
      <c r="AL150" s="47" t="s">
        <v>162</v>
      </c>
      <c r="AM150" s="47">
        <v>615.33333333333337</v>
      </c>
      <c r="AO150" s="109" t="str">
        <f>IF(A150='[1]page 1-8'!$A150,"","False")</f>
        <v/>
      </c>
      <c r="AP150" s="109" t="str">
        <f>'[1]page 1-8'!$A150</f>
        <v>Avg.Lining Life (Big)</v>
      </c>
    </row>
    <row r="151" spans="1:42" x14ac:dyDescent="0.4">
      <c r="A151" s="37" t="s">
        <v>253</v>
      </c>
      <c r="B151" s="38" t="s">
        <v>251</v>
      </c>
      <c r="C151" s="47"/>
      <c r="D151" s="47"/>
      <c r="E151" s="47"/>
      <c r="F151" s="47"/>
      <c r="G151" s="47"/>
      <c r="H151" s="47"/>
      <c r="I151" s="47"/>
      <c r="J151" s="47"/>
      <c r="K151" s="47"/>
      <c r="L151" s="47">
        <v>2021</v>
      </c>
      <c r="M151" s="47">
        <v>2076.5</v>
      </c>
      <c r="N151" s="47">
        <v>2076.5</v>
      </c>
      <c r="O151" s="47">
        <v>2132</v>
      </c>
      <c r="P151" s="47">
        <v>2007</v>
      </c>
      <c r="Q151" s="47">
        <v>2141.75</v>
      </c>
      <c r="R151" s="47">
        <v>1856</v>
      </c>
      <c r="S151" s="47">
        <v>2466.4</v>
      </c>
      <c r="T151" s="47">
        <v>2650.25</v>
      </c>
      <c r="U151" s="38">
        <v>2000</v>
      </c>
      <c r="V151" s="38"/>
      <c r="W151" s="48">
        <v>1112</v>
      </c>
      <c r="X151" s="47" t="s">
        <v>162</v>
      </c>
      <c r="Y151" s="47" t="s">
        <v>162</v>
      </c>
      <c r="Z151" s="47">
        <v>1112</v>
      </c>
      <c r="AA151" s="47" t="s">
        <v>162</v>
      </c>
      <c r="AB151" s="47" t="s">
        <v>162</v>
      </c>
      <c r="AC151" s="47" t="s">
        <v>162</v>
      </c>
      <c r="AD151" s="47" t="s">
        <v>162</v>
      </c>
      <c r="AE151" s="47" t="s">
        <v>162</v>
      </c>
      <c r="AF151" s="47" t="s">
        <v>162</v>
      </c>
      <c r="AG151" s="47" t="s">
        <v>162</v>
      </c>
      <c r="AH151" s="47" t="s">
        <v>162</v>
      </c>
      <c r="AI151" s="47" t="s">
        <v>162</v>
      </c>
      <c r="AJ151" s="47" t="s">
        <v>162</v>
      </c>
      <c r="AK151" s="47" t="s">
        <v>162</v>
      </c>
      <c r="AL151" s="47" t="s">
        <v>162</v>
      </c>
      <c r="AM151" s="47">
        <v>1112</v>
      </c>
      <c r="AO151" s="109" t="str">
        <f>IF(A151='[1]page 1-8'!$A151,"","False")</f>
        <v/>
      </c>
      <c r="AP151" s="109" t="str">
        <f>'[1]page 1-8'!$A151</f>
        <v>Avg.Lining Life (Torpedo)</v>
      </c>
    </row>
    <row r="152" spans="1:42" x14ac:dyDescent="0.4">
      <c r="A152" s="37" t="s">
        <v>404</v>
      </c>
      <c r="B152" s="42"/>
      <c r="C152" s="38"/>
      <c r="D152" s="38"/>
      <c r="E152" s="38"/>
      <c r="F152" s="38"/>
      <c r="G152" s="38"/>
      <c r="H152" s="38"/>
      <c r="I152" s="38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45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  <c r="AI152" s="44"/>
      <c r="AJ152" s="44"/>
      <c r="AK152" s="44"/>
      <c r="AL152" s="44"/>
      <c r="AM152" s="44"/>
      <c r="AO152" s="109" t="str">
        <f>IF(A152='[1]page 1-8'!$A152,"","False")</f>
        <v/>
      </c>
      <c r="AP152" s="109" t="str">
        <f>'[1]page 1-8'!$A152</f>
        <v>BF Fuel Rate</v>
      </c>
    </row>
    <row r="153" spans="1:42" x14ac:dyDescent="0.4">
      <c r="A153" s="37" t="s">
        <v>405</v>
      </c>
      <c r="B153" s="42"/>
      <c r="C153" s="38"/>
      <c r="D153" s="38"/>
      <c r="E153" s="38"/>
      <c r="F153" s="38"/>
      <c r="G153" s="38"/>
      <c r="H153" s="38"/>
      <c r="I153" s="38"/>
      <c r="J153" s="57"/>
      <c r="K153" s="57"/>
      <c r="L153" s="57"/>
      <c r="M153" s="57"/>
      <c r="N153" s="57"/>
      <c r="O153" s="9">
        <v>597</v>
      </c>
      <c r="P153" s="9">
        <v>554</v>
      </c>
      <c r="Q153" s="9">
        <v>551</v>
      </c>
      <c r="R153" s="47">
        <v>563.96319700853337</v>
      </c>
      <c r="S153" s="47">
        <v>562.23494312178775</v>
      </c>
      <c r="T153" s="47">
        <v>530.45220236957766</v>
      </c>
      <c r="U153" s="44">
        <v>527</v>
      </c>
      <c r="V153" s="44"/>
      <c r="W153" s="47">
        <v>536.39570344118488</v>
      </c>
      <c r="X153" s="47">
        <v>540.55126259593658</v>
      </c>
      <c r="Y153" s="47" t="e">
        <v>#DIV/0!</v>
      </c>
      <c r="Z153" s="47">
        <v>95.476425944847264</v>
      </c>
      <c r="AA153" s="47" t="e">
        <v>#DIV/0!</v>
      </c>
      <c r="AB153" s="47" t="e">
        <v>#DIV/0!</v>
      </c>
      <c r="AC153" s="47" t="e">
        <v>#DIV/0!</v>
      </c>
      <c r="AD153" s="47" t="e">
        <v>#DIV/0!</v>
      </c>
      <c r="AE153" s="47" t="e">
        <v>#DIV/0!</v>
      </c>
      <c r="AF153" s="47" t="e">
        <v>#DIV/0!</v>
      </c>
      <c r="AG153" s="47" t="e">
        <v>#DIV/0!</v>
      </c>
      <c r="AH153" s="47" t="e">
        <v>#DIV/0!</v>
      </c>
      <c r="AI153" s="47" t="e">
        <v>#DIV/0!</v>
      </c>
      <c r="AJ153" s="47" t="e">
        <v>#DIV/0!</v>
      </c>
      <c r="AK153" s="47" t="e">
        <v>#DIV/0!</v>
      </c>
      <c r="AL153" s="47" t="e">
        <v>#DIV/0!</v>
      </c>
      <c r="AM153" s="47">
        <v>538.47642594484728</v>
      </c>
      <c r="AO153" s="109" t="str">
        <f>IF(A153='[1]page 1-8'!$A153,"","False")</f>
        <v/>
      </c>
      <c r="AP153" s="109" t="str">
        <f>'[1]page 1-8'!$A153</f>
        <v>BF#1</v>
      </c>
    </row>
    <row r="154" spans="1:42" x14ac:dyDescent="0.4">
      <c r="A154" s="37"/>
      <c r="B154" s="42"/>
      <c r="C154" s="38"/>
      <c r="D154" s="38"/>
      <c r="E154" s="38"/>
      <c r="F154" s="38"/>
      <c r="G154" s="38"/>
      <c r="H154" s="38"/>
      <c r="I154" s="38"/>
      <c r="J154" s="57"/>
      <c r="K154" s="57"/>
      <c r="L154" s="57"/>
      <c r="M154" s="57"/>
      <c r="N154" s="57"/>
      <c r="O154" s="9"/>
      <c r="P154" s="9"/>
      <c r="Q154" s="9"/>
      <c r="R154" s="47"/>
      <c r="S154" s="47"/>
      <c r="T154" s="47"/>
      <c r="U154" s="44"/>
      <c r="V154" s="44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  <c r="AI154" s="47"/>
      <c r="AJ154" s="47"/>
      <c r="AK154" s="47"/>
      <c r="AL154" s="47"/>
      <c r="AM154" s="47"/>
      <c r="AO154" s="109" t="str">
        <f>IF(A154='[1]page 1-8'!$A154,"","False")</f>
        <v>False</v>
      </c>
      <c r="AP154" s="109" t="str">
        <f>'[1]page 1-8'!$A154</f>
        <v xml:space="preserve">BF#4 </v>
      </c>
    </row>
    <row r="155" spans="1:42" x14ac:dyDescent="0.4">
      <c r="A155" s="37" t="s">
        <v>406</v>
      </c>
      <c r="B155" s="42"/>
      <c r="C155" s="38"/>
      <c r="D155" s="38"/>
      <c r="E155" s="38"/>
      <c r="F155" s="38"/>
      <c r="G155" s="38"/>
      <c r="H155" s="38"/>
      <c r="I155" s="38"/>
      <c r="J155" s="57"/>
      <c r="K155" s="57"/>
      <c r="L155" s="57"/>
      <c r="M155" s="57"/>
      <c r="N155" s="57"/>
      <c r="O155" s="9">
        <v>586</v>
      </c>
      <c r="P155" s="9">
        <v>554</v>
      </c>
      <c r="Q155" s="9">
        <v>559</v>
      </c>
      <c r="R155" s="47">
        <v>578.52316340550453</v>
      </c>
      <c r="S155" s="47">
        <v>580.24417116053598</v>
      </c>
      <c r="T155" s="47">
        <v>580.99191244364783</v>
      </c>
      <c r="U155" s="44">
        <v>0</v>
      </c>
      <c r="V155" s="44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  <c r="AI155" s="47"/>
      <c r="AJ155" s="47"/>
      <c r="AK155" s="47"/>
      <c r="AL155" s="47"/>
      <c r="AM155" s="47"/>
      <c r="AO155" s="109" t="str">
        <f>IF(A155='[1]page 1-8'!$A155,"","False")</f>
        <v/>
      </c>
      <c r="AP155" s="109" t="str">
        <f>'[1]page 1-8'!$A155</f>
        <v xml:space="preserve">BF#4 </v>
      </c>
    </row>
    <row r="156" spans="1:42" x14ac:dyDescent="0.4">
      <c r="A156" s="37" t="s">
        <v>407</v>
      </c>
      <c r="B156" s="42"/>
      <c r="C156" s="38"/>
      <c r="D156" s="38"/>
      <c r="E156" s="38"/>
      <c r="F156" s="38"/>
      <c r="G156" s="38"/>
      <c r="H156" s="38"/>
      <c r="I156" s="38"/>
      <c r="J156" s="57"/>
      <c r="K156" s="57"/>
      <c r="L156" s="57"/>
      <c r="M156" s="57"/>
      <c r="N156" s="57"/>
      <c r="O156" s="9">
        <v>581</v>
      </c>
      <c r="P156" s="9">
        <v>561</v>
      </c>
      <c r="Q156" s="9">
        <v>563</v>
      </c>
      <c r="R156" s="47">
        <v>568.43743278074714</v>
      </c>
      <c r="S156" s="47">
        <v>573.75038136094054</v>
      </c>
      <c r="T156" s="47">
        <v>552.63069881838237</v>
      </c>
      <c r="U156" s="44">
        <v>525</v>
      </c>
      <c r="V156" s="44"/>
      <c r="W156" s="47">
        <v>552.99973938360495</v>
      </c>
      <c r="X156" s="47">
        <v>552.89975055833293</v>
      </c>
      <c r="Y156" s="47" t="e">
        <v>#DIV/0!</v>
      </c>
      <c r="Z156" s="47">
        <v>156.48872247190806</v>
      </c>
      <c r="AA156" s="47" t="e">
        <v>#DIV/0!</v>
      </c>
      <c r="AB156" s="47" t="e">
        <v>#DIV/0!</v>
      </c>
      <c r="AC156" s="47" t="e">
        <v>#DIV/0!</v>
      </c>
      <c r="AD156" s="47" t="e">
        <v>#DIV/0!</v>
      </c>
      <c r="AE156" s="47" t="e">
        <v>#DIV/0!</v>
      </c>
      <c r="AF156" s="47" t="e">
        <v>#DIV/0!</v>
      </c>
      <c r="AG156" s="47" t="e">
        <v>#DIV/0!</v>
      </c>
      <c r="AH156" s="47" t="e">
        <v>#DIV/0!</v>
      </c>
      <c r="AI156" s="47" t="e">
        <v>#DIV/0!</v>
      </c>
      <c r="AJ156" s="47" t="e">
        <v>#DIV/0!</v>
      </c>
      <c r="AK156" s="47" t="e">
        <v>#DIV/0!</v>
      </c>
      <c r="AL156" s="47" t="e">
        <v>#DIV/0!</v>
      </c>
      <c r="AM156" s="47">
        <v>553.48872247190809</v>
      </c>
      <c r="AO156" s="109" t="str">
        <f>IF(A156='[1]page 1-8'!$A156,"","False")</f>
        <v/>
      </c>
      <c r="AP156" s="109" t="str">
        <f>'[1]page 1-8'!$A156</f>
        <v>BF#5</v>
      </c>
    </row>
    <row r="157" spans="1:42" x14ac:dyDescent="0.4">
      <c r="A157" s="37" t="s">
        <v>408</v>
      </c>
      <c r="B157" s="42"/>
      <c r="C157" s="38"/>
      <c r="D157" s="38"/>
      <c r="E157" s="38"/>
      <c r="F157" s="38"/>
      <c r="G157" s="38"/>
      <c r="H157" s="38"/>
      <c r="I157" s="38"/>
      <c r="J157" s="57"/>
      <c r="K157" s="57"/>
      <c r="L157" s="57"/>
      <c r="M157" s="57"/>
      <c r="N157" s="57"/>
      <c r="O157" s="9">
        <v>586</v>
      </c>
      <c r="P157" s="9">
        <v>559</v>
      </c>
      <c r="Q157" s="9">
        <v>560</v>
      </c>
      <c r="R157" s="47">
        <v>568.95746371127791</v>
      </c>
      <c r="S157" s="47">
        <v>572.07415127925447</v>
      </c>
      <c r="T157" s="47">
        <v>548.67940348048069</v>
      </c>
      <c r="U157" s="44">
        <v>526</v>
      </c>
      <c r="V157" s="44"/>
      <c r="W157" s="47">
        <v>548.78760943958048</v>
      </c>
      <c r="X157" s="47">
        <v>549.91486014452175</v>
      </c>
      <c r="Y157" s="47" t="e">
        <v>#DIV/0!</v>
      </c>
      <c r="Z157" s="47">
        <v>529.87296033173436</v>
      </c>
      <c r="AA157" s="47" t="e">
        <v>#DIV/0!</v>
      </c>
      <c r="AB157" s="47" t="e">
        <v>#DIV/0!</v>
      </c>
      <c r="AC157" s="47" t="e">
        <v>#DIV/0!</v>
      </c>
      <c r="AD157" s="47" t="e">
        <v>#DIV/0!</v>
      </c>
      <c r="AE157" s="47" t="e">
        <v>#DIV/0!</v>
      </c>
      <c r="AF157" s="47" t="e">
        <v>#DIV/0!</v>
      </c>
      <c r="AG157" s="47" t="e">
        <v>#DIV/0!</v>
      </c>
      <c r="AH157" s="47" t="e">
        <v>#DIV/0!</v>
      </c>
      <c r="AI157" s="47" t="e">
        <v>#DIV/0!</v>
      </c>
      <c r="AJ157" s="47" t="e">
        <v>#DIV/0!</v>
      </c>
      <c r="AK157" s="47" t="e">
        <v>#DIV/0!</v>
      </c>
      <c r="AL157" s="47" t="e">
        <v>#DIV/0!</v>
      </c>
      <c r="AM157" s="47">
        <v>549.87296033173436</v>
      </c>
      <c r="AO157" s="109" t="str">
        <f>IF(A157='[1]page 1-8'!$A157,"","False")</f>
        <v/>
      </c>
      <c r="AP157" s="109" t="str">
        <f>'[1]page 1-8'!$A157</f>
        <v>SHOP</v>
      </c>
    </row>
    <row r="158" spans="1:42" x14ac:dyDescent="0.4">
      <c r="A158" s="37" t="s">
        <v>254</v>
      </c>
      <c r="B158" s="38"/>
      <c r="C158" s="38"/>
      <c r="D158" s="38"/>
      <c r="E158" s="38"/>
      <c r="F158" s="38"/>
      <c r="G158" s="38"/>
      <c r="H158" s="38"/>
      <c r="I158" s="38"/>
      <c r="J158" s="44"/>
      <c r="K158" s="38"/>
      <c r="L158" s="38"/>
      <c r="M158" s="38"/>
      <c r="N158" s="38"/>
      <c r="O158" s="38"/>
      <c r="P158" s="44"/>
      <c r="Q158" s="44"/>
      <c r="R158" s="44"/>
      <c r="S158" s="44"/>
      <c r="T158" s="44"/>
      <c r="U158" s="38" t="s">
        <v>138</v>
      </c>
      <c r="V158" s="38"/>
      <c r="W158" s="41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 t="s">
        <v>255</v>
      </c>
      <c r="AO158" s="109" t="str">
        <f>IF(A158='[1]page 1-8'!$A158,"","False")</f>
        <v/>
      </c>
      <c r="AP158" s="109" t="str">
        <f>'[1]page 1-8'!$A158</f>
        <v xml:space="preserve"> </v>
      </c>
    </row>
    <row r="159" spans="1:42" s="33" customFormat="1" x14ac:dyDescent="0.4">
      <c r="A159" s="37"/>
      <c r="B159" s="38" t="s">
        <v>112</v>
      </c>
      <c r="C159" s="38" t="s">
        <v>113</v>
      </c>
      <c r="D159" s="42" t="s">
        <v>114</v>
      </c>
      <c r="E159" s="42" t="s">
        <v>115</v>
      </c>
      <c r="F159" s="42" t="s">
        <v>116</v>
      </c>
      <c r="G159" s="42" t="s">
        <v>117</v>
      </c>
      <c r="H159" s="38" t="s">
        <v>118</v>
      </c>
      <c r="I159" s="38" t="s">
        <v>119</v>
      </c>
      <c r="J159" s="38" t="s">
        <v>120</v>
      </c>
      <c r="K159" s="38" t="s">
        <v>121</v>
      </c>
      <c r="L159" s="38" t="s">
        <v>122</v>
      </c>
      <c r="M159" s="38" t="s">
        <v>123</v>
      </c>
      <c r="N159" s="38" t="s">
        <v>124</v>
      </c>
      <c r="O159" s="38" t="s">
        <v>125</v>
      </c>
      <c r="P159" s="38" t="s">
        <v>126</v>
      </c>
      <c r="Q159" s="38" t="s">
        <v>127</v>
      </c>
      <c r="R159" s="38" t="s">
        <v>128</v>
      </c>
      <c r="S159" s="38" t="s">
        <v>129</v>
      </c>
      <c r="T159" s="38" t="s">
        <v>130</v>
      </c>
      <c r="U159" s="38" t="s">
        <v>131</v>
      </c>
      <c r="V159" s="38"/>
      <c r="W159" s="41" t="s">
        <v>4</v>
      </c>
      <c r="X159" s="38" t="s">
        <v>5</v>
      </c>
      <c r="Y159" s="38" t="s">
        <v>6</v>
      </c>
      <c r="Z159" s="38" t="s">
        <v>132</v>
      </c>
      <c r="AA159" s="38" t="s">
        <v>166</v>
      </c>
      <c r="AB159" s="38" t="s">
        <v>9</v>
      </c>
      <c r="AC159" s="38" t="s">
        <v>10</v>
      </c>
      <c r="AD159" s="38" t="s">
        <v>133</v>
      </c>
      <c r="AE159" s="38" t="s">
        <v>12</v>
      </c>
      <c r="AF159" s="38" t="s">
        <v>13</v>
      </c>
      <c r="AG159" s="38" t="s">
        <v>14</v>
      </c>
      <c r="AH159" s="38" t="s">
        <v>134</v>
      </c>
      <c r="AI159" s="38" t="s">
        <v>16</v>
      </c>
      <c r="AJ159" s="38" t="s">
        <v>17</v>
      </c>
      <c r="AK159" s="38" t="s">
        <v>18</v>
      </c>
      <c r="AL159" s="38"/>
      <c r="AM159" s="38" t="s">
        <v>136</v>
      </c>
      <c r="AO159" s="109" t="str">
        <f>IF(A159='[1]page 1-8'!$A159,"","False")</f>
        <v/>
      </c>
      <c r="AP159" s="109">
        <f>'[1]page 1-8'!$A159</f>
        <v>0</v>
      </c>
    </row>
    <row r="160" spans="1:42" x14ac:dyDescent="0.4">
      <c r="A160" s="37" t="s">
        <v>256</v>
      </c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41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8"/>
      <c r="AO160" s="109" t="str">
        <f>IF(A160='[1]page 1-8'!$A160,"","False")</f>
        <v/>
      </c>
      <c r="AP160" s="109" t="str">
        <f>'[1]page 1-8'!$A160</f>
        <v>STEEL MELTING SHOP-I</v>
      </c>
    </row>
    <row r="161" spans="1:42" x14ac:dyDescent="0.4">
      <c r="A161" s="37" t="s">
        <v>257</v>
      </c>
      <c r="B161" s="38" t="s">
        <v>258</v>
      </c>
      <c r="C161" s="44">
        <v>55.384790528233154</v>
      </c>
      <c r="D161" s="44">
        <v>55.84</v>
      </c>
      <c r="E161" s="44">
        <v>59.12</v>
      </c>
      <c r="F161" s="44">
        <v>57.237442922374427</v>
      </c>
      <c r="G161" s="44">
        <v>49.857695810564664</v>
      </c>
      <c r="H161" s="44">
        <v>53.436073059360737</v>
      </c>
      <c r="I161" s="44">
        <v>56.706621004566216</v>
      </c>
      <c r="J161" s="44">
        <v>59.131449771689489</v>
      </c>
      <c r="K161" s="44">
        <v>53.31194747789911</v>
      </c>
      <c r="L161" s="44">
        <v>31.677226027397264</v>
      </c>
      <c r="M161" s="44">
        <v>44.497260273972607</v>
      </c>
      <c r="N161" s="44">
        <v>51.434132420091331</v>
      </c>
      <c r="O161" s="44">
        <v>44.228426684881605</v>
      </c>
      <c r="P161" s="44">
        <v>41.184360730593603</v>
      </c>
      <c r="Q161" s="44">
        <v>58.652968036529685</v>
      </c>
      <c r="R161" s="44">
        <v>60.166952054794521</v>
      </c>
      <c r="S161" s="44">
        <v>46.913479052823313</v>
      </c>
      <c r="T161" s="44">
        <v>41.925513698630134</v>
      </c>
      <c r="U161" s="46">
        <v>51</v>
      </c>
      <c r="V161" s="46"/>
      <c r="W161" s="45">
        <v>94.722222222222214</v>
      </c>
      <c r="X161" s="44">
        <v>97.983870967741936</v>
      </c>
      <c r="Y161" s="44" t="e">
        <v>#DIV/0!</v>
      </c>
      <c r="Z161" s="44">
        <v>96.379781420765028</v>
      </c>
      <c r="AA161" s="44" t="e">
        <v>#DIV/0!</v>
      </c>
      <c r="AB161" s="44" t="e">
        <v>#DIV/0!</v>
      </c>
      <c r="AC161" s="44" t="e">
        <v>#DIV/0!</v>
      </c>
      <c r="AD161" s="44" t="e">
        <v>#DIV/0!</v>
      </c>
      <c r="AE161" s="44" t="e">
        <v>#DIV/0!</v>
      </c>
      <c r="AF161" s="44" t="e">
        <v>#DIV/0!</v>
      </c>
      <c r="AG161" s="44" t="e">
        <v>#DIV/0!</v>
      </c>
      <c r="AH161" s="44" t="e">
        <v>#DIV/0!</v>
      </c>
      <c r="AI161" s="44" t="e">
        <v>#DIV/0!</v>
      </c>
      <c r="AJ161" s="44" t="e">
        <v>#DIV/0!</v>
      </c>
      <c r="AK161" s="44" t="e">
        <v>#DIV/0!</v>
      </c>
      <c r="AL161" s="44"/>
      <c r="AM161" s="44">
        <v>96.379781420765028</v>
      </c>
      <c r="AO161" s="109" t="str">
        <f>IF(A161='[1]page 1-8'!$A161,"","False")</f>
        <v/>
      </c>
      <c r="AP161" s="109" t="str">
        <f>'[1]page 1-8'!$A161</f>
        <v>Converter Avail. % on</v>
      </c>
    </row>
    <row r="162" spans="1:42" x14ac:dyDescent="0.4">
      <c r="A162" s="37" t="s">
        <v>259</v>
      </c>
      <c r="B162" s="38" t="s">
        <v>260</v>
      </c>
      <c r="C162" s="49">
        <v>91.294964028776988</v>
      </c>
      <c r="D162" s="49">
        <v>84.3</v>
      </c>
      <c r="E162" s="49">
        <v>90.03</v>
      </c>
      <c r="F162" s="44">
        <v>90.626246509772628</v>
      </c>
      <c r="G162" s="44">
        <v>82.977508848042021</v>
      </c>
      <c r="H162" s="44">
        <v>95.428327280495623</v>
      </c>
      <c r="I162" s="44">
        <v>93.054856567689981</v>
      </c>
      <c r="J162" s="44">
        <v>92.577841528287621</v>
      </c>
      <c r="K162" s="44">
        <v>86.503826734345253</v>
      </c>
      <c r="L162" s="44">
        <v>77.721019487013152</v>
      </c>
      <c r="M162" s="44">
        <v>89.241808535746898</v>
      </c>
      <c r="N162" s="44">
        <v>92.060488766276876</v>
      </c>
      <c r="O162" s="44">
        <v>78.601810799158315</v>
      </c>
      <c r="P162" s="44">
        <v>94.574041992931882</v>
      </c>
      <c r="Q162" s="44">
        <v>98.017127286882072</v>
      </c>
      <c r="R162" s="44">
        <v>96.784347207399492</v>
      </c>
      <c r="S162" s="44">
        <v>96.869600667818517</v>
      </c>
      <c r="T162" s="44">
        <v>94.58705167214633</v>
      </c>
      <c r="U162" s="49">
        <v>95</v>
      </c>
      <c r="V162" s="49"/>
      <c r="W162" s="45">
        <v>84.1642228739003</v>
      </c>
      <c r="X162" s="44">
        <v>96.433470507544584</v>
      </c>
      <c r="Y162" s="44" t="e">
        <v>#DIV/0!</v>
      </c>
      <c r="Z162" s="44">
        <v>90.503189227498225</v>
      </c>
      <c r="AA162" s="44" t="e">
        <v>#DIV/0!</v>
      </c>
      <c r="AB162" s="44" t="e">
        <v>#DIV/0!</v>
      </c>
      <c r="AC162" s="44" t="e">
        <v>#DIV/0!</v>
      </c>
      <c r="AD162" s="44" t="e">
        <v>#DIV/0!</v>
      </c>
      <c r="AE162" s="44" t="e">
        <v>#DIV/0!</v>
      </c>
      <c r="AF162" s="44" t="e">
        <v>#DIV/0!</v>
      </c>
      <c r="AG162" s="44" t="e">
        <v>#DIV/0!</v>
      </c>
      <c r="AH162" s="44" t="e">
        <v>#DIV/0!</v>
      </c>
      <c r="AI162" s="44" t="e">
        <v>#DIV/0!</v>
      </c>
      <c r="AJ162" s="44" t="e">
        <v>#DIV/0!</v>
      </c>
      <c r="AK162" s="44" t="e">
        <v>#DIV/0!</v>
      </c>
      <c r="AL162" s="44"/>
      <c r="AM162" s="44">
        <v>90.503189227498225</v>
      </c>
      <c r="AO162" s="109" t="str">
        <f>IF(A162='[1]page 1-8'!$A162,"","False")</f>
        <v/>
      </c>
      <c r="AP162" s="109" t="str">
        <f>'[1]page 1-8'!$A162</f>
        <v>Conv.Utilisation% on</v>
      </c>
    </row>
    <row r="163" spans="1:42" x14ac:dyDescent="0.4">
      <c r="A163" s="37" t="s">
        <v>261</v>
      </c>
      <c r="B163" s="38" t="s">
        <v>262</v>
      </c>
      <c r="C163" s="47">
        <v>1130.0279763755052</v>
      </c>
      <c r="D163" s="47">
        <v>1153</v>
      </c>
      <c r="E163" s="47">
        <v>1151</v>
      </c>
      <c r="F163" s="47">
        <v>1149.9893950169055</v>
      </c>
      <c r="G163" s="47">
        <v>1149.9543021282152</v>
      </c>
      <c r="H163" s="47">
        <v>1149.5034861609972</v>
      </c>
      <c r="I163" s="47">
        <v>1149.1758552623307</v>
      </c>
      <c r="J163" s="47">
        <v>1149.8883766076194</v>
      </c>
      <c r="K163" s="47">
        <v>1149.2985204098836</v>
      </c>
      <c r="L163" s="47">
        <v>1149.3131466147941</v>
      </c>
      <c r="M163" s="47">
        <v>1148.6795615806843</v>
      </c>
      <c r="N163" s="47">
        <v>1147.6681401999456</v>
      </c>
      <c r="O163" s="47">
        <v>1148.456121575955</v>
      </c>
      <c r="P163" s="47">
        <v>1145.0457968186686</v>
      </c>
      <c r="Q163" s="47">
        <v>1135</v>
      </c>
      <c r="R163" s="47">
        <v>1131.5784593893516</v>
      </c>
      <c r="S163" s="47">
        <v>1130.5359860339274</v>
      </c>
      <c r="T163" s="47">
        <v>1129.8325762862853</v>
      </c>
      <c r="U163" s="38">
        <v>1129</v>
      </c>
      <c r="V163" s="38"/>
      <c r="W163" s="45">
        <v>1127.8600683644875</v>
      </c>
      <c r="X163" s="44">
        <v>1128.1083430558415</v>
      </c>
      <c r="Y163" s="44" t="e">
        <v>#DIV/0!</v>
      </c>
      <c r="Z163" s="47">
        <v>1128.0025201480587</v>
      </c>
      <c r="AA163" s="44" t="e">
        <v>#DIV/0!</v>
      </c>
      <c r="AB163" s="44" t="e">
        <v>#DIV/0!</v>
      </c>
      <c r="AC163" s="44" t="e">
        <v>#DIV/0!</v>
      </c>
      <c r="AD163" s="47" t="e">
        <v>#DIV/0!</v>
      </c>
      <c r="AE163" s="44" t="e">
        <v>#DIV/0!</v>
      </c>
      <c r="AF163" s="44" t="e">
        <v>#DIV/0!</v>
      </c>
      <c r="AG163" s="44" t="e">
        <v>#DIV/0!</v>
      </c>
      <c r="AH163" s="47" t="e">
        <v>#DIV/0!</v>
      </c>
      <c r="AI163" s="44" t="e">
        <v>#DIV/0!</v>
      </c>
      <c r="AJ163" s="44" t="e">
        <v>#DIV/0!</v>
      </c>
      <c r="AK163" s="44" t="e">
        <v>#DIV/0!</v>
      </c>
      <c r="AL163" s="47"/>
      <c r="AM163" s="44">
        <v>1128.0025201480587</v>
      </c>
      <c r="AO163" s="109" t="str">
        <f>IF(A163='[1]page 1-8'!$A163,"","False")</f>
        <v/>
      </c>
      <c r="AP163" s="109" t="str">
        <f>'[1]page 1-8'!$A163</f>
        <v>Met.Input (HM+scrap+iron ore)</v>
      </c>
    </row>
    <row r="164" spans="1:42" x14ac:dyDescent="0.4">
      <c r="A164" s="37" t="s">
        <v>263</v>
      </c>
      <c r="B164" s="38" t="s">
        <v>262</v>
      </c>
      <c r="C164" s="47">
        <v>1036.7863433841053</v>
      </c>
      <c r="D164" s="47">
        <v>1073</v>
      </c>
      <c r="E164" s="47">
        <v>1069</v>
      </c>
      <c r="F164" s="47">
        <v>1069.3690658881362</v>
      </c>
      <c r="G164" s="47">
        <v>1072.2452130769711</v>
      </c>
      <c r="H164" s="47">
        <v>1067.2881893091062</v>
      </c>
      <c r="I164" s="47">
        <v>1068.498937601368</v>
      </c>
      <c r="J164" s="47">
        <v>1072.8245571463237</v>
      </c>
      <c r="K164" s="47">
        <v>1070.1724809112338</v>
      </c>
      <c r="L164" s="47">
        <v>1069.8645229037199</v>
      </c>
      <c r="M164" s="47">
        <v>1070.0207800976723</v>
      </c>
      <c r="N164" s="47">
        <v>1068.7957502982781</v>
      </c>
      <c r="O164" s="47">
        <v>1076.25966801821</v>
      </c>
      <c r="P164" s="47">
        <v>1072.7826277102151</v>
      </c>
      <c r="Q164" s="47">
        <v>1069.2870312923267</v>
      </c>
      <c r="R164" s="47">
        <v>1073.0293209272427</v>
      </c>
      <c r="S164" s="47">
        <v>1071.9460714421409</v>
      </c>
      <c r="T164" s="47">
        <v>1078.8384905426681</v>
      </c>
      <c r="U164" s="38">
        <v>1080</v>
      </c>
      <c r="V164" s="38"/>
      <c r="W164" s="45">
        <v>1083.9158685677332</v>
      </c>
      <c r="X164" s="44">
        <v>1083.9567176812391</v>
      </c>
      <c r="Y164" s="44" t="e">
        <v>#DIV/0!</v>
      </c>
      <c r="Z164" s="47">
        <v>1083.939306434253</v>
      </c>
      <c r="AA164" s="44" t="e">
        <v>#DIV/0!</v>
      </c>
      <c r="AB164" s="44" t="e">
        <v>#DIV/0!</v>
      </c>
      <c r="AC164" s="44" t="e">
        <v>#DIV/0!</v>
      </c>
      <c r="AD164" s="47" t="e">
        <v>#DIV/0!</v>
      </c>
      <c r="AE164" s="44" t="e">
        <v>#DIV/0!</v>
      </c>
      <c r="AF164" s="44" t="e">
        <v>#DIV/0!</v>
      </c>
      <c r="AG164" s="44" t="e">
        <v>#DIV/0!</v>
      </c>
      <c r="AH164" s="44" t="e">
        <v>#DIV/0!</v>
      </c>
      <c r="AI164" s="44" t="e">
        <v>#DIV/0!</v>
      </c>
      <c r="AJ164" s="44" t="e">
        <v>#DIV/0!</v>
      </c>
      <c r="AK164" s="44" t="e">
        <v>#DIV/0!</v>
      </c>
      <c r="AL164" s="44"/>
      <c r="AM164" s="44">
        <v>1083.939306434253</v>
      </c>
      <c r="AO164" s="109" t="str">
        <f>IF(A164='[1]page 1-8'!$A164,"","False")</f>
        <v/>
      </c>
      <c r="AP164" s="109" t="str">
        <f>'[1]page 1-8'!$A164</f>
        <v>Hot Metal Cons.</v>
      </c>
    </row>
    <row r="165" spans="1:42" x14ac:dyDescent="0.4">
      <c r="A165" s="37" t="s">
        <v>264</v>
      </c>
      <c r="B165" s="38" t="s">
        <v>262</v>
      </c>
      <c r="C165" s="44">
        <v>93.241632991399854</v>
      </c>
      <c r="D165" s="44">
        <v>80</v>
      </c>
      <c r="E165" s="44">
        <v>82</v>
      </c>
      <c r="F165" s="44">
        <v>80.620329128769441</v>
      </c>
      <c r="G165" s="44">
        <v>77.709089051244064</v>
      </c>
      <c r="H165" s="44">
        <v>83</v>
      </c>
      <c r="I165" s="44">
        <v>80.676917660962829</v>
      </c>
      <c r="J165" s="44">
        <v>77.063819461295807</v>
      </c>
      <c r="K165" s="44">
        <v>79.12603949864976</v>
      </c>
      <c r="L165" s="44">
        <v>79.448623711074006</v>
      </c>
      <c r="M165" s="44">
        <v>78.65878148301212</v>
      </c>
      <c r="N165" s="44">
        <v>78.872389901667447</v>
      </c>
      <c r="O165" s="44">
        <v>72.19645355774486</v>
      </c>
      <c r="P165" s="44">
        <v>72.263169108453454</v>
      </c>
      <c r="Q165" s="44">
        <v>66</v>
      </c>
      <c r="R165" s="44">
        <v>58.549138462109021</v>
      </c>
      <c r="S165" s="44">
        <v>58.589914591786332</v>
      </c>
      <c r="T165" s="44">
        <v>50.994085743617106</v>
      </c>
      <c r="U165" s="38">
        <v>49</v>
      </c>
      <c r="V165" s="38"/>
      <c r="W165" s="45">
        <v>43.944199796754226</v>
      </c>
      <c r="X165" s="44">
        <v>44.151625374602524</v>
      </c>
      <c r="Y165" s="44" t="e">
        <v>#DIV/0!</v>
      </c>
      <c r="Z165" s="47">
        <v>44.063213713805688</v>
      </c>
      <c r="AA165" s="44" t="e">
        <v>#DIV/0!</v>
      </c>
      <c r="AB165" s="44" t="e">
        <v>#DIV/0!</v>
      </c>
      <c r="AC165" s="44" t="e">
        <v>#DIV/0!</v>
      </c>
      <c r="AD165" s="47" t="e">
        <v>#DIV/0!</v>
      </c>
      <c r="AE165" s="44" t="e">
        <v>#DIV/0!</v>
      </c>
      <c r="AF165" s="44" t="e">
        <v>#DIV/0!</v>
      </c>
      <c r="AG165" s="44" t="e">
        <v>#DIV/0!</v>
      </c>
      <c r="AH165" s="44" t="e">
        <v>#DIV/0!</v>
      </c>
      <c r="AI165" s="44" t="e">
        <v>#DIV/0!</v>
      </c>
      <c r="AJ165" s="44" t="e">
        <v>#DIV/0!</v>
      </c>
      <c r="AK165" s="44" t="e">
        <v>#DIV/0!</v>
      </c>
      <c r="AL165" s="44"/>
      <c r="AM165" s="44">
        <v>44.063213713805688</v>
      </c>
      <c r="AO165" s="109" t="str">
        <f>IF(A165='[1]page 1-8'!$A165,"","False")</f>
        <v/>
      </c>
      <c r="AP165" s="109" t="str">
        <f>'[1]page 1-8'!$A165</f>
        <v>Scrap Consumption</v>
      </c>
    </row>
    <row r="166" spans="1:42" x14ac:dyDescent="0.4">
      <c r="A166" s="37" t="s">
        <v>265</v>
      </c>
      <c r="B166" s="38" t="s">
        <v>262</v>
      </c>
      <c r="C166" s="49">
        <v>84.198528649880842</v>
      </c>
      <c r="D166" s="49">
        <v>81.3</v>
      </c>
      <c r="E166" s="49">
        <v>78.25</v>
      </c>
      <c r="F166" s="44">
        <v>75.90672605457199</v>
      </c>
      <c r="G166" s="44">
        <v>80.138739874089595</v>
      </c>
      <c r="H166" s="44">
        <v>76.581977604056618</v>
      </c>
      <c r="I166" s="44">
        <v>76.631001923633022</v>
      </c>
      <c r="J166" s="44">
        <v>76.597913127881583</v>
      </c>
      <c r="K166" s="44">
        <v>76.462348155799887</v>
      </c>
      <c r="L166" s="44">
        <v>75.648551410717673</v>
      </c>
      <c r="M166" s="44">
        <v>74.785068597605346</v>
      </c>
      <c r="N166" s="44">
        <v>75.782467334915324</v>
      </c>
      <c r="O166" s="44">
        <v>75.281062845337459</v>
      </c>
      <c r="P166" s="44">
        <v>66.323526938150749</v>
      </c>
      <c r="Q166" s="44">
        <v>63.556804180466109</v>
      </c>
      <c r="R166" s="44">
        <v>68.87358273256784</v>
      </c>
      <c r="S166" s="44">
        <v>69.694382175259818</v>
      </c>
      <c r="T166" s="44">
        <v>66.260000000000005</v>
      </c>
      <c r="U166" s="38">
        <v>67</v>
      </c>
      <c r="V166" s="38"/>
      <c r="W166" s="45">
        <v>65.346595633295351</v>
      </c>
      <c r="X166" s="44">
        <v>65.152243039827965</v>
      </c>
      <c r="Y166" s="44" t="e">
        <v>#DIV/0!</v>
      </c>
      <c r="Z166" s="44">
        <v>65.235082561100469</v>
      </c>
      <c r="AA166" s="44" t="e">
        <v>#DIV/0!</v>
      </c>
      <c r="AB166" s="44" t="e">
        <v>#DIV/0!</v>
      </c>
      <c r="AC166" s="44" t="e">
        <v>#DIV/0!</v>
      </c>
      <c r="AD166" s="44" t="e">
        <v>#DIV/0!</v>
      </c>
      <c r="AE166" s="44" t="e">
        <v>#DIV/0!</v>
      </c>
      <c r="AF166" s="44" t="e">
        <v>#DIV/0!</v>
      </c>
      <c r="AG166" s="44" t="e">
        <v>#DIV/0!</v>
      </c>
      <c r="AH166" s="44" t="e">
        <v>#DIV/0!</v>
      </c>
      <c r="AI166" s="44" t="e">
        <v>#DIV/0!</v>
      </c>
      <c r="AJ166" s="44" t="e">
        <v>#DIV/0!</v>
      </c>
      <c r="AK166" s="44" t="e">
        <v>#DIV/0!</v>
      </c>
      <c r="AL166" s="44"/>
      <c r="AM166" s="44">
        <v>65.235082561100469</v>
      </c>
      <c r="AO166" s="109" t="str">
        <f>IF(A166='[1]page 1-8'!$A166,"","False")</f>
        <v/>
      </c>
      <c r="AP166" s="109" t="str">
        <f>'[1]page 1-8'!$A166</f>
        <v>Burnt Lime Cons.</v>
      </c>
    </row>
    <row r="167" spans="1:42" x14ac:dyDescent="0.4">
      <c r="A167" s="37" t="s">
        <v>266</v>
      </c>
      <c r="B167" s="38" t="s">
        <v>262</v>
      </c>
      <c r="C167" s="44"/>
      <c r="D167" s="44"/>
      <c r="E167" s="44"/>
      <c r="F167" s="44"/>
      <c r="G167" s="44">
        <v>20.97</v>
      </c>
      <c r="H167" s="44">
        <v>23.9224593281217</v>
      </c>
      <c r="I167" s="44">
        <v>23.025761595232407</v>
      </c>
      <c r="J167" s="44">
        <v>20.368842513952924</v>
      </c>
      <c r="K167" s="44">
        <v>22.983150389744942</v>
      </c>
      <c r="L167" s="44">
        <v>22.701451171437917</v>
      </c>
      <c r="M167" s="44">
        <v>22.668932880866596</v>
      </c>
      <c r="N167" s="44">
        <v>22.915162048978448</v>
      </c>
      <c r="O167" s="44">
        <v>22.60520720963039</v>
      </c>
      <c r="P167" s="44">
        <v>25.612128755894211</v>
      </c>
      <c r="Q167" s="44">
        <v>25.4</v>
      </c>
      <c r="R167" s="44">
        <v>25</v>
      </c>
      <c r="S167" s="44">
        <v>25.598467411497214</v>
      </c>
      <c r="T167" s="44">
        <v>23.576040949615681</v>
      </c>
      <c r="U167" s="38">
        <v>24</v>
      </c>
      <c r="V167" s="38"/>
      <c r="W167" s="45">
        <v>24.605056508483973</v>
      </c>
      <c r="X167" s="44">
        <v>23.173884199208473</v>
      </c>
      <c r="Y167" s="44" t="e">
        <v>#DIV/0!</v>
      </c>
      <c r="Z167" s="44">
        <v>23.783897303966608</v>
      </c>
      <c r="AA167" s="44" t="e">
        <v>#DIV/0!</v>
      </c>
      <c r="AB167" s="44" t="e">
        <v>#DIV/0!</v>
      </c>
      <c r="AC167" s="44" t="e">
        <v>#DIV/0!</v>
      </c>
      <c r="AD167" s="44" t="e">
        <v>#DIV/0!</v>
      </c>
      <c r="AE167" s="44" t="e">
        <v>#DIV/0!</v>
      </c>
      <c r="AF167" s="44" t="e">
        <v>#DIV/0!</v>
      </c>
      <c r="AG167" s="44" t="e">
        <v>#DIV/0!</v>
      </c>
      <c r="AH167" s="44" t="e">
        <v>#DIV/0!</v>
      </c>
      <c r="AI167" s="44" t="e">
        <v>#DIV/0!</v>
      </c>
      <c r="AJ167" s="44" t="e">
        <v>#DIV/0!</v>
      </c>
      <c r="AK167" s="44" t="e">
        <v>#DIV/0!</v>
      </c>
      <c r="AL167" s="44"/>
      <c r="AM167" s="44">
        <v>23.783897303966608</v>
      </c>
      <c r="AO167" s="109" t="str">
        <f>IF(A167='[1]page 1-8'!$A167,"","False")</f>
        <v/>
      </c>
      <c r="AP167" s="109" t="str">
        <f>'[1]page 1-8'!$A167</f>
        <v>Calcined Dolo cons.</v>
      </c>
    </row>
    <row r="168" spans="1:42" x14ac:dyDescent="0.4">
      <c r="A168" s="37" t="s">
        <v>267</v>
      </c>
      <c r="B168" s="38" t="s">
        <v>262</v>
      </c>
      <c r="C168" s="49">
        <v>8.6130970883846238</v>
      </c>
      <c r="D168" s="49">
        <v>8.8000000000000007</v>
      </c>
      <c r="E168" s="49">
        <v>20.53</v>
      </c>
      <c r="F168" s="44">
        <v>24.820651021197488</v>
      </c>
      <c r="G168" s="44">
        <v>4.6095244582957244</v>
      </c>
      <c r="H168" s="44">
        <v>0.17166701880414115</v>
      </c>
      <c r="I168" s="44">
        <v>0</v>
      </c>
      <c r="J168" s="44">
        <v>0</v>
      </c>
      <c r="K168" s="44">
        <v>0</v>
      </c>
      <c r="L168" s="44">
        <v>0</v>
      </c>
      <c r="M168" s="44">
        <v>0</v>
      </c>
      <c r="N168" s="44">
        <v>0</v>
      </c>
      <c r="O168" s="44">
        <v>0</v>
      </c>
      <c r="P168" s="44">
        <v>0</v>
      </c>
      <c r="Q168" s="44">
        <v>0</v>
      </c>
      <c r="R168" s="44">
        <v>0</v>
      </c>
      <c r="S168" s="44">
        <v>0</v>
      </c>
      <c r="T168" s="44">
        <v>0</v>
      </c>
      <c r="U168" s="38">
        <v>0</v>
      </c>
      <c r="V168" s="38"/>
      <c r="W168" s="45">
        <v>0</v>
      </c>
      <c r="X168" s="44">
        <v>0</v>
      </c>
      <c r="Y168" s="44" t="e">
        <v>#DIV/0!</v>
      </c>
      <c r="Z168" s="44">
        <v>0</v>
      </c>
      <c r="AA168" s="44" t="e">
        <v>#DIV/0!</v>
      </c>
      <c r="AB168" s="44" t="e">
        <v>#DIV/0!</v>
      </c>
      <c r="AC168" s="44" t="e">
        <v>#DIV/0!</v>
      </c>
      <c r="AD168" s="44" t="e">
        <v>#DIV/0!</v>
      </c>
      <c r="AE168" s="44" t="e">
        <v>#DIV/0!</v>
      </c>
      <c r="AF168" s="44" t="e">
        <v>#DIV/0!</v>
      </c>
      <c r="AG168" s="44" t="e">
        <v>#DIV/0!</v>
      </c>
      <c r="AH168" s="44" t="e">
        <v>#DIV/0!</v>
      </c>
      <c r="AI168" s="44" t="e">
        <v>#DIV/0!</v>
      </c>
      <c r="AJ168" s="44" t="e">
        <v>#DIV/0!</v>
      </c>
      <c r="AK168" s="44" t="e">
        <v>#DIV/0!</v>
      </c>
      <c r="AL168" s="44"/>
      <c r="AM168" s="44">
        <v>0</v>
      </c>
      <c r="AO168" s="109" t="str">
        <f>IF(A168='[1]page 1-8'!$A168,"","False")</f>
        <v/>
      </c>
      <c r="AP168" s="109" t="str">
        <f>'[1]page 1-8'!$A168</f>
        <v>Raw Dolo cons.</v>
      </c>
    </row>
    <row r="169" spans="1:42" x14ac:dyDescent="0.4">
      <c r="A169" s="37" t="s">
        <v>268</v>
      </c>
      <c r="B169" s="38" t="s">
        <v>269</v>
      </c>
      <c r="C169" s="44">
        <v>0.21927779504714537</v>
      </c>
      <c r="D169" s="44">
        <v>0.1</v>
      </c>
      <c r="E169" s="44">
        <v>7.0000000000000007E-2</v>
      </c>
      <c r="F169" s="44">
        <v>0.14472682811193871</v>
      </c>
      <c r="G169" s="44">
        <v>0.12205021656817498</v>
      </c>
      <c r="H169" s="44">
        <v>0.10035918022395944</v>
      </c>
      <c r="I169" s="44">
        <v>0.1533877314960333</v>
      </c>
      <c r="J169" s="44">
        <v>7.6437757825770447E-2</v>
      </c>
      <c r="K169" s="44">
        <v>6.7435223869617058E-3</v>
      </c>
      <c r="L169" s="44">
        <v>0</v>
      </c>
      <c r="M169" s="44">
        <v>0</v>
      </c>
      <c r="N169" s="44">
        <v>0</v>
      </c>
      <c r="O169" s="44">
        <v>0</v>
      </c>
      <c r="P169" s="44">
        <v>0</v>
      </c>
      <c r="Q169" s="44">
        <v>0</v>
      </c>
      <c r="R169" s="44">
        <v>0</v>
      </c>
      <c r="S169" s="44">
        <v>2.2610879698601594E-2</v>
      </c>
      <c r="T169" s="44">
        <v>0.89653266894217465</v>
      </c>
      <c r="U169" s="38">
        <v>1</v>
      </c>
      <c r="V169" s="38"/>
      <c r="W169" s="45">
        <v>0.79604594586271671</v>
      </c>
      <c r="X169" s="44">
        <v>0.77935625557614441</v>
      </c>
      <c r="Y169" s="44" t="e">
        <v>#DIV/0!</v>
      </c>
      <c r="Z169" s="44">
        <v>0.78646995510986273</v>
      </c>
      <c r="AA169" s="44" t="e">
        <v>#DIV/0!</v>
      </c>
      <c r="AB169" s="44" t="e">
        <v>#DIV/0!</v>
      </c>
      <c r="AC169" s="44" t="e">
        <v>#DIV/0!</v>
      </c>
      <c r="AD169" s="44" t="e">
        <v>#DIV/0!</v>
      </c>
      <c r="AE169" s="44" t="e">
        <v>#DIV/0!</v>
      </c>
      <c r="AF169" s="44" t="e">
        <v>#DIV/0!</v>
      </c>
      <c r="AG169" s="44" t="e">
        <v>#DIV/0!</v>
      </c>
      <c r="AH169" s="44" t="e">
        <v>#DIV/0!</v>
      </c>
      <c r="AI169" s="44" t="e">
        <v>#DIV/0!</v>
      </c>
      <c r="AJ169" s="44" t="e">
        <v>#DIV/0!</v>
      </c>
      <c r="AK169" s="44" t="e">
        <v>#DIV/0!</v>
      </c>
      <c r="AL169" s="44"/>
      <c r="AM169" s="44">
        <v>0.78646995510986273</v>
      </c>
      <c r="AO169" s="109" t="str">
        <f>IF(A169='[1]page 1-8'!$A169,"","False")</f>
        <v/>
      </c>
      <c r="AP169" s="109" t="str">
        <f>'[1]page 1-8'!$A169</f>
        <v>Ferro- Mn Consmn LC</v>
      </c>
    </row>
    <row r="170" spans="1:42" x14ac:dyDescent="0.4">
      <c r="A170" s="37" t="s">
        <v>270</v>
      </c>
      <c r="B170" s="38" t="s">
        <v>269</v>
      </c>
      <c r="C170" s="49">
        <v>11.345974510413429</v>
      </c>
      <c r="D170" s="49">
        <v>10.1</v>
      </c>
      <c r="E170" s="49">
        <v>9.69</v>
      </c>
      <c r="F170" s="44">
        <v>9.7865279285348912</v>
      </c>
      <c r="G170" s="44">
        <v>9.0430695345629175</v>
      </c>
      <c r="H170" s="44">
        <v>8.1792731882526937</v>
      </c>
      <c r="I170" s="44">
        <v>7.5009115254535628</v>
      </c>
      <c r="J170" s="44">
        <v>7.9568066003397231</v>
      </c>
      <c r="K170" s="44">
        <v>10.000030652374486</v>
      </c>
      <c r="L170" s="44">
        <v>9.5539756588800326</v>
      </c>
      <c r="M170" s="44">
        <v>6.6676755976460864</v>
      </c>
      <c r="N170" s="44">
        <v>6.1322264638111337</v>
      </c>
      <c r="O170" s="44">
        <v>5.56</v>
      </c>
      <c r="P170" s="44">
        <v>5.79</v>
      </c>
      <c r="Q170" s="44">
        <v>6.48</v>
      </c>
      <c r="R170" s="44">
        <v>6.1419214468644467</v>
      </c>
      <c r="S170" s="44">
        <v>6.16</v>
      </c>
      <c r="T170" s="44">
        <v>6.5868095171175209</v>
      </c>
      <c r="U170" s="44">
        <v>6.59</v>
      </c>
      <c r="V170" s="44"/>
      <c r="W170" s="45">
        <v>5.7065870107473904</v>
      </c>
      <c r="X170" s="44">
        <v>6.6799350307688785</v>
      </c>
      <c r="Y170" s="44" t="e">
        <v>#DIV/0!</v>
      </c>
      <c r="Z170" s="44">
        <v>6.2650618223820649</v>
      </c>
      <c r="AA170" s="44" t="e">
        <v>#DIV/0!</v>
      </c>
      <c r="AB170" s="44" t="e">
        <v>#DIV/0!</v>
      </c>
      <c r="AC170" s="44" t="e">
        <v>#DIV/0!</v>
      </c>
      <c r="AD170" s="44" t="e">
        <v>#DIV/0!</v>
      </c>
      <c r="AE170" s="44" t="e">
        <v>#DIV/0!</v>
      </c>
      <c r="AF170" s="44" t="e">
        <v>#DIV/0!</v>
      </c>
      <c r="AG170" s="44" t="e">
        <v>#DIV/0!</v>
      </c>
      <c r="AH170" s="44" t="e">
        <v>#DIV/0!</v>
      </c>
      <c r="AI170" s="44" t="e">
        <v>#DIV/0!</v>
      </c>
      <c r="AJ170" s="44" t="e">
        <v>#DIV/0!</v>
      </c>
      <c r="AK170" s="44" t="e">
        <v>#DIV/0!</v>
      </c>
      <c r="AL170" s="44"/>
      <c r="AM170" s="44">
        <v>6.2650618223820649</v>
      </c>
      <c r="AO170" s="109" t="str">
        <f>IF(A170='[1]page 1-8'!$A170,"","False")</f>
        <v/>
      </c>
      <c r="AP170" s="109" t="str">
        <f>'[1]page 1-8'!$A170</f>
        <v>Ferro Silicon Consmn</v>
      </c>
    </row>
    <row r="171" spans="1:42" x14ac:dyDescent="0.4">
      <c r="A171" s="37" t="s">
        <v>271</v>
      </c>
      <c r="B171" s="38" t="s">
        <v>269</v>
      </c>
      <c r="C171" s="44">
        <v>17.195109315096882</v>
      </c>
      <c r="D171" s="44">
        <v>14.04</v>
      </c>
      <c r="E171" s="44">
        <v>13.67</v>
      </c>
      <c r="F171" s="44">
        <v>13.95116717196292</v>
      </c>
      <c r="G171" s="44">
        <v>16.204295032272348</v>
      </c>
      <c r="H171" s="44">
        <v>12.230614832030424</v>
      </c>
      <c r="I171" s="44">
        <v>12.190552824471629</v>
      </c>
      <c r="J171" s="44">
        <v>13.168793982043196</v>
      </c>
      <c r="K171" s="44">
        <v>13.559997425200542</v>
      </c>
      <c r="L171" s="44">
        <v>12.243721058339501</v>
      </c>
      <c r="M171" s="44">
        <v>11.414501830627652</v>
      </c>
      <c r="N171" s="44">
        <v>10.349124213299895</v>
      </c>
      <c r="O171" s="44">
        <v>10.441316595941936</v>
      </c>
      <c r="P171" s="44">
        <v>11.1</v>
      </c>
      <c r="Q171" s="44">
        <v>12.2</v>
      </c>
      <c r="R171" s="44">
        <v>12.2</v>
      </c>
      <c r="S171" s="44">
        <v>12.580263923578546</v>
      </c>
      <c r="T171" s="44">
        <v>15.429597006428745</v>
      </c>
      <c r="U171" s="49">
        <v>16.7</v>
      </c>
      <c r="V171" s="49"/>
      <c r="W171" s="45">
        <v>13.321836602716102</v>
      </c>
      <c r="X171" s="44">
        <v>15.463363301535013</v>
      </c>
      <c r="Y171" s="44" t="e">
        <v>#DIV/0!</v>
      </c>
      <c r="Z171" s="44">
        <v>14.550573596198779</v>
      </c>
      <c r="AA171" s="44" t="e">
        <v>#DIV/0!</v>
      </c>
      <c r="AB171" s="44" t="e">
        <v>#DIV/0!</v>
      </c>
      <c r="AC171" s="44" t="e">
        <v>#DIV/0!</v>
      </c>
      <c r="AD171" s="44" t="e">
        <v>#DIV/0!</v>
      </c>
      <c r="AE171" s="44" t="e">
        <v>#DIV/0!</v>
      </c>
      <c r="AF171" s="44" t="e">
        <v>#DIV/0!</v>
      </c>
      <c r="AG171" s="44" t="e">
        <v>#DIV/0!</v>
      </c>
      <c r="AH171" s="44" t="e">
        <v>#DIV/0!</v>
      </c>
      <c r="AI171" s="44" t="e">
        <v>#DIV/0!</v>
      </c>
      <c r="AJ171" s="44" t="e">
        <v>#DIV/0!</v>
      </c>
      <c r="AK171" s="44" t="e">
        <v>#DIV/0!</v>
      </c>
      <c r="AL171" s="44"/>
      <c r="AM171" s="44">
        <v>14.550573596198779</v>
      </c>
      <c r="AO171" s="109" t="str">
        <f>IF(A171='[1]page 1-8'!$A171,"","False")</f>
        <v/>
      </c>
      <c r="AP171" s="109" t="str">
        <f>'[1]page 1-8'!$A171</f>
        <v>Silico -Mn Cons.</v>
      </c>
    </row>
    <row r="172" spans="1:42" x14ac:dyDescent="0.4">
      <c r="A172" s="37" t="s">
        <v>272</v>
      </c>
      <c r="B172" s="38" t="s">
        <v>269</v>
      </c>
      <c r="C172" s="49">
        <v>4.2715780748109005</v>
      </c>
      <c r="D172" s="49">
        <v>3.78</v>
      </c>
      <c r="E172" s="49">
        <v>3.9</v>
      </c>
      <c r="F172" s="44">
        <v>4.0698182181133111</v>
      </c>
      <c r="G172" s="44">
        <v>4.075909557951146</v>
      </c>
      <c r="H172" s="44">
        <v>4.0354954574265793</v>
      </c>
      <c r="I172" s="44">
        <v>3.4725976589511798</v>
      </c>
      <c r="J172" s="44">
        <v>3.5957049259888376</v>
      </c>
      <c r="K172" s="44">
        <v>4.1054564291822873</v>
      </c>
      <c r="L172" s="44">
        <v>4.5402902342875837</v>
      </c>
      <c r="M172" s="44">
        <v>4.5954865860686036</v>
      </c>
      <c r="N172" s="44">
        <v>5.9232334134914275</v>
      </c>
      <c r="O172" s="44">
        <v>5.4080812185065108</v>
      </c>
      <c r="P172" s="44">
        <v>4.5779998093668173</v>
      </c>
      <c r="Q172" s="44">
        <v>6</v>
      </c>
      <c r="R172" s="44">
        <v>5.9</v>
      </c>
      <c r="S172" s="44">
        <v>6.291131823808314</v>
      </c>
      <c r="T172" s="44">
        <v>7.3944377883587045</v>
      </c>
      <c r="U172" s="44">
        <v>7.7</v>
      </c>
      <c r="V172" s="44"/>
      <c r="W172" s="45">
        <v>6.7126535891355896</v>
      </c>
      <c r="X172" s="44">
        <v>6.9439297234232376</v>
      </c>
      <c r="Y172" s="44" t="e">
        <v>#DIV/0!</v>
      </c>
      <c r="Z172" s="44">
        <v>6.8453521644396611</v>
      </c>
      <c r="AA172" s="44" t="e">
        <v>#DIV/0!</v>
      </c>
      <c r="AB172" s="44" t="e">
        <v>#DIV/0!</v>
      </c>
      <c r="AC172" s="44" t="e">
        <v>#DIV/0!</v>
      </c>
      <c r="AD172" s="44" t="e">
        <v>#DIV/0!</v>
      </c>
      <c r="AE172" s="44" t="e">
        <v>#DIV/0!</v>
      </c>
      <c r="AF172" s="44" t="e">
        <v>#DIV/0!</v>
      </c>
      <c r="AG172" s="44" t="e">
        <v>#DIV/0!</v>
      </c>
      <c r="AH172" s="44" t="e">
        <v>#DIV/0!</v>
      </c>
      <c r="AI172" s="44" t="e">
        <v>#DIV/0!</v>
      </c>
      <c r="AJ172" s="44" t="e">
        <v>#DIV/0!</v>
      </c>
      <c r="AK172" s="44" t="e">
        <v>#DIV/0!</v>
      </c>
      <c r="AL172" s="44"/>
      <c r="AM172" s="44">
        <v>6.8453521644396611</v>
      </c>
      <c r="AO172" s="109" t="str">
        <f>IF(A172='[1]page 1-8'!$A172,"","False")</f>
        <v/>
      </c>
      <c r="AP172" s="109" t="str">
        <f>'[1]page 1-8'!$A172</f>
        <v>Aluminium Consmn</v>
      </c>
    </row>
    <row r="173" spans="1:42" x14ac:dyDescent="0.4">
      <c r="A173" s="37" t="s">
        <v>273</v>
      </c>
      <c r="B173" s="38" t="s">
        <v>269</v>
      </c>
      <c r="C173" s="44">
        <v>19.194902082685733</v>
      </c>
      <c r="D173" s="44">
        <v>17.2</v>
      </c>
      <c r="E173" s="44">
        <v>16.899999999999999</v>
      </c>
      <c r="F173" s="44">
        <v>14.130828062032913</v>
      </c>
      <c r="G173" s="44">
        <v>14.135118104872358</v>
      </c>
      <c r="H173" s="44">
        <v>15.27</v>
      </c>
      <c r="I173" s="44">
        <v>17.34</v>
      </c>
      <c r="J173" s="44">
        <v>18.66</v>
      </c>
      <c r="K173" s="44">
        <v>21.88</v>
      </c>
      <c r="L173" s="44">
        <v>18.309999999999999</v>
      </c>
      <c r="M173" s="44">
        <v>17.899999999999999</v>
      </c>
      <c r="N173" s="44">
        <v>18.12</v>
      </c>
      <c r="O173" s="44">
        <v>21.49</v>
      </c>
      <c r="P173" s="44">
        <v>17.27</v>
      </c>
      <c r="Q173" s="44">
        <v>17.53</v>
      </c>
      <c r="R173" s="44">
        <v>16.66</v>
      </c>
      <c r="S173" s="44">
        <v>14.9</v>
      </c>
      <c r="T173" s="44">
        <v>14.922354841091575</v>
      </c>
      <c r="U173" s="49">
        <v>14</v>
      </c>
      <c r="V173" s="49"/>
      <c r="W173" s="45">
        <v>25.676839220275305</v>
      </c>
      <c r="X173" s="45">
        <v>11.143824491570014</v>
      </c>
      <c r="Y173" s="44" t="e">
        <v>#DIV/0!</v>
      </c>
      <c r="Z173" s="44">
        <v>17.338277373795709</v>
      </c>
      <c r="AA173" s="44" t="e">
        <v>#DIV/0!</v>
      </c>
      <c r="AB173" s="44" t="e">
        <v>#DIV/0!</v>
      </c>
      <c r="AC173" s="44" t="e">
        <v>#DIV/0!</v>
      </c>
      <c r="AD173" s="44" t="e">
        <v>#DIV/0!</v>
      </c>
      <c r="AE173" s="44" t="e">
        <v>#DIV/0!</v>
      </c>
      <c r="AF173" s="44" t="e">
        <v>#DIV/0!</v>
      </c>
      <c r="AG173" s="44" t="e">
        <v>#DIV/0!</v>
      </c>
      <c r="AH173" s="44" t="e">
        <v>#DIV/0!</v>
      </c>
      <c r="AI173" s="44" t="e">
        <v>#DIV/0!</v>
      </c>
      <c r="AJ173" s="44" t="e">
        <v>#DIV/0!</v>
      </c>
      <c r="AK173" s="44" t="e">
        <v>#DIV/0!</v>
      </c>
      <c r="AL173" s="44"/>
      <c r="AM173" s="44">
        <v>17.338277373795709</v>
      </c>
      <c r="AO173" s="109" t="str">
        <f>IF(A173='[1]page 1-8'!$A173,"","False")</f>
        <v/>
      </c>
      <c r="AP173" s="109" t="str">
        <f>'[1]page 1-8'!$A173</f>
        <v>Refractory Cons.</v>
      </c>
    </row>
    <row r="174" spans="1:42" x14ac:dyDescent="0.4">
      <c r="A174" s="37" t="s">
        <v>274</v>
      </c>
      <c r="B174" s="38" t="s">
        <v>141</v>
      </c>
      <c r="C174" s="49">
        <v>88.49338431491212</v>
      </c>
      <c r="D174" s="49">
        <v>86.7</v>
      </c>
      <c r="E174" s="49">
        <v>86.9</v>
      </c>
      <c r="F174" s="44">
        <v>86.957323635606159</v>
      </c>
      <c r="G174" s="44">
        <v>86.959977292080609</v>
      </c>
      <c r="H174" s="44">
        <v>86.994081535124806</v>
      </c>
      <c r="I174" s="44">
        <v>87.01888361305005</v>
      </c>
      <c r="J174" s="44">
        <v>86.964962890587898</v>
      </c>
      <c r="K174" s="44">
        <v>87.009596048497656</v>
      </c>
      <c r="L174" s="44">
        <v>87.00848876091051</v>
      </c>
      <c r="M174" s="44">
        <v>87.056480627540012</v>
      </c>
      <c r="N174" s="44">
        <v>87.133202096712481</v>
      </c>
      <c r="O174" s="44">
        <v>87.073418062133896</v>
      </c>
      <c r="P174" s="44">
        <v>87.409088235870698</v>
      </c>
      <c r="Q174" s="44">
        <v>88.083852730467044</v>
      </c>
      <c r="R174" s="44">
        <v>88.372131132616545</v>
      </c>
      <c r="S174" s="44">
        <v>88.453619553335486</v>
      </c>
      <c r="T174" s="44">
        <v>88.508688896806305</v>
      </c>
      <c r="U174" s="49">
        <v>88.6</v>
      </c>
      <c r="V174" s="49"/>
      <c r="W174" s="50">
        <v>88.663481228668942</v>
      </c>
      <c r="X174" s="49">
        <v>88.643968121996224</v>
      </c>
      <c r="Y174" s="49" t="e">
        <v>#DIV/0!</v>
      </c>
      <c r="Z174" s="49">
        <v>88.652284204891899</v>
      </c>
      <c r="AA174" s="49" t="e">
        <v>#DIV/0!</v>
      </c>
      <c r="AB174" s="49" t="e">
        <v>#DIV/0!</v>
      </c>
      <c r="AC174" s="49" t="e">
        <v>#DIV/0!</v>
      </c>
      <c r="AD174" s="49" t="e">
        <v>#DIV/0!</v>
      </c>
      <c r="AE174" s="49" t="e">
        <v>#DIV/0!</v>
      </c>
      <c r="AF174" s="49" t="e">
        <v>#DIV/0!</v>
      </c>
      <c r="AG174" s="49" t="e">
        <v>#DIV/0!</v>
      </c>
      <c r="AH174" s="49" t="e">
        <v>#DIV/0!</v>
      </c>
      <c r="AI174" s="49" t="e">
        <v>#DIV/0!</v>
      </c>
      <c r="AJ174" s="49" t="e">
        <v>#DIV/0!</v>
      </c>
      <c r="AK174" s="49" t="e">
        <v>#DIV/0!</v>
      </c>
      <c r="AL174" s="49"/>
      <c r="AM174" s="49">
        <v>88.652284204891899</v>
      </c>
      <c r="AO174" s="109" t="str">
        <f>IF(A174='[1]page 1-8'!$A174,"","False")</f>
        <v/>
      </c>
      <c r="AP174" s="109" t="str">
        <f>'[1]page 1-8'!$A174</f>
        <v xml:space="preserve">Mettalic Yield    </v>
      </c>
    </row>
    <row r="175" spans="1:42" x14ac:dyDescent="0.4">
      <c r="A175" s="37" t="s">
        <v>275</v>
      </c>
      <c r="B175" s="38" t="s">
        <v>276</v>
      </c>
      <c r="C175" s="44">
        <v>65.630737844270655</v>
      </c>
      <c r="D175" s="44">
        <v>65.599999999999994</v>
      </c>
      <c r="E175" s="44">
        <v>65.8</v>
      </c>
      <c r="F175" s="44">
        <v>66.548488874128196</v>
      </c>
      <c r="G175" s="44">
        <v>66.76407049459921</v>
      </c>
      <c r="H175" s="44">
        <v>67.602213890376717</v>
      </c>
      <c r="I175" s="44">
        <v>66.871531864805789</v>
      </c>
      <c r="J175" s="44">
        <v>66.446307642695899</v>
      </c>
      <c r="K175" s="44">
        <v>66.606574111882395</v>
      </c>
      <c r="L175" s="44">
        <v>66.694603903559127</v>
      </c>
      <c r="M175" s="44">
        <v>67.122094159015433</v>
      </c>
      <c r="N175" s="44">
        <v>66.049799056438928</v>
      </c>
      <c r="O175" s="44">
        <v>67.194193424341478</v>
      </c>
      <c r="P175" s="44">
        <v>68.650115473441105</v>
      </c>
      <c r="Q175" s="44">
        <v>68.259469132120486</v>
      </c>
      <c r="R175" s="44">
        <v>68.543002400790854</v>
      </c>
      <c r="S175" s="44">
        <v>68.530766068247232</v>
      </c>
      <c r="T175" s="44">
        <v>67.638633800547765</v>
      </c>
      <c r="U175" s="49">
        <v>68</v>
      </c>
      <c r="V175" s="49"/>
      <c r="W175" s="50">
        <v>69.091489361702131</v>
      </c>
      <c r="X175" s="49">
        <v>69.166139240506325</v>
      </c>
      <c r="Y175" s="49" t="e">
        <v>#DIV/0!</v>
      </c>
      <c r="Z175" s="49">
        <v>69.134301270417424</v>
      </c>
      <c r="AA175" s="49" t="e">
        <v>#DIV/0!</v>
      </c>
      <c r="AB175" s="49" t="e">
        <v>#DIV/0!</v>
      </c>
      <c r="AC175" s="49" t="e">
        <v>#DIV/0!</v>
      </c>
      <c r="AD175" s="49" t="e">
        <v>#DIV/0!</v>
      </c>
      <c r="AE175" s="49" t="e">
        <v>#DIV/0!</v>
      </c>
      <c r="AF175" s="49" t="e">
        <v>#DIV/0!</v>
      </c>
      <c r="AG175" s="49" t="e">
        <v>#DIV/0!</v>
      </c>
      <c r="AH175" s="49" t="e">
        <v>#DIV/0!</v>
      </c>
      <c r="AI175" s="49" t="e">
        <v>#DIV/0!</v>
      </c>
      <c r="AJ175" s="49" t="e">
        <v>#DIV/0!</v>
      </c>
      <c r="AK175" s="49" t="e">
        <v>#DIV/0!</v>
      </c>
      <c r="AL175" s="49"/>
      <c r="AM175" s="49">
        <v>69.134301270417424</v>
      </c>
      <c r="AO175" s="109" t="str">
        <f>IF(A175='[1]page 1-8'!$A175,"","False")</f>
        <v/>
      </c>
      <c r="AP175" s="109" t="str">
        <f>'[1]page 1-8'!$A175</f>
        <v xml:space="preserve">Blow Weight </v>
      </c>
    </row>
    <row r="176" spans="1:42" x14ac:dyDescent="0.4">
      <c r="A176" s="37" t="s">
        <v>277</v>
      </c>
      <c r="B176" s="38" t="s">
        <v>278</v>
      </c>
      <c r="C176" s="49">
        <v>1.6541992519551174</v>
      </c>
      <c r="D176" s="49">
        <v>1.7</v>
      </c>
      <c r="E176" s="49">
        <v>1.65</v>
      </c>
      <c r="F176" s="44">
        <v>1.6652274991697111</v>
      </c>
      <c r="G176" s="44">
        <v>1.6598446086791738</v>
      </c>
      <c r="H176" s="44">
        <v>1.6714872344224245</v>
      </c>
      <c r="I176" s="44">
        <v>1.6705902135530519</v>
      </c>
      <c r="J176" s="44">
        <v>1.6704014833924541</v>
      </c>
      <c r="K176" s="44">
        <v>1.6744610044916293</v>
      </c>
      <c r="L176" s="44">
        <v>1.2380597014925372</v>
      </c>
      <c r="M176" s="44">
        <v>1.3590974799765578</v>
      </c>
      <c r="N176" s="44">
        <v>1.449556176830334</v>
      </c>
      <c r="O176" s="44">
        <v>1.1742741780426842</v>
      </c>
      <c r="P176" s="44">
        <v>1.313316012317167</v>
      </c>
      <c r="Q176" s="44">
        <v>1.5019743513271699</v>
      </c>
      <c r="R176" s="44">
        <v>1.3</v>
      </c>
      <c r="S176" s="44">
        <v>1.31</v>
      </c>
      <c r="T176" s="44">
        <v>1.1100000000000001</v>
      </c>
      <c r="U176" s="44">
        <v>1.1000000000000001</v>
      </c>
      <c r="V176" s="44"/>
      <c r="W176" s="45">
        <v>1.1299999999999999</v>
      </c>
      <c r="X176" s="44">
        <v>1.0900000000000001</v>
      </c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>
        <v>1.1100000000000001</v>
      </c>
      <c r="AO176" s="109" t="str">
        <f>IF(A176='[1]page 1-8'!$A176,"","False")</f>
        <v/>
      </c>
      <c r="AP176" s="109" t="str">
        <f>'[1]page 1-8'!$A176</f>
        <v>Tap to Tap time</v>
      </c>
    </row>
    <row r="177" spans="1:42" x14ac:dyDescent="0.4">
      <c r="A177" s="37" t="s">
        <v>279</v>
      </c>
      <c r="B177" s="38" t="s">
        <v>280</v>
      </c>
      <c r="C177" s="44">
        <v>1541</v>
      </c>
      <c r="D177" s="44">
        <v>1778</v>
      </c>
      <c r="E177" s="44">
        <v>1701</v>
      </c>
      <c r="F177" s="44">
        <v>1814.75</v>
      </c>
      <c r="G177" s="44">
        <v>1557.3333333333333</v>
      </c>
      <c r="H177" s="44">
        <v>1674.3333333333333</v>
      </c>
      <c r="I177" s="44">
        <v>1726.25</v>
      </c>
      <c r="J177" s="44">
        <v>1802</v>
      </c>
      <c r="K177" s="44">
        <v>1646.6666666666667</v>
      </c>
      <c r="L177" s="44">
        <v>1287</v>
      </c>
      <c r="M177" s="44">
        <v>1657</v>
      </c>
      <c r="N177" s="44">
        <v>1672.75</v>
      </c>
      <c r="O177" s="44">
        <v>1369</v>
      </c>
      <c r="P177" s="44">
        <v>1631</v>
      </c>
      <c r="Q177" s="44">
        <v>1671.25</v>
      </c>
      <c r="R177" s="44" t="s">
        <v>109</v>
      </c>
      <c r="S177" s="44">
        <v>1877.25</v>
      </c>
      <c r="T177" s="44">
        <v>1589.6666666666667</v>
      </c>
      <c r="U177" s="47">
        <v>1700</v>
      </c>
      <c r="V177" s="47"/>
      <c r="W177" s="48" t="s">
        <v>109</v>
      </c>
      <c r="X177" s="47" t="s">
        <v>109</v>
      </c>
      <c r="Y177" s="47" t="s">
        <v>109</v>
      </c>
      <c r="Z177" s="47" t="s">
        <v>109</v>
      </c>
      <c r="AA177" s="47" t="s">
        <v>109</v>
      </c>
      <c r="AB177" s="47" t="s">
        <v>109</v>
      </c>
      <c r="AC177" s="47" t="s">
        <v>109</v>
      </c>
      <c r="AD177" s="47" t="e">
        <v>#DIV/0!</v>
      </c>
      <c r="AE177" s="47" t="s">
        <v>109</v>
      </c>
      <c r="AF177" s="47" t="s">
        <v>109</v>
      </c>
      <c r="AG177" s="47" t="s">
        <v>109</v>
      </c>
      <c r="AH177" s="47" t="s">
        <v>109</v>
      </c>
      <c r="AI177" s="47" t="s">
        <v>109</v>
      </c>
      <c r="AJ177" s="47" t="s">
        <v>109</v>
      </c>
      <c r="AK177" s="47" t="s">
        <v>109</v>
      </c>
      <c r="AL177" s="47"/>
      <c r="AM177" s="47" t="s">
        <v>109</v>
      </c>
      <c r="AO177" s="109" t="str">
        <f>IF(A177='[1]page 1-8'!$A177,"","False")</f>
        <v/>
      </c>
      <c r="AP177" s="109" t="str">
        <f>'[1]page 1-8'!$A177</f>
        <v>Avg. Lining Life</v>
      </c>
    </row>
    <row r="178" spans="1:42" x14ac:dyDescent="0.4">
      <c r="A178" s="37" t="s">
        <v>281</v>
      </c>
      <c r="B178" s="38" t="s">
        <v>282</v>
      </c>
      <c r="C178" s="49">
        <v>64.233084654439949</v>
      </c>
      <c r="D178" s="49">
        <v>65</v>
      </c>
      <c r="E178" s="49">
        <v>61.29</v>
      </c>
      <c r="F178" s="44">
        <v>62.503374879914162</v>
      </c>
      <c r="G178" s="44">
        <v>61.86294044517107</v>
      </c>
      <c r="H178" s="44">
        <v>61.16646418761885</v>
      </c>
      <c r="I178" s="44">
        <v>61.352402026729699</v>
      </c>
      <c r="J178" s="44">
        <v>61.328099975734048</v>
      </c>
      <c r="K178" s="44">
        <v>59.36</v>
      </c>
      <c r="L178" s="44">
        <v>59.353087913790432</v>
      </c>
      <c r="M178" s="44">
        <v>54.989924097346318</v>
      </c>
      <c r="N178" s="44">
        <v>60.806263680446982</v>
      </c>
      <c r="O178" s="44">
        <v>60.400913364828014</v>
      </c>
      <c r="P178" s="44">
        <v>59.059012183703103</v>
      </c>
      <c r="Q178" s="44">
        <v>60.44504836722389</v>
      </c>
      <c r="R178" s="44">
        <v>59.127191961314757</v>
      </c>
      <c r="S178" s="44">
        <v>57.61976847195087</v>
      </c>
      <c r="T178" s="44">
        <v>59.558610209297505</v>
      </c>
      <c r="U178" s="49">
        <v>59</v>
      </c>
      <c r="V178" s="49"/>
      <c r="W178" s="45">
        <v>58.920949712068484</v>
      </c>
      <c r="X178" s="44">
        <v>58.548257955299341</v>
      </c>
      <c r="Y178" s="44" t="e">
        <v>#DIV/0!</v>
      </c>
      <c r="Z178" s="44">
        <v>58.70711154280314</v>
      </c>
      <c r="AA178" s="44" t="e">
        <v>#DIV/0!</v>
      </c>
      <c r="AB178" s="44" t="e">
        <v>#DIV/0!</v>
      </c>
      <c r="AC178" s="44" t="e">
        <v>#DIV/0!</v>
      </c>
      <c r="AD178" s="44" t="e">
        <v>#DIV/0!</v>
      </c>
      <c r="AE178" s="44" t="e">
        <v>#DIV/0!</v>
      </c>
      <c r="AF178" s="44" t="e">
        <v>#DIV/0!</v>
      </c>
      <c r="AG178" s="44" t="e">
        <v>#DIV/0!</v>
      </c>
      <c r="AH178" s="44" t="e">
        <v>#DIV/0!</v>
      </c>
      <c r="AI178" s="44" t="e">
        <v>#DIV/0!</v>
      </c>
      <c r="AJ178" s="44" t="e">
        <v>#DIV/0!</v>
      </c>
      <c r="AK178" s="44" t="e">
        <v>#DIV/0!</v>
      </c>
      <c r="AL178" s="44"/>
      <c r="AM178" s="44">
        <v>58.70711154280314</v>
      </c>
      <c r="AO178" s="109" t="str">
        <f>IF(A178='[1]page 1-8'!$A178,"","False")</f>
        <v/>
      </c>
      <c r="AP178" s="109" t="str">
        <f>'[1]page 1-8'!$A178</f>
        <v>Oxygen Consmn.(LD)</v>
      </c>
    </row>
    <row r="179" spans="1:42" x14ac:dyDescent="0.4">
      <c r="A179" s="37" t="s">
        <v>283</v>
      </c>
      <c r="B179" s="38" t="s">
        <v>282</v>
      </c>
      <c r="C179" s="44">
        <v>3.4179852396031682</v>
      </c>
      <c r="D179" s="44">
        <v>4</v>
      </c>
      <c r="E179" s="44">
        <v>4.07</v>
      </c>
      <c r="F179" s="44">
        <v>4.0355107134907193</v>
      </c>
      <c r="G179" s="44">
        <v>4.0234112569886475</v>
      </c>
      <c r="H179" s="44">
        <v>4.0059722670789366</v>
      </c>
      <c r="I179" s="44">
        <v>4.0492624989604673</v>
      </c>
      <c r="J179" s="44">
        <v>4.0337186546572825</v>
      </c>
      <c r="K179" s="44">
        <v>3.9873693781138844</v>
      </c>
      <c r="L179" s="44">
        <v>3.9913778237627175</v>
      </c>
      <c r="M179" s="44">
        <v>3.9832140370503084</v>
      </c>
      <c r="N179" s="44">
        <v>3.9984749155378569</v>
      </c>
      <c r="O179" s="44">
        <v>3.9855422515235648</v>
      </c>
      <c r="P179" s="44">
        <v>3.978040303426746</v>
      </c>
      <c r="Q179" s="44">
        <v>3.9903293993691378</v>
      </c>
      <c r="R179" s="44">
        <v>3.9830179804764536</v>
      </c>
      <c r="S179" s="44">
        <v>3.9777797808625284</v>
      </c>
      <c r="T179" s="44">
        <v>3.9989402734285497</v>
      </c>
      <c r="U179" s="44">
        <v>4</v>
      </c>
      <c r="V179" s="44"/>
      <c r="W179" s="45">
        <v>3.985156899578111</v>
      </c>
      <c r="X179" s="44">
        <v>3.9987146824577109</v>
      </c>
      <c r="Y179" s="44" t="e">
        <v>#DIV/0!</v>
      </c>
      <c r="Z179" s="44">
        <v>3.9929249625207124</v>
      </c>
      <c r="AA179" s="44" t="e">
        <v>#DIV/0!</v>
      </c>
      <c r="AB179" s="44" t="e">
        <v>#DIV/0!</v>
      </c>
      <c r="AC179" s="44" t="e">
        <v>#DIV/0!</v>
      </c>
      <c r="AD179" s="44" t="e">
        <v>#DIV/0!</v>
      </c>
      <c r="AE179" s="44" t="e">
        <v>#DIV/0!</v>
      </c>
      <c r="AF179" s="44" t="e">
        <v>#DIV/0!</v>
      </c>
      <c r="AG179" s="44" t="e">
        <v>#DIV/0!</v>
      </c>
      <c r="AH179" s="44" t="e">
        <v>#DIV/0!</v>
      </c>
      <c r="AI179" s="44" t="e">
        <v>#DIV/0!</v>
      </c>
      <c r="AJ179" s="44" t="e">
        <v>#DIV/0!</v>
      </c>
      <c r="AK179" s="44" t="e">
        <v>#DIV/0!</v>
      </c>
      <c r="AL179" s="44"/>
      <c r="AM179" s="44">
        <v>3.9929249625207124</v>
      </c>
      <c r="AO179" s="109" t="str">
        <f>IF(A179='[1]page 1-8'!$A179,"","False")</f>
        <v/>
      </c>
      <c r="AP179" s="109" t="str">
        <f>'[1]page 1-8'!$A179</f>
        <v>Oxygen Cons.(CCM I)</v>
      </c>
    </row>
    <row r="180" spans="1:42" x14ac:dyDescent="0.4">
      <c r="A180" s="37" t="s">
        <v>284</v>
      </c>
      <c r="B180" s="38" t="s">
        <v>285</v>
      </c>
      <c r="C180" s="49">
        <v>2667.5450527031621</v>
      </c>
      <c r="D180" s="49">
        <v>2876</v>
      </c>
      <c r="E180" s="49">
        <v>2492</v>
      </c>
      <c r="F180" s="44">
        <v>2445.8817668548654</v>
      </c>
      <c r="G180" s="44">
        <v>2247.5080538184575</v>
      </c>
      <c r="H180" s="44">
        <v>2412.5870380289234</v>
      </c>
      <c r="I180" s="44">
        <v>2412.6618463090635</v>
      </c>
      <c r="J180" s="44">
        <v>2888.68107062238</v>
      </c>
      <c r="K180" s="44">
        <v>2935.5042874642713</v>
      </c>
      <c r="L180" s="44">
        <v>2978.4730195177958</v>
      </c>
      <c r="M180" s="44">
        <v>3803.6921273686266</v>
      </c>
      <c r="N180" s="44">
        <v>2812.7031277302112</v>
      </c>
      <c r="O180" s="44">
        <v>3013.4589502018844</v>
      </c>
      <c r="P180" s="44">
        <v>3665.5119322555811</v>
      </c>
      <c r="Q180" s="44">
        <v>3655.7560393677304</v>
      </c>
      <c r="R180" s="44">
        <v>3666.4736619121595</v>
      </c>
      <c r="S180" s="44">
        <v>3633.1780183637111</v>
      </c>
      <c r="T180" s="44">
        <v>3656.1785081359753</v>
      </c>
      <c r="U180" s="47">
        <v>3650</v>
      </c>
      <c r="V180" s="47"/>
      <c r="W180" s="48">
        <v>3816.3829787234044</v>
      </c>
      <c r="X180" s="47">
        <v>3676.2848101265822</v>
      </c>
      <c r="Y180" s="47" t="e">
        <v>#DIV/0!</v>
      </c>
      <c r="Z180" s="47">
        <v>3736.0362976406532</v>
      </c>
      <c r="AA180" s="47" t="e">
        <v>#DIV/0!</v>
      </c>
      <c r="AB180" s="47" t="e">
        <v>#DIV/0!</v>
      </c>
      <c r="AC180" s="47" t="e">
        <v>#DIV/0!</v>
      </c>
      <c r="AD180" s="47" t="e">
        <v>#DIV/0!</v>
      </c>
      <c r="AE180" s="47" t="e">
        <v>#DIV/0!</v>
      </c>
      <c r="AF180" s="47" t="e">
        <v>#DIV/0!</v>
      </c>
      <c r="AG180" s="47" t="e">
        <v>#DIV/0!</v>
      </c>
      <c r="AH180" s="47" t="e">
        <v>#DIV/0!</v>
      </c>
      <c r="AI180" s="47" t="e">
        <v>#DIV/0!</v>
      </c>
      <c r="AJ180" s="47" t="e">
        <v>#DIV/0!</v>
      </c>
      <c r="AK180" s="47" t="e">
        <v>#DIV/0!</v>
      </c>
      <c r="AL180" s="47"/>
      <c r="AM180" s="47">
        <v>3736.0362976406532</v>
      </c>
      <c r="AO180" s="109" t="str">
        <f>IF(A180='[1]page 1-8'!$A180,"","False")</f>
        <v/>
      </c>
      <c r="AP180" s="109" t="str">
        <f>'[1]page 1-8'!$A180</f>
        <v>HP N2 Consmn.</v>
      </c>
    </row>
    <row r="181" spans="1:42" x14ac:dyDescent="0.4">
      <c r="A181" s="37" t="s">
        <v>286</v>
      </c>
      <c r="B181" s="38" t="s">
        <v>141</v>
      </c>
      <c r="C181" s="44">
        <v>90.483458810317757</v>
      </c>
      <c r="D181" s="44">
        <v>88.65</v>
      </c>
      <c r="E181" s="44">
        <v>88.71</v>
      </c>
      <c r="F181" s="44">
        <v>88.561267532287175</v>
      </c>
      <c r="G181" s="44">
        <v>88.674672031001251</v>
      </c>
      <c r="H181" s="44">
        <v>88.676340844759778</v>
      </c>
      <c r="I181" s="44">
        <v>88.668081661232804</v>
      </c>
      <c r="J181" s="44">
        <v>88.515813442111636</v>
      </c>
      <c r="K181" s="44">
        <v>88.475940535437104</v>
      </c>
      <c r="L181" s="44">
        <v>88.604476130921398</v>
      </c>
      <c r="M181" s="44">
        <v>88.570856685348275</v>
      </c>
      <c r="N181" s="44">
        <v>88.756677390009727</v>
      </c>
      <c r="O181" s="44">
        <v>88.642621316887798</v>
      </c>
      <c r="P181" s="44">
        <v>89.77006031445832</v>
      </c>
      <c r="Q181" s="44">
        <v>89.806394244371688</v>
      </c>
      <c r="R181" s="44">
        <v>89.970230237702907</v>
      </c>
      <c r="S181" s="44">
        <v>90.084302356433057</v>
      </c>
      <c r="T181" s="44">
        <v>90.175843960357639</v>
      </c>
      <c r="U181" s="44">
        <v>90</v>
      </c>
      <c r="V181" s="44"/>
      <c r="W181" s="45">
        <v>90.192491467576801</v>
      </c>
      <c r="X181" s="44">
        <v>90.091862186441702</v>
      </c>
      <c r="Y181" s="44" t="e">
        <v>#DIV/0!</v>
      </c>
      <c r="Z181" s="44">
        <v>90.134748306918937</v>
      </c>
      <c r="AA181" s="44" t="e">
        <v>#DIV/0!</v>
      </c>
      <c r="AB181" s="44" t="e">
        <v>#DIV/0!</v>
      </c>
      <c r="AC181" s="44" t="e">
        <v>#DIV/0!</v>
      </c>
      <c r="AD181" s="44" t="e">
        <v>#DIV/0!</v>
      </c>
      <c r="AE181" s="44" t="e">
        <v>#DIV/0!</v>
      </c>
      <c r="AF181" s="44" t="e">
        <v>#DIV/0!</v>
      </c>
      <c r="AG181" s="44" t="e">
        <v>#DIV/0!</v>
      </c>
      <c r="AH181" s="44" t="e">
        <v>#DIV/0!</v>
      </c>
      <c r="AI181" s="44" t="e">
        <v>#DIV/0!</v>
      </c>
      <c r="AJ181" s="44" t="e">
        <v>#DIV/0!</v>
      </c>
      <c r="AK181" s="44" t="e">
        <v>#DIV/0!</v>
      </c>
      <c r="AL181" s="44"/>
      <c r="AM181" s="44">
        <v>90.134748306918937</v>
      </c>
      <c r="AO181" s="109" t="str">
        <f>IF(A181='[1]page 1-8'!$A181,"","False")</f>
        <v/>
      </c>
      <c r="AP181" s="109" t="str">
        <f>'[1]page 1-8'!$A181</f>
        <v>Converter Yield</v>
      </c>
    </row>
    <row r="182" spans="1:42" x14ac:dyDescent="0.4">
      <c r="A182" s="37" t="s">
        <v>287</v>
      </c>
      <c r="B182" s="38" t="s">
        <v>141</v>
      </c>
      <c r="C182" s="49">
        <v>98.459480474305067</v>
      </c>
      <c r="D182" s="49">
        <v>98.54</v>
      </c>
      <c r="E182" s="49">
        <v>98.64</v>
      </c>
      <c r="F182" s="44">
        <v>98.763672473247894</v>
      </c>
      <c r="G182" s="44">
        <v>98.837696777007153</v>
      </c>
      <c r="H182" s="44">
        <v>98.909172793732594</v>
      </c>
      <c r="I182" s="44">
        <v>98.952158896799375</v>
      </c>
      <c r="J182" s="44">
        <v>98.986897041306207</v>
      </c>
      <c r="K182" s="44">
        <v>99.056468862863937</v>
      </c>
      <c r="L182" s="44">
        <v>99.054972178688402</v>
      </c>
      <c r="M182" s="44">
        <v>99.150787254876477</v>
      </c>
      <c r="N182" s="44">
        <v>99.05608170309192</v>
      </c>
      <c r="O182" s="44">
        <v>98.934170878486967</v>
      </c>
      <c r="P182" s="44">
        <v>98.815154701236438</v>
      </c>
      <c r="Q182" s="44">
        <v>96.779509701877757</v>
      </c>
      <c r="R182" s="44">
        <v>98.875295250294741</v>
      </c>
      <c r="S182" s="44">
        <v>98.206153646412204</v>
      </c>
      <c r="T182" s="44">
        <v>98.744761985566882</v>
      </c>
      <c r="U182" s="44">
        <v>99</v>
      </c>
      <c r="V182" s="44"/>
      <c r="W182" s="45">
        <v>98.7952173780766</v>
      </c>
      <c r="X182" s="44">
        <v>98.91030443369884</v>
      </c>
      <c r="Y182" s="44" t="e">
        <v>#DIV/0!</v>
      </c>
      <c r="Z182" s="44">
        <v>98.86112483423905</v>
      </c>
      <c r="AA182" s="44" t="e">
        <v>#DIV/0!</v>
      </c>
      <c r="AB182" s="44" t="e">
        <v>#DIV/0!</v>
      </c>
      <c r="AC182" s="44" t="e">
        <v>#DIV/0!</v>
      </c>
      <c r="AD182" s="44" t="e">
        <v>#DIV/0!</v>
      </c>
      <c r="AE182" s="44" t="e">
        <v>#DIV/0!</v>
      </c>
      <c r="AF182" s="44" t="e">
        <v>#DIV/0!</v>
      </c>
      <c r="AG182" s="44" t="e">
        <v>#DIV/0!</v>
      </c>
      <c r="AH182" s="44" t="e">
        <v>#DIV/0!</v>
      </c>
      <c r="AI182" s="44" t="e">
        <v>#DIV/0!</v>
      </c>
      <c r="AJ182" s="44" t="e">
        <v>#DIV/0!</v>
      </c>
      <c r="AK182" s="44" t="e">
        <v>#DIV/0!</v>
      </c>
      <c r="AL182" s="44"/>
      <c r="AM182" s="44">
        <v>98.86112483423905</v>
      </c>
      <c r="AO182" s="109" t="str">
        <f>IF(A182='[1]page 1-8'!$A182,"","False")</f>
        <v/>
      </c>
      <c r="AP182" s="109" t="str">
        <f>'[1]page 1-8'!$A182</f>
        <v>Caster Yield</v>
      </c>
    </row>
    <row r="183" spans="1:42" x14ac:dyDescent="0.4">
      <c r="A183" s="37" t="s">
        <v>288</v>
      </c>
      <c r="B183" s="38"/>
      <c r="C183" s="44">
        <v>1.0369999999999999</v>
      </c>
      <c r="D183" s="44">
        <v>1.073</v>
      </c>
      <c r="E183" s="44">
        <v>1.069</v>
      </c>
      <c r="F183" s="44">
        <v>1.069</v>
      </c>
      <c r="G183" s="44">
        <v>1.0720000000000001</v>
      </c>
      <c r="H183" s="44">
        <v>1.0669999999999999</v>
      </c>
      <c r="I183" s="44">
        <v>1.0680000000000001</v>
      </c>
      <c r="J183" s="44">
        <v>1.0727500000000001</v>
      </c>
      <c r="K183" s="44">
        <v>1.0705833333333332</v>
      </c>
      <c r="L183" s="44">
        <v>1.07</v>
      </c>
      <c r="M183" s="44">
        <v>1.07</v>
      </c>
      <c r="N183" s="44">
        <v>1.069</v>
      </c>
      <c r="O183" s="44">
        <v>1.075</v>
      </c>
      <c r="P183" s="44">
        <v>1.073</v>
      </c>
      <c r="Q183" s="44">
        <v>1.0629999999999999</v>
      </c>
      <c r="R183" s="44">
        <v>1.0740000000000001</v>
      </c>
      <c r="S183" s="44">
        <v>1.0719460714421409</v>
      </c>
      <c r="T183" s="44">
        <v>1.0788384905426682</v>
      </c>
      <c r="U183" s="57">
        <v>1.08</v>
      </c>
      <c r="V183" s="57"/>
      <c r="W183" s="59">
        <v>1.0839158685677333</v>
      </c>
      <c r="X183" s="57">
        <v>1.083956717681239</v>
      </c>
      <c r="Y183" s="57" t="e">
        <v>#DIV/0!</v>
      </c>
      <c r="Z183" s="57" t="e">
        <v>#DIV/0!</v>
      </c>
      <c r="AA183" s="57" t="e">
        <v>#DIV/0!</v>
      </c>
      <c r="AB183" s="57" t="e">
        <v>#DIV/0!</v>
      </c>
      <c r="AC183" s="57" t="e">
        <v>#DIV/0!</v>
      </c>
      <c r="AD183" s="57" t="e">
        <v>#DIV/0!</v>
      </c>
      <c r="AE183" s="57" t="e">
        <v>#DIV/0!</v>
      </c>
      <c r="AF183" s="57" t="e">
        <v>#DIV/0!</v>
      </c>
      <c r="AG183" s="57" t="e">
        <v>#DIV/0!</v>
      </c>
      <c r="AH183" s="57" t="e">
        <v>#DIV/0!</v>
      </c>
      <c r="AI183" s="57" t="e">
        <v>#DIV/0!</v>
      </c>
      <c r="AJ183" s="57" t="e">
        <v>#DIV/0!</v>
      </c>
      <c r="AK183" s="57" t="e">
        <v>#DIV/0!</v>
      </c>
      <c r="AL183" s="57"/>
      <c r="AM183" s="57">
        <v>1.0839393064342531</v>
      </c>
      <c r="AO183" s="109" t="str">
        <f>IF(A183='[1]page 1-8'!$A183,"","False")</f>
        <v/>
      </c>
      <c r="AP183" s="109" t="str">
        <f>'[1]page 1-8'!$A183</f>
        <v>Hot Metal to Slab Ratio</v>
      </c>
    </row>
    <row r="184" spans="1:42" s="67" customFormat="1" x14ac:dyDescent="0.35">
      <c r="A184" s="37" t="s">
        <v>426</v>
      </c>
      <c r="B184" s="65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9">
        <v>5209</v>
      </c>
      <c r="P184" s="9">
        <v>5198</v>
      </c>
      <c r="Q184" s="9">
        <v>6704</v>
      </c>
      <c r="R184" s="9">
        <v>7081</v>
      </c>
      <c r="S184" s="9">
        <v>7297</v>
      </c>
      <c r="T184" s="9">
        <v>6207</v>
      </c>
      <c r="U184" s="71"/>
      <c r="V184" s="71"/>
      <c r="W184" s="48">
        <v>470</v>
      </c>
      <c r="X184" s="47">
        <v>632</v>
      </c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  <c r="AJ184" s="47"/>
      <c r="AK184" s="9"/>
      <c r="AL184" s="71"/>
      <c r="AM184" s="38">
        <v>1102</v>
      </c>
      <c r="AO184" s="109" t="str">
        <f>IF(A184='[1]page 1-8'!$A184,"","False")</f>
        <v/>
      </c>
      <c r="AP184" s="109" t="str">
        <f>'[1]page 1-8'!$A184</f>
        <v>Blow SMS1</v>
      </c>
    </row>
    <row r="185" spans="1:42" x14ac:dyDescent="0.4">
      <c r="A185" s="37"/>
      <c r="B185" s="38"/>
      <c r="C185" s="57"/>
      <c r="D185" s="57"/>
      <c r="E185" s="57"/>
      <c r="F185" s="57"/>
      <c r="G185" s="57"/>
      <c r="H185" s="57"/>
      <c r="I185" s="57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62" t="s">
        <v>138</v>
      </c>
      <c r="V185" s="108"/>
      <c r="W185" s="41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  <c r="AL185" s="38"/>
      <c r="AM185" s="38" t="s">
        <v>289</v>
      </c>
      <c r="AO185" s="109" t="str">
        <f>IF(A185='[1]page 1-8'!$A185,"","False")</f>
        <v/>
      </c>
      <c r="AP185" s="109">
        <f>'[1]page 1-8'!$A185</f>
        <v>0</v>
      </c>
    </row>
    <row r="186" spans="1:42" s="33" customFormat="1" x14ac:dyDescent="0.4">
      <c r="A186" s="37"/>
      <c r="B186" s="38" t="s">
        <v>112</v>
      </c>
      <c r="C186" s="38" t="s">
        <v>113</v>
      </c>
      <c r="D186" s="42" t="s">
        <v>114</v>
      </c>
      <c r="E186" s="42" t="s">
        <v>115</v>
      </c>
      <c r="F186" s="42" t="s">
        <v>116</v>
      </c>
      <c r="G186" s="42" t="s">
        <v>117</v>
      </c>
      <c r="H186" s="38" t="s">
        <v>118</v>
      </c>
      <c r="I186" s="38" t="s">
        <v>119</v>
      </c>
      <c r="J186" s="38" t="s">
        <v>120</v>
      </c>
      <c r="K186" s="38" t="s">
        <v>121</v>
      </c>
      <c r="L186" s="38" t="s">
        <v>122</v>
      </c>
      <c r="M186" s="38" t="s">
        <v>123</v>
      </c>
      <c r="N186" s="38" t="s">
        <v>124</v>
      </c>
      <c r="O186" s="38" t="s">
        <v>125</v>
      </c>
      <c r="P186" s="38" t="s">
        <v>126</v>
      </c>
      <c r="Q186" s="38" t="s">
        <v>127</v>
      </c>
      <c r="R186" s="38" t="s">
        <v>128</v>
      </c>
      <c r="S186" s="38" t="s">
        <v>129</v>
      </c>
      <c r="T186" s="38" t="s">
        <v>130</v>
      </c>
      <c r="U186" s="38" t="s">
        <v>131</v>
      </c>
      <c r="V186" s="38"/>
      <c r="W186" s="41" t="s">
        <v>4</v>
      </c>
      <c r="X186" s="38" t="s">
        <v>5</v>
      </c>
      <c r="Y186" s="38" t="s">
        <v>6</v>
      </c>
      <c r="Z186" s="38" t="s">
        <v>132</v>
      </c>
      <c r="AA186" s="38" t="s">
        <v>8</v>
      </c>
      <c r="AB186" s="38" t="s">
        <v>9</v>
      </c>
      <c r="AC186" s="38" t="s">
        <v>10</v>
      </c>
      <c r="AD186" s="38" t="s">
        <v>133</v>
      </c>
      <c r="AE186" s="38" t="s">
        <v>12</v>
      </c>
      <c r="AF186" s="38" t="s">
        <v>13</v>
      </c>
      <c r="AG186" s="38" t="s">
        <v>14</v>
      </c>
      <c r="AH186" s="38" t="s">
        <v>134</v>
      </c>
      <c r="AI186" s="38" t="s">
        <v>16</v>
      </c>
      <c r="AJ186" s="38" t="s">
        <v>17</v>
      </c>
      <c r="AK186" s="38" t="s">
        <v>18</v>
      </c>
      <c r="AL186" s="38"/>
      <c r="AM186" s="38" t="s">
        <v>136</v>
      </c>
      <c r="AO186" s="109" t="str">
        <f>IF(A186='[1]page 1-8'!$A186,"","False")</f>
        <v/>
      </c>
      <c r="AP186" s="109">
        <f>'[1]page 1-8'!$A186</f>
        <v>0</v>
      </c>
    </row>
    <row r="187" spans="1:42" x14ac:dyDescent="0.4">
      <c r="A187" s="37" t="s">
        <v>290</v>
      </c>
      <c r="B187" s="38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38"/>
      <c r="Q187" s="38"/>
      <c r="R187" s="38"/>
      <c r="S187" s="38"/>
      <c r="T187" s="38"/>
      <c r="U187" s="38"/>
      <c r="V187" s="38"/>
      <c r="W187" s="41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38"/>
      <c r="AJ187" s="38"/>
      <c r="AK187" s="38"/>
      <c r="AL187" s="38"/>
      <c r="AM187" s="38"/>
      <c r="AO187" s="109" t="str">
        <f>IF(A187='[1]page 1-8'!$A187,"","False")</f>
        <v/>
      </c>
      <c r="AP187" s="109" t="str">
        <f>'[1]page 1-8'!$A187</f>
        <v>STEEL MELTING SHOP-II</v>
      </c>
    </row>
    <row r="188" spans="1:42" x14ac:dyDescent="0.4">
      <c r="A188" s="37" t="s">
        <v>257</v>
      </c>
      <c r="B188" s="38" t="s">
        <v>258</v>
      </c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38"/>
      <c r="Q188" s="38"/>
      <c r="R188" s="38"/>
      <c r="S188" s="38">
        <v>90.28</v>
      </c>
      <c r="T188" s="38">
        <v>91.98</v>
      </c>
      <c r="U188" s="74">
        <v>93</v>
      </c>
      <c r="V188" s="107"/>
      <c r="W188" s="45">
        <v>92.588888888888889</v>
      </c>
      <c r="X188" s="44">
        <v>79.405913978494624</v>
      </c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38"/>
      <c r="AJ188" s="38"/>
      <c r="AK188" s="38"/>
      <c r="AL188" s="38"/>
      <c r="AM188" s="44">
        <v>86</v>
      </c>
      <c r="AO188" s="109" t="str">
        <f>IF(A188='[1]page 1-8'!$A188,"","False")</f>
        <v/>
      </c>
      <c r="AP188" s="109" t="str">
        <f>'[1]page 1-8'!$A188</f>
        <v>Converter Avail. % on</v>
      </c>
    </row>
    <row r="189" spans="1:42" x14ac:dyDescent="0.4">
      <c r="A189" s="37" t="s">
        <v>259</v>
      </c>
      <c r="B189" s="38" t="s">
        <v>260</v>
      </c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38"/>
      <c r="Q189" s="38"/>
      <c r="R189" s="38"/>
      <c r="S189" s="38">
        <v>91.56</v>
      </c>
      <c r="T189" s="38">
        <v>92.96</v>
      </c>
      <c r="U189" s="74">
        <v>95</v>
      </c>
      <c r="V189" s="107"/>
      <c r="W189" s="45">
        <v>95.267810712428485</v>
      </c>
      <c r="X189" s="44">
        <v>97.915749799699839</v>
      </c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38"/>
      <c r="AJ189" s="38"/>
      <c r="AK189" s="38"/>
      <c r="AL189" s="38"/>
      <c r="AM189" s="38">
        <v>96.59</v>
      </c>
      <c r="AO189" s="109" t="str">
        <f>IF(A189='[1]page 1-8'!$A189,"","False")</f>
        <v/>
      </c>
      <c r="AP189" s="109" t="str">
        <f>'[1]page 1-8'!$A189</f>
        <v>Conv.Utilisation% on</v>
      </c>
    </row>
    <row r="190" spans="1:42" x14ac:dyDescent="0.4">
      <c r="A190" s="37" t="s">
        <v>291</v>
      </c>
      <c r="B190" s="38" t="s">
        <v>262</v>
      </c>
      <c r="C190" s="47">
        <v>1110.7481169351627</v>
      </c>
      <c r="D190" s="47">
        <v>1136</v>
      </c>
      <c r="E190" s="47">
        <v>1136</v>
      </c>
      <c r="F190" s="47">
        <v>1135.3811252474877</v>
      </c>
      <c r="G190" s="47">
        <v>1135.2166816931872</v>
      </c>
      <c r="H190" s="47">
        <v>1135.623047048028</v>
      </c>
      <c r="I190" s="47">
        <v>1135.2263215844491</v>
      </c>
      <c r="J190" s="47">
        <v>1135.2481304377427</v>
      </c>
      <c r="K190" s="47">
        <v>1135.6149025828913</v>
      </c>
      <c r="L190" s="47">
        <v>1135.8303556614283</v>
      </c>
      <c r="M190" s="47">
        <v>1133.7175696289171</v>
      </c>
      <c r="N190" s="47">
        <v>1129.4127183313963</v>
      </c>
      <c r="O190" s="47">
        <v>1126.3916885356052</v>
      </c>
      <c r="P190" s="47">
        <v>1123.9030059474844</v>
      </c>
      <c r="Q190" s="47">
        <v>1119.2897508963576</v>
      </c>
      <c r="R190" s="47">
        <v>1116.3243494528404</v>
      </c>
      <c r="S190" s="47">
        <v>1113.3191775748312</v>
      </c>
      <c r="T190" s="47">
        <v>1102.3207693716474</v>
      </c>
      <c r="U190" s="38">
        <v>1099</v>
      </c>
      <c r="V190" s="38"/>
      <c r="W190" s="45">
        <v>1101.9695730410601</v>
      </c>
      <c r="X190" s="45">
        <v>1101.4572226453415</v>
      </c>
      <c r="Y190" s="45" t="e">
        <v>#DIV/0!</v>
      </c>
      <c r="Z190" s="44">
        <v>1101.7177556877261</v>
      </c>
      <c r="AA190" s="45" t="e">
        <v>#DIV/0!</v>
      </c>
      <c r="AB190" s="45" t="e">
        <v>#DIV/0!</v>
      </c>
      <c r="AC190" s="45" t="e">
        <v>#DIV/0!</v>
      </c>
      <c r="AD190" s="44" t="e">
        <v>#DIV/0!</v>
      </c>
      <c r="AE190" s="45" t="e">
        <v>#DIV/0!</v>
      </c>
      <c r="AF190" s="45" t="e">
        <v>#DIV/0!</v>
      </c>
      <c r="AG190" s="45" t="e">
        <v>#DIV/0!</v>
      </c>
      <c r="AH190" s="44" t="e">
        <v>#DIV/0!</v>
      </c>
      <c r="AI190" s="45" t="e">
        <v>#DIV/0!</v>
      </c>
      <c r="AJ190" s="45" t="e">
        <v>#DIV/0!</v>
      </c>
      <c r="AK190" s="45" t="e">
        <v>#DIV/0!</v>
      </c>
      <c r="AL190" s="44"/>
      <c r="AM190" s="45">
        <v>1101.7177556877261</v>
      </c>
      <c r="AO190" s="109" t="str">
        <f>IF(A190='[1]page 1-8'!$A190,"","False")</f>
        <v/>
      </c>
      <c r="AP190" s="109" t="str">
        <f>'[1]page 1-8'!$A190</f>
        <v>Met. Input( HM+Scrap+iron ore cons))</v>
      </c>
    </row>
    <row r="191" spans="1:42" x14ac:dyDescent="0.4">
      <c r="A191" s="37" t="s">
        <v>263</v>
      </c>
      <c r="B191" s="38" t="s">
        <v>262</v>
      </c>
      <c r="C191" s="47">
        <v>1024.9180919526223</v>
      </c>
      <c r="D191" s="47">
        <v>1047</v>
      </c>
      <c r="E191" s="47">
        <v>1049</v>
      </c>
      <c r="F191" s="47">
        <v>1049.7174492693007</v>
      </c>
      <c r="G191" s="47">
        <v>1049.423042119548</v>
      </c>
      <c r="H191" s="47">
        <v>1048.4835194641707</v>
      </c>
      <c r="I191" s="47">
        <v>1045.5104018419406</v>
      </c>
      <c r="J191" s="47">
        <v>1046.2437705773725</v>
      </c>
      <c r="K191" s="47">
        <v>1037.9460217081723</v>
      </c>
      <c r="L191" s="47">
        <v>1024.0506263481002</v>
      </c>
      <c r="M191" s="47">
        <v>1005.4693156990854</v>
      </c>
      <c r="N191" s="47">
        <v>991.13296769801502</v>
      </c>
      <c r="O191" s="47">
        <v>1009.044549246314</v>
      </c>
      <c r="P191" s="47">
        <v>1034.399874997494</v>
      </c>
      <c r="Q191" s="47">
        <v>1022.0959332904182</v>
      </c>
      <c r="R191" s="47">
        <v>1021.3477846840296</v>
      </c>
      <c r="S191" s="47">
        <v>1027.646611522212</v>
      </c>
      <c r="T191" s="47">
        <v>1020.8831180866767</v>
      </c>
      <c r="U191" s="38">
        <v>1020</v>
      </c>
      <c r="V191" s="38"/>
      <c r="W191" s="45">
        <v>1021.9892033371503</v>
      </c>
      <c r="X191" s="45">
        <v>1027.6313785224677</v>
      </c>
      <c r="Y191" s="45" t="e">
        <v>#DIV/0!</v>
      </c>
      <c r="Z191" s="44">
        <v>1024.7623008775943</v>
      </c>
      <c r="AA191" s="45" t="e">
        <v>#DIV/0!</v>
      </c>
      <c r="AB191" s="45" t="e">
        <v>#DIV/0!</v>
      </c>
      <c r="AC191" s="45" t="e">
        <v>#DIV/0!</v>
      </c>
      <c r="AD191" s="44" t="e">
        <v>#DIV/0!</v>
      </c>
      <c r="AE191" s="45" t="e">
        <v>#DIV/0!</v>
      </c>
      <c r="AF191" s="45" t="e">
        <v>#DIV/0!</v>
      </c>
      <c r="AG191" s="45" t="e">
        <v>#DIV/0!</v>
      </c>
      <c r="AH191" s="44" t="e">
        <v>#DIV/0!</v>
      </c>
      <c r="AI191" s="45" t="e">
        <v>#DIV/0!</v>
      </c>
      <c r="AJ191" s="45" t="e">
        <v>#DIV/0!</v>
      </c>
      <c r="AK191" s="45" t="e">
        <v>#DIV/0!</v>
      </c>
      <c r="AL191" s="44"/>
      <c r="AM191" s="45">
        <v>1024.7623008775943</v>
      </c>
      <c r="AO191" s="109" t="str">
        <f>IF(A191='[1]page 1-8'!$A191,"","False")</f>
        <v/>
      </c>
      <c r="AP191" s="109" t="str">
        <f>'[1]page 1-8'!$A191</f>
        <v>Hot Metal Cons.</v>
      </c>
    </row>
    <row r="192" spans="1:42" x14ac:dyDescent="0.4">
      <c r="A192" s="37" t="s">
        <v>264</v>
      </c>
      <c r="B192" s="38" t="s">
        <v>262</v>
      </c>
      <c r="C192" s="47">
        <v>85.830024982540351</v>
      </c>
      <c r="D192" s="47">
        <v>89</v>
      </c>
      <c r="E192" s="47">
        <v>87</v>
      </c>
      <c r="F192" s="47">
        <v>85</v>
      </c>
      <c r="G192" s="47">
        <v>85.793639573639211</v>
      </c>
      <c r="H192" s="47">
        <v>88</v>
      </c>
      <c r="I192" s="47">
        <v>89</v>
      </c>
      <c r="J192" s="47">
        <v>89.004359860370158</v>
      </c>
      <c r="K192" s="47">
        <v>97.668880874718994</v>
      </c>
      <c r="L192" s="47">
        <v>111.77972931332812</v>
      </c>
      <c r="M192" s="47">
        <v>128.24825392983166</v>
      </c>
      <c r="N192" s="47">
        <v>138.27975063338121</v>
      </c>
      <c r="O192" s="47">
        <v>117.34713928929119</v>
      </c>
      <c r="P192" s="47">
        <v>89.503130949990407</v>
      </c>
      <c r="Q192" s="47">
        <v>97.193817605939415</v>
      </c>
      <c r="R192" s="47">
        <v>94.976564768810661</v>
      </c>
      <c r="S192" s="47">
        <v>85.672566052619217</v>
      </c>
      <c r="T192" s="47">
        <v>81.437651284970684</v>
      </c>
      <c r="U192" s="38">
        <v>79</v>
      </c>
      <c r="V192" s="38"/>
      <c r="W192" s="44">
        <v>79.980369703909702</v>
      </c>
      <c r="X192" s="44">
        <v>73.825844122873832</v>
      </c>
      <c r="Y192" s="44" t="e">
        <v>#DIV/0!</v>
      </c>
      <c r="Z192" s="57">
        <v>76.95545481013184</v>
      </c>
      <c r="AA192" s="44" t="e">
        <v>#DIV/0!</v>
      </c>
      <c r="AB192" s="44" t="e">
        <v>#DIV/0!</v>
      </c>
      <c r="AC192" s="44" t="e">
        <v>#DIV/0!</v>
      </c>
      <c r="AD192" s="57" t="e">
        <v>#DIV/0!</v>
      </c>
      <c r="AE192" s="44" t="e">
        <v>#DIV/0!</v>
      </c>
      <c r="AF192" s="44" t="e">
        <v>#DIV/0!</v>
      </c>
      <c r="AG192" s="44" t="e">
        <v>#DIV/0!</v>
      </c>
      <c r="AH192" s="44" t="e">
        <v>#DIV/0!</v>
      </c>
      <c r="AI192" s="44" t="e">
        <v>#DIV/0!</v>
      </c>
      <c r="AJ192" s="44" t="e">
        <v>#DIV/0!</v>
      </c>
      <c r="AK192" s="44" t="e">
        <v>#DIV/0!</v>
      </c>
      <c r="AL192" s="44"/>
      <c r="AM192" s="44">
        <v>76.95545481013184</v>
      </c>
      <c r="AO192" s="109" t="str">
        <f>IF(A192='[1]page 1-8'!$A192,"","False")</f>
        <v/>
      </c>
      <c r="AP192" s="109" t="str">
        <f>'[1]page 1-8'!$A192</f>
        <v>Scrap Consumption</v>
      </c>
    </row>
    <row r="193" spans="1:42" x14ac:dyDescent="0.4">
      <c r="A193" s="37" t="s">
        <v>292</v>
      </c>
      <c r="B193" s="38" t="s">
        <v>262</v>
      </c>
      <c r="C193" s="44">
        <v>4.9865478628913191</v>
      </c>
      <c r="D193" s="44">
        <v>4.49</v>
      </c>
      <c r="E193" s="44">
        <v>2.66</v>
      </c>
      <c r="F193" s="44">
        <v>0.66887009258480501</v>
      </c>
      <c r="G193" s="44">
        <v>4.3456807508896265E-2</v>
      </c>
      <c r="H193" s="44">
        <v>0</v>
      </c>
      <c r="I193" s="44">
        <v>0.17109769202943514</v>
      </c>
      <c r="J193" s="44">
        <v>0.12570216278325014</v>
      </c>
      <c r="K193" s="44">
        <v>0</v>
      </c>
      <c r="L193" s="44">
        <v>0</v>
      </c>
      <c r="M193" s="44">
        <v>0</v>
      </c>
      <c r="N193" s="44">
        <v>0</v>
      </c>
      <c r="O193" s="44">
        <v>0</v>
      </c>
      <c r="P193" s="44">
        <v>0</v>
      </c>
      <c r="Q193" s="44">
        <v>0</v>
      </c>
      <c r="R193" s="44">
        <v>0</v>
      </c>
      <c r="S193" s="44">
        <v>0</v>
      </c>
      <c r="T193" s="44">
        <v>0</v>
      </c>
      <c r="U193" s="38">
        <v>0</v>
      </c>
      <c r="V193" s="38"/>
      <c r="W193" s="45">
        <v>0</v>
      </c>
      <c r="X193" s="45">
        <v>0</v>
      </c>
      <c r="Y193" s="45" t="e">
        <v>#DIV/0!</v>
      </c>
      <c r="Z193" s="44">
        <v>0</v>
      </c>
      <c r="AA193" s="45" t="e">
        <v>#DIV/0!</v>
      </c>
      <c r="AB193" s="45" t="e">
        <v>#DIV/0!</v>
      </c>
      <c r="AC193" s="45" t="e">
        <v>#DIV/0!</v>
      </c>
      <c r="AD193" s="44" t="e">
        <v>#DIV/0!</v>
      </c>
      <c r="AE193" s="45" t="e">
        <v>#DIV/0!</v>
      </c>
      <c r="AF193" s="45" t="e">
        <v>#DIV/0!</v>
      </c>
      <c r="AG193" s="45" t="e">
        <v>#DIV/0!</v>
      </c>
      <c r="AH193" s="44" t="e">
        <v>#DIV/0!</v>
      </c>
      <c r="AI193" s="45" t="e">
        <v>#DIV/0!</v>
      </c>
      <c r="AJ193" s="45" t="e">
        <v>#DIV/0!</v>
      </c>
      <c r="AK193" s="45" t="e">
        <v>#DIV/0!</v>
      </c>
      <c r="AL193" s="44"/>
      <c r="AM193" s="45">
        <v>0</v>
      </c>
      <c r="AO193" s="109" t="str">
        <f>IF(A193='[1]page 1-8'!$A193,"","False")</f>
        <v/>
      </c>
      <c r="AP193" s="109" t="str">
        <f>'[1]page 1-8'!$A193</f>
        <v>Raw Dolo  cons.</v>
      </c>
    </row>
    <row r="194" spans="1:42" x14ac:dyDescent="0.4">
      <c r="A194" s="37" t="s">
        <v>266</v>
      </c>
      <c r="B194" s="38" t="s">
        <v>262</v>
      </c>
      <c r="C194" s="56">
        <v>30.96569470679497</v>
      </c>
      <c r="D194" s="56">
        <v>31.7</v>
      </c>
      <c r="E194" s="56">
        <v>32</v>
      </c>
      <c r="F194" s="56">
        <v>29.071128679922076</v>
      </c>
      <c r="G194" s="56">
        <v>28.69359485163351</v>
      </c>
      <c r="H194" s="56">
        <v>29.436051452389258</v>
      </c>
      <c r="I194" s="56">
        <v>32.701838508070374</v>
      </c>
      <c r="J194" s="56">
        <v>32.958678408394604</v>
      </c>
      <c r="K194" s="56">
        <v>32.617606741002575</v>
      </c>
      <c r="L194" s="56">
        <v>28.705275664272676</v>
      </c>
      <c r="M194" s="56">
        <v>31.845217600582057</v>
      </c>
      <c r="N194" s="44">
        <v>28.991703422178368</v>
      </c>
      <c r="O194" s="44">
        <v>30.242840299699541</v>
      </c>
      <c r="P194" s="49">
        <v>27.1091229234802</v>
      </c>
      <c r="Q194" s="49">
        <v>25.8</v>
      </c>
      <c r="R194" s="49">
        <v>27.638264487182663</v>
      </c>
      <c r="S194" s="49">
        <v>28.332184338785503</v>
      </c>
      <c r="T194" s="49">
        <v>26.179609047641112</v>
      </c>
      <c r="U194" s="49">
        <v>27</v>
      </c>
      <c r="V194" s="49"/>
      <c r="W194" s="45">
        <v>24.6425650253558</v>
      </c>
      <c r="X194" s="45">
        <v>23.992553101463994</v>
      </c>
      <c r="Y194" s="45" t="e">
        <v>#DIV/0!</v>
      </c>
      <c r="Z194" s="49">
        <v>24.323087801023167</v>
      </c>
      <c r="AA194" s="45" t="e">
        <v>#DIV/0!</v>
      </c>
      <c r="AB194" s="45" t="e">
        <v>#DIV/0!</v>
      </c>
      <c r="AC194" s="45" t="e">
        <v>#DIV/0!</v>
      </c>
      <c r="AD194" s="49" t="e">
        <v>#DIV/0!</v>
      </c>
      <c r="AE194" s="45" t="e">
        <v>#DIV/0!</v>
      </c>
      <c r="AF194" s="45" t="e">
        <v>#DIV/0!</v>
      </c>
      <c r="AG194" s="45" t="e">
        <v>#DIV/0!</v>
      </c>
      <c r="AH194" s="49" t="e">
        <v>#DIV/0!</v>
      </c>
      <c r="AI194" s="45" t="e">
        <v>#DIV/0!</v>
      </c>
      <c r="AJ194" s="45" t="e">
        <v>#DIV/0!</v>
      </c>
      <c r="AK194" s="45" t="e">
        <v>#DIV/0!</v>
      </c>
      <c r="AL194" s="44"/>
      <c r="AM194" s="45">
        <v>24.323087801023167</v>
      </c>
      <c r="AO194" s="109" t="str">
        <f>IF(A194='[1]page 1-8'!$A194,"","False")</f>
        <v/>
      </c>
      <c r="AP194" s="109" t="str">
        <f>'[1]page 1-8'!$A194</f>
        <v>Calcined Dolo cons.</v>
      </c>
    </row>
    <row r="195" spans="1:42" x14ac:dyDescent="0.4">
      <c r="A195" s="37" t="s">
        <v>265</v>
      </c>
      <c r="B195" s="38" t="s">
        <v>262</v>
      </c>
      <c r="C195" s="56">
        <v>75.808300015467609</v>
      </c>
      <c r="D195" s="56">
        <v>74.5</v>
      </c>
      <c r="E195" s="56">
        <v>65</v>
      </c>
      <c r="F195" s="56">
        <v>59.172555981642155</v>
      </c>
      <c r="G195" s="56">
        <v>71.429789476521492</v>
      </c>
      <c r="H195" s="56">
        <v>70.426578849222537</v>
      </c>
      <c r="I195" s="56">
        <v>75.488407339246066</v>
      </c>
      <c r="J195" s="56">
        <v>81.948900452796764</v>
      </c>
      <c r="K195" s="56">
        <v>77.563727493439359</v>
      </c>
      <c r="L195" s="56">
        <v>63.615886249970373</v>
      </c>
      <c r="M195" s="56">
        <v>66.518995838367573</v>
      </c>
      <c r="N195" s="44">
        <v>69.271213928353106</v>
      </c>
      <c r="O195" s="44">
        <v>74.141723399130314</v>
      </c>
      <c r="P195" s="49">
        <v>64.53</v>
      </c>
      <c r="Q195" s="49">
        <v>63.82</v>
      </c>
      <c r="R195" s="49">
        <v>63.15</v>
      </c>
      <c r="S195" s="49">
        <v>64.596801242880701</v>
      </c>
      <c r="T195" s="49">
        <v>66.02754627637627</v>
      </c>
      <c r="U195" s="49">
        <v>66</v>
      </c>
      <c r="V195" s="49"/>
      <c r="W195" s="45">
        <v>65.440863733027967</v>
      </c>
      <c r="X195" s="45">
        <v>64.083946856224088</v>
      </c>
      <c r="Y195" s="45" t="e">
        <v>#DIV/0!</v>
      </c>
      <c r="Z195" s="49">
        <v>64.773946678867034</v>
      </c>
      <c r="AA195" s="45" t="e">
        <v>#DIV/0!</v>
      </c>
      <c r="AB195" s="45" t="e">
        <v>#DIV/0!</v>
      </c>
      <c r="AC195" s="45" t="e">
        <v>#DIV/0!</v>
      </c>
      <c r="AD195" s="49" t="e">
        <v>#DIV/0!</v>
      </c>
      <c r="AE195" s="45" t="e">
        <v>#DIV/0!</v>
      </c>
      <c r="AF195" s="45" t="e">
        <v>#DIV/0!</v>
      </c>
      <c r="AG195" s="45" t="e">
        <v>#DIV/0!</v>
      </c>
      <c r="AH195" s="49" t="e">
        <v>#DIV/0!</v>
      </c>
      <c r="AI195" s="45" t="e">
        <v>#DIV/0!</v>
      </c>
      <c r="AJ195" s="45" t="e">
        <v>#DIV/0!</v>
      </c>
      <c r="AK195" s="45" t="e">
        <v>#DIV/0!</v>
      </c>
      <c r="AL195" s="49"/>
      <c r="AM195" s="45">
        <v>64.773946678867034</v>
      </c>
      <c r="AO195" s="109" t="str">
        <f>IF(A195='[1]page 1-8'!$A195,"","False")</f>
        <v/>
      </c>
      <c r="AP195" s="109" t="str">
        <f>'[1]page 1-8'!$A195</f>
        <v>Burnt Lime Cons.</v>
      </c>
    </row>
    <row r="196" spans="1:42" x14ac:dyDescent="0.4">
      <c r="A196" s="37" t="s">
        <v>293</v>
      </c>
      <c r="B196" s="38" t="s">
        <v>269</v>
      </c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44"/>
      <c r="O196" s="44">
        <v>4.1000000000000002E-2</v>
      </c>
      <c r="P196" s="49">
        <v>0</v>
      </c>
      <c r="Q196" s="49">
        <v>0</v>
      </c>
      <c r="R196" s="44">
        <v>5.8000000000000003E-2</v>
      </c>
      <c r="S196" s="44">
        <v>1.956</v>
      </c>
      <c r="T196" s="44">
        <v>2.6623258774804115</v>
      </c>
      <c r="U196" s="38">
        <v>3.72</v>
      </c>
      <c r="V196" s="38"/>
      <c r="W196" s="45">
        <v>4.6818256175363979</v>
      </c>
      <c r="X196" s="45">
        <v>3.7043919776593044</v>
      </c>
      <c r="Y196" s="45" t="e">
        <v>#DIV/0!</v>
      </c>
      <c r="Z196" s="45">
        <v>4.201422451441168</v>
      </c>
      <c r="AA196" s="45" t="e">
        <v>#DIV/0!</v>
      </c>
      <c r="AB196" s="45" t="e">
        <v>#DIV/0!</v>
      </c>
      <c r="AC196" s="59" t="e">
        <v>#DIV/0!</v>
      </c>
      <c r="AD196" s="45" t="e">
        <v>#DIV/0!</v>
      </c>
      <c r="AE196" s="45" t="e">
        <v>#DIV/0!</v>
      </c>
      <c r="AF196" s="45" t="e">
        <v>#DIV/0!</v>
      </c>
      <c r="AG196" s="45" t="e">
        <v>#DIV/0!</v>
      </c>
      <c r="AH196" s="45" t="e">
        <v>#DIV/0!</v>
      </c>
      <c r="AI196" s="45" t="e">
        <v>#DIV/0!</v>
      </c>
      <c r="AJ196" s="45" t="e">
        <v>#DIV/0!</v>
      </c>
      <c r="AK196" s="45" t="e">
        <v>#DIV/0!</v>
      </c>
      <c r="AL196" s="45" t="e">
        <v>#DIV/0!</v>
      </c>
      <c r="AM196" s="45">
        <v>4.201422451441168</v>
      </c>
      <c r="AO196" s="109" t="str">
        <f>IF(A196='[1]page 1-8'!$A196,"","False")</f>
        <v/>
      </c>
      <c r="AP196" s="109" t="str">
        <f>'[1]page 1-8'!$A196</f>
        <v>Ferro- Mn Cons.(LC)</v>
      </c>
    </row>
    <row r="197" spans="1:42" x14ac:dyDescent="0.4">
      <c r="A197" s="37" t="s">
        <v>294</v>
      </c>
      <c r="B197" s="38" t="s">
        <v>269</v>
      </c>
      <c r="C197" s="44">
        <v>2.3435778934984461E-3</v>
      </c>
      <c r="D197" s="44">
        <v>0.33</v>
      </c>
      <c r="E197" s="44">
        <v>0.19</v>
      </c>
      <c r="F197" s="44">
        <v>3.4097031057849021E-3</v>
      </c>
      <c r="G197" s="44">
        <v>1.0451637248975052E-2</v>
      </c>
      <c r="H197" s="44">
        <v>3.8279772640024672E-3</v>
      </c>
      <c r="I197" s="44">
        <v>0.11248089013046199</v>
      </c>
      <c r="J197" s="44">
        <v>0</v>
      </c>
      <c r="K197" s="44">
        <v>1.4981485380983334E-2</v>
      </c>
      <c r="L197" s="44">
        <v>3.1480362179715095E-2</v>
      </c>
      <c r="M197" s="44">
        <v>9.0424906636283903E-3</v>
      </c>
      <c r="N197" s="44">
        <v>0</v>
      </c>
      <c r="O197" s="44">
        <v>0</v>
      </c>
      <c r="P197" s="44">
        <v>0</v>
      </c>
      <c r="Q197" s="44">
        <v>0</v>
      </c>
      <c r="R197" s="44">
        <v>0</v>
      </c>
      <c r="S197" s="44">
        <v>5.0000000000000001E-3</v>
      </c>
      <c r="T197" s="44">
        <v>0</v>
      </c>
      <c r="U197" s="38">
        <v>0.75</v>
      </c>
      <c r="V197" s="38"/>
      <c r="W197" s="45">
        <v>0</v>
      </c>
      <c r="X197" s="45">
        <v>0</v>
      </c>
      <c r="Y197" s="45" t="e">
        <v>#DIV/0!</v>
      </c>
      <c r="Z197" s="45">
        <v>0</v>
      </c>
      <c r="AA197" s="45" t="e">
        <v>#DIV/0!</v>
      </c>
      <c r="AB197" s="45" t="e">
        <v>#DIV/0!</v>
      </c>
      <c r="AC197" s="45" t="e">
        <v>#DIV/0!</v>
      </c>
      <c r="AD197" s="45" t="e">
        <v>#DIV/0!</v>
      </c>
      <c r="AE197" s="45" t="e">
        <v>#DIV/0!</v>
      </c>
      <c r="AF197" s="45" t="e">
        <v>#DIV/0!</v>
      </c>
      <c r="AG197" s="45" t="e">
        <v>#DIV/0!</v>
      </c>
      <c r="AH197" s="45" t="e">
        <v>#DIV/0!</v>
      </c>
      <c r="AI197" s="45" t="e">
        <v>#DIV/0!</v>
      </c>
      <c r="AJ197" s="45" t="e">
        <v>#DIV/0!</v>
      </c>
      <c r="AK197" s="45" t="e">
        <v>#DIV/0!</v>
      </c>
      <c r="AL197" s="45" t="e">
        <v>#DIV/0!</v>
      </c>
      <c r="AM197" s="45">
        <v>0</v>
      </c>
      <c r="AO197" s="109" t="str">
        <f>IF(A197='[1]page 1-8'!$A197,"","False")</f>
        <v/>
      </c>
      <c r="AP197" s="109" t="str">
        <f>'[1]page 1-8'!$A197</f>
        <v>Ferro- Mn Cons(HC).</v>
      </c>
    </row>
    <row r="198" spans="1:42" x14ac:dyDescent="0.4">
      <c r="A198" s="37" t="s">
        <v>270</v>
      </c>
      <c r="B198" s="38" t="s">
        <v>269</v>
      </c>
      <c r="C198" s="44">
        <v>0.41657097056934883</v>
      </c>
      <c r="D198" s="44">
        <v>0.36</v>
      </c>
      <c r="E198" s="44">
        <v>0.38</v>
      </c>
      <c r="F198" s="44">
        <v>0.38870615405947884</v>
      </c>
      <c r="G198" s="44">
        <v>0.37130816542411371</v>
      </c>
      <c r="H198" s="44">
        <v>0.32647177522992471</v>
      </c>
      <c r="I198" s="44">
        <v>0.32212837079615875</v>
      </c>
      <c r="J198" s="44">
        <v>0.51440804830056219</v>
      </c>
      <c r="K198" s="44">
        <v>0.34332570664753476</v>
      </c>
      <c r="L198" s="44">
        <v>0.40368935030458175</v>
      </c>
      <c r="M198" s="44">
        <v>0.46707942158665106</v>
      </c>
      <c r="N198" s="44">
        <v>0.25475424443121242</v>
      </c>
      <c r="O198" s="44">
        <v>0.17495150800593315</v>
      </c>
      <c r="P198" s="44">
        <v>0.51</v>
      </c>
      <c r="Q198" s="44">
        <v>5.3573114120087112E-2</v>
      </c>
      <c r="R198" s="44">
        <v>0.22</v>
      </c>
      <c r="S198" s="44">
        <v>0.31465334051500449</v>
      </c>
      <c r="T198" s="44">
        <v>0.28946869049273943</v>
      </c>
      <c r="U198" s="44">
        <v>0.62</v>
      </c>
      <c r="V198" s="44"/>
      <c r="W198" s="45">
        <v>0.36970390970063799</v>
      </c>
      <c r="X198" s="45">
        <v>0.19632732504019632</v>
      </c>
      <c r="Y198" s="45" t="e">
        <v>#DIV/0!</v>
      </c>
      <c r="Z198" s="44">
        <v>0.28449028823358152</v>
      </c>
      <c r="AA198" s="45" t="e">
        <v>#DIV/0!</v>
      </c>
      <c r="AB198" s="45" t="e">
        <v>#DIV/0!</v>
      </c>
      <c r="AC198" s="45" t="e">
        <v>#DIV/0!</v>
      </c>
      <c r="AD198" s="44" t="e">
        <v>#DIV/0!</v>
      </c>
      <c r="AE198" s="45" t="e">
        <v>#DIV/0!</v>
      </c>
      <c r="AF198" s="45" t="e">
        <v>#DIV/0!</v>
      </c>
      <c r="AG198" s="45" t="e">
        <v>#DIV/0!</v>
      </c>
      <c r="AH198" s="44" t="e">
        <v>#DIV/0!</v>
      </c>
      <c r="AI198" s="45" t="e">
        <v>#DIV/0!</v>
      </c>
      <c r="AJ198" s="45" t="e">
        <v>#DIV/0!</v>
      </c>
      <c r="AK198" s="45" t="e">
        <v>#DIV/0!</v>
      </c>
      <c r="AL198" s="44"/>
      <c r="AM198" s="45">
        <v>0.28449028823358152</v>
      </c>
      <c r="AO198" s="109" t="str">
        <f>IF(A198='[1]page 1-8'!$A198,"","False")</f>
        <v/>
      </c>
      <c r="AP198" s="109" t="str">
        <f>'[1]page 1-8'!$A198</f>
        <v>Ferro Silicon Consmn</v>
      </c>
    </row>
    <row r="199" spans="1:42" x14ac:dyDescent="0.4">
      <c r="A199" s="37" t="s">
        <v>295</v>
      </c>
      <c r="B199" s="38" t="s">
        <v>269</v>
      </c>
      <c r="C199" s="44">
        <v>11.838583729007402</v>
      </c>
      <c r="D199" s="44">
        <v>11.46</v>
      </c>
      <c r="E199" s="44">
        <v>11.8</v>
      </c>
      <c r="F199" s="44">
        <v>12.052732195098665</v>
      </c>
      <c r="G199" s="44">
        <v>12.703139946872678</v>
      </c>
      <c r="H199" s="44">
        <v>10.573420057069672</v>
      </c>
      <c r="I199" s="44">
        <v>10.427981865756962</v>
      </c>
      <c r="J199" s="44">
        <v>10.405415741726815</v>
      </c>
      <c r="K199" s="44">
        <v>11.568203628349298</v>
      </c>
      <c r="L199" s="44">
        <v>14.326898006589396</v>
      </c>
      <c r="M199" s="44">
        <v>14.671093313634616</v>
      </c>
      <c r="N199" s="44">
        <v>14.925978046034945</v>
      </c>
      <c r="O199" s="44">
        <v>14.681664321302248</v>
      </c>
      <c r="P199" s="44">
        <v>12.773614033122481</v>
      </c>
      <c r="Q199" s="44">
        <v>14.474661759482796</v>
      </c>
      <c r="R199" s="44">
        <v>15.09</v>
      </c>
      <c r="S199" s="44">
        <v>13.528099745108943</v>
      </c>
      <c r="T199" s="44">
        <v>13.774451071378923</v>
      </c>
      <c r="U199" s="44">
        <v>11.91</v>
      </c>
      <c r="V199" s="44"/>
      <c r="W199" s="45">
        <v>11.768362506134467</v>
      </c>
      <c r="X199" s="45">
        <v>12.030126089532031</v>
      </c>
      <c r="Y199" s="45" t="e">
        <v>#DIV/0!</v>
      </c>
      <c r="Z199" s="44">
        <v>11.897017843031236</v>
      </c>
      <c r="AA199" s="45" t="e">
        <v>#DIV/0!</v>
      </c>
      <c r="AB199" s="45" t="e">
        <v>#DIV/0!</v>
      </c>
      <c r="AC199" s="45" t="e">
        <v>#DIV/0!</v>
      </c>
      <c r="AD199" s="44" t="e">
        <v>#DIV/0!</v>
      </c>
      <c r="AE199" s="45" t="e">
        <v>#DIV/0!</v>
      </c>
      <c r="AF199" s="45" t="e">
        <v>#DIV/0!</v>
      </c>
      <c r="AG199" s="45" t="e">
        <v>#DIV/0!</v>
      </c>
      <c r="AH199" s="44" t="e">
        <v>#DIV/0!</v>
      </c>
      <c r="AI199" s="45" t="e">
        <v>#DIV/0!</v>
      </c>
      <c r="AJ199" s="45" t="e">
        <v>#DIV/0!</v>
      </c>
      <c r="AK199" s="45" t="e">
        <v>#DIV/0!</v>
      </c>
      <c r="AL199" s="44"/>
      <c r="AM199" s="45">
        <v>11.897017843031236</v>
      </c>
      <c r="AO199" s="109" t="str">
        <f>IF(A199='[1]page 1-8'!$A199,"","False")</f>
        <v/>
      </c>
      <c r="AP199" s="109" t="str">
        <f>'[1]page 1-8'!$A199</f>
        <v>Silico- Mn Cons.</v>
      </c>
    </row>
    <row r="200" spans="1:42" x14ac:dyDescent="0.4">
      <c r="A200" s="37" t="s">
        <v>272</v>
      </c>
      <c r="B200" s="38" t="s">
        <v>269</v>
      </c>
      <c r="C200" s="44">
        <v>2.058833179438385</v>
      </c>
      <c r="D200" s="44">
        <v>1.94</v>
      </c>
      <c r="E200" s="44">
        <v>1.82</v>
      </c>
      <c r="F200" s="44">
        <v>1.8935217914125491</v>
      </c>
      <c r="G200" s="44">
        <v>1.9082489271944449</v>
      </c>
      <c r="H200" s="44">
        <v>2.0780448004584824</v>
      </c>
      <c r="I200" s="44">
        <v>2.3209085076215046</v>
      </c>
      <c r="J200" s="44">
        <v>2.0655786207980551</v>
      </c>
      <c r="K200" s="44">
        <v>2.0244689271508629</v>
      </c>
      <c r="L200" s="44">
        <v>1.9717817440565075</v>
      </c>
      <c r="M200" s="44">
        <v>1.7253767762407861</v>
      </c>
      <c r="N200" s="44">
        <v>1.7195911499106837</v>
      </c>
      <c r="O200" s="44">
        <v>1.974860228958278</v>
      </c>
      <c r="P200" s="44">
        <v>1.791660156119474</v>
      </c>
      <c r="Q200" s="44">
        <v>1.8949008883215996</v>
      </c>
      <c r="R200" s="44">
        <v>1.9405542060724488</v>
      </c>
      <c r="S200" s="44">
        <v>2.5104944536885996</v>
      </c>
      <c r="T200" s="44">
        <v>2.8254130065908947</v>
      </c>
      <c r="U200" s="44">
        <v>2.61</v>
      </c>
      <c r="V200" s="44"/>
      <c r="W200" s="45">
        <v>2.7516440372975626</v>
      </c>
      <c r="X200" s="44">
        <v>2.9514766861301514</v>
      </c>
      <c r="Y200" s="44" t="e">
        <v>#DIV/0!</v>
      </c>
      <c r="Z200" s="44">
        <v>2.8498606663062014</v>
      </c>
      <c r="AA200" s="44" t="e">
        <v>#DIV/0!</v>
      </c>
      <c r="AB200" s="44" t="e">
        <v>#DIV/0!</v>
      </c>
      <c r="AC200" s="44" t="e">
        <v>#DIV/0!</v>
      </c>
      <c r="AD200" s="44" t="e">
        <v>#DIV/0!</v>
      </c>
      <c r="AE200" s="44" t="e">
        <v>#DIV/0!</v>
      </c>
      <c r="AF200" s="44" t="e">
        <v>#DIV/0!</v>
      </c>
      <c r="AG200" s="44" t="e">
        <v>#DIV/0!</v>
      </c>
      <c r="AH200" s="44" t="e">
        <v>#DIV/0!</v>
      </c>
      <c r="AI200" s="44" t="e">
        <v>#DIV/0!</v>
      </c>
      <c r="AJ200" s="44" t="e">
        <v>#DIV/0!</v>
      </c>
      <c r="AK200" s="44" t="e">
        <v>#DIV/0!</v>
      </c>
      <c r="AL200" s="44"/>
      <c r="AM200" s="44">
        <v>2.8498606663062014</v>
      </c>
      <c r="AO200" s="109" t="str">
        <f>IF(A200='[1]page 1-8'!$A200,"","False")</f>
        <v/>
      </c>
      <c r="AP200" s="109" t="str">
        <f>'[1]page 1-8'!$A200</f>
        <v>Aluminium Consmn</v>
      </c>
    </row>
    <row r="201" spans="1:42" x14ac:dyDescent="0.4">
      <c r="A201" s="37" t="s">
        <v>296</v>
      </c>
      <c r="B201" s="38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>
        <v>10.3</v>
      </c>
      <c r="S201" s="44">
        <v>13.81</v>
      </c>
      <c r="T201" s="44">
        <v>9.35</v>
      </c>
      <c r="U201" s="44">
        <v>15</v>
      </c>
      <c r="V201" s="44"/>
      <c r="W201" s="45">
        <v>10.99</v>
      </c>
      <c r="X201" s="44">
        <v>9.64</v>
      </c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>
        <v>20.63</v>
      </c>
      <c r="AO201" s="109" t="str">
        <f>IF(A201='[1]page 1-8'!$A201,"","False")</f>
        <v>False</v>
      </c>
      <c r="AP201" s="109" t="str">
        <f>'[1]page 1-8'!$A201</f>
        <v>LD Slag Consmn</v>
      </c>
    </row>
    <row r="202" spans="1:42" x14ac:dyDescent="0.4">
      <c r="A202" s="37" t="s">
        <v>297</v>
      </c>
      <c r="B202" s="38" t="s">
        <v>269</v>
      </c>
      <c r="C202" s="44">
        <v>8.4280919994937875</v>
      </c>
      <c r="D202" s="44">
        <v>7.9</v>
      </c>
      <c r="E202" s="44">
        <v>7.17</v>
      </c>
      <c r="F202" s="44">
        <v>7.3160862973124718</v>
      </c>
      <c r="G202" s="44">
        <v>7.2270321145807488</v>
      </c>
      <c r="H202" s="44">
        <v>9.81</v>
      </c>
      <c r="I202" s="44">
        <v>11.91</v>
      </c>
      <c r="J202" s="44">
        <v>10.6</v>
      </c>
      <c r="K202" s="44">
        <v>9.93</v>
      </c>
      <c r="L202" s="44">
        <v>11.47</v>
      </c>
      <c r="M202" s="44">
        <v>12.7</v>
      </c>
      <c r="N202" s="44">
        <v>10.7</v>
      </c>
      <c r="O202" s="44">
        <v>8.64</v>
      </c>
      <c r="P202" s="44">
        <v>8.77</v>
      </c>
      <c r="Q202" s="44">
        <v>8.98</v>
      </c>
      <c r="R202" s="44">
        <v>9.32</v>
      </c>
      <c r="S202" s="44">
        <v>8.67</v>
      </c>
      <c r="T202" s="44">
        <v>8.4265494228830029</v>
      </c>
      <c r="U202" s="44">
        <v>8.75</v>
      </c>
      <c r="V202" s="44"/>
      <c r="W202" s="45">
        <v>8.3838246360215933</v>
      </c>
      <c r="X202" s="44">
        <v>8.9915883896081912</v>
      </c>
      <c r="Y202" s="44" t="e">
        <v>#DIV/0!</v>
      </c>
      <c r="Z202" s="44">
        <v>8.6825371209915563</v>
      </c>
      <c r="AA202" s="44" t="e">
        <v>#DIV/0!</v>
      </c>
      <c r="AB202" s="44" t="e">
        <v>#DIV/0!</v>
      </c>
      <c r="AC202" s="44" t="e">
        <v>#DIV/0!</v>
      </c>
      <c r="AD202" s="44" t="e">
        <v>#DIV/0!</v>
      </c>
      <c r="AE202" s="44" t="e">
        <v>#DIV/0!</v>
      </c>
      <c r="AF202" s="44" t="e">
        <v>#DIV/0!</v>
      </c>
      <c r="AG202" s="44" t="e">
        <v>#DIV/0!</v>
      </c>
      <c r="AH202" s="44" t="e">
        <v>#DIV/0!</v>
      </c>
      <c r="AI202" s="44" t="e">
        <v>#DIV/0!</v>
      </c>
      <c r="AJ202" s="44" t="e">
        <v>#DIV/0!</v>
      </c>
      <c r="AK202" s="44" t="e">
        <v>#DIV/0!</v>
      </c>
      <c r="AL202" s="44"/>
      <c r="AM202" s="44">
        <v>8.6825371209915563</v>
      </c>
      <c r="AO202" s="109" t="str">
        <f>IF(A202='[1]page 1-8'!$A202,"","False")</f>
        <v/>
      </c>
      <c r="AP202" s="109" t="str">
        <f>'[1]page 1-8'!$A202</f>
        <v>Refractory Consmn.</v>
      </c>
    </row>
    <row r="203" spans="1:42" x14ac:dyDescent="0.4">
      <c r="A203" s="37" t="s">
        <v>298</v>
      </c>
      <c r="B203" s="38" t="s">
        <v>141</v>
      </c>
      <c r="C203" s="44">
        <v>90.029412137042826</v>
      </c>
      <c r="D203" s="44">
        <v>88.03</v>
      </c>
      <c r="E203" s="44">
        <v>88.1</v>
      </c>
      <c r="F203" s="44">
        <v>88.076151502168258</v>
      </c>
      <c r="G203" s="44">
        <v>88.088909908237952</v>
      </c>
      <c r="H203" s="44">
        <v>88.057388637843289</v>
      </c>
      <c r="I203" s="44">
        <v>88.088161892184445</v>
      </c>
      <c r="J203" s="49">
        <v>88.08646966143057</v>
      </c>
      <c r="K203" s="49">
        <v>88.058020172644532</v>
      </c>
      <c r="L203" s="49">
        <v>88.04131664694502</v>
      </c>
      <c r="M203" s="49">
        <v>88.205389665727338</v>
      </c>
      <c r="N203" s="44">
        <v>88.541591906049049</v>
      </c>
      <c r="O203" s="44">
        <v>88.779064172612649</v>
      </c>
      <c r="P203" s="44">
        <v>88.975649563012752</v>
      </c>
      <c r="Q203" s="44">
        <v>89.342370838218869</v>
      </c>
      <c r="R203" s="44">
        <v>89.579699707360504</v>
      </c>
      <c r="S203" s="44">
        <v>89.821501339653835</v>
      </c>
      <c r="T203" s="44">
        <v>90.717695591459005</v>
      </c>
      <c r="U203" s="44">
        <v>91</v>
      </c>
      <c r="V203" s="44"/>
      <c r="W203" s="45">
        <v>90.746607208068468</v>
      </c>
      <c r="X203" s="44">
        <v>90.78881861597182</v>
      </c>
      <c r="Y203" s="44" t="e">
        <v>#DIV/0!</v>
      </c>
      <c r="Z203" s="44">
        <v>90.767348972765632</v>
      </c>
      <c r="AA203" s="44" t="e">
        <v>#DIV/0!</v>
      </c>
      <c r="AB203" s="44" t="e">
        <v>#DIV/0!</v>
      </c>
      <c r="AC203" s="44" t="e">
        <v>#DIV/0!</v>
      </c>
      <c r="AD203" s="44" t="e">
        <v>#DIV/0!</v>
      </c>
      <c r="AE203" s="44" t="e">
        <v>#DIV/0!</v>
      </c>
      <c r="AF203" s="44" t="e">
        <v>#DIV/0!</v>
      </c>
      <c r="AG203" s="44" t="e">
        <v>#DIV/0!</v>
      </c>
      <c r="AH203" s="44" t="e">
        <v>#DIV/0!</v>
      </c>
      <c r="AI203" s="44" t="e">
        <v>#DIV/0!</v>
      </c>
      <c r="AJ203" s="44" t="e">
        <v>#DIV/0!</v>
      </c>
      <c r="AK203" s="44" t="e">
        <v>#DIV/0!</v>
      </c>
      <c r="AL203" s="44"/>
      <c r="AM203" s="44">
        <v>90.767348972765632</v>
      </c>
      <c r="AO203" s="109" t="str">
        <f>IF(A203='[1]page 1-8'!$A203,"","False")</f>
        <v/>
      </c>
      <c r="AP203" s="109" t="str">
        <f>'[1]page 1-8'!$A203</f>
        <v xml:space="preserve">Mettalic Yield </v>
      </c>
    </row>
    <row r="204" spans="1:42" x14ac:dyDescent="0.4">
      <c r="A204" s="37" t="s">
        <v>299</v>
      </c>
      <c r="B204" s="38" t="s">
        <v>276</v>
      </c>
      <c r="C204" s="49">
        <v>149.62672043482073</v>
      </c>
      <c r="D204" s="49">
        <v>149.6</v>
      </c>
      <c r="E204" s="49">
        <v>151</v>
      </c>
      <c r="F204" s="49">
        <v>150.98103818103817</v>
      </c>
      <c r="G204" s="49">
        <v>151.11363258520365</v>
      </c>
      <c r="H204" s="49">
        <v>154.18566610455312</v>
      </c>
      <c r="I204" s="49">
        <v>152.96082390953151</v>
      </c>
      <c r="J204" s="47">
        <v>149.26503983438931</v>
      </c>
      <c r="K204" s="47">
        <v>147.85663302978094</v>
      </c>
      <c r="L204" s="47">
        <v>150.28084822173986</v>
      </c>
      <c r="M204" s="47">
        <v>154.37098679265543</v>
      </c>
      <c r="N204" s="47">
        <v>155.02617157974302</v>
      </c>
      <c r="O204" s="47">
        <v>155.73346495557749</v>
      </c>
      <c r="P204" s="49">
        <v>155.75400247831476</v>
      </c>
      <c r="Q204" s="49">
        <v>156.4265951314681</v>
      </c>
      <c r="R204" s="49">
        <v>156.60940460975718</v>
      </c>
      <c r="S204" s="49">
        <v>158.30000000000001</v>
      </c>
      <c r="T204" s="49">
        <v>157.79292335814074</v>
      </c>
      <c r="U204" s="49">
        <v>158</v>
      </c>
      <c r="V204" s="49"/>
      <c r="W204" s="50">
        <v>157.389289392379</v>
      </c>
      <c r="X204" s="49">
        <v>158.57487922705315</v>
      </c>
      <c r="Y204" s="49" t="e">
        <v>#DIV/0!</v>
      </c>
      <c r="Z204" s="47">
        <v>157.96977660972405</v>
      </c>
      <c r="AA204" s="49" t="e">
        <v>#DIV/0!</v>
      </c>
      <c r="AB204" s="44" t="e">
        <v>#DIV/0!</v>
      </c>
      <c r="AC204" s="47" t="e">
        <v>#DIV/0!</v>
      </c>
      <c r="AD204" s="47" t="e">
        <v>#DIV/0!</v>
      </c>
      <c r="AE204" s="47" t="e">
        <v>#DIV/0!</v>
      </c>
      <c r="AF204" s="47" t="e">
        <v>#DIV/0!</v>
      </c>
      <c r="AG204" s="47" t="e">
        <v>#DIV/0!</v>
      </c>
      <c r="AH204" s="47" t="e">
        <v>#DIV/0!</v>
      </c>
      <c r="AI204" s="47" t="e">
        <v>#DIV/0!</v>
      </c>
      <c r="AJ204" s="47" t="e">
        <v>#DIV/0!</v>
      </c>
      <c r="AK204" s="47" t="e">
        <v>#DIV/0!</v>
      </c>
      <c r="AL204" s="47"/>
      <c r="AM204" s="49">
        <v>157.96977660972405</v>
      </c>
      <c r="AO204" s="109" t="str">
        <f>IF(A204='[1]page 1-8'!$A204,"","False")</f>
        <v/>
      </c>
      <c r="AP204" s="109" t="str">
        <f>'[1]page 1-8'!$A204</f>
        <v>Blow Weight</v>
      </c>
    </row>
    <row r="205" spans="1:42" x14ac:dyDescent="0.4">
      <c r="A205" s="37" t="s">
        <v>277</v>
      </c>
      <c r="B205" s="38" t="s">
        <v>278</v>
      </c>
      <c r="C205" s="44">
        <v>2.1800000000000002</v>
      </c>
      <c r="D205" s="44">
        <v>2.1800000000000002</v>
      </c>
      <c r="E205" s="44">
        <v>2.1800000000000002</v>
      </c>
      <c r="F205" s="44">
        <v>2.14</v>
      </c>
      <c r="G205" s="44">
        <v>2.11</v>
      </c>
      <c r="H205" s="44">
        <v>2.12</v>
      </c>
      <c r="I205" s="44">
        <v>2.0699999999999998</v>
      </c>
      <c r="J205" s="44">
        <v>1.38</v>
      </c>
      <c r="K205" s="44">
        <v>1.36</v>
      </c>
      <c r="L205" s="44">
        <v>1.27</v>
      </c>
      <c r="M205" s="44">
        <v>1.24</v>
      </c>
      <c r="N205" s="44">
        <v>1.1399999999999999</v>
      </c>
      <c r="O205" s="44">
        <v>1.07</v>
      </c>
      <c r="P205" s="44">
        <v>1.02</v>
      </c>
      <c r="Q205" s="44">
        <v>1</v>
      </c>
      <c r="R205" s="44">
        <v>1.02</v>
      </c>
      <c r="S205" s="44">
        <v>1.01</v>
      </c>
      <c r="T205" s="44">
        <v>4.1666666666666664E-2</v>
      </c>
      <c r="U205" s="60">
        <v>1</v>
      </c>
      <c r="V205" s="60"/>
      <c r="W205" s="63" t="s">
        <v>300</v>
      </c>
      <c r="X205" s="63">
        <v>3.888888888888889E-2</v>
      </c>
      <c r="Y205" s="63">
        <v>0</v>
      </c>
      <c r="Z205" s="63">
        <v>0</v>
      </c>
      <c r="AA205" s="63">
        <v>0</v>
      </c>
      <c r="AB205" s="63">
        <v>0</v>
      </c>
      <c r="AC205" s="63">
        <v>0</v>
      </c>
      <c r="AD205" s="63">
        <v>0</v>
      </c>
      <c r="AE205" s="63">
        <v>0</v>
      </c>
      <c r="AF205" s="63">
        <v>0</v>
      </c>
      <c r="AG205" s="63">
        <v>0</v>
      </c>
      <c r="AH205" s="63">
        <v>0</v>
      </c>
      <c r="AI205" s="63">
        <v>0</v>
      </c>
      <c r="AJ205" s="63">
        <v>0</v>
      </c>
      <c r="AK205" s="63">
        <v>0</v>
      </c>
      <c r="AL205" s="63">
        <v>0</v>
      </c>
      <c r="AM205" s="63">
        <v>3.888888888888889E-2</v>
      </c>
      <c r="AO205" s="109" t="str">
        <f>IF(A205='[1]page 1-8'!$A205,"","False")</f>
        <v/>
      </c>
      <c r="AP205" s="109" t="str">
        <f>'[1]page 1-8'!$A205</f>
        <v>Tap to Tap time</v>
      </c>
    </row>
    <row r="206" spans="1:42" x14ac:dyDescent="0.4">
      <c r="A206" s="37" t="s">
        <v>279</v>
      </c>
      <c r="B206" s="38" t="s">
        <v>280</v>
      </c>
      <c r="C206" s="47">
        <v>4000.6666666666665</v>
      </c>
      <c r="D206" s="47">
        <v>4647</v>
      </c>
      <c r="E206" s="47">
        <v>5360</v>
      </c>
      <c r="F206" s="47">
        <v>3525.3333333333335</v>
      </c>
      <c r="G206" s="47">
        <v>5781</v>
      </c>
      <c r="H206" s="47">
        <v>5933.5</v>
      </c>
      <c r="I206" s="47">
        <v>5628</v>
      </c>
      <c r="J206" s="47">
        <v>4635</v>
      </c>
      <c r="K206" s="47">
        <v>5257.5</v>
      </c>
      <c r="L206" s="47">
        <v>5756</v>
      </c>
      <c r="M206" s="47">
        <v>6336.5</v>
      </c>
      <c r="N206" s="47">
        <v>6861</v>
      </c>
      <c r="O206" s="47">
        <v>7583.5</v>
      </c>
      <c r="P206" s="47">
        <v>5436.75</v>
      </c>
      <c r="Q206" s="47">
        <v>5586.333333333333</v>
      </c>
      <c r="R206" s="47" t="s">
        <v>109</v>
      </c>
      <c r="S206" s="47">
        <v>5646.5</v>
      </c>
      <c r="T206" s="47">
        <v>6350</v>
      </c>
      <c r="U206" s="38">
        <v>6500</v>
      </c>
      <c r="V206" s="38"/>
      <c r="W206" s="48" t="s">
        <v>109</v>
      </c>
      <c r="X206" s="47" t="s">
        <v>109</v>
      </c>
      <c r="Y206" s="47" t="s">
        <v>109</v>
      </c>
      <c r="Z206" s="47" t="s">
        <v>109</v>
      </c>
      <c r="AA206" s="47" t="s">
        <v>109</v>
      </c>
      <c r="AB206" s="47" t="s">
        <v>109</v>
      </c>
      <c r="AC206" s="47" t="s">
        <v>109</v>
      </c>
      <c r="AD206" s="47" t="s">
        <v>109</v>
      </c>
      <c r="AE206" s="47" t="s">
        <v>109</v>
      </c>
      <c r="AF206" s="47" t="s">
        <v>109</v>
      </c>
      <c r="AG206" s="47" t="s">
        <v>109</v>
      </c>
      <c r="AH206" s="47" t="s">
        <v>109</v>
      </c>
      <c r="AI206" s="47" t="s">
        <v>109</v>
      </c>
      <c r="AJ206" s="47" t="s">
        <v>109</v>
      </c>
      <c r="AK206" s="47" t="s">
        <v>109</v>
      </c>
      <c r="AL206" s="47"/>
      <c r="AM206" s="47" t="s">
        <v>109</v>
      </c>
      <c r="AO206" s="109" t="str">
        <f>IF(A206='[1]page 1-8'!$A206,"","False")</f>
        <v/>
      </c>
      <c r="AP206" s="109" t="str">
        <f>'[1]page 1-8'!$A206</f>
        <v>Avg. Lining Life</v>
      </c>
    </row>
    <row r="207" spans="1:42" x14ac:dyDescent="0.4">
      <c r="A207" s="37" t="s">
        <v>301</v>
      </c>
      <c r="B207" s="38" t="s">
        <v>282</v>
      </c>
      <c r="C207" s="47">
        <v>56.433502149060928</v>
      </c>
      <c r="D207" s="47">
        <v>57</v>
      </c>
      <c r="E207" s="44">
        <v>57.28</v>
      </c>
      <c r="F207" s="44">
        <v>56.902620015866482</v>
      </c>
      <c r="G207" s="44">
        <v>56.691605740039179</v>
      </c>
      <c r="H207" s="44">
        <v>56.196401482630279</v>
      </c>
      <c r="I207" s="44">
        <v>56.879954373948792</v>
      </c>
      <c r="J207" s="44">
        <v>57.945952692951352</v>
      </c>
      <c r="K207" s="44">
        <v>57.3</v>
      </c>
      <c r="L207" s="44">
        <v>56.670070249354097</v>
      </c>
      <c r="M207" s="44">
        <v>56.644554299113068</v>
      </c>
      <c r="N207" s="44">
        <v>56.353132044975702</v>
      </c>
      <c r="O207" s="44">
        <v>56.355623803547203</v>
      </c>
      <c r="P207" s="44">
        <v>56.411864799988031</v>
      </c>
      <c r="Q207" s="44">
        <v>56.364273365743649</v>
      </c>
      <c r="R207" s="44">
        <v>56.180907152810768</v>
      </c>
      <c r="S207" s="44">
        <v>55.835431932725371</v>
      </c>
      <c r="T207" s="44">
        <v>56.206823793416163</v>
      </c>
      <c r="U207" s="49">
        <v>56</v>
      </c>
      <c r="V207" s="49"/>
      <c r="W207" s="48">
        <v>55.9838050057255</v>
      </c>
      <c r="X207" s="47">
        <v>56.045290682914448</v>
      </c>
      <c r="Y207" s="47" t="e">
        <v>#DIV/0!</v>
      </c>
      <c r="Z207" s="47">
        <v>56.014024872104144</v>
      </c>
      <c r="AA207" s="47" t="e">
        <v>#DIV/0!</v>
      </c>
      <c r="AB207" s="47" t="e">
        <v>#DIV/0!</v>
      </c>
      <c r="AC207" s="47" t="e">
        <v>#DIV/0!</v>
      </c>
      <c r="AD207" s="47" t="e">
        <v>#DIV/0!</v>
      </c>
      <c r="AE207" s="47" t="e">
        <v>#DIV/0!</v>
      </c>
      <c r="AF207" s="47" t="e">
        <v>#DIV/0!</v>
      </c>
      <c r="AG207" s="47" t="e">
        <v>#DIV/0!</v>
      </c>
      <c r="AH207" s="47" t="e">
        <v>#DIV/0!</v>
      </c>
      <c r="AI207" s="47" t="e">
        <v>#DIV/0!</v>
      </c>
      <c r="AJ207" s="47" t="e">
        <v>#DIV/0!</v>
      </c>
      <c r="AK207" s="47" t="e">
        <v>#DIV/0!</v>
      </c>
      <c r="AL207" s="47"/>
      <c r="AM207" s="47">
        <v>56.014024872104144</v>
      </c>
      <c r="AO207" s="109" t="str">
        <f>IF(A207='[1]page 1-8'!$A207,"","False")</f>
        <v/>
      </c>
      <c r="AP207" s="109" t="str">
        <f>'[1]page 1-8'!$A207</f>
        <v>Oxygen Cons.(BOF II)</v>
      </c>
    </row>
    <row r="208" spans="1:42" x14ac:dyDescent="0.4">
      <c r="A208" s="37" t="s">
        <v>302</v>
      </c>
      <c r="B208" s="38" t="s">
        <v>282</v>
      </c>
      <c r="C208" s="49">
        <v>3.3348586119456853</v>
      </c>
      <c r="D208" s="49">
        <v>4</v>
      </c>
      <c r="E208" s="44">
        <v>4.04</v>
      </c>
      <c r="F208" s="44">
        <v>4.0111633679683401</v>
      </c>
      <c r="G208" s="44">
        <v>3.8381162409091383</v>
      </c>
      <c r="H208" s="44">
        <v>3.9659047533634251</v>
      </c>
      <c r="I208" s="44">
        <v>4.0034958849420832</v>
      </c>
      <c r="J208" s="44">
        <v>4.0862112586438624</v>
      </c>
      <c r="K208" s="44">
        <v>4.0116755709402465</v>
      </c>
      <c r="L208" s="44">
        <v>3.9657256630875346</v>
      </c>
      <c r="M208" s="44">
        <v>3.9720740065258959</v>
      </c>
      <c r="N208" s="44">
        <v>3.9730722325796548</v>
      </c>
      <c r="O208" s="44">
        <v>3.9714093738510883</v>
      </c>
      <c r="P208" s="44">
        <v>3.9661436695045755</v>
      </c>
      <c r="Q208" s="44">
        <v>3.9709214207136334</v>
      </c>
      <c r="R208" s="44">
        <v>3.963210514111791</v>
      </c>
      <c r="S208" s="44">
        <v>3.9612566686296082</v>
      </c>
      <c r="T208" s="44">
        <v>3.9600227051573142</v>
      </c>
      <c r="U208" s="49">
        <v>4</v>
      </c>
      <c r="V208" s="49"/>
      <c r="W208" s="48">
        <v>3.9494847047276296</v>
      </c>
      <c r="X208" s="47">
        <v>3.9569095371075571</v>
      </c>
      <c r="Y208" s="47" t="e">
        <v>#DIV/0!</v>
      </c>
      <c r="Z208" s="47">
        <v>3.9531339683067839</v>
      </c>
      <c r="AA208" s="47" t="e">
        <v>#DIV/0!</v>
      </c>
      <c r="AB208" s="47" t="e">
        <v>#DIV/0!</v>
      </c>
      <c r="AC208" s="47" t="e">
        <v>#DIV/0!</v>
      </c>
      <c r="AD208" s="47" t="e">
        <v>#DIV/0!</v>
      </c>
      <c r="AE208" s="47" t="e">
        <v>#DIV/0!</v>
      </c>
      <c r="AF208" s="47" t="e">
        <v>#DIV/0!</v>
      </c>
      <c r="AG208" s="47" t="e">
        <v>#DIV/0!</v>
      </c>
      <c r="AH208" s="47" t="e">
        <v>#DIV/0!</v>
      </c>
      <c r="AI208" s="47" t="e">
        <v>#DIV/0!</v>
      </c>
      <c r="AJ208" s="47" t="e">
        <v>#DIV/0!</v>
      </c>
      <c r="AK208" s="47" t="e">
        <v>#DIV/0!</v>
      </c>
      <c r="AL208" s="47"/>
      <c r="AM208" s="47">
        <v>3.9531339683067839</v>
      </c>
      <c r="AO208" s="109" t="str">
        <f>IF(A208='[1]page 1-8'!$A208,"","False")</f>
        <v/>
      </c>
      <c r="AP208" s="109" t="str">
        <f>'[1]page 1-8'!$A208</f>
        <v>Oxygen Cons.(CCM II)</v>
      </c>
    </row>
    <row r="209" spans="1:42" x14ac:dyDescent="0.4">
      <c r="A209" s="37" t="s">
        <v>284</v>
      </c>
      <c r="B209" s="38" t="s">
        <v>285</v>
      </c>
      <c r="C209" s="47">
        <v>3652.9457973291437</v>
      </c>
      <c r="D209" s="47">
        <v>3841</v>
      </c>
      <c r="E209" s="47">
        <v>5097</v>
      </c>
      <c r="F209" s="47">
        <v>5043.8312799452433</v>
      </c>
      <c r="G209" s="47">
        <v>4606.5764344432455</v>
      </c>
      <c r="H209" s="47">
        <v>4677.0649153826726</v>
      </c>
      <c r="I209" s="47">
        <v>4307.5862624959691</v>
      </c>
      <c r="J209" s="47">
        <v>4531.4650319029151</v>
      </c>
      <c r="K209" s="47">
        <v>5392.3199607410133</v>
      </c>
      <c r="L209" s="47">
        <v>5330.3757481711373</v>
      </c>
      <c r="M209" s="47">
        <v>5512.0451023352753</v>
      </c>
      <c r="N209" s="47">
        <v>4794.3940177773593</v>
      </c>
      <c r="O209" s="47">
        <v>5462.3289020187103</v>
      </c>
      <c r="P209" s="47">
        <v>7369.4169471391806</v>
      </c>
      <c r="Q209" s="47">
        <v>6958.7045072168603</v>
      </c>
      <c r="R209" s="47">
        <v>7548.0781931052697</v>
      </c>
      <c r="S209" s="47">
        <v>7489.884967998616</v>
      </c>
      <c r="T209" s="47">
        <v>7555.5570038234273</v>
      </c>
      <c r="U209" s="38">
        <v>7480</v>
      </c>
      <c r="V209" s="38"/>
      <c r="W209" s="48">
        <v>6027.6748971193419</v>
      </c>
      <c r="X209" s="47">
        <v>4842.4876741693461</v>
      </c>
      <c r="Y209" s="47" t="e">
        <v>#DIV/0!</v>
      </c>
      <c r="Z209" s="47">
        <v>5447.2131233595801</v>
      </c>
      <c r="AA209" s="47" t="e">
        <v>#DIV/0!</v>
      </c>
      <c r="AB209" s="47" t="e">
        <v>#DIV/0!</v>
      </c>
      <c r="AC209" s="47" t="e">
        <v>#DIV/0!</v>
      </c>
      <c r="AD209" s="47" t="e">
        <v>#DIV/0!</v>
      </c>
      <c r="AE209" s="47" t="e">
        <v>#DIV/0!</v>
      </c>
      <c r="AF209" s="47" t="e">
        <v>#DIV/0!</v>
      </c>
      <c r="AG209" s="47" t="e">
        <v>#DIV/0!</v>
      </c>
      <c r="AH209" s="47" t="e">
        <v>#DIV/0!</v>
      </c>
      <c r="AI209" s="47" t="e">
        <v>#DIV/0!</v>
      </c>
      <c r="AJ209" s="47" t="e">
        <v>#DIV/0!</v>
      </c>
      <c r="AK209" s="47" t="e">
        <v>#DIV/0!</v>
      </c>
      <c r="AL209" s="47"/>
      <c r="AM209" s="47">
        <v>5447.2131233595801</v>
      </c>
      <c r="AO209" s="109" t="str">
        <f>IF(A209='[1]page 1-8'!$A209,"","False")</f>
        <v/>
      </c>
      <c r="AP209" s="109" t="str">
        <f>'[1]page 1-8'!$A209</f>
        <v>HP N2 Consmn.</v>
      </c>
    </row>
    <row r="210" spans="1:42" x14ac:dyDescent="0.4">
      <c r="A210" s="37" t="s">
        <v>286</v>
      </c>
      <c r="B210" s="38" t="s">
        <v>141</v>
      </c>
      <c r="C210" s="44">
        <v>91.581009336795944</v>
      </c>
      <c r="D210" s="44">
        <v>89.69</v>
      </c>
      <c r="E210" s="44">
        <v>89.58</v>
      </c>
      <c r="F210" s="44">
        <v>89.669811320754718</v>
      </c>
      <c r="G210" s="44">
        <v>89.545289481026444</v>
      </c>
      <c r="H210" s="44">
        <v>89.499419483070824</v>
      </c>
      <c r="I210" s="44">
        <v>89.540989949629846</v>
      </c>
      <c r="J210" s="44">
        <v>89.5684824022225</v>
      </c>
      <c r="K210" s="44">
        <v>89.646691089826973</v>
      </c>
      <c r="L210" s="44">
        <v>89.586619740235491</v>
      </c>
      <c r="M210" s="44">
        <v>89.56</v>
      </c>
      <c r="N210" s="44">
        <v>89.56</v>
      </c>
      <c r="O210" s="44">
        <v>90.148273094172922</v>
      </c>
      <c r="P210" s="44">
        <v>90.375563364834278</v>
      </c>
      <c r="Q210" s="44">
        <v>91.465090432217096</v>
      </c>
      <c r="R210" s="44">
        <v>90.93767694536632</v>
      </c>
      <c r="S210" s="44">
        <v>91.16</v>
      </c>
      <c r="T210" s="44">
        <v>92.062497549637172</v>
      </c>
      <c r="U210" s="44">
        <v>92.2</v>
      </c>
      <c r="V210" s="44"/>
      <c r="W210" s="45">
        <v>92.287095883660797</v>
      </c>
      <c r="X210" s="44">
        <v>92.135265819056499</v>
      </c>
      <c r="Y210" s="44" t="e">
        <v>#DIV/0!</v>
      </c>
      <c r="Z210" s="44">
        <v>92.212433974590112</v>
      </c>
      <c r="AA210" s="44" t="e">
        <v>#DIV/0!</v>
      </c>
      <c r="AB210" s="44" t="e">
        <v>#DIV/0!</v>
      </c>
      <c r="AC210" s="44" t="e">
        <v>#DIV/0!</v>
      </c>
      <c r="AD210" s="44" t="e">
        <v>#DIV/0!</v>
      </c>
      <c r="AE210" s="44" t="e">
        <v>#DIV/0!</v>
      </c>
      <c r="AF210" s="44" t="e">
        <v>#DIV/0!</v>
      </c>
      <c r="AG210" s="44" t="e">
        <v>#DIV/0!</v>
      </c>
      <c r="AH210" s="44" t="e">
        <v>#DIV/0!</v>
      </c>
      <c r="AI210" s="44" t="e">
        <v>#DIV/0!</v>
      </c>
      <c r="AJ210" s="44" t="e">
        <v>#DIV/0!</v>
      </c>
      <c r="AK210" s="44" t="e">
        <v>#DIV/0!</v>
      </c>
      <c r="AL210" s="44"/>
      <c r="AM210" s="44">
        <v>92.212433974590112</v>
      </c>
      <c r="AO210" s="109" t="str">
        <f>IF(A210='[1]page 1-8'!$A210,"","False")</f>
        <v/>
      </c>
      <c r="AP210" s="109" t="str">
        <f>'[1]page 1-8'!$A210</f>
        <v>Converter Yield</v>
      </c>
    </row>
    <row r="211" spans="1:42" x14ac:dyDescent="0.4">
      <c r="A211" s="37" t="s">
        <v>287</v>
      </c>
      <c r="B211" s="38" t="s">
        <v>141</v>
      </c>
      <c r="C211" s="44">
        <v>98.457711672381407</v>
      </c>
      <c r="D211" s="44">
        <v>98.34</v>
      </c>
      <c r="E211" s="44">
        <v>98.4</v>
      </c>
      <c r="F211" s="44">
        <v>98.394539017085705</v>
      </c>
      <c r="G211" s="44">
        <v>98.397992090908005</v>
      </c>
      <c r="H211" s="44">
        <v>98.412339631556875</v>
      </c>
      <c r="I211" s="44">
        <v>98.408035383458511</v>
      </c>
      <c r="J211" s="44">
        <v>98.395279211327249</v>
      </c>
      <c r="K211" s="44">
        <v>98.399662250562741</v>
      </c>
      <c r="L211" s="44">
        <v>98.403765450208553</v>
      </c>
      <c r="M211" s="44">
        <v>98.38</v>
      </c>
      <c r="N211" s="44">
        <v>98.38</v>
      </c>
      <c r="O211" s="44">
        <v>98.547043598062146</v>
      </c>
      <c r="P211" s="44">
        <v>98.536905827698064</v>
      </c>
      <c r="Q211" s="44">
        <v>98.542348565979367</v>
      </c>
      <c r="R211" s="44">
        <v>98.539989729016867</v>
      </c>
      <c r="S211" s="44">
        <v>98.543238154709115</v>
      </c>
      <c r="T211" s="44">
        <v>98.533630614931553</v>
      </c>
      <c r="U211" s="44">
        <v>98.55</v>
      </c>
      <c r="V211" s="44"/>
      <c r="W211" s="45">
        <v>98.554173357322966</v>
      </c>
      <c r="X211" s="44">
        <v>98.552527988684432</v>
      </c>
      <c r="Y211" s="44" t="e">
        <v>#DIV/0!</v>
      </c>
      <c r="Z211" s="44">
        <v>98.553364660976101</v>
      </c>
      <c r="AA211" s="44" t="e">
        <v>#DIV/0!</v>
      </c>
      <c r="AB211" s="44" t="e">
        <v>#DIV/0!</v>
      </c>
      <c r="AC211" s="44" t="e">
        <v>#DIV/0!</v>
      </c>
      <c r="AD211" s="44" t="e">
        <v>#DIV/0!</v>
      </c>
      <c r="AE211" s="44" t="e">
        <v>#DIV/0!</v>
      </c>
      <c r="AF211" s="44" t="e">
        <v>#DIV/0!</v>
      </c>
      <c r="AG211" s="44" t="e">
        <v>#DIV/0!</v>
      </c>
      <c r="AH211" s="44" t="e">
        <v>#DIV/0!</v>
      </c>
      <c r="AI211" s="44" t="e">
        <v>#DIV/0!</v>
      </c>
      <c r="AJ211" s="44" t="e">
        <v>#DIV/0!</v>
      </c>
      <c r="AK211" s="44" t="e">
        <v>#DIV/0!</v>
      </c>
      <c r="AL211" s="44"/>
      <c r="AM211" s="44">
        <v>98.553364660976101</v>
      </c>
      <c r="AO211" s="109" t="str">
        <f>IF(A211='[1]page 1-8'!$A211,"","False")</f>
        <v/>
      </c>
      <c r="AP211" s="109" t="str">
        <f>'[1]page 1-8'!$A211</f>
        <v>Caster Yield</v>
      </c>
    </row>
    <row r="212" spans="1:42" x14ac:dyDescent="0.4">
      <c r="A212" s="37" t="s">
        <v>288</v>
      </c>
      <c r="B212" s="38"/>
      <c r="C212" s="57">
        <v>1.0249999999999999</v>
      </c>
      <c r="D212" s="57">
        <v>1.0469999999999999</v>
      </c>
      <c r="E212" s="57">
        <v>1.0489999999999999</v>
      </c>
      <c r="F212" s="57">
        <v>1.05</v>
      </c>
      <c r="G212" s="57">
        <v>1.0489999999999999</v>
      </c>
      <c r="H212" s="57">
        <v>1.048</v>
      </c>
      <c r="I212" s="57">
        <v>1.046</v>
      </c>
      <c r="J212" s="57">
        <v>1.0462499999999999</v>
      </c>
      <c r="K212" s="57">
        <v>1.0386666666666666</v>
      </c>
      <c r="L212" s="57">
        <v>1.0249999999999999</v>
      </c>
      <c r="M212" s="57">
        <v>1.0054693156990855</v>
      </c>
      <c r="N212" s="57">
        <v>0.99099999999999999</v>
      </c>
      <c r="O212" s="57">
        <v>1.0089999999999999</v>
      </c>
      <c r="P212" s="57">
        <v>1.0349999999999999</v>
      </c>
      <c r="Q212" s="57">
        <v>1.0289999999999999</v>
      </c>
      <c r="R212" s="57">
        <v>1.0209999999999999</v>
      </c>
      <c r="S212" s="57">
        <v>1.027646611522212</v>
      </c>
      <c r="T212" s="57">
        <v>1.0208831180866769</v>
      </c>
      <c r="U212" s="57">
        <v>1.02</v>
      </c>
      <c r="V212" s="57"/>
      <c r="W212" s="45">
        <v>1.0219892033371503</v>
      </c>
      <c r="X212" s="44">
        <v>1.0276313785224676</v>
      </c>
      <c r="Y212" s="44" t="e">
        <v>#DIV/0!</v>
      </c>
      <c r="Z212" s="44" t="e">
        <v>#DIV/0!</v>
      </c>
      <c r="AA212" s="44" t="e">
        <v>#DIV/0!</v>
      </c>
      <c r="AB212" s="44" t="e">
        <v>#DIV/0!</v>
      </c>
      <c r="AC212" s="44" t="e">
        <v>#DIV/0!</v>
      </c>
      <c r="AD212" s="44" t="e">
        <v>#DIV/0!</v>
      </c>
      <c r="AE212" s="44" t="e">
        <v>#DIV/0!</v>
      </c>
      <c r="AF212" s="44" t="e">
        <v>#DIV/0!</v>
      </c>
      <c r="AG212" s="44" t="e">
        <v>#DIV/0!</v>
      </c>
      <c r="AH212" s="44" t="e">
        <v>#DIV/0!</v>
      </c>
      <c r="AI212" s="44" t="e">
        <v>#DIV/0!</v>
      </c>
      <c r="AJ212" s="44" t="e">
        <v>#DIV/0!</v>
      </c>
      <c r="AK212" s="44" t="e">
        <v>#DIV/0!</v>
      </c>
      <c r="AL212" s="44"/>
      <c r="AM212" s="44">
        <v>1.0247623008775943</v>
      </c>
      <c r="AO212" s="109" t="str">
        <f>IF(A212='[1]page 1-8'!$A212,"","False")</f>
        <v/>
      </c>
      <c r="AP212" s="109" t="str">
        <f>'[1]page 1-8'!$A212</f>
        <v>Hot Metal to Slab Ratio</v>
      </c>
    </row>
    <row r="213" spans="1:42" x14ac:dyDescent="0.4">
      <c r="A213" s="37" t="s">
        <v>416</v>
      </c>
      <c r="B213" s="38" t="s">
        <v>417</v>
      </c>
      <c r="C213" s="44"/>
      <c r="D213" s="47">
        <v>278</v>
      </c>
      <c r="E213" s="47">
        <v>763</v>
      </c>
      <c r="F213" s="47">
        <v>1136</v>
      </c>
      <c r="G213" s="47">
        <v>741</v>
      </c>
      <c r="H213" s="47">
        <v>994</v>
      </c>
      <c r="I213" s="47">
        <v>388</v>
      </c>
      <c r="J213" s="38">
        <v>119</v>
      </c>
      <c r="K213" s="38">
        <v>257</v>
      </c>
      <c r="L213" s="38">
        <v>48</v>
      </c>
      <c r="M213" s="38">
        <v>90</v>
      </c>
      <c r="N213" s="38">
        <v>0</v>
      </c>
      <c r="O213" s="38">
        <v>214</v>
      </c>
      <c r="P213" s="38">
        <v>1939</v>
      </c>
      <c r="Q213" s="38">
        <v>2054</v>
      </c>
      <c r="R213" s="38">
        <v>2815</v>
      </c>
      <c r="S213" s="38">
        <v>2882</v>
      </c>
      <c r="T213" s="38">
        <v>6152</v>
      </c>
      <c r="U213" s="38">
        <v>500</v>
      </c>
      <c r="V213" s="38"/>
      <c r="W213" s="41">
        <v>504</v>
      </c>
      <c r="X213" s="38">
        <v>527</v>
      </c>
      <c r="Y213" s="38">
        <v>0</v>
      </c>
      <c r="Z213" s="38">
        <v>1031</v>
      </c>
      <c r="AA213" s="38">
        <v>0</v>
      </c>
      <c r="AB213" s="38">
        <v>0</v>
      </c>
      <c r="AC213" s="38">
        <v>0</v>
      </c>
      <c r="AD213" s="38">
        <v>0</v>
      </c>
      <c r="AE213" s="38">
        <v>0</v>
      </c>
      <c r="AF213" s="38">
        <v>0</v>
      </c>
      <c r="AG213" s="38">
        <v>0</v>
      </c>
      <c r="AH213" s="38">
        <v>0</v>
      </c>
      <c r="AI213" s="38">
        <v>0</v>
      </c>
      <c r="AJ213" s="38">
        <v>0</v>
      </c>
      <c r="AK213" s="38">
        <v>0</v>
      </c>
      <c r="AL213" s="38"/>
      <c r="AM213" s="38">
        <v>1031</v>
      </c>
      <c r="AO213" s="109" t="str">
        <f>IF(A213='[1]page 1-8'!$A213,"","False")</f>
        <v/>
      </c>
      <c r="AP213" s="109" t="str">
        <f>'[1]page 1-8'!$A213</f>
        <v>De Sulphurised. Heats(DS)</v>
      </c>
    </row>
    <row r="214" spans="1:42" s="67" customFormat="1" x14ac:dyDescent="0.4">
      <c r="A214" s="70" t="s">
        <v>425</v>
      </c>
      <c r="B214" s="65"/>
      <c r="C214" s="71">
        <v>1770</v>
      </c>
      <c r="D214" s="71">
        <v>1943</v>
      </c>
      <c r="E214" s="71">
        <v>5623</v>
      </c>
      <c r="F214" s="71">
        <v>1839</v>
      </c>
      <c r="G214" s="71">
        <v>2002</v>
      </c>
      <c r="H214" s="71">
        <v>1967</v>
      </c>
      <c r="I214" s="71">
        <v>5808</v>
      </c>
      <c r="J214" s="71">
        <v>2023</v>
      </c>
      <c r="K214" s="71">
        <v>1758</v>
      </c>
      <c r="L214" s="71">
        <v>2010</v>
      </c>
      <c r="M214" s="71">
        <v>5791</v>
      </c>
      <c r="N214" s="71">
        <v>1974</v>
      </c>
      <c r="O214" s="9">
        <v>20310</v>
      </c>
      <c r="P214" s="9">
        <v>20204</v>
      </c>
      <c r="Q214" s="9">
        <v>22586</v>
      </c>
      <c r="R214" s="9">
        <v>22713</v>
      </c>
      <c r="S214" s="9">
        <v>23124</v>
      </c>
      <c r="T214" s="9">
        <v>23016</v>
      </c>
      <c r="U214" s="9"/>
      <c r="V214" s="9"/>
      <c r="W214" s="48">
        <v>1944</v>
      </c>
      <c r="X214" s="47">
        <v>1866</v>
      </c>
      <c r="Y214" s="47"/>
      <c r="Z214" s="47"/>
      <c r="AA214" s="72"/>
      <c r="AB214" s="72"/>
      <c r="AC214" s="72"/>
      <c r="AD214" s="47"/>
      <c r="AE214" s="72"/>
      <c r="AF214" s="73"/>
      <c r="AG214" s="72"/>
      <c r="AH214" s="47"/>
      <c r="AI214" s="72"/>
      <c r="AJ214" s="72"/>
      <c r="AK214" s="9"/>
      <c r="AL214" s="9"/>
      <c r="AM214" s="38">
        <v>3810</v>
      </c>
      <c r="AO214" s="109" t="str">
        <f>IF(A214='[1]page 1-8'!$A214,"","False")</f>
        <v/>
      </c>
      <c r="AP214" s="109" t="str">
        <f>'[1]page 1-8'!$A214</f>
        <v>Blow SMS2</v>
      </c>
    </row>
    <row r="215" spans="1:42" s="67" customFormat="1" x14ac:dyDescent="0.4">
      <c r="A215" s="68" t="s">
        <v>424</v>
      </c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>
        <v>2965</v>
      </c>
      <c r="P215" s="64">
        <v>2344</v>
      </c>
      <c r="Q215" s="64">
        <v>2919</v>
      </c>
      <c r="R215" s="64">
        <v>2851</v>
      </c>
      <c r="S215" s="64">
        <v>2991</v>
      </c>
      <c r="T215" s="64">
        <v>3519</v>
      </c>
      <c r="U215" s="64"/>
      <c r="V215" s="64"/>
      <c r="W215" s="35">
        <v>346</v>
      </c>
      <c r="X215" s="33">
        <v>330</v>
      </c>
      <c r="Y215" s="69"/>
      <c r="Z215" s="69"/>
      <c r="AA215" s="69"/>
      <c r="AB215" s="69"/>
      <c r="AC215" s="69"/>
      <c r="AD215" s="69"/>
      <c r="AE215" s="69"/>
      <c r="AF215" s="69"/>
      <c r="AG215" s="69"/>
      <c r="AH215" s="69"/>
      <c r="AI215" s="69"/>
      <c r="AJ215" s="69"/>
      <c r="AK215" s="64"/>
      <c r="AL215" s="64"/>
      <c r="AM215" s="38">
        <v>676</v>
      </c>
      <c r="AO215" s="109" t="str">
        <f>IF(A215='[1]page 1-8'!$A215,"","False")</f>
        <v/>
      </c>
      <c r="AP215" s="109" t="str">
        <f>'[1]page 1-8'!$A215</f>
        <v xml:space="preserve">RHOB </v>
      </c>
    </row>
    <row r="216" spans="1:42" x14ac:dyDescent="0.4">
      <c r="A216" s="43" t="s">
        <v>303</v>
      </c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41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  <c r="AI216" s="38"/>
      <c r="AJ216" s="38"/>
      <c r="AK216" s="38"/>
      <c r="AL216" s="38"/>
      <c r="AM216" s="38"/>
      <c r="AO216" s="109" t="str">
        <f>IF(A216='[1]page 1-8'!$A216,"","False")</f>
        <v/>
      </c>
      <c r="AP216" s="109" t="str">
        <f>'[1]page 1-8'!$A216</f>
        <v>PLATE MILL</v>
      </c>
    </row>
    <row r="217" spans="1:42" x14ac:dyDescent="0.4">
      <c r="A217" s="37" t="s">
        <v>304</v>
      </c>
      <c r="B217" s="38" t="s">
        <v>305</v>
      </c>
      <c r="C217" s="38">
        <v>13239</v>
      </c>
      <c r="D217" s="38">
        <v>17738</v>
      </c>
      <c r="E217" s="38">
        <v>16483</v>
      </c>
      <c r="F217" s="38">
        <v>9763</v>
      </c>
      <c r="G217" s="38">
        <v>12660</v>
      </c>
      <c r="H217" s="38">
        <v>3264</v>
      </c>
      <c r="I217" s="38">
        <v>3273</v>
      </c>
      <c r="J217" s="38">
        <v>1168</v>
      </c>
      <c r="K217" s="38">
        <v>849</v>
      </c>
      <c r="L217" s="38">
        <v>1400</v>
      </c>
      <c r="M217" s="38">
        <v>0</v>
      </c>
      <c r="N217" s="38">
        <v>60</v>
      </c>
      <c r="O217" s="38">
        <v>48</v>
      </c>
      <c r="P217" s="38">
        <v>0</v>
      </c>
      <c r="Q217" s="38">
        <v>34</v>
      </c>
      <c r="R217" s="38">
        <v>0</v>
      </c>
      <c r="S217" s="38">
        <v>24</v>
      </c>
      <c r="T217" s="38">
        <v>0</v>
      </c>
      <c r="U217" s="38">
        <v>0</v>
      </c>
      <c r="V217" s="38"/>
      <c r="W217" s="41">
        <v>0</v>
      </c>
      <c r="X217" s="38">
        <v>0</v>
      </c>
      <c r="Y217" s="38">
        <v>0</v>
      </c>
      <c r="Z217" s="38">
        <v>0</v>
      </c>
      <c r="AA217" s="38">
        <v>0</v>
      </c>
      <c r="AB217" s="38">
        <v>0</v>
      </c>
      <c r="AC217" s="38">
        <v>0</v>
      </c>
      <c r="AD217" s="38">
        <v>0</v>
      </c>
      <c r="AE217" s="38">
        <v>0</v>
      </c>
      <c r="AF217" s="38">
        <v>0</v>
      </c>
      <c r="AG217" s="38">
        <v>0</v>
      </c>
      <c r="AH217" s="38">
        <v>0</v>
      </c>
      <c r="AI217" s="38">
        <v>0</v>
      </c>
      <c r="AJ217" s="38">
        <v>0</v>
      </c>
      <c r="AK217" s="38">
        <v>0</v>
      </c>
      <c r="AL217" s="38"/>
      <c r="AM217" s="38">
        <v>0</v>
      </c>
      <c r="AO217" s="109" t="str">
        <f>IF(A217='[1]page 1-8'!$A217,"","False")</f>
        <v/>
      </c>
      <c r="AP217" s="109" t="str">
        <f>'[1]page 1-8'!$A217</f>
        <v>7 &amp; 8 mm production</v>
      </c>
    </row>
    <row r="218" spans="1:42" x14ac:dyDescent="0.4">
      <c r="A218" s="37" t="s">
        <v>306</v>
      </c>
      <c r="B218" s="38" t="s">
        <v>305</v>
      </c>
      <c r="C218" s="38">
        <v>120083</v>
      </c>
      <c r="D218" s="38">
        <v>120044</v>
      </c>
      <c r="E218" s="38">
        <v>114767</v>
      </c>
      <c r="F218" s="38">
        <v>124808</v>
      </c>
      <c r="G218" s="38">
        <v>115429</v>
      </c>
      <c r="H218" s="38">
        <v>117336</v>
      </c>
      <c r="I218" s="38">
        <v>119527</v>
      </c>
      <c r="J218" s="38">
        <v>128847</v>
      </c>
      <c r="K218" s="38">
        <v>102308</v>
      </c>
      <c r="L218" s="38">
        <v>94182</v>
      </c>
      <c r="M218" s="38">
        <v>96485</v>
      </c>
      <c r="N218" s="38">
        <v>160078</v>
      </c>
      <c r="O218" s="38">
        <v>167340</v>
      </c>
      <c r="P218" s="38">
        <v>118881</v>
      </c>
      <c r="Q218" s="38">
        <v>143595</v>
      </c>
      <c r="R218" s="38">
        <v>134590</v>
      </c>
      <c r="S218" s="38">
        <v>206675</v>
      </c>
      <c r="T218" s="38">
        <v>220012</v>
      </c>
      <c r="U218" s="38">
        <v>197000</v>
      </c>
      <c r="V218" s="38"/>
      <c r="W218" s="41">
        <v>19541</v>
      </c>
      <c r="X218" s="38">
        <v>18912</v>
      </c>
      <c r="Y218" s="38">
        <v>0</v>
      </c>
      <c r="Z218" s="38">
        <v>38453</v>
      </c>
      <c r="AA218" s="38">
        <v>0</v>
      </c>
      <c r="AB218" s="38">
        <v>0</v>
      </c>
      <c r="AC218" s="38">
        <v>0</v>
      </c>
      <c r="AD218" s="38">
        <v>0</v>
      </c>
      <c r="AE218" s="38">
        <v>0</v>
      </c>
      <c r="AF218" s="38">
        <v>0</v>
      </c>
      <c r="AG218" s="38">
        <v>0</v>
      </c>
      <c r="AH218" s="38">
        <v>0</v>
      </c>
      <c r="AI218" s="38">
        <v>0</v>
      </c>
      <c r="AJ218" s="38">
        <v>0</v>
      </c>
      <c r="AK218" s="38">
        <v>0</v>
      </c>
      <c r="AL218" s="38"/>
      <c r="AM218" s="38">
        <v>38453</v>
      </c>
      <c r="AO218" s="109" t="str">
        <f>IF(A218='[1]page 1-8'!$A218,"","False")</f>
        <v/>
      </c>
      <c r="AP218" s="109" t="str">
        <f>'[1]page 1-8'!$A218</f>
        <v>22 mm &amp; above prod.</v>
      </c>
    </row>
    <row r="219" spans="1:42" x14ac:dyDescent="0.4">
      <c r="A219" s="37" t="s">
        <v>307</v>
      </c>
      <c r="B219" s="38" t="s">
        <v>305</v>
      </c>
      <c r="C219" s="38">
        <v>39936</v>
      </c>
      <c r="D219" s="38">
        <v>40841</v>
      </c>
      <c r="E219" s="38">
        <v>31017</v>
      </c>
      <c r="F219" s="38">
        <v>28158</v>
      </c>
      <c r="G219" s="38">
        <v>29078</v>
      </c>
      <c r="H219" s="38">
        <v>11303</v>
      </c>
      <c r="I219" s="38">
        <v>19088</v>
      </c>
      <c r="J219" s="38">
        <v>8285</v>
      </c>
      <c r="K219" s="38">
        <v>12608</v>
      </c>
      <c r="L219" s="38">
        <v>10432</v>
      </c>
      <c r="M219" s="38">
        <v>4348</v>
      </c>
      <c r="N219" s="38">
        <v>11356</v>
      </c>
      <c r="O219" s="38">
        <v>1621</v>
      </c>
      <c r="P219" s="38">
        <v>0</v>
      </c>
      <c r="Q219" s="38">
        <v>0</v>
      </c>
      <c r="R219" s="38">
        <v>0</v>
      </c>
      <c r="S219" s="38">
        <v>0</v>
      </c>
      <c r="T219" s="38">
        <v>0</v>
      </c>
      <c r="U219" s="38">
        <v>0</v>
      </c>
      <c r="V219" s="38"/>
      <c r="W219" s="41">
        <v>0</v>
      </c>
      <c r="X219" s="38">
        <v>0</v>
      </c>
      <c r="Y219" s="38">
        <v>0</v>
      </c>
      <c r="Z219" s="38">
        <v>0</v>
      </c>
      <c r="AA219" s="38">
        <v>0</v>
      </c>
      <c r="AB219" s="38">
        <v>0</v>
      </c>
      <c r="AC219" s="38">
        <v>0</v>
      </c>
      <c r="AD219" s="38">
        <v>0</v>
      </c>
      <c r="AE219" s="38">
        <v>0</v>
      </c>
      <c r="AF219" s="38">
        <v>0</v>
      </c>
      <c r="AG219" s="38">
        <v>0</v>
      </c>
      <c r="AH219" s="38">
        <v>0</v>
      </c>
      <c r="AI219" s="38">
        <v>0</v>
      </c>
      <c r="AJ219" s="38">
        <v>0</v>
      </c>
      <c r="AK219" s="38">
        <v>0</v>
      </c>
      <c r="AL219" s="38"/>
      <c r="AM219" s="38">
        <v>0</v>
      </c>
      <c r="AO219" s="109" t="str">
        <f>IF(A219='[1]page 1-8'!$A219,"","False")</f>
        <v/>
      </c>
      <c r="AP219" s="109" t="str">
        <f>'[1]page 1-8'!$A219</f>
        <v>Normalising</v>
      </c>
    </row>
    <row r="220" spans="1:42" x14ac:dyDescent="0.4">
      <c r="A220" s="37" t="s">
        <v>308</v>
      </c>
      <c r="B220" s="38" t="s">
        <v>305</v>
      </c>
      <c r="C220" s="38"/>
      <c r="D220" s="38"/>
      <c r="E220" s="38"/>
      <c r="F220" s="38"/>
      <c r="G220" s="38"/>
      <c r="H220" s="38">
        <v>320</v>
      </c>
      <c r="I220" s="38">
        <v>0</v>
      </c>
      <c r="J220" s="38">
        <v>13414</v>
      </c>
      <c r="K220" s="38">
        <v>9595</v>
      </c>
      <c r="L220" s="38">
        <v>11354</v>
      </c>
      <c r="M220" s="38">
        <v>11430</v>
      </c>
      <c r="N220" s="38">
        <v>12030</v>
      </c>
      <c r="O220" s="38">
        <v>10986</v>
      </c>
      <c r="P220" s="38">
        <v>12493</v>
      </c>
      <c r="Q220" s="38">
        <v>22126</v>
      </c>
      <c r="R220" s="38">
        <v>18528</v>
      </c>
      <c r="S220" s="38">
        <v>11809</v>
      </c>
      <c r="T220" s="38">
        <v>12002</v>
      </c>
      <c r="U220" s="38">
        <v>0</v>
      </c>
      <c r="V220" s="38"/>
      <c r="W220" s="41">
        <v>108</v>
      </c>
      <c r="X220" s="38">
        <v>138</v>
      </c>
      <c r="Y220" s="38">
        <v>0</v>
      </c>
      <c r="Z220" s="38">
        <v>246</v>
      </c>
      <c r="AA220" s="38">
        <v>0</v>
      </c>
      <c r="AB220" s="38">
        <v>0</v>
      </c>
      <c r="AC220" s="38">
        <v>0</v>
      </c>
      <c r="AD220" s="38">
        <v>0</v>
      </c>
      <c r="AE220" s="38">
        <v>0</v>
      </c>
      <c r="AF220" s="38">
        <v>0</v>
      </c>
      <c r="AG220" s="38">
        <v>0</v>
      </c>
      <c r="AH220" s="38">
        <v>0</v>
      </c>
      <c r="AI220" s="38">
        <v>0</v>
      </c>
      <c r="AJ220" s="38">
        <v>0</v>
      </c>
      <c r="AK220" s="38">
        <v>0</v>
      </c>
      <c r="AL220" s="38"/>
      <c r="AM220" s="38">
        <v>246</v>
      </c>
      <c r="AO220" s="109" t="str">
        <f>IF(A220='[1]page 1-8'!$A220,"","False")</f>
        <v/>
      </c>
      <c r="AP220" s="109" t="str">
        <f>'[1]page 1-8'!$A220</f>
        <v>Normalized Rolled Plates</v>
      </c>
    </row>
    <row r="221" spans="1:42" x14ac:dyDescent="0.4">
      <c r="A221" s="37" t="s">
        <v>309</v>
      </c>
      <c r="B221" s="38" t="s">
        <v>141</v>
      </c>
      <c r="C221" s="44">
        <v>89.351072051833725</v>
      </c>
      <c r="D221" s="44">
        <v>89.57</v>
      </c>
      <c r="E221" s="44">
        <v>89.91</v>
      </c>
      <c r="F221" s="44">
        <v>89.46945257233601</v>
      </c>
      <c r="G221" s="44">
        <v>90.136780487804884</v>
      </c>
      <c r="H221" s="44">
        <v>90.411530789958633</v>
      </c>
      <c r="I221" s="44">
        <v>90.398324885601028</v>
      </c>
      <c r="J221" s="44">
        <v>90.423837677362513</v>
      </c>
      <c r="K221" s="44">
        <v>90.435477571858229</v>
      </c>
      <c r="L221" s="44">
        <v>90.158884992036519</v>
      </c>
      <c r="M221" s="44">
        <v>92.294291840213702</v>
      </c>
      <c r="N221" s="44">
        <v>92.37571156768108</v>
      </c>
      <c r="O221" s="44">
        <v>92.0134194582144</v>
      </c>
      <c r="P221" s="44">
        <v>92.11</v>
      </c>
      <c r="Q221" s="44">
        <v>93.42</v>
      </c>
      <c r="R221" s="44">
        <v>92.442454902965537</v>
      </c>
      <c r="S221" s="44">
        <v>92.613460156757142</v>
      </c>
      <c r="T221" s="44">
        <v>92.254575025624945</v>
      </c>
      <c r="U221" s="49">
        <v>91</v>
      </c>
      <c r="V221" s="49"/>
      <c r="W221" s="45">
        <v>91.424183474966725</v>
      </c>
      <c r="X221" s="45">
        <v>91.610604673380834</v>
      </c>
      <c r="Y221" s="45" t="e">
        <v>#DIV/0!</v>
      </c>
      <c r="Z221" s="44">
        <v>91.518717764970674</v>
      </c>
      <c r="AA221" s="44" t="e">
        <v>#DIV/0!</v>
      </c>
      <c r="AB221" s="44" t="e">
        <v>#DIV/0!</v>
      </c>
      <c r="AC221" s="44" t="e">
        <v>#DIV/0!</v>
      </c>
      <c r="AD221" s="44" t="e">
        <v>#DIV/0!</v>
      </c>
      <c r="AE221" s="44" t="e">
        <v>#DIV/0!</v>
      </c>
      <c r="AF221" s="44" t="e">
        <v>#DIV/0!</v>
      </c>
      <c r="AG221" s="44" t="e">
        <v>#DIV/0!</v>
      </c>
      <c r="AH221" s="44" t="e">
        <v>#DIV/0!</v>
      </c>
      <c r="AI221" s="44" t="e">
        <v>#DIV/0!</v>
      </c>
      <c r="AJ221" s="44" t="e">
        <v>#DIV/0!</v>
      </c>
      <c r="AK221" s="44" t="e">
        <v>#DIV/0!</v>
      </c>
      <c r="AL221" s="44"/>
      <c r="AM221" s="44">
        <v>91.518717764970674</v>
      </c>
      <c r="AO221" s="109" t="str">
        <f>IF(A221='[1]page 1-8'!$A221,"","False")</f>
        <v/>
      </c>
      <c r="AP221" s="109" t="str">
        <f>'[1]page 1-8'!$A221</f>
        <v>Yield - Primes</v>
      </c>
    </row>
    <row r="222" spans="1:42" x14ac:dyDescent="0.4">
      <c r="A222" s="37" t="s">
        <v>310</v>
      </c>
      <c r="B222" s="38" t="s">
        <v>141</v>
      </c>
      <c r="C222" s="44">
        <v>92.493643267180275</v>
      </c>
      <c r="D222" s="44">
        <v>92.53</v>
      </c>
      <c r="E222" s="44">
        <v>92.67</v>
      </c>
      <c r="F222" s="44">
        <v>91.845085831201629</v>
      </c>
      <c r="G222" s="44">
        <v>92.608780487804879</v>
      </c>
      <c r="H222" s="44">
        <v>92.727682920143877</v>
      </c>
      <c r="I222" s="44">
        <v>92.716350281051945</v>
      </c>
      <c r="J222" s="44">
        <v>92.740588261667085</v>
      </c>
      <c r="K222" s="44">
        <v>92.674064202342464</v>
      </c>
      <c r="L222" s="44">
        <v>92.561284355768009</v>
      </c>
      <c r="M222" s="44">
        <v>93.732315776524132</v>
      </c>
      <c r="N222" s="44">
        <v>93.548708496276191</v>
      </c>
      <c r="O222" s="44">
        <v>93.60626479824316</v>
      </c>
      <c r="P222" s="44">
        <v>93.92</v>
      </c>
      <c r="Q222" s="44">
        <v>93.92</v>
      </c>
      <c r="R222" s="44">
        <v>94.633072206014219</v>
      </c>
      <c r="S222" s="44">
        <v>95.270703673525986</v>
      </c>
      <c r="T222" s="44">
        <v>94.634809342739914</v>
      </c>
      <c r="U222" s="49">
        <v>94</v>
      </c>
      <c r="V222" s="49"/>
      <c r="W222" s="45">
        <v>93.800560998414568</v>
      </c>
      <c r="X222" s="45">
        <v>94.001146403652683</v>
      </c>
      <c r="Y222" s="45" t="e">
        <v>#DIV/0!</v>
      </c>
      <c r="Z222" s="45">
        <v>94.076324474903359</v>
      </c>
      <c r="AA222" s="45" t="e">
        <v>#DIV/0!</v>
      </c>
      <c r="AB222" s="45" t="e">
        <v>#DIV/0!</v>
      </c>
      <c r="AC222" s="45" t="e">
        <v>#DIV/0!</v>
      </c>
      <c r="AD222" s="45" t="e">
        <v>#DIV/0!</v>
      </c>
      <c r="AE222" s="45" t="e">
        <v>#DIV/0!</v>
      </c>
      <c r="AF222" s="45" t="e">
        <v>#DIV/0!</v>
      </c>
      <c r="AG222" s="45" t="e">
        <v>#DIV/0!</v>
      </c>
      <c r="AH222" s="45" t="e">
        <v>#DIV/0!</v>
      </c>
      <c r="AI222" s="45" t="e">
        <v>#DIV/0!</v>
      </c>
      <c r="AJ222" s="45" t="e">
        <v>#DIV/0!</v>
      </c>
      <c r="AK222" s="45" t="e">
        <v>#DIV/0!</v>
      </c>
      <c r="AL222" s="45" t="e">
        <v>#DIV/0!</v>
      </c>
      <c r="AM222" s="45">
        <v>93.902255714443186</v>
      </c>
      <c r="AO222" s="109" t="str">
        <f>IF(A222='[1]page 1-8'!$A222,"","False")</f>
        <v/>
      </c>
      <c r="AP222" s="109" t="str">
        <f>'[1]page 1-8'!$A222</f>
        <v>Yield - Total</v>
      </c>
    </row>
    <row r="223" spans="1:42" x14ac:dyDescent="0.4">
      <c r="A223" s="37" t="s">
        <v>311</v>
      </c>
      <c r="B223" s="38" t="s">
        <v>305</v>
      </c>
      <c r="C223" s="44">
        <v>4.9816660883591384</v>
      </c>
      <c r="D223" s="44">
        <v>4.82</v>
      </c>
      <c r="E223" s="44">
        <v>4.82</v>
      </c>
      <c r="F223" s="44">
        <v>4.8356694520389691</v>
      </c>
      <c r="G223" s="44">
        <v>4.9344596784958332</v>
      </c>
      <c r="H223" s="44">
        <v>4.7889728910255132</v>
      </c>
      <c r="I223" s="44">
        <v>4.8704635139650172</v>
      </c>
      <c r="J223" s="44">
        <v>4.9265203186794295</v>
      </c>
      <c r="K223" s="44">
        <v>4.8762151083349599</v>
      </c>
      <c r="L223" s="44">
        <v>4.8016257967464782</v>
      </c>
      <c r="M223" s="44">
        <v>4.7814688771634044</v>
      </c>
      <c r="N223" s="44">
        <v>5.0219900097605787</v>
      </c>
      <c r="O223" s="44">
        <v>4.9795735149020901</v>
      </c>
      <c r="P223" s="44">
        <v>4.74</v>
      </c>
      <c r="Q223" s="44">
        <v>5</v>
      </c>
      <c r="R223" s="44">
        <v>5.0999999999999996</v>
      </c>
      <c r="S223" s="44">
        <v>5.2564721987357572</v>
      </c>
      <c r="T223" s="44">
        <v>5.1094959868992982</v>
      </c>
      <c r="U223" s="49">
        <v>5.2</v>
      </c>
      <c r="V223" s="49"/>
      <c r="W223" s="44">
        <v>5.1456960568978136</v>
      </c>
      <c r="X223" s="44">
        <v>4.9815872390705005</v>
      </c>
      <c r="Y223" s="44" t="e">
        <v>#DIV/0!</v>
      </c>
      <c r="Z223" s="44">
        <v>5.0611654917076638</v>
      </c>
      <c r="AA223" s="44" t="e">
        <v>#DIV/0!</v>
      </c>
      <c r="AB223" s="44" t="e">
        <v>#DIV/0!</v>
      </c>
      <c r="AC223" s="44" t="e">
        <v>#DIV/0!</v>
      </c>
      <c r="AD223" s="44" t="e">
        <v>#DIV/0!</v>
      </c>
      <c r="AE223" s="44" t="e">
        <v>#DIV/0!</v>
      </c>
      <c r="AF223" s="44" t="e">
        <v>#DIV/0!</v>
      </c>
      <c r="AG223" s="44" t="e">
        <v>#DIV/0!</v>
      </c>
      <c r="AH223" s="44" t="e">
        <v>#DIV/0!</v>
      </c>
      <c r="AI223" s="44" t="e">
        <v>#DIV/0!</v>
      </c>
      <c r="AJ223" s="44" t="e">
        <v>#DIV/0!</v>
      </c>
      <c r="AK223" s="44" t="e">
        <v>#DIV/0!</v>
      </c>
      <c r="AL223" s="44"/>
      <c r="AM223" s="44">
        <v>5.0611654917076638</v>
      </c>
      <c r="AO223" s="109" t="str">
        <f>IF(A223='[1]page 1-8'!$A223,"","False")</f>
        <v/>
      </c>
      <c r="AP223" s="109" t="str">
        <f>'[1]page 1-8'!$A223</f>
        <v>Average Slab Weight</v>
      </c>
    </row>
    <row r="224" spans="1:42" x14ac:dyDescent="0.4">
      <c r="A224" s="37" t="s">
        <v>312</v>
      </c>
      <c r="B224" s="38" t="s">
        <v>141</v>
      </c>
      <c r="C224" s="44">
        <v>83.999316939890718</v>
      </c>
      <c r="D224" s="44">
        <v>85.21</v>
      </c>
      <c r="E224" s="44">
        <v>85.35</v>
      </c>
      <c r="F224" s="44">
        <v>90.456621004566202</v>
      </c>
      <c r="G224" s="44">
        <v>89.651639344262293</v>
      </c>
      <c r="H224" s="44">
        <v>86.912100456621005</v>
      </c>
      <c r="I224" s="44">
        <v>90.045662100456624</v>
      </c>
      <c r="J224" s="44">
        <v>89.029680365296798</v>
      </c>
      <c r="K224" s="44">
        <v>89.89071038251366</v>
      </c>
      <c r="L224" s="44">
        <v>87.340182648401836</v>
      </c>
      <c r="M224" s="44">
        <v>89.041095890410958</v>
      </c>
      <c r="N224" s="44">
        <v>87.248858447488587</v>
      </c>
      <c r="O224" s="44">
        <v>87.522768670309659</v>
      </c>
      <c r="P224" s="44">
        <v>91.232876712328775</v>
      </c>
      <c r="Q224" s="44">
        <v>91.11</v>
      </c>
      <c r="R224" s="44">
        <v>74.984931506849321</v>
      </c>
      <c r="S224" s="44">
        <v>85.006830601092901</v>
      </c>
      <c r="T224" s="44">
        <v>81.152968036529685</v>
      </c>
      <c r="U224" s="49">
        <v>89</v>
      </c>
      <c r="V224" s="49"/>
      <c r="W224" s="45">
        <v>92.083333333333329</v>
      </c>
      <c r="X224" s="44">
        <v>89.784946236559136</v>
      </c>
      <c r="Y224" s="44" t="e">
        <v>#DIV/0!</v>
      </c>
      <c r="Z224" s="44">
        <v>90.91530054644808</v>
      </c>
      <c r="AA224" s="44" t="e">
        <v>#DIV/0!</v>
      </c>
      <c r="AB224" s="44" t="e">
        <v>#DIV/0!</v>
      </c>
      <c r="AC224" s="44" t="e">
        <v>#DIV/0!</v>
      </c>
      <c r="AD224" s="44" t="e">
        <v>#DIV/0!</v>
      </c>
      <c r="AE224" s="44" t="e">
        <v>#DIV/0!</v>
      </c>
      <c r="AF224" s="44" t="e">
        <v>#DIV/0!</v>
      </c>
      <c r="AG224" s="44" t="e">
        <v>#DIV/0!</v>
      </c>
      <c r="AH224" s="44" t="e">
        <v>#DIV/0!</v>
      </c>
      <c r="AI224" s="44" t="e">
        <v>#DIV/0!</v>
      </c>
      <c r="AJ224" s="44" t="e">
        <v>#DIV/0!</v>
      </c>
      <c r="AK224" s="44" t="e">
        <v>#DIV/0!</v>
      </c>
      <c r="AL224" s="44"/>
      <c r="AM224" s="44">
        <v>90.91530054644808</v>
      </c>
      <c r="AO224" s="109" t="str">
        <f>IF(A224='[1]page 1-8'!$A224,"","False")</f>
        <v/>
      </c>
      <c r="AP224" s="109" t="str">
        <f>'[1]page 1-8'!$A224</f>
        <v>Mill Availability</v>
      </c>
    </row>
    <row r="225" spans="1:42" x14ac:dyDescent="0.4">
      <c r="A225" s="37" t="s">
        <v>313</v>
      </c>
      <c r="B225" s="38" t="s">
        <v>141</v>
      </c>
      <c r="C225" s="44">
        <v>86.608931354611357</v>
      </c>
      <c r="D225" s="44">
        <v>85.99</v>
      </c>
      <c r="E225" s="44">
        <v>83.82</v>
      </c>
      <c r="F225" s="44">
        <v>84.457849570923784</v>
      </c>
      <c r="G225" s="44">
        <v>87.397714285714272</v>
      </c>
      <c r="H225" s="44">
        <v>85.803769619754391</v>
      </c>
      <c r="I225" s="44">
        <v>86.936992900608516</v>
      </c>
      <c r="J225" s="44">
        <v>85.942941402743941</v>
      </c>
      <c r="K225" s="44">
        <v>83.881332320162116</v>
      </c>
      <c r="L225" s="44">
        <v>86.40047052672854</v>
      </c>
      <c r="M225" s="44">
        <v>83.131923076923087</v>
      </c>
      <c r="N225" s="44">
        <v>85.847834619913641</v>
      </c>
      <c r="O225" s="44">
        <v>86.526404786680544</v>
      </c>
      <c r="P225" s="44">
        <v>66.817942942942949</v>
      </c>
      <c r="Q225" s="44">
        <v>89.337744907227204</v>
      </c>
      <c r="R225" s="44">
        <v>81.60132629386726</v>
      </c>
      <c r="S225" s="44">
        <v>89.454131511986063</v>
      </c>
      <c r="T225" s="44">
        <v>89.659867773245182</v>
      </c>
      <c r="U225" s="49">
        <v>89</v>
      </c>
      <c r="V225" s="49"/>
      <c r="W225" s="45">
        <v>91.060331825037707</v>
      </c>
      <c r="X225" s="44">
        <v>91.261976047904199</v>
      </c>
      <c r="Y225" s="44" t="e">
        <v>#DIV/0!</v>
      </c>
      <c r="Z225" s="44">
        <v>91.161532682193851</v>
      </c>
      <c r="AA225" s="44" t="e">
        <v>#DIV/0!</v>
      </c>
      <c r="AB225" s="44" t="e">
        <v>#DIV/0!</v>
      </c>
      <c r="AC225" s="44" t="e">
        <v>#DIV/0!</v>
      </c>
      <c r="AD225" s="44" t="e">
        <v>#DIV/0!</v>
      </c>
      <c r="AE225" s="44" t="e">
        <v>#DIV/0!</v>
      </c>
      <c r="AF225" s="44" t="e">
        <v>#DIV/0!</v>
      </c>
      <c r="AG225" s="44" t="e">
        <v>#DIV/0!</v>
      </c>
      <c r="AH225" s="44" t="e">
        <v>#DIV/0!</v>
      </c>
      <c r="AI225" s="44" t="e">
        <v>#DIV/0!</v>
      </c>
      <c r="AJ225" s="44" t="e">
        <v>#DIV/0!</v>
      </c>
      <c r="AK225" s="44" t="e">
        <v>#DIV/0!</v>
      </c>
      <c r="AL225" s="44"/>
      <c r="AM225" s="44">
        <v>91.161532682193851</v>
      </c>
      <c r="AO225" s="109" t="str">
        <f>IF(A225='[1]page 1-8'!$A225,"","False")</f>
        <v/>
      </c>
      <c r="AP225" s="109" t="str">
        <f>'[1]page 1-8'!$A225</f>
        <v>Util. on Avail. Time</v>
      </c>
    </row>
    <row r="226" spans="1:42" x14ac:dyDescent="0.4">
      <c r="A226" s="37" t="s">
        <v>463</v>
      </c>
      <c r="B226" s="38" t="s">
        <v>314</v>
      </c>
      <c r="C226" s="47">
        <v>76.648869248439865</v>
      </c>
      <c r="D226" s="47">
        <v>73.099999999999994</v>
      </c>
      <c r="E226" s="47">
        <v>73</v>
      </c>
      <c r="F226" s="47">
        <v>68.91208587600336</v>
      </c>
      <c r="G226" s="47">
        <v>69.428280424318245</v>
      </c>
      <c r="H226" s="47">
        <v>67.786831418087857</v>
      </c>
      <c r="I226" s="47">
        <v>72.941951910219188</v>
      </c>
      <c r="J226" s="47">
        <v>71.244082599672666</v>
      </c>
      <c r="K226" s="47">
        <v>69.823214212918998</v>
      </c>
      <c r="L226" s="47">
        <v>69.590348687693819</v>
      </c>
      <c r="M226" s="47">
        <v>66.332474334121386</v>
      </c>
      <c r="N226" s="44">
        <v>74.706577152567689</v>
      </c>
      <c r="O226" s="44">
        <v>78.771224341002522</v>
      </c>
      <c r="P226" s="44">
        <v>78.312537803669969</v>
      </c>
      <c r="Q226" s="44">
        <v>79.468894420835227</v>
      </c>
      <c r="R226" s="44">
        <v>73.207366239251655</v>
      </c>
      <c r="S226" s="44">
        <v>74.37982256263156</v>
      </c>
      <c r="T226" s="44">
        <v>75.05</v>
      </c>
      <c r="U226" s="49">
        <v>75</v>
      </c>
      <c r="V226" s="49"/>
      <c r="W226" s="45">
        <v>76.438142878439038</v>
      </c>
      <c r="X226" s="45">
        <v>78.011252727063962</v>
      </c>
      <c r="Y226" s="45" t="e">
        <v>#DIV/0!</v>
      </c>
      <c r="Z226" s="44">
        <v>77.228522450056033</v>
      </c>
      <c r="AA226" s="45" t="e">
        <v>#DIV/0!</v>
      </c>
      <c r="AB226" s="45" t="e">
        <v>#DIV/0!</v>
      </c>
      <c r="AC226" s="45" t="e">
        <v>#DIV/0!</v>
      </c>
      <c r="AD226" s="44" t="e">
        <v>#DIV/0!</v>
      </c>
      <c r="AE226" s="45" t="e">
        <v>#DIV/0!</v>
      </c>
      <c r="AF226" s="45" t="e">
        <v>#DIV/0!</v>
      </c>
      <c r="AG226" s="45" t="e">
        <v>#DIV/0!</v>
      </c>
      <c r="AH226" s="44" t="e">
        <v>#DIV/0!</v>
      </c>
      <c r="AI226" s="45" t="e">
        <v>#DIV/0!</v>
      </c>
      <c r="AJ226" s="45" t="e">
        <v>#DIV/0!</v>
      </c>
      <c r="AK226" s="45" t="e">
        <v>#DIV/0!</v>
      </c>
      <c r="AL226" s="44"/>
      <c r="AM226" s="45">
        <v>77.228522450056033</v>
      </c>
      <c r="AO226" s="109" t="str">
        <f>IF(A226='[1]page 1-8'!$A226,"","False")</f>
        <v/>
      </c>
      <c r="AP226" s="109" t="str">
        <f>'[1]page 1-8'!$A226</f>
        <v>Rolling Rate-PLATE</v>
      </c>
    </row>
    <row r="227" spans="1:42" x14ac:dyDescent="0.4">
      <c r="A227" s="37"/>
      <c r="B227" s="38"/>
      <c r="C227" s="57"/>
      <c r="D227" s="57"/>
      <c r="E227" s="57"/>
      <c r="F227" s="57"/>
      <c r="G227" s="57"/>
      <c r="H227" s="57"/>
      <c r="I227" s="57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62" t="s">
        <v>138</v>
      </c>
      <c r="V227" s="108"/>
      <c r="W227" s="41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M227" s="38" t="s">
        <v>315</v>
      </c>
      <c r="AO227" s="109" t="str">
        <f>IF(A227='[1]page 1-8'!$A227,"","False")</f>
        <v/>
      </c>
      <c r="AP227" s="109">
        <f>'[1]page 1-8'!$A227</f>
        <v>0</v>
      </c>
    </row>
    <row r="228" spans="1:42" x14ac:dyDescent="0.4">
      <c r="A228" s="37"/>
      <c r="B228" s="38" t="s">
        <v>112</v>
      </c>
      <c r="C228" s="38" t="s">
        <v>113</v>
      </c>
      <c r="D228" s="42" t="s">
        <v>114</v>
      </c>
      <c r="E228" s="42" t="s">
        <v>115</v>
      </c>
      <c r="F228" s="42" t="s">
        <v>116</v>
      </c>
      <c r="G228" s="42" t="s">
        <v>117</v>
      </c>
      <c r="H228" s="38" t="s">
        <v>118</v>
      </c>
      <c r="I228" s="38" t="s">
        <v>119</v>
      </c>
      <c r="J228" s="38" t="s">
        <v>120</v>
      </c>
      <c r="K228" s="38" t="s">
        <v>121</v>
      </c>
      <c r="L228" s="38" t="s">
        <v>122</v>
      </c>
      <c r="M228" s="38" t="s">
        <v>123</v>
      </c>
      <c r="N228" s="38" t="s">
        <v>124</v>
      </c>
      <c r="O228" s="38" t="s">
        <v>125</v>
      </c>
      <c r="P228" s="38" t="s">
        <v>126</v>
      </c>
      <c r="Q228" s="38" t="s">
        <v>127</v>
      </c>
      <c r="R228" s="38" t="s">
        <v>128</v>
      </c>
      <c r="S228" s="38" t="s">
        <v>129</v>
      </c>
      <c r="T228" s="38" t="s">
        <v>130</v>
      </c>
      <c r="U228" s="38" t="s">
        <v>131</v>
      </c>
      <c r="V228" s="38"/>
      <c r="W228" s="41" t="s">
        <v>4</v>
      </c>
      <c r="X228" s="38" t="s">
        <v>5</v>
      </c>
      <c r="Y228" s="38" t="s">
        <v>6</v>
      </c>
      <c r="Z228" s="38" t="s">
        <v>132</v>
      </c>
      <c r="AA228" s="38" t="s">
        <v>8</v>
      </c>
      <c r="AB228" s="38" t="s">
        <v>9</v>
      </c>
      <c r="AC228" s="38" t="s">
        <v>10</v>
      </c>
      <c r="AD228" s="38" t="s">
        <v>133</v>
      </c>
      <c r="AE228" s="38" t="s">
        <v>12</v>
      </c>
      <c r="AF228" s="38" t="s">
        <v>13</v>
      </c>
      <c r="AG228" s="38" t="s">
        <v>14</v>
      </c>
      <c r="AH228" s="38" t="s">
        <v>134</v>
      </c>
      <c r="AI228" s="38" t="s">
        <v>16</v>
      </c>
      <c r="AJ228" s="38" t="s">
        <v>17</v>
      </c>
      <c r="AK228" s="38" t="s">
        <v>18</v>
      </c>
      <c r="AL228" s="38"/>
      <c r="AM228" s="38" t="s">
        <v>136</v>
      </c>
      <c r="AO228" s="109" t="str">
        <f>IF(A228='[1]page 1-8'!$A228,"","False")</f>
        <v/>
      </c>
      <c r="AP228" s="109">
        <f>'[1]page 1-8'!$A228</f>
        <v>0</v>
      </c>
    </row>
    <row r="229" spans="1:42" x14ac:dyDescent="0.4">
      <c r="A229" s="43" t="s">
        <v>316</v>
      </c>
      <c r="B229" s="38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38"/>
      <c r="Q229" s="38"/>
      <c r="R229" s="38"/>
      <c r="S229" s="38"/>
      <c r="T229" s="38"/>
      <c r="U229" s="38"/>
      <c r="V229" s="38"/>
      <c r="W229" s="48"/>
      <c r="X229" s="47"/>
      <c r="Y229" s="47"/>
      <c r="Z229" s="47"/>
      <c r="AA229" s="38"/>
      <c r="AB229" s="38"/>
      <c r="AC229" s="38"/>
      <c r="AD229" s="47"/>
      <c r="AE229" s="38"/>
      <c r="AF229" s="38"/>
      <c r="AG229" s="38"/>
      <c r="AH229" s="47"/>
      <c r="AI229" s="38"/>
      <c r="AJ229" s="38"/>
      <c r="AK229" s="38"/>
      <c r="AL229" s="38"/>
      <c r="AM229" s="38"/>
      <c r="AO229" s="109" t="str">
        <f>IF(A229='[1]page 1-8'!$A229,"","False")</f>
        <v/>
      </c>
      <c r="AP229" s="109" t="str">
        <f>'[1]page 1-8'!$A229</f>
        <v>NEW PLATE MILL</v>
      </c>
    </row>
    <row r="230" spans="1:42" x14ac:dyDescent="0.4">
      <c r="A230" s="37" t="s">
        <v>304</v>
      </c>
      <c r="B230" s="38" t="s">
        <v>305</v>
      </c>
      <c r="C230" s="47"/>
      <c r="D230" s="47"/>
      <c r="E230" s="47"/>
      <c r="F230" s="47"/>
      <c r="G230" s="47"/>
      <c r="H230" s="47"/>
      <c r="I230" s="47"/>
      <c r="J230" s="47"/>
      <c r="K230" s="47"/>
      <c r="L230" s="47">
        <v>0</v>
      </c>
      <c r="M230" s="47">
        <v>0</v>
      </c>
      <c r="N230" s="38">
        <v>0</v>
      </c>
      <c r="O230" s="38">
        <v>0</v>
      </c>
      <c r="P230" s="38">
        <v>0</v>
      </c>
      <c r="Q230" s="38">
        <v>791</v>
      </c>
      <c r="R230" s="38">
        <v>1207</v>
      </c>
      <c r="S230" s="38">
        <v>1649</v>
      </c>
      <c r="T230" s="38">
        <v>7288</v>
      </c>
      <c r="U230" s="38">
        <v>12000</v>
      </c>
      <c r="V230" s="38"/>
      <c r="W230" s="41">
        <v>1023</v>
      </c>
      <c r="X230" s="38">
        <v>1167</v>
      </c>
      <c r="Y230" s="38">
        <v>0</v>
      </c>
      <c r="Z230" s="47">
        <v>0</v>
      </c>
      <c r="AA230" s="38">
        <v>0</v>
      </c>
      <c r="AB230" s="38">
        <v>0</v>
      </c>
      <c r="AC230" s="38">
        <v>0</v>
      </c>
      <c r="AD230" s="47"/>
      <c r="AE230" s="38">
        <v>0</v>
      </c>
      <c r="AF230" s="38">
        <v>0</v>
      </c>
      <c r="AG230" s="38">
        <v>0</v>
      </c>
      <c r="AH230" s="47"/>
      <c r="AI230" s="38">
        <v>0</v>
      </c>
      <c r="AJ230" s="38">
        <v>0</v>
      </c>
      <c r="AK230" s="38">
        <v>0</v>
      </c>
      <c r="AL230" s="38"/>
      <c r="AM230" s="38">
        <v>2190</v>
      </c>
      <c r="AO230" s="109" t="str">
        <f>IF(A230='[1]page 1-8'!$A230,"","False")</f>
        <v/>
      </c>
      <c r="AP230" s="109" t="str">
        <f>'[1]page 1-8'!$A230</f>
        <v>7 &amp; 8 mm production</v>
      </c>
    </row>
    <row r="231" spans="1:42" x14ac:dyDescent="0.4">
      <c r="A231" s="37" t="s">
        <v>306</v>
      </c>
      <c r="B231" s="38" t="s">
        <v>305</v>
      </c>
      <c r="C231" s="47"/>
      <c r="D231" s="47"/>
      <c r="E231" s="47"/>
      <c r="F231" s="47"/>
      <c r="G231" s="47"/>
      <c r="H231" s="47"/>
      <c r="I231" s="47"/>
      <c r="J231" s="47"/>
      <c r="K231" s="47"/>
      <c r="L231" s="47">
        <v>307448</v>
      </c>
      <c r="M231" s="47">
        <v>421314</v>
      </c>
      <c r="N231" s="38">
        <v>507332</v>
      </c>
      <c r="O231" s="38">
        <v>463824</v>
      </c>
      <c r="P231" s="38">
        <v>36700</v>
      </c>
      <c r="Q231" s="38">
        <v>383512</v>
      </c>
      <c r="R231" s="38">
        <v>448853</v>
      </c>
      <c r="S231" s="38">
        <v>552952</v>
      </c>
      <c r="T231" s="38">
        <v>578358</v>
      </c>
      <c r="U231" s="38">
        <v>542000</v>
      </c>
      <c r="V231" s="38"/>
      <c r="W231" s="41">
        <v>47187</v>
      </c>
      <c r="X231" s="38">
        <v>49433</v>
      </c>
      <c r="Y231" s="38">
        <v>0</v>
      </c>
      <c r="Z231" s="38">
        <v>96620</v>
      </c>
      <c r="AA231" s="38">
        <v>0</v>
      </c>
      <c r="AB231" s="38">
        <v>0</v>
      </c>
      <c r="AC231" s="38">
        <v>0</v>
      </c>
      <c r="AD231" s="38">
        <v>0</v>
      </c>
      <c r="AE231" s="38">
        <v>0</v>
      </c>
      <c r="AF231" s="38">
        <v>0</v>
      </c>
      <c r="AG231" s="38">
        <v>0</v>
      </c>
      <c r="AH231" s="38">
        <v>0</v>
      </c>
      <c r="AI231" s="38">
        <v>0</v>
      </c>
      <c r="AJ231" s="38">
        <v>0</v>
      </c>
      <c r="AK231" s="38">
        <v>0</v>
      </c>
      <c r="AL231" s="38"/>
      <c r="AM231" s="38">
        <v>96620</v>
      </c>
      <c r="AO231" s="109" t="str">
        <f>IF(A231='[1]page 1-8'!$A231,"","False")</f>
        <v>False</v>
      </c>
      <c r="AP231" s="109" t="str">
        <f>'[1]page 1-8'!$A231</f>
        <v>22 mm &amp; above production</v>
      </c>
    </row>
    <row r="232" spans="1:42" x14ac:dyDescent="0.4">
      <c r="A232" s="37" t="s">
        <v>317</v>
      </c>
      <c r="B232" s="38" t="s">
        <v>305</v>
      </c>
      <c r="C232" s="47"/>
      <c r="D232" s="47"/>
      <c r="E232" s="47"/>
      <c r="F232" s="47"/>
      <c r="G232" s="47"/>
      <c r="H232" s="47"/>
      <c r="I232" s="47"/>
      <c r="J232" s="47"/>
      <c r="K232" s="47"/>
      <c r="L232" s="47">
        <v>546</v>
      </c>
      <c r="M232" s="47">
        <v>934</v>
      </c>
      <c r="N232" s="38">
        <v>6071</v>
      </c>
      <c r="O232" s="38">
        <v>9259</v>
      </c>
      <c r="P232" s="38">
        <v>7943</v>
      </c>
      <c r="Q232" s="38">
        <v>7463</v>
      </c>
      <c r="R232" s="38">
        <v>1434</v>
      </c>
      <c r="S232" s="38">
        <v>3831</v>
      </c>
      <c r="T232" s="38">
        <v>2962</v>
      </c>
      <c r="U232" s="38">
        <v>0</v>
      </c>
      <c r="V232" s="38"/>
      <c r="W232" s="41">
        <v>1191</v>
      </c>
      <c r="X232" s="38">
        <v>101</v>
      </c>
      <c r="Y232" s="38">
        <v>0</v>
      </c>
      <c r="Z232" s="38">
        <v>1292</v>
      </c>
      <c r="AA232" s="38">
        <v>0</v>
      </c>
      <c r="AB232" s="38">
        <v>0</v>
      </c>
      <c r="AC232" s="38">
        <v>0</v>
      </c>
      <c r="AD232" s="38">
        <v>0</v>
      </c>
      <c r="AE232" s="38">
        <v>0</v>
      </c>
      <c r="AF232" s="38">
        <v>0</v>
      </c>
      <c r="AG232" s="38">
        <v>0</v>
      </c>
      <c r="AH232" s="38">
        <v>0</v>
      </c>
      <c r="AI232" s="38">
        <v>0</v>
      </c>
      <c r="AJ232" s="38">
        <v>0</v>
      </c>
      <c r="AK232" s="38">
        <v>0</v>
      </c>
      <c r="AL232" s="38"/>
      <c r="AM232" s="38">
        <v>1292</v>
      </c>
      <c r="AO232" s="109" t="str">
        <f>IF(A232='[1]page 1-8'!$A232,"","False")</f>
        <v/>
      </c>
      <c r="AP232" s="109" t="str">
        <f>'[1]page 1-8'!$A232</f>
        <v>Normalising  Production</v>
      </c>
    </row>
    <row r="233" spans="1:42" x14ac:dyDescent="0.4">
      <c r="A233" s="37" t="s">
        <v>308</v>
      </c>
      <c r="B233" s="38" t="s">
        <v>305</v>
      </c>
      <c r="C233" s="47"/>
      <c r="D233" s="47"/>
      <c r="E233" s="47"/>
      <c r="F233" s="47"/>
      <c r="G233" s="47"/>
      <c r="H233" s="47"/>
      <c r="I233" s="47"/>
      <c r="J233" s="47"/>
      <c r="K233" s="47"/>
      <c r="L233" s="47">
        <v>117033</v>
      </c>
      <c r="M233" s="47">
        <v>231472</v>
      </c>
      <c r="N233" s="38">
        <v>351502</v>
      </c>
      <c r="O233" s="38">
        <v>350099</v>
      </c>
      <c r="P233" s="38">
        <v>210999</v>
      </c>
      <c r="Q233" s="38">
        <v>416064</v>
      </c>
      <c r="R233" s="38">
        <v>275374</v>
      </c>
      <c r="S233" s="38">
        <v>47281</v>
      </c>
      <c r="T233" s="38">
        <v>58216</v>
      </c>
      <c r="U233" s="38">
        <v>30000</v>
      </c>
      <c r="V233" s="38"/>
      <c r="W233" s="41">
        <v>8840</v>
      </c>
      <c r="X233" s="38">
        <v>4755</v>
      </c>
      <c r="Y233" s="38">
        <v>0</v>
      </c>
      <c r="Z233" s="38">
        <v>13595</v>
      </c>
      <c r="AA233" s="38">
        <v>0</v>
      </c>
      <c r="AB233" s="38">
        <v>0</v>
      </c>
      <c r="AC233" s="38">
        <v>0</v>
      </c>
      <c r="AD233" s="38">
        <v>0</v>
      </c>
      <c r="AE233" s="38">
        <v>0</v>
      </c>
      <c r="AF233" s="38">
        <v>0</v>
      </c>
      <c r="AG233" s="38">
        <v>0</v>
      </c>
      <c r="AH233" s="38">
        <v>0</v>
      </c>
      <c r="AI233" s="38">
        <v>0</v>
      </c>
      <c r="AJ233" s="38">
        <v>0</v>
      </c>
      <c r="AK233" s="38">
        <v>0</v>
      </c>
      <c r="AL233" s="38"/>
      <c r="AM233" s="38">
        <v>13595</v>
      </c>
      <c r="AO233" s="109" t="str">
        <f>IF(A233='[1]page 1-8'!$A233,"","False")</f>
        <v/>
      </c>
      <c r="AP233" s="109" t="str">
        <f>'[1]page 1-8'!$A233</f>
        <v>Normalized Rolled Plates</v>
      </c>
    </row>
    <row r="234" spans="1:42" x14ac:dyDescent="0.4">
      <c r="A234" s="37" t="s">
        <v>309</v>
      </c>
      <c r="B234" s="38" t="s">
        <v>141</v>
      </c>
      <c r="C234" s="47"/>
      <c r="D234" s="47"/>
      <c r="E234" s="47"/>
      <c r="F234" s="47"/>
      <c r="G234" s="47"/>
      <c r="H234" s="47"/>
      <c r="I234" s="47"/>
      <c r="J234" s="47"/>
      <c r="K234" s="47"/>
      <c r="L234" s="47">
        <v>89.287106922395679</v>
      </c>
      <c r="M234" s="47">
        <v>90.461043904914987</v>
      </c>
      <c r="N234" s="44">
        <v>90.57322120270409</v>
      </c>
      <c r="O234" s="44">
        <v>89.999011932967889</v>
      </c>
      <c r="P234" s="44">
        <v>90.32585870453272</v>
      </c>
      <c r="Q234" s="44">
        <v>90.620584824952005</v>
      </c>
      <c r="R234" s="44">
        <v>90.253844017243594</v>
      </c>
      <c r="S234" s="44">
        <v>89.796755597783914</v>
      </c>
      <c r="T234" s="44">
        <v>89.827327616785681</v>
      </c>
      <c r="U234" s="49">
        <v>91</v>
      </c>
      <c r="V234" s="49"/>
      <c r="W234" s="45">
        <v>89.739965712640526</v>
      </c>
      <c r="X234" s="44">
        <v>90.700190633211392</v>
      </c>
      <c r="Y234" s="44" t="e">
        <v>#DIV/0!</v>
      </c>
      <c r="Z234" s="44">
        <v>90.277185255220289</v>
      </c>
      <c r="AA234" s="44" t="e">
        <v>#DIV/0!</v>
      </c>
      <c r="AB234" s="44" t="e">
        <v>#DIV/0!</v>
      </c>
      <c r="AC234" s="44" t="e">
        <v>#DIV/0!</v>
      </c>
      <c r="AD234" s="44" t="e">
        <v>#DIV/0!</v>
      </c>
      <c r="AE234" s="44" t="e">
        <v>#DIV/0!</v>
      </c>
      <c r="AF234" s="44" t="e">
        <v>#DIV/0!</v>
      </c>
      <c r="AG234" s="44" t="e">
        <v>#DIV/0!</v>
      </c>
      <c r="AH234" s="44" t="e">
        <v>#DIV/0!</v>
      </c>
      <c r="AI234" s="44" t="e">
        <v>#DIV/0!</v>
      </c>
      <c r="AJ234" s="44" t="e">
        <v>#DIV/0!</v>
      </c>
      <c r="AK234" s="44" t="e">
        <v>#DIV/0!</v>
      </c>
      <c r="AL234" s="44"/>
      <c r="AM234" s="44">
        <v>90.277185255220289</v>
      </c>
      <c r="AO234" s="109" t="str">
        <f>IF(A234='[1]page 1-8'!$A234,"","False")</f>
        <v/>
      </c>
      <c r="AP234" s="109" t="str">
        <f>'[1]page 1-8'!$A234</f>
        <v>Yield - Primes</v>
      </c>
    </row>
    <row r="235" spans="1:42" x14ac:dyDescent="0.4">
      <c r="A235" s="37" t="s">
        <v>310</v>
      </c>
      <c r="B235" s="38"/>
      <c r="C235" s="47"/>
      <c r="D235" s="47"/>
      <c r="E235" s="47"/>
      <c r="F235" s="47"/>
      <c r="G235" s="47"/>
      <c r="H235" s="47"/>
      <c r="I235" s="47"/>
      <c r="J235" s="47"/>
      <c r="K235" s="47"/>
      <c r="L235" s="47">
        <v>89.287106922395679</v>
      </c>
      <c r="M235" s="47">
        <v>90.461043904914987</v>
      </c>
      <c r="N235" s="44">
        <v>90.57322120270409</v>
      </c>
      <c r="O235" s="44">
        <v>89.999011932967889</v>
      </c>
      <c r="P235" s="44">
        <v>90.32585870453272</v>
      </c>
      <c r="Q235" s="44">
        <v>90.620584824952005</v>
      </c>
      <c r="R235" s="44">
        <v>90.376351249122123</v>
      </c>
      <c r="S235" s="44">
        <v>90.037289532806852</v>
      </c>
      <c r="T235" s="44">
        <v>89.827327616785681</v>
      </c>
      <c r="U235" s="49">
        <v>91.5</v>
      </c>
      <c r="V235" s="49"/>
      <c r="W235" s="45">
        <v>89.739965712640526</v>
      </c>
      <c r="X235" s="44">
        <v>90.700190633211392</v>
      </c>
      <c r="Y235" s="44" t="e">
        <v>#DIV/0!</v>
      </c>
      <c r="Z235" s="44">
        <v>90.277185255220289</v>
      </c>
      <c r="AA235" s="44" t="e">
        <v>#DIV/0!</v>
      </c>
      <c r="AB235" s="44" t="e">
        <v>#DIV/0!</v>
      </c>
      <c r="AC235" s="44" t="e">
        <v>#DIV/0!</v>
      </c>
      <c r="AD235" s="44" t="e">
        <v>#DIV/0!</v>
      </c>
      <c r="AE235" s="44" t="e">
        <v>#DIV/0!</v>
      </c>
      <c r="AF235" s="44" t="e">
        <v>#DIV/0!</v>
      </c>
      <c r="AG235" s="44" t="e">
        <v>#DIV/0!</v>
      </c>
      <c r="AH235" s="44" t="e">
        <v>#DIV/0!</v>
      </c>
      <c r="AI235" s="44" t="e">
        <v>#DIV/0!</v>
      </c>
      <c r="AJ235" s="44" t="e">
        <v>#DIV/0!</v>
      </c>
      <c r="AK235" s="44" t="e">
        <v>#DIV/0!</v>
      </c>
      <c r="AL235" s="44"/>
      <c r="AM235" s="44">
        <v>90.277185255220289</v>
      </c>
      <c r="AO235" s="109" t="str">
        <f>IF(A235='[1]page 1-8'!$A235,"","False")</f>
        <v/>
      </c>
      <c r="AP235" s="109" t="str">
        <f>'[1]page 1-8'!$A235</f>
        <v>Yield - Total</v>
      </c>
    </row>
    <row r="236" spans="1:42" x14ac:dyDescent="0.4">
      <c r="A236" s="37" t="s">
        <v>311</v>
      </c>
      <c r="B236" s="38" t="s">
        <v>305</v>
      </c>
      <c r="C236" s="47"/>
      <c r="D236" s="47"/>
      <c r="E236" s="47"/>
      <c r="F236" s="47"/>
      <c r="G236" s="47"/>
      <c r="H236" s="47"/>
      <c r="I236" s="47"/>
      <c r="J236" s="47"/>
      <c r="K236" s="47"/>
      <c r="L236" s="47">
        <v>9.620932487640486</v>
      </c>
      <c r="M236" s="47">
        <v>11.72284074681335</v>
      </c>
      <c r="N236" s="44">
        <v>12.185703663820732</v>
      </c>
      <c r="O236" s="44">
        <v>12.021256325550896</v>
      </c>
      <c r="P236" s="44">
        <v>11.343230616048405</v>
      </c>
      <c r="Q236" s="44">
        <v>12.227345295112826</v>
      </c>
      <c r="R236" s="44">
        <v>12.42702998498646</v>
      </c>
      <c r="S236" s="44">
        <v>12.458070659707573</v>
      </c>
      <c r="T236" s="44">
        <v>12.145778943301684</v>
      </c>
      <c r="U236" s="49">
        <v>13.7</v>
      </c>
      <c r="V236" s="49"/>
      <c r="W236" s="45">
        <v>11.093641114982578</v>
      </c>
      <c r="X236" s="44">
        <v>12.733893189870097</v>
      </c>
      <c r="Y236" s="44" t="e">
        <v>#DIV/0!</v>
      </c>
      <c r="Z236" s="44">
        <v>11.95520022055276</v>
      </c>
      <c r="AA236" s="44" t="e">
        <v>#DIV/0!</v>
      </c>
      <c r="AB236" s="44" t="e">
        <v>#DIV/0!</v>
      </c>
      <c r="AC236" s="44" t="e">
        <v>#DIV/0!</v>
      </c>
      <c r="AD236" s="44" t="e">
        <v>#DIV/0!</v>
      </c>
      <c r="AE236" s="44" t="e">
        <v>#DIV/0!</v>
      </c>
      <c r="AF236" s="44" t="e">
        <v>#DIV/0!</v>
      </c>
      <c r="AG236" s="44" t="e">
        <v>#DIV/0!</v>
      </c>
      <c r="AH236" s="44" t="e">
        <v>#DIV/0!</v>
      </c>
      <c r="AI236" s="44" t="e">
        <v>#DIV/0!</v>
      </c>
      <c r="AJ236" s="44" t="e">
        <v>#DIV/0!</v>
      </c>
      <c r="AK236" s="44" t="e">
        <v>#DIV/0!</v>
      </c>
      <c r="AL236" s="44"/>
      <c r="AM236" s="44">
        <v>11.95520022055276</v>
      </c>
      <c r="AO236" s="109" t="str">
        <f>IF(A236='[1]page 1-8'!$A236,"","False")</f>
        <v/>
      </c>
      <c r="AP236" s="109" t="str">
        <f>'[1]page 1-8'!$A236</f>
        <v>Average Slab Weight</v>
      </c>
    </row>
    <row r="237" spans="1:42" x14ac:dyDescent="0.4">
      <c r="A237" s="37" t="s">
        <v>312</v>
      </c>
      <c r="B237" s="38" t="s">
        <v>141</v>
      </c>
      <c r="C237" s="47"/>
      <c r="D237" s="47"/>
      <c r="E237" s="47"/>
      <c r="F237" s="47"/>
      <c r="G237" s="47"/>
      <c r="H237" s="47"/>
      <c r="I237" s="47"/>
      <c r="J237" s="47"/>
      <c r="K237" s="47"/>
      <c r="L237" s="47">
        <v>87.534246575342465</v>
      </c>
      <c r="M237" s="47">
        <v>88.458904109589042</v>
      </c>
      <c r="N237" s="44">
        <v>87.694063926940629</v>
      </c>
      <c r="O237" s="44">
        <v>88.410746812386151</v>
      </c>
      <c r="P237" s="44">
        <v>84.335616438356155</v>
      </c>
      <c r="Q237" s="44">
        <v>92.44</v>
      </c>
      <c r="R237" s="44">
        <v>83.703995433789956</v>
      </c>
      <c r="S237" s="44">
        <v>87.347677595628426</v>
      </c>
      <c r="T237" s="44">
        <v>89.525456621004579</v>
      </c>
      <c r="U237" s="49">
        <v>91</v>
      </c>
      <c r="V237" s="49"/>
      <c r="W237" s="45">
        <v>93.495833333333323</v>
      </c>
      <c r="X237" s="44">
        <v>94.915322580645153</v>
      </c>
      <c r="Y237" s="44" t="e">
        <v>#DIV/0!</v>
      </c>
      <c r="Z237" s="44">
        <v>94.217213114754088</v>
      </c>
      <c r="AA237" s="44" t="e">
        <v>#DIV/0!</v>
      </c>
      <c r="AB237" s="44" t="e">
        <v>#DIV/0!</v>
      </c>
      <c r="AC237" s="44" t="e">
        <v>#DIV/0!</v>
      </c>
      <c r="AD237" s="44" t="e">
        <v>#DIV/0!</v>
      </c>
      <c r="AE237" s="44" t="e">
        <v>#DIV/0!</v>
      </c>
      <c r="AF237" s="44" t="e">
        <v>#DIV/0!</v>
      </c>
      <c r="AG237" s="44" t="e">
        <v>#DIV/0!</v>
      </c>
      <c r="AH237" s="44" t="e">
        <v>#DIV/0!</v>
      </c>
      <c r="AI237" s="44" t="e">
        <v>#DIV/0!</v>
      </c>
      <c r="AJ237" s="44" t="e">
        <v>#DIV/0!</v>
      </c>
      <c r="AK237" s="44" t="e">
        <v>#DIV/0!</v>
      </c>
      <c r="AL237" s="44"/>
      <c r="AM237" s="44">
        <v>94.217213114754088</v>
      </c>
      <c r="AO237" s="109" t="str">
        <f>IF(A237='[1]page 1-8'!$A237,"","False")</f>
        <v/>
      </c>
      <c r="AP237" s="109" t="str">
        <f>'[1]page 1-8'!$A237</f>
        <v>Mill Availability</v>
      </c>
    </row>
    <row r="238" spans="1:42" x14ac:dyDescent="0.4">
      <c r="A238" s="37" t="s">
        <v>313</v>
      </c>
      <c r="B238" s="38" t="s">
        <v>141</v>
      </c>
      <c r="C238" s="47"/>
      <c r="D238" s="47"/>
      <c r="E238" s="47"/>
      <c r="F238" s="47"/>
      <c r="G238" s="47"/>
      <c r="H238" s="47"/>
      <c r="I238" s="47"/>
      <c r="J238" s="47"/>
      <c r="K238" s="47"/>
      <c r="L238" s="47">
        <v>75.516171100678136</v>
      </c>
      <c r="M238" s="47">
        <v>81.924764485740084</v>
      </c>
      <c r="N238" s="44">
        <v>89.906014058838835</v>
      </c>
      <c r="O238" s="44">
        <v>91.953901622456868</v>
      </c>
      <c r="P238" s="44">
        <v>89.673515796312842</v>
      </c>
      <c r="Q238" s="44">
        <v>94.519327536997011</v>
      </c>
      <c r="R238" s="44">
        <v>91.438355697329811</v>
      </c>
      <c r="S238" s="44">
        <v>93.35937398176894</v>
      </c>
      <c r="T238" s="44">
        <v>90.694593384958495</v>
      </c>
      <c r="U238" s="44">
        <v>94</v>
      </c>
      <c r="V238" s="44"/>
      <c r="W238" s="45">
        <v>89.308792726948624</v>
      </c>
      <c r="X238" s="44">
        <v>92.449410198677384</v>
      </c>
      <c r="Y238" s="44" t="e">
        <v>#DIV/0!</v>
      </c>
      <c r="Z238" s="44">
        <v>90.916670291588758</v>
      </c>
      <c r="AA238" s="44" t="e">
        <v>#DIV/0!</v>
      </c>
      <c r="AB238" s="44" t="e">
        <v>#DIV/0!</v>
      </c>
      <c r="AC238" s="44" t="e">
        <v>#DIV/0!</v>
      </c>
      <c r="AD238" s="44" t="e">
        <v>#DIV/0!</v>
      </c>
      <c r="AE238" s="44" t="e">
        <v>#DIV/0!</v>
      </c>
      <c r="AF238" s="44" t="e">
        <v>#DIV/0!</v>
      </c>
      <c r="AG238" s="44" t="e">
        <v>#DIV/0!</v>
      </c>
      <c r="AH238" s="44" t="e">
        <v>#DIV/0!</v>
      </c>
      <c r="AI238" s="44" t="e">
        <v>#DIV/0!</v>
      </c>
      <c r="AJ238" s="44" t="e">
        <v>#DIV/0!</v>
      </c>
      <c r="AK238" s="44" t="e">
        <v>#DIV/0!</v>
      </c>
      <c r="AL238" s="44"/>
      <c r="AM238" s="44">
        <v>90.916670291588758</v>
      </c>
      <c r="AO238" s="109" t="str">
        <f>IF(A238='[1]page 1-8'!$A238,"","False")</f>
        <v/>
      </c>
      <c r="AP238" s="109" t="str">
        <f>'[1]page 1-8'!$A238</f>
        <v>Util. on Avail. Time</v>
      </c>
    </row>
    <row r="239" spans="1:42" x14ac:dyDescent="0.4">
      <c r="A239" s="37" t="s">
        <v>463</v>
      </c>
      <c r="B239" s="38" t="s">
        <v>314</v>
      </c>
      <c r="C239" s="47"/>
      <c r="D239" s="47"/>
      <c r="E239" s="47"/>
      <c r="F239" s="47"/>
      <c r="G239" s="47"/>
      <c r="H239" s="47"/>
      <c r="I239" s="47"/>
      <c r="J239" s="47"/>
      <c r="K239" s="47"/>
      <c r="L239" s="47">
        <v>93.321739791178089</v>
      </c>
      <c r="M239" s="47">
        <v>126.33282663999309</v>
      </c>
      <c r="N239" s="47">
        <v>124.65663179171169</v>
      </c>
      <c r="O239" s="47">
        <v>122.44893672438853</v>
      </c>
      <c r="P239" s="47">
        <v>121.15518724810941</v>
      </c>
      <c r="Q239" s="47">
        <v>124.87261390230444</v>
      </c>
      <c r="R239" s="47">
        <v>119.38344651281417</v>
      </c>
      <c r="S239" s="47">
        <v>129.91089066062088</v>
      </c>
      <c r="T239" s="47">
        <v>131.02257102124943</v>
      </c>
      <c r="U239" s="49">
        <v>133.4</v>
      </c>
      <c r="V239" s="49"/>
      <c r="W239" s="48">
        <v>114.06021290751829</v>
      </c>
      <c r="X239" s="48">
        <v>134.82423221260626</v>
      </c>
      <c r="Y239" s="48" t="e">
        <v>#DIV/0!</v>
      </c>
      <c r="Z239" s="47">
        <v>124.86982177744108</v>
      </c>
      <c r="AA239" s="47" t="e">
        <v>#DIV/0!</v>
      </c>
      <c r="AB239" s="47" t="e">
        <v>#DIV/0!</v>
      </c>
      <c r="AC239" s="47" t="e">
        <v>#DIV/0!</v>
      </c>
      <c r="AD239" s="47" t="e">
        <v>#DIV/0!</v>
      </c>
      <c r="AE239" s="47" t="e">
        <v>#DIV/0!</v>
      </c>
      <c r="AF239" s="47" t="e">
        <v>#DIV/0!</v>
      </c>
      <c r="AG239" s="47" t="e">
        <v>#DIV/0!</v>
      </c>
      <c r="AH239" s="47" t="e">
        <v>#DIV/0!</v>
      </c>
      <c r="AI239" s="47" t="e">
        <v>#DIV/0!</v>
      </c>
      <c r="AJ239" s="47" t="e">
        <v>#DIV/0!</v>
      </c>
      <c r="AK239" s="47" t="e">
        <v>#DIV/0!</v>
      </c>
      <c r="AL239" s="47"/>
      <c r="AM239" s="47">
        <v>124.86982177744108</v>
      </c>
      <c r="AO239" s="109" t="str">
        <f>IF(A239='[1]page 1-8'!$A239,"","False")</f>
        <v/>
      </c>
      <c r="AP239" s="109" t="str">
        <f>'[1]page 1-8'!$A239</f>
        <v>Rolling Rate-PLATE</v>
      </c>
    </row>
    <row r="240" spans="1:42" x14ac:dyDescent="0.4">
      <c r="A240" s="37"/>
      <c r="B240" s="38"/>
      <c r="C240" s="47"/>
      <c r="D240" s="47"/>
      <c r="E240" s="47"/>
      <c r="F240" s="47"/>
      <c r="G240" s="47"/>
      <c r="H240" s="47"/>
      <c r="I240" s="47"/>
      <c r="J240" s="47"/>
      <c r="K240" s="38"/>
      <c r="L240" s="38"/>
      <c r="M240" s="38"/>
      <c r="N240" s="38"/>
      <c r="O240" s="38"/>
      <c r="P240" s="47"/>
      <c r="Q240" s="47"/>
      <c r="R240" s="47"/>
      <c r="S240" s="47"/>
      <c r="T240" s="47"/>
      <c r="U240" s="62" t="s">
        <v>138</v>
      </c>
      <c r="V240" s="108"/>
      <c r="W240" s="41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I240" s="47"/>
      <c r="AJ240" s="47"/>
      <c r="AK240" s="47"/>
      <c r="AL240" s="47"/>
      <c r="AM240" s="47"/>
      <c r="AO240" s="109" t="str">
        <f>IF(A240='[1]page 1-8'!$A240,"","False")</f>
        <v/>
      </c>
      <c r="AP240" s="109">
        <f>'[1]page 1-8'!$A240</f>
        <v>0</v>
      </c>
    </row>
    <row r="241" spans="1:42" s="33" customFormat="1" x14ac:dyDescent="0.4">
      <c r="A241" s="37"/>
      <c r="B241" s="38" t="s">
        <v>112</v>
      </c>
      <c r="C241" s="38" t="s">
        <v>113</v>
      </c>
      <c r="D241" s="42" t="s">
        <v>114</v>
      </c>
      <c r="E241" s="42" t="s">
        <v>115</v>
      </c>
      <c r="F241" s="42" t="s">
        <v>116</v>
      </c>
      <c r="G241" s="42" t="s">
        <v>117</v>
      </c>
      <c r="H241" s="38" t="s">
        <v>118</v>
      </c>
      <c r="I241" s="38" t="s">
        <v>119</v>
      </c>
      <c r="J241" s="38" t="s">
        <v>120</v>
      </c>
      <c r="K241" s="38" t="s">
        <v>121</v>
      </c>
      <c r="L241" s="38" t="s">
        <v>122</v>
      </c>
      <c r="M241" s="38" t="s">
        <v>123</v>
      </c>
      <c r="N241" s="38" t="s">
        <v>124</v>
      </c>
      <c r="O241" s="38" t="s">
        <v>125</v>
      </c>
      <c r="P241" s="38" t="s">
        <v>126</v>
      </c>
      <c r="Q241" s="38" t="s">
        <v>127</v>
      </c>
      <c r="R241" s="38" t="s">
        <v>128</v>
      </c>
      <c r="S241" s="38" t="s">
        <v>129</v>
      </c>
      <c r="T241" s="38" t="s">
        <v>130</v>
      </c>
      <c r="U241" s="38" t="s">
        <v>131</v>
      </c>
      <c r="V241" s="38"/>
      <c r="W241" s="41" t="s">
        <v>4</v>
      </c>
      <c r="X241" s="38" t="s">
        <v>5</v>
      </c>
      <c r="Y241" s="38" t="s">
        <v>6</v>
      </c>
      <c r="Z241" s="38" t="s">
        <v>132</v>
      </c>
      <c r="AA241" s="38" t="s">
        <v>166</v>
      </c>
      <c r="AB241" s="38" t="s">
        <v>9</v>
      </c>
      <c r="AC241" s="38" t="s">
        <v>10</v>
      </c>
      <c r="AD241" s="38" t="s">
        <v>133</v>
      </c>
      <c r="AE241" s="38" t="s">
        <v>12</v>
      </c>
      <c r="AF241" s="38" t="s">
        <v>13</v>
      </c>
      <c r="AG241" s="38" t="s">
        <v>14</v>
      </c>
      <c r="AH241" s="38" t="s">
        <v>134</v>
      </c>
      <c r="AI241" s="38" t="s">
        <v>16</v>
      </c>
      <c r="AJ241" s="38" t="s">
        <v>17</v>
      </c>
      <c r="AK241" s="38" t="s">
        <v>18</v>
      </c>
      <c r="AL241" s="38"/>
      <c r="AM241" s="38" t="s">
        <v>204</v>
      </c>
      <c r="AO241" s="109" t="str">
        <f>IF(A241='[1]page 1-8'!$A241,"","False")</f>
        <v/>
      </c>
      <c r="AP241" s="109">
        <f>'[1]page 1-8'!$A241</f>
        <v>0</v>
      </c>
    </row>
    <row r="242" spans="1:42" x14ac:dyDescent="0.4">
      <c r="A242" s="43" t="s">
        <v>318</v>
      </c>
      <c r="B242" s="38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38"/>
      <c r="Q242" s="38"/>
      <c r="R242" s="38"/>
      <c r="S242" s="38"/>
      <c r="T242" s="38"/>
      <c r="U242" s="38"/>
      <c r="V242" s="38"/>
      <c r="W242" s="41"/>
      <c r="X242" s="38"/>
      <c r="Y242" s="38"/>
      <c r="Z242" s="38"/>
      <c r="AA242" s="38"/>
      <c r="AB242" s="38"/>
      <c r="AC242" s="38"/>
      <c r="AD242" s="38"/>
      <c r="AE242" s="38"/>
      <c r="AF242" s="38"/>
      <c r="AG242" s="38"/>
      <c r="AH242" s="38"/>
      <c r="AI242" s="38"/>
      <c r="AJ242" s="38"/>
      <c r="AK242" s="38"/>
      <c r="AL242" s="38"/>
      <c r="AM242" s="38"/>
      <c r="AO242" s="109" t="str">
        <f>IF(A242='[1]page 1-8'!$A242,"","False")</f>
        <v/>
      </c>
      <c r="AP242" s="109" t="str">
        <f>'[1]page 1-8'!$A242</f>
        <v>HOT STRIP MILL</v>
      </c>
    </row>
    <row r="243" spans="1:42" x14ac:dyDescent="0.4">
      <c r="A243" s="37" t="s">
        <v>319</v>
      </c>
      <c r="B243" s="38" t="s">
        <v>141</v>
      </c>
      <c r="C243" s="44">
        <v>0.32829453769822869</v>
      </c>
      <c r="D243" s="44">
        <v>0.36</v>
      </c>
      <c r="E243" s="44">
        <v>0.33</v>
      </c>
      <c r="F243" s="44">
        <v>0.44416182520642439</v>
      </c>
      <c r="G243" s="44">
        <v>0.43892912669219974</v>
      </c>
      <c r="H243" s="44">
        <v>0.48993859919218996</v>
      </c>
      <c r="I243" s="44">
        <v>0.34470550969833613</v>
      </c>
      <c r="J243" s="44">
        <v>0.30115780485341509</v>
      </c>
      <c r="K243" s="44">
        <v>0.46058920656991398</v>
      </c>
      <c r="L243" s="44">
        <v>0.46632174273299232</v>
      </c>
      <c r="M243" s="44">
        <v>0.25410088076248349</v>
      </c>
      <c r="N243" s="44">
        <v>0.21293287011094922</v>
      </c>
      <c r="O243" s="44">
        <v>0.296951536791488</v>
      </c>
      <c r="P243" s="44">
        <v>0.27906546474935501</v>
      </c>
      <c r="Q243" s="44">
        <v>0.33578828029667068</v>
      </c>
      <c r="R243" s="44">
        <v>0.13485570439629596</v>
      </c>
      <c r="S243" s="44">
        <v>5.7367958083145293E-2</v>
      </c>
      <c r="T243" s="44">
        <v>3.9308176100628936E-2</v>
      </c>
      <c r="U243" s="44"/>
      <c r="V243" s="44"/>
      <c r="W243" s="45"/>
      <c r="X243" s="45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O243" s="109" t="str">
        <f>IF(A243='[1]page 1-8'!$A243,"","False")</f>
        <v/>
      </c>
      <c r="AP243" s="109" t="str">
        <f>'[1]page 1-8'!$A243</f>
        <v>Slab Cobbled</v>
      </c>
    </row>
    <row r="244" spans="1:42" x14ac:dyDescent="0.4">
      <c r="A244" s="37" t="s">
        <v>320</v>
      </c>
      <c r="B244" s="38" t="s">
        <v>141</v>
      </c>
      <c r="C244" s="44">
        <v>97.669735258140307</v>
      </c>
      <c r="D244" s="44">
        <v>97.68</v>
      </c>
      <c r="E244" s="44">
        <v>97.69</v>
      </c>
      <c r="F244" s="44">
        <v>97.577224045694777</v>
      </c>
      <c r="G244" s="44">
        <v>97.604438073135768</v>
      </c>
      <c r="H244" s="44">
        <v>97.524612173139801</v>
      </c>
      <c r="I244" s="44">
        <v>97.667573078307811</v>
      </c>
      <c r="J244" s="44">
        <v>97.719112913433705</v>
      </c>
      <c r="K244" s="44">
        <v>96.85716411004465</v>
      </c>
      <c r="L244" s="44">
        <v>96.662469449458825</v>
      </c>
      <c r="M244" s="44">
        <v>97.75524750542715</v>
      </c>
      <c r="N244" s="44">
        <v>97.235131909624499</v>
      </c>
      <c r="O244" s="44">
        <v>97.171422858285482</v>
      </c>
      <c r="P244" s="44">
        <v>97.193071798745379</v>
      </c>
      <c r="Q244" s="44">
        <v>97.252128887398399</v>
      </c>
      <c r="R244" s="44">
        <v>97.641360692369645</v>
      </c>
      <c r="S244" s="44">
        <v>97.672056350223968</v>
      </c>
      <c r="T244" s="44">
        <v>97.66951247651383</v>
      </c>
      <c r="U244" s="44"/>
      <c r="V244" s="44"/>
      <c r="W244" s="45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O244" s="109" t="str">
        <f>IF(A244='[1]page 1-8'!$A244,"","False")</f>
        <v/>
      </c>
      <c r="AP244" s="109" t="str">
        <f>'[1]page 1-8'!$A244</f>
        <v>H R Coil Yield</v>
      </c>
    </row>
    <row r="245" spans="1:42" x14ac:dyDescent="0.4">
      <c r="A245" s="37" t="s">
        <v>311</v>
      </c>
      <c r="B245" s="38" t="s">
        <v>305</v>
      </c>
      <c r="C245" s="44">
        <v>15.284206621533896</v>
      </c>
      <c r="D245" s="44">
        <v>15.44</v>
      </c>
      <c r="E245" s="44">
        <v>15.37</v>
      </c>
      <c r="F245" s="44">
        <v>15.537117861857</v>
      </c>
      <c r="G245" s="44">
        <v>15.547296272420462</v>
      </c>
      <c r="H245" s="44">
        <v>15.56172682979841</v>
      </c>
      <c r="I245" s="44">
        <v>15.448275540814995</v>
      </c>
      <c r="J245" s="44">
        <v>15.523013781642229</v>
      </c>
      <c r="K245" s="44">
        <v>15.317613433369061</v>
      </c>
      <c r="L245" s="44">
        <v>15.56354597219412</v>
      </c>
      <c r="M245" s="44">
        <v>15.566500280324815</v>
      </c>
      <c r="N245" s="44">
        <v>10.69995766247027</v>
      </c>
      <c r="O245" s="44">
        <v>15.702994635135378</v>
      </c>
      <c r="P245" s="44">
        <v>15.662623729301361</v>
      </c>
      <c r="Q245" s="44">
        <v>15.664203065366209</v>
      </c>
      <c r="R245" s="44">
        <v>15.852018340375798</v>
      </c>
      <c r="S245" s="44">
        <v>16.077217271579915</v>
      </c>
      <c r="T245" s="44">
        <v>15.899895178197065</v>
      </c>
      <c r="U245" s="49"/>
      <c r="V245" s="49"/>
      <c r="W245" s="45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O245" s="109" t="str">
        <f>IF(A245='[1]page 1-8'!$A245,"","False")</f>
        <v/>
      </c>
      <c r="AP245" s="109" t="str">
        <f>'[1]page 1-8'!$A245</f>
        <v>Average Slab Weight</v>
      </c>
    </row>
    <row r="246" spans="1:42" x14ac:dyDescent="0.4">
      <c r="A246" s="37" t="s">
        <v>312</v>
      </c>
      <c r="B246" s="38" t="s">
        <v>141</v>
      </c>
      <c r="C246" s="44">
        <v>85.501024590163937</v>
      </c>
      <c r="D246" s="44">
        <v>85.78</v>
      </c>
      <c r="E246" s="44">
        <v>86.39</v>
      </c>
      <c r="F246" s="44">
        <v>87.69269406392695</v>
      </c>
      <c r="G246" s="44">
        <v>86.955373406193075</v>
      </c>
      <c r="H246" s="44">
        <v>90.12465753424658</v>
      </c>
      <c r="I246" s="44">
        <v>90.726940639269401</v>
      </c>
      <c r="J246" s="44">
        <v>92.770091324200905</v>
      </c>
      <c r="K246" s="44">
        <v>90.468465391621137</v>
      </c>
      <c r="L246" s="44">
        <v>90.997488584474894</v>
      </c>
      <c r="M246" s="44">
        <v>91.460159817351595</v>
      </c>
      <c r="N246" s="44">
        <v>87.678082191780831</v>
      </c>
      <c r="O246" s="44">
        <v>89.94398907103826</v>
      </c>
      <c r="P246" s="44">
        <v>91.875913242009133</v>
      </c>
      <c r="Q246" s="44">
        <v>90</v>
      </c>
      <c r="R246" s="44">
        <v>94.889726027397259</v>
      </c>
      <c r="S246" s="44">
        <v>98.127276867030972</v>
      </c>
      <c r="T246" s="44">
        <v>24.657534246575342</v>
      </c>
      <c r="U246" s="49"/>
      <c r="V246" s="49"/>
      <c r="W246" s="45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O246" s="109" t="str">
        <f>IF(A246='[1]page 1-8'!$A246,"","False")</f>
        <v/>
      </c>
      <c r="AP246" s="109" t="str">
        <f>'[1]page 1-8'!$A246</f>
        <v>Mill Availability</v>
      </c>
    </row>
    <row r="247" spans="1:42" x14ac:dyDescent="0.4">
      <c r="A247" s="37" t="s">
        <v>321</v>
      </c>
      <c r="B247" s="38" t="s">
        <v>141</v>
      </c>
      <c r="C247" s="44">
        <v>75.667107388278396</v>
      </c>
      <c r="D247" s="44">
        <v>74.599999999999994</v>
      </c>
      <c r="E247" s="44">
        <v>76.12</v>
      </c>
      <c r="F247" s="44">
        <v>74.320869370518665</v>
      </c>
      <c r="G247" s="44">
        <v>75.074756224012063</v>
      </c>
      <c r="H247" s="44">
        <v>74.596069371190595</v>
      </c>
      <c r="I247" s="44">
        <v>73.884328508445236</v>
      </c>
      <c r="J247" s="44">
        <v>72.688779892354304</v>
      </c>
      <c r="K247" s="44">
        <v>71.570893761600658</v>
      </c>
      <c r="L247" s="44">
        <v>74.452227845115885</v>
      </c>
      <c r="M247" s="44">
        <v>76.120550530397864</v>
      </c>
      <c r="N247" s="44">
        <v>79.37452803166417</v>
      </c>
      <c r="O247" s="44">
        <v>78.670570128140866</v>
      </c>
      <c r="P247" s="44">
        <v>69.120923222581581</v>
      </c>
      <c r="Q247" s="44">
        <v>78.73526487714814</v>
      </c>
      <c r="R247" s="44">
        <v>60.876961240757709</v>
      </c>
      <c r="S247" s="44">
        <v>33.041011659609026</v>
      </c>
      <c r="T247" s="44">
        <v>36.608796296296298</v>
      </c>
      <c r="U247" s="49"/>
      <c r="V247" s="49"/>
      <c r="W247" s="45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O247" s="109" t="str">
        <f>IF(A247='[1]page 1-8'!$A247,"","False")</f>
        <v/>
      </c>
      <c r="AP247" s="109" t="str">
        <f>'[1]page 1-8'!$A247</f>
        <v>Utilis. on Avail. Time</v>
      </c>
    </row>
    <row r="248" spans="1:42" x14ac:dyDescent="0.4">
      <c r="A248" s="37" t="s">
        <v>322</v>
      </c>
      <c r="B248" s="38" t="s">
        <v>314</v>
      </c>
      <c r="C248" s="47">
        <v>283.25118645201138</v>
      </c>
      <c r="D248" s="47">
        <v>270</v>
      </c>
      <c r="E248" s="47">
        <v>272</v>
      </c>
      <c r="F248" s="47">
        <v>275.61339162480471</v>
      </c>
      <c r="G248" s="47">
        <v>279.1440325199282</v>
      </c>
      <c r="H248" s="47">
        <v>284.55351230197135</v>
      </c>
      <c r="I248" s="47">
        <v>275.79805486632529</v>
      </c>
      <c r="J248" s="47">
        <v>279.67639326445658</v>
      </c>
      <c r="K248" s="47">
        <v>270.14783140749284</v>
      </c>
      <c r="L248" s="47">
        <v>263.09641154734646</v>
      </c>
      <c r="M248" s="47">
        <v>275.92638443211763</v>
      </c>
      <c r="N248" s="47">
        <v>274.10209892986734</v>
      </c>
      <c r="O248" s="47">
        <v>273.64447969675859</v>
      </c>
      <c r="P248" s="47">
        <v>266.22464534035106</v>
      </c>
      <c r="Q248" s="47">
        <v>283.49927524561122</v>
      </c>
      <c r="R248" s="47">
        <v>170.11165345928109</v>
      </c>
      <c r="S248" s="47">
        <v>144.16760008005701</v>
      </c>
      <c r="T248" s="47">
        <v>149.88302244704394</v>
      </c>
      <c r="U248" s="38"/>
      <c r="V248" s="38"/>
      <c r="W248" s="48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I248" s="47"/>
      <c r="AJ248" s="47"/>
      <c r="AK248" s="47"/>
      <c r="AL248" s="47"/>
      <c r="AM248" s="47"/>
      <c r="AO248" s="109" t="str">
        <f>IF(A248='[1]page 1-8'!$A248,"","False")</f>
        <v/>
      </c>
      <c r="AP248" s="109" t="str">
        <f>'[1]page 1-8'!$A248</f>
        <v>Rolling Rate -HR Coils</v>
      </c>
    </row>
    <row r="249" spans="1:42" x14ac:dyDescent="0.4">
      <c r="A249" s="37" t="s">
        <v>323</v>
      </c>
      <c r="B249" s="38" t="s">
        <v>324</v>
      </c>
      <c r="C249" s="44">
        <v>1.8511759011824922</v>
      </c>
      <c r="D249" s="44">
        <v>1.82</v>
      </c>
      <c r="E249" s="44">
        <v>1.85</v>
      </c>
      <c r="F249" s="44">
        <v>1.8894346175675745</v>
      </c>
      <c r="G249" s="44">
        <v>1.8940739654576495</v>
      </c>
      <c r="H249" s="44">
        <v>1.8918849082701281</v>
      </c>
      <c r="I249" s="44">
        <v>1.8364151551144483</v>
      </c>
      <c r="J249" s="44">
        <v>1.9012927820285332</v>
      </c>
      <c r="K249" s="44">
        <v>1.887454619813131</v>
      </c>
      <c r="L249" s="44">
        <v>1.8460392052568062</v>
      </c>
      <c r="M249" s="44">
        <v>1.8232344097724513</v>
      </c>
      <c r="N249" s="44">
        <v>1.8911439210478349</v>
      </c>
      <c r="O249" s="44">
        <v>1.8832480242206999</v>
      </c>
      <c r="P249" s="44">
        <v>1.5835372058551278</v>
      </c>
      <c r="Q249" s="44">
        <v>1.8827657394444783</v>
      </c>
      <c r="R249" s="44">
        <v>1.1405825555740019</v>
      </c>
      <c r="S249" s="44">
        <v>1</v>
      </c>
      <c r="T249" s="44">
        <v>1.0319444444444446</v>
      </c>
      <c r="U249" s="44"/>
      <c r="V249" s="44"/>
      <c r="W249" s="45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44"/>
      <c r="AL249" s="44"/>
      <c r="AM249" s="44"/>
      <c r="AO249" s="109" t="str">
        <f>IF(A249='[1]page 1-8'!$A249,"","False")</f>
        <v/>
      </c>
      <c r="AP249" s="109" t="str">
        <f>'[1]page 1-8'!$A249</f>
        <v>R.H.Fce Avail-Average</v>
      </c>
    </row>
    <row r="250" spans="1:42" x14ac:dyDescent="0.4">
      <c r="A250" s="37"/>
      <c r="B250" s="38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5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O250" s="109" t="str">
        <f>IF(A250='[1]page 1-8'!$A250,"","False")</f>
        <v/>
      </c>
      <c r="AP250" s="109">
        <f>'[1]page 1-8'!$A250</f>
        <v>0</v>
      </c>
    </row>
    <row r="251" spans="1:42" x14ac:dyDescent="0.4">
      <c r="A251" s="43" t="s">
        <v>427</v>
      </c>
      <c r="B251" s="38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5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O251" s="109" t="str">
        <f>IF(A251='[1]page 1-8'!$A251,"","False")</f>
        <v>False</v>
      </c>
      <c r="AP251" s="109" t="str">
        <f>'[1]page 1-8'!$A251</f>
        <v>HOT STRIP MILL-2</v>
      </c>
    </row>
    <row r="252" spans="1:42" x14ac:dyDescent="0.4">
      <c r="A252" s="37" t="s">
        <v>319</v>
      </c>
      <c r="B252" s="38" t="s">
        <v>141</v>
      </c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>
        <v>8.3132429960927748E-2</v>
      </c>
      <c r="S252" s="44">
        <v>3.076199265331234E-2</v>
      </c>
      <c r="T252" s="44">
        <v>3.9702233250620347E-2</v>
      </c>
      <c r="U252" s="38">
        <v>0</v>
      </c>
      <c r="V252" s="38"/>
      <c r="W252" s="45">
        <v>8.6074980872226467E-2</v>
      </c>
      <c r="X252" s="44">
        <v>7.6469303036923744E-2</v>
      </c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>
        <v>8.1591024987251404E-2</v>
      </c>
      <c r="AO252" s="109" t="str">
        <f>IF(A252='[1]page 1-8'!$A252,"","False")</f>
        <v/>
      </c>
      <c r="AP252" s="109" t="str">
        <f>'[1]page 1-8'!$A252</f>
        <v>Slab Cobbled</v>
      </c>
    </row>
    <row r="253" spans="1:42" x14ac:dyDescent="0.4">
      <c r="A253" s="37" t="s">
        <v>320</v>
      </c>
      <c r="B253" s="38" t="s">
        <v>141</v>
      </c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>
        <v>97.442500075558385</v>
      </c>
      <c r="S253" s="44">
        <v>97.133815651360365</v>
      </c>
      <c r="T253" s="44">
        <v>97.83907846873376</v>
      </c>
      <c r="U253" s="38">
        <v>97.5</v>
      </c>
      <c r="V253" s="38"/>
      <c r="W253" s="45">
        <v>97.666075835573679</v>
      </c>
      <c r="X253" s="44">
        <v>97.845519138207663</v>
      </c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>
        <v>97.750477259966303</v>
      </c>
      <c r="AO253" s="109" t="str">
        <f>IF(A253='[1]page 1-8'!$A253,"","False")</f>
        <v/>
      </c>
      <c r="AP253" s="109" t="str">
        <f>'[1]page 1-8'!$A253</f>
        <v>H R Coil Yield</v>
      </c>
    </row>
    <row r="254" spans="1:42" x14ac:dyDescent="0.4">
      <c r="A254" s="37" t="s">
        <v>311</v>
      </c>
      <c r="B254" s="38" t="s">
        <v>305</v>
      </c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>
        <v>21.611878436635273</v>
      </c>
      <c r="S254" s="44">
        <v>22.126477028029605</v>
      </c>
      <c r="T254" s="44">
        <v>22.920099255583125</v>
      </c>
      <c r="U254" s="38">
        <v>23.8</v>
      </c>
      <c r="V254" s="38"/>
      <c r="W254" s="45">
        <v>22.554131599081867</v>
      </c>
      <c r="X254" s="44">
        <v>22.877867598863883</v>
      </c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>
        <v>22.705252422233553</v>
      </c>
      <c r="AO254" s="109" t="str">
        <f>IF(A254='[1]page 1-8'!$A254,"","False")</f>
        <v/>
      </c>
      <c r="AP254" s="109" t="str">
        <f>'[1]page 1-8'!$A254</f>
        <v>Average Slab Weight</v>
      </c>
    </row>
    <row r="255" spans="1:42" x14ac:dyDescent="0.4">
      <c r="A255" s="37" t="s">
        <v>312</v>
      </c>
      <c r="B255" s="38" t="s">
        <v>141</v>
      </c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>
        <v>88.847716894977154</v>
      </c>
      <c r="S255" s="44">
        <v>91.133424408014577</v>
      </c>
      <c r="T255" s="44">
        <v>95.317204301075265</v>
      </c>
      <c r="U255" s="38">
        <v>93</v>
      </c>
      <c r="V255" s="38"/>
      <c r="W255" s="45">
        <v>94.965277777777786</v>
      </c>
      <c r="X255" s="44">
        <v>97.043010752688176</v>
      </c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>
        <v>96.021174863387984</v>
      </c>
      <c r="AO255" s="109" t="str">
        <f>IF(A255='[1]page 1-8'!$A255,"","False")</f>
        <v>False</v>
      </c>
      <c r="AP255" s="109" t="str">
        <f>'[1]page 1-8'!$A255</f>
        <v>Mill Availability on Cal Hrs</v>
      </c>
    </row>
    <row r="256" spans="1:42" x14ac:dyDescent="0.4">
      <c r="A256" s="37" t="s">
        <v>321</v>
      </c>
      <c r="B256" s="38" t="s">
        <v>141</v>
      </c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>
        <v>78.507039647645016</v>
      </c>
      <c r="S256" s="44">
        <v>82.337392381913659</v>
      </c>
      <c r="T256" s="44">
        <v>84.043093237069215</v>
      </c>
      <c r="U256" s="38">
        <v>90</v>
      </c>
      <c r="V256" s="38"/>
      <c r="W256" s="45">
        <v>83.388665447897608</v>
      </c>
      <c r="X256" s="44">
        <v>87.060941828254855</v>
      </c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>
        <v>85.274764360661564</v>
      </c>
      <c r="AO256" s="109" t="str">
        <f>IF(A256='[1]page 1-8'!$A256,"","False")</f>
        <v>False</v>
      </c>
      <c r="AP256" s="109" t="str">
        <f>'[1]page 1-8'!$A256</f>
        <v>Utilisation on Avail. Hrs</v>
      </c>
    </row>
    <row r="257" spans="1:42" x14ac:dyDescent="0.4">
      <c r="A257" s="37" t="s">
        <v>322</v>
      </c>
      <c r="B257" s="38" t="s">
        <v>314</v>
      </c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>
        <v>290.20809295855327</v>
      </c>
      <c r="S257" s="44">
        <v>360.39607114897956</v>
      </c>
      <c r="T257" s="44">
        <v>379.07718120805367</v>
      </c>
      <c r="U257" s="38">
        <v>414.4</v>
      </c>
      <c r="V257" s="38"/>
      <c r="W257" s="45">
        <v>403.9532069382816</v>
      </c>
      <c r="X257" s="44">
        <v>325.99191829202329</v>
      </c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>
        <v>363.07320125130343</v>
      </c>
      <c r="AO257" s="109" t="str">
        <f>IF(A257='[1]page 1-8'!$A257,"","False")</f>
        <v/>
      </c>
      <c r="AP257" s="109" t="str">
        <f>'[1]page 1-8'!$A257</f>
        <v>Rolling Rate -HR Coils</v>
      </c>
    </row>
    <row r="258" spans="1:42" x14ac:dyDescent="0.4">
      <c r="A258" s="37" t="s">
        <v>323</v>
      </c>
      <c r="B258" s="38" t="s">
        <v>324</v>
      </c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38">
        <v>1.75</v>
      </c>
      <c r="S258" s="38">
        <v>1.87</v>
      </c>
      <c r="T258" s="38">
        <v>1.9</v>
      </c>
      <c r="U258" s="38">
        <v>1.8</v>
      </c>
      <c r="V258" s="38"/>
      <c r="W258" s="45">
        <v>2</v>
      </c>
      <c r="X258" s="44">
        <v>1.72</v>
      </c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>
        <v>1.86</v>
      </c>
      <c r="AO258" s="109" t="str">
        <f>IF(A258='[1]page 1-8'!$A258,"","False")</f>
        <v/>
      </c>
      <c r="AP258" s="109" t="str">
        <f>'[1]page 1-8'!$A258</f>
        <v>R.H.Fce Avail-Average</v>
      </c>
    </row>
    <row r="259" spans="1:42" x14ac:dyDescent="0.4">
      <c r="A259" s="43" t="s">
        <v>325</v>
      </c>
      <c r="B259" s="38"/>
      <c r="C259" s="44"/>
      <c r="D259" s="44"/>
      <c r="E259" s="44"/>
      <c r="F259" s="44"/>
      <c r="G259" s="44"/>
      <c r="H259" s="44"/>
      <c r="I259" s="44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41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  <c r="AH259" s="38"/>
      <c r="AI259" s="38"/>
      <c r="AJ259" s="38"/>
      <c r="AK259" s="38"/>
      <c r="AL259" s="38"/>
      <c r="AM259" s="38"/>
      <c r="AO259" s="109" t="str">
        <f>IF(A259='[1]page 1-8'!$A259,"","False")</f>
        <v/>
      </c>
      <c r="AP259" s="109" t="str">
        <f>'[1]page 1-8'!$A259</f>
        <v>ERW PIPE PLANT</v>
      </c>
    </row>
    <row r="260" spans="1:42" x14ac:dyDescent="0.4">
      <c r="A260" s="37" t="s">
        <v>326</v>
      </c>
      <c r="B260" s="38" t="s">
        <v>141</v>
      </c>
      <c r="C260" s="44">
        <v>2.1029804831307684</v>
      </c>
      <c r="D260" s="44">
        <v>1.38</v>
      </c>
      <c r="E260" s="44">
        <v>1.24</v>
      </c>
      <c r="F260" s="44">
        <v>0.91677701945604562</v>
      </c>
      <c r="G260" s="44">
        <v>0.95016030311862432</v>
      </c>
      <c r="H260" s="44">
        <v>0.93430442139336412</v>
      </c>
      <c r="I260" s="44">
        <v>0.91706325864927019</v>
      </c>
      <c r="J260" s="44">
        <v>0.93640265314085047</v>
      </c>
      <c r="K260" s="44">
        <v>0.92565134505401392</v>
      </c>
      <c r="L260" s="44">
        <v>1.0258328213074026</v>
      </c>
      <c r="M260" s="44">
        <v>1.3036860565151214</v>
      </c>
      <c r="N260" s="44">
        <v>1.5464654260640884</v>
      </c>
      <c r="O260" s="44">
        <v>2.4122065971770943</v>
      </c>
      <c r="P260" s="44">
        <v>2.1837230584745493</v>
      </c>
      <c r="Q260" s="44">
        <v>2.6857125073911559</v>
      </c>
      <c r="R260" s="44">
        <v>1.7150624710782043</v>
      </c>
      <c r="S260" s="44">
        <v>2.397850982609925</v>
      </c>
      <c r="T260" s="44">
        <v>1.5578947368421052</v>
      </c>
      <c r="U260" s="38" t="s">
        <v>327</v>
      </c>
      <c r="V260" s="38"/>
      <c r="W260" s="45">
        <v>0.99489795918367341</v>
      </c>
      <c r="X260" s="45">
        <v>0.86827615417196102</v>
      </c>
      <c r="Y260" s="45" t="s">
        <v>109</v>
      </c>
      <c r="Z260" s="45">
        <v>0.92571164082388346</v>
      </c>
      <c r="AA260" s="45" t="s">
        <v>109</v>
      </c>
      <c r="AB260" s="45" t="s">
        <v>109</v>
      </c>
      <c r="AC260" s="45" t="s">
        <v>109</v>
      </c>
      <c r="AD260" s="44" t="s">
        <v>109</v>
      </c>
      <c r="AE260" s="45" t="s">
        <v>109</v>
      </c>
      <c r="AF260" s="45" t="s">
        <v>109</v>
      </c>
      <c r="AG260" s="45" t="s">
        <v>109</v>
      </c>
      <c r="AH260" s="45" t="s">
        <v>109</v>
      </c>
      <c r="AI260" s="45" t="s">
        <v>109</v>
      </c>
      <c r="AJ260" s="45" t="s">
        <v>109</v>
      </c>
      <c r="AK260" s="45" t="s">
        <v>109</v>
      </c>
      <c r="AL260" s="44"/>
      <c r="AM260" s="45">
        <v>0.92571164082388346</v>
      </c>
      <c r="AO260" s="109" t="str">
        <f>IF(A260='[1]page 1-8'!$A260,"","False")</f>
        <v/>
      </c>
      <c r="AP260" s="109" t="str">
        <f>'[1]page 1-8'!$A260</f>
        <v>Rejection</v>
      </c>
    </row>
    <row r="261" spans="1:42" x14ac:dyDescent="0.4">
      <c r="A261" s="37" t="s">
        <v>328</v>
      </c>
      <c r="B261" s="38" t="s">
        <v>141</v>
      </c>
      <c r="C261" s="44">
        <v>90.564277216636739</v>
      </c>
      <c r="D261" s="44">
        <v>91.54</v>
      </c>
      <c r="E261" s="44">
        <v>91.61</v>
      </c>
      <c r="F261" s="44">
        <v>91.615491843423882</v>
      </c>
      <c r="G261" s="44">
        <v>91.51720794958797</v>
      </c>
      <c r="H261" s="44">
        <v>91.51828190838657</v>
      </c>
      <c r="I261" s="44">
        <v>91.478857594233659</v>
      </c>
      <c r="J261" s="44">
        <v>91.547042253521127</v>
      </c>
      <c r="K261" s="44">
        <v>91.548413614922396</v>
      </c>
      <c r="L261" s="44">
        <v>91.237963897850122</v>
      </c>
      <c r="M261" s="44">
        <v>91.999629612482053</v>
      </c>
      <c r="N261" s="44">
        <v>91.646041250831672</v>
      </c>
      <c r="O261" s="44">
        <v>91.151321367148711</v>
      </c>
      <c r="P261" s="44">
        <v>91.306677193773965</v>
      </c>
      <c r="Q261" s="44">
        <v>91.4</v>
      </c>
      <c r="R261" s="44">
        <v>91.414522392646603</v>
      </c>
      <c r="S261" s="44">
        <v>91.175669788717045</v>
      </c>
      <c r="T261" s="44">
        <v>91.947342812347941</v>
      </c>
      <c r="U261" s="44">
        <v>90</v>
      </c>
      <c r="V261" s="44"/>
      <c r="W261" s="45">
        <v>91.107341894838868</v>
      </c>
      <c r="X261" s="45">
        <v>92.397540983606547</v>
      </c>
      <c r="Y261" s="45" t="e">
        <v>#DIV/0!</v>
      </c>
      <c r="Z261" s="45">
        <v>91.806372821139121</v>
      </c>
      <c r="AA261" s="45" t="e">
        <v>#DIV/0!</v>
      </c>
      <c r="AB261" s="45" t="e">
        <v>#DIV/0!</v>
      </c>
      <c r="AC261" s="45" t="e">
        <v>#DIV/0!</v>
      </c>
      <c r="AD261" s="45" t="e">
        <v>#DIV/0!</v>
      </c>
      <c r="AE261" s="45" t="e">
        <v>#DIV/0!</v>
      </c>
      <c r="AF261" s="45" t="e">
        <v>#DIV/0!</v>
      </c>
      <c r="AG261" s="45" t="e">
        <v>#DIV/0!</v>
      </c>
      <c r="AH261" s="45" t="e">
        <v>#DIV/0!</v>
      </c>
      <c r="AI261" s="45" t="e">
        <v>#DIV/0!</v>
      </c>
      <c r="AJ261" s="45" t="e">
        <v>#DIV/0!</v>
      </c>
      <c r="AK261" s="45" t="e">
        <v>#DIV/0!</v>
      </c>
      <c r="AL261" s="45" t="e">
        <v>#DIV/0!</v>
      </c>
      <c r="AM261" s="45">
        <v>91.806372821139121</v>
      </c>
      <c r="AO261" s="109" t="str">
        <f>IF(A261='[1]page 1-8'!$A261,"","False")</f>
        <v/>
      </c>
      <c r="AP261" s="109" t="str">
        <f>'[1]page 1-8'!$A261</f>
        <v>Yield from HR Coils</v>
      </c>
    </row>
    <row r="262" spans="1:42" x14ac:dyDescent="0.4">
      <c r="A262" s="37" t="s">
        <v>329</v>
      </c>
      <c r="B262" s="38" t="s">
        <v>141</v>
      </c>
      <c r="C262" s="44">
        <v>78.940886699507388</v>
      </c>
      <c r="D262" s="44">
        <v>62.95</v>
      </c>
      <c r="E262" s="44">
        <v>81.33</v>
      </c>
      <c r="F262" s="44" t="s">
        <v>109</v>
      </c>
      <c r="G262" s="44">
        <v>78.378378378378372</v>
      </c>
      <c r="H262" s="44">
        <v>94.666666666666671</v>
      </c>
      <c r="I262" s="44">
        <v>67.010309278350505</v>
      </c>
      <c r="J262" s="49">
        <v>60.714285714285708</v>
      </c>
      <c r="K262" s="49">
        <v>53.104144314524191</v>
      </c>
      <c r="L262" s="49">
        <v>65.694682675814747</v>
      </c>
      <c r="M262" s="49">
        <v>90.136054421768705</v>
      </c>
      <c r="N262" s="49">
        <v>91.338582677165363</v>
      </c>
      <c r="O262" s="49" t="s">
        <v>109</v>
      </c>
      <c r="P262" s="44">
        <v>16.344714519923016</v>
      </c>
      <c r="Q262" s="44">
        <v>76.926902038786665</v>
      </c>
      <c r="R262" s="44" t="s">
        <v>109</v>
      </c>
      <c r="S262" s="44" t="s">
        <v>109</v>
      </c>
      <c r="T262" s="44" t="s">
        <v>109</v>
      </c>
      <c r="U262" s="49">
        <v>80</v>
      </c>
      <c r="V262" s="49"/>
      <c r="W262" s="50" t="s">
        <v>109</v>
      </c>
      <c r="X262" s="49" t="s">
        <v>109</v>
      </c>
      <c r="Y262" s="49" t="s">
        <v>109</v>
      </c>
      <c r="Z262" s="49" t="s">
        <v>109</v>
      </c>
      <c r="AA262" s="49" t="s">
        <v>109</v>
      </c>
      <c r="AB262" s="42" t="s">
        <v>109</v>
      </c>
      <c r="AC262" s="42" t="s">
        <v>109</v>
      </c>
      <c r="AD262" s="42" t="s">
        <v>109</v>
      </c>
      <c r="AE262" s="42" t="s">
        <v>109</v>
      </c>
      <c r="AF262" s="42" t="s">
        <v>109</v>
      </c>
      <c r="AG262" s="42" t="s">
        <v>109</v>
      </c>
      <c r="AH262" s="49" t="s">
        <v>109</v>
      </c>
      <c r="AI262" s="42" t="s">
        <v>109</v>
      </c>
      <c r="AJ262" s="49" t="s">
        <v>109</v>
      </c>
      <c r="AK262" s="49" t="s">
        <v>109</v>
      </c>
      <c r="AL262" s="49"/>
      <c r="AM262" s="49" t="s">
        <v>109</v>
      </c>
      <c r="AO262" s="109" t="str">
        <f>IF(A262='[1]page 1-8'!$A262,"","False")</f>
        <v/>
      </c>
      <c r="AP262" s="109" t="str">
        <f>'[1]page 1-8'!$A262</f>
        <v>API Acceptance</v>
      </c>
    </row>
    <row r="263" spans="1:42" x14ac:dyDescent="0.4">
      <c r="A263" s="37" t="s">
        <v>312</v>
      </c>
      <c r="B263" s="38" t="s">
        <v>141</v>
      </c>
      <c r="C263" s="44">
        <v>52.052026411657558</v>
      </c>
      <c r="D263" s="44">
        <v>57.17</v>
      </c>
      <c r="E263" s="44">
        <v>56.99</v>
      </c>
      <c r="F263" s="44">
        <v>57.351598173515981</v>
      </c>
      <c r="G263" s="44">
        <v>57.012750455373407</v>
      </c>
      <c r="H263" s="44">
        <v>57.168949771689491</v>
      </c>
      <c r="I263" s="44">
        <v>57.351598173515981</v>
      </c>
      <c r="J263" s="44">
        <v>57.168949771689491</v>
      </c>
      <c r="K263" s="44">
        <v>59.289617486338798</v>
      </c>
      <c r="L263" s="44">
        <v>57.351598173515981</v>
      </c>
      <c r="M263" s="44">
        <v>57.168949771689491</v>
      </c>
      <c r="N263" s="44">
        <v>56.758675799086753</v>
      </c>
      <c r="O263" s="44">
        <v>57.19489981785064</v>
      </c>
      <c r="P263" s="44">
        <v>56.986301369863014</v>
      </c>
      <c r="Q263" s="44">
        <v>57.78</v>
      </c>
      <c r="R263" s="44">
        <v>57.168949771689491</v>
      </c>
      <c r="S263" s="44">
        <v>58.469945355191257</v>
      </c>
      <c r="T263" s="44">
        <v>43.013698630136986</v>
      </c>
      <c r="U263" s="44">
        <v>63.8</v>
      </c>
      <c r="V263" s="44"/>
      <c r="W263" s="45">
        <v>50.694444444444443</v>
      </c>
      <c r="X263" s="44">
        <v>47.043010752688176</v>
      </c>
      <c r="Y263" s="44" t="e">
        <v>#DIV/0!</v>
      </c>
      <c r="Z263" s="44">
        <v>48.838797814207652</v>
      </c>
      <c r="AA263" s="44" t="e">
        <v>#DIV/0!</v>
      </c>
      <c r="AB263" s="44" t="e">
        <v>#DIV/0!</v>
      </c>
      <c r="AC263" s="44" t="e">
        <v>#DIV/0!</v>
      </c>
      <c r="AD263" s="44" t="e">
        <v>#DIV/0!</v>
      </c>
      <c r="AE263" s="44" t="e">
        <v>#DIV/0!</v>
      </c>
      <c r="AF263" s="44" t="e">
        <v>#DIV/0!</v>
      </c>
      <c r="AG263" s="44" t="e">
        <v>#DIV/0!</v>
      </c>
      <c r="AH263" s="44" t="e">
        <v>#DIV/0!</v>
      </c>
      <c r="AI263" s="44" t="e">
        <v>#DIV/0!</v>
      </c>
      <c r="AJ263" s="44" t="e">
        <v>#DIV/0!</v>
      </c>
      <c r="AK263" s="44" t="e">
        <v>#DIV/0!</v>
      </c>
      <c r="AL263" s="44"/>
      <c r="AM263" s="44">
        <v>48.838797814207652</v>
      </c>
      <c r="AO263" s="109" t="str">
        <f>IF(A263='[1]page 1-8'!$A263,"","False")</f>
        <v/>
      </c>
      <c r="AP263" s="109" t="str">
        <f>'[1]page 1-8'!$A263</f>
        <v>Mill Availability</v>
      </c>
    </row>
    <row r="264" spans="1:42" x14ac:dyDescent="0.4">
      <c r="A264" s="37" t="s">
        <v>330</v>
      </c>
      <c r="B264" s="38" t="s">
        <v>141</v>
      </c>
      <c r="C264" s="44">
        <v>58.490677456394558</v>
      </c>
      <c r="D264" s="44">
        <v>47.94</v>
      </c>
      <c r="E264" s="44">
        <v>44.07</v>
      </c>
      <c r="F264" s="44">
        <v>63.17675159235668</v>
      </c>
      <c r="G264" s="44">
        <v>68.630191693290726</v>
      </c>
      <c r="H264" s="44">
        <v>52.525958466453673</v>
      </c>
      <c r="I264" s="44">
        <v>50.323447452229296</v>
      </c>
      <c r="J264" s="44">
        <v>52.196485623003198</v>
      </c>
      <c r="K264" s="44">
        <v>58.602150537634415</v>
      </c>
      <c r="L264" s="44">
        <v>46.855095541401276</v>
      </c>
      <c r="M264" s="44">
        <v>50.818690095846641</v>
      </c>
      <c r="N264" s="44">
        <v>43.462870520468385</v>
      </c>
      <c r="O264" s="44">
        <v>46.775477707006367</v>
      </c>
      <c r="P264" s="44">
        <v>40.434695512820511</v>
      </c>
      <c r="Q264" s="44">
        <v>41.753194888178911</v>
      </c>
      <c r="R264" s="44">
        <v>39.347044728434504</v>
      </c>
      <c r="S264" s="44">
        <v>44.411993769470406</v>
      </c>
      <c r="T264" s="44">
        <v>58.545647558386413</v>
      </c>
      <c r="U264" s="44">
        <v>70</v>
      </c>
      <c r="V264" s="44"/>
      <c r="W264" s="45">
        <v>84.109589041095887</v>
      </c>
      <c r="X264" s="44">
        <v>76.571428571428569</v>
      </c>
      <c r="Y264" s="44" t="e">
        <v>#DIV/0!</v>
      </c>
      <c r="Z264" s="44">
        <v>80.419580419580413</v>
      </c>
      <c r="AA264" s="44" t="e">
        <v>#DIV/0!</v>
      </c>
      <c r="AB264" s="44" t="e">
        <v>#DIV/0!</v>
      </c>
      <c r="AC264" s="44" t="e">
        <v>#DIV/0!</v>
      </c>
      <c r="AD264" s="44" t="e">
        <v>#DIV/0!</v>
      </c>
      <c r="AE264" s="44" t="e">
        <v>#DIV/0!</v>
      </c>
      <c r="AF264" s="44" t="e">
        <v>#DIV/0!</v>
      </c>
      <c r="AG264" s="44" t="e">
        <v>#DIV/0!</v>
      </c>
      <c r="AH264" s="44" t="e">
        <v>#DIV/0!</v>
      </c>
      <c r="AI264" s="44" t="e">
        <v>#DIV/0!</v>
      </c>
      <c r="AJ264" s="44" t="e">
        <v>#DIV/0!</v>
      </c>
      <c r="AK264" s="44" t="e">
        <v>#DIV/0!</v>
      </c>
      <c r="AL264" s="44"/>
      <c r="AM264" s="44">
        <v>80.419580419580413</v>
      </c>
      <c r="AO264" s="109" t="str">
        <f>IF(A264='[1]page 1-8'!$A264,"","False")</f>
        <v/>
      </c>
      <c r="AP264" s="109" t="str">
        <f>'[1]page 1-8'!$A264</f>
        <v>Utili.on Available Time</v>
      </c>
    </row>
    <row r="265" spans="1:42" x14ac:dyDescent="0.4">
      <c r="A265" s="37" t="s">
        <v>331</v>
      </c>
      <c r="B265" s="38" t="s">
        <v>314</v>
      </c>
      <c r="C265" s="44">
        <v>14.517226680227644</v>
      </c>
      <c r="D265" s="44">
        <v>15.94</v>
      </c>
      <c r="E265" s="47">
        <v>15</v>
      </c>
      <c r="F265" s="47">
        <v>15.322936357908002</v>
      </c>
      <c r="G265" s="47">
        <v>14.831539132964794</v>
      </c>
      <c r="H265" s="47">
        <v>15.357536590001901</v>
      </c>
      <c r="I265" s="47">
        <v>14.657964995550282</v>
      </c>
      <c r="J265" s="47">
        <v>15.540933435348126</v>
      </c>
      <c r="K265" s="47">
        <v>15.325360419397116</v>
      </c>
      <c r="L265" s="47">
        <v>15.738742565845369</v>
      </c>
      <c r="M265" s="47">
        <v>15.615717092337917</v>
      </c>
      <c r="N265" s="44">
        <v>15.935215178158261</v>
      </c>
      <c r="O265" s="44">
        <v>16.01276595744681</v>
      </c>
      <c r="P265" s="49">
        <v>15.699281644785732</v>
      </c>
      <c r="Q265" s="49">
        <v>15.367288378766141</v>
      </c>
      <c r="R265" s="49">
        <v>16.604922608475007</v>
      </c>
      <c r="S265" s="49">
        <v>14.680841736080666</v>
      </c>
      <c r="T265" s="49">
        <v>15.419310970081595</v>
      </c>
      <c r="U265" s="47">
        <v>14</v>
      </c>
      <c r="V265" s="47"/>
      <c r="W265" s="50">
        <v>12.247557003257329</v>
      </c>
      <c r="X265" s="49">
        <v>16.824626865671643</v>
      </c>
      <c r="Y265" s="49" t="e">
        <v>#DIV/0!</v>
      </c>
      <c r="Z265" s="49">
        <v>14.380869565217392</v>
      </c>
      <c r="AA265" s="49" t="e">
        <v>#DIV/0!</v>
      </c>
      <c r="AB265" s="49" t="e">
        <v>#DIV/0!</v>
      </c>
      <c r="AC265" s="44" t="e">
        <v>#DIV/0!</v>
      </c>
      <c r="AD265" s="49" t="e">
        <v>#DIV/0!</v>
      </c>
      <c r="AE265" s="49" t="e">
        <v>#DIV/0!</v>
      </c>
      <c r="AF265" s="49" t="e">
        <v>#DIV/0!</v>
      </c>
      <c r="AG265" s="49" t="e">
        <v>#DIV/0!</v>
      </c>
      <c r="AH265" s="49" t="e">
        <v>#DIV/0!</v>
      </c>
      <c r="AI265" s="49" t="e">
        <v>#DIV/0!</v>
      </c>
      <c r="AJ265" s="49" t="e">
        <v>#DIV/0!</v>
      </c>
      <c r="AK265" s="49" t="e">
        <v>#DIV/0!</v>
      </c>
      <c r="AL265" s="49"/>
      <c r="AM265" s="49">
        <v>14.380869565217392</v>
      </c>
      <c r="AO265" s="109" t="str">
        <f>IF(A265='[1]page 1-8'!$A265,"","False")</f>
        <v/>
      </c>
      <c r="AP265" s="109" t="str">
        <f>'[1]page 1-8'!$A265</f>
        <v xml:space="preserve">Rolling Rate </v>
      </c>
    </row>
    <row r="266" spans="1:42" x14ac:dyDescent="0.4">
      <c r="A266" s="43" t="s">
        <v>332</v>
      </c>
      <c r="B266" s="38"/>
      <c r="C266" s="51"/>
      <c r="D266" s="51"/>
      <c r="E266" s="51"/>
      <c r="F266" s="51"/>
      <c r="G266" s="51"/>
      <c r="H266" s="51"/>
      <c r="I266" s="51"/>
      <c r="J266" s="42"/>
      <c r="K266" s="42"/>
      <c r="L266" s="42"/>
      <c r="M266" s="42"/>
      <c r="N266" s="38"/>
      <c r="O266" s="38"/>
      <c r="P266" s="38"/>
      <c r="Q266" s="38"/>
      <c r="R266" s="38"/>
      <c r="S266" s="38"/>
      <c r="T266" s="38"/>
      <c r="U266" s="38"/>
      <c r="V266" s="38"/>
      <c r="W266" s="41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O266" s="109" t="str">
        <f>IF(A266='[1]page 1-8'!$A266,"","False")</f>
        <v/>
      </c>
      <c r="AP266" s="109" t="str">
        <f>'[1]page 1-8'!$A266</f>
        <v>SW PIPE PLANT</v>
      </c>
    </row>
    <row r="267" spans="1:42" x14ac:dyDescent="0.4">
      <c r="A267" s="37" t="s">
        <v>326</v>
      </c>
      <c r="B267" s="38" t="s">
        <v>141</v>
      </c>
      <c r="C267" s="44">
        <v>0.26214307379002555</v>
      </c>
      <c r="D267" s="44">
        <v>0.56000000000000005</v>
      </c>
      <c r="E267" s="44">
        <v>0.66</v>
      </c>
      <c r="F267" s="44">
        <v>0.60914861518317154</v>
      </c>
      <c r="G267" s="44">
        <v>0.39762895327859804</v>
      </c>
      <c r="H267" s="44">
        <v>0.73796415602670729</v>
      </c>
      <c r="I267" s="44">
        <v>0.62206038537399488</v>
      </c>
      <c r="J267" s="44">
        <v>1.2840837032339885</v>
      </c>
      <c r="K267" s="44">
        <v>1.34015092161148</v>
      </c>
      <c r="L267" s="44">
        <v>1.4239125442101879</v>
      </c>
      <c r="M267" s="44">
        <v>0.98595648693880522</v>
      </c>
      <c r="N267" s="44">
        <v>1.743411759958029</v>
      </c>
      <c r="O267" s="44">
        <v>1.7590643274853803</v>
      </c>
      <c r="P267" s="44">
        <v>3.0184089778318315</v>
      </c>
      <c r="Q267" s="44">
        <v>4.9191090269636577</v>
      </c>
      <c r="R267" s="44">
        <v>0.96153846153846156</v>
      </c>
      <c r="S267" s="44">
        <v>1.0709318497913769</v>
      </c>
      <c r="T267" s="44">
        <v>1.037908496732026</v>
      </c>
      <c r="U267" s="38" t="s">
        <v>327</v>
      </c>
      <c r="V267" s="38"/>
      <c r="W267" s="45">
        <v>0.9153952843273232</v>
      </c>
      <c r="X267" s="45">
        <v>0.3877221324717286</v>
      </c>
      <c r="Y267" s="45" t="s">
        <v>109</v>
      </c>
      <c r="Z267" s="45">
        <v>0.67164179104477606</v>
      </c>
      <c r="AA267" s="45" t="s">
        <v>109</v>
      </c>
      <c r="AB267" s="45" t="s">
        <v>109</v>
      </c>
      <c r="AC267" s="45" t="s">
        <v>109</v>
      </c>
      <c r="AD267" s="44" t="s">
        <v>109</v>
      </c>
      <c r="AE267" s="45" t="s">
        <v>109</v>
      </c>
      <c r="AF267" s="45" t="s">
        <v>109</v>
      </c>
      <c r="AG267" s="45" t="s">
        <v>109</v>
      </c>
      <c r="AH267" s="45" t="s">
        <v>109</v>
      </c>
      <c r="AI267" s="45" t="s">
        <v>109</v>
      </c>
      <c r="AJ267" s="45" t="s">
        <v>109</v>
      </c>
      <c r="AK267" s="45" t="s">
        <v>109</v>
      </c>
      <c r="AL267" s="44"/>
      <c r="AM267" s="45">
        <v>0.67164179104477606</v>
      </c>
      <c r="AO267" s="109" t="str">
        <f>IF(A267='[1]page 1-8'!$A267,"","False")</f>
        <v/>
      </c>
      <c r="AP267" s="109" t="str">
        <f>'[1]page 1-8'!$A267</f>
        <v>Rejection</v>
      </c>
    </row>
    <row r="268" spans="1:42" x14ac:dyDescent="0.4">
      <c r="A268" s="37" t="s">
        <v>328</v>
      </c>
      <c r="B268" s="38" t="s">
        <v>141</v>
      </c>
      <c r="C268" s="44">
        <v>94.609535552815444</v>
      </c>
      <c r="D268" s="44">
        <v>92.86</v>
      </c>
      <c r="E268" s="44">
        <v>93.83</v>
      </c>
      <c r="F268" s="44">
        <v>93.040049028751099</v>
      </c>
      <c r="G268" s="44">
        <v>93.151298119964181</v>
      </c>
      <c r="H268" s="44">
        <v>94.604928968154283</v>
      </c>
      <c r="I268" s="44">
        <v>93.795868685783844</v>
      </c>
      <c r="J268" s="44">
        <v>94.106090373280949</v>
      </c>
      <c r="K268" s="44">
        <v>93.66216480720297</v>
      </c>
      <c r="L268" s="44">
        <v>93.126491646778049</v>
      </c>
      <c r="M268" s="44">
        <v>90.992677789294191</v>
      </c>
      <c r="N268" s="44">
        <v>91.4796686746988</v>
      </c>
      <c r="O268" s="44">
        <v>90.209640003436718</v>
      </c>
      <c r="P268" s="44">
        <v>89.826943302418968</v>
      </c>
      <c r="Q268" s="44">
        <v>88.357157654858085</v>
      </c>
      <c r="R268" s="44">
        <v>91.319509542914986</v>
      </c>
      <c r="S268" s="44">
        <v>92.046853682073802</v>
      </c>
      <c r="T268" s="44">
        <v>93.010698678989399</v>
      </c>
      <c r="U268" s="44">
        <v>90</v>
      </c>
      <c r="V268" s="44"/>
      <c r="W268" s="45">
        <v>92.681638044914138</v>
      </c>
      <c r="X268" s="45">
        <v>93.21771446268194</v>
      </c>
      <c r="Y268" s="45" t="s">
        <v>109</v>
      </c>
      <c r="Z268" s="49">
        <v>95.523239235814088</v>
      </c>
      <c r="AA268" s="44" t="s">
        <v>109</v>
      </c>
      <c r="AB268" s="44" t="s">
        <v>109</v>
      </c>
      <c r="AC268" s="44" t="s">
        <v>109</v>
      </c>
      <c r="AD268" s="49" t="s">
        <v>109</v>
      </c>
      <c r="AE268" s="44" t="s">
        <v>109</v>
      </c>
      <c r="AF268" s="44" t="s">
        <v>109</v>
      </c>
      <c r="AG268" s="44" t="s">
        <v>109</v>
      </c>
      <c r="AH268" s="44" t="s">
        <v>109</v>
      </c>
      <c r="AI268" s="44" t="s">
        <v>109</v>
      </c>
      <c r="AJ268" s="44" t="s">
        <v>109</v>
      </c>
      <c r="AK268" s="44" t="s">
        <v>109</v>
      </c>
      <c r="AL268" s="49"/>
      <c r="AM268" s="45">
        <v>92.928428856572566</v>
      </c>
      <c r="AO268" s="109" t="str">
        <f>IF(A268='[1]page 1-8'!$A268,"","False")</f>
        <v/>
      </c>
      <c r="AP268" s="109" t="str">
        <f>'[1]page 1-8'!$A268</f>
        <v>Yield from HR Coils</v>
      </c>
    </row>
    <row r="269" spans="1:42" x14ac:dyDescent="0.4">
      <c r="A269" s="37" t="s">
        <v>329</v>
      </c>
      <c r="B269" s="38" t="s">
        <v>141</v>
      </c>
      <c r="C269" s="44">
        <v>78.940886699507388</v>
      </c>
      <c r="D269" s="44">
        <v>100</v>
      </c>
      <c r="E269" s="60" t="s">
        <v>109</v>
      </c>
      <c r="F269" s="60">
        <v>81.519861830742656</v>
      </c>
      <c r="G269" s="60">
        <v>100</v>
      </c>
      <c r="H269" s="60">
        <v>73.643410852713174</v>
      </c>
      <c r="I269" s="60">
        <v>62.146892655367239</v>
      </c>
      <c r="J269" s="56" t="s">
        <v>109</v>
      </c>
      <c r="K269" s="56" t="s">
        <v>109</v>
      </c>
      <c r="L269" s="56" t="s">
        <v>109</v>
      </c>
      <c r="M269" s="56" t="s">
        <v>109</v>
      </c>
      <c r="N269" s="49" t="s">
        <v>109</v>
      </c>
      <c r="O269" s="49" t="s">
        <v>109</v>
      </c>
      <c r="P269" s="49" t="s">
        <v>109</v>
      </c>
      <c r="Q269" s="49" t="s">
        <v>109</v>
      </c>
      <c r="R269" s="49" t="s">
        <v>109</v>
      </c>
      <c r="S269" s="49" t="s">
        <v>109</v>
      </c>
      <c r="T269" s="49" t="s">
        <v>109</v>
      </c>
      <c r="U269" s="49">
        <v>0</v>
      </c>
      <c r="V269" s="49"/>
      <c r="W269" s="50" t="s">
        <v>109</v>
      </c>
      <c r="X269" s="49" t="s">
        <v>109</v>
      </c>
      <c r="Y269" s="49" t="s">
        <v>109</v>
      </c>
      <c r="Z269" s="49" t="s">
        <v>109</v>
      </c>
      <c r="AA269" s="49" t="s">
        <v>109</v>
      </c>
      <c r="AB269" s="49" t="s">
        <v>109</v>
      </c>
      <c r="AC269" s="49" t="s">
        <v>109</v>
      </c>
      <c r="AD269" s="49" t="s">
        <v>109</v>
      </c>
      <c r="AE269" s="49" t="s">
        <v>109</v>
      </c>
      <c r="AF269" s="49" t="s">
        <v>109</v>
      </c>
      <c r="AG269" s="49" t="s">
        <v>109</v>
      </c>
      <c r="AH269" s="49" t="s">
        <v>109</v>
      </c>
      <c r="AI269" s="49" t="s">
        <v>109</v>
      </c>
      <c r="AJ269" s="49" t="s">
        <v>109</v>
      </c>
      <c r="AK269" s="49" t="s">
        <v>109</v>
      </c>
      <c r="AL269" s="49"/>
      <c r="AM269" s="49" t="s">
        <v>109</v>
      </c>
      <c r="AO269" s="109" t="str">
        <f>IF(A269='[1]page 1-8'!$A269,"","False")</f>
        <v/>
      </c>
      <c r="AP269" s="109" t="str">
        <f>'[1]page 1-8'!$A269</f>
        <v>API Acceptance</v>
      </c>
    </row>
    <row r="270" spans="1:42" x14ac:dyDescent="0.4">
      <c r="A270" s="37" t="s">
        <v>312</v>
      </c>
      <c r="B270" s="38" t="s">
        <v>141</v>
      </c>
      <c r="C270" s="49">
        <v>84.972677595628426</v>
      </c>
      <c r="D270" s="49">
        <v>85.8</v>
      </c>
      <c r="E270" s="44">
        <v>85.48</v>
      </c>
      <c r="F270" s="44">
        <v>86.301369863013704</v>
      </c>
      <c r="G270" s="44">
        <v>85.792349726775953</v>
      </c>
      <c r="H270" s="44">
        <v>85.753424657534254</v>
      </c>
      <c r="I270" s="44">
        <v>86.027397260273972</v>
      </c>
      <c r="J270" s="44">
        <v>85.753424657534254</v>
      </c>
      <c r="K270" s="44">
        <v>85.519125683060111</v>
      </c>
      <c r="L270" s="44">
        <v>85.753424657534254</v>
      </c>
      <c r="M270" s="44">
        <v>85.753424657534254</v>
      </c>
      <c r="N270" s="44">
        <v>85.753424657534254</v>
      </c>
      <c r="O270" s="44">
        <v>85.792349726775953</v>
      </c>
      <c r="P270" s="44">
        <v>85.479452054794521</v>
      </c>
      <c r="Q270" s="44">
        <v>75.56</v>
      </c>
      <c r="R270" s="44">
        <v>85.753424657534254</v>
      </c>
      <c r="S270" s="44">
        <v>85.792349726775953</v>
      </c>
      <c r="T270" s="44">
        <v>85.753424657534254</v>
      </c>
      <c r="U270" s="44">
        <v>80</v>
      </c>
      <c r="V270" s="44"/>
      <c r="W270" s="45">
        <v>83.333333333333343</v>
      </c>
      <c r="X270" s="44">
        <v>87.096774193548384</v>
      </c>
      <c r="Y270" s="44" t="e">
        <v>#DIV/0!</v>
      </c>
      <c r="Z270" s="44">
        <v>85.245901639344254</v>
      </c>
      <c r="AA270" s="44" t="e">
        <v>#DIV/0!</v>
      </c>
      <c r="AB270" s="44" t="e">
        <v>#DIV/0!</v>
      </c>
      <c r="AC270" s="44" t="e">
        <v>#DIV/0!</v>
      </c>
      <c r="AD270" s="44" t="e">
        <v>#DIV/0!</v>
      </c>
      <c r="AE270" s="44" t="e">
        <v>#DIV/0!</v>
      </c>
      <c r="AF270" s="44" t="e">
        <v>#DIV/0!</v>
      </c>
      <c r="AG270" s="44" t="e">
        <v>#DIV/0!</v>
      </c>
      <c r="AH270" s="44" t="e">
        <v>#DIV/0!</v>
      </c>
      <c r="AI270" s="44" t="e">
        <v>#DIV/0!</v>
      </c>
      <c r="AJ270" s="44" t="e">
        <v>#DIV/0!</v>
      </c>
      <c r="AK270" s="44" t="e">
        <v>#DIV/0!</v>
      </c>
      <c r="AL270" s="44"/>
      <c r="AM270" s="44">
        <v>85.245901639344254</v>
      </c>
      <c r="AO270" s="109" t="str">
        <f>IF(A270='[1]page 1-8'!$A270,"","False")</f>
        <v/>
      </c>
      <c r="AP270" s="109" t="str">
        <f>'[1]page 1-8'!$A270</f>
        <v>Mill Availability</v>
      </c>
    </row>
    <row r="271" spans="1:42" x14ac:dyDescent="0.4">
      <c r="A271" s="37" t="s">
        <v>333</v>
      </c>
      <c r="B271" s="38" t="s">
        <v>141</v>
      </c>
      <c r="C271" s="49">
        <v>69.022976956055743</v>
      </c>
      <c r="D271" s="49">
        <v>62.8</v>
      </c>
      <c r="E271" s="44">
        <v>58.95</v>
      </c>
      <c r="F271" s="44">
        <v>72.859259259259261</v>
      </c>
      <c r="G271" s="44">
        <v>62.386677282377924</v>
      </c>
      <c r="H271" s="44">
        <v>60.629659211927574</v>
      </c>
      <c r="I271" s="44">
        <v>67.876194267515928</v>
      </c>
      <c r="J271" s="44">
        <v>56.651357827476033</v>
      </c>
      <c r="K271" s="44">
        <v>72.257720979765708</v>
      </c>
      <c r="L271" s="44">
        <v>73.845181043663473</v>
      </c>
      <c r="M271" s="44">
        <v>73.20287539936102</v>
      </c>
      <c r="N271" s="44">
        <v>68.226837060702877</v>
      </c>
      <c r="O271" s="44">
        <v>58.008227176220807</v>
      </c>
      <c r="P271" s="44">
        <v>58.193108974358978</v>
      </c>
      <c r="Q271" s="44">
        <v>71.219355758266829</v>
      </c>
      <c r="R271" s="44">
        <v>72.973242811501592</v>
      </c>
      <c r="S271" s="44">
        <v>71.387340764331213</v>
      </c>
      <c r="T271" s="44">
        <v>81.729233226837067</v>
      </c>
      <c r="U271" s="44">
        <v>82</v>
      </c>
      <c r="V271" s="44"/>
      <c r="W271" s="45">
        <v>80.958333333333329</v>
      </c>
      <c r="X271" s="44">
        <v>68.672839506172849</v>
      </c>
      <c r="Y271" s="44" t="e">
        <v>#DIV/0!</v>
      </c>
      <c r="Z271" s="44">
        <v>74.579326923076934</v>
      </c>
      <c r="AA271" s="44" t="e">
        <v>#DIV/0!</v>
      </c>
      <c r="AB271" s="44" t="e">
        <v>#DIV/0!</v>
      </c>
      <c r="AC271" s="44" t="e">
        <v>#DIV/0!</v>
      </c>
      <c r="AD271" s="44" t="e">
        <v>#DIV/0!</v>
      </c>
      <c r="AE271" s="44" t="e">
        <v>#DIV/0!</v>
      </c>
      <c r="AF271" s="44" t="e">
        <v>#DIV/0!</v>
      </c>
      <c r="AG271" s="44" t="e">
        <v>#DIV/0!</v>
      </c>
      <c r="AH271" s="44" t="e">
        <v>#DIV/0!</v>
      </c>
      <c r="AI271" s="44" t="e">
        <v>#DIV/0!</v>
      </c>
      <c r="AJ271" s="44" t="e">
        <v>#DIV/0!</v>
      </c>
      <c r="AK271" s="44" t="e">
        <v>#DIV/0!</v>
      </c>
      <c r="AL271" s="44"/>
      <c r="AM271" s="44">
        <v>74.579326923076934</v>
      </c>
      <c r="AO271" s="109" t="str">
        <f>IF(A271='[1]page 1-8'!$A271,"","False")</f>
        <v/>
      </c>
      <c r="AP271" s="109" t="str">
        <f>'[1]page 1-8'!$A271</f>
        <v>Utili. on Avail. Time</v>
      </c>
    </row>
    <row r="272" spans="1:42" x14ac:dyDescent="0.4">
      <c r="A272" s="37" t="s">
        <v>331</v>
      </c>
      <c r="B272" s="38" t="s">
        <v>314</v>
      </c>
      <c r="C272" s="49">
        <v>4.4679849569331553</v>
      </c>
      <c r="D272" s="49">
        <v>4.0999999999999996</v>
      </c>
      <c r="E272" s="44">
        <v>3.03</v>
      </c>
      <c r="F272" s="44">
        <v>3.1695702376111079</v>
      </c>
      <c r="G272" s="44">
        <v>2.8770849906199349</v>
      </c>
      <c r="H272" s="44">
        <v>3.7211549017455265</v>
      </c>
      <c r="I272" s="44">
        <v>2.5610197159418591</v>
      </c>
      <c r="J272" s="44">
        <v>2.1948468506573615</v>
      </c>
      <c r="K272" s="44">
        <v>2.2039425202652909</v>
      </c>
      <c r="L272" s="44">
        <v>1.9343819009419081</v>
      </c>
      <c r="M272" s="44">
        <v>2.4745408256046555</v>
      </c>
      <c r="N272" s="44">
        <v>2.3703465230625147</v>
      </c>
      <c r="O272" s="44">
        <v>2.4018071600137252</v>
      </c>
      <c r="P272" s="44">
        <v>2.0756167527251863</v>
      </c>
      <c r="Q272" s="44">
        <v>2.1338870265672689</v>
      </c>
      <c r="R272" s="44">
        <v>2.2213709125735397</v>
      </c>
      <c r="S272" s="44">
        <v>2.5708443700915469</v>
      </c>
      <c r="T272" s="44">
        <v>3.0161250916198385</v>
      </c>
      <c r="U272" s="49">
        <v>3</v>
      </c>
      <c r="V272" s="49"/>
      <c r="W272" s="45">
        <v>3.6109109624292333</v>
      </c>
      <c r="X272" s="44">
        <v>3.3820224719101124</v>
      </c>
      <c r="Y272" s="44" t="e">
        <v>#DIV/0!</v>
      </c>
      <c r="Z272" s="44">
        <v>3.5014773032500672</v>
      </c>
      <c r="AA272" s="44" t="e">
        <v>#DIV/0!</v>
      </c>
      <c r="AB272" s="44" t="e">
        <v>#DIV/0!</v>
      </c>
      <c r="AC272" s="44" t="e">
        <v>#DIV/0!</v>
      </c>
      <c r="AD272" s="44" t="e">
        <v>#DIV/0!</v>
      </c>
      <c r="AE272" s="44" t="e">
        <v>#DIV/0!</v>
      </c>
      <c r="AF272" s="44" t="e">
        <v>#DIV/0!</v>
      </c>
      <c r="AG272" s="44" t="e">
        <v>#DIV/0!</v>
      </c>
      <c r="AH272" s="44" t="e">
        <v>#DIV/0!</v>
      </c>
      <c r="AI272" s="44" t="e">
        <v>#DIV/0!</v>
      </c>
      <c r="AJ272" s="44" t="e">
        <v>#DIV/0!</v>
      </c>
      <c r="AK272" s="44" t="e">
        <v>#DIV/0!</v>
      </c>
      <c r="AL272" s="44"/>
      <c r="AM272" s="44">
        <v>3.5014773032500672</v>
      </c>
      <c r="AO272" s="109" t="str">
        <f>IF(A272='[1]page 1-8'!$A272,"","False")</f>
        <v/>
      </c>
      <c r="AP272" s="109" t="str">
        <f>'[1]page 1-8'!$A272</f>
        <v xml:space="preserve">Rolling Rate </v>
      </c>
    </row>
    <row r="273" spans="1:42" x14ac:dyDescent="0.4">
      <c r="A273" s="37"/>
      <c r="B273" s="38"/>
      <c r="C273" s="49"/>
      <c r="D273" s="49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9"/>
      <c r="V273" s="49"/>
      <c r="W273" s="45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O273" s="109" t="str">
        <f>IF(A273='[1]page 1-8'!$A273,"","False")</f>
        <v/>
      </c>
      <c r="AP273" s="109">
        <f>'[1]page 1-8'!$A273</f>
        <v>0</v>
      </c>
    </row>
    <row r="274" spans="1:42" x14ac:dyDescent="0.4">
      <c r="A274" s="37"/>
      <c r="B274" s="38"/>
      <c r="C274" s="49"/>
      <c r="D274" s="49"/>
      <c r="E274" s="49"/>
      <c r="F274" s="49"/>
      <c r="G274" s="49"/>
      <c r="H274" s="49"/>
      <c r="I274" s="49"/>
      <c r="J274" s="44"/>
      <c r="K274" s="38"/>
      <c r="L274" s="38"/>
      <c r="M274" s="38"/>
      <c r="N274" s="38"/>
      <c r="O274" s="38"/>
      <c r="P274" s="44"/>
      <c r="Q274" s="44"/>
      <c r="R274" s="44"/>
      <c r="S274" s="44"/>
      <c r="T274" s="44"/>
      <c r="U274" s="62" t="s">
        <v>138</v>
      </c>
      <c r="V274" s="108"/>
      <c r="W274" s="41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  <c r="AI274" s="44"/>
      <c r="AJ274" s="44"/>
      <c r="AK274" s="44"/>
      <c r="AL274" s="44"/>
      <c r="AM274" s="44" t="s">
        <v>334</v>
      </c>
      <c r="AO274" s="109" t="str">
        <f>IF(A274='[1]page 1-8'!$A274,"","False")</f>
        <v>False</v>
      </c>
      <c r="AP274" s="109" t="str">
        <f>'[1]page 1-8'!$A274</f>
        <v>SSM</v>
      </c>
    </row>
    <row r="275" spans="1:42" s="33" customFormat="1" x14ac:dyDescent="0.4">
      <c r="A275" s="37"/>
      <c r="B275" s="38" t="s">
        <v>112</v>
      </c>
      <c r="C275" s="38" t="s">
        <v>113</v>
      </c>
      <c r="D275" s="42" t="s">
        <v>114</v>
      </c>
      <c r="E275" s="42" t="s">
        <v>115</v>
      </c>
      <c r="F275" s="42" t="s">
        <v>116</v>
      </c>
      <c r="G275" s="42" t="s">
        <v>117</v>
      </c>
      <c r="H275" s="38" t="s">
        <v>118</v>
      </c>
      <c r="I275" s="38" t="s">
        <v>119</v>
      </c>
      <c r="J275" s="38" t="s">
        <v>120</v>
      </c>
      <c r="K275" s="38" t="s">
        <v>121</v>
      </c>
      <c r="L275" s="38" t="s">
        <v>122</v>
      </c>
      <c r="M275" s="38" t="s">
        <v>123</v>
      </c>
      <c r="N275" s="38" t="s">
        <v>124</v>
      </c>
      <c r="O275" s="38" t="s">
        <v>125</v>
      </c>
      <c r="P275" s="38" t="s">
        <v>126</v>
      </c>
      <c r="Q275" s="38" t="s">
        <v>127</v>
      </c>
      <c r="R275" s="38" t="s">
        <v>128</v>
      </c>
      <c r="S275" s="38" t="s">
        <v>129</v>
      </c>
      <c r="T275" s="38" t="s">
        <v>130</v>
      </c>
      <c r="U275" s="38" t="s">
        <v>131</v>
      </c>
      <c r="V275" s="38"/>
      <c r="W275" s="41" t="s">
        <v>4</v>
      </c>
      <c r="X275" s="38" t="s">
        <v>5</v>
      </c>
      <c r="Y275" s="38" t="s">
        <v>6</v>
      </c>
      <c r="Z275" s="38" t="s">
        <v>132</v>
      </c>
      <c r="AA275" s="38" t="s">
        <v>166</v>
      </c>
      <c r="AB275" s="38" t="s">
        <v>9</v>
      </c>
      <c r="AC275" s="38" t="s">
        <v>10</v>
      </c>
      <c r="AD275" s="38" t="s">
        <v>133</v>
      </c>
      <c r="AE275" s="38" t="s">
        <v>12</v>
      </c>
      <c r="AF275" s="38" t="s">
        <v>13</v>
      </c>
      <c r="AG275" s="38" t="s">
        <v>14</v>
      </c>
      <c r="AH275" s="38" t="s">
        <v>134</v>
      </c>
      <c r="AI275" s="38" t="s">
        <v>16</v>
      </c>
      <c r="AJ275" s="38" t="s">
        <v>17</v>
      </c>
      <c r="AK275" s="38" t="s">
        <v>18</v>
      </c>
      <c r="AL275" s="38"/>
      <c r="AM275" s="38" t="s">
        <v>136</v>
      </c>
      <c r="AO275" s="109" t="str">
        <f>IF(A275='[1]page 1-8'!$A275,"","False")</f>
        <v/>
      </c>
      <c r="AP275" s="109">
        <f>'[1]page 1-8'!$A275</f>
        <v>0</v>
      </c>
    </row>
    <row r="276" spans="1:42" x14ac:dyDescent="0.4">
      <c r="A276" s="37" t="s">
        <v>335</v>
      </c>
      <c r="B276" s="38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38"/>
      <c r="Q276" s="38"/>
      <c r="R276" s="38"/>
      <c r="S276" s="38"/>
      <c r="T276" s="38"/>
      <c r="U276" s="36"/>
      <c r="V276" s="36"/>
      <c r="W276" s="41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O276" s="109" t="str">
        <f>IF(A276='[1]page 1-8'!$A276,"","False")</f>
        <v/>
      </c>
      <c r="AP276" s="109" t="str">
        <f>'[1]page 1-8'!$A276</f>
        <v>COLD ROLLING MILL</v>
      </c>
    </row>
    <row r="277" spans="1:42" x14ac:dyDescent="0.4">
      <c r="A277" s="37" t="s">
        <v>336</v>
      </c>
      <c r="B277" s="38" t="s">
        <v>337</v>
      </c>
      <c r="C277" s="49">
        <v>16.293963819328358</v>
      </c>
      <c r="D277" s="49">
        <v>16.399999999999999</v>
      </c>
      <c r="E277" s="44">
        <v>15.18</v>
      </c>
      <c r="F277" s="44">
        <v>15.10271944750899</v>
      </c>
      <c r="G277" s="44">
        <v>13.243904261751577</v>
      </c>
      <c r="H277" s="44">
        <v>13.548354776744379</v>
      </c>
      <c r="I277" s="44">
        <v>14.473497433576432</v>
      </c>
      <c r="J277" s="44">
        <v>13.789119969056285</v>
      </c>
      <c r="K277" s="44">
        <v>14.012599192537937</v>
      </c>
      <c r="L277" s="44">
        <v>14.687635873887823</v>
      </c>
      <c r="M277" s="44">
        <v>16.215456015751354</v>
      </c>
      <c r="N277" s="44">
        <v>17.07997907112739</v>
      </c>
      <c r="O277" s="44">
        <v>13.838105622451883</v>
      </c>
      <c r="P277" s="44">
        <v>18.336936518429845</v>
      </c>
      <c r="Q277" s="44">
        <v>19.837499561757181</v>
      </c>
      <c r="R277" s="44">
        <v>21.686493712164427</v>
      </c>
      <c r="S277" s="44">
        <v>24.184780670470751</v>
      </c>
      <c r="T277" s="44"/>
      <c r="U277" s="36"/>
      <c r="V277" s="36"/>
      <c r="W277" s="45"/>
      <c r="X277" s="45"/>
      <c r="Y277" s="44"/>
      <c r="Z277" s="44"/>
      <c r="AA277" s="44"/>
      <c r="AB277" s="44"/>
      <c r="AC277" s="44"/>
      <c r="AD277" s="44" t="e">
        <v>#DIV/0!</v>
      </c>
      <c r="AE277" s="44"/>
      <c r="AF277" s="44"/>
      <c r="AG277" s="44"/>
      <c r="AH277" s="44"/>
      <c r="AI277" s="44"/>
      <c r="AJ277" s="44"/>
      <c r="AK277" s="44"/>
      <c r="AL277" s="44"/>
      <c r="AM277" s="44"/>
      <c r="AO277" s="109" t="str">
        <f>IF(A277='[1]page 1-8'!$A277,"","False")</f>
        <v/>
      </c>
      <c r="AP277" s="109" t="str">
        <f>'[1]page 1-8'!$A277</f>
        <v>Acid Cons.in Pick Input</v>
      </c>
    </row>
    <row r="278" spans="1:42" x14ac:dyDescent="0.4">
      <c r="A278" s="37" t="s">
        <v>338</v>
      </c>
      <c r="B278" s="38" t="s">
        <v>339</v>
      </c>
      <c r="C278" s="47">
        <v>126.07586824253248</v>
      </c>
      <c r="D278" s="47">
        <v>127</v>
      </c>
      <c r="E278" s="47">
        <v>129</v>
      </c>
      <c r="F278" s="47">
        <v>125.19822459019366</v>
      </c>
      <c r="G278" s="47">
        <v>127.48591934343386</v>
      </c>
      <c r="H278" s="47">
        <v>126.21754673989277</v>
      </c>
      <c r="I278" s="47">
        <v>133.47942734843403</v>
      </c>
      <c r="J278" s="47">
        <v>129.29523105107666</v>
      </c>
      <c r="K278" s="47">
        <v>120.86311184574136</v>
      </c>
      <c r="L278" s="47">
        <v>124.95078760307211</v>
      </c>
      <c r="M278" s="47">
        <v>75.641839157535273</v>
      </c>
      <c r="N278" s="47">
        <v>125.06714673672958</v>
      </c>
      <c r="O278" s="47">
        <v>125.33980565227462</v>
      </c>
      <c r="P278" s="47">
        <v>83.470186939720293</v>
      </c>
      <c r="Q278" s="47">
        <v>126.37819519542343</v>
      </c>
      <c r="R278" s="47">
        <v>125.8256416154684</v>
      </c>
      <c r="S278" s="47">
        <v>124.43360536984484</v>
      </c>
      <c r="T278" s="47">
        <v>143.48790424937809</v>
      </c>
      <c r="U278" s="36"/>
      <c r="V278" s="36"/>
      <c r="W278" s="47"/>
      <c r="X278" s="47"/>
      <c r="Y278" s="47"/>
      <c r="Z278" s="47"/>
      <c r="AA278" s="47"/>
      <c r="AB278" s="47"/>
      <c r="AC278" s="47"/>
      <c r="AD278" s="47"/>
      <c r="AE278" s="47"/>
      <c r="AF278" s="47"/>
      <c r="AG278" s="47"/>
      <c r="AH278" s="47"/>
      <c r="AI278" s="47"/>
      <c r="AJ278" s="47"/>
      <c r="AK278" s="47"/>
      <c r="AL278" s="47"/>
      <c r="AM278" s="47"/>
      <c r="AO278" s="109" t="str">
        <f>IF(A278='[1]page 1-8'!$A278,"","False")</f>
        <v/>
      </c>
      <c r="AP278" s="109" t="str">
        <f>'[1]page 1-8'!$A278</f>
        <v>Zinc cons. Excl.Dross</v>
      </c>
    </row>
    <row r="279" spans="1:42" x14ac:dyDescent="0.4">
      <c r="A279" s="37" t="s">
        <v>340</v>
      </c>
      <c r="B279" s="38" t="s">
        <v>339</v>
      </c>
      <c r="C279" s="47">
        <v>153.10044560662502</v>
      </c>
      <c r="D279" s="47">
        <v>147</v>
      </c>
      <c r="E279" s="47">
        <v>146</v>
      </c>
      <c r="F279" s="47">
        <v>139.99211291226104</v>
      </c>
      <c r="G279" s="47">
        <v>138.08869545698613</v>
      </c>
      <c r="H279" s="47">
        <v>136.47732779439301</v>
      </c>
      <c r="I279" s="47">
        <v>147.79375799372619</v>
      </c>
      <c r="J279" s="47">
        <v>141.68143994890085</v>
      </c>
      <c r="K279" s="47">
        <v>132.78512394423987</v>
      </c>
      <c r="L279" s="47">
        <v>138.54226118731069</v>
      </c>
      <c r="M279" s="47">
        <v>84.823052887869338</v>
      </c>
      <c r="N279" s="47">
        <v>142.36280294594437</v>
      </c>
      <c r="O279" s="47">
        <v>144.29936344462291</v>
      </c>
      <c r="P279" s="47">
        <v>93.060462219086688</v>
      </c>
      <c r="Q279" s="47">
        <v>136.62720844122993</v>
      </c>
      <c r="R279" s="47">
        <v>131.47278425809665</v>
      </c>
      <c r="S279" s="47">
        <v>136.27965095668733</v>
      </c>
      <c r="T279" s="47">
        <v>157.40182515103822</v>
      </c>
      <c r="U279" s="36"/>
      <c r="V279" s="36"/>
      <c r="W279" s="47"/>
      <c r="X279" s="47"/>
      <c r="Y279" s="49"/>
      <c r="Z279" s="47"/>
      <c r="AA279" s="47"/>
      <c r="AB279" s="47"/>
      <c r="AC279" s="47"/>
      <c r="AD279" s="47"/>
      <c r="AE279" s="47"/>
      <c r="AF279" s="47"/>
      <c r="AG279" s="47"/>
      <c r="AH279" s="47"/>
      <c r="AI279" s="47"/>
      <c r="AJ279" s="47"/>
      <c r="AK279" s="47"/>
      <c r="AL279" s="47"/>
      <c r="AM279" s="47"/>
      <c r="AO279" s="109" t="str">
        <f>IF(A279='[1]page 1-8'!$A279,"","False")</f>
        <v/>
      </c>
      <c r="AP279" s="109" t="str">
        <f>'[1]page 1-8'!$A279</f>
        <v>Zinc cons. Incl.Dross</v>
      </c>
    </row>
    <row r="280" spans="1:42" x14ac:dyDescent="0.4">
      <c r="A280" s="37" t="s">
        <v>338</v>
      </c>
      <c r="B280" s="38" t="s">
        <v>337</v>
      </c>
      <c r="C280" s="47">
        <v>29.569322745527565</v>
      </c>
      <c r="D280" s="47">
        <v>31</v>
      </c>
      <c r="E280" s="44">
        <v>30.65</v>
      </c>
      <c r="F280" s="44">
        <v>29.219899197311928</v>
      </c>
      <c r="G280" s="44">
        <v>30.599093686434355</v>
      </c>
      <c r="H280" s="44">
        <v>30.13080670271356</v>
      </c>
      <c r="I280" s="44">
        <v>32.523504370616131</v>
      </c>
      <c r="J280" s="44">
        <v>31.10911872398054</v>
      </c>
      <c r="K280" s="44">
        <v>30.549334891554668</v>
      </c>
      <c r="L280" s="44">
        <v>30.78285206890428</v>
      </c>
      <c r="M280" s="44">
        <v>31.111543838625924</v>
      </c>
      <c r="N280" s="44">
        <v>30.265876544724172</v>
      </c>
      <c r="O280" s="44">
        <v>31.097272002229285</v>
      </c>
      <c r="P280" s="44">
        <v>30.559561774595942</v>
      </c>
      <c r="Q280" s="44">
        <v>31.18234340798114</v>
      </c>
      <c r="R280" s="44">
        <v>31.602712245225479</v>
      </c>
      <c r="S280" s="44">
        <v>29.687437712200808</v>
      </c>
      <c r="T280" s="44">
        <v>27.862292051756008</v>
      </c>
      <c r="U280" s="36"/>
      <c r="V280" s="36"/>
      <c r="W280" s="45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O280" s="109" t="str">
        <f>IF(A280='[1]page 1-8'!$A280,"","False")</f>
        <v/>
      </c>
      <c r="AP280" s="109" t="str">
        <f>'[1]page 1-8'!$A280</f>
        <v>Zinc cons. Excl.Dross</v>
      </c>
    </row>
    <row r="281" spans="1:42" x14ac:dyDescent="0.4">
      <c r="A281" s="37" t="s">
        <v>340</v>
      </c>
      <c r="B281" s="38" t="s">
        <v>337</v>
      </c>
      <c r="C281" s="44">
        <v>35.907557502738221</v>
      </c>
      <c r="D281" s="44">
        <v>36.06</v>
      </c>
      <c r="E281" s="44">
        <v>34.58</v>
      </c>
      <c r="F281" s="44">
        <v>32.672631270167201</v>
      </c>
      <c r="G281" s="44">
        <v>33.143965632338272</v>
      </c>
      <c r="H281" s="44">
        <v>32.580034149689467</v>
      </c>
      <c r="I281" s="44">
        <v>36.011324213364844</v>
      </c>
      <c r="J281" s="44">
        <v>34.089306314891907</v>
      </c>
      <c r="K281" s="44">
        <v>33.562740178049701</v>
      </c>
      <c r="L281" s="44">
        <v>34.131244894334934</v>
      </c>
      <c r="M281" s="44">
        <v>34.887783769389522</v>
      </c>
      <c r="N281" s="44">
        <v>34.451373769586951</v>
      </c>
      <c r="O281" s="44">
        <v>35.801208813383425</v>
      </c>
      <c r="P281" s="44">
        <v>34.070690964312838</v>
      </c>
      <c r="Q281" s="44">
        <v>33.71116770500084</v>
      </c>
      <c r="R281" s="44">
        <v>33.021064034665379</v>
      </c>
      <c r="S281" s="44">
        <v>32.513673755510879</v>
      </c>
      <c r="T281" s="44">
        <v>30.564078866296981</v>
      </c>
      <c r="U281" s="36"/>
      <c r="V281" s="36"/>
      <c r="W281" s="45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O281" s="109" t="str">
        <f>IF(A281='[1]page 1-8'!$A281,"","False")</f>
        <v/>
      </c>
      <c r="AP281" s="109" t="str">
        <f>'[1]page 1-8'!$A281</f>
        <v>Zinc cons. Incl.Dross</v>
      </c>
    </row>
    <row r="282" spans="1:42" x14ac:dyDescent="0.4">
      <c r="A282" s="37" t="s">
        <v>341</v>
      </c>
      <c r="B282" s="38"/>
      <c r="C282" s="49"/>
      <c r="D282" s="49"/>
      <c r="E282" s="49"/>
      <c r="F282" s="49"/>
      <c r="G282" s="49"/>
      <c r="H282" s="49"/>
      <c r="I282" s="49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6"/>
      <c r="V282" s="36"/>
      <c r="W282" s="41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  <c r="AO282" s="109" t="str">
        <f>IF(A282='[1]page 1-8'!$A282,"","False")</f>
        <v/>
      </c>
      <c r="AP282" s="109" t="str">
        <f>'[1]page 1-8'!$A282</f>
        <v>YIELD FROM HR COILS</v>
      </c>
    </row>
    <row r="283" spans="1:42" x14ac:dyDescent="0.4">
      <c r="A283" s="37" t="s">
        <v>342</v>
      </c>
      <c r="B283" s="38" t="s">
        <v>141</v>
      </c>
      <c r="C283" s="44">
        <v>96.724540293616244</v>
      </c>
      <c r="D283" s="44">
        <v>96.7</v>
      </c>
      <c r="E283" s="44">
        <v>96.66</v>
      </c>
      <c r="F283" s="44">
        <v>95.928931605552336</v>
      </c>
      <c r="G283" s="44">
        <v>94.538802796328625</v>
      </c>
      <c r="H283" s="44">
        <v>96.012354721465982</v>
      </c>
      <c r="I283" s="44">
        <v>96.542785726776188</v>
      </c>
      <c r="J283" s="44">
        <v>97.676113248468354</v>
      </c>
      <c r="K283" s="44">
        <v>96.668870945287495</v>
      </c>
      <c r="L283" s="44">
        <v>97.037728312318166</v>
      </c>
      <c r="M283" s="44">
        <v>97.47</v>
      </c>
      <c r="N283" s="44">
        <v>97.51</v>
      </c>
      <c r="O283" s="44">
        <v>97.51</v>
      </c>
      <c r="P283" s="44">
        <v>95.02</v>
      </c>
      <c r="Q283" s="44">
        <v>95.02</v>
      </c>
      <c r="R283" s="44">
        <v>94.979097310321919</v>
      </c>
      <c r="S283" s="44">
        <v>95.964098906324296</v>
      </c>
      <c r="T283" s="44"/>
      <c r="U283" s="36"/>
      <c r="V283" s="36"/>
      <c r="W283" s="45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O283" s="109" t="str">
        <f>IF(A283='[1]page 1-8'!$A283,"","False")</f>
        <v/>
      </c>
      <c r="AP283" s="109" t="str">
        <f>'[1]page 1-8'!$A283</f>
        <v>Pickled Coils</v>
      </c>
    </row>
    <row r="284" spans="1:42" x14ac:dyDescent="0.4">
      <c r="A284" s="37" t="s">
        <v>343</v>
      </c>
      <c r="B284" s="38" t="s">
        <v>141</v>
      </c>
      <c r="C284" s="38">
        <v>86.71</v>
      </c>
      <c r="D284" s="38">
        <v>87.54</v>
      </c>
      <c r="E284" s="38">
        <v>87.67</v>
      </c>
      <c r="F284" s="38">
        <v>87.05</v>
      </c>
      <c r="G284" s="38">
        <v>87.27</v>
      </c>
      <c r="H284" s="38">
        <v>87.6</v>
      </c>
      <c r="I284" s="38">
        <v>87.9</v>
      </c>
      <c r="J284" s="44">
        <v>87.8</v>
      </c>
      <c r="K284" s="44">
        <v>87.58</v>
      </c>
      <c r="L284" s="44">
        <v>87.69</v>
      </c>
      <c r="M284" s="44">
        <v>80</v>
      </c>
      <c r="N284" s="44">
        <v>79</v>
      </c>
      <c r="O284" s="44">
        <v>84.7</v>
      </c>
      <c r="P284" s="44">
        <v>85.5</v>
      </c>
      <c r="Q284" s="44">
        <v>86.96</v>
      </c>
      <c r="R284" s="44">
        <v>86.430833333333339</v>
      </c>
      <c r="S284" s="44">
        <v>86.72</v>
      </c>
      <c r="T284" s="44">
        <v>88.98</v>
      </c>
      <c r="U284" s="36"/>
      <c r="V284" s="36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O284" s="109" t="str">
        <f>IF(A284='[1]page 1-8'!$A284,"","False")</f>
        <v/>
      </c>
      <c r="AP284" s="109" t="str">
        <f>'[1]page 1-8'!$A284</f>
        <v>Galvanised Sheet</v>
      </c>
    </row>
    <row r="285" spans="1:42" x14ac:dyDescent="0.4">
      <c r="A285" s="43" t="s">
        <v>344</v>
      </c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6"/>
      <c r="V285" s="36"/>
      <c r="W285" s="41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O285" s="109" t="str">
        <f>IF(A285='[1]page 1-8'!$A285,"","False")</f>
        <v/>
      </c>
      <c r="AP285" s="109" t="str">
        <f>'[1]page 1-8'!$A285</f>
        <v>SILICON STEEL MILL</v>
      </c>
    </row>
    <row r="286" spans="1:42" x14ac:dyDescent="0.4">
      <c r="A286" s="37" t="s">
        <v>345</v>
      </c>
      <c r="B286" s="38" t="s">
        <v>141</v>
      </c>
      <c r="C286" s="44">
        <v>88.3</v>
      </c>
      <c r="D286" s="44">
        <v>88.32</v>
      </c>
      <c r="E286" s="44">
        <v>88.34</v>
      </c>
      <c r="F286" s="44">
        <v>88.42</v>
      </c>
      <c r="G286" s="44">
        <v>88.41</v>
      </c>
      <c r="H286" s="44">
        <v>88.52</v>
      </c>
      <c r="I286" s="44">
        <v>88.52</v>
      </c>
      <c r="J286" s="44">
        <v>88.4</v>
      </c>
      <c r="K286" s="44">
        <v>88.51</v>
      </c>
      <c r="L286" s="44">
        <v>88.52</v>
      </c>
      <c r="M286" s="44">
        <v>73</v>
      </c>
      <c r="N286" s="44">
        <v>76.3</v>
      </c>
      <c r="O286" s="44">
        <v>77.400000000000006</v>
      </c>
      <c r="P286" s="44">
        <v>81.78</v>
      </c>
      <c r="Q286" s="44">
        <v>80.8</v>
      </c>
      <c r="R286" s="44">
        <v>85.654166666666683</v>
      </c>
      <c r="S286" s="44">
        <v>88.528333333333322</v>
      </c>
      <c r="T286" s="44">
        <v>90.553333333333342</v>
      </c>
      <c r="U286" s="44">
        <v>88</v>
      </c>
      <c r="V286" s="44"/>
      <c r="W286" s="45">
        <v>90.15</v>
      </c>
      <c r="X286" s="44">
        <v>92.01</v>
      </c>
      <c r="Y286" s="44">
        <v>0</v>
      </c>
      <c r="Z286" s="44">
        <v>60.720000000000006</v>
      </c>
      <c r="AA286" s="44">
        <v>0</v>
      </c>
      <c r="AB286" s="44">
        <v>0</v>
      </c>
      <c r="AC286" s="44">
        <v>0</v>
      </c>
      <c r="AD286" s="44">
        <v>0</v>
      </c>
      <c r="AE286" s="44">
        <v>0</v>
      </c>
      <c r="AF286" s="44">
        <v>0</v>
      </c>
      <c r="AG286" s="44">
        <v>0</v>
      </c>
      <c r="AH286" s="44">
        <v>0</v>
      </c>
      <c r="AI286" s="44">
        <v>0</v>
      </c>
      <c r="AJ286" s="44">
        <v>0</v>
      </c>
      <c r="AK286" s="44">
        <v>0</v>
      </c>
      <c r="AL286" s="44"/>
      <c r="AM286" s="44">
        <v>91.080000000000013</v>
      </c>
      <c r="AO286" s="109" t="str">
        <f>IF(A286='[1]page 1-8'!$A286,"","False")</f>
        <v/>
      </c>
      <c r="AP286" s="109" t="str">
        <f>'[1]page 1-8'!$A286</f>
        <v>Yield from HRC-CRNO</v>
      </c>
    </row>
    <row r="287" spans="1:42" x14ac:dyDescent="0.4">
      <c r="A287" s="37" t="s">
        <v>346</v>
      </c>
      <c r="B287" s="38" t="s">
        <v>337</v>
      </c>
      <c r="C287" s="44">
        <v>28.251201228038816</v>
      </c>
      <c r="D287" s="44">
        <v>29.29</v>
      </c>
      <c r="E287" s="44">
        <v>29.52</v>
      </c>
      <c r="F287" s="44">
        <v>30.424720936564118</v>
      </c>
      <c r="G287" s="44">
        <v>30.765630592186767</v>
      </c>
      <c r="H287" s="44">
        <v>28.248791833881679</v>
      </c>
      <c r="I287" s="44">
        <v>28.406384719660981</v>
      </c>
      <c r="J287" s="44">
        <v>25.599871599390099</v>
      </c>
      <c r="K287" s="44">
        <v>26.938035360645177</v>
      </c>
      <c r="L287" s="44">
        <v>28.148396639270519</v>
      </c>
      <c r="M287" s="44">
        <v>29.101667563206025</v>
      </c>
      <c r="N287" s="44">
        <v>25.508177469215756</v>
      </c>
      <c r="O287" s="44">
        <v>27.148376318262503</v>
      </c>
      <c r="P287" s="44">
        <v>26.004775169120574</v>
      </c>
      <c r="Q287" s="44">
        <v>27.859171437587342</v>
      </c>
      <c r="R287" s="44">
        <v>27.438553099397126</v>
      </c>
      <c r="S287" s="44">
        <v>21.849498536099173</v>
      </c>
      <c r="T287" s="44">
        <v>22.847366269474769</v>
      </c>
      <c r="U287" s="44">
        <v>25</v>
      </c>
      <c r="V287" s="44"/>
      <c r="W287" s="45">
        <v>20.103659494267315</v>
      </c>
      <c r="X287" s="44">
        <v>22.438294689603591</v>
      </c>
      <c r="Y287" s="44" t="e">
        <v>#DIV/0!</v>
      </c>
      <c r="Z287" s="44">
        <v>21.299417713760342</v>
      </c>
      <c r="AA287" s="44" t="e">
        <v>#DIV/0!</v>
      </c>
      <c r="AB287" s="44" t="e">
        <v>#DIV/0!</v>
      </c>
      <c r="AC287" s="44" t="e">
        <v>#DIV/0!</v>
      </c>
      <c r="AD287" s="44" t="e">
        <v>#DIV/0!</v>
      </c>
      <c r="AE287" s="44" t="e">
        <v>#DIV/0!</v>
      </c>
      <c r="AF287" s="44" t="e">
        <v>#DIV/0!</v>
      </c>
      <c r="AG287" s="44" t="e">
        <v>#DIV/0!</v>
      </c>
      <c r="AH287" s="44" t="e">
        <v>#DIV/0!</v>
      </c>
      <c r="AI287" s="44" t="e">
        <v>#DIV/0!</v>
      </c>
      <c r="AJ287" s="44" t="e">
        <v>#DIV/0!</v>
      </c>
      <c r="AK287" s="44" t="e">
        <v>#DIV/0!</v>
      </c>
      <c r="AL287" s="44"/>
      <c r="AM287" s="44">
        <v>21.299417713760342</v>
      </c>
      <c r="AO287" s="109" t="str">
        <f>IF(A287='[1]page 1-8'!$A287,"","False")</f>
        <v/>
      </c>
      <c r="AP287" s="109" t="str">
        <f>'[1]page 1-8'!$A287</f>
        <v>Acid cons. in AP line</v>
      </c>
    </row>
    <row r="288" spans="1:42" s="67" customFormat="1" x14ac:dyDescent="0.35">
      <c r="A288" s="37" t="s">
        <v>347</v>
      </c>
      <c r="B288" s="65" t="s">
        <v>141</v>
      </c>
      <c r="C288" s="66">
        <v>83.788706739526404</v>
      </c>
      <c r="D288" s="66">
        <v>85.48</v>
      </c>
      <c r="E288" s="66">
        <v>83.65</v>
      </c>
      <c r="F288" s="66">
        <v>85.810502283105023</v>
      </c>
      <c r="G288" s="66">
        <v>80.339253187613849</v>
      </c>
      <c r="H288" s="66">
        <v>78.013698630136986</v>
      </c>
      <c r="I288" s="66">
        <v>75.148401826484019</v>
      </c>
      <c r="J288" s="66">
        <v>74.063926940639263</v>
      </c>
      <c r="K288" s="66">
        <v>75.478142076502735</v>
      </c>
      <c r="L288" s="66">
        <v>77.922374429223737</v>
      </c>
      <c r="M288" s="66">
        <v>81.894977168949765</v>
      </c>
      <c r="N288" s="66">
        <v>78.538812785388117</v>
      </c>
      <c r="O288" s="66">
        <v>81.785063752276869</v>
      </c>
      <c r="P288" s="66">
        <v>82.45433789954339</v>
      </c>
      <c r="Q288" s="66">
        <v>83.06</v>
      </c>
      <c r="R288" s="66">
        <v>81.095890410958901</v>
      </c>
      <c r="S288" s="66">
        <v>46.721311475409841</v>
      </c>
      <c r="T288" s="66">
        <v>37.591324200913242</v>
      </c>
      <c r="U288" s="66">
        <v>75</v>
      </c>
      <c r="V288" s="66"/>
      <c r="W288" s="44">
        <v>43.472222222222221</v>
      </c>
      <c r="X288" s="44">
        <v>44.354838709677416</v>
      </c>
      <c r="Y288" s="44" t="e">
        <v>#DIV/0!</v>
      </c>
      <c r="Z288" s="44">
        <v>40.972222222222221</v>
      </c>
      <c r="AA288" s="44" t="e">
        <v>#DIV/0!</v>
      </c>
      <c r="AB288" s="44" t="e">
        <v>#DIV/0!</v>
      </c>
      <c r="AC288" s="44" t="e">
        <v>#DIV/0!</v>
      </c>
      <c r="AD288" s="44" t="e">
        <v>#DIV/0!</v>
      </c>
      <c r="AE288" s="44" t="e">
        <v>#DIV/0!</v>
      </c>
      <c r="AF288" s="44" t="e">
        <v>#DIV/0!</v>
      </c>
      <c r="AG288" s="44" t="e">
        <v>#DIV/0!</v>
      </c>
      <c r="AH288" s="44" t="e">
        <v>#DIV/0!</v>
      </c>
      <c r="AI288" s="44" t="e">
        <v>#DIV/0!</v>
      </c>
      <c r="AJ288" s="44" t="e">
        <v>#DIV/0!</v>
      </c>
      <c r="AK288" s="44" t="e">
        <v>#DIV/0!</v>
      </c>
      <c r="AL288" s="44"/>
      <c r="AM288" s="44">
        <v>43.920765027322403</v>
      </c>
      <c r="AO288" s="109" t="str">
        <f>IF(A288='[1]page 1-8'!$A288,"","False")</f>
        <v>False</v>
      </c>
      <c r="AP288" s="109" t="str">
        <f>'[1]page 1-8'!$A288</f>
        <v>REV. MILL Availability On Cal Hrs</v>
      </c>
    </row>
    <row r="289" spans="1:42" x14ac:dyDescent="0.4">
      <c r="A289" s="37" t="s">
        <v>348</v>
      </c>
      <c r="B289" s="38" t="s">
        <v>141</v>
      </c>
      <c r="C289" s="49">
        <v>55.893478260869564</v>
      </c>
      <c r="D289" s="49">
        <v>51.7</v>
      </c>
      <c r="E289" s="49">
        <v>55.08</v>
      </c>
      <c r="F289" s="49">
        <v>52.880138353066386</v>
      </c>
      <c r="G289" s="49">
        <v>44.452316848519203</v>
      </c>
      <c r="H289" s="49">
        <v>53.575212174422006</v>
      </c>
      <c r="I289" s="49">
        <v>55.415464074130341</v>
      </c>
      <c r="J289" s="44">
        <v>54.076757090012329</v>
      </c>
      <c r="K289" s="44">
        <v>55.023831070889898</v>
      </c>
      <c r="L289" s="44">
        <v>38.550981541166124</v>
      </c>
      <c r="M289" s="44">
        <v>31.745469751881792</v>
      </c>
      <c r="N289" s="44">
        <v>36.320203488372094</v>
      </c>
      <c r="O289" s="44">
        <v>28.826837416481073</v>
      </c>
      <c r="P289" s="44">
        <v>28.315796760348888</v>
      </c>
      <c r="Q289" s="44">
        <v>41.821454283657303</v>
      </c>
      <c r="R289" s="44">
        <v>41.082488738738739</v>
      </c>
      <c r="S289" s="44">
        <v>73.160331384015592</v>
      </c>
      <c r="T289" s="44">
        <v>98.754934709990891</v>
      </c>
      <c r="U289" s="44">
        <v>90</v>
      </c>
      <c r="V289" s="44"/>
      <c r="W289" s="45">
        <v>99.04153354632588</v>
      </c>
      <c r="X289" s="44">
        <v>98.787878787878796</v>
      </c>
      <c r="Y289" s="44" t="e">
        <v>#DIV/0!</v>
      </c>
      <c r="Z289" s="44">
        <v>98.911353032659406</v>
      </c>
      <c r="AA289" s="44" t="e">
        <v>#DIV/0!</v>
      </c>
      <c r="AB289" s="44" t="e">
        <v>#DIV/0!</v>
      </c>
      <c r="AC289" s="44" t="e">
        <v>#DIV/0!</v>
      </c>
      <c r="AD289" s="44" t="e">
        <v>#DIV/0!</v>
      </c>
      <c r="AE289" s="44" t="e">
        <v>#DIV/0!</v>
      </c>
      <c r="AF289" s="44" t="e">
        <v>#DIV/0!</v>
      </c>
      <c r="AG289" s="44" t="e">
        <v>#DIV/0!</v>
      </c>
      <c r="AH289" s="44" t="e">
        <v>#DIV/0!</v>
      </c>
      <c r="AI289" s="44" t="e">
        <v>#DIV/0!</v>
      </c>
      <c r="AJ289" s="44" t="e">
        <v>#DIV/0!</v>
      </c>
      <c r="AK289" s="44" t="e">
        <v>#DIV/0!</v>
      </c>
      <c r="AL289" s="44"/>
      <c r="AM289" s="44">
        <v>98.911353032659406</v>
      </c>
      <c r="AO289" s="109" t="str">
        <f>IF(A289='[1]page 1-8'!$A289,"","False")</f>
        <v>False</v>
      </c>
      <c r="AP289" s="109" t="str">
        <f>'[1]page 1-8'!$A289</f>
        <v>REV.MILL Utilisation.on Avail Hrs</v>
      </c>
    </row>
    <row r="290" spans="1:42" x14ac:dyDescent="0.4">
      <c r="A290" s="37" t="s">
        <v>349</v>
      </c>
      <c r="B290" s="38" t="s">
        <v>350</v>
      </c>
      <c r="C290" s="49">
        <v>14.95530416221985</v>
      </c>
      <c r="D290" s="49">
        <v>14.3</v>
      </c>
      <c r="E290" s="44">
        <v>14.84</v>
      </c>
      <c r="F290" s="44">
        <v>15.474817518248175</v>
      </c>
      <c r="G290" s="44">
        <v>15.261809462157752</v>
      </c>
      <c r="H290" s="44">
        <v>15.525283789528892</v>
      </c>
      <c r="I290" s="44">
        <v>15.48981965444278</v>
      </c>
      <c r="J290" s="44">
        <v>15.41683248268108</v>
      </c>
      <c r="K290" s="44">
        <v>15.130871080139373</v>
      </c>
      <c r="L290" s="44">
        <v>12.926168291679568</v>
      </c>
      <c r="M290" s="44">
        <v>11.935899754128966</v>
      </c>
      <c r="N290" s="44">
        <v>12.491598183568273</v>
      </c>
      <c r="O290" s="44">
        <v>12.660893576490531</v>
      </c>
      <c r="P290" s="44">
        <v>12.344649954838934</v>
      </c>
      <c r="Q290" s="44">
        <v>11.188140357240004</v>
      </c>
      <c r="R290" s="44">
        <v>13.446764862405796</v>
      </c>
      <c r="S290" s="44">
        <v>16.108728244573367</v>
      </c>
      <c r="T290" s="44">
        <v>15.872917184779906</v>
      </c>
      <c r="U290" s="44">
        <v>15.6</v>
      </c>
      <c r="V290" s="44"/>
      <c r="W290" s="45">
        <v>15.51530612244898</v>
      </c>
      <c r="X290" s="44">
        <v>15.918367346938776</v>
      </c>
      <c r="Y290" s="44" t="e">
        <v>#DIV/0!</v>
      </c>
      <c r="Z290" s="49" t="s">
        <v>109</v>
      </c>
      <c r="AA290" s="44" t="e">
        <v>#DIV/0!</v>
      </c>
      <c r="AB290" s="44" t="e">
        <v>#DIV/0!</v>
      </c>
      <c r="AC290" s="44" t="e">
        <v>#DIV/0!</v>
      </c>
      <c r="AD290" s="49" t="s">
        <v>109</v>
      </c>
      <c r="AE290" s="44" t="e">
        <v>#DIV/0!</v>
      </c>
      <c r="AF290" s="44" t="e">
        <v>#DIV/0!</v>
      </c>
      <c r="AG290" s="44" t="e">
        <v>#DIV/0!</v>
      </c>
      <c r="AH290" s="44" t="e">
        <v>#DIV/0!</v>
      </c>
      <c r="AI290" s="44" t="e">
        <v>#DIV/0!</v>
      </c>
      <c r="AJ290" s="44" t="e">
        <v>#DIV/0!</v>
      </c>
      <c r="AK290" s="44" t="e">
        <v>#DIV/0!</v>
      </c>
      <c r="AL290" s="49"/>
      <c r="AM290" s="44">
        <v>15.719937205651492</v>
      </c>
      <c r="AO290" s="109" t="str">
        <f>IF(A290='[1]page 1-8'!$A290,"","False")</f>
        <v/>
      </c>
      <c r="AP290" s="109" t="str">
        <f>'[1]page 1-8'!$A290</f>
        <v>Rolling Rate(Rev Mill)</v>
      </c>
    </row>
    <row r="291" spans="1:42" x14ac:dyDescent="0.4">
      <c r="A291" s="43" t="s">
        <v>351</v>
      </c>
      <c r="B291" s="38"/>
      <c r="C291" s="49"/>
      <c r="D291" s="49"/>
      <c r="E291" s="49"/>
      <c r="F291" s="49"/>
      <c r="G291" s="49"/>
      <c r="H291" s="49"/>
      <c r="I291" s="49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41"/>
      <c r="X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/>
      <c r="AM291" s="38"/>
      <c r="AO291" s="109" t="str">
        <f>IF(A291='[1]page 1-8'!$A291,"","False")</f>
        <v/>
      </c>
      <c r="AP291" s="109" t="str">
        <f>'[1]page 1-8'!$A291</f>
        <v xml:space="preserve"> C P P - I</v>
      </c>
    </row>
    <row r="292" spans="1:42" x14ac:dyDescent="0.4">
      <c r="A292" s="37" t="s">
        <v>352</v>
      </c>
      <c r="B292" s="38" t="s">
        <v>353</v>
      </c>
      <c r="C292" s="47">
        <v>235.83333333333334</v>
      </c>
      <c r="D292" s="47">
        <v>106</v>
      </c>
      <c r="E292" s="47">
        <v>12</v>
      </c>
      <c r="F292" s="47">
        <v>0</v>
      </c>
      <c r="G292" s="47">
        <v>5.083333333333333</v>
      </c>
      <c r="H292" s="47">
        <v>6.25</v>
      </c>
      <c r="I292" s="47">
        <v>48.166666666666664</v>
      </c>
      <c r="J292" s="44">
        <v>67.470416666666665</v>
      </c>
      <c r="K292" s="44">
        <v>61.5</v>
      </c>
      <c r="L292" s="44">
        <v>61.083333333333336</v>
      </c>
      <c r="M292" s="44">
        <v>15.75</v>
      </c>
      <c r="N292" s="49">
        <v>16.916666666666668</v>
      </c>
      <c r="O292" s="49">
        <v>17.583333333333332</v>
      </c>
      <c r="P292" s="49">
        <v>31.916666666666668</v>
      </c>
      <c r="Q292" s="49">
        <v>1.0833333333333333</v>
      </c>
      <c r="R292" s="49">
        <v>0.5</v>
      </c>
      <c r="S292" s="49">
        <v>0</v>
      </c>
      <c r="T292" s="49">
        <v>1.75</v>
      </c>
      <c r="U292" s="44">
        <v>0</v>
      </c>
      <c r="V292" s="44"/>
      <c r="W292" s="48">
        <v>0</v>
      </c>
      <c r="X292" s="47">
        <v>0</v>
      </c>
      <c r="Y292" s="47" t="e">
        <v>#DIV/0!</v>
      </c>
      <c r="Z292" s="47" t="e">
        <v>#DIV/0!</v>
      </c>
      <c r="AA292" s="47" t="e">
        <v>#DIV/0!</v>
      </c>
      <c r="AB292" s="47" t="e">
        <v>#DIV/0!</v>
      </c>
      <c r="AC292" s="47" t="e">
        <v>#DIV/0!</v>
      </c>
      <c r="AD292" s="47" t="e">
        <v>#DIV/0!</v>
      </c>
      <c r="AE292" s="47" t="e">
        <v>#DIV/0!</v>
      </c>
      <c r="AF292" s="47" t="e">
        <v>#DIV/0!</v>
      </c>
      <c r="AG292" s="47" t="e">
        <v>#DIV/0!</v>
      </c>
      <c r="AH292" s="47">
        <v>0</v>
      </c>
      <c r="AI292" s="47" t="e">
        <v>#DIV/0!</v>
      </c>
      <c r="AJ292" s="47" t="e">
        <v>#DIV/0!</v>
      </c>
      <c r="AK292" s="47" t="e">
        <v>#DIV/0!</v>
      </c>
      <c r="AL292" s="47"/>
      <c r="AM292" s="49">
        <v>0</v>
      </c>
      <c r="AO292" s="109" t="str">
        <f>IF(A292='[1]page 1-8'!$A292,"","False")</f>
        <v/>
      </c>
      <c r="AP292" s="109" t="str">
        <f>'[1]page 1-8'!$A292</f>
        <v>Fce.Oil Consmn.</v>
      </c>
    </row>
    <row r="293" spans="1:42" x14ac:dyDescent="0.4">
      <c r="A293" s="37" t="s">
        <v>354</v>
      </c>
      <c r="B293" s="38" t="s">
        <v>141</v>
      </c>
      <c r="C293" s="49">
        <v>0.42976609696401857</v>
      </c>
      <c r="D293" s="49"/>
      <c r="E293" s="49"/>
      <c r="F293" s="49">
        <v>0.43309391216301735</v>
      </c>
      <c r="G293" s="49">
        <v>0.4720205316034512</v>
      </c>
      <c r="H293" s="49">
        <v>0.504122757344309</v>
      </c>
      <c r="I293" s="49">
        <v>0.57516243742810469</v>
      </c>
      <c r="J293" s="44">
        <v>2.5194353765361512</v>
      </c>
      <c r="K293" s="44">
        <v>4.9258216470843035</v>
      </c>
      <c r="L293" s="44">
        <v>10.162708022286152</v>
      </c>
      <c r="M293" s="44">
        <v>6.1710363398127113</v>
      </c>
      <c r="N293" s="44">
        <v>1.5814526736320209</v>
      </c>
      <c r="O293" s="44">
        <v>0.68784998939898478</v>
      </c>
      <c r="P293" s="44">
        <v>0.29959534108724378</v>
      </c>
      <c r="Q293" s="44">
        <v>0.28281200362619224</v>
      </c>
      <c r="R293" s="44">
        <v>0.323979833364893</v>
      </c>
      <c r="S293" s="44">
        <v>0.30025595589683013</v>
      </c>
      <c r="T293" s="44">
        <v>0.33366242504022231</v>
      </c>
      <c r="U293" s="44">
        <v>0</v>
      </c>
      <c r="V293" s="44"/>
      <c r="W293" s="45">
        <v>0.3289473684210526</v>
      </c>
      <c r="X293" s="44">
        <v>0.33333333333333337</v>
      </c>
      <c r="Y293" s="44" t="e">
        <v>#DIV/0!</v>
      </c>
      <c r="Z293" s="44">
        <v>0.33116178067318131</v>
      </c>
      <c r="AA293" s="44" t="e">
        <v>#DIV/0!</v>
      </c>
      <c r="AB293" s="44" t="e">
        <v>#DIV/0!</v>
      </c>
      <c r="AC293" s="44" t="e">
        <v>#DIV/0!</v>
      </c>
      <c r="AD293" s="44" t="e">
        <v>#DIV/0!</v>
      </c>
      <c r="AE293" s="44" t="e">
        <v>#DIV/0!</v>
      </c>
      <c r="AF293" s="44" t="e">
        <v>#DIV/0!</v>
      </c>
      <c r="AG293" s="44" t="e">
        <v>#DIV/0!</v>
      </c>
      <c r="AH293" s="44" t="e">
        <v>#DIV/0!</v>
      </c>
      <c r="AI293" s="44" t="e">
        <v>#DIV/0!</v>
      </c>
      <c r="AJ293" s="44" t="e">
        <v>#DIV/0!</v>
      </c>
      <c r="AK293" s="44" t="e">
        <v>#DIV/0!</v>
      </c>
      <c r="AL293" s="44"/>
      <c r="AM293" s="44">
        <v>0.33116178067318131</v>
      </c>
      <c r="AO293" s="109" t="str">
        <f>IF(A293='[1]page 1-8'!$A293,"","False")</f>
        <v/>
      </c>
      <c r="AP293" s="109" t="str">
        <f>'[1]page 1-8'!$A293</f>
        <v>Steam leakage</v>
      </c>
    </row>
    <row r="294" spans="1:42" x14ac:dyDescent="0.4">
      <c r="A294" s="37" t="s">
        <v>355</v>
      </c>
      <c r="B294" s="38" t="s">
        <v>356</v>
      </c>
      <c r="C294" s="49">
        <v>4.5941108663394052</v>
      </c>
      <c r="D294" s="49">
        <v>4.5999999999999996</v>
      </c>
      <c r="E294" s="44">
        <v>4.57</v>
      </c>
      <c r="F294" s="44">
        <v>4.5748097705437738</v>
      </c>
      <c r="G294" s="44">
        <v>4.5725951547674315</v>
      </c>
      <c r="H294" s="44">
        <v>4.5756229807984496</v>
      </c>
      <c r="I294" s="44">
        <v>4.5638005315111734</v>
      </c>
      <c r="J294" s="44">
        <v>4.3996310505298029</v>
      </c>
      <c r="K294" s="44">
        <v>4.3035699256679587</v>
      </c>
      <c r="L294" s="44">
        <v>4.5007273675971096</v>
      </c>
      <c r="M294" s="44">
        <v>4.4351786907379118</v>
      </c>
      <c r="N294" s="44">
        <v>4.3089078763081075</v>
      </c>
      <c r="O294" s="44">
        <v>4.3286049745083641</v>
      </c>
      <c r="P294" s="44">
        <v>4.320108452503117</v>
      </c>
      <c r="Q294" s="44">
        <v>4.1955694555561625</v>
      </c>
      <c r="R294" s="44">
        <v>4.2545676491171358</v>
      </c>
      <c r="S294" s="44">
        <v>4.2379596616888655</v>
      </c>
      <c r="T294" s="44">
        <v>4.2570077649891038</v>
      </c>
      <c r="U294" s="44">
        <v>4.2</v>
      </c>
      <c r="V294" s="44"/>
      <c r="W294" s="45">
        <v>4.2043312336199365</v>
      </c>
      <c r="X294" s="44">
        <v>4.2101582627898413</v>
      </c>
      <c r="Y294" s="44" t="e">
        <v>#DIV/0!</v>
      </c>
      <c r="Z294" s="44">
        <v>4.2072438771990344</v>
      </c>
      <c r="AA294" s="44" t="e">
        <v>#DIV/0!</v>
      </c>
      <c r="AB294" s="44" t="e">
        <v>#DIV/0!</v>
      </c>
      <c r="AC294" s="44" t="e">
        <v>#DIV/0!</v>
      </c>
      <c r="AD294" s="44" t="e">
        <v>#DIV/0!</v>
      </c>
      <c r="AE294" s="44" t="e">
        <v>#DIV/0!</v>
      </c>
      <c r="AF294" s="44" t="e">
        <v>#DIV/0!</v>
      </c>
      <c r="AG294" s="44" t="e">
        <v>#DIV/0!</v>
      </c>
      <c r="AH294" s="44" t="e">
        <v>#DIV/0!</v>
      </c>
      <c r="AI294" s="44" t="e">
        <v>#DIV/0!</v>
      </c>
      <c r="AJ294" s="44" t="e">
        <v>#DIV/0!</v>
      </c>
      <c r="AK294" s="44" t="e">
        <v>#DIV/0!</v>
      </c>
      <c r="AL294" s="44"/>
      <c r="AM294" s="44">
        <v>4.2072438771990344</v>
      </c>
      <c r="AO294" s="109" t="str">
        <f>IF(A294='[1]page 1-8'!$A294,"","False")</f>
        <v/>
      </c>
      <c r="AP294" s="109" t="str">
        <f>'[1]page 1-8'!$A294</f>
        <v>Steam- TA/KWH of Gen.</v>
      </c>
    </row>
    <row r="295" spans="1:42" x14ac:dyDescent="0.4">
      <c r="A295" s="37" t="s">
        <v>357</v>
      </c>
      <c r="B295" s="38" t="s">
        <v>358</v>
      </c>
      <c r="C295" s="49">
        <v>23.694351124870192</v>
      </c>
      <c r="D295" s="49">
        <v>23.5</v>
      </c>
      <c r="E295" s="49">
        <v>23.56</v>
      </c>
      <c r="F295" s="49">
        <v>22.990334243687514</v>
      </c>
      <c r="G295" s="49">
        <v>23.289912710592947</v>
      </c>
      <c r="H295" s="49">
        <v>23.682444097620262</v>
      </c>
      <c r="I295" s="49">
        <v>26.347598696823738</v>
      </c>
      <c r="J295" s="44">
        <v>25.603054025392517</v>
      </c>
      <c r="K295" s="44">
        <v>25.32956203638529</v>
      </c>
      <c r="L295" s="44">
        <v>27.067449064127313</v>
      </c>
      <c r="M295" s="44">
        <v>26.85447282928823</v>
      </c>
      <c r="N295" s="44">
        <v>26.002451279718915</v>
      </c>
      <c r="O295" s="44">
        <v>25.078431922774719</v>
      </c>
      <c r="P295" s="44">
        <v>24.712806743220803</v>
      </c>
      <c r="Q295" s="44">
        <v>24.826991048160686</v>
      </c>
      <c r="R295" s="44">
        <v>27.407233034699864</v>
      </c>
      <c r="S295" s="44">
        <v>25.124183730393121</v>
      </c>
      <c r="T295" s="44">
        <v>25.09286175710594</v>
      </c>
      <c r="U295" s="44">
        <v>24.5</v>
      </c>
      <c r="V295" s="44"/>
      <c r="W295" s="45">
        <v>24.31469298245614</v>
      </c>
      <c r="X295" s="44">
        <v>24.556451612903224</v>
      </c>
      <c r="Y295" s="44" t="e">
        <v>#DIV/0!</v>
      </c>
      <c r="Z295" s="44">
        <v>24.436753528773071</v>
      </c>
      <c r="AA295" s="44" t="e">
        <v>#DIV/0!</v>
      </c>
      <c r="AB295" s="44" t="e">
        <v>#DIV/0!</v>
      </c>
      <c r="AC295" s="44" t="e">
        <v>#DIV/0!</v>
      </c>
      <c r="AD295" s="44" t="e">
        <v>#DIV/0!</v>
      </c>
      <c r="AE295" s="44" t="e">
        <v>#DIV/0!</v>
      </c>
      <c r="AF295" s="44" t="e">
        <v>#DIV/0!</v>
      </c>
      <c r="AG295" s="44" t="e">
        <v>#DIV/0!</v>
      </c>
      <c r="AH295" s="44" t="e">
        <v>#DIV/0!</v>
      </c>
      <c r="AI295" s="44" t="e">
        <v>#DIV/0!</v>
      </c>
      <c r="AJ295" s="44" t="e">
        <v>#DIV/0!</v>
      </c>
      <c r="AK295" s="44" t="e">
        <v>#DIV/0!</v>
      </c>
      <c r="AL295" s="44"/>
      <c r="AM295" s="44">
        <v>24.436753528773071</v>
      </c>
      <c r="AO295" s="109" t="str">
        <f>IF(A295='[1]page 1-8'!$A295,"","False")</f>
        <v/>
      </c>
      <c r="AP295" s="109" t="str">
        <f>'[1]page 1-8'!$A295</f>
        <v>Aux Power Cons.-KWH</v>
      </c>
    </row>
    <row r="296" spans="1:42" x14ac:dyDescent="0.4">
      <c r="A296" s="43" t="s">
        <v>359</v>
      </c>
      <c r="B296" s="38"/>
      <c r="C296" s="49"/>
      <c r="D296" s="49"/>
      <c r="E296" s="49"/>
      <c r="F296" s="49"/>
      <c r="G296" s="49"/>
      <c r="H296" s="49"/>
      <c r="I296" s="49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41"/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  <c r="AH296" s="38"/>
      <c r="AI296" s="38"/>
      <c r="AJ296" s="38"/>
      <c r="AK296" s="38"/>
      <c r="AL296" s="38"/>
      <c r="AM296" s="38"/>
      <c r="AO296" s="109" t="str">
        <f>IF(A296='[1]page 1-8'!$A296,"","False")</f>
        <v/>
      </c>
      <c r="AP296" s="109" t="str">
        <f>'[1]page 1-8'!$A296</f>
        <v xml:space="preserve"> C P P - II</v>
      </c>
    </row>
    <row r="297" spans="1:42" x14ac:dyDescent="0.4">
      <c r="A297" s="37" t="s">
        <v>352</v>
      </c>
      <c r="B297" s="38" t="s">
        <v>353</v>
      </c>
      <c r="C297" s="47">
        <v>20.833333333333332</v>
      </c>
      <c r="D297" s="47">
        <v>48</v>
      </c>
      <c r="E297" s="47">
        <v>45</v>
      </c>
      <c r="F297" s="47">
        <v>29.916666666666668</v>
      </c>
      <c r="G297" s="47">
        <v>19.75</v>
      </c>
      <c r="H297" s="47">
        <v>25.916666666666668</v>
      </c>
      <c r="I297" s="47">
        <v>31.25</v>
      </c>
      <c r="J297" s="44">
        <v>39.926666666666662</v>
      </c>
      <c r="K297" s="44">
        <v>19.3</v>
      </c>
      <c r="L297" s="44">
        <v>22.166666666666668</v>
      </c>
      <c r="M297" s="44">
        <v>18.25</v>
      </c>
      <c r="N297" s="49">
        <v>4.583333333333333</v>
      </c>
      <c r="O297" s="49">
        <v>7</v>
      </c>
      <c r="P297" s="49">
        <v>0</v>
      </c>
      <c r="Q297" s="49">
        <v>4.666666666666667</v>
      </c>
      <c r="R297" s="49">
        <v>0</v>
      </c>
      <c r="S297" s="49">
        <v>0</v>
      </c>
      <c r="T297" s="49">
        <v>0</v>
      </c>
      <c r="U297" s="38">
        <v>0</v>
      </c>
      <c r="V297" s="38"/>
      <c r="W297" s="48">
        <v>0</v>
      </c>
      <c r="X297" s="47">
        <v>0</v>
      </c>
      <c r="Y297" s="47" t="e">
        <v>#DIV/0!</v>
      </c>
      <c r="Z297" s="47" t="e">
        <v>#DIV/0!</v>
      </c>
      <c r="AA297" s="47" t="e">
        <v>#DIV/0!</v>
      </c>
      <c r="AB297" s="47" t="e">
        <v>#DIV/0!</v>
      </c>
      <c r="AC297" s="47" t="e">
        <v>#DIV/0!</v>
      </c>
      <c r="AD297" s="47" t="e">
        <v>#DIV/0!</v>
      </c>
      <c r="AE297" s="47" t="e">
        <v>#DIV/0!</v>
      </c>
      <c r="AF297" s="47" t="e">
        <v>#DIV/0!</v>
      </c>
      <c r="AG297" s="47" t="e">
        <v>#DIV/0!</v>
      </c>
      <c r="AH297" s="47" t="e">
        <v>#DIV/0!</v>
      </c>
      <c r="AI297" s="47" t="e">
        <v>#DIV/0!</v>
      </c>
      <c r="AJ297" s="47" t="e">
        <v>#DIV/0!</v>
      </c>
      <c r="AK297" s="47" t="e">
        <v>#DIV/0!</v>
      </c>
      <c r="AL297" s="47"/>
      <c r="AM297" s="49">
        <v>0</v>
      </c>
      <c r="AO297" s="109" t="str">
        <f>IF(A297='[1]page 1-8'!$A297,"","False")</f>
        <v/>
      </c>
      <c r="AP297" s="109" t="str">
        <f>'[1]page 1-8'!$A297</f>
        <v>Fce.Oil Consmn.</v>
      </c>
    </row>
    <row r="298" spans="1:42" x14ac:dyDescent="0.4">
      <c r="A298" s="37" t="s">
        <v>355</v>
      </c>
      <c r="B298" s="38" t="s">
        <v>356</v>
      </c>
      <c r="C298" s="44">
        <v>3.9229653789931844</v>
      </c>
      <c r="D298" s="44">
        <v>4.13</v>
      </c>
      <c r="E298" s="44">
        <v>3.89</v>
      </c>
      <c r="F298" s="44">
        <v>4.0470306113832217</v>
      </c>
      <c r="G298" s="44">
        <v>4.2130372304439669</v>
      </c>
      <c r="H298" s="44">
        <v>4.1673669454502464</v>
      </c>
      <c r="I298" s="44">
        <v>4.1150200470383318</v>
      </c>
      <c r="J298" s="44">
        <v>4.1538862158423173</v>
      </c>
      <c r="K298" s="44">
        <v>4.1643115627472707</v>
      </c>
      <c r="L298" s="44">
        <v>4.2141905992810482</v>
      </c>
      <c r="M298" s="44">
        <v>7.1700143211132144</v>
      </c>
      <c r="N298" s="44">
        <v>4.2404987849060607</v>
      </c>
      <c r="O298" s="44">
        <v>4.1865477663416319</v>
      </c>
      <c r="P298" s="44">
        <v>3.7098925842535349</v>
      </c>
      <c r="Q298" s="44">
        <v>4.2317847035723153</v>
      </c>
      <c r="R298" s="44">
        <v>4.3476027608597958</v>
      </c>
      <c r="S298" s="44">
        <v>4.1144873841335921</v>
      </c>
      <c r="T298" s="44">
        <v>4.2408211279072843</v>
      </c>
      <c r="U298" s="38">
        <v>3.7</v>
      </c>
      <c r="V298" s="38"/>
      <c r="W298" s="45">
        <v>4.328279326775748</v>
      </c>
      <c r="X298" s="44">
        <v>4.3766618475194869</v>
      </c>
      <c r="Y298" s="44" t="e">
        <v>#DIV/0!</v>
      </c>
      <c r="Z298" s="44">
        <v>4.3522333180499668</v>
      </c>
      <c r="AA298" s="44" t="e">
        <v>#DIV/0!</v>
      </c>
      <c r="AB298" s="44" t="e">
        <v>#DIV/0!</v>
      </c>
      <c r="AC298" s="44" t="e">
        <v>#DIV/0!</v>
      </c>
      <c r="AD298" s="44" t="e">
        <v>#DIV/0!</v>
      </c>
      <c r="AE298" s="44" t="e">
        <v>#DIV/0!</v>
      </c>
      <c r="AF298" s="44" t="e">
        <v>#DIV/0!</v>
      </c>
      <c r="AG298" s="44" t="e">
        <v>#DIV/0!</v>
      </c>
      <c r="AH298" s="44" t="e">
        <v>#DIV/0!</v>
      </c>
      <c r="AI298" s="44" t="e">
        <v>#DIV/0!</v>
      </c>
      <c r="AJ298" s="44" t="e">
        <v>#DIV/0!</v>
      </c>
      <c r="AK298" s="44" t="e">
        <v>#DIV/0!</v>
      </c>
      <c r="AL298" s="44"/>
      <c r="AM298" s="44">
        <v>4.3522333180499668</v>
      </c>
      <c r="AO298" s="109" t="str">
        <f>IF(A298='[1]page 1-8'!$A298,"","False")</f>
        <v/>
      </c>
      <c r="AP298" s="109" t="str">
        <f>'[1]page 1-8'!$A298</f>
        <v>Steam- TA/KWH of Gen.</v>
      </c>
    </row>
    <row r="299" spans="1:42" x14ac:dyDescent="0.4">
      <c r="A299" s="37" t="s">
        <v>357</v>
      </c>
      <c r="B299" s="38" t="s">
        <v>358</v>
      </c>
      <c r="C299" s="44">
        <v>24.99275881497098</v>
      </c>
      <c r="D299" s="44">
        <v>24.76</v>
      </c>
      <c r="E299" s="44">
        <v>25.33</v>
      </c>
      <c r="F299" s="44">
        <v>26.500084857862511</v>
      </c>
      <c r="G299" s="44">
        <v>25.997688791602084</v>
      </c>
      <c r="H299" s="44">
        <v>26.148952338867076</v>
      </c>
      <c r="I299" s="44">
        <v>27.383539708932119</v>
      </c>
      <c r="J299" s="44">
        <v>26.493671825508081</v>
      </c>
      <c r="K299" s="44">
        <v>26.78598517381872</v>
      </c>
      <c r="L299" s="44">
        <v>25.456736624709212</v>
      </c>
      <c r="M299" s="44">
        <v>24.868493625677594</v>
      </c>
      <c r="N299" s="44">
        <v>24.310988383823826</v>
      </c>
      <c r="O299" s="44">
        <v>22.835478049396617</v>
      </c>
      <c r="P299" s="44">
        <v>25.47759488242281</v>
      </c>
      <c r="Q299" s="44">
        <v>26.121685230336542</v>
      </c>
      <c r="R299" s="44">
        <v>29.80420873110203</v>
      </c>
      <c r="S299" s="44">
        <v>31.728671407175696</v>
      </c>
      <c r="T299" s="44">
        <v>30.606955564209226</v>
      </c>
      <c r="U299" s="38">
        <v>32</v>
      </c>
      <c r="V299" s="38"/>
      <c r="W299" s="45">
        <v>30.377854403084449</v>
      </c>
      <c r="X299" s="44">
        <v>31.190322596776529</v>
      </c>
      <c r="Y299" s="44" t="e">
        <v>#DIV/0!</v>
      </c>
      <c r="Z299" s="44">
        <v>30.78277535334302</v>
      </c>
      <c r="AA299" s="44" t="e">
        <v>#DIV/0!</v>
      </c>
      <c r="AB299" s="44" t="e">
        <v>#DIV/0!</v>
      </c>
      <c r="AC299" s="44" t="e">
        <v>#DIV/0!</v>
      </c>
      <c r="AD299" s="44" t="e">
        <v>#DIV/0!</v>
      </c>
      <c r="AE299" s="44" t="e">
        <v>#DIV/0!</v>
      </c>
      <c r="AF299" s="44" t="e">
        <v>#DIV/0!</v>
      </c>
      <c r="AG299" s="44" t="e">
        <v>#DIV/0!</v>
      </c>
      <c r="AH299" s="44" t="e">
        <v>#DIV/0!</v>
      </c>
      <c r="AI299" s="44" t="e">
        <v>#DIV/0!</v>
      </c>
      <c r="AJ299" s="44" t="e">
        <v>#DIV/0!</v>
      </c>
      <c r="AK299" s="44" t="e">
        <v>#DIV/0!</v>
      </c>
      <c r="AL299" s="44"/>
      <c r="AM299" s="44">
        <v>30.78277535334302</v>
      </c>
      <c r="AO299" s="109" t="str">
        <f>IF(A299='[1]page 1-8'!$A299,"","False")</f>
        <v/>
      </c>
      <c r="AP299" s="109" t="str">
        <f>'[1]page 1-8'!$A299</f>
        <v>Aux Power Cons.-KWH</v>
      </c>
    </row>
    <row r="300" spans="1:42" x14ac:dyDescent="0.4">
      <c r="A300" s="37"/>
      <c r="B300" s="38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38"/>
      <c r="V300" s="38"/>
      <c r="W300" s="45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4"/>
      <c r="AI300" s="44"/>
      <c r="AJ300" s="44"/>
      <c r="AK300" s="44"/>
      <c r="AL300" s="44"/>
      <c r="AM300" s="44"/>
      <c r="AO300" s="109" t="str">
        <f>IF(A300='[1]page 1-8'!$A300,"","False")</f>
        <v/>
      </c>
      <c r="AP300" s="109">
        <f>'[1]page 1-8'!$A300</f>
        <v>0</v>
      </c>
    </row>
    <row r="301" spans="1:42" x14ac:dyDescent="0.4">
      <c r="A301" s="37"/>
      <c r="B301" s="38"/>
      <c r="C301" s="44"/>
      <c r="D301" s="44"/>
      <c r="E301" s="44"/>
      <c r="F301" s="44"/>
      <c r="G301" s="44"/>
      <c r="H301" s="44"/>
      <c r="I301" s="44"/>
      <c r="J301" s="44"/>
      <c r="K301" s="38"/>
      <c r="L301" s="38"/>
      <c r="M301" s="38"/>
      <c r="N301" s="38"/>
      <c r="O301" s="38"/>
      <c r="U301" s="38" t="s">
        <v>138</v>
      </c>
      <c r="V301" s="38"/>
      <c r="AO301" s="109" t="str">
        <f>IF(A301='[1]page 1-8'!$A301,"","False")</f>
        <v/>
      </c>
      <c r="AP301" s="109">
        <f>'[1]page 1-8'!$A301</f>
        <v>0</v>
      </c>
    </row>
    <row r="302" spans="1:42" s="33" customFormat="1" x14ac:dyDescent="0.4">
      <c r="A302" s="37"/>
      <c r="B302" s="38" t="s">
        <v>112</v>
      </c>
      <c r="C302" s="38" t="s">
        <v>113</v>
      </c>
      <c r="D302" s="42" t="s">
        <v>114</v>
      </c>
      <c r="E302" s="42" t="s">
        <v>115</v>
      </c>
      <c r="F302" s="42" t="s">
        <v>116</v>
      </c>
      <c r="G302" s="42" t="s">
        <v>117</v>
      </c>
      <c r="H302" s="38" t="s">
        <v>118</v>
      </c>
      <c r="I302" s="38" t="s">
        <v>119</v>
      </c>
      <c r="J302" s="38" t="s">
        <v>120</v>
      </c>
      <c r="K302" s="38" t="s">
        <v>121</v>
      </c>
      <c r="L302" s="38" t="s">
        <v>122</v>
      </c>
      <c r="M302" s="38" t="s">
        <v>123</v>
      </c>
      <c r="N302" s="38" t="s">
        <v>124</v>
      </c>
      <c r="O302" s="38" t="s">
        <v>125</v>
      </c>
      <c r="P302" s="38" t="s">
        <v>126</v>
      </c>
      <c r="Q302" s="38" t="s">
        <v>127</v>
      </c>
      <c r="R302" s="38" t="s">
        <v>128</v>
      </c>
      <c r="S302" s="38" t="s">
        <v>129</v>
      </c>
      <c r="T302" s="38" t="s">
        <v>130</v>
      </c>
      <c r="U302" s="38" t="s">
        <v>131</v>
      </c>
      <c r="V302" s="38"/>
      <c r="W302" s="41" t="s">
        <v>4</v>
      </c>
      <c r="X302" s="38" t="s">
        <v>5</v>
      </c>
      <c r="Y302" s="38" t="s">
        <v>6</v>
      </c>
      <c r="Z302" s="38" t="s">
        <v>132</v>
      </c>
      <c r="AA302" s="38" t="s">
        <v>166</v>
      </c>
      <c r="AB302" s="38" t="s">
        <v>9</v>
      </c>
      <c r="AC302" s="38" t="s">
        <v>10</v>
      </c>
      <c r="AD302" s="38" t="s">
        <v>133</v>
      </c>
      <c r="AE302" s="38" t="s">
        <v>12</v>
      </c>
      <c r="AF302" s="38" t="s">
        <v>13</v>
      </c>
      <c r="AG302" s="38" t="s">
        <v>14</v>
      </c>
      <c r="AH302" s="38" t="s">
        <v>134</v>
      </c>
      <c r="AI302" s="38" t="s">
        <v>16</v>
      </c>
      <c r="AJ302" s="38" t="s">
        <v>17</v>
      </c>
      <c r="AK302" s="38" t="s">
        <v>18</v>
      </c>
      <c r="AL302" s="38"/>
      <c r="AM302" s="38" t="s">
        <v>136</v>
      </c>
      <c r="AO302" s="109" t="str">
        <f>IF(A302='[1]page 1-8'!$A302,"","False")</f>
        <v/>
      </c>
      <c r="AP302" s="109">
        <f>'[1]page 1-8'!$A302</f>
        <v>0</v>
      </c>
    </row>
    <row r="303" spans="1:42" x14ac:dyDescent="0.4">
      <c r="A303" s="37" t="s">
        <v>360</v>
      </c>
      <c r="B303" s="38" t="s">
        <v>254</v>
      </c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41"/>
      <c r="X303" s="38"/>
      <c r="Y303" s="38"/>
      <c r="Z303" s="38"/>
      <c r="AA303" s="38"/>
      <c r="AB303" s="38"/>
      <c r="AC303" s="38"/>
      <c r="AD303" s="38"/>
      <c r="AE303" s="38"/>
      <c r="AF303" s="38"/>
      <c r="AG303" s="38"/>
      <c r="AH303" s="38"/>
      <c r="AI303" s="38"/>
      <c r="AJ303" s="38"/>
      <c r="AK303" s="38"/>
      <c r="AL303" s="38"/>
      <c r="AM303" s="38"/>
      <c r="AO303" s="109" t="str">
        <f>IF(A303='[1]page 1-8'!$A303,"","False")</f>
        <v/>
      </c>
      <c r="AP303" s="109" t="str">
        <f>'[1]page 1-8'!$A303</f>
        <v>HEAT &amp; POWER</v>
      </c>
    </row>
    <row r="304" spans="1:42" x14ac:dyDescent="0.4">
      <c r="A304" s="37" t="s">
        <v>361</v>
      </c>
      <c r="B304" s="38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38"/>
      <c r="Q304" s="38"/>
      <c r="R304" s="38"/>
      <c r="S304" s="38"/>
      <c r="T304" s="38"/>
      <c r="U304" s="38"/>
      <c r="V304" s="38"/>
      <c r="W304" s="41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  <c r="AH304" s="38"/>
      <c r="AI304" s="38"/>
      <c r="AJ304" s="38"/>
      <c r="AK304" s="38"/>
      <c r="AL304" s="38"/>
      <c r="AM304" s="38"/>
      <c r="AO304" s="109" t="str">
        <f>IF(A304='[1]page 1-8'!$A304,"","False")</f>
        <v/>
      </c>
      <c r="AP304" s="109" t="str">
        <f>'[1]page 1-8'!$A304</f>
        <v>HEAT CONS.PER T OF</v>
      </c>
    </row>
    <row r="305" spans="1:42" x14ac:dyDescent="0.4">
      <c r="A305" s="37" t="s">
        <v>362</v>
      </c>
      <c r="B305" s="38" t="s">
        <v>363</v>
      </c>
      <c r="C305" s="47">
        <v>583.98591786870816</v>
      </c>
      <c r="D305" s="47">
        <v>585</v>
      </c>
      <c r="E305" s="47">
        <v>587</v>
      </c>
      <c r="F305" s="47">
        <v>592.79663020288524</v>
      </c>
      <c r="G305" s="47">
        <v>599.28731857131697</v>
      </c>
      <c r="H305" s="47">
        <v>599.91251557875057</v>
      </c>
      <c r="I305" s="47">
        <v>599.82385287375098</v>
      </c>
      <c r="J305" s="47">
        <v>600.43186948058758</v>
      </c>
      <c r="K305" s="47">
        <v>603.42650893838754</v>
      </c>
      <c r="L305" s="47">
        <v>608.8514439468953</v>
      </c>
      <c r="M305" s="47">
        <v>655.15524883913974</v>
      </c>
      <c r="N305" s="47">
        <v>702.35150656324583</v>
      </c>
      <c r="O305" s="47">
        <v>729.28119903038998</v>
      </c>
      <c r="P305" s="47">
        <v>730.00645511785547</v>
      </c>
      <c r="Q305" s="47">
        <v>719.72650498115524</v>
      </c>
      <c r="R305" s="47">
        <v>714.57735394261101</v>
      </c>
      <c r="S305" s="47">
        <v>713.72191740175356</v>
      </c>
      <c r="T305" s="47">
        <v>713.08226984420048</v>
      </c>
      <c r="U305" s="38">
        <v>670</v>
      </c>
      <c r="V305" s="38"/>
      <c r="W305" s="48">
        <v>711.61019768104927</v>
      </c>
      <c r="X305" s="47">
        <v>709.57766703869311</v>
      </c>
      <c r="Y305" s="47" t="e">
        <v>#DIV/0!</v>
      </c>
      <c r="Z305" s="47">
        <v>710.59256631624658</v>
      </c>
      <c r="AA305" s="47" t="e">
        <v>#DIV/0!</v>
      </c>
      <c r="AB305" s="47" t="e">
        <v>#DIV/0!</v>
      </c>
      <c r="AC305" s="47" t="e">
        <v>#DIV/0!</v>
      </c>
      <c r="AD305" s="47" t="e">
        <v>#DIV/0!</v>
      </c>
      <c r="AE305" s="47" t="e">
        <v>#DIV/0!</v>
      </c>
      <c r="AF305" s="47" t="e">
        <v>#DIV/0!</v>
      </c>
      <c r="AG305" s="47" t="e">
        <v>#DIV/0!</v>
      </c>
      <c r="AH305" s="47" t="e">
        <v>#DIV/0!</v>
      </c>
      <c r="AI305" s="47" t="e">
        <v>#DIV/0!</v>
      </c>
      <c r="AJ305" s="47" t="e">
        <v>#DIV/0!</v>
      </c>
      <c r="AK305" s="47" t="e">
        <v>#DIV/0!</v>
      </c>
      <c r="AL305" s="47"/>
      <c r="AM305" s="47">
        <v>710.59256631624658</v>
      </c>
      <c r="AO305" s="109" t="str">
        <f>IF(A305='[1]page 1-8'!$A305,"","False")</f>
        <v/>
      </c>
      <c r="AP305" s="109" t="str">
        <f>'[1]page 1-8'!$A305</f>
        <v>Dry Coal input</v>
      </c>
    </row>
    <row r="306" spans="1:42" x14ac:dyDescent="0.4">
      <c r="A306" s="37" t="s">
        <v>364</v>
      </c>
      <c r="B306" s="38" t="s">
        <v>363</v>
      </c>
      <c r="C306" s="47">
        <v>580.52698294793959</v>
      </c>
      <c r="D306" s="47">
        <v>583</v>
      </c>
      <c r="E306" s="47">
        <v>578</v>
      </c>
      <c r="F306" s="47">
        <v>541.62582311213339</v>
      </c>
      <c r="G306" s="47">
        <v>537.66554699585799</v>
      </c>
      <c r="H306" s="47">
        <v>520.61417079207922</v>
      </c>
      <c r="I306" s="47">
        <v>542.87651448476595</v>
      </c>
      <c r="J306" s="47">
        <v>586.80507189471257</v>
      </c>
      <c r="K306" s="47">
        <v>577.7912994543052</v>
      </c>
      <c r="L306" s="47">
        <v>599.49734126106841</v>
      </c>
      <c r="M306" s="47">
        <v>616.73517306451356</v>
      </c>
      <c r="N306" s="47">
        <v>663.0852818290798</v>
      </c>
      <c r="O306" s="47">
        <v>723.34951082659302</v>
      </c>
      <c r="P306" s="47">
        <v>723.26041806978685</v>
      </c>
      <c r="Q306" s="47">
        <v>700.80357093448583</v>
      </c>
      <c r="R306" s="47">
        <v>655.11162396743396</v>
      </c>
      <c r="S306" s="47">
        <v>659.57361593393171</v>
      </c>
      <c r="T306" s="47">
        <v>655.11887920770084</v>
      </c>
      <c r="U306" s="38">
        <v>615</v>
      </c>
      <c r="V306" s="38"/>
      <c r="W306" s="48">
        <v>639.99905559752904</v>
      </c>
      <c r="X306" s="47">
        <v>640</v>
      </c>
      <c r="Y306" s="47" t="e">
        <v>#DIV/0!</v>
      </c>
      <c r="Z306" s="47">
        <v>639.99953744391507</v>
      </c>
      <c r="AA306" s="47" t="e">
        <v>#DIV/0!</v>
      </c>
      <c r="AB306" s="47" t="e">
        <v>#DIV/0!</v>
      </c>
      <c r="AC306" s="47" t="e">
        <v>#DIV/0!</v>
      </c>
      <c r="AD306" s="47" t="e">
        <v>#DIV/0!</v>
      </c>
      <c r="AE306" s="47" t="e">
        <v>#DIV/0!</v>
      </c>
      <c r="AF306" s="47" t="e">
        <v>#DIV/0!</v>
      </c>
      <c r="AG306" s="47" t="e">
        <v>#DIV/0!</v>
      </c>
      <c r="AH306" s="47" t="e">
        <v>#DIV/0!</v>
      </c>
      <c r="AI306" s="47" t="e">
        <v>#DIV/0!</v>
      </c>
      <c r="AJ306" s="47" t="e">
        <v>#DIV/0!</v>
      </c>
      <c r="AK306" s="47" t="e">
        <v>#DIV/0!</v>
      </c>
      <c r="AL306" s="47"/>
      <c r="AM306" s="47">
        <v>639.99953744391507</v>
      </c>
      <c r="AO306" s="109" t="str">
        <f>IF(A306='[1]page 1-8'!$A306,"","False")</f>
        <v/>
      </c>
      <c r="AP306" s="109" t="str">
        <f>'[1]page 1-8'!$A306</f>
        <v>Hot Metal Prouction</v>
      </c>
    </row>
    <row r="307" spans="1:42" x14ac:dyDescent="0.4">
      <c r="A307" s="37" t="s">
        <v>365</v>
      </c>
      <c r="B307" s="38" t="s">
        <v>363</v>
      </c>
      <c r="C307" s="47">
        <v>44.391903653077513</v>
      </c>
      <c r="D307" s="47">
        <v>45</v>
      </c>
      <c r="E307" s="47">
        <v>44</v>
      </c>
      <c r="F307" s="47">
        <v>40.572365265817709</v>
      </c>
      <c r="G307" s="47">
        <v>40.857191284256672</v>
      </c>
      <c r="H307" s="47">
        <v>39.808202479557217</v>
      </c>
      <c r="I307" s="47">
        <v>44.42453045004811</v>
      </c>
      <c r="J307" s="47">
        <v>43.948647545666759</v>
      </c>
      <c r="K307" s="47">
        <v>45.050528880732124</v>
      </c>
      <c r="L307" s="47">
        <v>56.47457562813991</v>
      </c>
      <c r="M307" s="47">
        <v>56.285882096083299</v>
      </c>
      <c r="N307" s="47">
        <v>53.770518830470607</v>
      </c>
      <c r="O307" s="47">
        <v>63.036588160271705</v>
      </c>
      <c r="P307" s="47">
        <v>56.94594250756407</v>
      </c>
      <c r="Q307" s="47">
        <v>54.290961951932871</v>
      </c>
      <c r="R307" s="47">
        <v>50.632167555330128</v>
      </c>
      <c r="S307" s="47">
        <v>44.500938101542388</v>
      </c>
      <c r="T307" s="47">
        <v>46.633596065700424</v>
      </c>
      <c r="U307" s="38">
        <v>30</v>
      </c>
      <c r="V307" s="38"/>
      <c r="W307" s="48">
        <v>30.240436255473849</v>
      </c>
      <c r="X307" s="47">
        <v>29.40556080716858</v>
      </c>
      <c r="Y307" s="47" t="e">
        <v>#DIV/0!</v>
      </c>
      <c r="Z307" s="49">
        <v>0</v>
      </c>
      <c r="AA307" s="47" t="e">
        <v>#DIV/0!</v>
      </c>
      <c r="AB307" s="47" t="e">
        <v>#DIV/0!</v>
      </c>
      <c r="AC307" s="47" t="e">
        <v>#DIV/0!</v>
      </c>
      <c r="AD307" s="49" t="s">
        <v>109</v>
      </c>
      <c r="AE307" s="47" t="e">
        <v>#DIV/0!</v>
      </c>
      <c r="AF307" s="47" t="e">
        <v>#DIV/0!</v>
      </c>
      <c r="AG307" s="47" t="e">
        <v>#DIV/0!</v>
      </c>
      <c r="AH307" s="47" t="e">
        <v>#DIV/0!</v>
      </c>
      <c r="AI307" s="47" t="e">
        <v>#DIV/0!</v>
      </c>
      <c r="AJ307" s="47" t="e">
        <v>#DIV/0!</v>
      </c>
      <c r="AK307" s="47" t="e">
        <v>#DIV/0!</v>
      </c>
      <c r="AL307" s="49"/>
      <c r="AM307" s="47">
        <v>29.811310147651113</v>
      </c>
      <c r="AO307" s="109" t="str">
        <f>IF(A307='[1]page 1-8'!$A307,"","False")</f>
        <v/>
      </c>
      <c r="AP307" s="109" t="str">
        <f>'[1]page 1-8'!$A307</f>
        <v>Sinter Production(SP-I)</v>
      </c>
    </row>
    <row r="308" spans="1:42" x14ac:dyDescent="0.4">
      <c r="A308" s="37" t="s">
        <v>366</v>
      </c>
      <c r="B308" s="38" t="s">
        <v>363</v>
      </c>
      <c r="C308" s="47">
        <v>23.428133741840949</v>
      </c>
      <c r="D308" s="47">
        <v>23</v>
      </c>
      <c r="E308" s="47">
        <v>22</v>
      </c>
      <c r="F308" s="47">
        <v>22.143373916620718</v>
      </c>
      <c r="G308" s="47">
        <v>21.841893405223967</v>
      </c>
      <c r="H308" s="47">
        <v>21.929107383118456</v>
      </c>
      <c r="I308" s="47">
        <v>21.668017921655974</v>
      </c>
      <c r="J308" s="47">
        <v>21.732160045786831</v>
      </c>
      <c r="K308" s="47">
        <v>22.398577756091122</v>
      </c>
      <c r="L308" s="47">
        <v>22.005920803821674</v>
      </c>
      <c r="M308" s="47">
        <v>23.354737621066306</v>
      </c>
      <c r="N308" s="47">
        <v>21.130324843909765</v>
      </c>
      <c r="O308" s="47">
        <v>21.417123195066456</v>
      </c>
      <c r="P308" s="47">
        <v>21.339607559235631</v>
      </c>
      <c r="Q308" s="47">
        <v>20.848226660636389</v>
      </c>
      <c r="R308" s="47">
        <v>20.126378312563293</v>
      </c>
      <c r="S308" s="47">
        <v>19.787490025470564</v>
      </c>
      <c r="T308" s="47">
        <v>21.763658282788676</v>
      </c>
      <c r="U308" s="38">
        <v>22</v>
      </c>
      <c r="V308" s="38"/>
      <c r="W308" s="48">
        <v>22.466918414622537</v>
      </c>
      <c r="X308" s="47">
        <v>22.314003939931389</v>
      </c>
      <c r="Y308" s="47" t="e">
        <v>#DIV/0!</v>
      </c>
      <c r="Z308" s="47">
        <v>22.389177316293928</v>
      </c>
      <c r="AA308" s="47" t="e">
        <v>#DIV/0!</v>
      </c>
      <c r="AB308" s="47" t="e">
        <v>#DIV/0!</v>
      </c>
      <c r="AC308" s="47" t="e">
        <v>#DIV/0!</v>
      </c>
      <c r="AD308" s="47" t="e">
        <v>#DIV/0!</v>
      </c>
      <c r="AE308" s="47" t="e">
        <v>#DIV/0!</v>
      </c>
      <c r="AF308" s="47" t="e">
        <v>#DIV/0!</v>
      </c>
      <c r="AG308" s="47" t="e">
        <v>#DIV/0!</v>
      </c>
      <c r="AH308" s="47" t="e">
        <v>#DIV/0!</v>
      </c>
      <c r="AI308" s="47" t="e">
        <v>#DIV/0!</v>
      </c>
      <c r="AJ308" s="47" t="e">
        <v>#DIV/0!</v>
      </c>
      <c r="AK308" s="47" t="e">
        <v>#DIV/0!</v>
      </c>
      <c r="AL308" s="47"/>
      <c r="AM308" s="47">
        <v>22.389177316293928</v>
      </c>
      <c r="AO308" s="109" t="str">
        <f>IF(A308='[1]page 1-8'!$A308,"","False")</f>
        <v/>
      </c>
      <c r="AP308" s="109" t="str">
        <f>'[1]page 1-8'!$A308</f>
        <v>Sinter Prodn.(SP-II)</v>
      </c>
    </row>
    <row r="309" spans="1:42" x14ac:dyDescent="0.4">
      <c r="A309" s="37" t="s">
        <v>367</v>
      </c>
      <c r="B309" s="38" t="s">
        <v>363</v>
      </c>
      <c r="C309" s="47"/>
      <c r="D309" s="47"/>
      <c r="E309" s="47"/>
      <c r="F309" s="47"/>
      <c r="G309" s="47"/>
      <c r="H309" s="47"/>
      <c r="I309" s="47"/>
      <c r="J309" s="47">
        <v>24.873857716567404</v>
      </c>
      <c r="K309" s="47">
        <v>22.926618734642577</v>
      </c>
      <c r="L309" s="47">
        <v>21.678487588032567</v>
      </c>
      <c r="M309" s="47">
        <v>21.09708207949534</v>
      </c>
      <c r="N309" s="47">
        <v>18.171618196752771</v>
      </c>
      <c r="O309" s="47">
        <v>19.176920854956411</v>
      </c>
      <c r="P309" s="47">
        <v>21.308966928060006</v>
      </c>
      <c r="Q309" s="47">
        <v>18.690520912438913</v>
      </c>
      <c r="R309" s="47">
        <v>18.829082832091107</v>
      </c>
      <c r="S309" s="47">
        <v>19.030280937118366</v>
      </c>
      <c r="T309" s="47">
        <v>19.111037892862413</v>
      </c>
      <c r="U309" s="38">
        <v>19</v>
      </c>
      <c r="V309" s="38"/>
      <c r="W309" s="48">
        <v>20.493385724066101</v>
      </c>
      <c r="X309" s="47">
        <v>18.721584977860044</v>
      </c>
      <c r="Y309" s="47" t="e">
        <v>#DIV/0!</v>
      </c>
      <c r="Z309" s="47">
        <v>19.589578928963139</v>
      </c>
      <c r="AA309" s="47" t="e">
        <v>#DIV/0!</v>
      </c>
      <c r="AB309" s="47" t="e">
        <v>#DIV/0!</v>
      </c>
      <c r="AC309" s="47" t="e">
        <v>#DIV/0!</v>
      </c>
      <c r="AD309" s="47" t="e">
        <v>#DIV/0!</v>
      </c>
      <c r="AE309" s="47" t="e">
        <v>#DIV/0!</v>
      </c>
      <c r="AF309" s="47" t="e">
        <v>#DIV/0!</v>
      </c>
      <c r="AG309" s="47" t="e">
        <v>#DIV/0!</v>
      </c>
      <c r="AH309" s="47" t="e">
        <v>#DIV/0!</v>
      </c>
      <c r="AI309" s="47" t="e">
        <v>#DIV/0!</v>
      </c>
      <c r="AJ309" s="47" t="e">
        <v>#DIV/0!</v>
      </c>
      <c r="AK309" s="47" t="e">
        <v>#DIV/0!</v>
      </c>
      <c r="AL309" s="47"/>
      <c r="AM309" s="47">
        <v>19.589578928963139</v>
      </c>
      <c r="AO309" s="109" t="str">
        <f>IF(A309='[1]page 1-8'!$A309,"","False")</f>
        <v/>
      </c>
      <c r="AP309" s="109" t="str">
        <f>'[1]page 1-8'!$A309</f>
        <v>Sinter Prodn.(SP-III)</v>
      </c>
    </row>
    <row r="310" spans="1:42" x14ac:dyDescent="0.4">
      <c r="A310" s="37" t="s">
        <v>368</v>
      </c>
      <c r="B310" s="38" t="s">
        <v>363</v>
      </c>
      <c r="C310" s="47">
        <v>365.10607857532801</v>
      </c>
      <c r="D310" s="47">
        <v>364</v>
      </c>
      <c r="E310" s="47">
        <v>365</v>
      </c>
      <c r="F310" s="47">
        <v>365.53522725010453</v>
      </c>
      <c r="G310" s="47">
        <v>360.75558028813452</v>
      </c>
      <c r="H310" s="47">
        <v>361.2939235908629</v>
      </c>
      <c r="I310" s="47">
        <v>359.72263423316525</v>
      </c>
      <c r="J310" s="47">
        <v>359.51502565355486</v>
      </c>
      <c r="K310" s="47">
        <v>364.56467253916497</v>
      </c>
      <c r="L310" s="47">
        <v>371.39190630252858</v>
      </c>
      <c r="M310" s="47">
        <v>366.56168310345055</v>
      </c>
      <c r="N310" s="47">
        <v>359.97164677367721</v>
      </c>
      <c r="O310" s="47">
        <v>356.69247974409461</v>
      </c>
      <c r="P310" s="47">
        <v>364.95118392997421</v>
      </c>
      <c r="Q310" s="47">
        <v>359.90251693561714</v>
      </c>
      <c r="R310" s="47">
        <v>366.32280689906344</v>
      </c>
      <c r="S310" s="47">
        <v>362.61345792960822</v>
      </c>
      <c r="T310" s="47">
        <v>360.62849432796133</v>
      </c>
      <c r="U310" s="38">
        <v>362</v>
      </c>
      <c r="V310" s="38"/>
      <c r="W310" s="48">
        <v>357.00638237326723</v>
      </c>
      <c r="X310" s="47">
        <v>356.96637874804816</v>
      </c>
      <c r="Y310" s="47" t="e">
        <v>#DIV/0!</v>
      </c>
      <c r="Z310" s="49" t="s">
        <v>109</v>
      </c>
      <c r="AA310" s="47" t="e">
        <v>#DIV/0!</v>
      </c>
      <c r="AB310" s="47" t="e">
        <v>#DIV/0!</v>
      </c>
      <c r="AC310" s="47" t="e">
        <v>#DIV/0!</v>
      </c>
      <c r="AD310" s="49" t="s">
        <v>109</v>
      </c>
      <c r="AE310" s="47" t="e">
        <v>#DIV/0!</v>
      </c>
      <c r="AF310" s="47" t="e">
        <v>#DIV/0!</v>
      </c>
      <c r="AG310" s="47" t="e">
        <v>#DIV/0!</v>
      </c>
      <c r="AH310" s="49" t="s">
        <v>109</v>
      </c>
      <c r="AI310" s="47" t="e">
        <v>#DIV/0!</v>
      </c>
      <c r="AJ310" s="47" t="e">
        <v>#DIV/0!</v>
      </c>
      <c r="AK310" s="47" t="e">
        <v>#DIV/0!</v>
      </c>
      <c r="AL310" s="49"/>
      <c r="AM310" s="47">
        <v>356.98610095098758</v>
      </c>
      <c r="AO310" s="109" t="str">
        <f>IF(A310='[1]page 1-8'!$A310,"","False")</f>
        <v/>
      </c>
      <c r="AP310" s="109" t="str">
        <f>'[1]page 1-8'!$A310</f>
        <v>Slabs Rolled- PM</v>
      </c>
    </row>
    <row r="311" spans="1:42" x14ac:dyDescent="0.4">
      <c r="A311" s="37" t="s">
        <v>369</v>
      </c>
      <c r="B311" s="38" t="s">
        <v>363</v>
      </c>
      <c r="C311" s="47"/>
      <c r="D311" s="47"/>
      <c r="E311" s="47"/>
      <c r="F311" s="47"/>
      <c r="G311" s="47"/>
      <c r="H311" s="47"/>
      <c r="I311" s="47"/>
      <c r="J311" s="47"/>
      <c r="K311" s="47"/>
      <c r="L311" s="47">
        <v>338.40608250459161</v>
      </c>
      <c r="M311" s="47">
        <v>322.47243606011898</v>
      </c>
      <c r="N311" s="47">
        <v>327.81587236128672</v>
      </c>
      <c r="O311" s="47">
        <v>325.09899814119888</v>
      </c>
      <c r="P311" s="47">
        <v>333.12851815090153</v>
      </c>
      <c r="Q311" s="47">
        <v>319.8433191398143</v>
      </c>
      <c r="R311" s="47">
        <v>329.92721828417615</v>
      </c>
      <c r="S311" s="47">
        <v>317.4506112038888</v>
      </c>
      <c r="T311" s="47">
        <v>305.97153035887789</v>
      </c>
      <c r="U311" s="38">
        <v>308</v>
      </c>
      <c r="V311" s="38"/>
      <c r="W311" s="48">
        <v>312.98339287817515</v>
      </c>
      <c r="X311" s="47">
        <v>310.98974702457622</v>
      </c>
      <c r="Y311" s="47" t="e">
        <v>#DIV/0!</v>
      </c>
      <c r="Z311" s="47" t="e">
        <v>#DIV/0!</v>
      </c>
      <c r="AA311" s="47" t="e">
        <v>#DIV/0!</v>
      </c>
      <c r="AB311" s="47" t="e">
        <v>#DIV/0!</v>
      </c>
      <c r="AC311" s="47" t="e">
        <v>#DIV/0!</v>
      </c>
      <c r="AD311" s="47" t="e">
        <v>#DIV/0!</v>
      </c>
      <c r="AE311" s="47" t="e">
        <v>#DIV/0!</v>
      </c>
      <c r="AF311" s="47" t="e">
        <v>#DIV/0!</v>
      </c>
      <c r="AG311" s="47" t="e">
        <v>#DIV/0!</v>
      </c>
      <c r="AH311" s="47" t="e">
        <v>#DIV/0!</v>
      </c>
      <c r="AI311" s="47" t="e">
        <v>#DIV/0!</v>
      </c>
      <c r="AJ311" s="47" t="e">
        <v>#DIV/0!</v>
      </c>
      <c r="AK311" s="47" t="e">
        <v>#DIV/0!</v>
      </c>
      <c r="AL311" s="47"/>
      <c r="AM311" s="47">
        <v>311.86800262887846</v>
      </c>
      <c r="AO311" s="109" t="str">
        <f>IF(A311='[1]page 1-8'!$A311,"","False")</f>
        <v/>
      </c>
      <c r="AP311" s="109" t="str">
        <f>'[1]page 1-8'!$A311</f>
        <v>Slabs Rolled- NPM</v>
      </c>
    </row>
    <row r="312" spans="1:42" x14ac:dyDescent="0.4">
      <c r="A312" s="37" t="s">
        <v>370</v>
      </c>
      <c r="B312" s="38" t="s">
        <v>363</v>
      </c>
      <c r="C312" s="47">
        <v>347.03876473215155</v>
      </c>
      <c r="D312" s="47">
        <v>349</v>
      </c>
      <c r="E312" s="47">
        <v>345</v>
      </c>
      <c r="F312" s="47">
        <v>345.47904549944718</v>
      </c>
      <c r="G312" s="47">
        <v>344.1262787417736</v>
      </c>
      <c r="H312" s="47">
        <v>353.40665531085801</v>
      </c>
      <c r="I312" s="47">
        <v>344.32726827553228</v>
      </c>
      <c r="J312" s="47">
        <v>345.55480765477108</v>
      </c>
      <c r="K312" s="47">
        <v>355</v>
      </c>
      <c r="L312" s="47">
        <v>353.91330517854885</v>
      </c>
      <c r="M312" s="47">
        <v>328.1093063527739</v>
      </c>
      <c r="N312" s="47">
        <v>329.05496801688389</v>
      </c>
      <c r="O312" s="47">
        <v>327.12718599137315</v>
      </c>
      <c r="P312" s="47">
        <v>322.67467996149105</v>
      </c>
      <c r="Q312" s="47">
        <v>320.73103725283607</v>
      </c>
      <c r="R312" s="47">
        <v>333.65773981692587</v>
      </c>
      <c r="S312" s="47">
        <v>357.21779095132632</v>
      </c>
      <c r="T312" s="47">
        <v>363.08797837624024</v>
      </c>
      <c r="U312" s="38"/>
      <c r="V312" s="38"/>
      <c r="W312" s="48"/>
      <c r="X312" s="47"/>
      <c r="Y312" s="47"/>
      <c r="Z312" s="47"/>
      <c r="AA312" s="47"/>
      <c r="AB312" s="47"/>
      <c r="AC312" s="47"/>
      <c r="AD312" s="47"/>
      <c r="AE312" s="47"/>
      <c r="AF312" s="47"/>
      <c r="AG312" s="47"/>
      <c r="AH312" s="47"/>
      <c r="AI312" s="47"/>
      <c r="AJ312" s="47"/>
      <c r="AK312" s="47"/>
      <c r="AL312" s="47"/>
      <c r="AM312" s="47"/>
      <c r="AO312" s="109" t="str">
        <f>IF(A312='[1]page 1-8'!$A312,"","False")</f>
        <v/>
      </c>
      <c r="AP312" s="109" t="str">
        <f>'[1]page 1-8'!$A312</f>
        <v>Slabs Rolled -  HSM</v>
      </c>
    </row>
    <row r="313" spans="1:42" x14ac:dyDescent="0.4">
      <c r="A313" s="37" t="s">
        <v>423</v>
      </c>
      <c r="B313" s="38" t="s">
        <v>363</v>
      </c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47">
        <v>327.17207696752183</v>
      </c>
      <c r="T313" s="47">
        <v>321.26843135939095</v>
      </c>
      <c r="U313" s="38">
        <v>320</v>
      </c>
      <c r="V313" s="38"/>
      <c r="W313" s="48">
        <v>342.99865154817536</v>
      </c>
      <c r="X313" s="48">
        <v>329.99083199633282</v>
      </c>
      <c r="Y313" s="48" t="e">
        <v>#DIV/0!</v>
      </c>
      <c r="Z313" s="48">
        <v>336.88040426726559</v>
      </c>
      <c r="AA313" s="48" t="e">
        <v>#DIV/0!</v>
      </c>
      <c r="AB313" s="48" t="e">
        <v>#DIV/0!</v>
      </c>
      <c r="AC313" s="48" t="e">
        <v>#DIV/0!</v>
      </c>
      <c r="AD313" s="48" t="e">
        <v>#DIV/0!</v>
      </c>
      <c r="AE313" s="48" t="e">
        <v>#DIV/0!</v>
      </c>
      <c r="AF313" s="48" t="e">
        <v>#DIV/0!</v>
      </c>
      <c r="AG313" s="48" t="e">
        <v>#DIV/0!</v>
      </c>
      <c r="AH313" s="48" t="e">
        <v>#DIV/0!</v>
      </c>
      <c r="AI313" s="48" t="e">
        <v>#DIV/0!</v>
      </c>
      <c r="AJ313" s="48" t="e">
        <v>#DIV/0!</v>
      </c>
      <c r="AK313" s="48" t="e">
        <v>#DIV/0!</v>
      </c>
      <c r="AL313" s="48" t="e">
        <v>#DIV/0!</v>
      </c>
      <c r="AM313" s="48">
        <v>336.88040426726559</v>
      </c>
      <c r="AO313" s="109" t="str">
        <f>IF(A313='[1]page 1-8'!$A313,"","False")</f>
        <v/>
      </c>
      <c r="AP313" s="109" t="str">
        <f>'[1]page 1-8'!$A313</f>
        <v>Slabs Rolled -  HSM2</v>
      </c>
    </row>
    <row r="314" spans="1:42" x14ac:dyDescent="0.4">
      <c r="A314" s="37" t="s">
        <v>371</v>
      </c>
      <c r="B314" s="38" t="s">
        <v>363</v>
      </c>
      <c r="C314" s="47">
        <v>739.99173620489762</v>
      </c>
      <c r="D314" s="47">
        <v>740</v>
      </c>
      <c r="E314" s="47">
        <v>740</v>
      </c>
      <c r="F314" s="47">
        <v>740.89798233226168</v>
      </c>
      <c r="G314" s="47">
        <v>742.12588023559306</v>
      </c>
      <c r="H314" s="47">
        <v>739.92326830066224</v>
      </c>
      <c r="I314" s="47">
        <v>739.94949530321583</v>
      </c>
      <c r="J314" s="47">
        <v>734.99445279318184</v>
      </c>
      <c r="K314" s="47">
        <v>735.09110306133175</v>
      </c>
      <c r="L314" s="47">
        <v>768.15340622954125</v>
      </c>
      <c r="M314" s="47">
        <v>781.7873068646569</v>
      </c>
      <c r="N314" s="47">
        <v>791.7998857154605</v>
      </c>
      <c r="O314" s="47">
        <v>748.88677988399877</v>
      </c>
      <c r="P314" s="47">
        <v>740.34509562268374</v>
      </c>
      <c r="Q314" s="47">
        <v>727.53578372670972</v>
      </c>
      <c r="R314" s="47">
        <v>725.65168412651258</v>
      </c>
      <c r="S314" s="47">
        <v>735.18200659737886</v>
      </c>
      <c r="T314" s="47">
        <v>748.45287416998292</v>
      </c>
      <c r="U314" s="38">
        <v>750</v>
      </c>
      <c r="V314" s="38"/>
      <c r="W314" s="48">
        <v>764.99605034722219</v>
      </c>
      <c r="X314" s="47">
        <v>765.91871479774704</v>
      </c>
      <c r="Y314" s="47" t="e">
        <v>#DIV/0!</v>
      </c>
      <c r="Z314" s="47">
        <v>765.46131336603844</v>
      </c>
      <c r="AA314" s="47" t="e">
        <v>#DIV/0!</v>
      </c>
      <c r="AB314" s="47" t="e">
        <v>#DIV/0!</v>
      </c>
      <c r="AC314" s="47" t="e">
        <v>#DIV/0!</v>
      </c>
      <c r="AD314" s="47" t="e">
        <v>#DIV/0!</v>
      </c>
      <c r="AE314" s="47" t="e">
        <v>#DIV/0!</v>
      </c>
      <c r="AF314" s="47" t="e">
        <v>#DIV/0!</v>
      </c>
      <c r="AG314" s="47" t="e">
        <v>#DIV/0!</v>
      </c>
      <c r="AH314" s="47" t="e">
        <v>#DIV/0!</v>
      </c>
      <c r="AI314" s="47" t="e">
        <v>#DIV/0!</v>
      </c>
      <c r="AJ314" s="47" t="e">
        <v>#DIV/0!</v>
      </c>
      <c r="AK314" s="47" t="e">
        <v>#DIV/0!</v>
      </c>
      <c r="AL314" s="47"/>
      <c r="AM314" s="47">
        <v>765.46131336603844</v>
      </c>
      <c r="AO314" s="109" t="str">
        <f>IF(A314='[1]page 1-8'!$A314,"","False")</f>
        <v/>
      </c>
      <c r="AP314" s="109" t="str">
        <f>'[1]page 1-8'!$A314</f>
        <v>Steam Gen - CPP I</v>
      </c>
    </row>
    <row r="315" spans="1:42" x14ac:dyDescent="0.4">
      <c r="A315" s="37" t="s">
        <v>372</v>
      </c>
      <c r="B315" s="38" t="s">
        <v>363</v>
      </c>
      <c r="C315" s="47">
        <v>768.66177376510052</v>
      </c>
      <c r="D315" s="47">
        <v>724</v>
      </c>
      <c r="E315" s="47">
        <v>734</v>
      </c>
      <c r="F315" s="47">
        <v>716.86713588610451</v>
      </c>
      <c r="G315" s="47">
        <v>713.71163141040142</v>
      </c>
      <c r="H315" s="47">
        <v>712.31439497667213</v>
      </c>
      <c r="I315" s="47">
        <v>693.23989638475291</v>
      </c>
      <c r="J315" s="47">
        <v>698.50294507982733</v>
      </c>
      <c r="K315" s="47">
        <v>692.0697379467623</v>
      </c>
      <c r="L315" s="47">
        <v>683.14891875587307</v>
      </c>
      <c r="M315" s="47">
        <v>675.36330725043058</v>
      </c>
      <c r="N315" s="47">
        <v>686.96582711209749</v>
      </c>
      <c r="O315" s="47">
        <v>697.25622631303645</v>
      </c>
      <c r="P315" s="47">
        <v>692.34319291730196</v>
      </c>
      <c r="Q315" s="47">
        <v>687.86142031365716</v>
      </c>
      <c r="R315" s="47">
        <v>679.1785346536966</v>
      </c>
      <c r="S315" s="47">
        <v>717.02809072073615</v>
      </c>
      <c r="T315" s="47">
        <v>693.93786825227266</v>
      </c>
      <c r="U315" s="38">
        <v>680</v>
      </c>
      <c r="V315" s="38"/>
      <c r="W315" s="48">
        <v>695.47409921100223</v>
      </c>
      <c r="X315" s="47">
        <v>708.34445994669227</v>
      </c>
      <c r="Y315" s="47" t="e">
        <v>#DIV/0!</v>
      </c>
      <c r="Z315" s="47">
        <v>701.88847793958212</v>
      </c>
      <c r="AA315" s="47" t="e">
        <v>#DIV/0!</v>
      </c>
      <c r="AB315" s="47" t="e">
        <v>#DIV/0!</v>
      </c>
      <c r="AC315" s="47" t="e">
        <v>#DIV/0!</v>
      </c>
      <c r="AD315" s="47" t="e">
        <v>#DIV/0!</v>
      </c>
      <c r="AE315" s="47" t="e">
        <v>#DIV/0!</v>
      </c>
      <c r="AF315" s="47" t="e">
        <v>#DIV/0!</v>
      </c>
      <c r="AG315" s="47" t="e">
        <v>#DIV/0!</v>
      </c>
      <c r="AH315" s="47" t="e">
        <v>#DIV/0!</v>
      </c>
      <c r="AI315" s="47" t="e">
        <v>#DIV/0!</v>
      </c>
      <c r="AJ315" s="47" t="e">
        <v>#DIV/0!</v>
      </c>
      <c r="AK315" s="47" t="e">
        <v>#DIV/0!</v>
      </c>
      <c r="AL315" s="47"/>
      <c r="AM315" s="47">
        <v>701.88847793958212</v>
      </c>
      <c r="AO315" s="109" t="str">
        <f>IF(A315='[1]page 1-8'!$A315,"","False")</f>
        <v/>
      </c>
      <c r="AP315" s="109" t="str">
        <f>'[1]page 1-8'!$A315</f>
        <v>Steam Gen. - CPP II</v>
      </c>
    </row>
    <row r="316" spans="1:42" x14ac:dyDescent="0.4">
      <c r="A316" s="37" t="s">
        <v>373</v>
      </c>
      <c r="B316" s="38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38"/>
      <c r="Q316" s="38"/>
      <c r="R316" s="38"/>
      <c r="S316" s="38"/>
      <c r="T316" s="38"/>
      <c r="U316" s="38" t="s">
        <v>138</v>
      </c>
      <c r="V316" s="38"/>
      <c r="W316" s="41"/>
      <c r="X316" s="38"/>
      <c r="Y316" s="38"/>
      <c r="Z316" s="38"/>
      <c r="AA316" s="38"/>
      <c r="AB316" s="38"/>
      <c r="AC316" s="38"/>
      <c r="AD316" s="38"/>
      <c r="AE316" s="38"/>
      <c r="AF316" s="38"/>
      <c r="AG316" s="38"/>
      <c r="AH316" s="38"/>
      <c r="AI316" s="38"/>
      <c r="AJ316" s="38"/>
      <c r="AK316" s="38"/>
      <c r="AL316" s="38"/>
      <c r="AM316" s="38" t="s">
        <v>374</v>
      </c>
      <c r="AO316" s="109" t="str">
        <f>IF(A316='[1]page 1-8'!$A316,"","False")</f>
        <v/>
      </c>
      <c r="AP316" s="109" t="str">
        <f>'[1]page 1-8'!$A316</f>
        <v xml:space="preserve">            </v>
      </c>
    </row>
    <row r="317" spans="1:42" s="33" customFormat="1" x14ac:dyDescent="0.4">
      <c r="A317" s="37"/>
      <c r="B317" s="38" t="s">
        <v>112</v>
      </c>
      <c r="C317" s="38" t="s">
        <v>113</v>
      </c>
      <c r="D317" s="42" t="s">
        <v>114</v>
      </c>
      <c r="E317" s="42" t="s">
        <v>115</v>
      </c>
      <c r="F317" s="42" t="s">
        <v>116</v>
      </c>
      <c r="G317" s="42" t="s">
        <v>117</v>
      </c>
      <c r="H317" s="38" t="s">
        <v>118</v>
      </c>
      <c r="I317" s="38" t="s">
        <v>119</v>
      </c>
      <c r="J317" s="38" t="s">
        <v>120</v>
      </c>
      <c r="K317" s="38" t="s">
        <v>121</v>
      </c>
      <c r="L317" s="38" t="s">
        <v>122</v>
      </c>
      <c r="M317" s="38" t="s">
        <v>123</v>
      </c>
      <c r="N317" s="38" t="s">
        <v>124</v>
      </c>
      <c r="O317" s="38" t="s">
        <v>125</v>
      </c>
      <c r="P317" s="38" t="s">
        <v>126</v>
      </c>
      <c r="Q317" s="38" t="s">
        <v>127</v>
      </c>
      <c r="R317" s="38" t="s">
        <v>128</v>
      </c>
      <c r="S317" s="38" t="s">
        <v>129</v>
      </c>
      <c r="T317" s="38" t="s">
        <v>130</v>
      </c>
      <c r="U317" s="38" t="s">
        <v>131</v>
      </c>
      <c r="V317" s="38"/>
      <c r="W317" s="41" t="s">
        <v>4</v>
      </c>
      <c r="X317" s="38" t="s">
        <v>5</v>
      </c>
      <c r="Y317" s="38" t="s">
        <v>6</v>
      </c>
      <c r="Z317" s="38" t="s">
        <v>132</v>
      </c>
      <c r="AA317" s="38" t="s">
        <v>166</v>
      </c>
      <c r="AB317" s="38" t="s">
        <v>9</v>
      </c>
      <c r="AC317" s="38" t="s">
        <v>10</v>
      </c>
      <c r="AD317" s="38" t="s">
        <v>133</v>
      </c>
      <c r="AE317" s="38" t="s">
        <v>12</v>
      </c>
      <c r="AF317" s="38" t="s">
        <v>13</v>
      </c>
      <c r="AG317" s="38" t="s">
        <v>14</v>
      </c>
      <c r="AH317" s="38" t="s">
        <v>134</v>
      </c>
      <c r="AI317" s="38" t="s">
        <v>16</v>
      </c>
      <c r="AJ317" s="38" t="s">
        <v>17</v>
      </c>
      <c r="AK317" s="38" t="s">
        <v>18</v>
      </c>
      <c r="AL317" s="38"/>
      <c r="AM317" s="38" t="s">
        <v>136</v>
      </c>
      <c r="AO317" s="109" t="str">
        <f>IF(A317='[1]page 1-8'!$A317,"","False")</f>
        <v/>
      </c>
      <c r="AP317" s="109">
        <f>'[1]page 1-8'!$A317</f>
        <v>0</v>
      </c>
    </row>
    <row r="318" spans="1:42" x14ac:dyDescent="0.4">
      <c r="A318" s="37" t="s">
        <v>375</v>
      </c>
      <c r="B318" s="38"/>
      <c r="C318" s="47"/>
      <c r="D318" s="47"/>
      <c r="E318" s="47"/>
      <c r="F318" s="47"/>
      <c r="G318" s="47"/>
      <c r="H318" s="47"/>
      <c r="I318" s="47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41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  <c r="AH318" s="38"/>
      <c r="AI318" s="38"/>
      <c r="AJ318" s="38"/>
      <c r="AK318" s="38"/>
      <c r="AL318" s="38"/>
      <c r="AM318" s="38"/>
      <c r="AO318" s="109" t="str">
        <f>IF(A318='[1]page 1-8'!$A318,"","False")</f>
        <v/>
      </c>
      <c r="AP318" s="109" t="str">
        <f>'[1]page 1-8'!$A318</f>
        <v>ELECT.CONS.PER T OF</v>
      </c>
    </row>
    <row r="319" spans="1:42" x14ac:dyDescent="0.4">
      <c r="A319" s="37" t="s">
        <v>376</v>
      </c>
      <c r="B319" s="38" t="s">
        <v>377</v>
      </c>
      <c r="C319" s="44">
        <v>4.8829478505766515</v>
      </c>
      <c r="D319" s="44">
        <v>4.92</v>
      </c>
      <c r="E319" s="44">
        <v>4.7</v>
      </c>
      <c r="F319" s="44">
        <v>4.5579254058590264</v>
      </c>
      <c r="G319" s="44">
        <v>4.5434203174883638</v>
      </c>
      <c r="H319" s="44">
        <v>4.6267170704159524</v>
      </c>
      <c r="I319" s="44">
        <v>5.1688143897957506</v>
      </c>
      <c r="J319" s="44">
        <v>19.651003225720935</v>
      </c>
      <c r="K319" s="44">
        <v>23.804421797180758</v>
      </c>
      <c r="L319" s="44">
        <v>24.130666309316517</v>
      </c>
      <c r="M319" s="44">
        <v>14.006769387662455</v>
      </c>
      <c r="N319" s="44">
        <v>14.289256786992841</v>
      </c>
      <c r="O319" s="44">
        <v>15.865940520764573</v>
      </c>
      <c r="P319" s="44">
        <v>17.876563801896552</v>
      </c>
      <c r="Q319" s="44">
        <v>16.340282591027012</v>
      </c>
      <c r="R319" s="44">
        <v>16.436889904571228</v>
      </c>
      <c r="S319" s="44">
        <v>16.554299905953737</v>
      </c>
      <c r="T319" s="44">
        <v>16.629214103163882</v>
      </c>
      <c r="U319" s="44">
        <v>16.45</v>
      </c>
      <c r="V319" s="44"/>
      <c r="W319" s="45">
        <v>15.840338497117152</v>
      </c>
      <c r="X319" s="44">
        <v>16.068083210706781</v>
      </c>
      <c r="Y319" s="44" t="e">
        <v>#DIV/0!</v>
      </c>
      <c r="Z319" s="44">
        <v>15.95436391886831</v>
      </c>
      <c r="AA319" s="44" t="e">
        <v>#DIV/0!</v>
      </c>
      <c r="AB319" s="44" t="e">
        <v>#DIV/0!</v>
      </c>
      <c r="AC319" s="44" t="e">
        <v>#DIV/0!</v>
      </c>
      <c r="AD319" s="44" t="e">
        <v>#DIV/0!</v>
      </c>
      <c r="AE319" s="44" t="e">
        <v>#DIV/0!</v>
      </c>
      <c r="AF319" s="44" t="e">
        <v>#DIV/0!</v>
      </c>
      <c r="AG319" s="44" t="e">
        <v>#DIV/0!</v>
      </c>
      <c r="AH319" s="44" t="e">
        <v>#DIV/0!</v>
      </c>
      <c r="AI319" s="44" t="e">
        <v>#DIV/0!</v>
      </c>
      <c r="AJ319" s="44" t="e">
        <v>#DIV/0!</v>
      </c>
      <c r="AK319" s="44" t="e">
        <v>#DIV/0!</v>
      </c>
      <c r="AL319" s="44"/>
      <c r="AM319" s="44">
        <v>15.95436391886831</v>
      </c>
      <c r="AO319" s="109" t="str">
        <f>IF(A319='[1]page 1-8'!$A319,"","False")</f>
        <v/>
      </c>
      <c r="AP319" s="109" t="str">
        <f>'[1]page 1-8'!$A319</f>
        <v>Dry Coal Charged</v>
      </c>
    </row>
    <row r="320" spans="1:42" x14ac:dyDescent="0.4">
      <c r="A320" s="37" t="s">
        <v>378</v>
      </c>
      <c r="B320" s="38" t="s">
        <v>377</v>
      </c>
      <c r="C320" s="44">
        <v>59.84363186580913</v>
      </c>
      <c r="D320" s="44">
        <v>60.84</v>
      </c>
      <c r="E320" s="44">
        <v>56.6</v>
      </c>
      <c r="F320" s="44">
        <v>55.018164826111956</v>
      </c>
      <c r="G320" s="44">
        <v>55.245287275376768</v>
      </c>
      <c r="H320" s="44">
        <v>58.87211181866018</v>
      </c>
      <c r="I320" s="44">
        <v>55.743793220416855</v>
      </c>
      <c r="J320" s="44">
        <v>52.692938242656922</v>
      </c>
      <c r="K320" s="44">
        <v>54.360905715951283</v>
      </c>
      <c r="L320" s="44">
        <v>55.739477275614107</v>
      </c>
      <c r="M320" s="44">
        <v>80.447762853675229</v>
      </c>
      <c r="N320" s="44">
        <v>82.410310049579692</v>
      </c>
      <c r="O320" s="44">
        <v>82.203555178530124</v>
      </c>
      <c r="P320" s="44">
        <v>78.59163052905464</v>
      </c>
      <c r="Q320" s="44">
        <v>69.409896281252912</v>
      </c>
      <c r="R320" s="44">
        <v>70.343774200207193</v>
      </c>
      <c r="S320" s="44">
        <v>70.90471713834576</v>
      </c>
      <c r="T320" s="44">
        <v>71.942027311284775</v>
      </c>
      <c r="U320" s="44">
        <v>78.59163052905464</v>
      </c>
      <c r="V320" s="44"/>
      <c r="W320" s="45">
        <v>64.725678481388101</v>
      </c>
      <c r="X320" s="44">
        <v>65.011289580876621</v>
      </c>
      <c r="Y320" s="44" t="e">
        <v>#DIV/0!</v>
      </c>
      <c r="Z320" s="44">
        <v>64.86863512730676</v>
      </c>
      <c r="AA320" s="44" t="e">
        <v>#DIV/0!</v>
      </c>
      <c r="AB320" s="44" t="e">
        <v>#DIV/0!</v>
      </c>
      <c r="AC320" s="44" t="e">
        <v>#DIV/0!</v>
      </c>
      <c r="AD320" s="44" t="e">
        <v>#DIV/0!</v>
      </c>
      <c r="AE320" s="44" t="e">
        <v>#DIV/0!</v>
      </c>
      <c r="AF320" s="44" t="e">
        <v>#DIV/0!</v>
      </c>
      <c r="AG320" s="44" t="e">
        <v>#DIV/0!</v>
      </c>
      <c r="AH320" s="44" t="e">
        <v>#DIV/0!</v>
      </c>
      <c r="AI320" s="44" t="e">
        <v>#DIV/0!</v>
      </c>
      <c r="AJ320" s="44" t="e">
        <v>#DIV/0!</v>
      </c>
      <c r="AK320" s="44" t="e">
        <v>#DIV/0!</v>
      </c>
      <c r="AL320" s="44"/>
      <c r="AM320" s="44">
        <v>64.86863512730676</v>
      </c>
      <c r="AO320" s="109" t="str">
        <f>IF(A320='[1]page 1-8'!$A320,"","False")</f>
        <v/>
      </c>
      <c r="AP320" s="109" t="str">
        <f>'[1]page 1-8'!$A320</f>
        <v>CO Gas of 1000 NM3</v>
      </c>
    </row>
    <row r="321" spans="1:42" x14ac:dyDescent="0.4">
      <c r="A321" s="37" t="s">
        <v>379</v>
      </c>
      <c r="B321" s="38" t="s">
        <v>377</v>
      </c>
      <c r="C321" s="44">
        <v>22.685109679340883</v>
      </c>
      <c r="D321" s="44">
        <v>22.59</v>
      </c>
      <c r="E321" s="44">
        <v>21.3</v>
      </c>
      <c r="F321" s="44">
        <v>20.799621065592383</v>
      </c>
      <c r="G321" s="44">
        <v>20.911214406854533</v>
      </c>
      <c r="H321" s="44">
        <v>20.625318705026242</v>
      </c>
      <c r="I321" s="44">
        <v>15.270685909825467</v>
      </c>
      <c r="J321" s="44">
        <v>35.150683816269101</v>
      </c>
      <c r="K321" s="44">
        <v>41.62241677588122</v>
      </c>
      <c r="L321" s="44">
        <v>40.05256487827203</v>
      </c>
      <c r="M321" s="44">
        <v>40.119367728726715</v>
      </c>
      <c r="N321" s="44">
        <v>38.843266940724178</v>
      </c>
      <c r="O321" s="44">
        <v>40.433226216008777</v>
      </c>
      <c r="P321" s="44">
        <v>42.280883263529731</v>
      </c>
      <c r="Q321" s="44">
        <v>41.05</v>
      </c>
      <c r="R321" s="44">
        <v>39.297445741664717</v>
      </c>
      <c r="S321" s="44">
        <v>38.369351810910779</v>
      </c>
      <c r="T321" s="44">
        <v>40.454921811892582</v>
      </c>
      <c r="U321" s="44">
        <v>40</v>
      </c>
      <c r="V321" s="44"/>
      <c r="W321" s="45">
        <v>40.069982034131804</v>
      </c>
      <c r="X321" s="44">
        <v>39.948553449059411</v>
      </c>
      <c r="Y321" s="44" t="e">
        <v>#DIV/0!</v>
      </c>
      <c r="Z321" s="44">
        <v>38.880000000000003</v>
      </c>
      <c r="AA321" s="44" t="e">
        <v>#DIV/0!</v>
      </c>
      <c r="AB321" s="44" t="e">
        <v>#DIV/0!</v>
      </c>
      <c r="AC321" s="44" t="e">
        <v>#DIV/0!</v>
      </c>
      <c r="AD321" s="44" t="e">
        <v>#DIV/0!</v>
      </c>
      <c r="AE321" s="44" t="e">
        <v>#DIV/0!</v>
      </c>
      <c r="AF321" s="44" t="e">
        <v>#DIV/0!</v>
      </c>
      <c r="AG321" s="44" t="e">
        <v>#DIV/0!</v>
      </c>
      <c r="AH321" s="44" t="e">
        <v>#DIV/0!</v>
      </c>
      <c r="AI321" s="44" t="e">
        <v>#DIV/0!</v>
      </c>
      <c r="AJ321" s="44" t="e">
        <v>#DIV/0!</v>
      </c>
      <c r="AK321" s="44" t="e">
        <v>#DIV/0!</v>
      </c>
      <c r="AL321" s="44"/>
      <c r="AM321" s="44">
        <v>40.008027595552861</v>
      </c>
      <c r="AO321" s="109" t="str">
        <f>IF(A321='[1]page 1-8'!$A321,"","False")</f>
        <v/>
      </c>
      <c r="AP321" s="109" t="str">
        <f>'[1]page 1-8'!$A321</f>
        <v>BF#1-  HM Prod.(Incl.GCP)</v>
      </c>
    </row>
    <row r="322" spans="1:42" x14ac:dyDescent="0.4">
      <c r="A322" s="37" t="s">
        <v>380</v>
      </c>
      <c r="B322" s="38" t="s">
        <v>377</v>
      </c>
      <c r="C322" s="44"/>
      <c r="D322" s="44"/>
      <c r="E322" s="44"/>
      <c r="F322" s="44"/>
      <c r="G322" s="44"/>
      <c r="H322" s="44"/>
      <c r="I322" s="44"/>
      <c r="J322" s="44"/>
      <c r="K322" s="44"/>
      <c r="L322" s="44">
        <v>40.946826297788689</v>
      </c>
      <c r="M322" s="44">
        <v>42.950277103596278</v>
      </c>
      <c r="N322" s="44">
        <v>43.183387445488151</v>
      </c>
      <c r="O322" s="44">
        <v>44.138903283663602</v>
      </c>
      <c r="P322" s="44">
        <v>45.644845390244477</v>
      </c>
      <c r="Q322" s="44">
        <v>45.25</v>
      </c>
      <c r="R322" s="44">
        <v>40.945760389252158</v>
      </c>
      <c r="S322" s="44">
        <v>40.014676799210214</v>
      </c>
      <c r="T322" s="44">
        <v>39.93594816104126</v>
      </c>
      <c r="U322" s="44">
        <v>39</v>
      </c>
      <c r="V322" s="44"/>
      <c r="W322" s="45">
        <v>38.426713925106291</v>
      </c>
      <c r="X322" s="44">
        <v>38.285465700891436</v>
      </c>
      <c r="Y322" s="44" t="e">
        <v>#DIV/0!</v>
      </c>
      <c r="Z322" s="44">
        <v>38.354191371075622</v>
      </c>
      <c r="AA322" s="44" t="e">
        <v>#DIV/0!</v>
      </c>
      <c r="AB322" s="44" t="e">
        <v>#DIV/0!</v>
      </c>
      <c r="AC322" s="44" t="e">
        <v>#DIV/0!</v>
      </c>
      <c r="AD322" s="44" t="e">
        <v>#DIV/0!</v>
      </c>
      <c r="AE322" s="44" t="e">
        <v>#DIV/0!</v>
      </c>
      <c r="AF322" s="44" t="e">
        <v>#DIV/0!</v>
      </c>
      <c r="AG322" s="44" t="e">
        <v>#DIV/0!</v>
      </c>
      <c r="AH322" s="44" t="e">
        <v>#DIV/0!</v>
      </c>
      <c r="AI322" s="44" t="e">
        <v>#DIV/0!</v>
      </c>
      <c r="AJ322" s="44" t="e">
        <v>#DIV/0!</v>
      </c>
      <c r="AK322" s="44" t="e">
        <v>#DIV/0!</v>
      </c>
      <c r="AL322" s="44"/>
      <c r="AM322" s="44">
        <v>38.354191371075622</v>
      </c>
      <c r="AO322" s="109" t="str">
        <f>IF(A322='[1]page 1-8'!$A322,"","False")</f>
        <v/>
      </c>
      <c r="AP322" s="109" t="str">
        <f>'[1]page 1-8'!$A322</f>
        <v>BF#5- New HM Prod.(Incl.GCP)</v>
      </c>
    </row>
    <row r="323" spans="1:42" x14ac:dyDescent="0.4">
      <c r="A323" s="37" t="s">
        <v>381</v>
      </c>
      <c r="B323" s="38" t="s">
        <v>377</v>
      </c>
      <c r="C323" s="49">
        <v>37.345546385184065</v>
      </c>
      <c r="D323" s="49">
        <v>41</v>
      </c>
      <c r="E323" s="49">
        <v>41.2</v>
      </c>
      <c r="F323" s="49">
        <v>39.845083428178754</v>
      </c>
      <c r="G323" s="49">
        <v>39.707659042141096</v>
      </c>
      <c r="H323" s="49">
        <v>40.554946607431624</v>
      </c>
      <c r="I323" s="49">
        <v>48.044026658635779</v>
      </c>
      <c r="J323" s="44">
        <v>47.801540998057426</v>
      </c>
      <c r="K323" s="44">
        <v>56.91447694749634</v>
      </c>
      <c r="L323" s="44">
        <v>50.830314488872588</v>
      </c>
      <c r="M323" s="44">
        <v>55.788995593440283</v>
      </c>
      <c r="N323" s="44">
        <v>48.097039324146913</v>
      </c>
      <c r="O323" s="44">
        <v>56.154434791258488</v>
      </c>
      <c r="P323" s="44">
        <v>37.716429650034016</v>
      </c>
      <c r="Q323" s="44">
        <v>34.862755597821518</v>
      </c>
      <c r="R323" s="44">
        <v>34.72764801349696</v>
      </c>
      <c r="S323" s="44">
        <v>33.073888897913456</v>
      </c>
      <c r="T323" s="44">
        <v>37.525941973538444</v>
      </c>
      <c r="U323" s="49">
        <v>32</v>
      </c>
      <c r="V323" s="49"/>
      <c r="W323" s="45">
        <v>31.545644055192895</v>
      </c>
      <c r="X323" s="44">
        <v>31.244748169964758</v>
      </c>
      <c r="Y323" s="44" t="e">
        <v>#DIV/0!</v>
      </c>
      <c r="Z323" s="44">
        <v>31.390983524271864</v>
      </c>
      <c r="AA323" s="44" t="e">
        <v>#DIV/0!</v>
      </c>
      <c r="AB323" s="44" t="e">
        <v>#DIV/0!</v>
      </c>
      <c r="AC323" s="44" t="e">
        <v>#DIV/0!</v>
      </c>
      <c r="AD323" s="44" t="e">
        <v>#DIV/0!</v>
      </c>
      <c r="AE323" s="44" t="e">
        <v>#DIV/0!</v>
      </c>
      <c r="AF323" s="44" t="e">
        <v>#DIV/0!</v>
      </c>
      <c r="AG323" s="44" t="e">
        <v>#DIV/0!</v>
      </c>
      <c r="AH323" s="44" t="e">
        <v>#DIV/0!</v>
      </c>
      <c r="AI323" s="44" t="e">
        <v>#DIV/0!</v>
      </c>
      <c r="AJ323" s="44" t="e">
        <v>#DIV/0!</v>
      </c>
      <c r="AK323" s="44" t="e">
        <v>#DIV/0!</v>
      </c>
      <c r="AL323" s="44"/>
      <c r="AM323" s="44">
        <v>31.390983524271864</v>
      </c>
      <c r="AO323" s="109" t="str">
        <f>IF(A323='[1]page 1-8'!$A323,"","False")</f>
        <v/>
      </c>
      <c r="AP323" s="109" t="str">
        <f>'[1]page 1-8'!$A323</f>
        <v>Sinter Prod(SP-I)</v>
      </c>
    </row>
    <row r="324" spans="1:42" x14ac:dyDescent="0.4">
      <c r="A324" s="37" t="s">
        <v>382</v>
      </c>
      <c r="B324" s="38" t="s">
        <v>377</v>
      </c>
      <c r="C324" s="49">
        <v>44.237867573597974</v>
      </c>
      <c r="D324" s="49">
        <v>44.1</v>
      </c>
      <c r="E324" s="49">
        <v>42.6</v>
      </c>
      <c r="F324" s="49">
        <v>42.065272344864773</v>
      </c>
      <c r="G324" s="49">
        <v>40.385105484935949</v>
      </c>
      <c r="H324" s="49">
        <v>41.516009121179508</v>
      </c>
      <c r="I324" s="49">
        <v>44.575450663013783</v>
      </c>
      <c r="J324" s="44">
        <v>43.487471491627424</v>
      </c>
      <c r="K324" s="44">
        <v>43.072260173870411</v>
      </c>
      <c r="L324" s="44">
        <v>40.887088260195448</v>
      </c>
      <c r="M324" s="44">
        <v>42.321523280856944</v>
      </c>
      <c r="N324" s="44">
        <v>41.270952565371431</v>
      </c>
      <c r="O324" s="44">
        <v>42.38760911875957</v>
      </c>
      <c r="P324" s="44">
        <v>45.103906007269657</v>
      </c>
      <c r="Q324" s="44">
        <v>42.956039962401078</v>
      </c>
      <c r="R324" s="44">
        <v>41.519783392977267</v>
      </c>
      <c r="S324" s="44">
        <v>41.325524405542751</v>
      </c>
      <c r="T324" s="44">
        <v>40.619713660971648</v>
      </c>
      <c r="U324" s="44">
        <v>40</v>
      </c>
      <c r="V324" s="44"/>
      <c r="W324" s="45">
        <v>42.473775521213447</v>
      </c>
      <c r="X324" s="44">
        <v>42.923352255641433</v>
      </c>
      <c r="Y324" s="44" t="e">
        <v>#DIV/0!</v>
      </c>
      <c r="Z324" s="44">
        <v>42.702338508386589</v>
      </c>
      <c r="AA324" s="44" t="e">
        <v>#DIV/0!</v>
      </c>
      <c r="AB324" s="44" t="e">
        <v>#DIV/0!</v>
      </c>
      <c r="AC324" s="44" t="e">
        <v>#DIV/0!</v>
      </c>
      <c r="AD324" s="44" t="e">
        <v>#DIV/0!</v>
      </c>
      <c r="AE324" s="44" t="e">
        <v>#DIV/0!</v>
      </c>
      <c r="AF324" s="44" t="e">
        <v>#DIV/0!</v>
      </c>
      <c r="AG324" s="44" t="e">
        <v>#DIV/0!</v>
      </c>
      <c r="AH324" s="44" t="e">
        <v>#DIV/0!</v>
      </c>
      <c r="AI324" s="44" t="e">
        <v>#DIV/0!</v>
      </c>
      <c r="AJ324" s="44" t="e">
        <v>#DIV/0!</v>
      </c>
      <c r="AK324" s="44" t="e">
        <v>#DIV/0!</v>
      </c>
      <c r="AL324" s="44"/>
      <c r="AM324" s="44">
        <v>42.702338508386589</v>
      </c>
      <c r="AO324" s="109" t="str">
        <f>IF(A324='[1]page 1-8'!$A324,"","False")</f>
        <v/>
      </c>
      <c r="AP324" s="109" t="str">
        <f>'[1]page 1-8'!$A324</f>
        <v>Sinter Prod(SP-II)</v>
      </c>
    </row>
    <row r="325" spans="1:42" x14ac:dyDescent="0.4">
      <c r="A325" s="37" t="s">
        <v>383</v>
      </c>
      <c r="B325" s="38" t="s">
        <v>377</v>
      </c>
      <c r="C325" s="49"/>
      <c r="D325" s="49"/>
      <c r="E325" s="49"/>
      <c r="F325" s="49"/>
      <c r="G325" s="49"/>
      <c r="H325" s="49"/>
      <c r="I325" s="49"/>
      <c r="J325" s="44">
        <v>40.134176692897334</v>
      </c>
      <c r="K325" s="44">
        <v>37.88721044879258</v>
      </c>
      <c r="L325" s="44">
        <v>35.722976811847559</v>
      </c>
      <c r="M325" s="44">
        <v>33.44137472166004</v>
      </c>
      <c r="N325" s="44">
        <v>31.852488634247216</v>
      </c>
      <c r="O325" s="44">
        <v>30.758950368960274</v>
      </c>
      <c r="P325" s="44">
        <v>32.771589226048413</v>
      </c>
      <c r="Q325" s="44">
        <v>32.999360777501543</v>
      </c>
      <c r="R325" s="44">
        <v>33.633879568310434</v>
      </c>
      <c r="S325" s="44">
        <v>33.324382279102949</v>
      </c>
      <c r="T325" s="44">
        <v>33.474509163284729</v>
      </c>
      <c r="U325" s="49">
        <v>33</v>
      </c>
      <c r="V325" s="49"/>
      <c r="W325" s="45">
        <v>33.135303069140861</v>
      </c>
      <c r="X325" s="44">
        <v>32.131026165970248</v>
      </c>
      <c r="Y325" s="44" t="e">
        <v>#DIV/0!</v>
      </c>
      <c r="Z325" s="44">
        <v>32.623015053011422</v>
      </c>
      <c r="AA325" s="44" t="e">
        <v>#DIV/0!</v>
      </c>
      <c r="AB325" s="44" t="e">
        <v>#DIV/0!</v>
      </c>
      <c r="AC325" s="44" t="e">
        <v>#DIV/0!</v>
      </c>
      <c r="AD325" s="44" t="e">
        <v>#DIV/0!</v>
      </c>
      <c r="AE325" s="44" t="e">
        <v>#DIV/0!</v>
      </c>
      <c r="AF325" s="44" t="e">
        <v>#DIV/0!</v>
      </c>
      <c r="AG325" s="44" t="e">
        <v>#DIV/0!</v>
      </c>
      <c r="AH325" s="44" t="e">
        <v>#DIV/0!</v>
      </c>
      <c r="AI325" s="44" t="e">
        <v>#DIV/0!</v>
      </c>
      <c r="AJ325" s="44" t="e">
        <v>#DIV/0!</v>
      </c>
      <c r="AK325" s="44" t="e">
        <v>#DIV/0!</v>
      </c>
      <c r="AL325" s="44"/>
      <c r="AM325" s="44">
        <v>32.623015053011422</v>
      </c>
      <c r="AO325" s="109" t="str">
        <f>IF(A325='[1]page 1-8'!$A325,"","False")</f>
        <v/>
      </c>
      <c r="AP325" s="109" t="str">
        <f>'[1]page 1-8'!$A325</f>
        <v>Sinter Prod(SP-III)</v>
      </c>
    </row>
    <row r="326" spans="1:42" x14ac:dyDescent="0.4">
      <c r="A326" s="37" t="s">
        <v>384</v>
      </c>
      <c r="B326" s="38" t="s">
        <v>377</v>
      </c>
      <c r="C326" s="49">
        <v>149.78879649777224</v>
      </c>
      <c r="D326" s="49">
        <v>148.30000000000001</v>
      </c>
      <c r="E326" s="49">
        <v>149.69999999999999</v>
      </c>
      <c r="F326" s="49">
        <v>154.65090641414329</v>
      </c>
      <c r="G326" s="49">
        <v>158.53089573505451</v>
      </c>
      <c r="H326" s="49">
        <v>156.41682864990491</v>
      </c>
      <c r="I326" s="49">
        <v>150.02471051208872</v>
      </c>
      <c r="J326" s="44">
        <v>143.9965251152633</v>
      </c>
      <c r="K326" s="44">
        <v>150.54164584859566</v>
      </c>
      <c r="L326" s="44">
        <v>172.80883871856224</v>
      </c>
      <c r="M326" s="44">
        <v>156.59175839207447</v>
      </c>
      <c r="N326" s="44">
        <v>152.39522173104447</v>
      </c>
      <c r="O326" s="44">
        <v>158.26715062793832</v>
      </c>
      <c r="P326" s="44">
        <v>148.62093713029779</v>
      </c>
      <c r="Q326" s="44">
        <v>140.50923215393624</v>
      </c>
      <c r="R326" s="44">
        <v>135.4182543427155</v>
      </c>
      <c r="S326" s="44">
        <v>134.20910714321423</v>
      </c>
      <c r="T326" s="44">
        <v>143.63068886914559</v>
      </c>
      <c r="U326" s="49">
        <v>143</v>
      </c>
      <c r="V326" s="49"/>
      <c r="W326" s="45">
        <v>141.80506882640964</v>
      </c>
      <c r="X326" s="44">
        <v>121.47059227232174</v>
      </c>
      <c r="Y326" s="44" t="e">
        <v>#DIV/0!</v>
      </c>
      <c r="Z326" s="44">
        <v>130.13782059696007</v>
      </c>
      <c r="AA326" s="44" t="e">
        <v>#DIV/0!</v>
      </c>
      <c r="AB326" s="44" t="e">
        <v>#DIV/0!</v>
      </c>
      <c r="AC326" s="44" t="e">
        <v>#DIV/0!</v>
      </c>
      <c r="AD326" s="44" t="e">
        <v>#DIV/0!</v>
      </c>
      <c r="AE326" s="44" t="e">
        <v>#DIV/0!</v>
      </c>
      <c r="AF326" s="44" t="e">
        <v>#DIV/0!</v>
      </c>
      <c r="AG326" s="44" t="e">
        <v>#DIV/0!</v>
      </c>
      <c r="AH326" s="44" t="e">
        <v>#DIV/0!</v>
      </c>
      <c r="AI326" s="44" t="e">
        <v>#DIV/0!</v>
      </c>
      <c r="AJ326" s="44" t="e">
        <v>#DIV/0!</v>
      </c>
      <c r="AK326" s="44" t="e">
        <v>#DIV/0!</v>
      </c>
      <c r="AL326" s="44"/>
      <c r="AM326" s="44">
        <v>130.13782059696007</v>
      </c>
      <c r="AO326" s="109" t="str">
        <f>IF(A326='[1]page 1-8'!$A326,"","False")</f>
        <v/>
      </c>
      <c r="AP326" s="109" t="str">
        <f>'[1]page 1-8'!$A326</f>
        <v>Crude Steel (S M S - I)</v>
      </c>
    </row>
    <row r="327" spans="1:42" x14ac:dyDescent="0.4">
      <c r="A327" s="37" t="s">
        <v>385</v>
      </c>
      <c r="B327" s="38" t="s">
        <v>377</v>
      </c>
      <c r="C327" s="49">
        <v>52.771014277076524</v>
      </c>
      <c r="D327" s="49">
        <v>52.8</v>
      </c>
      <c r="E327" s="49">
        <v>50.7</v>
      </c>
      <c r="F327" s="49">
        <v>51.615667358457543</v>
      </c>
      <c r="G327" s="49">
        <v>57.860401331868637</v>
      </c>
      <c r="H327" s="49">
        <v>56.712038769753732</v>
      </c>
      <c r="I327" s="49">
        <v>59.215843963129501</v>
      </c>
      <c r="J327" s="44">
        <v>57.843156817965955</v>
      </c>
      <c r="K327" s="44">
        <v>69.905257502603035</v>
      </c>
      <c r="L327" s="44">
        <v>84.04213442781294</v>
      </c>
      <c r="M327" s="44">
        <v>80.344486202202617</v>
      </c>
      <c r="N327" s="44">
        <v>73.011905494707761</v>
      </c>
      <c r="O327" s="44">
        <v>76.002524119220581</v>
      </c>
      <c r="P327" s="44">
        <v>66.81336533923637</v>
      </c>
      <c r="Q327" s="44">
        <v>60.46419629415778</v>
      </c>
      <c r="R327" s="44">
        <v>58.794733770370755</v>
      </c>
      <c r="S327" s="44">
        <v>57.469236080686734</v>
      </c>
      <c r="T327" s="44">
        <v>59.400200187113441</v>
      </c>
      <c r="U327" s="49">
        <v>59</v>
      </c>
      <c r="V327" s="49"/>
      <c r="W327" s="45">
        <v>58.691182725339438</v>
      </c>
      <c r="X327" s="44">
        <v>59.258207666920541</v>
      </c>
      <c r="Y327" s="44" t="e">
        <v>#DIV/0!</v>
      </c>
      <c r="Z327" s="44">
        <v>58.969872312107476</v>
      </c>
      <c r="AA327" s="44" t="e">
        <v>#DIV/0!</v>
      </c>
      <c r="AB327" s="44" t="e">
        <v>#DIV/0!</v>
      </c>
      <c r="AC327" s="44" t="e">
        <v>#DIV/0!</v>
      </c>
      <c r="AD327" s="44" t="e">
        <v>#DIV/0!</v>
      </c>
      <c r="AE327" s="44" t="e">
        <v>#DIV/0!</v>
      </c>
      <c r="AF327" s="44" t="e">
        <v>#DIV/0!</v>
      </c>
      <c r="AG327" s="44" t="e">
        <v>#DIV/0!</v>
      </c>
      <c r="AH327" s="44" t="e">
        <v>#DIV/0!</v>
      </c>
      <c r="AI327" s="44" t="e">
        <v>#DIV/0!</v>
      </c>
      <c r="AJ327" s="44" t="e">
        <v>#DIV/0!</v>
      </c>
      <c r="AK327" s="44" t="e">
        <v>#DIV/0!</v>
      </c>
      <c r="AL327" s="44"/>
      <c r="AM327" s="44">
        <v>58.969872312107476</v>
      </c>
      <c r="AO327" s="109" t="str">
        <f>IF(A327='[1]page 1-8'!$A327,"","False")</f>
        <v/>
      </c>
      <c r="AP327" s="109" t="str">
        <f>'[1]page 1-8'!$A327</f>
        <v>Crude Steel (S M S - II)</v>
      </c>
    </row>
    <row r="328" spans="1:42" x14ac:dyDescent="0.4">
      <c r="A328" s="37" t="s">
        <v>386</v>
      </c>
      <c r="B328" s="38" t="s">
        <v>377</v>
      </c>
      <c r="C328" s="49">
        <v>82.439487975174558</v>
      </c>
      <c r="D328" s="49">
        <v>82.3</v>
      </c>
      <c r="E328" s="49">
        <v>80.7</v>
      </c>
      <c r="F328" s="49">
        <v>82.27152583533902</v>
      </c>
      <c r="G328" s="49">
        <v>79.352179053877308</v>
      </c>
      <c r="H328" s="49">
        <v>81.085778031700727</v>
      </c>
      <c r="I328" s="49">
        <v>80.452029763737343</v>
      </c>
      <c r="J328" s="44">
        <v>80.561155704284786</v>
      </c>
      <c r="K328" s="44">
        <v>81.64617759883059</v>
      </c>
      <c r="L328" s="44">
        <v>81.08970995180718</v>
      </c>
      <c r="M328" s="44">
        <v>82.308305375954092</v>
      </c>
      <c r="N328" s="44">
        <v>79.7534089796318</v>
      </c>
      <c r="O328" s="44">
        <v>78.561299852289508</v>
      </c>
      <c r="P328" s="44">
        <v>83.086292073573162</v>
      </c>
      <c r="Q328" s="44">
        <v>77.089384974157696</v>
      </c>
      <c r="R328" s="44">
        <v>85.383803863904575</v>
      </c>
      <c r="S328" s="44">
        <v>79.343269876797365</v>
      </c>
      <c r="T328" s="44">
        <v>80.333067924062846</v>
      </c>
      <c r="U328" s="49">
        <v>80</v>
      </c>
      <c r="V328" s="49"/>
      <c r="W328" s="45">
        <v>76.825208026349912</v>
      </c>
      <c r="X328" s="44">
        <v>75.886532654864681</v>
      </c>
      <c r="Y328" s="44" t="e">
        <v>#DIV/0!</v>
      </c>
      <c r="Z328" s="44">
        <v>76.348808187309785</v>
      </c>
      <c r="AA328" s="44" t="e">
        <v>#DIV/0!</v>
      </c>
      <c r="AB328" s="44" t="e">
        <v>#DIV/0!</v>
      </c>
      <c r="AC328" s="44" t="e">
        <v>#DIV/0!</v>
      </c>
      <c r="AD328" s="44" t="e">
        <v>#DIV/0!</v>
      </c>
      <c r="AE328" s="44" t="e">
        <v>#DIV/0!</v>
      </c>
      <c r="AF328" s="44" t="e">
        <v>#DIV/0!</v>
      </c>
      <c r="AG328" s="44" t="e">
        <v>#DIV/0!</v>
      </c>
      <c r="AH328" s="44" t="e">
        <v>#DIV/0!</v>
      </c>
      <c r="AI328" s="44" t="e">
        <v>#DIV/0!</v>
      </c>
      <c r="AJ328" s="44" t="e">
        <v>#DIV/0!</v>
      </c>
      <c r="AK328" s="44" t="e">
        <v>#DIV/0!</v>
      </c>
      <c r="AL328" s="44"/>
      <c r="AM328" s="44">
        <v>76.348808187309785</v>
      </c>
      <c r="AO328" s="109" t="str">
        <f>IF(A328='[1]page 1-8'!$A328,"","False")</f>
        <v/>
      </c>
      <c r="AP328" s="109" t="str">
        <f>'[1]page 1-8'!$A328</f>
        <v>Old Plates Production</v>
      </c>
    </row>
    <row r="329" spans="1:42" x14ac:dyDescent="0.4">
      <c r="A329" s="37" t="s">
        <v>387</v>
      </c>
      <c r="B329" s="38" t="s">
        <v>377</v>
      </c>
      <c r="C329" s="49"/>
      <c r="D329" s="49"/>
      <c r="E329" s="49"/>
      <c r="F329" s="49"/>
      <c r="G329" s="49"/>
      <c r="H329" s="49"/>
      <c r="I329" s="49"/>
      <c r="J329" s="44"/>
      <c r="K329" s="44"/>
      <c r="L329" s="44">
        <v>161.25297610786345</v>
      </c>
      <c r="M329" s="44">
        <v>132.52485832382592</v>
      </c>
      <c r="N329" s="44">
        <v>131</v>
      </c>
      <c r="O329" s="44">
        <v>130.22377676759012</v>
      </c>
      <c r="P329" s="44">
        <v>133.97517071766831</v>
      </c>
      <c r="Q329" s="44">
        <v>126.77491693816327</v>
      </c>
      <c r="R329" s="44">
        <v>135.34068355844181</v>
      </c>
      <c r="S329" s="44">
        <v>123.27155945951171</v>
      </c>
      <c r="T329" s="44">
        <v>121.63352716276844</v>
      </c>
      <c r="U329" s="49">
        <v>123</v>
      </c>
      <c r="V329" s="49"/>
      <c r="W329" s="45">
        <v>130.32681959371763</v>
      </c>
      <c r="X329" s="44">
        <v>107.19381958645761</v>
      </c>
      <c r="Y329" s="44" t="e">
        <v>#DIV/0!</v>
      </c>
      <c r="Z329" s="44">
        <v>117.32389698134655</v>
      </c>
      <c r="AA329" s="44" t="e">
        <v>#DIV/0!</v>
      </c>
      <c r="AB329" s="44" t="e">
        <v>#DIV/0!</v>
      </c>
      <c r="AC329" s="44" t="e">
        <v>#DIV/0!</v>
      </c>
      <c r="AD329" s="44" t="e">
        <v>#DIV/0!</v>
      </c>
      <c r="AE329" s="44" t="e">
        <v>#DIV/0!</v>
      </c>
      <c r="AF329" s="44" t="e">
        <v>#DIV/0!</v>
      </c>
      <c r="AG329" s="44" t="e">
        <v>#DIV/0!</v>
      </c>
      <c r="AH329" s="44" t="e">
        <v>#DIV/0!</v>
      </c>
      <c r="AI329" s="44" t="e">
        <v>#DIV/0!</v>
      </c>
      <c r="AJ329" s="44" t="e">
        <v>#DIV/0!</v>
      </c>
      <c r="AK329" s="44" t="e">
        <v>#DIV/0!</v>
      </c>
      <c r="AL329" s="44"/>
      <c r="AM329" s="44">
        <v>117.32389698134655</v>
      </c>
      <c r="AO329" s="109" t="str">
        <f>IF(A329='[1]page 1-8'!$A329,"","False")</f>
        <v/>
      </c>
      <c r="AP329" s="109" t="str">
        <f>'[1]page 1-8'!$A329</f>
        <v>New Plates Production</v>
      </c>
    </row>
    <row r="330" spans="1:42" x14ac:dyDescent="0.4">
      <c r="A330" s="37" t="s">
        <v>388</v>
      </c>
      <c r="B330" s="38" t="s">
        <v>377</v>
      </c>
      <c r="C330" s="49">
        <v>86.683091351072974</v>
      </c>
      <c r="D330" s="49">
        <v>90.3</v>
      </c>
      <c r="E330" s="49">
        <v>89.4</v>
      </c>
      <c r="F330" s="49">
        <v>86.405563114576466</v>
      </c>
      <c r="G330" s="49">
        <v>85.640994212546474</v>
      </c>
      <c r="H330" s="49">
        <v>83.310496168743555</v>
      </c>
      <c r="I330" s="49">
        <v>87.185146627593141</v>
      </c>
      <c r="J330" s="44">
        <v>89.40380522681491</v>
      </c>
      <c r="K330" s="44">
        <v>90.839795715146678</v>
      </c>
      <c r="L330" s="44">
        <v>86.251667207832753</v>
      </c>
      <c r="M330" s="44">
        <v>84.931124111968487</v>
      </c>
      <c r="N330" s="44">
        <v>84.511613377720678</v>
      </c>
      <c r="O330" s="44">
        <v>83.969445097716417</v>
      </c>
      <c r="P330" s="44">
        <v>86.556841223230606</v>
      </c>
      <c r="Q330" s="44">
        <v>82.800919791370134</v>
      </c>
      <c r="R330" s="44">
        <v>107.05096849849447</v>
      </c>
      <c r="S330" s="44">
        <v>147.42050161111581</v>
      </c>
      <c r="T330" s="44">
        <v>177.74625962706736</v>
      </c>
      <c r="U330" s="49"/>
      <c r="V330" s="49"/>
      <c r="W330" s="45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O330" s="109" t="str">
        <f>IF(A330='[1]page 1-8'!$A330,"","False")</f>
        <v/>
      </c>
      <c r="AP330" s="109" t="str">
        <f>'[1]page 1-8'!$A330</f>
        <v>H.R.Coil Production</v>
      </c>
    </row>
    <row r="331" spans="1:42" x14ac:dyDescent="0.4">
      <c r="A331" s="37" t="s">
        <v>428</v>
      </c>
      <c r="B331" s="38" t="s">
        <v>377</v>
      </c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47">
        <v>132.80631895252156</v>
      </c>
      <c r="T331" s="47">
        <v>125.89922936328111</v>
      </c>
      <c r="U331" s="38">
        <v>125</v>
      </c>
      <c r="V331" s="38"/>
      <c r="W331" s="45">
        <v>121.57935412162104</v>
      </c>
      <c r="X331" s="45">
        <v>132.57886312173031</v>
      </c>
      <c r="Y331" s="45" t="e">
        <v>#DIV/0!</v>
      </c>
      <c r="Z331" s="45">
        <v>126.75801982381891</v>
      </c>
      <c r="AA331" s="45" t="e">
        <v>#DIV/0!</v>
      </c>
      <c r="AB331" s="45" t="e">
        <v>#DIV/0!</v>
      </c>
      <c r="AC331" s="45" t="e">
        <v>#DIV/0!</v>
      </c>
      <c r="AD331" s="45" t="e">
        <v>#DIV/0!</v>
      </c>
      <c r="AE331" s="45" t="e">
        <v>#DIV/0!</v>
      </c>
      <c r="AF331" s="45" t="e">
        <v>#DIV/0!</v>
      </c>
      <c r="AG331" s="45" t="e">
        <v>#DIV/0!</v>
      </c>
      <c r="AH331" s="45" t="e">
        <v>#DIV/0!</v>
      </c>
      <c r="AI331" s="45" t="e">
        <v>#DIV/0!</v>
      </c>
      <c r="AJ331" s="45" t="e">
        <v>#DIV/0!</v>
      </c>
      <c r="AK331" s="45" t="e">
        <v>#DIV/0!</v>
      </c>
      <c r="AL331" s="45" t="e">
        <v>#DIV/0!</v>
      </c>
      <c r="AM331" s="45">
        <v>126.75801982381891</v>
      </c>
      <c r="AO331" s="109" t="str">
        <f>IF(A331='[1]page 1-8'!$A331,"","False")</f>
        <v>False</v>
      </c>
      <c r="AP331" s="109" t="str">
        <f>'[1]page 1-8'!$A331</f>
        <v>H.R.Coil-2 Production</v>
      </c>
    </row>
    <row r="332" spans="1:42" x14ac:dyDescent="0.4">
      <c r="A332" s="37" t="s">
        <v>389</v>
      </c>
      <c r="B332" s="38" t="s">
        <v>390</v>
      </c>
      <c r="C332" s="49">
        <v>512.26870029283248</v>
      </c>
      <c r="D332" s="49">
        <v>527.6</v>
      </c>
      <c r="E332" s="49">
        <v>520</v>
      </c>
      <c r="F332" s="47">
        <v>504</v>
      </c>
      <c r="G332" s="47">
        <v>482.26260152635058</v>
      </c>
      <c r="H332" s="47">
        <v>473.91329889234191</v>
      </c>
      <c r="I332" s="47">
        <v>458.82733658712766</v>
      </c>
      <c r="J332" s="47">
        <v>480.60036060858118</v>
      </c>
      <c r="K332" s="47">
        <v>487.26970282585268</v>
      </c>
      <c r="L332" s="47">
        <v>463.96872141655712</v>
      </c>
      <c r="M332" s="49">
        <v>477.04120281049768</v>
      </c>
      <c r="N332" s="49">
        <v>461.28868048272955</v>
      </c>
      <c r="O332" s="49">
        <v>484.91334307547646</v>
      </c>
      <c r="P332" s="49">
        <v>468.85352849851142</v>
      </c>
      <c r="Q332" s="49">
        <v>456.43226682442958</v>
      </c>
      <c r="R332" s="49">
        <v>480.10438466883733</v>
      </c>
      <c r="S332" s="49">
        <v>443.4501122600301</v>
      </c>
      <c r="T332" s="49">
        <v>440.01447487054742</v>
      </c>
      <c r="U332" s="47">
        <v>440</v>
      </c>
      <c r="V332" s="47"/>
      <c r="W332" s="45">
        <v>436.72999806984808</v>
      </c>
      <c r="X332" s="44">
        <v>450.40999837880059</v>
      </c>
      <c r="Y332" s="44" t="e">
        <v>#DIV/0!</v>
      </c>
      <c r="Z332" s="49">
        <v>443.54301765862152</v>
      </c>
      <c r="AA332" s="44" t="e">
        <v>#DIV/0!</v>
      </c>
      <c r="AB332" s="44" t="e">
        <v>#DIV/0!</v>
      </c>
      <c r="AC332" s="44" t="e">
        <v>#DIV/0!</v>
      </c>
      <c r="AD332" s="49" t="e">
        <v>#DIV/0!</v>
      </c>
      <c r="AE332" s="44" t="e">
        <v>#DIV/0!</v>
      </c>
      <c r="AF332" s="44" t="e">
        <v>#DIV/0!</v>
      </c>
      <c r="AG332" s="44" t="e">
        <v>#DIV/0!</v>
      </c>
      <c r="AH332" s="49" t="e">
        <v>#DIV/0!</v>
      </c>
      <c r="AI332" s="44" t="e">
        <v>#DIV/0!</v>
      </c>
      <c r="AJ332" s="44" t="e">
        <v>#DIV/0!</v>
      </c>
      <c r="AK332" s="44" t="e">
        <v>#DIV/0!</v>
      </c>
      <c r="AL332" s="49"/>
      <c r="AM332" s="44">
        <v>443.54301765862152</v>
      </c>
      <c r="AO332" s="109" t="str">
        <f>IF(A332='[1]page 1-8'!$A332,"","False")</f>
        <v/>
      </c>
      <c r="AP332" s="109" t="str">
        <f>'[1]page 1-8'!$A332</f>
        <v>Saleable Steel</v>
      </c>
    </row>
    <row r="333" spans="1:42" x14ac:dyDescent="0.4">
      <c r="A333" s="43" t="s">
        <v>391</v>
      </c>
      <c r="B333" s="38"/>
      <c r="C333" s="49"/>
      <c r="D333" s="49"/>
      <c r="E333" s="49"/>
      <c r="F333" s="49"/>
      <c r="G333" s="49"/>
      <c r="H333" s="49"/>
      <c r="I333" s="49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38"/>
      <c r="V333" s="38"/>
      <c r="W333" s="48"/>
      <c r="X333" s="47"/>
      <c r="Y333" s="47"/>
      <c r="Z333" s="47"/>
      <c r="AA333" s="47"/>
      <c r="AB333" s="47"/>
      <c r="AC333" s="47"/>
      <c r="AD333" s="47"/>
      <c r="AE333" s="47"/>
      <c r="AF333" s="47"/>
      <c r="AG333" s="47"/>
      <c r="AH333" s="47"/>
      <c r="AI333" s="47"/>
      <c r="AJ333" s="47"/>
      <c r="AK333" s="47"/>
      <c r="AL333" s="47"/>
      <c r="AM333" s="47"/>
      <c r="AO333" s="109" t="str">
        <f>IF(A333='[1]page 1-8'!$A333,"","False")</f>
        <v/>
      </c>
      <c r="AP333" s="109" t="str">
        <f>'[1]page 1-8'!$A333</f>
        <v>OBBP</v>
      </c>
    </row>
    <row r="334" spans="1:42" x14ac:dyDescent="0.4">
      <c r="A334" s="37" t="s">
        <v>392</v>
      </c>
      <c r="B334" s="42" t="s">
        <v>393</v>
      </c>
      <c r="C334" s="49">
        <v>90.2</v>
      </c>
      <c r="D334" s="49">
        <v>90.2</v>
      </c>
      <c r="E334" s="49">
        <v>90.3</v>
      </c>
      <c r="F334" s="49">
        <v>90.333333333333329</v>
      </c>
      <c r="G334" s="49">
        <v>90.491666666666674</v>
      </c>
      <c r="H334" s="49">
        <v>88.858333333333334</v>
      </c>
      <c r="I334" s="49">
        <v>88.641666666666694</v>
      </c>
      <c r="J334" s="49">
        <v>88.149999999999991</v>
      </c>
      <c r="K334" s="49">
        <v>90.358333333333334</v>
      </c>
      <c r="L334" s="49">
        <v>91</v>
      </c>
      <c r="M334" s="49">
        <v>91</v>
      </c>
      <c r="N334" s="44">
        <v>89.8</v>
      </c>
      <c r="O334" s="44">
        <v>90</v>
      </c>
      <c r="P334" s="44">
        <v>90</v>
      </c>
      <c r="Q334" s="44">
        <v>90.8</v>
      </c>
      <c r="R334" s="44">
        <v>90.68</v>
      </c>
      <c r="S334" s="44">
        <v>90.669999999999987</v>
      </c>
      <c r="T334" s="44">
        <v>90.694999999999993</v>
      </c>
      <c r="U334" s="49">
        <v>90</v>
      </c>
      <c r="V334" s="49"/>
      <c r="W334" s="45">
        <v>90.9</v>
      </c>
      <c r="X334" s="44">
        <v>90.9</v>
      </c>
      <c r="Y334" s="44">
        <v>0</v>
      </c>
      <c r="Z334" s="44">
        <v>60.6</v>
      </c>
      <c r="AA334" s="44">
        <v>0</v>
      </c>
      <c r="AB334" s="44">
        <v>0</v>
      </c>
      <c r="AC334" s="44">
        <v>0</v>
      </c>
      <c r="AD334" s="44">
        <v>0</v>
      </c>
      <c r="AE334" s="44">
        <v>0</v>
      </c>
      <c r="AF334" s="44">
        <v>0</v>
      </c>
      <c r="AG334" s="44">
        <v>0</v>
      </c>
      <c r="AH334" s="44">
        <v>0</v>
      </c>
      <c r="AI334" s="44">
        <v>0</v>
      </c>
      <c r="AJ334" s="44">
        <v>0</v>
      </c>
      <c r="AK334" s="44">
        <v>0</v>
      </c>
      <c r="AL334" s="44"/>
      <c r="AM334" s="44">
        <v>90.9</v>
      </c>
      <c r="AO334" s="109" t="str">
        <f>IF(A334='[1]page 1-8'!$A334,"","False")</f>
        <v/>
      </c>
      <c r="AP334" s="109" t="str">
        <f>'[1]page 1-8'!$A334</f>
        <v>Flux Crus.Index(Ov.All)</v>
      </c>
    </row>
    <row r="335" spans="1:42" x14ac:dyDescent="0.4">
      <c r="A335" s="37" t="s">
        <v>394</v>
      </c>
      <c r="B335" s="42" t="s">
        <v>393</v>
      </c>
      <c r="C335" s="49">
        <v>80.599999999999994</v>
      </c>
      <c r="D335" s="49">
        <v>80.8</v>
      </c>
      <c r="E335" s="49">
        <v>80.8</v>
      </c>
      <c r="F335" s="49">
        <v>80.716666666666654</v>
      </c>
      <c r="G335" s="49">
        <v>80.75</v>
      </c>
      <c r="H335" s="49">
        <v>78.55</v>
      </c>
      <c r="I335" s="49">
        <v>77.63333333333334</v>
      </c>
      <c r="J335" s="49">
        <v>78.616666666666674</v>
      </c>
      <c r="K335" s="49">
        <v>81.853333333333339</v>
      </c>
      <c r="L335" s="49">
        <v>83.19</v>
      </c>
      <c r="M335" s="49">
        <v>83.19</v>
      </c>
      <c r="N335" s="44">
        <v>82.1</v>
      </c>
      <c r="O335" s="44">
        <v>82.94</v>
      </c>
      <c r="P335" s="44">
        <v>84.74</v>
      </c>
      <c r="Q335" s="44">
        <v>83.5</v>
      </c>
      <c r="R335" s="44">
        <v>81.950000000000017</v>
      </c>
      <c r="S335" s="44">
        <v>81.12</v>
      </c>
      <c r="T335" s="44">
        <v>81.349999999999994</v>
      </c>
      <c r="U335" s="49">
        <v>85</v>
      </c>
      <c r="V335" s="49"/>
      <c r="W335" s="45">
        <v>81.7</v>
      </c>
      <c r="X335" s="44">
        <v>81.5</v>
      </c>
      <c r="Y335" s="44">
        <v>0</v>
      </c>
      <c r="Z335" s="44">
        <v>54.4</v>
      </c>
      <c r="AA335" s="44">
        <v>0</v>
      </c>
      <c r="AB335" s="44">
        <v>0</v>
      </c>
      <c r="AC335" s="44">
        <v>0</v>
      </c>
      <c r="AD335" s="44">
        <v>0</v>
      </c>
      <c r="AE335" s="44">
        <v>0</v>
      </c>
      <c r="AF335" s="44">
        <v>0</v>
      </c>
      <c r="AG335" s="44">
        <v>0</v>
      </c>
      <c r="AH335" s="44">
        <v>0</v>
      </c>
      <c r="AI335" s="44">
        <v>0</v>
      </c>
      <c r="AJ335" s="44">
        <v>0</v>
      </c>
      <c r="AK335" s="44">
        <v>0</v>
      </c>
      <c r="AL335" s="44"/>
      <c r="AM335" s="44">
        <v>81.599999999999994</v>
      </c>
      <c r="AO335" s="109" t="str">
        <f>IF(A335='[1]page 1-8'!$A335,"","False")</f>
        <v/>
      </c>
      <c r="AP335" s="109" t="str">
        <f>'[1]page 1-8'!$A335</f>
        <v>Coke Crus.Index(Ov.All)</v>
      </c>
    </row>
    <row r="336" spans="1:42" x14ac:dyDescent="0.4">
      <c r="A336" s="37" t="s">
        <v>395</v>
      </c>
      <c r="B336" s="38" t="s">
        <v>141</v>
      </c>
      <c r="C336" s="49">
        <v>3.5</v>
      </c>
      <c r="D336" s="49">
        <v>3.6</v>
      </c>
      <c r="E336" s="49">
        <v>3.7</v>
      </c>
      <c r="F336" s="49">
        <v>3.7741666666666664</v>
      </c>
      <c r="G336" s="49">
        <v>3.1974999999999998</v>
      </c>
      <c r="H336" s="49">
        <v>3</v>
      </c>
      <c r="I336" s="49">
        <v>2.2000000000000002</v>
      </c>
      <c r="J336" s="44">
        <v>1.9666666666666666</v>
      </c>
      <c r="K336" s="44">
        <v>2.4947071270025498</v>
      </c>
      <c r="L336" s="44">
        <v>1.59</v>
      </c>
      <c r="M336" s="44">
        <v>1.59</v>
      </c>
      <c r="N336" s="44">
        <v>1.1000000000000001</v>
      </c>
      <c r="O336" s="44">
        <v>1.4</v>
      </c>
      <c r="P336" s="44">
        <v>1.4</v>
      </c>
      <c r="Q336" s="44">
        <v>0.35</v>
      </c>
      <c r="R336" s="44">
        <v>0.64</v>
      </c>
      <c r="S336" s="44">
        <v>0.375</v>
      </c>
      <c r="T336" s="44">
        <v>0.505</v>
      </c>
      <c r="U336" s="44">
        <v>0.32</v>
      </c>
      <c r="V336" s="44"/>
      <c r="W336" s="45">
        <v>0.03</v>
      </c>
      <c r="X336" s="44">
        <v>0</v>
      </c>
      <c r="Y336" s="44">
        <v>0</v>
      </c>
      <c r="Z336" s="44">
        <v>0.01</v>
      </c>
      <c r="AA336" s="44">
        <v>0</v>
      </c>
      <c r="AB336" s="44">
        <v>0</v>
      </c>
      <c r="AC336" s="44">
        <v>0</v>
      </c>
      <c r="AD336" s="44">
        <v>0</v>
      </c>
      <c r="AE336" s="44">
        <v>0</v>
      </c>
      <c r="AF336" s="44">
        <v>0</v>
      </c>
      <c r="AG336" s="44">
        <v>0</v>
      </c>
      <c r="AH336" s="44">
        <v>0</v>
      </c>
      <c r="AI336" s="44">
        <v>0</v>
      </c>
      <c r="AJ336" s="44">
        <v>0</v>
      </c>
      <c r="AK336" s="44">
        <v>0</v>
      </c>
      <c r="AL336" s="44"/>
      <c r="AM336" s="44">
        <v>1.4999999999999999E-2</v>
      </c>
      <c r="AO336" s="109" t="str">
        <f>IF(A336='[1]page 1-8'!$A336,"","False")</f>
        <v/>
      </c>
      <c r="AP336" s="109" t="str">
        <f>'[1]page 1-8'!$A336</f>
        <v>LD fines usage in B-Mix</v>
      </c>
    </row>
    <row r="337" spans="1:42" x14ac:dyDescent="0.4">
      <c r="A337" s="37" t="s">
        <v>396</v>
      </c>
      <c r="B337" s="38" t="s">
        <v>141</v>
      </c>
      <c r="C337" s="49">
        <v>2</v>
      </c>
      <c r="D337" s="49">
        <v>2.1</v>
      </c>
      <c r="E337" s="49">
        <v>2.44</v>
      </c>
      <c r="F337" s="49">
        <v>2.2041666666666671</v>
      </c>
      <c r="G337" s="49">
        <v>1.7766666666666666</v>
      </c>
      <c r="H337" s="49">
        <v>1.5591666666666668</v>
      </c>
      <c r="I337" s="49">
        <v>1.7233333333333334</v>
      </c>
      <c r="J337" s="44">
        <v>1.3925000000000001</v>
      </c>
      <c r="K337" s="44">
        <v>0.69999999999999984</v>
      </c>
      <c r="L337" s="44">
        <v>0.52</v>
      </c>
      <c r="M337" s="44">
        <v>0.52</v>
      </c>
      <c r="N337" s="44">
        <v>0.4</v>
      </c>
      <c r="O337" s="44">
        <v>0.39</v>
      </c>
      <c r="P337" s="44">
        <v>0.39</v>
      </c>
      <c r="Q337" s="44">
        <v>0.44</v>
      </c>
      <c r="R337" s="44">
        <v>0.27</v>
      </c>
      <c r="S337" s="44">
        <v>0.22500000000000003</v>
      </c>
      <c r="T337" s="44">
        <v>0.19750000000000001</v>
      </c>
      <c r="U337" s="44">
        <v>0.15</v>
      </c>
      <c r="V337" s="44"/>
      <c r="W337" s="45">
        <v>0.2</v>
      </c>
      <c r="X337" s="44">
        <v>0.18</v>
      </c>
      <c r="Y337" s="44">
        <v>0</v>
      </c>
      <c r="Z337" s="44">
        <v>0.12666666666666668</v>
      </c>
      <c r="AA337" s="44">
        <v>0</v>
      </c>
      <c r="AB337" s="44">
        <v>0</v>
      </c>
      <c r="AC337" s="44">
        <v>0</v>
      </c>
      <c r="AD337" s="44">
        <v>0</v>
      </c>
      <c r="AE337" s="44">
        <v>0</v>
      </c>
      <c r="AF337" s="44">
        <v>0</v>
      </c>
      <c r="AG337" s="44">
        <v>0</v>
      </c>
      <c r="AH337" s="44">
        <v>0</v>
      </c>
      <c r="AI337" s="44">
        <v>0</v>
      </c>
      <c r="AJ337" s="44">
        <v>0</v>
      </c>
      <c r="AK337" s="44">
        <v>0</v>
      </c>
      <c r="AL337" s="44"/>
      <c r="AM337" s="44">
        <v>0.19</v>
      </c>
      <c r="AO337" s="109" t="str">
        <f>IF(A337='[1]page 1-8'!$A337,"","False")</f>
        <v/>
      </c>
      <c r="AP337" s="109" t="str">
        <f>'[1]page 1-8'!$A337</f>
        <v>Met. Waste in B-Mix</v>
      </c>
    </row>
    <row r="338" spans="1:42" x14ac:dyDescent="0.4">
      <c r="A338" s="37" t="s">
        <v>397</v>
      </c>
      <c r="B338" s="38" t="s">
        <v>141</v>
      </c>
      <c r="C338" s="49">
        <v>0.7</v>
      </c>
      <c r="D338" s="44">
        <v>0.4</v>
      </c>
      <c r="E338" s="44">
        <v>0.35</v>
      </c>
      <c r="F338" s="44">
        <v>0.32333333333333331</v>
      </c>
      <c r="G338" s="44">
        <v>0.27916666666666667</v>
      </c>
      <c r="H338" s="44">
        <v>0.30833333333333335</v>
      </c>
      <c r="I338" s="44">
        <v>0.48750000000000004</v>
      </c>
      <c r="J338" s="44">
        <v>0.5558333333333334</v>
      </c>
      <c r="K338" s="44">
        <v>0.45083333333333325</v>
      </c>
      <c r="L338" s="44">
        <v>0.34</v>
      </c>
      <c r="M338" s="44">
        <v>0.34</v>
      </c>
      <c r="N338" s="44">
        <v>0.43</v>
      </c>
      <c r="O338" s="44">
        <v>0.35</v>
      </c>
      <c r="P338" s="44">
        <v>0.35</v>
      </c>
      <c r="Q338" s="44">
        <v>0.47</v>
      </c>
      <c r="R338" s="44">
        <v>0.35999999999999993</v>
      </c>
      <c r="S338" s="44">
        <v>0.46500000000000002</v>
      </c>
      <c r="T338" s="44">
        <v>0.36</v>
      </c>
      <c r="U338" s="44">
        <v>0.3</v>
      </c>
      <c r="V338" s="44"/>
      <c r="W338" s="45">
        <v>0.33</v>
      </c>
      <c r="X338" s="44">
        <v>0.3</v>
      </c>
      <c r="Y338" s="44">
        <v>0</v>
      </c>
      <c r="Z338" s="44">
        <v>0.21</v>
      </c>
      <c r="AA338" s="44">
        <v>0</v>
      </c>
      <c r="AB338" s="44">
        <v>0</v>
      </c>
      <c r="AC338" s="44">
        <v>0</v>
      </c>
      <c r="AD338" s="44">
        <v>0</v>
      </c>
      <c r="AE338" s="44">
        <v>0.7</v>
      </c>
      <c r="AF338" s="44">
        <v>0</v>
      </c>
      <c r="AG338" s="44">
        <v>0</v>
      </c>
      <c r="AH338" s="44">
        <v>0</v>
      </c>
      <c r="AI338" s="44">
        <v>0</v>
      </c>
      <c r="AJ338" s="44">
        <v>0</v>
      </c>
      <c r="AK338" s="44">
        <v>0</v>
      </c>
      <c r="AL338" s="44"/>
      <c r="AM338" s="44">
        <v>0.315</v>
      </c>
      <c r="AO338" s="109" t="str">
        <f>IF(A338='[1]page 1-8'!$A338,"","False")</f>
        <v/>
      </c>
      <c r="AP338" s="109" t="str">
        <f>'[1]page 1-8'!$A338</f>
        <v>Std. Dvn for Fe in B-Mix</v>
      </c>
    </row>
    <row r="339" spans="1:42" x14ac:dyDescent="0.4">
      <c r="A339" s="37" t="s">
        <v>398</v>
      </c>
      <c r="B339" s="38"/>
      <c r="C339" s="47"/>
      <c r="D339" s="47"/>
      <c r="E339" s="47"/>
      <c r="F339" s="47"/>
      <c r="G339" s="47"/>
      <c r="H339" s="47"/>
      <c r="I339" s="47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41"/>
      <c r="X339" s="38"/>
      <c r="Y339" s="38"/>
      <c r="Z339" s="38"/>
      <c r="AA339" s="38"/>
      <c r="AB339" s="38"/>
      <c r="AC339" s="38"/>
      <c r="AD339" s="38"/>
      <c r="AE339" s="38"/>
      <c r="AF339" s="38"/>
      <c r="AG339" s="38"/>
      <c r="AH339" s="38"/>
      <c r="AI339" s="38"/>
      <c r="AJ339" s="38"/>
      <c r="AK339" s="38"/>
      <c r="AL339" s="38"/>
      <c r="AM339" s="38"/>
      <c r="AO339" s="109" t="str">
        <f>IF(A339='[1]page 1-8'!$A339,"","False")</f>
        <v/>
      </c>
      <c r="AP339" s="109" t="str">
        <f>'[1]page 1-8'!$A339</f>
        <v>GENERAL</v>
      </c>
    </row>
    <row r="340" spans="1:42" x14ac:dyDescent="0.4">
      <c r="A340" s="37" t="s">
        <v>399</v>
      </c>
      <c r="B340" s="38" t="s">
        <v>400</v>
      </c>
      <c r="C340" s="57">
        <v>7.3879999999999999</v>
      </c>
      <c r="D340" s="57">
        <v>7.09</v>
      </c>
      <c r="E340" s="57">
        <v>6.9740000000000002</v>
      </c>
      <c r="F340" s="57">
        <v>6.87</v>
      </c>
      <c r="G340" s="57">
        <v>6.86</v>
      </c>
      <c r="H340" s="57">
        <v>6.7329999999999997</v>
      </c>
      <c r="I340" s="57">
        <v>6.6749999999999998</v>
      </c>
      <c r="J340" s="57">
        <v>6.5670999999999999</v>
      </c>
      <c r="K340" s="57">
        <v>6.4980000000000002</v>
      </c>
      <c r="L340" s="57">
        <v>6.4279999999999999</v>
      </c>
      <c r="M340" s="57">
        <v>6.3330000000000002</v>
      </c>
      <c r="N340" s="57">
        <v>6.2590000000000003</v>
      </c>
      <c r="O340" s="57">
        <v>6.2439999999999998</v>
      </c>
      <c r="P340" s="57">
        <v>6.1890000000000001</v>
      </c>
      <c r="Q340" s="57">
        <v>5.9907000000000004</v>
      </c>
      <c r="R340" s="57">
        <v>6.0343</v>
      </c>
      <c r="S340" s="57">
        <v>5.9839000000000002</v>
      </c>
      <c r="T340" s="57">
        <v>5.9180000000000001</v>
      </c>
      <c r="U340" s="44">
        <v>5.98</v>
      </c>
      <c r="V340" s="44"/>
      <c r="W340" s="57">
        <v>6.0505000000000004</v>
      </c>
      <c r="X340" s="57">
        <v>6.0106000000000002</v>
      </c>
      <c r="Y340" s="57">
        <v>0</v>
      </c>
      <c r="Z340" s="57">
        <v>6.36</v>
      </c>
      <c r="AA340" s="57">
        <v>0</v>
      </c>
      <c r="AB340" s="57">
        <v>0</v>
      </c>
      <c r="AC340" s="57">
        <v>0</v>
      </c>
      <c r="AD340" s="57">
        <v>6.2640000000000002</v>
      </c>
      <c r="AE340" s="57">
        <v>0</v>
      </c>
      <c r="AF340" s="57">
        <v>0</v>
      </c>
      <c r="AG340" s="57">
        <v>0</v>
      </c>
      <c r="AH340" s="57">
        <v>6.367</v>
      </c>
      <c r="AI340" s="57">
        <v>0</v>
      </c>
      <c r="AJ340" s="57">
        <v>0</v>
      </c>
      <c r="AK340" s="57">
        <v>0</v>
      </c>
      <c r="AL340" s="57">
        <v>6.2949999999999999</v>
      </c>
      <c r="AM340" s="57">
        <v>6.0305</v>
      </c>
      <c r="AO340" s="109" t="str">
        <f>IF(A340='[1]page 1-8'!$A340,"","False")</f>
        <v/>
      </c>
      <c r="AP340" s="109" t="str">
        <f>'[1]page 1-8'!$A340</f>
        <v xml:space="preserve">**Energy consumption. </v>
      </c>
    </row>
    <row r="341" spans="1:42" x14ac:dyDescent="0.4">
      <c r="A341" s="37" t="s">
        <v>402</v>
      </c>
      <c r="B341" s="42" t="s">
        <v>162</v>
      </c>
      <c r="C341" s="38">
        <v>1.0269999999999999</v>
      </c>
      <c r="D341" s="38">
        <v>1.052</v>
      </c>
      <c r="E341" s="38">
        <v>1.0529999999999999</v>
      </c>
      <c r="F341" s="38">
        <v>1.0529999999999999</v>
      </c>
      <c r="G341" s="38">
        <v>1.0529999999999999</v>
      </c>
      <c r="H341" s="38">
        <v>1.052</v>
      </c>
      <c r="I341" s="38">
        <v>1.0489999999999999</v>
      </c>
      <c r="J341" s="57">
        <v>1.05</v>
      </c>
      <c r="K341" s="57">
        <v>1.0418333333333334</v>
      </c>
      <c r="L341" s="57">
        <v>1.028</v>
      </c>
      <c r="M341" s="57">
        <v>1.0169999999999999</v>
      </c>
      <c r="N341" s="57">
        <v>0.999</v>
      </c>
      <c r="O341" s="57">
        <v>1.016</v>
      </c>
      <c r="P341" s="57">
        <v>1.0389999999999999</v>
      </c>
      <c r="Q341" s="57">
        <v>1.028</v>
      </c>
      <c r="R341" s="57">
        <v>1.028</v>
      </c>
      <c r="S341" s="57">
        <v>1.0329999999999999</v>
      </c>
      <c r="T341" s="57">
        <v>1.0269999999999999</v>
      </c>
      <c r="U341" s="44">
        <v>1.05</v>
      </c>
      <c r="V341" s="44"/>
      <c r="W341" s="57">
        <v>1.028</v>
      </c>
      <c r="X341" s="57">
        <v>1.0349999999999999</v>
      </c>
      <c r="Y341" s="57">
        <v>0</v>
      </c>
      <c r="Z341" s="57">
        <v>0.68766666666666654</v>
      </c>
      <c r="AA341" s="57">
        <v>0</v>
      </c>
      <c r="AB341" s="57">
        <v>0</v>
      </c>
      <c r="AC341" s="57">
        <v>0</v>
      </c>
      <c r="AD341" s="57">
        <v>0</v>
      </c>
      <c r="AE341" s="57">
        <v>0</v>
      </c>
      <c r="AF341" s="57">
        <v>0</v>
      </c>
      <c r="AG341" s="57">
        <v>0</v>
      </c>
      <c r="AH341" s="57">
        <v>0</v>
      </c>
      <c r="AI341" s="57">
        <v>0</v>
      </c>
      <c r="AJ341" s="57">
        <v>0</v>
      </c>
      <c r="AK341" s="57">
        <v>0</v>
      </c>
      <c r="AL341" s="57"/>
      <c r="AM341" s="57">
        <v>1.0309999999999999</v>
      </c>
      <c r="AO341" s="109" t="str">
        <f>IF(A341='[1]page 1-8'!$A341,"","False")</f>
        <v/>
      </c>
      <c r="AP341" s="109" t="str">
        <f>'[1]page 1-8'!$A341</f>
        <v>H M to Slab Ratio-Total</v>
      </c>
    </row>
    <row r="342" spans="1:42" x14ac:dyDescent="0.4">
      <c r="A342" s="37" t="s">
        <v>409</v>
      </c>
      <c r="B342" s="38" t="s">
        <v>410</v>
      </c>
      <c r="C342" s="38">
        <v>5554</v>
      </c>
      <c r="D342" s="38">
        <v>2404</v>
      </c>
      <c r="E342" s="38">
        <v>658</v>
      </c>
      <c r="F342" s="38">
        <v>359</v>
      </c>
      <c r="G342" s="38">
        <v>298</v>
      </c>
      <c r="H342" s="38">
        <v>392</v>
      </c>
      <c r="I342" s="38">
        <v>1008</v>
      </c>
      <c r="J342" s="47">
        <v>1613.1150000000002</v>
      </c>
      <c r="K342" s="47">
        <v>7976.8</v>
      </c>
      <c r="L342" s="47">
        <v>7170</v>
      </c>
      <c r="M342" s="47">
        <v>13303</v>
      </c>
      <c r="N342" s="47">
        <v>15281</v>
      </c>
      <c r="O342" s="47">
        <v>14637.24</v>
      </c>
      <c r="P342" s="47">
        <v>14029</v>
      </c>
      <c r="Q342" s="47">
        <v>1583</v>
      </c>
      <c r="R342" s="47">
        <v>13550</v>
      </c>
      <c r="S342" s="47">
        <v>14381</v>
      </c>
      <c r="T342" s="47">
        <v>11980</v>
      </c>
      <c r="U342" s="38">
        <v>1439</v>
      </c>
      <c r="V342" s="38"/>
      <c r="W342" s="41">
        <v>1243</v>
      </c>
      <c r="X342" s="38">
        <v>691</v>
      </c>
      <c r="Y342" s="38">
        <v>0</v>
      </c>
      <c r="Z342" s="38">
        <v>1934</v>
      </c>
      <c r="AA342" s="38">
        <v>0</v>
      </c>
      <c r="AB342" s="38">
        <v>0</v>
      </c>
      <c r="AC342" s="47">
        <v>0</v>
      </c>
      <c r="AD342" s="47">
        <v>0</v>
      </c>
      <c r="AE342" s="38">
        <v>0</v>
      </c>
      <c r="AF342" s="47">
        <v>0</v>
      </c>
      <c r="AG342" s="38">
        <v>0</v>
      </c>
      <c r="AH342" s="47">
        <v>0</v>
      </c>
      <c r="AI342" s="47">
        <v>0</v>
      </c>
      <c r="AJ342" s="47">
        <v>0</v>
      </c>
      <c r="AK342" s="47">
        <v>0</v>
      </c>
      <c r="AL342" s="47"/>
      <c r="AM342" s="38">
        <v>1934</v>
      </c>
      <c r="AO342" s="109" t="str">
        <f>IF(A342='[1]page 1-8'!$A342,"","False")</f>
        <v/>
      </c>
      <c r="AP342" s="109" t="str">
        <f>'[1]page 1-8'!$A342</f>
        <v>Fce Oil Cons.-Total</v>
      </c>
    </row>
    <row r="343" spans="1:42" x14ac:dyDescent="0.4">
      <c r="A343" s="37" t="s">
        <v>411</v>
      </c>
      <c r="B343" s="38" t="s">
        <v>412</v>
      </c>
      <c r="C343" s="44">
        <v>5.27</v>
      </c>
      <c r="D343" s="44">
        <v>5.15</v>
      </c>
      <c r="E343" s="44">
        <v>4.2</v>
      </c>
      <c r="F343" s="44">
        <v>4.0964808541227038</v>
      </c>
      <c r="G343" s="44">
        <v>4.0610876085320733</v>
      </c>
      <c r="H343" s="44">
        <v>4.0520132905537221</v>
      </c>
      <c r="I343" s="44">
        <v>4.0333472989604333</v>
      </c>
      <c r="J343" s="44">
        <v>4.2237500958254497</v>
      </c>
      <c r="K343" s="44">
        <v>3.9758266601446208</v>
      </c>
      <c r="L343" s="44">
        <v>3.8869403492426811</v>
      </c>
      <c r="M343" s="44">
        <v>3.7177698551560279</v>
      </c>
      <c r="N343" s="44">
        <v>3.6573087145934373</v>
      </c>
      <c r="O343" s="44">
        <v>3.8116495374556623</v>
      </c>
      <c r="P343" s="44">
        <v>3.4062667992362483</v>
      </c>
      <c r="Q343" s="44">
        <v>3.1374871820991226</v>
      </c>
      <c r="R343" s="44">
        <v>3.1191792597869776</v>
      </c>
      <c r="S343" s="44">
        <v>3.0045147589384995</v>
      </c>
      <c r="T343" s="44">
        <v>2.9742465654547923</v>
      </c>
      <c r="U343" s="44">
        <v>2.88</v>
      </c>
      <c r="V343" s="44"/>
      <c r="W343" s="45">
        <v>3.0187831055562619</v>
      </c>
      <c r="X343" s="44">
        <v>2.9842954785367608</v>
      </c>
      <c r="Y343" s="44" t="e">
        <v>#DIV/0!</v>
      </c>
      <c r="Z343" s="44">
        <v>3.0015134490248219</v>
      </c>
      <c r="AA343" s="44" t="e">
        <v>#DIV/0!</v>
      </c>
      <c r="AB343" s="44" t="e">
        <v>#DIV/0!</v>
      </c>
      <c r="AC343" s="44" t="e">
        <v>#DIV/0!</v>
      </c>
      <c r="AD343" s="44" t="e">
        <v>#DIV/0!</v>
      </c>
      <c r="AE343" s="44" t="e">
        <v>#DIV/0!</v>
      </c>
      <c r="AF343" s="44" t="e">
        <v>#DIV/0!</v>
      </c>
      <c r="AG343" s="44" t="e">
        <v>#DIV/0!</v>
      </c>
      <c r="AH343" s="44">
        <v>3.7615004252742659</v>
      </c>
      <c r="AI343" s="44" t="e">
        <v>#DIV/0!</v>
      </c>
      <c r="AJ343" s="44" t="e">
        <v>#DIV/0!</v>
      </c>
      <c r="AK343" s="44" t="e">
        <v>#DIV/0!</v>
      </c>
      <c r="AL343" s="44"/>
      <c r="AM343" s="44">
        <v>3.0015134490248219</v>
      </c>
      <c r="AO343" s="109" t="str">
        <f>IF(A343='[1]page 1-8'!$A343,"","False")</f>
        <v/>
      </c>
      <c r="AP343" s="109" t="str">
        <f>'[1]page 1-8'!$A343</f>
        <v>Make-Up Water Cons.</v>
      </c>
    </row>
    <row r="344" spans="1:42" x14ac:dyDescent="0.4">
      <c r="A344" s="37" t="s">
        <v>411</v>
      </c>
      <c r="B344" s="38" t="s">
        <v>413</v>
      </c>
      <c r="C344" s="44">
        <v>5.3</v>
      </c>
      <c r="D344" s="44">
        <v>5.42</v>
      </c>
      <c r="E344" s="44">
        <v>4.63</v>
      </c>
      <c r="F344" s="44">
        <v>4.4594243964378046</v>
      </c>
      <c r="G344" s="44">
        <v>4.2315298359473585</v>
      </c>
      <c r="H344" s="44">
        <v>4.1709427218767141</v>
      </c>
      <c r="I344" s="44">
        <v>4.1106559910899474</v>
      </c>
      <c r="J344" s="44">
        <v>4.6283598148615566</v>
      </c>
      <c r="K344" s="44">
        <v>4.4768574828242356</v>
      </c>
      <c r="L344" s="44">
        <v>4.1569706388468566</v>
      </c>
      <c r="M344" s="44">
        <v>4.0598854075245372</v>
      </c>
      <c r="N344" s="44">
        <v>4.0137322952143588</v>
      </c>
      <c r="O344" s="44">
        <v>4.1675889880504835</v>
      </c>
      <c r="P344" s="44">
        <v>3.7171768269368117</v>
      </c>
      <c r="Q344" s="44">
        <v>3.4108005403870592</v>
      </c>
      <c r="R344" s="44">
        <v>3.3400859815248674</v>
      </c>
      <c r="S344" s="44">
        <v>2.968867580656843</v>
      </c>
      <c r="T344" s="44">
        <v>2.9487277264204375</v>
      </c>
      <c r="U344" s="38"/>
      <c r="V344" s="38"/>
      <c r="W344" s="45">
        <v>2.9850676430505758</v>
      </c>
      <c r="X344" s="44">
        <v>2.9832662746311773</v>
      </c>
      <c r="Y344" s="44" t="e">
        <v>#DIV/0!</v>
      </c>
      <c r="Z344" s="44">
        <v>2.9841705116141144</v>
      </c>
      <c r="AA344" s="44" t="e">
        <v>#DIV/0!</v>
      </c>
      <c r="AB344" s="44" t="e">
        <v>#DIV/0!</v>
      </c>
      <c r="AC344" s="44" t="e">
        <v>#DIV/0!</v>
      </c>
      <c r="AD344" s="44" t="e">
        <v>#DIV/0!</v>
      </c>
      <c r="AE344" s="44" t="e">
        <v>#DIV/0!</v>
      </c>
      <c r="AF344" s="44" t="e">
        <v>#DIV/0!</v>
      </c>
      <c r="AG344" s="44" t="e">
        <v>#DIV/0!</v>
      </c>
      <c r="AH344" s="44">
        <v>4.1855763476286549</v>
      </c>
      <c r="AI344" s="44" t="e">
        <v>#DIV/0!</v>
      </c>
      <c r="AJ344" s="44" t="e">
        <v>#DIV/0!</v>
      </c>
      <c r="AK344" s="44" t="e">
        <v>#DIV/0!</v>
      </c>
      <c r="AL344" s="44"/>
      <c r="AM344" s="44">
        <v>2.9841705116141144</v>
      </c>
      <c r="AO344" s="109" t="str">
        <f>IF(A344='[1]page 1-8'!$A344,"","False")</f>
        <v/>
      </c>
      <c r="AP344" s="109" t="str">
        <f>'[1]page 1-8'!$A344</f>
        <v>Make-Up Water Cons.</v>
      </c>
    </row>
    <row r="345" spans="1:42" x14ac:dyDescent="0.4">
      <c r="A345" s="37" t="s">
        <v>414</v>
      </c>
      <c r="B345" s="38" t="s">
        <v>415</v>
      </c>
      <c r="C345" s="44">
        <v>23.31</v>
      </c>
      <c r="D345" s="44">
        <v>61.87</v>
      </c>
      <c r="E345" s="44">
        <v>93.68</v>
      </c>
      <c r="F345" s="44">
        <v>83.591144773720742</v>
      </c>
      <c r="G345" s="44">
        <v>68.128172278187378</v>
      </c>
      <c r="H345" s="44">
        <v>62.576491188543194</v>
      </c>
      <c r="I345" s="44">
        <v>51.162962630468591</v>
      </c>
      <c r="J345" s="44">
        <v>46.649749478237261</v>
      </c>
      <c r="K345" s="44">
        <v>67.489999999999995</v>
      </c>
      <c r="L345" s="44">
        <v>66.903547133138972</v>
      </c>
      <c r="M345" s="44">
        <v>62.762884331937315</v>
      </c>
      <c r="N345" s="44">
        <v>62.446481801222212</v>
      </c>
      <c r="O345" s="44">
        <v>67.477085155744874</v>
      </c>
      <c r="P345" s="44">
        <v>78.457211941303555</v>
      </c>
      <c r="Q345" s="44">
        <v>42.874081355734262</v>
      </c>
      <c r="R345" s="44">
        <v>72.522585394515573</v>
      </c>
      <c r="S345" s="44">
        <v>70.40805512551718</v>
      </c>
      <c r="T345" s="44">
        <v>76.191910432677773</v>
      </c>
      <c r="U345" s="44">
        <v>71</v>
      </c>
      <c r="V345" s="44"/>
      <c r="W345" s="45">
        <v>14.866677572386717</v>
      </c>
      <c r="X345" s="44">
        <v>0</v>
      </c>
      <c r="Y345" s="44" t="e">
        <v>#DIV/0!</v>
      </c>
      <c r="Z345" s="44">
        <v>7.5597887118911951</v>
      </c>
      <c r="AA345" s="44" t="e">
        <v>#DIV/0!</v>
      </c>
      <c r="AB345" s="44" t="e">
        <v>#DIV/0!</v>
      </c>
      <c r="AC345" s="44" t="e">
        <v>#DIV/0!</v>
      </c>
      <c r="AD345" s="44" t="e">
        <v>#DIV/0!</v>
      </c>
      <c r="AE345" s="44" t="e">
        <v>#DIV/0!</v>
      </c>
      <c r="AF345" s="44" t="e">
        <v>#DIV/0!</v>
      </c>
      <c r="AG345" s="44" t="e">
        <v>#DIV/0!</v>
      </c>
      <c r="AH345" s="44">
        <v>77.843280745223169</v>
      </c>
      <c r="AI345" s="44" t="e">
        <v>#DIV/0!</v>
      </c>
      <c r="AJ345" s="44" t="e">
        <v>#DIV/0!</v>
      </c>
      <c r="AK345" s="44" t="e">
        <v>#DIV/0!</v>
      </c>
      <c r="AL345" s="44"/>
      <c r="AM345" s="44">
        <v>7.5597887118911951</v>
      </c>
      <c r="AO345" s="109" t="str">
        <f>IF(A345='[1]page 1-8'!$A345,"","False")</f>
        <v/>
      </c>
      <c r="AP345" s="109" t="str">
        <f>'[1]page 1-8'!$A345</f>
        <v>LD Gas Recv. - SMS-II</v>
      </c>
    </row>
    <row r="346" spans="1:42" x14ac:dyDescent="0.4">
      <c r="A346" s="37" t="s">
        <v>418</v>
      </c>
      <c r="B346" s="38" t="s">
        <v>419</v>
      </c>
      <c r="C346" s="44"/>
      <c r="D346" s="47"/>
      <c r="E346" s="47"/>
      <c r="F346" s="47"/>
      <c r="G346" s="47"/>
      <c r="H346" s="47"/>
      <c r="I346" s="47"/>
      <c r="J346" s="38"/>
      <c r="K346" s="38"/>
      <c r="L346" s="38"/>
      <c r="M346" s="38"/>
      <c r="N346" s="38"/>
      <c r="O346" s="38"/>
      <c r="P346" s="38"/>
      <c r="Q346" s="38">
        <v>2.4319999999999999</v>
      </c>
      <c r="R346" s="38">
        <v>2.4279999999999999</v>
      </c>
      <c r="S346" s="38">
        <v>2.613</v>
      </c>
      <c r="T346" s="38">
        <v>2.5209999999999999</v>
      </c>
      <c r="U346" s="41">
        <v>2.3380000000000001</v>
      </c>
      <c r="V346" s="108"/>
      <c r="W346" s="57">
        <v>2.6030000000000002</v>
      </c>
      <c r="X346" s="44">
        <v>2.6</v>
      </c>
      <c r="Y346" s="44"/>
      <c r="Z346" s="44"/>
      <c r="AA346" s="44"/>
      <c r="AB346" s="44"/>
      <c r="AC346" s="44"/>
      <c r="AD346" s="44"/>
      <c r="AE346" s="44"/>
      <c r="AF346" s="44"/>
      <c r="AG346" s="44"/>
      <c r="AH346" s="44"/>
      <c r="AI346" s="44"/>
      <c r="AJ346" s="44"/>
      <c r="AK346" s="44"/>
      <c r="AL346" s="44"/>
      <c r="AM346" s="44">
        <v>2.6</v>
      </c>
      <c r="AO346" s="109" t="str">
        <f>IF(A346='[1]page 1-8'!$A346,"","False")</f>
        <v/>
      </c>
      <c r="AP346" s="109" t="str">
        <f>'[1]page 1-8'!$A346</f>
        <v xml:space="preserve">Sp. CO2 Emmission </v>
      </c>
    </row>
    <row r="347" spans="1:42" x14ac:dyDescent="0.4">
      <c r="A347" s="37" t="s">
        <v>420</v>
      </c>
      <c r="B347" s="38" t="s">
        <v>421</v>
      </c>
      <c r="C347" s="44"/>
      <c r="D347" s="47"/>
      <c r="E347" s="47"/>
      <c r="F347" s="47"/>
      <c r="G347" s="47"/>
      <c r="H347" s="47"/>
      <c r="I347" s="47"/>
      <c r="J347" s="38"/>
      <c r="K347" s="38"/>
      <c r="L347" s="38"/>
      <c r="M347" s="38"/>
      <c r="N347" s="38"/>
      <c r="O347" s="38"/>
      <c r="P347" s="38"/>
      <c r="Q347" s="38">
        <v>457.39</v>
      </c>
      <c r="R347" s="38">
        <v>466.53</v>
      </c>
      <c r="S347" s="38">
        <v>495.51</v>
      </c>
      <c r="T347" s="38">
        <v>514.78</v>
      </c>
      <c r="U347" s="38">
        <v>588</v>
      </c>
      <c r="V347" s="38"/>
      <c r="W347" s="41">
        <v>535.35</v>
      </c>
      <c r="X347" s="38">
        <v>530.82000000000005</v>
      </c>
      <c r="Y347" s="38"/>
      <c r="Z347" s="38"/>
      <c r="AA347" s="38"/>
      <c r="AB347" s="38"/>
      <c r="AC347" s="38"/>
      <c r="AD347" s="38"/>
      <c r="AE347" s="38"/>
      <c r="AF347" s="38"/>
      <c r="AG347" s="38"/>
      <c r="AH347" s="38"/>
      <c r="AI347" s="38"/>
      <c r="AJ347" s="38"/>
      <c r="AK347" s="38"/>
      <c r="AL347" s="38"/>
      <c r="AM347" s="41">
        <v>533.04</v>
      </c>
      <c r="AO347" s="109" t="str">
        <f>IF(A347='[1]page 1-8'!$A347,"","False")</f>
        <v/>
      </c>
      <c r="AP347" s="109" t="str">
        <f>'[1]page 1-8'!$A347</f>
        <v>Labour Productivity</v>
      </c>
    </row>
    <row r="348" spans="1:42" x14ac:dyDescent="0.4">
      <c r="A348" s="37" t="s">
        <v>422</v>
      </c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41"/>
      <c r="X348" s="38"/>
      <c r="Y348" s="38"/>
      <c r="Z348" s="38"/>
      <c r="AA348" s="38"/>
      <c r="AB348" s="38"/>
      <c r="AC348" s="38"/>
      <c r="AD348" s="38"/>
      <c r="AE348" s="38"/>
      <c r="AF348" s="38"/>
      <c r="AG348" s="38"/>
      <c r="AH348" s="38"/>
      <c r="AI348" s="38"/>
      <c r="AJ348" s="38"/>
      <c r="AK348" s="38"/>
      <c r="AL348" s="38"/>
      <c r="AM348" s="38"/>
      <c r="AO348" s="109" t="str">
        <f>IF(A348='[1]page 1-8'!$A348,"","False")</f>
        <v>False</v>
      </c>
      <c r="AP348" s="109" t="str">
        <f>'[1]page 1-8'!$A348</f>
        <v xml:space="preserve">  Current Month data is provisional</v>
      </c>
    </row>
  </sheetData>
  <pageMargins left="0.70866141732283472" right="0.70866141732283472" top="0.74803149606299213" bottom="0.74803149606299213" header="0.31496062992125984" footer="0.31496062992125984"/>
  <pageSetup paperSize="9" scale="57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54"/>
  <sheetViews>
    <sheetView tabSelected="1" topLeftCell="B17" workbookViewId="0">
      <selection activeCell="S6" sqref="S6:T47"/>
    </sheetView>
  </sheetViews>
  <sheetFormatPr defaultColWidth="9.109375" defaultRowHeight="18" x14ac:dyDescent="0.3"/>
  <cols>
    <col min="1" max="1" width="43.6640625" style="7" bestFit="1" customWidth="1"/>
    <col min="2" max="3" width="13.109375" style="2" customWidth="1"/>
    <col min="4" max="17" width="0" style="2" hidden="1" customWidth="1"/>
    <col min="18" max="18" width="14.109375" style="2" customWidth="1"/>
    <col min="19" max="16384" width="9.109375" style="3"/>
  </cols>
  <sheetData>
    <row r="2" spans="1:20" x14ac:dyDescent="0.3">
      <c r="A2" s="1" t="s">
        <v>0</v>
      </c>
    </row>
    <row r="3" spans="1:20" x14ac:dyDescent="0.3">
      <c r="A3" s="4" t="s">
        <v>1</v>
      </c>
      <c r="R3" s="2" t="s">
        <v>2</v>
      </c>
    </row>
    <row r="4" spans="1:20" x14ac:dyDescent="0.3">
      <c r="A4" s="23" t="s">
        <v>3</v>
      </c>
      <c r="B4" s="24" t="s">
        <v>4</v>
      </c>
      <c r="C4" s="24" t="s">
        <v>5</v>
      </c>
      <c r="D4" s="24" t="s">
        <v>6</v>
      </c>
      <c r="E4" s="24" t="s">
        <v>7</v>
      </c>
      <c r="F4" s="24" t="s">
        <v>8</v>
      </c>
      <c r="G4" s="24" t="s">
        <v>9</v>
      </c>
      <c r="H4" s="24" t="s">
        <v>10</v>
      </c>
      <c r="I4" s="24" t="s">
        <v>11</v>
      </c>
      <c r="J4" s="24" t="s">
        <v>12</v>
      </c>
      <c r="K4" s="24" t="s">
        <v>13</v>
      </c>
      <c r="L4" s="24" t="s">
        <v>14</v>
      </c>
      <c r="M4" s="24" t="s">
        <v>15</v>
      </c>
      <c r="N4" s="24" t="s">
        <v>16</v>
      </c>
      <c r="O4" s="24" t="s">
        <v>17</v>
      </c>
      <c r="P4" s="24" t="s">
        <v>18</v>
      </c>
      <c r="Q4" s="24" t="s">
        <v>19</v>
      </c>
      <c r="R4" s="24" t="s">
        <v>20</v>
      </c>
    </row>
    <row r="5" spans="1:20" x14ac:dyDescent="0.3">
      <c r="A5" s="23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20" x14ac:dyDescent="0.3">
      <c r="A6" s="23" t="s">
        <v>21</v>
      </c>
      <c r="B6" s="25">
        <v>88.433333333333337</v>
      </c>
      <c r="C6" s="25">
        <v>89.258064516129039</v>
      </c>
      <c r="D6" s="25">
        <v>0</v>
      </c>
      <c r="E6" s="25">
        <v>59.560439560439562</v>
      </c>
      <c r="F6" s="25">
        <v>0</v>
      </c>
      <c r="G6" s="25">
        <v>0</v>
      </c>
      <c r="H6" s="25">
        <v>0</v>
      </c>
      <c r="I6" s="25">
        <v>0</v>
      </c>
      <c r="J6" s="25">
        <v>0</v>
      </c>
      <c r="K6" s="25">
        <v>0</v>
      </c>
      <c r="L6" s="25">
        <v>0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88.852459016393439</v>
      </c>
      <c r="S6" s="3" t="str">
        <f>'[1]page-9'!$A6</f>
        <v xml:space="preserve"> Battery-6 (Nos./Day)</v>
      </c>
      <c r="T6" s="3" t="str">
        <f>IF(S6=A6,"","False")</f>
        <v/>
      </c>
    </row>
    <row r="7" spans="1:20" x14ac:dyDescent="0.3">
      <c r="A7" s="23" t="s">
        <v>22</v>
      </c>
      <c r="B7" s="25">
        <v>362.03333333333336</v>
      </c>
      <c r="C7" s="25">
        <v>348.51612903225805</v>
      </c>
      <c r="D7" s="25">
        <v>0</v>
      </c>
      <c r="E7" s="25">
        <v>238.07692307692307</v>
      </c>
      <c r="F7" s="25">
        <v>0</v>
      </c>
      <c r="G7" s="25">
        <v>0</v>
      </c>
      <c r="H7" s="25">
        <v>0</v>
      </c>
      <c r="I7" s="25">
        <v>0</v>
      </c>
      <c r="J7" s="25">
        <v>0</v>
      </c>
      <c r="K7" s="25">
        <v>0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355.1639344262295</v>
      </c>
      <c r="S7" s="3" t="str">
        <f>'[1]page-9'!$A7</f>
        <v xml:space="preserve"> Oven Pushed (Nos./Day)</v>
      </c>
      <c r="T7" s="3" t="str">
        <f t="shared" ref="T7:T47" si="0">IF(S7=A7,"","False")</f>
        <v/>
      </c>
    </row>
    <row r="8" spans="1:20" x14ac:dyDescent="0.3">
      <c r="A8" s="23" t="s">
        <v>23</v>
      </c>
      <c r="B8" s="25">
        <v>532.70966666666664</v>
      </c>
      <c r="C8" s="25">
        <v>520.78419354838707</v>
      </c>
      <c r="D8" s="25">
        <v>0</v>
      </c>
      <c r="E8" s="25">
        <v>353.02857142857141</v>
      </c>
      <c r="F8" s="25">
        <v>0</v>
      </c>
      <c r="G8" s="25">
        <v>0</v>
      </c>
      <c r="H8" s="25">
        <v>0</v>
      </c>
      <c r="I8" s="25">
        <v>0</v>
      </c>
      <c r="J8" s="25">
        <v>0</v>
      </c>
      <c r="K8" s="25">
        <v>0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526.64918032786886</v>
      </c>
      <c r="S8" s="3" t="str">
        <f>'[1]page-9'!$A8</f>
        <v>Equivalent  Oven Pushed</v>
      </c>
      <c r="T8" s="3" t="str">
        <f t="shared" si="0"/>
        <v/>
      </c>
    </row>
    <row r="9" spans="1:20" x14ac:dyDescent="0.3">
      <c r="A9" s="23" t="s">
        <v>24</v>
      </c>
      <c r="B9" s="26">
        <v>121030</v>
      </c>
      <c r="C9" s="26">
        <v>128003</v>
      </c>
      <c r="D9" s="26">
        <v>0</v>
      </c>
      <c r="E9" s="26">
        <v>249033</v>
      </c>
      <c r="F9" s="26">
        <v>0</v>
      </c>
      <c r="G9" s="26">
        <v>0</v>
      </c>
      <c r="H9" s="26">
        <v>0</v>
      </c>
      <c r="I9" s="26">
        <v>0</v>
      </c>
      <c r="J9" s="26">
        <v>0</v>
      </c>
      <c r="K9" s="26">
        <v>0</v>
      </c>
      <c r="L9" s="26">
        <v>0</v>
      </c>
      <c r="M9" s="26">
        <v>0</v>
      </c>
      <c r="N9" s="26">
        <v>0</v>
      </c>
      <c r="O9" s="26">
        <v>0</v>
      </c>
      <c r="P9" s="26">
        <v>0</v>
      </c>
      <c r="Q9" s="26">
        <v>0</v>
      </c>
      <c r="R9" s="26">
        <v>249033</v>
      </c>
      <c r="S9" s="3" t="str">
        <f>'[1]page-9'!$A9</f>
        <v xml:space="preserve"> Sinter - I</v>
      </c>
      <c r="T9" s="3" t="str">
        <f t="shared" si="0"/>
        <v/>
      </c>
    </row>
    <row r="10" spans="1:20" x14ac:dyDescent="0.3">
      <c r="A10" s="23" t="s">
        <v>25</v>
      </c>
      <c r="B10" s="26">
        <v>157565</v>
      </c>
      <c r="C10" s="26">
        <v>162947</v>
      </c>
      <c r="D10" s="26">
        <v>0</v>
      </c>
      <c r="E10" s="26">
        <v>320512</v>
      </c>
      <c r="F10" s="26">
        <v>0</v>
      </c>
      <c r="G10" s="26">
        <v>0</v>
      </c>
      <c r="H10" s="26">
        <v>0</v>
      </c>
      <c r="I10" s="26">
        <v>0</v>
      </c>
      <c r="J10" s="26">
        <v>0</v>
      </c>
      <c r="K10" s="26">
        <v>0</v>
      </c>
      <c r="L10" s="26">
        <v>0</v>
      </c>
      <c r="M10" s="26">
        <v>0</v>
      </c>
      <c r="N10" s="26">
        <v>0</v>
      </c>
      <c r="O10" s="26">
        <v>0</v>
      </c>
      <c r="P10" s="26">
        <v>0</v>
      </c>
      <c r="Q10" s="26">
        <v>0</v>
      </c>
      <c r="R10" s="26">
        <v>320512</v>
      </c>
      <c r="S10" s="3" t="str">
        <f>'[1]page-9'!$A10</f>
        <v xml:space="preserve"> Sinter - II</v>
      </c>
      <c r="T10" s="3" t="str">
        <f t="shared" si="0"/>
        <v/>
      </c>
    </row>
    <row r="11" spans="1:20" x14ac:dyDescent="0.3">
      <c r="A11" s="23" t="s">
        <v>26</v>
      </c>
      <c r="B11" s="26">
        <v>308197</v>
      </c>
      <c r="C11" s="26">
        <v>320913</v>
      </c>
      <c r="D11" s="26">
        <v>0</v>
      </c>
      <c r="E11" s="26">
        <v>629110</v>
      </c>
      <c r="F11" s="26">
        <v>0</v>
      </c>
      <c r="G11" s="26">
        <v>0</v>
      </c>
      <c r="H11" s="26">
        <v>0</v>
      </c>
      <c r="I11" s="26">
        <v>0</v>
      </c>
      <c r="J11" s="26">
        <v>0</v>
      </c>
      <c r="K11" s="26">
        <v>0</v>
      </c>
      <c r="L11" s="26">
        <v>0</v>
      </c>
      <c r="M11" s="26">
        <v>0</v>
      </c>
      <c r="N11" s="26">
        <v>0</v>
      </c>
      <c r="O11" s="26">
        <v>0</v>
      </c>
      <c r="P11" s="26">
        <v>0</v>
      </c>
      <c r="Q11" s="26">
        <v>0</v>
      </c>
      <c r="R11" s="26">
        <v>629110</v>
      </c>
      <c r="S11" s="3" t="str">
        <f>'[1]page-9'!$A11</f>
        <v xml:space="preserve"> Sinter - III</v>
      </c>
      <c r="T11" s="3" t="str">
        <f t="shared" si="0"/>
        <v/>
      </c>
    </row>
    <row r="12" spans="1:20" x14ac:dyDescent="0.3">
      <c r="A12" s="23" t="s">
        <v>27</v>
      </c>
      <c r="B12" s="26">
        <v>586792</v>
      </c>
      <c r="C12" s="26">
        <v>611863</v>
      </c>
      <c r="D12" s="26">
        <v>0</v>
      </c>
      <c r="E12" s="26">
        <v>1198655</v>
      </c>
      <c r="F12" s="26">
        <v>0</v>
      </c>
      <c r="G12" s="26">
        <v>0</v>
      </c>
      <c r="H12" s="26">
        <v>0</v>
      </c>
      <c r="I12" s="26">
        <v>0</v>
      </c>
      <c r="J12" s="26">
        <v>0</v>
      </c>
      <c r="K12" s="26">
        <v>0</v>
      </c>
      <c r="L12" s="26">
        <v>0</v>
      </c>
      <c r="M12" s="26">
        <v>0</v>
      </c>
      <c r="N12" s="26">
        <v>0</v>
      </c>
      <c r="O12" s="26">
        <v>0</v>
      </c>
      <c r="P12" s="26">
        <v>0</v>
      </c>
      <c r="Q12" s="26">
        <v>0</v>
      </c>
      <c r="R12" s="26">
        <v>1198655</v>
      </c>
      <c r="S12" s="3" t="str">
        <f>'[1]page-9'!$A12</f>
        <v>Sinter Total</v>
      </c>
      <c r="T12" s="3" t="str">
        <f t="shared" si="0"/>
        <v/>
      </c>
    </row>
    <row r="13" spans="1:20" x14ac:dyDescent="0.3">
      <c r="A13" s="23" t="s">
        <v>62</v>
      </c>
      <c r="B13" s="24">
        <v>91422</v>
      </c>
      <c r="C13" s="24">
        <v>91597</v>
      </c>
      <c r="D13" s="24">
        <v>0</v>
      </c>
      <c r="E13" s="24"/>
      <c r="F13" s="24">
        <v>0</v>
      </c>
      <c r="G13" s="24">
        <v>0</v>
      </c>
      <c r="H13" s="24">
        <v>0</v>
      </c>
      <c r="I13" s="24"/>
      <c r="J13" s="24">
        <v>0</v>
      </c>
      <c r="K13" s="24">
        <v>0</v>
      </c>
      <c r="L13" s="24">
        <v>0</v>
      </c>
      <c r="M13" s="24"/>
      <c r="N13" s="24">
        <v>0</v>
      </c>
      <c r="O13" s="24">
        <v>0</v>
      </c>
      <c r="P13" s="24">
        <v>0</v>
      </c>
      <c r="Q13" s="24"/>
      <c r="R13" s="24">
        <v>183019</v>
      </c>
      <c r="S13" s="3" t="str">
        <f>'[1]page-9'!$A13</f>
        <v>BF-1</v>
      </c>
      <c r="T13" s="3" t="str">
        <f t="shared" si="0"/>
        <v/>
      </c>
    </row>
    <row r="14" spans="1:20" x14ac:dyDescent="0.3">
      <c r="A14" s="23" t="s">
        <v>64</v>
      </c>
      <c r="B14" s="32">
        <v>268594</v>
      </c>
      <c r="C14" s="32">
        <v>283433</v>
      </c>
      <c r="D14" s="24">
        <v>0</v>
      </c>
      <c r="E14" s="24"/>
      <c r="F14" s="24">
        <v>0</v>
      </c>
      <c r="G14" s="24">
        <v>0</v>
      </c>
      <c r="H14" s="24">
        <v>0</v>
      </c>
      <c r="I14" s="24"/>
      <c r="J14" s="24">
        <v>0</v>
      </c>
      <c r="K14" s="24">
        <v>0</v>
      </c>
      <c r="L14" s="24">
        <v>0</v>
      </c>
      <c r="M14" s="24"/>
      <c r="N14" s="24">
        <v>0</v>
      </c>
      <c r="O14" s="24">
        <v>0</v>
      </c>
      <c r="P14" s="24">
        <v>0</v>
      </c>
      <c r="Q14" s="24"/>
      <c r="R14" s="24">
        <v>552027</v>
      </c>
      <c r="S14" s="3" t="str">
        <f>'[1]page-9'!$A14</f>
        <v xml:space="preserve">BF#5 </v>
      </c>
      <c r="T14" s="3" t="str">
        <f t="shared" si="0"/>
        <v>False</v>
      </c>
    </row>
    <row r="15" spans="1:20" x14ac:dyDescent="0.3">
      <c r="A15" s="23" t="s">
        <v>28</v>
      </c>
      <c r="B15" s="26">
        <v>360016</v>
      </c>
      <c r="C15" s="26">
        <v>375030</v>
      </c>
      <c r="D15" s="26">
        <v>0</v>
      </c>
      <c r="E15" s="26">
        <v>735046</v>
      </c>
      <c r="F15" s="26">
        <v>0</v>
      </c>
      <c r="G15" s="26">
        <v>0</v>
      </c>
      <c r="H15" s="26">
        <v>0</v>
      </c>
      <c r="I15" s="26">
        <v>0</v>
      </c>
      <c r="J15" s="26">
        <v>0</v>
      </c>
      <c r="K15" s="26">
        <v>0</v>
      </c>
      <c r="L15" s="26">
        <v>0</v>
      </c>
      <c r="M15" s="26">
        <v>0</v>
      </c>
      <c r="N15" s="26">
        <v>0</v>
      </c>
      <c r="O15" s="26">
        <v>0</v>
      </c>
      <c r="P15" s="26">
        <v>0</v>
      </c>
      <c r="Q15" s="26">
        <v>0</v>
      </c>
      <c r="R15" s="26">
        <v>735046</v>
      </c>
      <c r="S15" s="3" t="str">
        <f>'[1]page-9'!$A15</f>
        <v>Tota  Hot Metal</v>
      </c>
      <c r="T15" s="3" t="str">
        <f t="shared" si="0"/>
        <v>False</v>
      </c>
    </row>
    <row r="16" spans="1:20" x14ac:dyDescent="0.3">
      <c r="A16" s="23" t="s">
        <v>29</v>
      </c>
      <c r="B16" s="26">
        <v>6043</v>
      </c>
      <c r="C16" s="26">
        <v>17366</v>
      </c>
      <c r="D16" s="26">
        <v>0</v>
      </c>
      <c r="E16" s="26">
        <v>23409</v>
      </c>
      <c r="F16" s="26">
        <v>0</v>
      </c>
      <c r="G16" s="26">
        <v>0</v>
      </c>
      <c r="H16" s="26">
        <v>0</v>
      </c>
      <c r="I16" s="26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6">
        <v>0</v>
      </c>
      <c r="P16" s="26">
        <v>0</v>
      </c>
      <c r="Q16" s="26">
        <v>0</v>
      </c>
      <c r="R16" s="26">
        <v>23409</v>
      </c>
      <c r="S16" s="3" t="str">
        <f>'[1]page-9'!$A16</f>
        <v>Cold Pig</v>
      </c>
      <c r="T16" s="3" t="str">
        <f t="shared" si="0"/>
        <v/>
      </c>
    </row>
    <row r="17" spans="1:20" x14ac:dyDescent="0.3">
      <c r="A17" s="23" t="s">
        <v>30</v>
      </c>
      <c r="B17" s="26">
        <v>0</v>
      </c>
      <c r="C17" s="26">
        <v>144</v>
      </c>
      <c r="D17" s="26">
        <v>0</v>
      </c>
      <c r="E17" s="26">
        <v>144</v>
      </c>
      <c r="F17" s="26">
        <v>0</v>
      </c>
      <c r="G17" s="26">
        <v>0</v>
      </c>
      <c r="H17" s="26">
        <v>0</v>
      </c>
      <c r="I17" s="26">
        <v>0</v>
      </c>
      <c r="J17" s="26">
        <v>0</v>
      </c>
      <c r="K17" s="26">
        <v>0</v>
      </c>
      <c r="L17" s="26">
        <v>0</v>
      </c>
      <c r="M17" s="26">
        <v>0</v>
      </c>
      <c r="N17" s="26">
        <v>0</v>
      </c>
      <c r="O17" s="26">
        <v>0</v>
      </c>
      <c r="P17" s="26">
        <v>0</v>
      </c>
      <c r="Q17" s="26">
        <v>0</v>
      </c>
      <c r="R17" s="26">
        <v>144</v>
      </c>
      <c r="S17" s="3" t="str">
        <f>'[1]page-9'!$A17</f>
        <v xml:space="preserve"> SMS -I Fndry Cast</v>
      </c>
      <c r="T17" s="3" t="str">
        <f t="shared" si="0"/>
        <v/>
      </c>
    </row>
    <row r="18" spans="1:20" x14ac:dyDescent="0.3">
      <c r="A18" s="23" t="s">
        <v>31</v>
      </c>
      <c r="B18" s="26">
        <v>32473</v>
      </c>
      <c r="C18" s="26">
        <v>43569</v>
      </c>
      <c r="D18" s="26">
        <v>0</v>
      </c>
      <c r="E18" s="26">
        <v>76042</v>
      </c>
      <c r="F18" s="26">
        <v>0</v>
      </c>
      <c r="G18" s="26">
        <v>0</v>
      </c>
      <c r="H18" s="26">
        <v>0</v>
      </c>
      <c r="I18" s="26">
        <v>0</v>
      </c>
      <c r="J18" s="26">
        <v>0</v>
      </c>
      <c r="K18" s="26">
        <v>0</v>
      </c>
      <c r="L18" s="26">
        <v>0</v>
      </c>
      <c r="M18" s="26">
        <v>0</v>
      </c>
      <c r="N18" s="26">
        <v>0</v>
      </c>
      <c r="O18" s="26">
        <v>0</v>
      </c>
      <c r="P18" s="26">
        <v>0</v>
      </c>
      <c r="Q18" s="26">
        <v>0</v>
      </c>
      <c r="R18" s="26">
        <v>76042</v>
      </c>
      <c r="S18" s="3" t="str">
        <f>'[1]page-9'!$A18</f>
        <v xml:space="preserve">  CCM-I - Slabs</v>
      </c>
      <c r="T18" s="3" t="str">
        <f t="shared" si="0"/>
        <v/>
      </c>
    </row>
    <row r="19" spans="1:20" x14ac:dyDescent="0.3">
      <c r="A19" s="23" t="s">
        <v>32</v>
      </c>
      <c r="B19" s="26">
        <v>32473</v>
      </c>
      <c r="C19" s="26">
        <v>43713</v>
      </c>
      <c r="D19" s="26">
        <v>0</v>
      </c>
      <c r="E19" s="26">
        <v>76186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6">
        <v>0</v>
      </c>
      <c r="L19" s="26">
        <v>0</v>
      </c>
      <c r="M19" s="26">
        <v>0</v>
      </c>
      <c r="N19" s="26">
        <v>0</v>
      </c>
      <c r="O19" s="26">
        <v>0</v>
      </c>
      <c r="P19" s="26">
        <v>0</v>
      </c>
      <c r="Q19" s="26">
        <v>0</v>
      </c>
      <c r="R19" s="26">
        <v>76186</v>
      </c>
      <c r="S19" s="3" t="str">
        <f>'[1]page-9'!$A19</f>
        <v>SMS-I Total</v>
      </c>
      <c r="T19" s="3" t="str">
        <f t="shared" si="0"/>
        <v/>
      </c>
    </row>
    <row r="20" spans="1:20" x14ac:dyDescent="0.3">
      <c r="A20" s="23" t="s">
        <v>33</v>
      </c>
      <c r="B20" s="26">
        <v>165584</v>
      </c>
      <c r="C20" s="26">
        <v>143120</v>
      </c>
      <c r="D20" s="26">
        <v>0</v>
      </c>
      <c r="E20" s="26">
        <v>308704</v>
      </c>
      <c r="F20" s="26">
        <v>0</v>
      </c>
      <c r="G20" s="26">
        <v>0</v>
      </c>
      <c r="H20" s="26">
        <v>0</v>
      </c>
      <c r="I20" s="26">
        <v>0</v>
      </c>
      <c r="J20" s="26">
        <v>0</v>
      </c>
      <c r="K20" s="26">
        <v>0</v>
      </c>
      <c r="L20" s="26">
        <v>0</v>
      </c>
      <c r="M20" s="26">
        <v>0</v>
      </c>
      <c r="N20" s="26">
        <v>0</v>
      </c>
      <c r="O20" s="26">
        <v>0</v>
      </c>
      <c r="P20" s="26">
        <v>0</v>
      </c>
      <c r="Q20" s="26">
        <v>0</v>
      </c>
      <c r="R20" s="26">
        <v>308704</v>
      </c>
      <c r="S20" s="3" t="str">
        <f>'[1]page-9'!$A20</f>
        <v xml:space="preserve">  CCM-II - Slabs</v>
      </c>
      <c r="T20" s="3" t="str">
        <f t="shared" si="0"/>
        <v/>
      </c>
    </row>
    <row r="21" spans="1:20" x14ac:dyDescent="0.3">
      <c r="A21" s="23" t="s">
        <v>34</v>
      </c>
      <c r="B21" s="26">
        <v>140066</v>
      </c>
      <c r="C21" s="26">
        <v>152305</v>
      </c>
      <c r="D21" s="26">
        <v>0</v>
      </c>
      <c r="E21" s="26">
        <v>292371</v>
      </c>
      <c r="F21" s="26">
        <v>0</v>
      </c>
      <c r="G21" s="26">
        <v>0</v>
      </c>
      <c r="H21" s="26">
        <v>0</v>
      </c>
      <c r="I21" s="26">
        <v>0</v>
      </c>
      <c r="J21" s="26">
        <v>0</v>
      </c>
      <c r="K21" s="26">
        <v>0</v>
      </c>
      <c r="L21" s="26">
        <v>0</v>
      </c>
      <c r="M21" s="26">
        <v>0</v>
      </c>
      <c r="N21" s="26">
        <v>0</v>
      </c>
      <c r="O21" s="26">
        <v>0</v>
      </c>
      <c r="P21" s="26">
        <v>0</v>
      </c>
      <c r="Q21" s="26">
        <v>0</v>
      </c>
      <c r="R21" s="26">
        <v>292371</v>
      </c>
      <c r="S21" s="3" t="str">
        <f>'[1]page-9'!$A21</f>
        <v>SMS-2/Caster-III</v>
      </c>
      <c r="T21" s="3" t="str">
        <f t="shared" si="0"/>
        <v/>
      </c>
    </row>
    <row r="22" spans="1:20" x14ac:dyDescent="0.3">
      <c r="A22" s="23" t="s">
        <v>471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3" t="str">
        <f>'[1]page-9'!$A22</f>
        <v>SMS-2/Caster-4</v>
      </c>
      <c r="T22" s="3" t="str">
        <f t="shared" si="0"/>
        <v>False</v>
      </c>
    </row>
    <row r="23" spans="1:20" x14ac:dyDescent="0.3">
      <c r="A23" s="23" t="s">
        <v>35</v>
      </c>
      <c r="B23" s="26">
        <v>305650</v>
      </c>
      <c r="C23" s="26">
        <v>295425</v>
      </c>
      <c r="D23" s="26">
        <v>0</v>
      </c>
      <c r="E23" s="26">
        <v>601075</v>
      </c>
      <c r="F23" s="26">
        <v>0</v>
      </c>
      <c r="G23" s="26">
        <v>0</v>
      </c>
      <c r="H23" s="26">
        <v>0</v>
      </c>
      <c r="I23" s="26">
        <v>0</v>
      </c>
      <c r="J23" s="26">
        <v>0</v>
      </c>
      <c r="K23" s="26">
        <v>0</v>
      </c>
      <c r="L23" s="26">
        <v>0</v>
      </c>
      <c r="M23" s="26">
        <v>0</v>
      </c>
      <c r="N23" s="26">
        <v>0</v>
      </c>
      <c r="O23" s="26">
        <v>0</v>
      </c>
      <c r="P23" s="26">
        <v>0</v>
      </c>
      <c r="Q23" s="26">
        <v>0</v>
      </c>
      <c r="R23" s="26">
        <v>601075</v>
      </c>
      <c r="S23" s="3" t="str">
        <f>'[1]page-9'!$A23</f>
        <v>SMS-II Total</v>
      </c>
      <c r="T23" s="3" t="str">
        <f t="shared" si="0"/>
        <v/>
      </c>
    </row>
    <row r="24" spans="1:20" x14ac:dyDescent="0.3">
      <c r="A24" s="23" t="s">
        <v>36</v>
      </c>
      <c r="B24" s="26">
        <v>338123</v>
      </c>
      <c r="C24" s="26">
        <v>339138</v>
      </c>
      <c r="D24" s="26">
        <v>0</v>
      </c>
      <c r="E24" s="26">
        <v>677261</v>
      </c>
      <c r="F24" s="26">
        <v>0</v>
      </c>
      <c r="G24" s="26">
        <v>0</v>
      </c>
      <c r="H24" s="26">
        <v>0</v>
      </c>
      <c r="I24" s="26">
        <v>0</v>
      </c>
      <c r="J24" s="26">
        <v>0</v>
      </c>
      <c r="K24" s="26">
        <v>0</v>
      </c>
      <c r="L24" s="26">
        <v>0</v>
      </c>
      <c r="M24" s="26">
        <v>0</v>
      </c>
      <c r="N24" s="26">
        <v>0</v>
      </c>
      <c r="O24" s="26">
        <v>0</v>
      </c>
      <c r="P24" s="26">
        <v>0</v>
      </c>
      <c r="Q24" s="26">
        <v>0</v>
      </c>
      <c r="R24" s="26">
        <v>677261</v>
      </c>
      <c r="S24" s="3" t="str">
        <f>'[1]page-9'!$A24</f>
        <v xml:space="preserve"> Total Crude Steel</v>
      </c>
      <c r="T24" s="3" t="str">
        <f t="shared" si="0"/>
        <v/>
      </c>
    </row>
    <row r="25" spans="1:20" x14ac:dyDescent="0.3">
      <c r="A25" s="23" t="s">
        <v>37</v>
      </c>
      <c r="B25" s="26">
        <v>338123</v>
      </c>
      <c r="C25" s="26">
        <v>338994</v>
      </c>
      <c r="D25" s="26">
        <v>0</v>
      </c>
      <c r="E25" s="26">
        <v>677117</v>
      </c>
      <c r="F25" s="26">
        <v>0</v>
      </c>
      <c r="G25" s="26">
        <v>0</v>
      </c>
      <c r="H25" s="26">
        <v>0</v>
      </c>
      <c r="I25" s="26">
        <v>0</v>
      </c>
      <c r="J25" s="26">
        <v>0</v>
      </c>
      <c r="K25" s="26">
        <v>0</v>
      </c>
      <c r="L25" s="26">
        <v>0</v>
      </c>
      <c r="M25" s="26">
        <v>0</v>
      </c>
      <c r="N25" s="26">
        <v>0</v>
      </c>
      <c r="O25" s="26">
        <v>0</v>
      </c>
      <c r="P25" s="26">
        <v>0</v>
      </c>
      <c r="Q25" s="26">
        <v>0</v>
      </c>
      <c r="R25" s="26">
        <v>677117</v>
      </c>
      <c r="S25" s="3" t="str">
        <f>'[1]page-9'!$A25</f>
        <v>Total Slabs</v>
      </c>
      <c r="T25" s="3" t="str">
        <f t="shared" si="0"/>
        <v/>
      </c>
    </row>
    <row r="26" spans="1:20" x14ac:dyDescent="0.3">
      <c r="A26" s="23" t="s">
        <v>38</v>
      </c>
      <c r="B26" s="26">
        <v>230322</v>
      </c>
      <c r="C26" s="26">
        <v>204912</v>
      </c>
      <c r="D26" s="26">
        <v>0</v>
      </c>
      <c r="E26" s="26">
        <v>435234</v>
      </c>
      <c r="F26" s="26">
        <v>0</v>
      </c>
      <c r="G26" s="26">
        <v>0</v>
      </c>
      <c r="H26" s="26">
        <v>0</v>
      </c>
      <c r="I26" s="26">
        <v>0</v>
      </c>
      <c r="J26" s="26">
        <v>0</v>
      </c>
      <c r="K26" s="26">
        <v>0</v>
      </c>
      <c r="L26" s="26">
        <v>0</v>
      </c>
      <c r="M26" s="26">
        <v>0</v>
      </c>
      <c r="N26" s="26">
        <v>0</v>
      </c>
      <c r="O26" s="26">
        <v>0</v>
      </c>
      <c r="P26" s="26">
        <v>0</v>
      </c>
      <c r="Q26" s="26">
        <v>0</v>
      </c>
      <c r="R26" s="26">
        <v>435234</v>
      </c>
      <c r="S26" s="3" t="str">
        <f>'[1]page-9'!$A26</f>
        <v xml:space="preserve">HSM-2 -  Total HR Coils </v>
      </c>
      <c r="T26" s="3" t="str">
        <f t="shared" si="0"/>
        <v>False</v>
      </c>
    </row>
    <row r="27" spans="1:20" x14ac:dyDescent="0.3">
      <c r="A27" s="23" t="s">
        <v>42</v>
      </c>
      <c r="B27" s="26">
        <v>191749</v>
      </c>
      <c r="C27" s="26">
        <v>167128</v>
      </c>
      <c r="D27" s="26">
        <v>0</v>
      </c>
      <c r="E27" s="26">
        <v>358877</v>
      </c>
      <c r="F27" s="26">
        <v>0</v>
      </c>
      <c r="G27" s="26">
        <v>0</v>
      </c>
      <c r="H27" s="26">
        <v>0</v>
      </c>
      <c r="I27" s="26">
        <v>0</v>
      </c>
      <c r="J27" s="26">
        <v>0</v>
      </c>
      <c r="K27" s="26">
        <v>0</v>
      </c>
      <c r="L27" s="26">
        <v>0</v>
      </c>
      <c r="M27" s="26">
        <v>0</v>
      </c>
      <c r="N27" s="26">
        <v>0</v>
      </c>
      <c r="O27" s="26">
        <v>0</v>
      </c>
      <c r="P27" s="26">
        <v>0</v>
      </c>
      <c r="Q27" s="26">
        <v>0</v>
      </c>
      <c r="R27" s="26">
        <v>358877</v>
      </c>
      <c r="S27" s="3" t="str">
        <f>'[1]page-9'!$A27</f>
        <v>HSM-2-  H R C/S</v>
      </c>
      <c r="T27" s="3" t="str">
        <f t="shared" si="0"/>
        <v>False</v>
      </c>
    </row>
    <row r="28" spans="1:20" x14ac:dyDescent="0.3">
      <c r="A28" s="23" t="s">
        <v>39</v>
      </c>
      <c r="B28" s="26">
        <v>22464</v>
      </c>
      <c r="C28" s="26">
        <v>22852</v>
      </c>
      <c r="D28" s="26">
        <v>0</v>
      </c>
      <c r="E28" s="26"/>
      <c r="F28" s="26">
        <v>0</v>
      </c>
      <c r="G28" s="26">
        <v>0</v>
      </c>
      <c r="H28" s="26">
        <v>0</v>
      </c>
      <c r="I28" s="26"/>
      <c r="J28" s="26">
        <v>0</v>
      </c>
      <c r="K28" s="26">
        <v>0</v>
      </c>
      <c r="L28" s="26">
        <v>0</v>
      </c>
      <c r="M28" s="26"/>
      <c r="N28" s="26"/>
      <c r="O28" s="26"/>
      <c r="P28" s="26"/>
      <c r="Q28" s="26"/>
      <c r="R28" s="26">
        <v>45316</v>
      </c>
      <c r="S28" s="3" t="str">
        <f>'[1]page-9'!$A28</f>
        <v>SSL - HR Plates</v>
      </c>
      <c r="T28" s="3" t="str">
        <f t="shared" si="0"/>
        <v>False</v>
      </c>
    </row>
    <row r="29" spans="1:20" x14ac:dyDescent="0.3">
      <c r="A29" s="23" t="s">
        <v>40</v>
      </c>
      <c r="B29" s="26">
        <v>46148</v>
      </c>
      <c r="C29" s="26">
        <v>47558</v>
      </c>
      <c r="D29" s="26">
        <v>0</v>
      </c>
      <c r="E29" s="26">
        <v>93706</v>
      </c>
      <c r="F29" s="26">
        <v>0</v>
      </c>
      <c r="G29" s="26">
        <v>0</v>
      </c>
      <c r="H29" s="26">
        <v>0</v>
      </c>
      <c r="I29" s="26">
        <v>0</v>
      </c>
      <c r="J29" s="26">
        <v>0</v>
      </c>
      <c r="K29" s="26">
        <v>0</v>
      </c>
      <c r="L29" s="26">
        <v>0</v>
      </c>
      <c r="M29" s="26">
        <v>0</v>
      </c>
      <c r="N29" s="26">
        <v>0</v>
      </c>
      <c r="O29" s="26">
        <v>0</v>
      </c>
      <c r="P29" s="26">
        <v>0</v>
      </c>
      <c r="Q29" s="26">
        <v>0</v>
      </c>
      <c r="R29" s="26">
        <v>93706</v>
      </c>
      <c r="S29" s="3" t="str">
        <f>'[1]page-9'!$A29</f>
        <v>OPM  Plates</v>
      </c>
      <c r="T29" s="3" t="str">
        <f t="shared" si="0"/>
        <v/>
      </c>
    </row>
    <row r="30" spans="1:20" x14ac:dyDescent="0.3">
      <c r="A30" s="27" t="s">
        <v>41</v>
      </c>
      <c r="B30" s="26">
        <v>68573</v>
      </c>
      <c r="C30" s="26">
        <v>88020</v>
      </c>
      <c r="D30" s="26">
        <v>0</v>
      </c>
      <c r="E30" s="26">
        <v>156593</v>
      </c>
      <c r="F30" s="26">
        <v>0</v>
      </c>
      <c r="G30" s="26">
        <v>0</v>
      </c>
      <c r="H30" s="26">
        <v>0</v>
      </c>
      <c r="I30" s="26">
        <v>0</v>
      </c>
      <c r="J30" s="26">
        <v>0</v>
      </c>
      <c r="K30" s="26">
        <v>0</v>
      </c>
      <c r="L30" s="26">
        <v>0</v>
      </c>
      <c r="M30" s="26">
        <v>0</v>
      </c>
      <c r="N30" s="26">
        <v>0</v>
      </c>
      <c r="O30" s="26">
        <v>0</v>
      </c>
      <c r="P30" s="26">
        <v>0</v>
      </c>
      <c r="Q30" s="26">
        <v>0</v>
      </c>
      <c r="R30" s="26">
        <v>156593</v>
      </c>
      <c r="S30" s="3" t="str">
        <f>'[1]page-9'!$A30</f>
        <v>NPM Plates</v>
      </c>
      <c r="T30" s="3" t="str">
        <f t="shared" si="0"/>
        <v/>
      </c>
    </row>
    <row r="31" spans="1:20" x14ac:dyDescent="0.3">
      <c r="A31" s="23" t="s">
        <v>45</v>
      </c>
      <c r="B31" s="26">
        <v>5740</v>
      </c>
      <c r="C31" s="26">
        <v>6178</v>
      </c>
      <c r="D31" s="26">
        <v>0</v>
      </c>
      <c r="E31" s="26">
        <v>11918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0</v>
      </c>
      <c r="L31" s="26">
        <v>0</v>
      </c>
      <c r="M31" s="26">
        <v>0</v>
      </c>
      <c r="N31" s="26">
        <v>0</v>
      </c>
      <c r="O31" s="26">
        <v>0</v>
      </c>
      <c r="P31" s="26">
        <v>0</v>
      </c>
      <c r="Q31" s="26">
        <v>0</v>
      </c>
      <c r="R31" s="26">
        <v>11918</v>
      </c>
      <c r="S31" s="3" t="str">
        <f>'[1]page-9'!$A31</f>
        <v xml:space="preserve"> CRNO Coils</v>
      </c>
      <c r="T31" s="3" t="str">
        <f t="shared" si="0"/>
        <v>False</v>
      </c>
    </row>
    <row r="32" spans="1:20" x14ac:dyDescent="0.3">
      <c r="A32" s="23" t="s">
        <v>43</v>
      </c>
      <c r="B32" s="26">
        <v>3760</v>
      </c>
      <c r="C32" s="26">
        <v>4509</v>
      </c>
      <c r="D32" s="26">
        <v>0</v>
      </c>
      <c r="E32" s="26">
        <v>8269</v>
      </c>
      <c r="F32" s="26">
        <v>0</v>
      </c>
      <c r="G32" s="26">
        <v>0</v>
      </c>
      <c r="H32" s="26">
        <v>0</v>
      </c>
      <c r="I32" s="26">
        <v>0</v>
      </c>
      <c r="J32" s="26">
        <v>0</v>
      </c>
      <c r="K32" s="26">
        <v>0</v>
      </c>
      <c r="L32" s="26">
        <v>0</v>
      </c>
      <c r="M32" s="26">
        <v>0</v>
      </c>
      <c r="N32" s="26">
        <v>0</v>
      </c>
      <c r="O32" s="26">
        <v>0</v>
      </c>
      <c r="P32" s="26">
        <v>0</v>
      </c>
      <c r="Q32" s="26">
        <v>0</v>
      </c>
      <c r="R32" s="26">
        <v>8269</v>
      </c>
      <c r="S32" s="3" t="str">
        <f>'[1]page-9'!$A32</f>
        <v xml:space="preserve"> ERW Pipes</v>
      </c>
      <c r="T32" s="3" t="str">
        <f t="shared" si="0"/>
        <v/>
      </c>
    </row>
    <row r="33" spans="1:20" x14ac:dyDescent="0.3">
      <c r="A33" s="23" t="s">
        <v>44</v>
      </c>
      <c r="B33" s="26">
        <v>3508</v>
      </c>
      <c r="C33" s="26">
        <v>3010</v>
      </c>
      <c r="D33" s="26">
        <v>0</v>
      </c>
      <c r="E33" s="26">
        <v>6518</v>
      </c>
      <c r="F33" s="26">
        <v>0</v>
      </c>
      <c r="G33" s="26">
        <v>0</v>
      </c>
      <c r="H33" s="26">
        <v>0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6">
        <v>0</v>
      </c>
      <c r="O33" s="26">
        <v>0</v>
      </c>
      <c r="P33" s="26">
        <v>0</v>
      </c>
      <c r="Q33" s="26">
        <v>0</v>
      </c>
      <c r="R33" s="26">
        <v>6518</v>
      </c>
      <c r="S33" s="3" t="str">
        <f>'[1]page-9'!$A33</f>
        <v xml:space="preserve"> SW Pipes</v>
      </c>
      <c r="T33" s="3" t="str">
        <f t="shared" si="0"/>
        <v/>
      </c>
    </row>
    <row r="34" spans="1:20" s="6" customFormat="1" x14ac:dyDescent="0.3">
      <c r="A34" s="28" t="s">
        <v>46</v>
      </c>
      <c r="B34" s="29">
        <v>341942</v>
      </c>
      <c r="C34" s="29">
        <v>339255</v>
      </c>
      <c r="D34" s="29">
        <v>0</v>
      </c>
      <c r="E34" s="29">
        <v>681197</v>
      </c>
      <c r="F34" s="29">
        <v>0</v>
      </c>
      <c r="G34" s="29">
        <v>0</v>
      </c>
      <c r="H34" s="29">
        <v>0</v>
      </c>
      <c r="I34" s="29">
        <v>0</v>
      </c>
      <c r="J34" s="29">
        <v>0</v>
      </c>
      <c r="K34" s="29">
        <v>0</v>
      </c>
      <c r="L34" s="29">
        <v>0</v>
      </c>
      <c r="M34" s="29">
        <v>0</v>
      </c>
      <c r="N34" s="29">
        <v>0</v>
      </c>
      <c r="O34" s="29">
        <v>0</v>
      </c>
      <c r="P34" s="29">
        <v>0</v>
      </c>
      <c r="Q34" s="29">
        <v>0</v>
      </c>
      <c r="R34" s="29">
        <v>681197</v>
      </c>
      <c r="S34" s="3" t="str">
        <f>'[1]page-9'!$A34</f>
        <v>Saleable Steel Total</v>
      </c>
      <c r="T34" s="3" t="str">
        <f t="shared" si="0"/>
        <v/>
      </c>
    </row>
    <row r="35" spans="1:20" x14ac:dyDescent="0.3">
      <c r="A35" s="23" t="s">
        <v>47</v>
      </c>
      <c r="B35" s="26">
        <v>0</v>
      </c>
      <c r="C35" s="26">
        <v>0</v>
      </c>
      <c r="D35" s="26">
        <v>0</v>
      </c>
      <c r="E35" s="26">
        <v>0</v>
      </c>
      <c r="F35" s="26">
        <v>0</v>
      </c>
      <c r="G35" s="26">
        <v>0</v>
      </c>
      <c r="H35" s="26">
        <v>0</v>
      </c>
      <c r="I35" s="26">
        <v>0</v>
      </c>
      <c r="J35" s="26">
        <v>0</v>
      </c>
      <c r="K35" s="26">
        <v>0</v>
      </c>
      <c r="L35" s="26">
        <v>0</v>
      </c>
      <c r="M35" s="26">
        <v>0</v>
      </c>
      <c r="N35" s="26">
        <v>0</v>
      </c>
      <c r="O35" s="26">
        <v>0</v>
      </c>
      <c r="P35" s="26">
        <v>0</v>
      </c>
      <c r="Q35" s="26">
        <v>0</v>
      </c>
      <c r="R35" s="26">
        <v>0</v>
      </c>
      <c r="S35" s="3" t="str">
        <f>'[1]page-9'!$A35</f>
        <v xml:space="preserve">       Gr.Slag - Cast House</v>
      </c>
      <c r="T35" s="3" t="str">
        <f t="shared" si="0"/>
        <v>False</v>
      </c>
    </row>
    <row r="36" spans="1:20" x14ac:dyDescent="0.3">
      <c r="A36" s="23" t="s">
        <v>48</v>
      </c>
      <c r="B36" s="26">
        <v>119980</v>
      </c>
      <c r="C36" s="26">
        <v>162178</v>
      </c>
      <c r="D36" s="26">
        <v>0</v>
      </c>
      <c r="E36" s="26">
        <v>282158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P36" s="26">
        <v>0</v>
      </c>
      <c r="Q36" s="26">
        <v>0</v>
      </c>
      <c r="R36" s="26">
        <v>282158</v>
      </c>
      <c r="S36" s="3" t="str">
        <f>'[1]page-9'!$A36</f>
        <v>Avg.Power Gen. CPP-I (MW)</v>
      </c>
      <c r="T36" s="3" t="str">
        <f t="shared" si="0"/>
        <v>False</v>
      </c>
    </row>
    <row r="37" spans="1:20" x14ac:dyDescent="0.3">
      <c r="A37" s="23" t="s">
        <v>49</v>
      </c>
      <c r="B37" s="26">
        <v>119980</v>
      </c>
      <c r="C37" s="26">
        <v>162178</v>
      </c>
      <c r="D37" s="26">
        <v>0</v>
      </c>
      <c r="E37" s="26">
        <v>282158</v>
      </c>
      <c r="F37" s="26">
        <v>0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282158</v>
      </c>
      <c r="S37" s="3" t="str">
        <f>'[1]page-9'!$A37</f>
        <v>Avg.Power Gen. CPP-I I  (MW)</v>
      </c>
      <c r="T37" s="3" t="str">
        <f t="shared" si="0"/>
        <v>False</v>
      </c>
    </row>
    <row r="38" spans="1:20" x14ac:dyDescent="0.3">
      <c r="A38" s="23" t="s">
        <v>50</v>
      </c>
      <c r="B38" s="30">
        <v>30.21</v>
      </c>
      <c r="C38" s="30">
        <v>29.22</v>
      </c>
      <c r="D38" s="30">
        <v>0</v>
      </c>
      <c r="E38" s="30">
        <v>19.913406593406592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29.706885245901638</v>
      </c>
      <c r="S38" s="3" t="str">
        <f>'[1]page-9'!$A38</f>
        <v>Avg.Power Gen. CPP-I I I  (MW)</v>
      </c>
      <c r="T38" s="3" t="str">
        <f t="shared" si="0"/>
        <v>False</v>
      </c>
    </row>
    <row r="39" spans="1:20" x14ac:dyDescent="0.3">
      <c r="A39" s="23" t="s">
        <v>51</v>
      </c>
      <c r="B39" s="30">
        <v>227.72</v>
      </c>
      <c r="C39" s="30">
        <v>234.26999999999998</v>
      </c>
      <c r="D39" s="30">
        <v>0</v>
      </c>
      <c r="E39" s="30">
        <v>154.8787912087912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231.04868852459015</v>
      </c>
      <c r="S39" s="3" t="str">
        <f>'[1]page-9'!$A39</f>
        <v>Avg.Power Gen. Solar  (MW)</v>
      </c>
      <c r="T39" s="3" t="str">
        <f t="shared" si="0"/>
        <v>False</v>
      </c>
    </row>
    <row r="40" spans="1:20" x14ac:dyDescent="0.3">
      <c r="A40" s="23" t="s">
        <v>52</v>
      </c>
      <c r="B40" s="30">
        <v>31.18</v>
      </c>
      <c r="C40" s="30">
        <v>29.900000000000002</v>
      </c>
      <c r="D40" s="30">
        <v>0</v>
      </c>
      <c r="E40" s="30">
        <v>20.464835164835169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30.529508196721313</v>
      </c>
      <c r="S40" s="3" t="str">
        <f>'[1]page-9'!$A40</f>
        <v>Avg.Power Gen. Total (MW)</v>
      </c>
      <c r="T40" s="3" t="str">
        <f t="shared" si="0"/>
        <v>False</v>
      </c>
    </row>
    <row r="41" spans="1:20" x14ac:dyDescent="0.3">
      <c r="A41" s="23" t="s">
        <v>53</v>
      </c>
      <c r="B41" s="30">
        <v>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" t="str">
        <f>'[1]page-9'!$A41</f>
        <v>Net drawal from GRIDCO. (MW)</v>
      </c>
      <c r="T41" s="3" t="str">
        <f t="shared" si="0"/>
        <v>False</v>
      </c>
    </row>
    <row r="42" spans="1:20" x14ac:dyDescent="0.3">
      <c r="A42" s="23" t="s">
        <v>54</v>
      </c>
      <c r="B42" s="30">
        <v>289.11</v>
      </c>
      <c r="C42" s="30">
        <v>293.39</v>
      </c>
      <c r="D42" s="30">
        <v>0</v>
      </c>
      <c r="E42" s="30">
        <v>195.25703296703296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291.2850819672131</v>
      </c>
      <c r="S42" s="3" t="str">
        <f>'[1]page-9'!$A42</f>
        <v>RMHP-Despatch</v>
      </c>
      <c r="T42" s="3" t="str">
        <f t="shared" si="0"/>
        <v>False</v>
      </c>
    </row>
    <row r="43" spans="1:20" x14ac:dyDescent="0.3">
      <c r="A43" s="31" t="s">
        <v>55</v>
      </c>
      <c r="B43" s="30">
        <v>6.85</v>
      </c>
      <c r="C43" s="30">
        <v>3.67</v>
      </c>
      <c r="D43" s="30">
        <v>0</v>
      </c>
      <c r="E43" s="30">
        <v>3.5084615384615381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5.2339344262295082</v>
      </c>
      <c r="S43" s="3" t="str">
        <f>'[1]page-9'!$A43</f>
        <v>With Sinter</v>
      </c>
      <c r="T43" s="3" t="str">
        <f t="shared" si="0"/>
        <v>False</v>
      </c>
    </row>
    <row r="44" spans="1:20" x14ac:dyDescent="0.3">
      <c r="A44" s="23" t="s">
        <v>56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3" t="str">
        <f>'[1]page-9'!$A44</f>
        <v>Without Sinter</v>
      </c>
      <c r="T44" s="3" t="str">
        <f t="shared" si="0"/>
        <v>False</v>
      </c>
    </row>
    <row r="45" spans="1:20" x14ac:dyDescent="0.3">
      <c r="A45" s="23" t="s">
        <v>57</v>
      </c>
      <c r="B45" s="26">
        <v>982876</v>
      </c>
      <c r="C45" s="26">
        <v>1027959</v>
      </c>
      <c r="D45" s="26">
        <v>0</v>
      </c>
      <c r="E45" s="26">
        <v>2010835</v>
      </c>
      <c r="F45" s="26">
        <v>0</v>
      </c>
      <c r="G45" s="26">
        <v>0</v>
      </c>
      <c r="H45" s="26">
        <v>0</v>
      </c>
      <c r="I45" s="26">
        <v>2010835</v>
      </c>
      <c r="J45" s="26">
        <v>0</v>
      </c>
      <c r="K45" s="26">
        <v>0</v>
      </c>
      <c r="L45" s="26">
        <v>0</v>
      </c>
      <c r="M45" s="26">
        <v>0</v>
      </c>
      <c r="N45" s="26">
        <v>0</v>
      </c>
      <c r="O45" s="26">
        <v>0</v>
      </c>
      <c r="P45" s="26">
        <v>0</v>
      </c>
      <c r="Q45" s="26">
        <v>0</v>
      </c>
      <c r="R45" s="26">
        <v>2010835</v>
      </c>
      <c r="S45" s="3" t="str">
        <f>'[1]page-9'!$A45</f>
        <v>Sized Ore</v>
      </c>
      <c r="T45" s="3" t="str">
        <f t="shared" si="0"/>
        <v>False</v>
      </c>
    </row>
    <row r="46" spans="1:20" x14ac:dyDescent="0.3">
      <c r="A46" s="23" t="s">
        <v>58</v>
      </c>
      <c r="B46" s="26">
        <v>975989</v>
      </c>
      <c r="C46" s="26">
        <v>1019109</v>
      </c>
      <c r="D46" s="26">
        <v>0</v>
      </c>
      <c r="E46" s="26">
        <v>1995098</v>
      </c>
      <c r="F46" s="26">
        <v>0</v>
      </c>
      <c r="G46" s="26">
        <v>0</v>
      </c>
      <c r="H46" s="26">
        <v>0</v>
      </c>
      <c r="I46" s="26">
        <v>1995098</v>
      </c>
      <c r="J46" s="26">
        <v>0</v>
      </c>
      <c r="K46" s="26">
        <v>0</v>
      </c>
      <c r="L46" s="26">
        <v>0</v>
      </c>
      <c r="M46" s="26">
        <v>0</v>
      </c>
      <c r="N46" s="26">
        <v>0</v>
      </c>
      <c r="O46" s="26">
        <v>0</v>
      </c>
      <c r="P46" s="26">
        <v>0</v>
      </c>
      <c r="Q46" s="26">
        <v>0</v>
      </c>
      <c r="R46" s="26">
        <v>1995098</v>
      </c>
      <c r="S46" s="3">
        <f>'[1]page-9'!$A46</f>
        <v>0</v>
      </c>
      <c r="T46" s="3" t="str">
        <f t="shared" si="0"/>
        <v>False</v>
      </c>
    </row>
    <row r="47" spans="1:20" x14ac:dyDescent="0.3">
      <c r="A47" s="23" t="s">
        <v>59</v>
      </c>
      <c r="B47" s="26">
        <v>67795</v>
      </c>
      <c r="C47" s="26">
        <v>99824</v>
      </c>
      <c r="D47" s="26">
        <v>0</v>
      </c>
      <c r="E47" s="26">
        <v>167619</v>
      </c>
      <c r="F47" s="26">
        <v>0</v>
      </c>
      <c r="G47" s="26">
        <v>0</v>
      </c>
      <c r="H47" s="26">
        <v>0</v>
      </c>
      <c r="I47" s="26">
        <v>167619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167619</v>
      </c>
      <c r="S47" s="3">
        <f>'[1]page-9'!$A47</f>
        <v>0</v>
      </c>
      <c r="T47" s="3" t="str">
        <f t="shared" si="0"/>
        <v>False</v>
      </c>
    </row>
    <row r="48" spans="1:20" x14ac:dyDescent="0.3">
      <c r="A48" s="23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</row>
    <row r="49" spans="1:19" s="2" customFormat="1" x14ac:dyDescent="0.3">
      <c r="A49" s="23" t="s">
        <v>60</v>
      </c>
      <c r="B49" s="24">
        <v>230322</v>
      </c>
      <c r="C49" s="24">
        <v>204912</v>
      </c>
      <c r="D49" s="24">
        <v>0</v>
      </c>
      <c r="E49" s="24"/>
      <c r="F49" s="24">
        <v>0</v>
      </c>
      <c r="G49" s="24">
        <v>0</v>
      </c>
      <c r="H49" s="24">
        <v>0</v>
      </c>
      <c r="I49" s="24"/>
      <c r="J49" s="24">
        <v>0</v>
      </c>
      <c r="K49" s="24">
        <v>0</v>
      </c>
      <c r="L49" s="24">
        <v>0</v>
      </c>
      <c r="M49" s="24"/>
      <c r="N49" s="24">
        <v>0</v>
      </c>
      <c r="O49" s="24">
        <v>0</v>
      </c>
      <c r="P49" s="24">
        <v>0</v>
      </c>
      <c r="Q49" s="24"/>
      <c r="R49" s="24">
        <v>435234</v>
      </c>
      <c r="S49" s="5"/>
    </row>
    <row r="50" spans="1:19" s="2" customFormat="1" x14ac:dyDescent="0.3">
      <c r="A50" s="23" t="s">
        <v>61</v>
      </c>
      <c r="B50" s="24">
        <v>191749</v>
      </c>
      <c r="C50" s="24">
        <v>167128</v>
      </c>
      <c r="D50" s="24">
        <v>0</v>
      </c>
      <c r="E50" s="24"/>
      <c r="F50" s="24">
        <v>0</v>
      </c>
      <c r="G50" s="24">
        <v>0</v>
      </c>
      <c r="H50" s="24">
        <v>0</v>
      </c>
      <c r="I50" s="24"/>
      <c r="J50" s="24">
        <v>0</v>
      </c>
      <c r="K50" s="24">
        <v>0</v>
      </c>
      <c r="L50" s="24">
        <v>0</v>
      </c>
      <c r="M50" s="24"/>
      <c r="N50" s="24">
        <v>0</v>
      </c>
      <c r="O50" s="24">
        <v>0</v>
      </c>
      <c r="P50" s="24">
        <v>0</v>
      </c>
      <c r="Q50" s="24"/>
      <c r="R50" s="24">
        <v>358877</v>
      </c>
      <c r="S50" s="5"/>
    </row>
    <row r="51" spans="1:19" s="2" customFormat="1" x14ac:dyDescent="0.3">
      <c r="A51" s="23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5"/>
    </row>
    <row r="52" spans="1:19" s="2" customFormat="1" x14ac:dyDescent="0.3">
      <c r="A52" s="23" t="s">
        <v>62</v>
      </c>
      <c r="B52" s="24">
        <v>91422</v>
      </c>
      <c r="C52" s="24">
        <v>91597</v>
      </c>
      <c r="D52" s="24">
        <v>0</v>
      </c>
      <c r="E52" s="24"/>
      <c r="F52" s="24">
        <v>0</v>
      </c>
      <c r="G52" s="24">
        <v>0</v>
      </c>
      <c r="H52" s="24">
        <v>0</v>
      </c>
      <c r="I52" s="24"/>
      <c r="J52" s="24">
        <v>0</v>
      </c>
      <c r="K52" s="24">
        <v>0</v>
      </c>
      <c r="L52" s="24">
        <v>0</v>
      </c>
      <c r="M52" s="24"/>
      <c r="N52" s="24">
        <v>0</v>
      </c>
      <c r="O52" s="24">
        <v>0</v>
      </c>
      <c r="P52" s="24">
        <v>0</v>
      </c>
      <c r="Q52" s="24"/>
      <c r="R52" s="24">
        <v>183019</v>
      </c>
    </row>
    <row r="53" spans="1:19" s="2" customFormat="1" x14ac:dyDescent="0.3">
      <c r="A53" s="23" t="s">
        <v>63</v>
      </c>
      <c r="B53" s="24">
        <v>0</v>
      </c>
      <c r="C53" s="24">
        <v>0</v>
      </c>
      <c r="D53" s="24">
        <v>0</v>
      </c>
      <c r="E53" s="24"/>
      <c r="F53" s="24">
        <v>0</v>
      </c>
      <c r="G53" s="24">
        <v>0</v>
      </c>
      <c r="H53" s="24">
        <v>0</v>
      </c>
      <c r="I53" s="24"/>
      <c r="J53" s="24">
        <v>0</v>
      </c>
      <c r="K53" s="24">
        <v>0</v>
      </c>
      <c r="L53" s="24">
        <v>0</v>
      </c>
      <c r="M53" s="24"/>
      <c r="N53" s="24">
        <v>0</v>
      </c>
      <c r="O53" s="24">
        <v>0</v>
      </c>
      <c r="P53" s="24">
        <v>0</v>
      </c>
      <c r="Q53" s="24"/>
      <c r="R53" s="24">
        <v>0</v>
      </c>
    </row>
    <row r="54" spans="1:19" s="2" customFormat="1" x14ac:dyDescent="0.3">
      <c r="A54" s="23" t="s">
        <v>64</v>
      </c>
      <c r="B54" s="32">
        <v>268594</v>
      </c>
      <c r="C54" s="32">
        <v>283433</v>
      </c>
      <c r="D54" s="24">
        <v>0</v>
      </c>
      <c r="E54" s="24"/>
      <c r="F54" s="24">
        <v>0</v>
      </c>
      <c r="G54" s="24">
        <v>0</v>
      </c>
      <c r="H54" s="24">
        <v>0</v>
      </c>
      <c r="I54" s="24"/>
      <c r="J54" s="24">
        <v>0</v>
      </c>
      <c r="K54" s="24">
        <v>0</v>
      </c>
      <c r="L54" s="24">
        <v>0</v>
      </c>
      <c r="M54" s="24"/>
      <c r="N54" s="24">
        <v>0</v>
      </c>
      <c r="O54" s="24">
        <v>0</v>
      </c>
      <c r="P54" s="24">
        <v>0</v>
      </c>
      <c r="Q54" s="24"/>
      <c r="R54" s="24">
        <v>552027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"/>
  <sheetViews>
    <sheetView workbookViewId="0">
      <selection activeCell="W20" sqref="W20"/>
    </sheetView>
  </sheetViews>
  <sheetFormatPr defaultColWidth="9.109375" defaultRowHeight="15.6" x14ac:dyDescent="0.3"/>
  <cols>
    <col min="1" max="1" width="35.88671875" style="9" bestFit="1" customWidth="1"/>
    <col min="2" max="3" width="9.109375" style="9"/>
    <col min="4" max="17" width="0" style="9" hidden="1" customWidth="1"/>
    <col min="18" max="16384" width="9.109375" style="9"/>
  </cols>
  <sheetData>
    <row r="1" spans="1:35" x14ac:dyDescent="0.3">
      <c r="A1" s="8" t="s">
        <v>65</v>
      </c>
    </row>
    <row r="2" spans="1:35" x14ac:dyDescent="0.3">
      <c r="R2" s="9" t="s">
        <v>66</v>
      </c>
    </row>
    <row r="3" spans="1:35" x14ac:dyDescent="0.3">
      <c r="A3" s="10" t="s">
        <v>3</v>
      </c>
      <c r="B3" s="10" t="s">
        <v>67</v>
      </c>
      <c r="C3" s="10" t="s">
        <v>68</v>
      </c>
      <c r="D3" s="10" t="s">
        <v>69</v>
      </c>
      <c r="E3" s="10" t="s">
        <v>7</v>
      </c>
      <c r="F3" s="10" t="s">
        <v>70</v>
      </c>
      <c r="G3" s="10" t="s">
        <v>71</v>
      </c>
      <c r="H3" s="10" t="s">
        <v>72</v>
      </c>
      <c r="I3" s="10" t="s">
        <v>73</v>
      </c>
      <c r="J3" s="10" t="s">
        <v>74</v>
      </c>
      <c r="K3" s="10" t="s">
        <v>75</v>
      </c>
      <c r="L3" s="10" t="s">
        <v>76</v>
      </c>
      <c r="M3" s="10" t="s">
        <v>15</v>
      </c>
      <c r="N3" s="10" t="s">
        <v>77</v>
      </c>
      <c r="O3" s="10" t="s">
        <v>78</v>
      </c>
      <c r="P3" s="10" t="s">
        <v>79</v>
      </c>
      <c r="Q3" s="10" t="s">
        <v>19</v>
      </c>
      <c r="R3" s="10" t="s">
        <v>20</v>
      </c>
    </row>
    <row r="4" spans="1:35" x14ac:dyDescent="0.3">
      <c r="A4" s="10" t="s">
        <v>80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</row>
    <row r="5" spans="1:35" x14ac:dyDescent="0.3">
      <c r="A5" s="10" t="s">
        <v>81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1">
        <v>0</v>
      </c>
    </row>
    <row r="6" spans="1:35" x14ac:dyDescent="0.3">
      <c r="A6" s="10" t="s">
        <v>82</v>
      </c>
      <c r="B6" s="10">
        <v>52329</v>
      </c>
      <c r="C6" s="10">
        <v>48353</v>
      </c>
      <c r="D6" s="10">
        <v>0</v>
      </c>
      <c r="E6" s="10">
        <v>100682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100682</v>
      </c>
    </row>
    <row r="7" spans="1:35" x14ac:dyDescent="0.3">
      <c r="A7" s="10" t="s">
        <v>83</v>
      </c>
      <c r="B7" s="10">
        <v>76924</v>
      </c>
      <c r="C7" s="10">
        <v>83221</v>
      </c>
      <c r="D7" s="10">
        <v>0</v>
      </c>
      <c r="E7" s="10">
        <v>160145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160145</v>
      </c>
    </row>
    <row r="8" spans="1:35" x14ac:dyDescent="0.3">
      <c r="A8" s="10" t="s">
        <v>84</v>
      </c>
      <c r="B8" s="10">
        <v>187946</v>
      </c>
      <c r="C8" s="10">
        <v>172792</v>
      </c>
      <c r="D8" s="12">
        <v>0</v>
      </c>
      <c r="E8" s="10">
        <v>360738</v>
      </c>
      <c r="F8" s="12">
        <v>0</v>
      </c>
      <c r="G8" s="12">
        <v>0</v>
      </c>
      <c r="H8" s="12">
        <v>0</v>
      </c>
      <c r="I8" s="10">
        <v>0</v>
      </c>
      <c r="J8" s="12">
        <v>0</v>
      </c>
      <c r="K8" s="12">
        <v>0</v>
      </c>
      <c r="L8" s="12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360738</v>
      </c>
    </row>
    <row r="9" spans="1:35" x14ac:dyDescent="0.3">
      <c r="A9" s="10" t="s">
        <v>85</v>
      </c>
      <c r="B9" s="12">
        <v>22624</v>
      </c>
      <c r="C9" s="12">
        <v>20554</v>
      </c>
      <c r="D9" s="12">
        <v>0</v>
      </c>
      <c r="E9" s="10">
        <v>43178</v>
      </c>
      <c r="F9" s="12">
        <v>0</v>
      </c>
      <c r="G9" s="12">
        <v>0</v>
      </c>
      <c r="H9" s="12">
        <v>0</v>
      </c>
      <c r="I9" s="10">
        <v>0</v>
      </c>
      <c r="J9" s="12">
        <v>0</v>
      </c>
      <c r="K9" s="12">
        <v>0</v>
      </c>
      <c r="L9" s="12">
        <v>0</v>
      </c>
      <c r="M9" s="10">
        <v>0</v>
      </c>
      <c r="N9" s="12">
        <v>0</v>
      </c>
      <c r="O9" s="12">
        <v>0</v>
      </c>
      <c r="P9" s="12">
        <v>0</v>
      </c>
      <c r="Q9" s="10">
        <v>0</v>
      </c>
      <c r="R9" s="11">
        <v>43178</v>
      </c>
    </row>
    <row r="10" spans="1:35" x14ac:dyDescent="0.3">
      <c r="A10" s="10" t="s">
        <v>86</v>
      </c>
      <c r="B10" s="12">
        <v>3959</v>
      </c>
      <c r="C10" s="12">
        <v>2027</v>
      </c>
      <c r="D10" s="12">
        <v>0</v>
      </c>
      <c r="E10" s="10">
        <v>5986</v>
      </c>
      <c r="F10" s="12">
        <v>0</v>
      </c>
      <c r="G10" s="12">
        <v>0</v>
      </c>
      <c r="H10" s="12">
        <v>0</v>
      </c>
      <c r="I10" s="10">
        <v>0</v>
      </c>
      <c r="J10" s="12">
        <v>0</v>
      </c>
      <c r="K10" s="22">
        <v>0</v>
      </c>
      <c r="L10" s="12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1">
        <v>5986</v>
      </c>
    </row>
    <row r="11" spans="1:35" x14ac:dyDescent="0.3">
      <c r="A11" s="10" t="s">
        <v>87</v>
      </c>
      <c r="B11" s="12">
        <v>3530</v>
      </c>
      <c r="C11" s="12">
        <v>2221</v>
      </c>
      <c r="D11" s="12">
        <v>0</v>
      </c>
      <c r="E11" s="10">
        <v>5751</v>
      </c>
      <c r="F11" s="12">
        <v>0</v>
      </c>
      <c r="G11" s="12">
        <v>0</v>
      </c>
      <c r="H11" s="12">
        <v>0</v>
      </c>
      <c r="I11" s="10">
        <v>0</v>
      </c>
      <c r="J11" s="12">
        <v>0</v>
      </c>
      <c r="K11" s="22">
        <v>0</v>
      </c>
      <c r="L11" s="12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1">
        <v>5751</v>
      </c>
    </row>
    <row r="12" spans="1:35" x14ac:dyDescent="0.3">
      <c r="A12" s="10" t="s">
        <v>88</v>
      </c>
      <c r="B12" s="12">
        <v>0</v>
      </c>
      <c r="C12" s="12">
        <v>0</v>
      </c>
      <c r="D12" s="12">
        <v>0</v>
      </c>
      <c r="E12" s="10">
        <v>0</v>
      </c>
      <c r="F12" s="12">
        <v>0</v>
      </c>
      <c r="G12" s="12">
        <v>0</v>
      </c>
      <c r="H12" s="12">
        <v>0</v>
      </c>
      <c r="I12" s="10">
        <v>0</v>
      </c>
      <c r="J12" s="12">
        <v>0</v>
      </c>
      <c r="K12" s="12">
        <v>0</v>
      </c>
      <c r="L12" s="12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1">
        <v>0</v>
      </c>
    </row>
    <row r="13" spans="1:35" x14ac:dyDescent="0.3">
      <c r="A13" s="10" t="s">
        <v>45</v>
      </c>
      <c r="B13" s="12">
        <v>5433</v>
      </c>
      <c r="C13" s="12">
        <v>5300</v>
      </c>
      <c r="D13" s="12">
        <v>0</v>
      </c>
      <c r="E13" s="10">
        <v>10733</v>
      </c>
      <c r="F13" s="12">
        <v>0</v>
      </c>
      <c r="G13" s="12">
        <v>0</v>
      </c>
      <c r="H13" s="12">
        <v>0</v>
      </c>
      <c r="I13" s="10">
        <v>0</v>
      </c>
      <c r="J13" s="12">
        <v>0</v>
      </c>
      <c r="K13" s="12">
        <v>0</v>
      </c>
      <c r="L13" s="12">
        <v>0</v>
      </c>
      <c r="M13" s="10">
        <v>0</v>
      </c>
      <c r="N13" s="12">
        <v>0</v>
      </c>
      <c r="O13" s="12">
        <v>0</v>
      </c>
      <c r="P13" s="12">
        <v>0</v>
      </c>
      <c r="Q13" s="10">
        <v>0</v>
      </c>
      <c r="R13" s="11">
        <v>10733</v>
      </c>
    </row>
    <row r="14" spans="1:35" s="16" customFormat="1" x14ac:dyDescent="0.3">
      <c r="A14" s="13" t="s">
        <v>89</v>
      </c>
      <c r="B14" s="13">
        <v>352745</v>
      </c>
      <c r="C14" s="13">
        <v>334468</v>
      </c>
      <c r="D14" s="13">
        <v>0</v>
      </c>
      <c r="E14" s="13">
        <v>687213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4">
        <v>687213</v>
      </c>
      <c r="S14" s="9"/>
      <c r="T14" s="15"/>
      <c r="U14" s="15"/>
      <c r="V14" s="15"/>
      <c r="W14" s="15"/>
      <c r="X14" s="15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</row>
    <row r="15" spans="1:35" s="15" customFormat="1" x14ac:dyDescent="0.3">
      <c r="A15" s="10" t="s">
        <v>90</v>
      </c>
      <c r="B15" s="10">
        <v>265837</v>
      </c>
      <c r="C15" s="10">
        <v>260746</v>
      </c>
      <c r="D15" s="13"/>
      <c r="E15" s="13">
        <v>526583</v>
      </c>
      <c r="F15" s="13"/>
      <c r="G15" s="13"/>
      <c r="H15" s="13"/>
      <c r="I15" s="13">
        <v>0</v>
      </c>
      <c r="J15" s="13"/>
      <c r="K15" s="13"/>
      <c r="L15" s="13"/>
      <c r="M15" s="13">
        <v>0</v>
      </c>
      <c r="N15" s="13"/>
      <c r="O15" s="13"/>
      <c r="P15" s="13"/>
      <c r="Q15" s="13">
        <v>0</v>
      </c>
      <c r="R15" s="11">
        <v>526583</v>
      </c>
      <c r="S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</row>
    <row r="16" spans="1:35" x14ac:dyDescent="0.3">
      <c r="A16" s="10" t="s">
        <v>91</v>
      </c>
      <c r="B16" s="10">
        <v>57041</v>
      </c>
      <c r="C16" s="10">
        <v>43716</v>
      </c>
      <c r="D16" s="10">
        <v>0</v>
      </c>
      <c r="E16" s="10">
        <v>100757</v>
      </c>
      <c r="F16" s="12">
        <v>0</v>
      </c>
      <c r="G16" s="12">
        <v>0</v>
      </c>
      <c r="H16" s="13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1">
        <v>100757</v>
      </c>
    </row>
    <row r="17" spans="1:35" x14ac:dyDescent="0.3">
      <c r="A17" s="10" t="s">
        <v>92</v>
      </c>
      <c r="B17" s="10">
        <v>295704</v>
      </c>
      <c r="C17" s="10">
        <v>290752</v>
      </c>
      <c r="D17" s="10">
        <v>0</v>
      </c>
      <c r="E17" s="10">
        <v>586456</v>
      </c>
      <c r="F17" s="12">
        <v>0</v>
      </c>
      <c r="G17" s="12">
        <v>0</v>
      </c>
      <c r="H17" s="13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1">
        <v>586456</v>
      </c>
    </row>
    <row r="18" spans="1:35" x14ac:dyDescent="0.3">
      <c r="A18" s="10" t="s">
        <v>93</v>
      </c>
      <c r="B18" s="10">
        <v>220187</v>
      </c>
      <c r="C18" s="10">
        <v>217708</v>
      </c>
      <c r="D18" s="10">
        <v>0</v>
      </c>
      <c r="E18" s="10">
        <v>437895</v>
      </c>
      <c r="F18" s="12">
        <v>0</v>
      </c>
      <c r="G18" s="13">
        <v>0</v>
      </c>
      <c r="H18" s="13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1">
        <v>437895</v>
      </c>
    </row>
    <row r="19" spans="1:35" x14ac:dyDescent="0.3">
      <c r="A19" s="10" t="s">
        <v>94</v>
      </c>
      <c r="B19" s="10">
        <v>347078</v>
      </c>
      <c r="C19" s="10">
        <v>373399</v>
      </c>
      <c r="D19" s="10">
        <v>0</v>
      </c>
      <c r="E19" s="10">
        <v>720477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1">
        <v>720477</v>
      </c>
    </row>
    <row r="20" spans="1:35" s="17" customFormat="1" x14ac:dyDescent="0.3">
      <c r="A20" s="10" t="s">
        <v>95</v>
      </c>
      <c r="B20" s="10">
        <v>567265</v>
      </c>
      <c r="C20" s="10">
        <v>591107</v>
      </c>
      <c r="D20" s="10">
        <v>0</v>
      </c>
      <c r="E20" s="10">
        <v>1158372</v>
      </c>
      <c r="F20" s="12">
        <v>0</v>
      </c>
      <c r="G20" s="13">
        <v>0</v>
      </c>
      <c r="H20" s="13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1">
        <v>1158372</v>
      </c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</row>
    <row r="21" spans="1:35" x14ac:dyDescent="0.3">
      <c r="A21" s="10" t="s">
        <v>96</v>
      </c>
      <c r="B21" s="10">
        <v>7924</v>
      </c>
      <c r="C21" s="10">
        <v>3564</v>
      </c>
      <c r="D21" s="10">
        <v>0</v>
      </c>
      <c r="E21" s="10">
        <v>11488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11488</v>
      </c>
    </row>
    <row r="22" spans="1:35" hidden="1" x14ac:dyDescent="0.3">
      <c r="A22" s="10" t="s">
        <v>97</v>
      </c>
      <c r="B22" s="10">
        <v>7924</v>
      </c>
      <c r="C22" s="10">
        <v>3564</v>
      </c>
      <c r="D22" s="10"/>
      <c r="E22" s="10">
        <v>11488</v>
      </c>
      <c r="F22" s="10"/>
      <c r="G22" s="10"/>
      <c r="H22" s="10"/>
      <c r="I22" s="10">
        <v>0</v>
      </c>
      <c r="J22" s="10"/>
      <c r="K22" s="10"/>
      <c r="L22" s="10"/>
      <c r="M22" s="10">
        <v>0</v>
      </c>
      <c r="N22" s="10"/>
      <c r="O22" s="10"/>
      <c r="P22" s="10"/>
      <c r="Q22" s="10">
        <v>0</v>
      </c>
      <c r="R22" s="11">
        <v>11488</v>
      </c>
    </row>
    <row r="23" spans="1:35" hidden="1" x14ac:dyDescent="0.3">
      <c r="A23" s="10" t="s">
        <v>98</v>
      </c>
      <c r="B23" s="10"/>
      <c r="C23" s="10"/>
      <c r="D23" s="10"/>
      <c r="E23" s="10"/>
      <c r="F23" s="10"/>
      <c r="G23" s="10"/>
      <c r="H23" s="10"/>
      <c r="I23" s="10">
        <v>0</v>
      </c>
      <c r="J23" s="10"/>
      <c r="K23" s="10"/>
      <c r="L23" s="10"/>
      <c r="M23" s="10">
        <v>0</v>
      </c>
      <c r="N23" s="10"/>
      <c r="O23" s="10"/>
      <c r="P23" s="10"/>
      <c r="Q23" s="10"/>
      <c r="R23" s="11">
        <v>0</v>
      </c>
    </row>
    <row r="24" spans="1:35" x14ac:dyDescent="0.3">
      <c r="A24" s="10" t="s">
        <v>99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1"/>
    </row>
    <row r="25" spans="1:35" x14ac:dyDescent="0.3">
      <c r="A25" s="10" t="s">
        <v>100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1"/>
    </row>
    <row r="26" spans="1:35" x14ac:dyDescent="0.3">
      <c r="A26" s="10" t="s">
        <v>101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1"/>
    </row>
    <row r="27" spans="1:35" x14ac:dyDescent="0.3">
      <c r="A27" s="10" t="s">
        <v>102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1"/>
    </row>
    <row r="28" spans="1:35" x14ac:dyDescent="0.3">
      <c r="A28" s="10" t="s">
        <v>103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1"/>
    </row>
    <row r="29" spans="1:35" x14ac:dyDescent="0.3">
      <c r="A29" s="10" t="s">
        <v>104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1"/>
    </row>
    <row r="30" spans="1:35" x14ac:dyDescent="0.3"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9"/>
    </row>
    <row r="31" spans="1:35" x14ac:dyDescent="0.3">
      <c r="A31" s="20"/>
    </row>
    <row r="32" spans="1:35" x14ac:dyDescent="0.3">
      <c r="A32" s="20"/>
    </row>
    <row r="33" spans="1:1" x14ac:dyDescent="0.3">
      <c r="A33" s="20"/>
    </row>
    <row r="34" spans="1:1" x14ac:dyDescent="0.3">
      <c r="A34" s="20"/>
    </row>
    <row r="35" spans="1:1" x14ac:dyDescent="0.3">
      <c r="A35" s="20"/>
    </row>
    <row r="36" spans="1:1" x14ac:dyDescent="0.3">
      <c r="A36" s="20"/>
    </row>
    <row r="37" spans="1:1" x14ac:dyDescent="0.3">
      <c r="A37" s="20"/>
    </row>
    <row r="38" spans="1:1" x14ac:dyDescent="0.3">
      <c r="A38" s="20"/>
    </row>
    <row r="39" spans="1:1" x14ac:dyDescent="0.3">
      <c r="A39" s="20"/>
    </row>
    <row r="40" spans="1:1" x14ac:dyDescent="0.3">
      <c r="A40" s="20"/>
    </row>
    <row r="41" spans="1:1" x14ac:dyDescent="0.3">
      <c r="A41" s="20"/>
    </row>
    <row r="42" spans="1:1" x14ac:dyDescent="0.3">
      <c r="A42" s="20"/>
    </row>
    <row r="43" spans="1:1" x14ac:dyDescent="0.3">
      <c r="A43" s="20"/>
    </row>
    <row r="44" spans="1:1" x14ac:dyDescent="0.3">
      <c r="A44" s="20"/>
    </row>
    <row r="45" spans="1:1" x14ac:dyDescent="0.3">
      <c r="A45" s="20"/>
    </row>
    <row r="46" spans="1:1" x14ac:dyDescent="0.3">
      <c r="A46" s="20"/>
    </row>
    <row r="48" spans="1:1" x14ac:dyDescent="0.3">
      <c r="A48" s="21"/>
    </row>
    <row r="49" spans="1:1" x14ac:dyDescent="0.3">
      <c r="A49" s="21"/>
    </row>
    <row r="50" spans="1:1" x14ac:dyDescent="0.3">
      <c r="A50" s="21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0"/>
  <sheetViews>
    <sheetView workbookViewId="0">
      <selection activeCell="V14" sqref="V14"/>
    </sheetView>
  </sheetViews>
  <sheetFormatPr defaultRowHeight="14.4" x14ac:dyDescent="0.3"/>
  <cols>
    <col min="1" max="1" width="38.44140625" bestFit="1" customWidth="1"/>
    <col min="4" max="4" width="0" hidden="1" customWidth="1"/>
    <col min="5" max="5" width="0" style="75" hidden="1" customWidth="1"/>
    <col min="6" max="8" width="0" hidden="1" customWidth="1"/>
    <col min="9" max="9" width="0" style="75" hidden="1" customWidth="1"/>
    <col min="10" max="12" width="0" hidden="1" customWidth="1"/>
    <col min="13" max="13" width="0" style="75" hidden="1" customWidth="1"/>
    <col min="14" max="16" width="0" hidden="1" customWidth="1"/>
    <col min="17" max="17" width="0" style="75" hidden="1" customWidth="1"/>
  </cols>
  <sheetData>
    <row r="1" spans="1:18" x14ac:dyDescent="0.3">
      <c r="A1" s="81"/>
      <c r="B1" s="81"/>
      <c r="C1" s="81"/>
      <c r="D1" s="81"/>
      <c r="E1" s="82"/>
      <c r="F1" s="81"/>
      <c r="G1" s="81"/>
      <c r="H1" s="81"/>
      <c r="I1" s="82"/>
      <c r="J1" s="81"/>
      <c r="K1" s="81"/>
      <c r="L1" s="81"/>
      <c r="M1" s="82"/>
      <c r="N1" s="81"/>
      <c r="O1" s="81"/>
      <c r="P1" s="81"/>
      <c r="Q1" s="82"/>
      <c r="R1" s="83" t="s">
        <v>429</v>
      </c>
    </row>
    <row r="2" spans="1:18" s="67" customFormat="1" ht="18" x14ac:dyDescent="0.35">
      <c r="A2" s="84" t="s">
        <v>430</v>
      </c>
      <c r="B2" s="85" t="s">
        <v>67</v>
      </c>
      <c r="C2" s="85" t="s">
        <v>68</v>
      </c>
      <c r="D2" s="85" t="s">
        <v>69</v>
      </c>
      <c r="E2" s="86" t="s">
        <v>7</v>
      </c>
      <c r="F2" s="85" t="s">
        <v>70</v>
      </c>
      <c r="G2" s="85" t="s">
        <v>71</v>
      </c>
      <c r="H2" s="85" t="s">
        <v>72</v>
      </c>
      <c r="I2" s="86" t="s">
        <v>73</v>
      </c>
      <c r="J2" s="85" t="s">
        <v>74</v>
      </c>
      <c r="K2" s="85" t="s">
        <v>75</v>
      </c>
      <c r="L2" s="85" t="s">
        <v>76</v>
      </c>
      <c r="M2" s="86" t="s">
        <v>15</v>
      </c>
      <c r="N2" s="85" t="s">
        <v>77</v>
      </c>
      <c r="O2" s="85" t="s">
        <v>78</v>
      </c>
      <c r="P2" s="85" t="s">
        <v>79</v>
      </c>
      <c r="Q2" s="86" t="s">
        <v>19</v>
      </c>
      <c r="R2" s="87" t="s">
        <v>20</v>
      </c>
    </row>
    <row r="3" spans="1:18" s="67" customFormat="1" ht="15.6" x14ac:dyDescent="0.3">
      <c r="A3" s="88" t="s">
        <v>431</v>
      </c>
      <c r="B3" s="89"/>
      <c r="C3" s="89">
        <v>47.47</v>
      </c>
      <c r="D3" s="89"/>
      <c r="E3" s="90">
        <f>B3+C3+D3</f>
        <v>47.47</v>
      </c>
      <c r="F3" s="91"/>
      <c r="G3" s="91"/>
      <c r="H3" s="91"/>
      <c r="I3" s="90">
        <f>F3+G3+H3</f>
        <v>0</v>
      </c>
      <c r="J3" s="89"/>
      <c r="K3" s="91"/>
      <c r="L3" s="91"/>
      <c r="M3" s="90">
        <f>J3+K3+L3</f>
        <v>0</v>
      </c>
      <c r="N3" s="91"/>
      <c r="O3" s="91"/>
      <c r="P3" s="91"/>
      <c r="Q3" s="90">
        <f>N3+O3+P3</f>
        <v>0</v>
      </c>
      <c r="R3" s="91">
        <f>E3+I3+M3+Q3</f>
        <v>47.47</v>
      </c>
    </row>
    <row r="4" spans="1:18" s="67" customFormat="1" ht="15.6" x14ac:dyDescent="0.3">
      <c r="A4" s="88" t="s">
        <v>432</v>
      </c>
      <c r="B4" s="92">
        <v>367.05</v>
      </c>
      <c r="C4" s="89">
        <v>279.61500000000001</v>
      </c>
      <c r="D4" s="89"/>
      <c r="E4" s="90">
        <f t="shared" ref="E4:E40" si="0">B4+C4+D4</f>
        <v>646.66499999999996</v>
      </c>
      <c r="F4" s="91"/>
      <c r="G4" s="91"/>
      <c r="H4" s="91"/>
      <c r="I4" s="90">
        <f t="shared" ref="I4:I40" si="1">F4+G4+H4</f>
        <v>0</v>
      </c>
      <c r="J4" s="89"/>
      <c r="K4" s="92"/>
      <c r="L4" s="91"/>
      <c r="M4" s="90">
        <f t="shared" ref="M4:M40" si="2">J4+K4+L4</f>
        <v>0</v>
      </c>
      <c r="N4" s="91"/>
      <c r="O4" s="91"/>
      <c r="P4" s="91"/>
      <c r="Q4" s="90">
        <f t="shared" ref="Q4:Q40" si="3">N4+O4+P4</f>
        <v>0</v>
      </c>
      <c r="R4" s="91">
        <f t="shared" ref="R4:R40" si="4">E4+I4+M4+Q4</f>
        <v>646.66499999999996</v>
      </c>
    </row>
    <row r="5" spans="1:18" s="67" customFormat="1" ht="15.6" x14ac:dyDescent="0.3">
      <c r="A5" s="88" t="s">
        <v>433</v>
      </c>
      <c r="B5" s="89"/>
      <c r="C5" s="89">
        <v>23.7</v>
      </c>
      <c r="D5" s="89"/>
      <c r="E5" s="90">
        <f t="shared" si="0"/>
        <v>23.7</v>
      </c>
      <c r="F5" s="91"/>
      <c r="G5" s="91"/>
      <c r="H5" s="91"/>
      <c r="I5" s="90">
        <f t="shared" si="1"/>
        <v>0</v>
      </c>
      <c r="J5" s="89"/>
      <c r="K5" s="91"/>
      <c r="L5" s="91"/>
      <c r="M5" s="90">
        <f t="shared" si="2"/>
        <v>0</v>
      </c>
      <c r="N5" s="91"/>
      <c r="O5" s="91"/>
      <c r="P5" s="91"/>
      <c r="Q5" s="90">
        <f t="shared" si="3"/>
        <v>0</v>
      </c>
      <c r="R5" s="91">
        <f t="shared" si="4"/>
        <v>23.7</v>
      </c>
    </row>
    <row r="6" spans="1:18" s="67" customFormat="1" ht="15.6" x14ac:dyDescent="0.3">
      <c r="A6" s="74" t="s">
        <v>434</v>
      </c>
      <c r="B6" s="92">
        <v>13811</v>
      </c>
      <c r="C6" s="89">
        <v>8439</v>
      </c>
      <c r="D6" s="89"/>
      <c r="E6" s="90">
        <f t="shared" si="0"/>
        <v>22250</v>
      </c>
      <c r="F6" s="91"/>
      <c r="G6" s="91"/>
      <c r="H6" s="91"/>
      <c r="I6" s="90">
        <f t="shared" si="1"/>
        <v>0</v>
      </c>
      <c r="J6" s="89"/>
      <c r="K6" s="91"/>
      <c r="L6" s="91"/>
      <c r="M6" s="90">
        <f t="shared" si="2"/>
        <v>0</v>
      </c>
      <c r="N6" s="91"/>
      <c r="O6" s="91"/>
      <c r="P6" s="91"/>
      <c r="Q6" s="90">
        <f t="shared" si="3"/>
        <v>0</v>
      </c>
      <c r="R6" s="91">
        <f t="shared" si="4"/>
        <v>22250</v>
      </c>
    </row>
    <row r="7" spans="1:18" s="76" customFormat="1" ht="15.6" x14ac:dyDescent="0.3">
      <c r="A7" s="93" t="s">
        <v>435</v>
      </c>
      <c r="B7" s="78">
        <f>B3+B4+B5+B6</f>
        <v>14178.05</v>
      </c>
      <c r="C7" s="78">
        <f>C3+C4+C5+C6</f>
        <v>8789.7849999999999</v>
      </c>
      <c r="D7" s="78">
        <f>D3+D4+D5</f>
        <v>0</v>
      </c>
      <c r="E7" s="79">
        <f t="shared" si="0"/>
        <v>22967.834999999999</v>
      </c>
      <c r="F7" s="78">
        <f>F3+F4+F5</f>
        <v>0</v>
      </c>
      <c r="G7" s="78">
        <f>G3+G4+G5</f>
        <v>0</v>
      </c>
      <c r="H7" s="78">
        <f>H3+H4+H5</f>
        <v>0</v>
      </c>
      <c r="I7" s="79">
        <f t="shared" si="1"/>
        <v>0</v>
      </c>
      <c r="J7" s="78">
        <f>J3+J4+J5</f>
        <v>0</v>
      </c>
      <c r="K7" s="78">
        <f>K3+K4+K5</f>
        <v>0</v>
      </c>
      <c r="L7" s="78">
        <f>L3+L4+L5</f>
        <v>0</v>
      </c>
      <c r="M7" s="79">
        <f t="shared" si="2"/>
        <v>0</v>
      </c>
      <c r="N7" s="78">
        <f>N3+N4+N5</f>
        <v>0</v>
      </c>
      <c r="O7" s="78">
        <f>O3+O4+O5</f>
        <v>0</v>
      </c>
      <c r="P7" s="78">
        <f>P3+P4+P5</f>
        <v>0</v>
      </c>
      <c r="Q7" s="79">
        <f t="shared" si="3"/>
        <v>0</v>
      </c>
      <c r="R7" s="80">
        <f t="shared" si="4"/>
        <v>22967.834999999999</v>
      </c>
    </row>
    <row r="8" spans="1:18" s="67" customFormat="1" ht="15.6" x14ac:dyDescent="0.3">
      <c r="A8" s="74" t="s">
        <v>436</v>
      </c>
      <c r="B8" s="94"/>
      <c r="C8" s="94"/>
      <c r="D8" s="94"/>
      <c r="E8" s="90">
        <f>B8+C8+D8</f>
        <v>0</v>
      </c>
      <c r="F8" s="94"/>
      <c r="G8" s="94"/>
      <c r="H8" s="94"/>
      <c r="I8" s="90">
        <f>F8+G8+H8</f>
        <v>0</v>
      </c>
      <c r="J8" s="94"/>
      <c r="K8" s="94"/>
      <c r="L8" s="94"/>
      <c r="M8" s="90">
        <f>J8+K8+L8</f>
        <v>0</v>
      </c>
      <c r="N8" s="94"/>
      <c r="O8" s="94"/>
      <c r="P8" s="94"/>
      <c r="Q8" s="90">
        <f>N8+O8+P8</f>
        <v>0</v>
      </c>
      <c r="R8" s="91">
        <f>E8+I8+M8+Q8</f>
        <v>0</v>
      </c>
    </row>
    <row r="9" spans="1:18" s="67" customFormat="1" ht="15.6" x14ac:dyDescent="0.3">
      <c r="A9" s="74" t="s">
        <v>437</v>
      </c>
      <c r="B9" s="92">
        <v>184.2</v>
      </c>
      <c r="C9" s="89"/>
      <c r="D9" s="89"/>
      <c r="E9" s="90">
        <f t="shared" si="0"/>
        <v>184.2</v>
      </c>
      <c r="F9" s="89"/>
      <c r="G9" s="89"/>
      <c r="H9" s="89"/>
      <c r="I9" s="90">
        <f t="shared" si="1"/>
        <v>0</v>
      </c>
      <c r="J9" s="89"/>
      <c r="K9" s="89"/>
      <c r="L9" s="89"/>
      <c r="M9" s="90">
        <f t="shared" si="2"/>
        <v>0</v>
      </c>
      <c r="N9" s="89"/>
      <c r="O9" s="89"/>
      <c r="P9" s="89"/>
      <c r="Q9" s="90">
        <f t="shared" si="3"/>
        <v>0</v>
      </c>
      <c r="R9" s="91">
        <f t="shared" si="4"/>
        <v>184.2</v>
      </c>
    </row>
    <row r="10" spans="1:18" ht="15.6" x14ac:dyDescent="0.3">
      <c r="A10" s="74" t="s">
        <v>438</v>
      </c>
      <c r="B10" s="92">
        <v>372</v>
      </c>
      <c r="C10" s="85">
        <v>570</v>
      </c>
      <c r="D10" s="81"/>
      <c r="E10" s="90">
        <f t="shared" si="0"/>
        <v>942</v>
      </c>
      <c r="F10" s="81"/>
      <c r="G10" s="81"/>
      <c r="H10" s="81"/>
      <c r="I10" s="90">
        <f t="shared" si="1"/>
        <v>0</v>
      </c>
      <c r="J10" s="81"/>
      <c r="K10" s="81"/>
      <c r="L10" s="81"/>
      <c r="M10" s="90">
        <f t="shared" si="2"/>
        <v>0</v>
      </c>
      <c r="N10" s="81"/>
      <c r="O10" s="81"/>
      <c r="P10" s="81"/>
      <c r="Q10" s="90">
        <f t="shared" si="3"/>
        <v>0</v>
      </c>
      <c r="R10" s="91">
        <f t="shared" si="4"/>
        <v>942</v>
      </c>
    </row>
    <row r="11" spans="1:18" ht="15.6" x14ac:dyDescent="0.3">
      <c r="A11" s="74" t="s">
        <v>439</v>
      </c>
      <c r="B11" s="92">
        <f>B9+B10</f>
        <v>556.20000000000005</v>
      </c>
      <c r="C11" s="92">
        <f>C9+C10</f>
        <v>570</v>
      </c>
      <c r="D11" s="81"/>
      <c r="E11" s="90">
        <f t="shared" si="0"/>
        <v>1126.2</v>
      </c>
      <c r="F11" s="81"/>
      <c r="G11" s="81"/>
      <c r="H11" s="81"/>
      <c r="I11" s="90">
        <f t="shared" si="1"/>
        <v>0</v>
      </c>
      <c r="J11" s="81"/>
      <c r="K11" s="81"/>
      <c r="L11" s="81"/>
      <c r="M11" s="90">
        <f t="shared" si="2"/>
        <v>0</v>
      </c>
      <c r="N11" s="81"/>
      <c r="O11" s="81"/>
      <c r="P11" s="81"/>
      <c r="Q11" s="90">
        <f t="shared" si="3"/>
        <v>0</v>
      </c>
      <c r="R11" s="91">
        <f t="shared" si="4"/>
        <v>1126.2</v>
      </c>
    </row>
    <row r="12" spans="1:18" s="67" customFormat="1" ht="15.6" x14ac:dyDescent="0.3">
      <c r="A12" s="88" t="s">
        <v>440</v>
      </c>
      <c r="B12" s="89"/>
      <c r="C12" s="89"/>
      <c r="D12" s="89"/>
      <c r="E12" s="90">
        <f t="shared" si="0"/>
        <v>0</v>
      </c>
      <c r="F12" s="91"/>
      <c r="G12" s="91"/>
      <c r="H12" s="91"/>
      <c r="I12" s="90">
        <f t="shared" si="1"/>
        <v>0</v>
      </c>
      <c r="J12" s="89"/>
      <c r="K12" s="91"/>
      <c r="L12" s="91"/>
      <c r="M12" s="90">
        <f t="shared" si="2"/>
        <v>0</v>
      </c>
      <c r="N12" s="91"/>
      <c r="O12" s="91"/>
      <c r="P12" s="91"/>
      <c r="Q12" s="90">
        <f t="shared" si="3"/>
        <v>0</v>
      </c>
      <c r="R12" s="91">
        <f t="shared" si="4"/>
        <v>0</v>
      </c>
    </row>
    <row r="13" spans="1:18" s="67" customFormat="1" ht="15.6" x14ac:dyDescent="0.3">
      <c r="A13" s="88" t="s">
        <v>441</v>
      </c>
      <c r="B13" s="92">
        <v>5298</v>
      </c>
      <c r="C13" s="89">
        <v>17299</v>
      </c>
      <c r="D13" s="89"/>
      <c r="E13" s="90">
        <f t="shared" si="0"/>
        <v>22597</v>
      </c>
      <c r="F13" s="91"/>
      <c r="G13" s="91"/>
      <c r="H13" s="91"/>
      <c r="I13" s="90">
        <f t="shared" si="1"/>
        <v>0</v>
      </c>
      <c r="J13" s="89"/>
      <c r="K13" s="91"/>
      <c r="L13" s="91"/>
      <c r="M13" s="90">
        <f t="shared" si="2"/>
        <v>0</v>
      </c>
      <c r="N13" s="91"/>
      <c r="O13" s="91"/>
      <c r="P13" s="91"/>
      <c r="Q13" s="90">
        <f t="shared" si="3"/>
        <v>0</v>
      </c>
      <c r="R13" s="91">
        <f t="shared" si="4"/>
        <v>22597</v>
      </c>
    </row>
    <row r="14" spans="1:18" s="67" customFormat="1" ht="15.6" x14ac:dyDescent="0.3">
      <c r="A14" s="88" t="s">
        <v>442</v>
      </c>
      <c r="B14" s="92">
        <v>29708</v>
      </c>
      <c r="C14" s="89">
        <v>19239</v>
      </c>
      <c r="D14" s="89"/>
      <c r="E14" s="90">
        <f t="shared" si="0"/>
        <v>48947</v>
      </c>
      <c r="F14" s="91"/>
      <c r="G14" s="91"/>
      <c r="H14" s="91"/>
      <c r="I14" s="90">
        <f t="shared" si="1"/>
        <v>0</v>
      </c>
      <c r="J14" s="89"/>
      <c r="K14" s="91"/>
      <c r="L14" s="91"/>
      <c r="M14" s="90">
        <f t="shared" si="2"/>
        <v>0</v>
      </c>
      <c r="N14" s="91"/>
      <c r="O14" s="91"/>
      <c r="P14" s="91"/>
      <c r="Q14" s="90">
        <f t="shared" si="3"/>
        <v>0</v>
      </c>
      <c r="R14" s="91">
        <f t="shared" si="4"/>
        <v>48947</v>
      </c>
    </row>
    <row r="15" spans="1:18" s="76" customFormat="1" ht="15.6" x14ac:dyDescent="0.3">
      <c r="A15" s="77" t="s">
        <v>443</v>
      </c>
      <c r="B15" s="78">
        <f>B7+B8+B11+B12+B13+B14</f>
        <v>49740.25</v>
      </c>
      <c r="C15" s="78">
        <f>C7+C8+C11+C12+C13+C14</f>
        <v>45897.785000000003</v>
      </c>
      <c r="D15" s="78">
        <f>D7+D9+D8+D12+D13+D14</f>
        <v>0</v>
      </c>
      <c r="E15" s="79">
        <f t="shared" si="0"/>
        <v>95638.035000000003</v>
      </c>
      <c r="F15" s="78">
        <f>F7+F9+F8+F12+F13+F14</f>
        <v>0</v>
      </c>
      <c r="G15" s="78">
        <f>G7+G9+G8+G12+G13+G14</f>
        <v>0</v>
      </c>
      <c r="H15" s="78">
        <f>H7+H9+H8+H12+H13+H14</f>
        <v>0</v>
      </c>
      <c r="I15" s="79">
        <f t="shared" si="1"/>
        <v>0</v>
      </c>
      <c r="J15" s="78">
        <f>J7+J9+J8+J12+J13+J14</f>
        <v>0</v>
      </c>
      <c r="K15" s="78">
        <f>K7+K9+K8+K12+K13+K14</f>
        <v>0</v>
      </c>
      <c r="L15" s="78">
        <f>L7+L9+L8+L12+L13+L14</f>
        <v>0</v>
      </c>
      <c r="M15" s="79">
        <f t="shared" si="2"/>
        <v>0</v>
      </c>
      <c r="N15" s="78">
        <f>N7+N9+N8+N12+N13+N14</f>
        <v>0</v>
      </c>
      <c r="O15" s="78">
        <f>O7+O9+O8+O12+O13+O14</f>
        <v>0</v>
      </c>
      <c r="P15" s="78">
        <f>P7+P9+P8+P12+P13+P14</f>
        <v>0</v>
      </c>
      <c r="Q15" s="79">
        <f t="shared" si="3"/>
        <v>0</v>
      </c>
      <c r="R15" s="80">
        <f t="shared" si="4"/>
        <v>95638.035000000003</v>
      </c>
    </row>
    <row r="16" spans="1:18" s="67" customFormat="1" ht="15.6" x14ac:dyDescent="0.3">
      <c r="A16" s="88"/>
      <c r="B16" s="89"/>
      <c r="C16" s="89"/>
      <c r="D16" s="89"/>
      <c r="E16" s="90"/>
      <c r="F16" s="91"/>
      <c r="G16" s="91"/>
      <c r="H16" s="91"/>
      <c r="I16" s="90"/>
      <c r="J16" s="89"/>
      <c r="K16" s="91"/>
      <c r="L16" s="91"/>
      <c r="M16" s="90"/>
      <c r="N16" s="91"/>
      <c r="O16" s="91"/>
      <c r="P16" s="91"/>
      <c r="Q16" s="90"/>
      <c r="R16" s="91" t="s">
        <v>444</v>
      </c>
    </row>
    <row r="17" spans="1:18" s="67" customFormat="1" ht="18" x14ac:dyDescent="0.35">
      <c r="A17" s="84" t="s">
        <v>445</v>
      </c>
      <c r="B17" s="95"/>
      <c r="C17" s="95"/>
      <c r="D17" s="95"/>
      <c r="E17" s="90">
        <f t="shared" si="0"/>
        <v>0</v>
      </c>
      <c r="F17" s="95"/>
      <c r="G17" s="95"/>
      <c r="H17" s="95"/>
      <c r="I17" s="90">
        <f t="shared" si="1"/>
        <v>0</v>
      </c>
      <c r="J17" s="95"/>
      <c r="K17" s="95"/>
      <c r="L17" s="95"/>
      <c r="M17" s="90">
        <f t="shared" si="2"/>
        <v>0</v>
      </c>
      <c r="N17" s="95"/>
      <c r="O17" s="95"/>
      <c r="P17" s="95"/>
      <c r="Q17" s="90">
        <f t="shared" si="3"/>
        <v>0</v>
      </c>
      <c r="R17" s="91">
        <f t="shared" si="4"/>
        <v>0</v>
      </c>
    </row>
    <row r="18" spans="1:18" s="67" customFormat="1" ht="15.6" x14ac:dyDescent="0.3">
      <c r="A18" s="74" t="s">
        <v>431</v>
      </c>
      <c r="B18" s="96">
        <v>47.47</v>
      </c>
      <c r="C18" s="95">
        <v>23.71</v>
      </c>
      <c r="D18" s="95"/>
      <c r="E18" s="90">
        <f t="shared" si="0"/>
        <v>71.180000000000007</v>
      </c>
      <c r="F18" s="95"/>
      <c r="G18" s="95"/>
      <c r="H18" s="95"/>
      <c r="I18" s="90">
        <f t="shared" si="1"/>
        <v>0</v>
      </c>
      <c r="J18" s="95"/>
      <c r="K18" s="95"/>
      <c r="L18" s="95"/>
      <c r="M18" s="90">
        <f t="shared" si="2"/>
        <v>0</v>
      </c>
      <c r="N18" s="95"/>
      <c r="O18" s="95"/>
      <c r="P18" s="95"/>
      <c r="Q18" s="90">
        <f t="shared" si="3"/>
        <v>0</v>
      </c>
      <c r="R18" s="91">
        <f t="shared" si="4"/>
        <v>71.180000000000007</v>
      </c>
    </row>
    <row r="19" spans="1:18" s="67" customFormat="1" ht="15.6" x14ac:dyDescent="0.3">
      <c r="A19" s="74" t="s">
        <v>432</v>
      </c>
      <c r="B19" s="96">
        <v>419.04</v>
      </c>
      <c r="C19" s="97">
        <v>265.99</v>
      </c>
      <c r="D19" s="97"/>
      <c r="E19" s="90">
        <f t="shared" si="0"/>
        <v>685.03</v>
      </c>
      <c r="F19" s="97"/>
      <c r="G19" s="97"/>
      <c r="H19" s="97"/>
      <c r="I19" s="90">
        <f t="shared" si="1"/>
        <v>0</v>
      </c>
      <c r="J19" s="97"/>
      <c r="K19" s="97"/>
      <c r="L19" s="98"/>
      <c r="M19" s="90">
        <f t="shared" si="2"/>
        <v>0</v>
      </c>
      <c r="N19" s="97"/>
      <c r="O19" s="97"/>
      <c r="P19" s="97"/>
      <c r="Q19" s="90">
        <f t="shared" si="3"/>
        <v>0</v>
      </c>
      <c r="R19" s="91">
        <f t="shared" si="4"/>
        <v>685.03</v>
      </c>
    </row>
    <row r="20" spans="1:18" s="67" customFormat="1" ht="15.6" x14ac:dyDescent="0.3">
      <c r="A20" s="74" t="s">
        <v>433</v>
      </c>
      <c r="B20" s="97"/>
      <c r="C20" s="97">
        <v>23.77</v>
      </c>
      <c r="D20" s="97"/>
      <c r="E20" s="90">
        <f t="shared" si="0"/>
        <v>23.77</v>
      </c>
      <c r="F20" s="97"/>
      <c r="G20" s="97"/>
      <c r="H20" s="97"/>
      <c r="I20" s="90">
        <f t="shared" si="1"/>
        <v>0</v>
      </c>
      <c r="J20" s="97"/>
      <c r="K20" s="97"/>
      <c r="L20" s="97"/>
      <c r="M20" s="90">
        <f t="shared" si="2"/>
        <v>0</v>
      </c>
      <c r="N20" s="97"/>
      <c r="O20" s="97"/>
      <c r="P20" s="97"/>
      <c r="Q20" s="90">
        <f t="shared" si="3"/>
        <v>0</v>
      </c>
      <c r="R20" s="91">
        <f t="shared" si="4"/>
        <v>23.77</v>
      </c>
    </row>
    <row r="21" spans="1:18" s="76" customFormat="1" ht="15.6" x14ac:dyDescent="0.3">
      <c r="A21" s="74" t="s">
        <v>446</v>
      </c>
      <c r="B21" s="99">
        <v>14111</v>
      </c>
      <c r="C21" s="100">
        <v>6113</v>
      </c>
      <c r="D21" s="101"/>
      <c r="E21" s="79">
        <f>B21+C21+D21</f>
        <v>20224</v>
      </c>
      <c r="F21" s="101"/>
      <c r="G21" s="101"/>
      <c r="H21" s="101"/>
      <c r="I21" s="79">
        <f>F21+G21+H21</f>
        <v>0</v>
      </c>
      <c r="J21" s="101"/>
      <c r="K21" s="101"/>
      <c r="L21" s="101"/>
      <c r="M21" s="79">
        <f>J21+K21+L21</f>
        <v>0</v>
      </c>
      <c r="N21" s="101"/>
      <c r="O21" s="101"/>
      <c r="P21" s="101"/>
      <c r="Q21" s="79">
        <f>N21+O21+P21</f>
        <v>0</v>
      </c>
      <c r="R21" s="91">
        <f>E21+I21+M21+Q21</f>
        <v>20224</v>
      </c>
    </row>
    <row r="22" spans="1:18" s="76" customFormat="1" ht="15.6" x14ac:dyDescent="0.3">
      <c r="A22" s="77" t="s">
        <v>435</v>
      </c>
      <c r="B22" s="102">
        <f>B18+B19+B20+B21</f>
        <v>14577.51</v>
      </c>
      <c r="C22" s="102">
        <f>C18+C19+C20+C21</f>
        <v>6426.47</v>
      </c>
      <c r="D22" s="102">
        <f>D18+D19+D20</f>
        <v>0</v>
      </c>
      <c r="E22" s="79">
        <f t="shared" si="0"/>
        <v>21003.98</v>
      </c>
      <c r="F22" s="102">
        <f>F18+F19+F20</f>
        <v>0</v>
      </c>
      <c r="G22" s="102">
        <f>G18+G19+G20</f>
        <v>0</v>
      </c>
      <c r="H22" s="102">
        <f>H18+H19+H20</f>
        <v>0</v>
      </c>
      <c r="I22" s="79">
        <f t="shared" si="1"/>
        <v>0</v>
      </c>
      <c r="J22" s="102">
        <f>J18+J19+J20</f>
        <v>0</v>
      </c>
      <c r="K22" s="102">
        <f>K18+K19+K20</f>
        <v>0</v>
      </c>
      <c r="L22" s="102">
        <f>L18+L19+L20</f>
        <v>0</v>
      </c>
      <c r="M22" s="79">
        <f t="shared" si="2"/>
        <v>0</v>
      </c>
      <c r="N22" s="102">
        <f>N18+N19+N20</f>
        <v>0</v>
      </c>
      <c r="O22" s="102">
        <f>O18+O19+O20</f>
        <v>0</v>
      </c>
      <c r="P22" s="102">
        <f>P18+P19+P20</f>
        <v>0</v>
      </c>
      <c r="Q22" s="79">
        <f t="shared" si="3"/>
        <v>0</v>
      </c>
      <c r="R22" s="80">
        <f t="shared" si="4"/>
        <v>21003.98</v>
      </c>
    </row>
    <row r="23" spans="1:18" s="76" customFormat="1" ht="15.6" x14ac:dyDescent="0.3">
      <c r="A23" s="77" t="s">
        <v>447</v>
      </c>
      <c r="B23" s="101">
        <f>B25+B26+B27+B28</f>
        <v>42071</v>
      </c>
      <c r="C23" s="101">
        <f t="shared" ref="C23:P23" si="5">C25+C26+C27+C28</f>
        <v>38285</v>
      </c>
      <c r="D23" s="101">
        <f t="shared" si="5"/>
        <v>0</v>
      </c>
      <c r="E23" s="79">
        <f t="shared" si="0"/>
        <v>80356</v>
      </c>
      <c r="F23" s="101">
        <f t="shared" si="5"/>
        <v>0</v>
      </c>
      <c r="G23" s="101">
        <f t="shared" si="5"/>
        <v>0</v>
      </c>
      <c r="H23" s="101">
        <f t="shared" si="5"/>
        <v>0</v>
      </c>
      <c r="I23" s="79">
        <f t="shared" si="1"/>
        <v>0</v>
      </c>
      <c r="J23" s="101">
        <f t="shared" si="5"/>
        <v>0</v>
      </c>
      <c r="K23" s="101">
        <f t="shared" si="5"/>
        <v>0</v>
      </c>
      <c r="L23" s="101">
        <f t="shared" si="5"/>
        <v>0</v>
      </c>
      <c r="M23" s="79">
        <f t="shared" si="2"/>
        <v>0</v>
      </c>
      <c r="N23" s="101">
        <f t="shared" si="5"/>
        <v>0</v>
      </c>
      <c r="O23" s="101">
        <f t="shared" si="5"/>
        <v>0</v>
      </c>
      <c r="P23" s="101">
        <f t="shared" si="5"/>
        <v>0</v>
      </c>
      <c r="Q23" s="79">
        <f t="shared" si="3"/>
        <v>0</v>
      </c>
      <c r="R23" s="80">
        <f t="shared" si="4"/>
        <v>80356</v>
      </c>
    </row>
    <row r="24" spans="1:18" x14ac:dyDescent="0.3">
      <c r="A24" s="81"/>
      <c r="B24" s="81"/>
      <c r="C24" s="81"/>
      <c r="D24" s="81"/>
      <c r="E24" s="82"/>
      <c r="F24" s="81"/>
      <c r="G24" s="81"/>
      <c r="H24" s="81"/>
      <c r="I24" s="82"/>
      <c r="J24" s="81"/>
      <c r="K24" s="81"/>
      <c r="L24" s="81"/>
      <c r="M24" s="82"/>
      <c r="N24" s="81"/>
      <c r="O24" s="81"/>
      <c r="P24" s="81"/>
      <c r="Q24" s="82"/>
      <c r="R24" s="81"/>
    </row>
    <row r="25" spans="1:18" s="76" customFormat="1" ht="15.6" hidden="1" x14ac:dyDescent="0.3">
      <c r="A25" s="74" t="s">
        <v>448</v>
      </c>
      <c r="B25" s="99"/>
      <c r="C25" s="101"/>
      <c r="D25" s="101"/>
      <c r="E25" s="79">
        <f t="shared" si="0"/>
        <v>0</v>
      </c>
      <c r="F25" s="101"/>
      <c r="G25" s="101"/>
      <c r="H25" s="101"/>
      <c r="I25" s="79">
        <f t="shared" si="1"/>
        <v>0</v>
      </c>
      <c r="J25" s="101"/>
      <c r="K25" s="101"/>
      <c r="L25" s="101"/>
      <c r="M25" s="79">
        <f t="shared" si="2"/>
        <v>0</v>
      </c>
      <c r="N25" s="101"/>
      <c r="O25" s="101"/>
      <c r="P25" s="101"/>
      <c r="Q25" s="79">
        <f t="shared" si="3"/>
        <v>0</v>
      </c>
      <c r="R25" s="80">
        <f t="shared" si="4"/>
        <v>0</v>
      </c>
    </row>
    <row r="26" spans="1:18" s="76" customFormat="1" ht="15.6" hidden="1" x14ac:dyDescent="0.3">
      <c r="A26" s="74" t="s">
        <v>449</v>
      </c>
      <c r="B26" s="99"/>
      <c r="C26" s="101"/>
      <c r="D26" s="101"/>
      <c r="E26" s="79">
        <f t="shared" si="0"/>
        <v>0</v>
      </c>
      <c r="F26" s="101"/>
      <c r="G26" s="101"/>
      <c r="H26" s="101"/>
      <c r="I26" s="79">
        <f t="shared" si="1"/>
        <v>0</v>
      </c>
      <c r="J26" s="101"/>
      <c r="K26" s="101"/>
      <c r="L26" s="101"/>
      <c r="M26" s="79">
        <f t="shared" si="2"/>
        <v>0</v>
      </c>
      <c r="N26" s="101"/>
      <c r="O26" s="101"/>
      <c r="P26" s="101"/>
      <c r="Q26" s="79">
        <f t="shared" si="3"/>
        <v>0</v>
      </c>
      <c r="R26" s="80">
        <f t="shared" si="4"/>
        <v>0</v>
      </c>
    </row>
    <row r="27" spans="1:18" s="67" customFormat="1" ht="15.6" x14ac:dyDescent="0.3">
      <c r="A27" s="74" t="s">
        <v>450</v>
      </c>
      <c r="B27" s="99">
        <v>33245</v>
      </c>
      <c r="C27" s="99">
        <v>19656</v>
      </c>
      <c r="D27" s="99"/>
      <c r="E27" s="90">
        <f t="shared" si="0"/>
        <v>52901</v>
      </c>
      <c r="F27" s="99"/>
      <c r="G27" s="99"/>
      <c r="H27" s="99"/>
      <c r="I27" s="79">
        <f t="shared" si="1"/>
        <v>0</v>
      </c>
      <c r="J27" s="99"/>
      <c r="K27" s="99"/>
      <c r="L27" s="99"/>
      <c r="M27" s="79">
        <f t="shared" si="2"/>
        <v>0</v>
      </c>
      <c r="N27" s="99"/>
      <c r="O27" s="99"/>
      <c r="P27" s="99"/>
      <c r="Q27" s="79">
        <f t="shared" si="3"/>
        <v>0</v>
      </c>
      <c r="R27" s="80">
        <f t="shared" si="4"/>
        <v>52901</v>
      </c>
    </row>
    <row r="28" spans="1:18" s="67" customFormat="1" ht="15.6" x14ac:dyDescent="0.3">
      <c r="A28" s="74" t="s">
        <v>451</v>
      </c>
      <c r="B28" s="99">
        <v>8826</v>
      </c>
      <c r="C28" s="99">
        <v>18629</v>
      </c>
      <c r="D28" s="99"/>
      <c r="E28" s="90">
        <f t="shared" si="0"/>
        <v>27455</v>
      </c>
      <c r="F28" s="99"/>
      <c r="G28" s="99"/>
      <c r="H28" s="99"/>
      <c r="I28" s="79">
        <f t="shared" si="1"/>
        <v>0</v>
      </c>
      <c r="J28" s="99"/>
      <c r="K28" s="99"/>
      <c r="L28" s="99"/>
      <c r="M28" s="79">
        <f t="shared" si="2"/>
        <v>0</v>
      </c>
      <c r="N28" s="99"/>
      <c r="O28" s="99"/>
      <c r="P28" s="99"/>
      <c r="Q28" s="79">
        <f t="shared" si="3"/>
        <v>0</v>
      </c>
      <c r="R28" s="80">
        <f t="shared" si="4"/>
        <v>27455</v>
      </c>
    </row>
    <row r="29" spans="1:18" s="76" customFormat="1" ht="15.6" x14ac:dyDescent="0.3">
      <c r="A29" s="77" t="s">
        <v>452</v>
      </c>
      <c r="B29" s="103">
        <f t="shared" ref="B29:P29" si="6">B30+B31+B32+B33</f>
        <v>0</v>
      </c>
      <c r="C29" s="103">
        <f t="shared" si="6"/>
        <v>0</v>
      </c>
      <c r="D29" s="103">
        <f t="shared" si="6"/>
        <v>0</v>
      </c>
      <c r="E29" s="79">
        <f t="shared" si="0"/>
        <v>0</v>
      </c>
      <c r="F29" s="103">
        <f t="shared" si="6"/>
        <v>0</v>
      </c>
      <c r="G29" s="103">
        <f t="shared" si="6"/>
        <v>0</v>
      </c>
      <c r="H29" s="103">
        <f t="shared" si="6"/>
        <v>0</v>
      </c>
      <c r="I29" s="79">
        <f t="shared" si="1"/>
        <v>0</v>
      </c>
      <c r="J29" s="103">
        <f t="shared" si="6"/>
        <v>0</v>
      </c>
      <c r="K29" s="103">
        <f t="shared" si="6"/>
        <v>0</v>
      </c>
      <c r="L29" s="103">
        <f t="shared" si="6"/>
        <v>0</v>
      </c>
      <c r="M29" s="79">
        <f t="shared" si="2"/>
        <v>0</v>
      </c>
      <c r="N29" s="103">
        <f t="shared" si="6"/>
        <v>0</v>
      </c>
      <c r="O29" s="103">
        <f t="shared" si="6"/>
        <v>0</v>
      </c>
      <c r="P29" s="103">
        <f t="shared" si="6"/>
        <v>0</v>
      </c>
      <c r="Q29" s="79">
        <f t="shared" si="3"/>
        <v>0</v>
      </c>
      <c r="R29" s="80">
        <f t="shared" si="4"/>
        <v>0</v>
      </c>
    </row>
    <row r="30" spans="1:18" s="67" customFormat="1" ht="15.6" hidden="1" x14ac:dyDescent="0.3">
      <c r="A30" s="74" t="s">
        <v>453</v>
      </c>
      <c r="B30" s="97"/>
      <c r="C30" s="97"/>
      <c r="D30" s="97"/>
      <c r="E30" s="90">
        <f t="shared" si="0"/>
        <v>0</v>
      </c>
      <c r="F30" s="97"/>
      <c r="G30" s="97"/>
      <c r="H30" s="97"/>
      <c r="I30" s="90">
        <f t="shared" si="1"/>
        <v>0</v>
      </c>
      <c r="J30" s="97"/>
      <c r="K30" s="97"/>
      <c r="L30" s="97"/>
      <c r="M30" s="90">
        <f t="shared" si="2"/>
        <v>0</v>
      </c>
      <c r="N30" s="97"/>
      <c r="O30" s="97"/>
      <c r="P30" s="97"/>
      <c r="Q30" s="90">
        <f t="shared" si="3"/>
        <v>0</v>
      </c>
      <c r="R30" s="91">
        <f t="shared" si="4"/>
        <v>0</v>
      </c>
    </row>
    <row r="31" spans="1:18" s="67" customFormat="1" ht="15.6" hidden="1" x14ac:dyDescent="0.3">
      <c r="A31" s="74" t="s">
        <v>454</v>
      </c>
      <c r="B31" s="97"/>
      <c r="C31" s="97"/>
      <c r="D31" s="97"/>
      <c r="E31" s="90">
        <f t="shared" si="0"/>
        <v>0</v>
      </c>
      <c r="F31" s="97"/>
      <c r="G31" s="97"/>
      <c r="H31" s="97"/>
      <c r="I31" s="90">
        <f t="shared" si="1"/>
        <v>0</v>
      </c>
      <c r="J31" s="97"/>
      <c r="K31" s="97"/>
      <c r="L31" s="97"/>
      <c r="M31" s="90">
        <f t="shared" si="2"/>
        <v>0</v>
      </c>
      <c r="N31" s="97"/>
      <c r="O31" s="97"/>
      <c r="P31" s="97"/>
      <c r="Q31" s="90">
        <f t="shared" si="3"/>
        <v>0</v>
      </c>
      <c r="R31" s="91">
        <f t="shared" si="4"/>
        <v>0</v>
      </c>
    </row>
    <row r="32" spans="1:18" s="67" customFormat="1" ht="15.6" hidden="1" x14ac:dyDescent="0.3">
      <c r="A32" s="74" t="s">
        <v>455</v>
      </c>
      <c r="B32" s="97"/>
      <c r="C32" s="97"/>
      <c r="D32" s="97"/>
      <c r="E32" s="90">
        <f t="shared" si="0"/>
        <v>0</v>
      </c>
      <c r="F32" s="97"/>
      <c r="G32" s="97"/>
      <c r="H32" s="97"/>
      <c r="I32" s="90">
        <f t="shared" si="1"/>
        <v>0</v>
      </c>
      <c r="J32" s="97"/>
      <c r="K32" s="97"/>
      <c r="L32" s="97"/>
      <c r="M32" s="90">
        <f t="shared" si="2"/>
        <v>0</v>
      </c>
      <c r="N32" s="97"/>
      <c r="O32" s="97"/>
      <c r="P32" s="97"/>
      <c r="Q32" s="90">
        <f t="shared" si="3"/>
        <v>0</v>
      </c>
      <c r="R32" s="91">
        <f t="shared" si="4"/>
        <v>0</v>
      </c>
    </row>
    <row r="33" spans="1:18" s="67" customFormat="1" ht="15.6" hidden="1" x14ac:dyDescent="0.3">
      <c r="A33" s="74" t="s">
        <v>456</v>
      </c>
      <c r="B33" s="97"/>
      <c r="C33" s="97"/>
      <c r="D33" s="97"/>
      <c r="E33" s="90">
        <f t="shared" si="0"/>
        <v>0</v>
      </c>
      <c r="F33" s="97"/>
      <c r="G33" s="97"/>
      <c r="H33" s="97"/>
      <c r="I33" s="90">
        <f t="shared" si="1"/>
        <v>0</v>
      </c>
      <c r="J33" s="97"/>
      <c r="K33" s="97"/>
      <c r="L33" s="97"/>
      <c r="M33" s="90">
        <f t="shared" si="2"/>
        <v>0</v>
      </c>
      <c r="N33" s="97"/>
      <c r="O33" s="97"/>
      <c r="P33" s="97"/>
      <c r="Q33" s="90">
        <f t="shared" si="3"/>
        <v>0</v>
      </c>
      <c r="R33" s="91">
        <f t="shared" si="4"/>
        <v>0</v>
      </c>
    </row>
    <row r="34" spans="1:18" s="76" customFormat="1" ht="15.6" x14ac:dyDescent="0.3">
      <c r="A34" s="77" t="s">
        <v>457</v>
      </c>
      <c r="B34" s="103">
        <f>B35+B36+B37+B38</f>
        <v>0</v>
      </c>
      <c r="C34" s="103">
        <f>C35+C36+C37+C38</f>
        <v>5894</v>
      </c>
      <c r="D34" s="103">
        <f t="shared" ref="D34:P34" si="7">D35+D36</f>
        <v>0</v>
      </c>
      <c r="E34" s="79">
        <f t="shared" si="0"/>
        <v>5894</v>
      </c>
      <c r="F34" s="103">
        <f t="shared" si="7"/>
        <v>0</v>
      </c>
      <c r="G34" s="103">
        <f t="shared" si="7"/>
        <v>0</v>
      </c>
      <c r="H34" s="103">
        <f t="shared" si="7"/>
        <v>0</v>
      </c>
      <c r="I34" s="79">
        <f t="shared" si="1"/>
        <v>0</v>
      </c>
      <c r="J34" s="103">
        <f t="shared" si="7"/>
        <v>0</v>
      </c>
      <c r="K34" s="103">
        <f t="shared" si="7"/>
        <v>0</v>
      </c>
      <c r="L34" s="103">
        <f t="shared" si="7"/>
        <v>0</v>
      </c>
      <c r="M34" s="79">
        <f t="shared" si="2"/>
        <v>0</v>
      </c>
      <c r="N34" s="103">
        <f>N35+N36+N37</f>
        <v>0</v>
      </c>
      <c r="O34" s="103">
        <f t="shared" si="7"/>
        <v>0</v>
      </c>
      <c r="P34" s="103">
        <f t="shared" si="7"/>
        <v>0</v>
      </c>
      <c r="Q34" s="79">
        <f t="shared" si="3"/>
        <v>0</v>
      </c>
      <c r="R34" s="80">
        <f t="shared" si="4"/>
        <v>5894</v>
      </c>
    </row>
    <row r="35" spans="1:18" s="67" customFormat="1" ht="15.6" hidden="1" x14ac:dyDescent="0.3">
      <c r="A35" s="74" t="s">
        <v>458</v>
      </c>
      <c r="B35" s="97"/>
      <c r="C35" s="97"/>
      <c r="D35" s="97"/>
      <c r="E35" s="90">
        <f t="shared" si="0"/>
        <v>0</v>
      </c>
      <c r="F35" s="97"/>
      <c r="G35" s="97"/>
      <c r="H35" s="97"/>
      <c r="I35" s="90">
        <f t="shared" si="1"/>
        <v>0</v>
      </c>
      <c r="J35" s="97"/>
      <c r="K35" s="97"/>
      <c r="L35" s="97"/>
      <c r="M35" s="90">
        <f t="shared" si="2"/>
        <v>0</v>
      </c>
      <c r="N35" s="97"/>
      <c r="O35" s="97"/>
      <c r="P35" s="97"/>
      <c r="Q35" s="90">
        <f t="shared" si="3"/>
        <v>0</v>
      </c>
      <c r="R35" s="91">
        <f t="shared" si="4"/>
        <v>0</v>
      </c>
    </row>
    <row r="36" spans="1:18" s="67" customFormat="1" ht="15.6" hidden="1" x14ac:dyDescent="0.3">
      <c r="A36" s="74" t="s">
        <v>459</v>
      </c>
      <c r="B36" s="100"/>
      <c r="C36" s="100"/>
      <c r="D36" s="100"/>
      <c r="E36" s="90">
        <f t="shared" si="0"/>
        <v>0</v>
      </c>
      <c r="F36" s="100"/>
      <c r="G36" s="100"/>
      <c r="H36" s="100"/>
      <c r="I36" s="90">
        <f t="shared" si="1"/>
        <v>0</v>
      </c>
      <c r="J36" s="100"/>
      <c r="K36" s="100"/>
      <c r="L36" s="100"/>
      <c r="M36" s="90">
        <f t="shared" si="2"/>
        <v>0</v>
      </c>
      <c r="N36" s="100"/>
      <c r="O36" s="100"/>
      <c r="P36" s="100"/>
      <c r="Q36" s="90">
        <f>N36+O36+P36</f>
        <v>0</v>
      </c>
      <c r="R36" s="91">
        <f t="shared" si="4"/>
        <v>0</v>
      </c>
    </row>
    <row r="37" spans="1:18" s="67" customFormat="1" ht="15.6" x14ac:dyDescent="0.3">
      <c r="A37" s="74" t="s">
        <v>460</v>
      </c>
      <c r="B37" s="100"/>
      <c r="C37" s="100">
        <v>2655</v>
      </c>
      <c r="D37" s="100"/>
      <c r="E37" s="90">
        <f t="shared" si="0"/>
        <v>2655</v>
      </c>
      <c r="F37" s="100"/>
      <c r="G37" s="100"/>
      <c r="H37" s="100"/>
      <c r="I37" s="90">
        <f t="shared" si="1"/>
        <v>0</v>
      </c>
      <c r="J37" s="100"/>
      <c r="K37" s="100"/>
      <c r="L37" s="100"/>
      <c r="M37" s="90">
        <f t="shared" si="2"/>
        <v>0</v>
      </c>
      <c r="N37" s="100"/>
      <c r="O37" s="100"/>
      <c r="P37" s="100"/>
      <c r="Q37" s="90">
        <f>N37+O37+P37</f>
        <v>0</v>
      </c>
      <c r="R37" s="91">
        <f t="shared" si="4"/>
        <v>2655</v>
      </c>
    </row>
    <row r="38" spans="1:18" s="67" customFormat="1" ht="15.6" x14ac:dyDescent="0.3">
      <c r="A38" s="74" t="s">
        <v>461</v>
      </c>
      <c r="B38" s="100"/>
      <c r="C38" s="100">
        <v>3239</v>
      </c>
      <c r="D38" s="100"/>
      <c r="E38" s="90">
        <f t="shared" si="0"/>
        <v>3239</v>
      </c>
      <c r="F38" s="100"/>
      <c r="G38" s="100"/>
      <c r="H38" s="100"/>
      <c r="I38" s="90">
        <f t="shared" si="1"/>
        <v>0</v>
      </c>
      <c r="J38" s="100"/>
      <c r="K38" s="100"/>
      <c r="L38" s="100"/>
      <c r="M38" s="90">
        <f t="shared" si="2"/>
        <v>0</v>
      </c>
      <c r="N38" s="100"/>
      <c r="O38" s="100"/>
      <c r="P38" s="100"/>
      <c r="Q38" s="90">
        <f>N38+O38+P38</f>
        <v>0</v>
      </c>
      <c r="R38" s="91">
        <f t="shared" si="4"/>
        <v>3239</v>
      </c>
    </row>
    <row r="39" spans="1:18" s="67" customFormat="1" ht="15.6" x14ac:dyDescent="0.3">
      <c r="A39" s="74"/>
      <c r="B39" s="100"/>
      <c r="C39" s="100"/>
      <c r="D39" s="100"/>
      <c r="E39" s="90"/>
      <c r="F39" s="100"/>
      <c r="G39" s="100"/>
      <c r="H39" s="100"/>
      <c r="I39" s="90"/>
      <c r="J39" s="100"/>
      <c r="K39" s="100"/>
      <c r="L39" s="100"/>
      <c r="M39" s="90"/>
      <c r="N39" s="100"/>
      <c r="O39" s="100"/>
      <c r="P39" s="100"/>
      <c r="Q39" s="90"/>
      <c r="R39" s="91"/>
    </row>
    <row r="40" spans="1:18" s="67" customFormat="1" ht="15.6" x14ac:dyDescent="0.3">
      <c r="A40" s="74" t="s">
        <v>462</v>
      </c>
      <c r="B40" s="99">
        <v>91493</v>
      </c>
      <c r="C40" s="99">
        <v>100535</v>
      </c>
      <c r="D40" s="99"/>
      <c r="E40" s="90">
        <f t="shared" si="0"/>
        <v>192028</v>
      </c>
      <c r="F40" s="99"/>
      <c r="G40" s="99"/>
      <c r="H40" s="99"/>
      <c r="I40" s="90">
        <f t="shared" si="1"/>
        <v>0</v>
      </c>
      <c r="J40" s="99"/>
      <c r="K40" s="99"/>
      <c r="L40" s="99"/>
      <c r="M40" s="90">
        <f t="shared" si="2"/>
        <v>0</v>
      </c>
      <c r="N40" s="99"/>
      <c r="O40" s="99"/>
      <c r="P40" s="99"/>
      <c r="Q40" s="90">
        <f t="shared" si="3"/>
        <v>0</v>
      </c>
      <c r="R40" s="91">
        <f t="shared" si="4"/>
        <v>192028</v>
      </c>
    </row>
  </sheetData>
  <pageMargins left="0.70866141732283472" right="0.70866141732283472" top="0.74803149606299213" bottom="0.74803149606299213" header="0.31496062992125984" footer="0.31496062992125984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PAGE-1-8</vt:lpstr>
      <vt:lpstr>PAGE-9</vt:lpstr>
      <vt:lpstr>PAGE-10</vt:lpstr>
      <vt:lpstr>PAGE-11&amp;12</vt:lpstr>
      <vt:lpstr>'PAGE-10'!Print_Area</vt:lpstr>
      <vt:lpstr>'PAGE-11&amp;12'!Print_Area</vt:lpstr>
      <vt:lpstr>'PAGE-1-8'!Print_Area</vt:lpstr>
      <vt:lpstr>'PAGE-9'!Print_Area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2026-06-16T01:17:06Z</dcterms:modified>
</cp:coreProperties>
</file>