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activeTab="3"/>
  </bookViews>
  <sheets>
    <sheet name="PAGE-1-9" sheetId="1" r:id="rId1"/>
    <sheet name="Pg-10" sheetId="2" r:id="rId2"/>
    <sheet name="PAGE-11" sheetId="3" r:id="rId3"/>
    <sheet name="PAGE-12" sheetId="4" r:id="rId4"/>
  </sheets>
  <definedNames>
    <definedName name="_xlnm.Print_Area" localSheetId="2">'PAGE-11'!$A$1:$R$32</definedName>
    <definedName name="_xlnm.Print_Area" localSheetId="0">'PAGE-1-9'!$A$2:$AM$322,'PAGE-1-9'!$A$324:$AM$340</definedName>
    <definedName name="_xlnm.Print_Area" localSheetId="1">'Pg-10'!$A$1:$R$43</definedName>
    <definedName name="_xlnm.Print_Titles" localSheetId="0">'PAGE-1-9'!$1:$1</definedName>
  </definedNames>
  <calcPr calcId="124519"/>
</workbook>
</file>

<file path=xl/calcChain.xml><?xml version="1.0" encoding="utf-8"?>
<calcChain xmlns="http://schemas.openxmlformats.org/spreadsheetml/2006/main">
  <c r="Q31" i="4"/>
  <c r="M31"/>
  <c r="I31"/>
  <c r="E31"/>
  <c r="R31" s="1"/>
  <c r="Q30"/>
  <c r="M30"/>
  <c r="I30"/>
  <c r="E30"/>
  <c r="P29"/>
  <c r="O29"/>
  <c r="N29"/>
  <c r="L29"/>
  <c r="K29"/>
  <c r="J29"/>
  <c r="H29"/>
  <c r="G29"/>
  <c r="F29"/>
  <c r="D29"/>
  <c r="C29"/>
  <c r="B29"/>
  <c r="E29" s="1"/>
  <c r="Q28"/>
  <c r="M28"/>
  <c r="I28"/>
  <c r="E28"/>
  <c r="R28" s="1"/>
  <c r="Q27"/>
  <c r="M27"/>
  <c r="I27"/>
  <c r="E27"/>
  <c r="R27" s="1"/>
  <c r="Q26"/>
  <c r="M26"/>
  <c r="I26"/>
  <c r="E26"/>
  <c r="R26" s="1"/>
  <c r="Q25"/>
  <c r="M25"/>
  <c r="I25"/>
  <c r="E25"/>
  <c r="Q24"/>
  <c r="M24"/>
  <c r="I24"/>
  <c r="E24"/>
  <c r="Q23"/>
  <c r="M23"/>
  <c r="I23"/>
  <c r="E23"/>
  <c r="P22"/>
  <c r="O22"/>
  <c r="N22"/>
  <c r="L22"/>
  <c r="K22"/>
  <c r="J22"/>
  <c r="H22"/>
  <c r="G22"/>
  <c r="F22"/>
  <c r="D22"/>
  <c r="C22"/>
  <c r="B22"/>
  <c r="E22" s="1"/>
  <c r="Q21"/>
  <c r="M21"/>
  <c r="I21"/>
  <c r="E21"/>
  <c r="R21" s="1"/>
  <c r="Q20"/>
  <c r="M20"/>
  <c r="I20"/>
  <c r="E20"/>
  <c r="R20" s="1"/>
  <c r="Q19"/>
  <c r="M19"/>
  <c r="I19"/>
  <c r="E19"/>
  <c r="R19" s="1"/>
  <c r="Q18"/>
  <c r="M18"/>
  <c r="I18"/>
  <c r="E18"/>
  <c r="R18" s="1"/>
  <c r="P17"/>
  <c r="O17"/>
  <c r="N17"/>
  <c r="L17"/>
  <c r="K17"/>
  <c r="J17"/>
  <c r="H17"/>
  <c r="G17"/>
  <c r="F17"/>
  <c r="D17"/>
  <c r="C17"/>
  <c r="B17"/>
  <c r="E17" s="1"/>
  <c r="Q16"/>
  <c r="M16"/>
  <c r="I16"/>
  <c r="E16"/>
  <c r="R16" s="1"/>
  <c r="Q15"/>
  <c r="M15"/>
  <c r="I15"/>
  <c r="E15"/>
  <c r="R15" s="1"/>
  <c r="Q14"/>
  <c r="M14"/>
  <c r="I14"/>
  <c r="E14"/>
  <c r="R14" s="1"/>
  <c r="Q13"/>
  <c r="M13"/>
  <c r="I13"/>
  <c r="E13"/>
  <c r="R13" s="1"/>
  <c r="P12"/>
  <c r="O12"/>
  <c r="N12"/>
  <c r="L12"/>
  <c r="K12"/>
  <c r="J12"/>
  <c r="H12"/>
  <c r="G12"/>
  <c r="F12"/>
  <c r="D12"/>
  <c r="C12"/>
  <c r="B12"/>
  <c r="E12" s="1"/>
  <c r="Q11"/>
  <c r="M11"/>
  <c r="I11"/>
  <c r="E11"/>
  <c r="R11" s="1"/>
  <c r="Q10"/>
  <c r="M10"/>
  <c r="I10"/>
  <c r="E10"/>
  <c r="R10" s="1"/>
  <c r="Q9"/>
  <c r="M9"/>
  <c r="I9"/>
  <c r="E9"/>
  <c r="R9" s="1"/>
  <c r="Q8"/>
  <c r="M8"/>
  <c r="I8"/>
  <c r="E8"/>
  <c r="R8" s="1"/>
  <c r="P7"/>
  <c r="O7"/>
  <c r="N7"/>
  <c r="L7"/>
  <c r="K7"/>
  <c r="J7"/>
  <c r="H7"/>
  <c r="G7"/>
  <c r="F7"/>
  <c r="D7"/>
  <c r="C7"/>
  <c r="B7"/>
  <c r="Q6"/>
  <c r="M6"/>
  <c r="I6"/>
  <c r="E6"/>
  <c r="R6" s="1"/>
  <c r="Q5"/>
  <c r="M5"/>
  <c r="I5"/>
  <c r="E5"/>
  <c r="R5" s="1"/>
  <c r="Q4"/>
  <c r="M4"/>
  <c r="I4"/>
  <c r="E4"/>
  <c r="R4" s="1"/>
  <c r="Q3"/>
  <c r="Q7" s="1"/>
  <c r="M3"/>
  <c r="I3"/>
  <c r="E3"/>
  <c r="E7" s="1"/>
  <c r="P32" i="3"/>
  <c r="O32"/>
  <c r="N32"/>
  <c r="L32"/>
  <c r="K32"/>
  <c r="J32"/>
  <c r="H32"/>
  <c r="G32"/>
  <c r="F32"/>
  <c r="D32"/>
  <c r="C32"/>
  <c r="B32"/>
  <c r="Q31"/>
  <c r="M31"/>
  <c r="I31"/>
  <c r="E31"/>
  <c r="Q30"/>
  <c r="M30"/>
  <c r="I30"/>
  <c r="E30"/>
  <c r="Q29"/>
  <c r="M29"/>
  <c r="I29"/>
  <c r="E29"/>
  <c r="Q28"/>
  <c r="M28"/>
  <c r="I28"/>
  <c r="E28"/>
  <c r="Q27"/>
  <c r="M27"/>
  <c r="I27"/>
  <c r="E27"/>
  <c r="Q26"/>
  <c r="M26"/>
  <c r="I26"/>
  <c r="E26"/>
  <c r="Q25"/>
  <c r="M25"/>
  <c r="I25"/>
  <c r="E25"/>
  <c r="Q24"/>
  <c r="M24"/>
  <c r="I24"/>
  <c r="E24"/>
  <c r="Q23"/>
  <c r="M23"/>
  <c r="I23"/>
  <c r="E23"/>
  <c r="Q22"/>
  <c r="M22"/>
  <c r="I22"/>
  <c r="E22"/>
  <c r="Q21"/>
  <c r="M21"/>
  <c r="I21"/>
  <c r="E21"/>
  <c r="Q20"/>
  <c r="M20"/>
  <c r="I20"/>
  <c r="E20"/>
  <c r="P19"/>
  <c r="O19"/>
  <c r="N19"/>
  <c r="L19"/>
  <c r="K19"/>
  <c r="J19"/>
  <c r="H19"/>
  <c r="G19"/>
  <c r="F19"/>
  <c r="D19"/>
  <c r="C19"/>
  <c r="B19"/>
  <c r="Q18"/>
  <c r="M18"/>
  <c r="I18"/>
  <c r="E18"/>
  <c r="Q17"/>
  <c r="Q19" s="1"/>
  <c r="M17"/>
  <c r="M19" s="1"/>
  <c r="I17"/>
  <c r="E17"/>
  <c r="Q16"/>
  <c r="M16"/>
  <c r="I16"/>
  <c r="E16"/>
  <c r="Q15"/>
  <c r="M15"/>
  <c r="I15"/>
  <c r="E15"/>
  <c r="Q14"/>
  <c r="M14"/>
  <c r="I14"/>
  <c r="E14"/>
  <c r="P13"/>
  <c r="O13"/>
  <c r="N13"/>
  <c r="L13"/>
  <c r="K13"/>
  <c r="J13"/>
  <c r="H13"/>
  <c r="G13"/>
  <c r="F13"/>
  <c r="D13"/>
  <c r="C13"/>
  <c r="B13"/>
  <c r="Q12"/>
  <c r="M12"/>
  <c r="I12"/>
  <c r="E12"/>
  <c r="Q11"/>
  <c r="M11"/>
  <c r="I11"/>
  <c r="E11"/>
  <c r="Q10"/>
  <c r="M10"/>
  <c r="I10"/>
  <c r="E10"/>
  <c r="Q9"/>
  <c r="M9"/>
  <c r="I9"/>
  <c r="E9"/>
  <c r="Q8"/>
  <c r="M8"/>
  <c r="I8"/>
  <c r="E8"/>
  <c r="Q7"/>
  <c r="M7"/>
  <c r="I7"/>
  <c r="E7"/>
  <c r="Q6"/>
  <c r="M6"/>
  <c r="I6"/>
  <c r="E6"/>
  <c r="I13" l="1"/>
  <c r="E13"/>
  <c r="I19"/>
  <c r="I32"/>
  <c r="E19"/>
  <c r="R19" s="1"/>
  <c r="M12" i="4"/>
  <c r="I12"/>
  <c r="R12" s="1"/>
  <c r="Q12"/>
  <c r="I17"/>
  <c r="M7"/>
  <c r="M17"/>
  <c r="R17" s="1"/>
  <c r="M22"/>
  <c r="M29"/>
  <c r="I22"/>
  <c r="I29"/>
  <c r="I7"/>
  <c r="Q17"/>
  <c r="Q22"/>
  <c r="Q29"/>
  <c r="R3"/>
  <c r="R7" s="1"/>
  <c r="Q13" i="3"/>
  <c r="Q32"/>
  <c r="M32"/>
  <c r="M13"/>
  <c r="R7"/>
  <c r="R8"/>
  <c r="R9"/>
  <c r="R10"/>
  <c r="R11"/>
  <c r="R12"/>
  <c r="R14"/>
  <c r="R15"/>
  <c r="R16"/>
  <c r="R17"/>
  <c r="R18"/>
  <c r="R20"/>
  <c r="R21"/>
  <c r="R22"/>
  <c r="R23"/>
  <c r="R24"/>
  <c r="R25"/>
  <c r="R26"/>
  <c r="R27"/>
  <c r="R28"/>
  <c r="R29"/>
  <c r="R30"/>
  <c r="R31"/>
  <c r="E32"/>
  <c r="R32" s="1"/>
  <c r="R6"/>
  <c r="R13" s="1"/>
  <c r="R29" i="4" l="1"/>
  <c r="R22"/>
</calcChain>
</file>

<file path=xl/sharedStrings.xml><?xml version="1.0" encoding="utf-8"?>
<sst xmlns="http://schemas.openxmlformats.org/spreadsheetml/2006/main" count="1149" uniqueCount="463">
  <si>
    <t xml:space="preserve"> </t>
  </si>
  <si>
    <t>-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</si>
  <si>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</si>
  <si>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</si>
  <si>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</si>
  <si>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</si>
  <si>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</si>
  <si>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</si>
  <si>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</si>
  <si>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</si>
  <si>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</si>
  <si>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</si>
  <si>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</si>
  <si>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</si>
  <si>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</si>
  <si>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</si>
  <si>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</si>
  <si>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</si>
  <si>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</si>
  <si>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</si>
  <si>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</si>
  <si>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</si>
  <si>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Norm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</si>
  <si>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</si>
  <si>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</si>
  <si>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</si>
  <si>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</si>
  <si>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</si>
  <si>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</si>
  <si>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</si>
  <si>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</si>
  <si>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</si>
  <si>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</si>
  <si>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</si>
  <si>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Qr.</t>
  </si>
  <si>
    <t>Jan</t>
  </si>
  <si>
    <t>Feb</t>
  </si>
  <si>
    <t>Mar</t>
  </si>
  <si>
    <t>4th Qr.</t>
  </si>
  <si>
    <t>Cum.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</si>
  <si>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</si>
  <si>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</si>
  <si>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</si>
  <si>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</si>
  <si>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</si>
  <si>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</si>
  <si>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</si>
  <si>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</si>
  <si>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</si>
  <si>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</si>
  <si>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</si>
  <si>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</si>
  <si>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</si>
  <si>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</si>
  <si>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H/Coke Yield (+25mm)</t>
  </si>
  <si>
    <t>Breeze Coke Yield</t>
  </si>
  <si>
    <t xml:space="preserve">COAL CHEMICALS 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</si>
  <si>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</si>
  <si>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</si>
  <si>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</si>
  <si>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</si>
  <si>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</si>
  <si>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</si>
  <si>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Coke Screen Loss</t>
  </si>
  <si>
    <t>SINTER PLANT-I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</si>
  <si>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</si>
  <si>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</si>
  <si>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</si>
  <si>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</si>
  <si>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</si>
  <si>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</si>
  <si>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</si>
  <si>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</si>
  <si>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</si>
  <si>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</si>
  <si>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</si>
  <si>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</si>
  <si>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</si>
  <si>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 (DRY)</t>
  </si>
  <si>
    <t>Coke Breeze Cons (WET)</t>
  </si>
  <si>
    <t>Machine Utilisation</t>
  </si>
  <si>
    <t>% on Avl.T.</t>
  </si>
  <si>
    <t>Lime Crusher-Fines</t>
  </si>
  <si>
    <t>-3mm %</t>
  </si>
  <si>
    <t>Coke Crusher-Fines</t>
  </si>
  <si>
    <t>Tumbler Index</t>
  </si>
  <si>
    <t>Plant Return Fines</t>
  </si>
  <si>
    <t>SINTER PLANT - II</t>
  </si>
  <si>
    <t>Limestone Consumption</t>
  </si>
  <si>
    <t>Dolomite Consumption</t>
  </si>
  <si>
    <t>calcined lime</t>
  </si>
  <si>
    <t>N/Coke thro Sinter-Dry</t>
  </si>
  <si>
    <t>Flux (-3mm)</t>
  </si>
  <si>
    <t>Coke Breeze (-3mm)</t>
  </si>
  <si>
    <t>SINTER PLANT - III</t>
  </si>
  <si>
    <t>BLAST FURNACES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</si>
  <si>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</si>
  <si>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</si>
  <si>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</si>
  <si>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</si>
  <si>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</si>
  <si>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</si>
  <si>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</si>
  <si>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</si>
  <si>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</si>
  <si>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</si>
  <si>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</si>
  <si>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</si>
  <si>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/>
  </si>
  <si>
    <t>BF#5 PCI(Dry)</t>
  </si>
  <si>
    <t>PCI - Shop</t>
  </si>
  <si>
    <t>N/C --BF- 1</t>
  </si>
  <si>
    <t>N/C --BF- 4</t>
  </si>
  <si>
    <t>N/C --BF- 5</t>
  </si>
  <si>
    <t>N/C -SHOP</t>
  </si>
  <si>
    <t xml:space="preserve">Coal to H M Ratio 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</si>
  <si>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</si>
  <si>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</si>
  <si>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</si>
  <si>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</si>
  <si>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</si>
  <si>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</si>
  <si>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</si>
  <si>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</si>
  <si>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</si>
  <si>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</si>
  <si>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</si>
  <si>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</si>
  <si>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</si>
  <si>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</si>
  <si>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</si>
  <si>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</si>
  <si>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</si>
  <si>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</si>
  <si>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</si>
  <si>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</si>
  <si>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</si>
  <si>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</si>
  <si>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</si>
  <si>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Oxygen enrchiment %</t>
  </si>
  <si>
    <t>Hot Blast Tempeture</t>
  </si>
  <si>
    <t>SI % IN HOTMETAL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</si>
  <si>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</si>
  <si>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</si>
  <si>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</si>
  <si>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</si>
  <si>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</si>
  <si>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</si>
  <si>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</si>
  <si>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</si>
  <si>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>BF Fuel Rate</t>
  </si>
  <si>
    <t>BF#1</t>
  </si>
  <si>
    <t xml:space="preserve">BF#4 </t>
  </si>
  <si>
    <t>BF#5</t>
  </si>
  <si>
    <t>SHOP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</si>
  <si>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</si>
  <si>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</si>
  <si>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</si>
  <si>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</si>
  <si>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</si>
  <si>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</si>
  <si>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</si>
  <si>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</si>
  <si>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</si>
  <si>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</si>
  <si>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</si>
  <si>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</si>
  <si>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</si>
  <si>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</si>
  <si>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</si>
  <si>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</si>
  <si>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</si>
  <si>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</si>
  <si>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</si>
  <si>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</si>
  <si>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</si>
  <si>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</si>
  <si>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Hrs-mts</t>
  </si>
  <si>
    <t>1:06</t>
  </si>
  <si>
    <t>1:11</t>
  </si>
  <si>
    <t>1:10</t>
  </si>
  <si>
    <t>1:07</t>
  </si>
  <si>
    <t>1:09</t>
  </si>
  <si>
    <t>0:0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</si>
  <si>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</si>
  <si>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</si>
  <si>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</si>
  <si>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</si>
  <si>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</si>
  <si>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</si>
  <si>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</si>
  <si>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</si>
  <si>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</si>
  <si>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</si>
  <si>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>Blow SMS1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</si>
  <si>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</si>
  <si>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</si>
  <si>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</si>
  <si>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</si>
  <si>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</si>
  <si>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</si>
  <si>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Consmn</t>
  </si>
  <si>
    <t>Refractory Consmn.</t>
  </si>
  <si>
    <t xml:space="preserve">Mettalic Yield </t>
  </si>
  <si>
    <t>Blow Weight</t>
  </si>
  <si>
    <t>0:58</t>
  </si>
  <si>
    <t>0:56</t>
  </si>
  <si>
    <t>0:54</t>
  </si>
  <si>
    <t>0:57</t>
  </si>
  <si>
    <t>1:02</t>
  </si>
  <si>
    <t>0:59</t>
  </si>
  <si>
    <t>Oxygen Cons.(BOF II)</t>
  </si>
  <si>
    <t>Oxygen Cons.(CCM II)</t>
  </si>
  <si>
    <t>De Sulphurised. Heats(DS)</t>
  </si>
  <si>
    <t>Nos.</t>
  </si>
  <si>
    <t>Blow SMS2</t>
  </si>
  <si>
    <t xml:space="preserve">RHOB 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</si>
  <si>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</si>
  <si>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</si>
  <si>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</si>
  <si>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</si>
  <si>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</si>
  <si>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</si>
  <si>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</si>
  <si>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Primes (ExclCat-I)</t>
  </si>
  <si>
    <t>Yield - Total</t>
  </si>
  <si>
    <t>Average Slab Weight</t>
  </si>
  <si>
    <t>Mill Availability</t>
  </si>
  <si>
    <t>Util. on Avail. Time</t>
  </si>
  <si>
    <t>Rolling Rate-PLATE</t>
  </si>
  <si>
    <t>T/Hr.</t>
  </si>
  <si>
    <t>NEW PLATE MILL</t>
  </si>
  <si>
    <t>22 mm &amp; above production</t>
  </si>
  <si>
    <t>Normalising  Production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</si>
  <si>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</si>
  <si>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</si>
  <si>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</si>
  <si>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</si>
  <si>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</si>
  <si>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</si>
  <si>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</si>
  <si>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HOT STRIP MILL-2</t>
  </si>
  <si>
    <t>Mill Availability on Cal Hrs</t>
  </si>
  <si>
    <t>Utilisation on Avail. Hrs</t>
  </si>
  <si>
    <t>Nos/Day</t>
  </si>
  <si>
    <t>ERW PIPE PLANT</t>
  </si>
  <si>
    <t>Rejection</t>
  </si>
  <si>
    <t>Yield from HR Coils</t>
  </si>
  <si>
    <t>API Acceptance</t>
  </si>
  <si>
    <t>Utili.on Available Time</t>
  </si>
  <si>
    <t xml:space="preserve">Rolling Rate </t>
  </si>
  <si>
    <t>SW PIPE PLANT</t>
  </si>
  <si>
    <t>_</t>
  </si>
  <si>
    <t>Utili. on Avail. Time</t>
  </si>
  <si>
    <t>COLD ROLLING MILL</t>
  </si>
  <si>
    <t>Acid Cons.in Pick Input</t>
  </si>
  <si>
    <t>Kg/T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</si>
  <si>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</si>
  <si>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</si>
  <si>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</si>
  <si>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</si>
  <si>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</si>
  <si>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</si>
  <si>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SILICON STEEL MILL</t>
  </si>
  <si>
    <t>Yield from HRC-CRNO</t>
  </si>
  <si>
    <t>Acid cons. in AP line</t>
  </si>
  <si>
    <t>REV. MILL Availability On Cal Hrs</t>
  </si>
  <si>
    <t>REV.MILL Utilisation.on Avail Hrs</t>
  </si>
  <si>
    <t>Rolling Rate(Rev Mill)</t>
  </si>
  <si>
    <t>T/Hr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</si>
  <si>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</si>
  <si>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</si>
  <si>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</si>
  <si>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</si>
  <si>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</si>
  <si>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</si>
  <si>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</si>
  <si>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</si>
  <si>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 xml:space="preserve"> C P P - II</t>
  </si>
  <si>
    <t>HEAT &amp; POWER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</si>
  <si>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</si>
  <si>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</si>
  <si>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</si>
  <si>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</si>
  <si>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</si>
  <si>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</si>
  <si>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</si>
  <si>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</si>
  <si>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</si>
  <si>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Slabs Rolled -  HSM2</t>
  </si>
  <si>
    <t>Steam Gen - CPP I</t>
  </si>
  <si>
    <t>Steam Gen. - CPP II</t>
  </si>
  <si>
    <t>Dry Coal Charged</t>
  </si>
  <si>
    <t>KWH</t>
  </si>
  <si>
    <t>CO Gas of 1000 NM3</t>
  </si>
  <si>
    <t>BF#1-  HM Prod.(Incl.GCP)</t>
  </si>
  <si>
    <t>BF#5- 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</si>
  <si>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</si>
  <si>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</si>
  <si>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</si>
  <si>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</si>
  <si>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</si>
  <si>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</si>
  <si>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</si>
  <si>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</si>
  <si>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H.R.Coil-2 Production</t>
  </si>
  <si>
    <t>Tandem Mill</t>
  </si>
  <si>
    <t>Saleable Steel</t>
  </si>
  <si>
    <t>KWH/TSS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</si>
  <si>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</si>
  <si>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</si>
  <si>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</si>
  <si>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</si>
  <si>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</si>
  <si>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</si>
  <si>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</si>
  <si>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GENERAL</t>
  </si>
  <si>
    <t xml:space="preserve">**Energy consumption. </t>
  </si>
  <si>
    <t>G.Cal/TCS</t>
  </si>
  <si>
    <t>H M to Slab Ratio-Total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</si>
  <si>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</si>
  <si>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</si>
  <si>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</si>
  <si>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</si>
  <si>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</si>
  <si>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</si>
  <si>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</si>
  <si>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 xml:space="preserve">Sp. CO2 Emmission </t>
  </si>
  <si>
    <t>T/TCS</t>
  </si>
  <si>
    <t>Labour Productivity</t>
  </si>
  <si>
    <t>TCS/M/Yr</t>
  </si>
  <si>
    <t>BF-I</t>
  </si>
  <si>
    <t>BF-IV</t>
  </si>
  <si>
    <t>BF-V</t>
  </si>
  <si>
    <t>Shop</t>
  </si>
  <si>
    <t>(Tonnes)</t>
  </si>
  <si>
    <t>Statistical Section, RSP.</t>
  </si>
  <si>
    <t xml:space="preserve">   P R O D U C T S</t>
  </si>
  <si>
    <t>1ST QR</t>
  </si>
  <si>
    <t>2ND QR.</t>
  </si>
  <si>
    <t>3RD QR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</si>
  <si>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</si>
  <si>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</si>
  <si>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</si>
  <si>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</si>
  <si>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</si>
  <si>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</si>
  <si>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</si>
  <si>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</si>
  <si>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</si>
  <si>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>BF-1</t>
  </si>
  <si>
    <t xml:space="preserve">BF#5 </t>
  </si>
  <si>
    <t>Tota  Hot Metal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</si>
  <si>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</si>
  <si>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</si>
  <si>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</si>
  <si>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</si>
  <si>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</si>
  <si>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SMS-2/Caster-III</t>
  </si>
  <si>
    <t>SMS-2/Caster-4</t>
  </si>
  <si>
    <t>SMS-II Total</t>
  </si>
  <si>
    <t xml:space="preserve"> Total Crude Steel</t>
  </si>
  <si>
    <t>Total Slabs</t>
  </si>
  <si>
    <t xml:space="preserve">HSM-2 -  Total HR Coils </t>
  </si>
  <si>
    <t>HSM-2-  H R C/S</t>
  </si>
  <si>
    <t>SSL - HR Plates</t>
  </si>
  <si>
    <t>OPM  Plates</t>
  </si>
  <si>
    <t>NPM Plates</t>
  </si>
  <si>
    <t xml:space="preserve"> CRNO Coils</t>
  </si>
  <si>
    <t xml:space="preserve"> ERW Pipes</t>
  </si>
  <si>
    <t xml:space="preserve"> SW Pipes</t>
  </si>
  <si>
    <t>Saleable Steel Total</t>
  </si>
  <si>
    <t xml:space="preserve">       Gr.Slag - Cast House</t>
  </si>
  <si>
    <t>Avg.Power Gen. CPP-I (MW)</t>
  </si>
  <si>
    <t>Avg.Power Gen. CPP-I I  (MW)</t>
  </si>
  <si>
    <t>Avg.Power Gen. CPP-I I I  (MW)</t>
  </si>
  <si>
    <t>Avg.Power Gen. Solar  (MW)</t>
  </si>
  <si>
    <t>Avg.Power Gen. Total (MW)</t>
  </si>
  <si>
    <t>Net drawal from GRIDCO. (MW)</t>
  </si>
  <si>
    <t>RMHP-Despatch</t>
  </si>
  <si>
    <t>With Sinter</t>
  </si>
  <si>
    <t>Without Sinter</t>
  </si>
  <si>
    <t>Sized Ore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</si>
  <si>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</si>
  <si>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</si>
  <si>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</si>
  <si>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</si>
  <si>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</si>
  <si>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</si>
  <si>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</si>
  <si>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</si>
  <si>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</si>
  <si>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</si>
  <si>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</si>
  <si>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</si>
  <si>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</si>
  <si>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</si>
  <si>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</si>
  <si>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</si>
  <si>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>PM  Plates</t>
  </si>
  <si>
    <t xml:space="preserve"> H R C/S</t>
  </si>
  <si>
    <t xml:space="preserve">SSL - HR Plates </t>
  </si>
  <si>
    <t xml:space="preserve"> E R W Pipes</t>
  </si>
  <si>
    <t xml:space="preserve"> S W Pipes</t>
  </si>
  <si>
    <t>CMO Direct despatch</t>
  </si>
  <si>
    <t xml:space="preserve"> Sal.Steel - Road</t>
  </si>
  <si>
    <t>Sal.Steel-Rail</t>
  </si>
  <si>
    <t>Gross Desp. - Road</t>
  </si>
  <si>
    <t>Gross Desp. - Rail</t>
  </si>
  <si>
    <t>Sinter- Total</t>
  </si>
  <si>
    <t>Sinter-BSL&amp;BSP</t>
  </si>
  <si>
    <t>Sinter-DSP</t>
  </si>
  <si>
    <t>COKE-BSP</t>
  </si>
  <si>
    <t>COKE-ISP</t>
  </si>
  <si>
    <t>COKE VSPS</t>
  </si>
  <si>
    <t xml:space="preserve">HR Coil sale   </t>
  </si>
  <si>
    <t xml:space="preserve">  PM Plates</t>
  </si>
  <si>
    <t xml:space="preserve">HR Plate SSL </t>
  </si>
  <si>
    <t xml:space="preserve">NEW  PM Plates </t>
  </si>
  <si>
    <t xml:space="preserve">HR Plate NDL </t>
  </si>
  <si>
    <t>TOTAL EXPORT</t>
  </si>
  <si>
    <t>JACKAL CC SLAB-ASP</t>
  </si>
  <si>
    <t>SPADE  M1//CC SLAB - ASP</t>
  </si>
  <si>
    <t>SPADE M2 FRG SLAB - ASP</t>
  </si>
  <si>
    <t>JACKAL FORGED SLAB-ASP</t>
  </si>
  <si>
    <t>page-12</t>
  </si>
  <si>
    <t>SPP SLABS - TOTAL-OPM</t>
  </si>
  <si>
    <t>JACKAL CC PLATE - SSP</t>
  </si>
  <si>
    <t xml:space="preserve">SPADE  M1//CC  PLATE - SSP </t>
  </si>
  <si>
    <t>2 PI PLATE - SSP</t>
  </si>
  <si>
    <t>SAIL RATH PLATE - SSP</t>
  </si>
  <si>
    <t xml:space="preserve"> PLATE TOTAL - SPP</t>
  </si>
  <si>
    <t>PM SLAB BSP</t>
  </si>
  <si>
    <t>NPM SLAB BSP</t>
  </si>
  <si>
    <t>HSM2 SLAB BSL</t>
  </si>
  <si>
    <t>HSM2 SLAB BSP</t>
  </si>
  <si>
    <t>TOTAL IPT SLAB</t>
  </si>
  <si>
    <t xml:space="preserve"> -BSL</t>
  </si>
  <si>
    <t xml:space="preserve">   -DSP</t>
  </si>
  <si>
    <t xml:space="preserve">  -BSP</t>
  </si>
  <si>
    <t xml:space="preserve">  -HDCG</t>
  </si>
  <si>
    <t>BRMP</t>
  </si>
  <si>
    <t xml:space="preserve"> GIMB</t>
  </si>
  <si>
    <t>MELG</t>
  </si>
  <si>
    <t>M BRZ COKE BSP</t>
  </si>
  <si>
    <t>M BRZ COKE BSL</t>
  </si>
  <si>
    <t>M BRZ COKE VSPS</t>
  </si>
  <si>
    <t>NUT COKE BSP</t>
  </si>
  <si>
    <t xml:space="preserve">PELLET </t>
  </si>
  <si>
    <t>Norm 2026-27</t>
  </si>
  <si>
    <t>COKE OVENS (BATTERY -1-5)</t>
  </si>
  <si>
    <t>COKE OVENS (BATTERY - 6)</t>
  </si>
  <si>
    <t>BLAST FURNACES (Contd.)</t>
  </si>
  <si>
    <t>Heat Cons.Per Ton of:-</t>
  </si>
  <si>
    <t>Elect.Cons.Per Ton of:</t>
  </si>
  <si>
    <t>PRODUCTION  PERFORMANCE - 2026-27</t>
  </si>
  <si>
    <t>Page:-11</t>
  </si>
  <si>
    <t>DESPATCH PERFORMANCE  - 2026-27</t>
  </si>
  <si>
    <t>GROSS DESPATCHES TOTAL</t>
  </si>
  <si>
    <t>TOTAL  SALEABLE STEEL</t>
  </si>
  <si>
    <t xml:space="preserve"> HARD COKE  TOTAL</t>
  </si>
  <si>
    <t xml:space="preserve"> BREEZE COKE TOTAL</t>
  </si>
  <si>
    <t>External Receipt - 2026-27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</si>
</sst>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name val="Times New Roman"/>
      <family val="1"/>
    </font>
    <font>
      <sz val="14"/>
      <name val="Times New Roman"/>
      <family val="1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i/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4"/>
      <color rgb="FFFF0000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0" borderId="0"/>
    <xf numFmtId="0" fontId="3" fillId="0" borderId="0"/>
  </cellStyleXfs>
  <cellXfs count="159">
    <xf numFmtId="0" fontId="0" fillId="0" borderId="0" xfId="0"/>
    <xf numFmtId="1" fontId="6" fillId="0" borderId="0" xfId="0" applyNumberFormat="1" applyFont="1" applyFill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6" fillId="0" borderId="3" xfId="0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 applyProtection="1">
      <alignment horizontal="center" vertical="center"/>
    </xf>
    <xf numFmtId="1" fontId="6" fillId="0" borderId="2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 applyProtection="1">
      <alignment horizontal="center" vertic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right" vertical="center"/>
    </xf>
    <xf numFmtId="0" fontId="3" fillId="0" borderId="0" xfId="0" quotePrefix="1" applyFont="1" applyFill="1" applyBorder="1" applyAlignment="1">
      <alignment horizontal="center" vertical="center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left" vertical="center"/>
    </xf>
    <xf numFmtId="2" fontId="3" fillId="0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 applyProtection="1">
      <alignment horizontal="right" vertical="center"/>
    </xf>
    <xf numFmtId="1" fontId="3" fillId="0" borderId="0" xfId="0" applyNumberFormat="1" applyFont="1" applyFill="1" applyBorder="1" applyAlignment="1" applyProtection="1">
      <alignment horizontal="center" vertical="center"/>
    </xf>
    <xf numFmtId="1" fontId="3" fillId="0" borderId="0" xfId="0" applyNumberFormat="1" applyFont="1" applyFill="1" applyBorder="1"/>
    <xf numFmtId="0" fontId="3" fillId="0" borderId="0" xfId="0" quotePrefix="1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right"/>
    </xf>
    <xf numFmtId="0" fontId="3" fillId="0" borderId="0" xfId="0" applyFont="1" applyFill="1" applyBorder="1" applyAlignment="1">
      <alignment horizontal="center" vertical="top"/>
    </xf>
    <xf numFmtId="164" fontId="3" fillId="0" borderId="0" xfId="0" quotePrefix="1" applyNumberFormat="1" applyFont="1" applyFill="1" applyBorder="1" applyAlignment="1">
      <alignment horizontal="center" vertical="center"/>
    </xf>
    <xf numFmtId="165" fontId="3" fillId="0" borderId="0" xfId="0" quotePrefix="1" applyNumberFormat="1" applyFont="1" applyFill="1" applyBorder="1" applyAlignment="1">
      <alignment horizontal="center" vertical="center"/>
    </xf>
    <xf numFmtId="1" fontId="3" fillId="0" borderId="0" xfId="0" quotePrefix="1" applyNumberFormat="1" applyFont="1" applyFill="1" applyBorder="1" applyAlignment="1">
      <alignment horizontal="center" vertical="center"/>
    </xf>
    <xf numFmtId="2" fontId="3" fillId="0" borderId="0" xfId="0" quotePrefix="1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/>
    </xf>
    <xf numFmtId="165" fontId="7" fillId="0" borderId="0" xfId="0" applyNumberFormat="1" applyFont="1" applyFill="1" applyBorder="1"/>
    <xf numFmtId="165" fontId="7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2" fontId="7" fillId="0" borderId="0" xfId="0" applyNumberFormat="1" applyFont="1" applyFill="1" applyBorder="1"/>
    <xf numFmtId="2" fontId="7" fillId="0" borderId="0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 applyProtection="1">
      <alignment horizontal="center" vertical="center"/>
    </xf>
    <xf numFmtId="2" fontId="3" fillId="0" borderId="0" xfId="0" applyNumberFormat="1" applyFont="1" applyFill="1" applyBorder="1" applyAlignment="1"/>
    <xf numFmtId="2" fontId="8" fillId="0" borderId="0" xfId="0" applyNumberFormat="1" applyFont="1" applyFill="1" applyBorder="1" applyAlignment="1"/>
    <xf numFmtId="164" fontId="3" fillId="0" borderId="0" xfId="0" applyNumberFormat="1" applyFont="1" applyFill="1" applyBorder="1" applyAlignment="1"/>
    <xf numFmtId="1" fontId="3" fillId="0" borderId="0" xfId="0" applyNumberFormat="1" applyFont="1" applyFill="1" applyBorder="1" applyAlignment="1"/>
    <xf numFmtId="1" fontId="8" fillId="0" borderId="0" xfId="0" applyNumberFormat="1" applyFont="1" applyFill="1" applyBorder="1" applyAlignment="1"/>
    <xf numFmtId="0" fontId="3" fillId="0" borderId="0" xfId="0" applyFont="1" applyFill="1" applyBorder="1" applyAlignment="1">
      <alignment vertical="center"/>
    </xf>
    <xf numFmtId="2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/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 applyProtection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17" fontId="9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 applyProtection="1">
      <alignment horizontal="left" vertical="center"/>
    </xf>
    <xf numFmtId="0" fontId="9" fillId="0" borderId="0" xfId="0" applyFont="1" applyFill="1" applyBorder="1"/>
    <xf numFmtId="164" fontId="9" fillId="0" borderId="0" xfId="0" applyNumberFormat="1" applyFont="1" applyFill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164" fontId="9" fillId="0" borderId="0" xfId="1" applyNumberFormat="1" applyFont="1" applyFill="1" applyBorder="1" applyAlignment="1">
      <alignment horizontal="center" vertical="center"/>
    </xf>
    <xf numFmtId="1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/>
    </xf>
    <xf numFmtId="0" fontId="9" fillId="0" borderId="0" xfId="0" quotePrefix="1" applyFont="1" applyFill="1" applyBorder="1" applyAlignment="1">
      <alignment horizontal="center" vertical="center"/>
    </xf>
    <xf numFmtId="1" fontId="9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vertical="top"/>
    </xf>
    <xf numFmtId="165" fontId="9" fillId="0" borderId="0" xfId="0" applyNumberFormat="1" applyFont="1" applyFill="1" applyBorder="1" applyAlignment="1">
      <alignment horizontal="center" vertical="center"/>
    </xf>
    <xf numFmtId="165" fontId="9" fillId="0" borderId="0" xfId="0" quotePrefix="1" applyNumberFormat="1" applyFont="1" applyFill="1" applyBorder="1" applyAlignment="1">
      <alignment horizontal="center" vertical="center"/>
    </xf>
    <xf numFmtId="1" fontId="9" fillId="0" borderId="0" xfId="0" quotePrefix="1" applyNumberFormat="1" applyFont="1" applyFill="1" applyBorder="1" applyAlignment="1">
      <alignment horizontal="center" vertical="center"/>
    </xf>
    <xf numFmtId="1" fontId="9" fillId="0" borderId="0" xfId="2" applyNumberFormat="1" applyFont="1" applyFill="1" applyBorder="1" applyAlignment="1">
      <alignment horizontal="center" vertical="center"/>
    </xf>
    <xf numFmtId="2" fontId="9" fillId="0" borderId="0" xfId="0" quotePrefix="1" applyNumberFormat="1" applyFont="1" applyFill="1" applyBorder="1" applyAlignment="1">
      <alignment horizontal="center" vertical="center"/>
    </xf>
    <xf numFmtId="164" fontId="9" fillId="0" borderId="0" xfId="0" applyNumberFormat="1" applyFont="1" applyFill="1" applyBorder="1" applyAlignment="1">
      <alignment horizontal="center"/>
    </xf>
    <xf numFmtId="2" fontId="9" fillId="0" borderId="0" xfId="1" applyNumberFormat="1" applyFont="1" applyFill="1" applyBorder="1" applyAlignment="1">
      <alignment horizontal="center" vertical="center"/>
    </xf>
    <xf numFmtId="20" fontId="9" fillId="0" borderId="0" xfId="0" quotePrefix="1" applyNumberFormat="1" applyFont="1" applyFill="1" applyBorder="1" applyAlignment="1">
      <alignment horizontal="center" vertical="center"/>
    </xf>
    <xf numFmtId="20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/>
    </xf>
    <xf numFmtId="2" fontId="9" fillId="0" borderId="0" xfId="0" applyNumberFormat="1" applyFont="1" applyFill="1" applyBorder="1" applyAlignment="1" applyProtection="1">
      <alignment horizontal="center" vertical="center"/>
    </xf>
    <xf numFmtId="2" fontId="9" fillId="0" borderId="0" xfId="0" applyNumberFormat="1" applyFont="1" applyFill="1" applyBorder="1" applyAlignment="1">
      <alignment horizontal="center"/>
    </xf>
    <xf numFmtId="165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13" fillId="0" borderId="0" xfId="0" applyFont="1" applyFill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right" vertical="center"/>
    </xf>
    <xf numFmtId="0" fontId="9" fillId="0" borderId="0" xfId="0" applyFont="1" applyFill="1" applyBorder="1" applyAlignment="1">
      <alignment horizontal="right" vertical="center"/>
    </xf>
    <xf numFmtId="1" fontId="9" fillId="0" borderId="0" xfId="0" applyNumberFormat="1" applyFont="1" applyFill="1" applyBorder="1" applyAlignment="1" applyProtection="1">
      <alignment horizontal="right" vertical="center"/>
    </xf>
    <xf numFmtId="0" fontId="9" fillId="0" borderId="0" xfId="0" applyFont="1" applyFill="1" applyBorder="1" applyAlignment="1" applyProtection="1">
      <alignment horizontal="right"/>
    </xf>
    <xf numFmtId="0" fontId="9" fillId="0" borderId="0" xfId="0" applyFont="1" applyFill="1" applyBorder="1" applyAlignment="1">
      <alignment horizontal="right"/>
    </xf>
    <xf numFmtId="0" fontId="1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13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 applyProtection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 applyProtection="1">
      <alignment horizontal="right" vertical="center"/>
    </xf>
    <xf numFmtId="164" fontId="9" fillId="0" borderId="1" xfId="0" applyNumberFormat="1" applyFont="1" applyFill="1" applyBorder="1" applyAlignment="1" applyProtection="1">
      <alignment horizontal="center" vertical="center"/>
    </xf>
    <xf numFmtId="1" fontId="9" fillId="0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>
      <alignment horizontal="right" vertical="center"/>
    </xf>
    <xf numFmtId="0" fontId="5" fillId="0" borderId="0" xfId="0" applyFont="1" applyFill="1" applyAlignment="1">
      <alignment horizontal="center" vertical="center"/>
    </xf>
    <xf numFmtId="0" fontId="9" fillId="0" borderId="1" xfId="4" applyFont="1" applyFill="1" applyBorder="1" applyAlignment="1" applyProtection="1">
      <alignment horizontal="right" vertical="center"/>
    </xf>
    <xf numFmtId="1" fontId="5" fillId="0" borderId="0" xfId="0" applyNumberFormat="1" applyFont="1" applyFill="1" applyBorder="1" applyAlignment="1">
      <alignment vertical="center"/>
    </xf>
    <xf numFmtId="0" fontId="9" fillId="0" borderId="1" xfId="0" applyNumberFormat="1" applyFont="1" applyFill="1" applyBorder="1" applyAlignment="1" applyProtection="1">
      <alignment horizontal="center"/>
    </xf>
    <xf numFmtId="2" fontId="9" fillId="0" borderId="1" xfId="0" applyNumberFormat="1" applyFont="1" applyFill="1" applyBorder="1" applyAlignment="1" applyProtection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166" fontId="9" fillId="0" borderId="0" xfId="0" applyNumberFormat="1" applyFont="1" applyFill="1" applyAlignment="1" applyProtection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11" fillId="0" borderId="1" xfId="0" applyFont="1" applyFill="1" applyBorder="1" applyAlignment="1" applyProtection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right"/>
    </xf>
    <xf numFmtId="1" fontId="17" fillId="0" borderId="1" xfId="0" applyNumberFormat="1" applyFont="1" applyFill="1" applyBorder="1" applyAlignment="1">
      <alignment horizontal="center"/>
    </xf>
    <xf numFmtId="1" fontId="18" fillId="0" borderId="1" xfId="0" applyNumberFormat="1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/>
    </xf>
    <xf numFmtId="1" fontId="19" fillId="0" borderId="1" xfId="0" applyNumberFormat="1" applyFont="1" applyFill="1" applyBorder="1" applyAlignment="1">
      <alignment horizontal="center"/>
    </xf>
    <xf numFmtId="1" fontId="15" fillId="0" borderId="1" xfId="0" applyNumberFormat="1" applyFont="1" applyFill="1" applyBorder="1" applyAlignment="1">
      <alignment horizontal="center"/>
    </xf>
    <xf numFmtId="1" fontId="15" fillId="0" borderId="0" xfId="0" applyNumberFormat="1" applyFont="1" applyFill="1"/>
    <xf numFmtId="1" fontId="16" fillId="0" borderId="0" xfId="0" applyNumberFormat="1" applyFont="1" applyFill="1"/>
    <xf numFmtId="0" fontId="16" fillId="0" borderId="0" xfId="0" applyFont="1" applyFill="1"/>
    <xf numFmtId="0" fontId="15" fillId="0" borderId="0" xfId="0" applyFont="1" applyFill="1"/>
    <xf numFmtId="0" fontId="20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5" fillId="0" borderId="1" xfId="0" applyFont="1" applyFill="1" applyBorder="1" applyAlignment="1">
      <alignment horizontal="right"/>
    </xf>
    <xf numFmtId="164" fontId="4" fillId="0" borderId="1" xfId="0" applyNumberFormat="1" applyFont="1" applyFill="1" applyBorder="1" applyAlignment="1">
      <alignment horizontal="center" vertical="center"/>
    </xf>
    <xf numFmtId="164" fontId="18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165" fontId="4" fillId="0" borderId="1" xfId="0" applyNumberFormat="1" applyFont="1" applyFill="1" applyBorder="1" applyAlignment="1">
      <alignment horizontal="center"/>
    </xf>
    <xf numFmtId="0" fontId="15" fillId="0" borderId="1" xfId="0" applyFont="1" applyFill="1" applyBorder="1" applyAlignment="1"/>
    <xf numFmtId="165" fontId="9" fillId="0" borderId="1" xfId="0" applyNumberFormat="1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/>
    </xf>
    <xf numFmtId="1" fontId="18" fillId="0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1" fontId="15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right"/>
    </xf>
    <xf numFmtId="0" fontId="15" fillId="0" borderId="1" xfId="0" applyFont="1" applyFill="1" applyBorder="1" applyAlignment="1">
      <alignment horizontal="center"/>
    </xf>
    <xf numFmtId="0" fontId="15" fillId="0" borderId="0" xfId="0" applyFont="1" applyFill="1" applyBorder="1"/>
    <xf numFmtId="0" fontId="19" fillId="0" borderId="0" xfId="0" applyFont="1" applyFill="1" applyBorder="1"/>
    <xf numFmtId="0" fontId="19" fillId="0" borderId="0" xfId="0" applyFont="1" applyFill="1"/>
    <xf numFmtId="1" fontId="9" fillId="0" borderId="0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 applyProtection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Fill="1" applyBorder="1" applyAlignment="1" applyProtection="1">
      <alignment horizontal="center"/>
    </xf>
    <xf numFmtId="1" fontId="9" fillId="0" borderId="1" xfId="0" applyNumberFormat="1" applyFont="1" applyBorder="1" applyAlignment="1" applyProtection="1">
      <alignment horizontal="right" vertical="center"/>
    </xf>
    <xf numFmtId="1" fontId="9" fillId="0" borderId="1" xfId="0" applyNumberFormat="1" applyFont="1" applyFill="1" applyBorder="1" applyAlignment="1" applyProtection="1">
      <alignment horizontal="right" vertical="center"/>
    </xf>
    <xf numFmtId="1" fontId="9" fillId="0" borderId="1" xfId="0" applyNumberFormat="1" applyFont="1" applyFill="1" applyBorder="1" applyAlignment="1">
      <alignment horizontal="right" vertical="center"/>
    </xf>
    <xf numFmtId="1" fontId="9" fillId="0" borderId="1" xfId="0" applyNumberFormat="1" applyFont="1" applyBorder="1" applyAlignment="1">
      <alignment horizontal="right" vertical="center"/>
    </xf>
    <xf numFmtId="0" fontId="11" fillId="0" borderId="0" xfId="0" applyFont="1" applyFill="1" applyBorder="1" applyAlignment="1">
      <alignment horizontal="center" vertical="center"/>
    </xf>
    <xf numFmtId="1" fontId="11" fillId="0" borderId="0" xfId="0" applyNumberFormat="1" applyFont="1" applyFill="1" applyBorder="1" applyAlignment="1">
      <alignment horizontal="left" vertical="center"/>
    </xf>
    <xf numFmtId="1" fontId="9" fillId="0" borderId="1" xfId="0" applyNumberFormat="1" applyFont="1" applyBorder="1" applyAlignment="1" applyProtection="1">
      <alignment horizontal="left" vertical="center"/>
    </xf>
    <xf numFmtId="1" fontId="6" fillId="0" borderId="5" xfId="0" applyNumberFormat="1" applyFont="1" applyBorder="1" applyAlignment="1">
      <alignment horizontal="center" vertical="center"/>
    </xf>
  </cellXfs>
  <cellStyles count="5">
    <cellStyle name="Good" xfId="2" builtinId="26"/>
    <cellStyle name="Normal" xfId="0" builtinId="0"/>
    <cellStyle name="Normal 2" xfId="4"/>
    <cellStyle name="Normal 5" xfId="3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M345"/>
  <sheetViews>
    <sheetView topLeftCell="A37" workbookViewId="0">
      <selection activeCell="A347" sqref="A347"/>
    </sheetView>
  </sheetViews>
  <sheetFormatPr defaultColWidth="9.109375" defaultRowHeight="13.8"/>
  <cols>
    <col min="1" max="1" width="36.6640625" style="78" bestFit="1" customWidth="1"/>
    <col min="2" max="2" width="11.6640625" style="12" bestFit="1" customWidth="1"/>
    <col min="3" max="19" width="0" style="12" hidden="1" customWidth="1"/>
    <col min="20" max="21" width="8.88671875" style="65" bestFit="1" customWidth="1"/>
    <col min="22" max="22" width="10.33203125" style="65" customWidth="1"/>
    <col min="23" max="23" width="8.5546875" style="65" bestFit="1" customWidth="1"/>
    <col min="24" max="24" width="9" style="65" bestFit="1" customWidth="1"/>
    <col min="25" max="25" width="8.5546875" style="65" bestFit="1" customWidth="1"/>
    <col min="26" max="26" width="8.5546875" style="65" hidden="1" customWidth="1"/>
    <col min="27" max="27" width="12.44140625" style="65" hidden="1" customWidth="1"/>
    <col min="28" max="38" width="8.5546875" style="65" hidden="1" customWidth="1"/>
    <col min="39" max="39" width="8.5546875" style="65" bestFit="1" customWidth="1"/>
    <col min="40" max="66" width="9.109375" style="11"/>
    <col min="67" max="67" width="9.109375" style="39"/>
    <col min="68" max="68" width="9.109375" style="16"/>
    <col min="69" max="79" width="9.109375" style="17"/>
    <col min="80" max="16384" width="9.109375" style="11"/>
  </cols>
  <sheetData>
    <row r="1" spans="1:79">
      <c r="A1" s="53"/>
      <c r="B1" s="18" t="s">
        <v>2</v>
      </c>
      <c r="C1" s="13" t="s">
        <v>3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3" t="s">
        <v>9</v>
      </c>
      <c r="J1" s="13" t="s">
        <v>10</v>
      </c>
      <c r="K1" s="13" t="s">
        <v>11</v>
      </c>
      <c r="L1" s="13" t="s">
        <v>12</v>
      </c>
      <c r="M1" s="13" t="s">
        <v>13</v>
      </c>
      <c r="N1" s="13" t="s">
        <v>14</v>
      </c>
      <c r="O1" s="13" t="s">
        <v>15</v>
      </c>
      <c r="P1" s="13" t="s">
        <v>16</v>
      </c>
      <c r="Q1" s="13" t="s">
        <v>17</v>
      </c>
      <c r="R1" s="13" t="s">
        <v>18</v>
      </c>
      <c r="S1" s="13" t="s">
        <v>19</v>
      </c>
      <c r="T1" s="54" t="s">
        <v>20</v>
      </c>
      <c r="U1" s="54" t="s">
        <v>21</v>
      </c>
      <c r="V1" s="55" t="s">
        <v>449</v>
      </c>
      <c r="W1" s="56">
        <v>46113</v>
      </c>
      <c r="X1" s="56">
        <v>46143</v>
      </c>
      <c r="Y1" s="56">
        <v>46174</v>
      </c>
      <c r="Z1" s="54" t="s">
        <v>26</v>
      </c>
      <c r="AA1" s="54" t="s">
        <v>27</v>
      </c>
      <c r="AB1" s="54" t="s">
        <v>28</v>
      </c>
      <c r="AC1" s="54" t="s">
        <v>29</v>
      </c>
      <c r="AD1" s="54" t="s">
        <v>30</v>
      </c>
      <c r="AE1" s="54" t="s">
        <v>31</v>
      </c>
      <c r="AF1" s="54" t="s">
        <v>32</v>
      </c>
      <c r="AG1" s="54" t="s">
        <v>33</v>
      </c>
      <c r="AH1" s="54" t="s">
        <v>34</v>
      </c>
      <c r="AI1" s="54" t="s">
        <v>35</v>
      </c>
      <c r="AJ1" s="54" t="s">
        <v>36</v>
      </c>
      <c r="AK1" s="54" t="s">
        <v>37</v>
      </c>
      <c r="AL1" s="54" t="s">
        <v>38</v>
      </c>
      <c r="AM1" s="54" t="s">
        <v>39</v>
      </c>
      <c r="BO1" s="14"/>
    </row>
    <row r="2" spans="1:79">
      <c r="A2" s="57" t="s">
        <v>450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54"/>
      <c r="U2" s="54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BO2" s="19"/>
    </row>
    <row r="3" spans="1:79" s="48" customFormat="1">
      <c r="A3" s="84" t="s">
        <v>40</v>
      </c>
      <c r="B3" s="13" t="s">
        <v>41</v>
      </c>
      <c r="C3" s="20">
        <v>77.03893350791256</v>
      </c>
      <c r="D3" s="20">
        <v>75.5</v>
      </c>
      <c r="E3" s="13">
        <v>74.709999999999994</v>
      </c>
      <c r="F3" s="20">
        <v>74.333516538718385</v>
      </c>
      <c r="G3" s="20">
        <v>72.648362439426691</v>
      </c>
      <c r="H3" s="20">
        <v>72.73582333696838</v>
      </c>
      <c r="I3" s="20">
        <v>72.492790983727275</v>
      </c>
      <c r="J3" s="20">
        <v>73.751619183543667</v>
      </c>
      <c r="K3" s="20">
        <v>74.302602620496856</v>
      </c>
      <c r="L3" s="20">
        <v>75.195495049252898</v>
      </c>
      <c r="M3" s="20">
        <v>76.788311418479722</v>
      </c>
      <c r="N3" s="20">
        <v>77.526701737605606</v>
      </c>
      <c r="O3" s="20">
        <v>77.681894898791001</v>
      </c>
      <c r="P3" s="20">
        <v>77.306846440572102</v>
      </c>
      <c r="Q3" s="20">
        <v>77.257597045323436</v>
      </c>
      <c r="R3" s="21">
        <v>77.414250419552815</v>
      </c>
      <c r="S3" s="21">
        <v>77.401978849211602</v>
      </c>
      <c r="T3" s="59">
        <v>77.311558132035614</v>
      </c>
      <c r="U3" s="59">
        <v>76.241690017718952</v>
      </c>
      <c r="V3" s="59">
        <v>76.400000000000006</v>
      </c>
      <c r="W3" s="59">
        <v>76.000045998953524</v>
      </c>
      <c r="X3" s="59">
        <v>75.999677801686943</v>
      </c>
      <c r="Y3" s="59">
        <v>76.000144599219169</v>
      </c>
      <c r="Z3" s="59">
        <v>75.999953280033637</v>
      </c>
      <c r="AA3" s="59" t="e">
        <v>#DIV/0!</v>
      </c>
      <c r="AB3" s="59" t="e">
        <v>#DIV/0!</v>
      </c>
      <c r="AC3" s="59" t="e">
        <v>#DIV/0!</v>
      </c>
      <c r="AD3" s="59" t="e">
        <v>#DIV/0!</v>
      </c>
      <c r="AE3" s="59" t="e">
        <v>#DIV/0!</v>
      </c>
      <c r="AF3" s="59" t="e">
        <v>#DIV/0!</v>
      </c>
      <c r="AG3" s="59" t="e">
        <v>#DIV/0!</v>
      </c>
      <c r="AH3" s="59" t="e">
        <v>#DIV/0!</v>
      </c>
      <c r="AI3" s="59" t="e">
        <v>#DIV/0!</v>
      </c>
      <c r="AJ3" s="59" t="e">
        <v>#DIV/0!</v>
      </c>
      <c r="AK3" s="59" t="e">
        <v>#DIV/0!</v>
      </c>
      <c r="AL3" s="59" t="e">
        <v>#DIV/0!</v>
      </c>
      <c r="AM3" s="59">
        <v>75.999953280033637</v>
      </c>
      <c r="BO3" s="14"/>
      <c r="BP3" s="51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</row>
    <row r="4" spans="1:79" s="48" customFormat="1">
      <c r="A4" s="84" t="s">
        <v>42</v>
      </c>
      <c r="B4" s="18" t="s">
        <v>43</v>
      </c>
      <c r="C4" s="20">
        <v>11.285878876361014</v>
      </c>
      <c r="D4" s="20">
        <v>10.79</v>
      </c>
      <c r="E4" s="13">
        <v>10.58</v>
      </c>
      <c r="F4" s="20">
        <v>10.531531116637499</v>
      </c>
      <c r="G4" s="20">
        <v>10.374253197337634</v>
      </c>
      <c r="H4" s="20">
        <v>10.431599857460213</v>
      </c>
      <c r="I4" s="20">
        <v>10.216721829337017</v>
      </c>
      <c r="J4" s="20">
        <v>10.331218356484486</v>
      </c>
      <c r="K4" s="20">
        <v>10.261403202542926</v>
      </c>
      <c r="L4" s="20">
        <v>10.419584785298358</v>
      </c>
      <c r="M4" s="20">
        <v>10.834750388378049</v>
      </c>
      <c r="N4" s="20">
        <v>10.863095021967249</v>
      </c>
      <c r="O4" s="20">
        <v>10.906473029783225</v>
      </c>
      <c r="P4" s="20">
        <v>10.876820096558887</v>
      </c>
      <c r="Q4" s="20">
        <v>10.944045503021686</v>
      </c>
      <c r="R4" s="21">
        <v>11.195826479446286</v>
      </c>
      <c r="S4" s="21">
        <v>11.008953798078091</v>
      </c>
      <c r="T4" s="59">
        <v>11.099677354642415</v>
      </c>
      <c r="U4" s="59">
        <v>11.020903722883578</v>
      </c>
      <c r="V4" s="60">
        <v>10.95</v>
      </c>
      <c r="W4" s="59">
        <v>11.10374586852736</v>
      </c>
      <c r="X4" s="59">
        <v>10.947239152187755</v>
      </c>
      <c r="Y4" s="59">
        <v>10.965190781294826</v>
      </c>
      <c r="Z4" s="59">
        <v>11.005751035804836</v>
      </c>
      <c r="AA4" s="59" t="e">
        <v>#DIV/0!</v>
      </c>
      <c r="AB4" s="59" t="e">
        <v>#DIV/0!</v>
      </c>
      <c r="AC4" s="59" t="e">
        <v>#DIV/0!</v>
      </c>
      <c r="AD4" s="59" t="e">
        <v>#DIV/0!</v>
      </c>
      <c r="AE4" s="59" t="e">
        <v>#DIV/0!</v>
      </c>
      <c r="AF4" s="59" t="e">
        <v>#DIV/0!</v>
      </c>
      <c r="AG4" s="59" t="e">
        <v>#DIV/0!</v>
      </c>
      <c r="AH4" s="59" t="e">
        <v>#DIV/0!</v>
      </c>
      <c r="AI4" s="59" t="e">
        <v>#DIV/0!</v>
      </c>
      <c r="AJ4" s="59" t="e">
        <v>#DIV/0!</v>
      </c>
      <c r="AK4" s="59" t="e">
        <v>#DIV/0!</v>
      </c>
      <c r="AL4" s="59" t="e">
        <v>#DIV/0!</v>
      </c>
      <c r="AM4" s="59">
        <v>11.005751035804836</v>
      </c>
      <c r="BO4" s="14"/>
      <c r="BP4" s="51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</row>
    <row r="5" spans="1:79" s="48" customFormat="1">
      <c r="A5" s="84" t="s">
        <v>42</v>
      </c>
      <c r="B5" s="13" t="s">
        <v>44</v>
      </c>
      <c r="C5" s="20">
        <v>71.436476483297227</v>
      </c>
      <c r="D5" s="20">
        <v>68.77</v>
      </c>
      <c r="E5" s="20">
        <v>68.05</v>
      </c>
      <c r="F5" s="20">
        <v>67.573730317733293</v>
      </c>
      <c r="G5" s="20">
        <v>66.504069934231566</v>
      </c>
      <c r="H5" s="20">
        <v>66.981568390715069</v>
      </c>
      <c r="I5" s="20">
        <v>65.371989302520689</v>
      </c>
      <c r="J5" s="20">
        <v>65.843022579369077</v>
      </c>
      <c r="K5" s="20">
        <v>65.466352902562178</v>
      </c>
      <c r="L5" s="20">
        <v>66.767987326552927</v>
      </c>
      <c r="M5" s="20">
        <v>69.630478600975181</v>
      </c>
      <c r="N5" s="20">
        <v>70.137306476871004</v>
      </c>
      <c r="O5" s="20">
        <v>70.445595141049637</v>
      </c>
      <c r="P5" s="20">
        <v>68.312191456551588</v>
      </c>
      <c r="Q5" s="20">
        <v>68.366967750340876</v>
      </c>
      <c r="R5" s="21">
        <v>69.603231730000161</v>
      </c>
      <c r="S5" s="21">
        <v>70.384910808930698</v>
      </c>
      <c r="T5" s="59">
        <v>69.741479006460921</v>
      </c>
      <c r="U5" s="59">
        <v>69.819804726356338</v>
      </c>
      <c r="V5" s="59">
        <v>69.599999999999994</v>
      </c>
      <c r="W5" s="59">
        <v>69.540067963453836</v>
      </c>
      <c r="X5" s="59">
        <v>69.239842122826602</v>
      </c>
      <c r="Y5" s="59">
        <v>69.084084445944001</v>
      </c>
      <c r="Z5" s="59">
        <v>69.291160777030896</v>
      </c>
      <c r="AA5" s="59" t="e">
        <v>#DIV/0!</v>
      </c>
      <c r="AB5" s="59" t="e">
        <v>#DIV/0!</v>
      </c>
      <c r="AC5" s="59" t="e">
        <v>#DIV/0!</v>
      </c>
      <c r="AD5" s="59" t="e">
        <v>#DIV/0!</v>
      </c>
      <c r="AE5" s="59" t="e">
        <v>#DIV/0!</v>
      </c>
      <c r="AF5" s="59" t="e">
        <v>#DIV/0!</v>
      </c>
      <c r="AG5" s="59" t="e">
        <v>#DIV/0!</v>
      </c>
      <c r="AH5" s="59" t="e">
        <v>#DIV/0!</v>
      </c>
      <c r="AI5" s="59" t="e">
        <v>#DIV/0!</v>
      </c>
      <c r="AJ5" s="59" t="e">
        <v>#DIV/0!</v>
      </c>
      <c r="AK5" s="59" t="e">
        <v>#DIV/0!</v>
      </c>
      <c r="AL5" s="59" t="e">
        <v>#DIV/0!</v>
      </c>
      <c r="AM5" s="59">
        <v>69.291160777030896</v>
      </c>
      <c r="BO5" s="14"/>
      <c r="BP5" s="51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</row>
    <row r="6" spans="1:79" s="48" customFormat="1">
      <c r="A6" s="84" t="s">
        <v>45</v>
      </c>
      <c r="B6" s="18" t="s">
        <v>43</v>
      </c>
      <c r="C6" s="20">
        <v>10.847320187859493</v>
      </c>
      <c r="D6" s="20">
        <v>10.6</v>
      </c>
      <c r="E6" s="20">
        <v>10.32</v>
      </c>
      <c r="F6" s="20">
        <v>10.226351662521875</v>
      </c>
      <c r="G6" s="20">
        <v>10.119549003127295</v>
      </c>
      <c r="H6" s="20">
        <v>10.147938101339722</v>
      </c>
      <c r="I6" s="20">
        <v>10.088839679024693</v>
      </c>
      <c r="J6" s="20">
        <v>10.191078151369597</v>
      </c>
      <c r="K6" s="20">
        <v>10.154017877649263</v>
      </c>
      <c r="L6" s="20">
        <v>10.202987548099298</v>
      </c>
      <c r="M6" s="20">
        <v>10.66773733047823</v>
      </c>
      <c r="N6" s="20">
        <v>10.69811372136088</v>
      </c>
      <c r="O6" s="20">
        <v>10.756899202758792</v>
      </c>
      <c r="P6" s="20">
        <v>10.553847929369674</v>
      </c>
      <c r="Q6" s="20">
        <v>10.575747521428289</v>
      </c>
      <c r="R6" s="21">
        <v>10.876510835101438</v>
      </c>
      <c r="S6" s="21">
        <v>10.786638925544231</v>
      </c>
      <c r="T6" s="59">
        <v>10.912476177739142</v>
      </c>
      <c r="U6" s="59">
        <v>10.819247529129433</v>
      </c>
      <c r="V6" s="60">
        <v>10.78</v>
      </c>
      <c r="W6" s="59">
        <v>10.795538009548292</v>
      </c>
      <c r="X6" s="59">
        <v>10.779677976894387</v>
      </c>
      <c r="Y6" s="59">
        <v>10.774696375633546</v>
      </c>
      <c r="Z6" s="59">
        <v>10.783408570898523</v>
      </c>
      <c r="AA6" s="59" t="e">
        <v>#DIV/0!</v>
      </c>
      <c r="AB6" s="59" t="e">
        <v>#DIV/0!</v>
      </c>
      <c r="AC6" s="59" t="e">
        <v>#DIV/0!</v>
      </c>
      <c r="AD6" s="59" t="e">
        <v>#DIV/0!</v>
      </c>
      <c r="AE6" s="59" t="e">
        <v>#DIV/0!</v>
      </c>
      <c r="AF6" s="59" t="e">
        <v>#DIV/0!</v>
      </c>
      <c r="AG6" s="59" t="e">
        <v>#DIV/0!</v>
      </c>
      <c r="AH6" s="59" t="e">
        <v>#DIV/0!</v>
      </c>
      <c r="AI6" s="59" t="e">
        <v>#DIV/0!</v>
      </c>
      <c r="AJ6" s="59" t="e">
        <v>#DIV/0!</v>
      </c>
      <c r="AK6" s="59" t="e">
        <v>#DIV/0!</v>
      </c>
      <c r="AL6" s="59" t="e">
        <v>#DIV/0!</v>
      </c>
      <c r="AM6" s="59">
        <v>10.783408570898523</v>
      </c>
      <c r="BO6" s="14"/>
      <c r="BP6" s="51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</row>
    <row r="7" spans="1:79" s="48" customFormat="1">
      <c r="A7" s="84" t="s">
        <v>45</v>
      </c>
      <c r="B7" s="13" t="s">
        <v>44</v>
      </c>
      <c r="C7" s="20">
        <v>68.660521878352341</v>
      </c>
      <c r="D7" s="20">
        <v>67.55</v>
      </c>
      <c r="E7" s="20">
        <v>66.34</v>
      </c>
      <c r="F7" s="20">
        <v>65.615599643044987</v>
      </c>
      <c r="G7" s="20">
        <v>64.871290665970264</v>
      </c>
      <c r="H7" s="20">
        <v>65.160169029443836</v>
      </c>
      <c r="I7" s="20">
        <v>64.553731675284993</v>
      </c>
      <c r="J7" s="20">
        <v>64.949879643921832</v>
      </c>
      <c r="K7" s="20">
        <v>64.781249175783103</v>
      </c>
      <c r="L7" s="20">
        <v>65.380047030824613</v>
      </c>
      <c r="M7" s="20">
        <v>68.557154459917811</v>
      </c>
      <c r="N7" s="20">
        <v>69.072108757419755</v>
      </c>
      <c r="O7" s="20">
        <v>69.479488386511591</v>
      </c>
      <c r="P7" s="20">
        <v>66.283755174227949</v>
      </c>
      <c r="Q7" s="20">
        <v>66.06622656435448</v>
      </c>
      <c r="R7" s="21">
        <v>67.618081207245012</v>
      </c>
      <c r="S7" s="21">
        <v>68.963557539419639</v>
      </c>
      <c r="T7" s="59">
        <v>68.565256803612485</v>
      </c>
      <c r="U7" s="59">
        <v>68.542269197165567</v>
      </c>
      <c r="V7" s="61">
        <v>68.5</v>
      </c>
      <c r="W7" s="59">
        <v>67.609836876211077</v>
      </c>
      <c r="X7" s="59">
        <v>68.180039814505832</v>
      </c>
      <c r="Y7" s="59">
        <v>67.883910926881001</v>
      </c>
      <c r="Z7" s="59">
        <v>67.89131378492074</v>
      </c>
      <c r="AA7" s="59" t="e">
        <v>#DIV/0!</v>
      </c>
      <c r="AB7" s="59" t="e">
        <v>#DIV/0!</v>
      </c>
      <c r="AC7" s="59" t="e">
        <v>#DIV/0!</v>
      </c>
      <c r="AD7" s="59" t="e">
        <v>#DIV/0!</v>
      </c>
      <c r="AE7" s="59" t="e">
        <v>#DIV/0!</v>
      </c>
      <c r="AF7" s="59" t="e">
        <v>#DIV/0!</v>
      </c>
      <c r="AG7" s="59" t="e">
        <v>#DIV/0!</v>
      </c>
      <c r="AH7" s="59" t="e">
        <v>#DIV/0!</v>
      </c>
      <c r="AI7" s="59" t="e">
        <v>#DIV/0!</v>
      </c>
      <c r="AJ7" s="59" t="e">
        <v>#DIV/0!</v>
      </c>
      <c r="AK7" s="59" t="e">
        <v>#DIV/0!</v>
      </c>
      <c r="AL7" s="59" t="e">
        <v>#DIV/0!</v>
      </c>
      <c r="AM7" s="59">
        <v>67.89131378492074</v>
      </c>
      <c r="BO7" s="14"/>
      <c r="BP7" s="51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</row>
    <row r="8" spans="1:79" s="48" customFormat="1">
      <c r="A8" s="84" t="s">
        <v>46</v>
      </c>
      <c r="B8" s="18" t="s">
        <v>47</v>
      </c>
      <c r="C8" s="22">
        <v>320.0005121584752</v>
      </c>
      <c r="D8" s="22">
        <v>319</v>
      </c>
      <c r="E8" s="22">
        <v>318</v>
      </c>
      <c r="F8" s="22">
        <v>324.61384047735834</v>
      </c>
      <c r="G8" s="22">
        <v>318.45093483008407</v>
      </c>
      <c r="H8" s="22">
        <v>309.01522822869606</v>
      </c>
      <c r="I8" s="22">
        <v>314.76865634500086</v>
      </c>
      <c r="J8" s="22">
        <v>312.49092194233282</v>
      </c>
      <c r="K8" s="22">
        <v>309.50467548267613</v>
      </c>
      <c r="L8" s="22">
        <v>302.41027250374725</v>
      </c>
      <c r="M8" s="22">
        <v>298.90326273055075</v>
      </c>
      <c r="N8" s="22">
        <v>299.81391706443918</v>
      </c>
      <c r="O8" s="22">
        <v>304.92819268604052</v>
      </c>
      <c r="P8" s="22">
        <v>316.71280371863617</v>
      </c>
      <c r="Q8" s="22">
        <v>318.99158586192118</v>
      </c>
      <c r="R8" s="22">
        <v>319.72036067804009</v>
      </c>
      <c r="S8" s="22">
        <v>320.08010572180882</v>
      </c>
      <c r="T8" s="62">
        <v>320.48901534434793</v>
      </c>
      <c r="U8" s="62">
        <v>319.96763968559947</v>
      </c>
      <c r="V8" s="54">
        <v>320</v>
      </c>
      <c r="W8" s="62">
        <v>319.78980291225469</v>
      </c>
      <c r="X8" s="62">
        <v>320.2821938041746</v>
      </c>
      <c r="Y8" s="62">
        <v>318.96409734672909</v>
      </c>
      <c r="Z8" s="62">
        <v>319.6887534853812</v>
      </c>
      <c r="AA8" s="62" t="e">
        <v>#DIV/0!</v>
      </c>
      <c r="AB8" s="62" t="e">
        <v>#DIV/0!</v>
      </c>
      <c r="AC8" s="62" t="e">
        <v>#DIV/0!</v>
      </c>
      <c r="AD8" s="62" t="e">
        <v>#DIV/0!</v>
      </c>
      <c r="AE8" s="62" t="e">
        <v>#DIV/0!</v>
      </c>
      <c r="AF8" s="62" t="e">
        <v>#DIV/0!</v>
      </c>
      <c r="AG8" s="62" t="e">
        <v>#DIV/0!</v>
      </c>
      <c r="AH8" s="62" t="e">
        <v>#DIV/0!</v>
      </c>
      <c r="AI8" s="62" t="e">
        <v>#DIV/0!</v>
      </c>
      <c r="AJ8" s="62" t="e">
        <v>#DIV/0!</v>
      </c>
      <c r="AK8" s="62" t="e">
        <v>#DIV/0!</v>
      </c>
      <c r="AL8" s="62" t="e">
        <v>#DIV/0!</v>
      </c>
      <c r="AM8" s="62">
        <v>319.6887534853812</v>
      </c>
      <c r="BO8" s="14"/>
      <c r="BP8" s="51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</row>
    <row r="9" spans="1:79" s="48" customFormat="1">
      <c r="A9" s="84" t="s">
        <v>48</v>
      </c>
      <c r="B9" s="18" t="s">
        <v>43</v>
      </c>
      <c r="C9" s="20">
        <v>15.79848199679865</v>
      </c>
      <c r="D9" s="20">
        <v>15.69</v>
      </c>
      <c r="E9" s="20">
        <v>15.55</v>
      </c>
      <c r="F9" s="20">
        <v>15.585244542691351</v>
      </c>
      <c r="G9" s="20">
        <v>15.599426031515261</v>
      </c>
      <c r="H9" s="20">
        <v>15.573836367358389</v>
      </c>
      <c r="I9" s="20">
        <v>15.628592518513226</v>
      </c>
      <c r="J9" s="20">
        <v>15.690680578995197</v>
      </c>
      <c r="K9" s="20">
        <v>15.67431626719093</v>
      </c>
      <c r="L9" s="20">
        <v>15.605659542106039</v>
      </c>
      <c r="M9" s="20">
        <v>15.560356048200864</v>
      </c>
      <c r="N9" s="20">
        <v>15.488326495043752</v>
      </c>
      <c r="O9" s="20">
        <v>15.482122065894607</v>
      </c>
      <c r="P9" s="20">
        <v>15.922223931985613</v>
      </c>
      <c r="Q9" s="20">
        <v>16.007797132361656</v>
      </c>
      <c r="R9" s="21">
        <v>16.085210702394292</v>
      </c>
      <c r="S9" s="21">
        <v>15.64107089367972</v>
      </c>
      <c r="T9" s="59">
        <v>15.915460229362399</v>
      </c>
      <c r="U9" s="59">
        <v>15.784781647668067</v>
      </c>
      <c r="V9" s="60">
        <v>15.74</v>
      </c>
      <c r="W9" s="60">
        <v>15.967407271391847</v>
      </c>
      <c r="X9" s="60">
        <v>15.810606749749841</v>
      </c>
      <c r="Y9" s="60">
        <v>15.872238691785407</v>
      </c>
      <c r="Z9" s="60">
        <v>15.883340547894379</v>
      </c>
      <c r="AA9" s="60" t="e">
        <v>#DIV/0!</v>
      </c>
      <c r="AB9" s="60" t="e">
        <v>#DIV/0!</v>
      </c>
      <c r="AC9" s="60" t="e">
        <v>#DIV/0!</v>
      </c>
      <c r="AD9" s="60" t="e">
        <v>#DIV/0!</v>
      </c>
      <c r="AE9" s="60" t="e">
        <v>#DIV/0!</v>
      </c>
      <c r="AF9" s="60" t="e">
        <v>#DIV/0!</v>
      </c>
      <c r="AG9" s="60" t="e">
        <v>#DIV/0!</v>
      </c>
      <c r="AH9" s="60" t="e">
        <v>#DIV/0!</v>
      </c>
      <c r="AI9" s="60" t="e">
        <v>#DIV/0!</v>
      </c>
      <c r="AJ9" s="60" t="e">
        <v>#DIV/0!</v>
      </c>
      <c r="AK9" s="60" t="e">
        <v>#DIV/0!</v>
      </c>
      <c r="AL9" s="60" t="e">
        <v>#DIV/0!</v>
      </c>
      <c r="AM9" s="60">
        <v>15.883340547894379</v>
      </c>
      <c r="BO9" s="14"/>
      <c r="BP9" s="51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</row>
    <row r="10" spans="1:79" s="48" customFormat="1">
      <c r="A10" s="84" t="s">
        <v>49</v>
      </c>
      <c r="B10" s="18" t="s">
        <v>41</v>
      </c>
      <c r="C10" s="20">
        <v>68.546313909760997</v>
      </c>
      <c r="D10" s="20">
        <v>74.28</v>
      </c>
      <c r="E10" s="20">
        <v>76.430000000000007</v>
      </c>
      <c r="F10" s="20">
        <v>74.429621673338417</v>
      </c>
      <c r="G10" s="20">
        <v>75.851588209790108</v>
      </c>
      <c r="H10" s="20">
        <v>74.250801395957126</v>
      </c>
      <c r="I10" s="20">
        <v>78.358787061054045</v>
      </c>
      <c r="J10" s="20">
        <v>84.696346907986836</v>
      </c>
      <c r="K10" s="20">
        <v>88.700791018880182</v>
      </c>
      <c r="L10" s="20">
        <v>80.694406531215151</v>
      </c>
      <c r="M10" s="20">
        <v>81.240174683186154</v>
      </c>
      <c r="N10" s="20">
        <v>87.659131101486793</v>
      </c>
      <c r="O10" s="20">
        <v>89.180622034881026</v>
      </c>
      <c r="P10" s="20">
        <v>90.82</v>
      </c>
      <c r="Q10" s="20">
        <v>90.82</v>
      </c>
      <c r="R10" s="21">
        <v>88.628518012150437</v>
      </c>
      <c r="S10" s="21">
        <v>88.18</v>
      </c>
      <c r="T10" s="59">
        <v>88.947485669525975</v>
      </c>
      <c r="U10" s="59">
        <v>89.189799951445622</v>
      </c>
      <c r="V10" s="60">
        <v>84.5</v>
      </c>
      <c r="W10" s="59">
        <v>87.036821991850175</v>
      </c>
      <c r="X10" s="59">
        <v>85.388865011059508</v>
      </c>
      <c r="Y10" s="59">
        <v>84.998483971443534</v>
      </c>
      <c r="Z10" s="59">
        <v>85.818675184684651</v>
      </c>
      <c r="AA10" s="59" t="e">
        <v>#DIV/0!</v>
      </c>
      <c r="AB10" s="59" t="e">
        <v>#DIV/0!</v>
      </c>
      <c r="AC10" s="59" t="e">
        <v>#DIV/0!</v>
      </c>
      <c r="AD10" s="59" t="e">
        <v>#DIV/0!</v>
      </c>
      <c r="AE10" s="59" t="e">
        <v>#DIV/0!</v>
      </c>
      <c r="AF10" s="59" t="e">
        <v>#DIV/0!</v>
      </c>
      <c r="AG10" s="59" t="e">
        <v>#DIV/0!</v>
      </c>
      <c r="AH10" s="59" t="e">
        <v>#DIV/0!</v>
      </c>
      <c r="AI10" s="59" t="e">
        <v>#DIV/0!</v>
      </c>
      <c r="AJ10" s="59" t="e">
        <v>#DIV/0!</v>
      </c>
      <c r="AK10" s="59" t="e">
        <v>#DIV/0!</v>
      </c>
      <c r="AL10" s="59" t="e">
        <v>#DIV/0!</v>
      </c>
      <c r="AM10" s="59">
        <v>85.818675184684651</v>
      </c>
      <c r="BO10" s="14"/>
      <c r="BP10" s="51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</row>
    <row r="11" spans="1:79" s="48" customFormat="1">
      <c r="A11" s="84" t="s">
        <v>50</v>
      </c>
      <c r="B11" s="18" t="s">
        <v>41</v>
      </c>
      <c r="C11" s="20">
        <v>8.6308333333333334</v>
      </c>
      <c r="D11" s="20">
        <v>8.7200000000000006</v>
      </c>
      <c r="E11" s="20">
        <v>8.4</v>
      </c>
      <c r="F11" s="20">
        <v>8.4</v>
      </c>
      <c r="G11" s="20">
        <v>8.1958333333333329</v>
      </c>
      <c r="H11" s="20">
        <v>8.1091666666666669</v>
      </c>
      <c r="I11" s="20">
        <v>8.2008333333333336</v>
      </c>
      <c r="J11" s="20">
        <v>7.9666666666666668</v>
      </c>
      <c r="K11" s="20">
        <v>8.2916666666666661</v>
      </c>
      <c r="L11" s="20">
        <v>9.0250000000000004</v>
      </c>
      <c r="M11" s="20">
        <v>8.9833333333333343</v>
      </c>
      <c r="N11" s="20">
        <v>9.1166666666666654</v>
      </c>
      <c r="O11" s="20">
        <v>8.9499999999999993</v>
      </c>
      <c r="P11" s="20">
        <v>8.35</v>
      </c>
      <c r="Q11" s="20">
        <v>8.2750000000000004</v>
      </c>
      <c r="R11" s="21">
        <v>8.4583333333333321</v>
      </c>
      <c r="S11" s="21">
        <v>8.2583333333333329</v>
      </c>
      <c r="T11" s="59">
        <v>7.8641666666666659</v>
      </c>
      <c r="U11" s="59">
        <v>7.0874999999999995</v>
      </c>
      <c r="V11" s="59"/>
      <c r="W11" s="59">
        <v>6.7</v>
      </c>
      <c r="X11" s="59">
        <v>7.45</v>
      </c>
      <c r="Y11" s="59">
        <v>6.75</v>
      </c>
      <c r="Z11" s="59">
        <v>6.9666666666666659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6.9666666666666659</v>
      </c>
      <c r="BO11" s="14"/>
      <c r="BP11" s="51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</row>
    <row r="12" spans="1:79" s="48" customFormat="1">
      <c r="A12" s="84" t="s">
        <v>51</v>
      </c>
      <c r="B12" s="18" t="s">
        <v>52</v>
      </c>
      <c r="C12" s="22">
        <v>4450.5</v>
      </c>
      <c r="D12" s="22">
        <v>4386</v>
      </c>
      <c r="E12" s="22">
        <v>4378</v>
      </c>
      <c r="F12" s="22">
        <v>4343.166666666667</v>
      </c>
      <c r="G12" s="22">
        <v>4370.25</v>
      </c>
      <c r="H12" s="22">
        <v>4373.5</v>
      </c>
      <c r="I12" s="22">
        <v>4373.166666666667</v>
      </c>
      <c r="J12" s="22">
        <v>4362.583333333333</v>
      </c>
      <c r="K12" s="22">
        <v>4327.5</v>
      </c>
      <c r="L12" s="22">
        <v>4388.916666666667</v>
      </c>
      <c r="M12" s="22">
        <v>4411.416666666667</v>
      </c>
      <c r="N12" s="22">
        <v>4339.583333333333</v>
      </c>
      <c r="O12" s="22">
        <v>4281.583333333333</v>
      </c>
      <c r="P12" s="22">
        <v>4284.416666666667</v>
      </c>
      <c r="Q12" s="22">
        <v>4282.416666666667</v>
      </c>
      <c r="R12" s="22">
        <v>4269.4254345837144</v>
      </c>
      <c r="S12" s="22">
        <v>4254.1110326428125</v>
      </c>
      <c r="T12" s="62">
        <v>4246.5967223483785</v>
      </c>
      <c r="U12" s="62">
        <v>4247.5794106286767</v>
      </c>
      <c r="V12" s="54">
        <v>4200</v>
      </c>
      <c r="W12" s="62">
        <v>4248.8278322925962</v>
      </c>
      <c r="X12" s="62">
        <v>4248</v>
      </c>
      <c r="Y12" s="62">
        <v>4243.0666666666666</v>
      </c>
      <c r="Z12" s="62">
        <v>4246.6314996530882</v>
      </c>
      <c r="AA12" s="62">
        <v>0</v>
      </c>
      <c r="AB12" s="62">
        <v>0</v>
      </c>
      <c r="AC12" s="62">
        <v>0</v>
      </c>
      <c r="AD12" s="62">
        <v>0</v>
      </c>
      <c r="AE12" s="62">
        <v>0</v>
      </c>
      <c r="AF12" s="62">
        <v>0</v>
      </c>
      <c r="AG12" s="62">
        <v>0</v>
      </c>
      <c r="AH12" s="62">
        <v>0</v>
      </c>
      <c r="AI12" s="62">
        <v>0</v>
      </c>
      <c r="AJ12" s="62">
        <v>0</v>
      </c>
      <c r="AK12" s="62">
        <v>0</v>
      </c>
      <c r="AL12" s="62">
        <v>0</v>
      </c>
      <c r="AM12" s="62">
        <v>4246.6314996530882</v>
      </c>
      <c r="BO12" s="14"/>
      <c r="BP12" s="51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</row>
    <row r="13" spans="1:79" s="48" customFormat="1">
      <c r="A13" s="84" t="s">
        <v>53</v>
      </c>
      <c r="B13" s="18" t="s">
        <v>41</v>
      </c>
      <c r="C13" s="20">
        <v>4.3250000000000002</v>
      </c>
      <c r="D13" s="20">
        <v>4.88</v>
      </c>
      <c r="E13" s="20">
        <v>5.2</v>
      </c>
      <c r="F13" s="21">
        <v>5.5</v>
      </c>
      <c r="G13" s="21">
        <v>5.2750000000000004</v>
      </c>
      <c r="H13" s="21">
        <v>5.2166666666666659</v>
      </c>
      <c r="I13" s="21">
        <v>5.0333333333333323</v>
      </c>
      <c r="J13" s="21">
        <v>5.1833333333333336</v>
      </c>
      <c r="K13" s="21">
        <v>6.4083333333333323</v>
      </c>
      <c r="L13" s="21">
        <v>4.7666666666666666</v>
      </c>
      <c r="M13" s="20">
        <v>4.5749999999999993</v>
      </c>
      <c r="N13" s="20">
        <v>4.3999999999999995</v>
      </c>
      <c r="O13" s="20">
        <v>4.7</v>
      </c>
      <c r="P13" s="20">
        <v>4.9083333333333332</v>
      </c>
      <c r="Q13" s="20">
        <v>4.8416666666666668</v>
      </c>
      <c r="R13" s="20">
        <v>5.0668344007319313</v>
      </c>
      <c r="S13" s="20">
        <v>5.1583333333333332</v>
      </c>
      <c r="T13" s="60">
        <v>5.1876025238228554</v>
      </c>
      <c r="U13" s="60">
        <v>5.1874362055504255</v>
      </c>
      <c r="V13" s="60">
        <v>5.5</v>
      </c>
      <c r="W13" s="60">
        <v>5.3</v>
      </c>
      <c r="X13" s="60">
        <v>5.2</v>
      </c>
      <c r="Y13" s="60">
        <v>5.2</v>
      </c>
      <c r="Z13" s="60">
        <v>5.2333333333333334</v>
      </c>
      <c r="AA13" s="60">
        <v>0</v>
      </c>
      <c r="AB13" s="60">
        <v>0</v>
      </c>
      <c r="AC13" s="60">
        <v>0</v>
      </c>
      <c r="AD13" s="60">
        <v>0</v>
      </c>
      <c r="AE13" s="60">
        <v>0</v>
      </c>
      <c r="AF13" s="60">
        <v>0</v>
      </c>
      <c r="AG13" s="60">
        <v>0</v>
      </c>
      <c r="AH13" s="60">
        <v>0</v>
      </c>
      <c r="AI13" s="60">
        <v>0</v>
      </c>
      <c r="AJ13" s="60">
        <v>0</v>
      </c>
      <c r="AK13" s="60">
        <v>0</v>
      </c>
      <c r="AL13" s="60">
        <v>0</v>
      </c>
      <c r="AM13" s="60">
        <v>5.2333333333333334</v>
      </c>
      <c r="BO13" s="14"/>
      <c r="BP13" s="51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</row>
    <row r="14" spans="1:79" s="48" customFormat="1">
      <c r="A14" s="53"/>
      <c r="B14" s="18"/>
      <c r="C14" s="20"/>
      <c r="D14" s="20"/>
      <c r="E14" s="20"/>
      <c r="F14" s="21"/>
      <c r="G14" s="21"/>
      <c r="H14" s="21"/>
      <c r="I14" s="21"/>
      <c r="J14" s="21"/>
      <c r="K14" s="21"/>
      <c r="L14" s="21"/>
      <c r="M14" s="20"/>
      <c r="N14" s="20"/>
      <c r="O14" s="20"/>
      <c r="P14" s="20"/>
      <c r="Q14" s="20"/>
      <c r="R14" s="20"/>
      <c r="S14" s="2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BO14" s="14"/>
      <c r="BP14" s="51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</row>
    <row r="15" spans="1:79" s="48" customFormat="1">
      <c r="A15" s="57" t="s">
        <v>451</v>
      </c>
      <c r="B15" s="18"/>
      <c r="C15" s="20"/>
      <c r="D15" s="20"/>
      <c r="E15" s="20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59"/>
      <c r="U15" s="59"/>
      <c r="V15" s="60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BO15" s="19"/>
      <c r="BP15" s="51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</row>
    <row r="16" spans="1:79" s="48" customFormat="1">
      <c r="A16" s="84" t="s">
        <v>48</v>
      </c>
      <c r="B16" s="18" t="s">
        <v>43</v>
      </c>
      <c r="C16" s="20"/>
      <c r="D16" s="20"/>
      <c r="E16" s="20"/>
      <c r="F16" s="21"/>
      <c r="G16" s="21"/>
      <c r="H16" s="21"/>
      <c r="I16" s="21">
        <v>30.012472017908539</v>
      </c>
      <c r="J16" s="20">
        <v>29.953559499376233</v>
      </c>
      <c r="K16" s="20">
        <v>29.274853161139688</v>
      </c>
      <c r="L16" s="20">
        <v>29.954111852359873</v>
      </c>
      <c r="M16" s="20">
        <v>30.562756052141527</v>
      </c>
      <c r="N16" s="20">
        <v>30.159059987631416</v>
      </c>
      <c r="O16" s="20">
        <v>30.353610650960182</v>
      </c>
      <c r="P16" s="20">
        <v>30.650552310817673</v>
      </c>
      <c r="Q16" s="20">
        <v>30.598272799657011</v>
      </c>
      <c r="R16" s="20">
        <v>30.788719975676496</v>
      </c>
      <c r="S16" s="20">
        <v>30.77809262644729</v>
      </c>
      <c r="T16" s="60">
        <v>30.201915945611866</v>
      </c>
      <c r="U16" s="60">
        <v>30.184556726596405</v>
      </c>
      <c r="V16" s="60">
        <v>30.05</v>
      </c>
      <c r="W16" s="60">
        <v>30.432897196261681</v>
      </c>
      <c r="X16" s="60">
        <v>30.218682114409848</v>
      </c>
      <c r="Y16" s="60">
        <v>30.341140914242537</v>
      </c>
      <c r="Z16" s="60">
        <v>30.329663532904501</v>
      </c>
      <c r="AA16" s="60" t="e">
        <v>#DIV/0!</v>
      </c>
      <c r="AB16" s="60" t="e">
        <v>#DIV/0!</v>
      </c>
      <c r="AC16" s="60" t="e">
        <v>#DIV/0!</v>
      </c>
      <c r="AD16" s="60" t="e">
        <v>#DIV/0!</v>
      </c>
      <c r="AE16" s="60" t="e">
        <v>#DIV/0!</v>
      </c>
      <c r="AF16" s="60" t="e">
        <v>#DIV/0!</v>
      </c>
      <c r="AG16" s="60" t="e">
        <v>#DIV/0!</v>
      </c>
      <c r="AH16" s="60" t="e">
        <v>#DIV/0!</v>
      </c>
      <c r="AI16" s="60" t="e">
        <v>#DIV/0!</v>
      </c>
      <c r="AJ16" s="60" t="e">
        <v>#DIV/0!</v>
      </c>
      <c r="AK16" s="60" t="e">
        <v>#DIV/0!</v>
      </c>
      <c r="AL16" s="60" t="e">
        <v>#DIV/0!</v>
      </c>
      <c r="AM16" s="60">
        <v>30.329663532904501</v>
      </c>
      <c r="BO16" s="14"/>
      <c r="BP16" s="51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</row>
    <row r="17" spans="1:79" s="48" customFormat="1">
      <c r="A17" s="84" t="s">
        <v>40</v>
      </c>
      <c r="B17" s="13" t="s">
        <v>41</v>
      </c>
      <c r="C17" s="20"/>
      <c r="D17" s="20"/>
      <c r="E17" s="20"/>
      <c r="F17" s="21"/>
      <c r="G17" s="21"/>
      <c r="H17" s="21"/>
      <c r="I17" s="21">
        <v>75.510000000000005</v>
      </c>
      <c r="J17" s="20">
        <v>75.384782807302273</v>
      </c>
      <c r="K17" s="20">
        <v>75.702377584730812</v>
      </c>
      <c r="L17" s="20">
        <v>74.942447870050827</v>
      </c>
      <c r="M17" s="20">
        <v>75.436768582720987</v>
      </c>
      <c r="N17" s="20">
        <v>75.993598156137736</v>
      </c>
      <c r="O17" s="20">
        <v>76.761124928875844</v>
      </c>
      <c r="P17" s="20">
        <v>76.691434992207036</v>
      </c>
      <c r="Q17" s="20">
        <v>77.10257457293956</v>
      </c>
      <c r="R17" s="20">
        <v>77.373521317031404</v>
      </c>
      <c r="S17" s="20">
        <v>77.408410938318269</v>
      </c>
      <c r="T17" s="60">
        <v>77.400254160808885</v>
      </c>
      <c r="U17" s="60">
        <v>76.299471180497562</v>
      </c>
      <c r="V17" s="60">
        <v>76.400000000000006</v>
      </c>
      <c r="W17" s="60">
        <v>75.999901729559753</v>
      </c>
      <c r="X17" s="60">
        <v>76.000431323684452</v>
      </c>
      <c r="Y17" s="60">
        <v>76.000149415412196</v>
      </c>
      <c r="Z17" s="60">
        <v>76.000163142117174</v>
      </c>
      <c r="AA17" s="60" t="e">
        <v>#DIV/0!</v>
      </c>
      <c r="AB17" s="60" t="e">
        <v>#DIV/0!</v>
      </c>
      <c r="AC17" s="60" t="e">
        <v>#DIV/0!</v>
      </c>
      <c r="AD17" s="60" t="e">
        <v>#DIV/0!</v>
      </c>
      <c r="AE17" s="60" t="e">
        <v>#DIV/0!</v>
      </c>
      <c r="AF17" s="60" t="e">
        <v>#DIV/0!</v>
      </c>
      <c r="AG17" s="60" t="e">
        <v>#DIV/0!</v>
      </c>
      <c r="AH17" s="60" t="e">
        <v>#DIV/0!</v>
      </c>
      <c r="AI17" s="60" t="e">
        <v>#DIV/0!</v>
      </c>
      <c r="AJ17" s="60" t="e">
        <v>#DIV/0!</v>
      </c>
      <c r="AK17" s="60" t="e">
        <v>#DIV/0!</v>
      </c>
      <c r="AL17" s="60" t="e">
        <v>#DIV/0!</v>
      </c>
      <c r="AM17" s="60">
        <v>76.000163142117174</v>
      </c>
      <c r="BO17" s="14"/>
      <c r="BP17" s="51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</row>
    <row r="18" spans="1:79" s="48" customFormat="1">
      <c r="A18" s="84" t="s">
        <v>40</v>
      </c>
      <c r="B18" s="18" t="s">
        <v>43</v>
      </c>
      <c r="C18" s="20"/>
      <c r="D18" s="20"/>
      <c r="E18" s="20"/>
      <c r="F18" s="21"/>
      <c r="G18" s="21"/>
      <c r="H18" s="21"/>
      <c r="I18" s="21">
        <v>22.66</v>
      </c>
      <c r="J18" s="20">
        <v>22.580425771660831</v>
      </c>
      <c r="K18" s="20">
        <v>22.161759877421474</v>
      </c>
      <c r="L18" s="20">
        <v>22.448344659891514</v>
      </c>
      <c r="M18" s="20">
        <v>23.055555555555557</v>
      </c>
      <c r="N18" s="20">
        <v>22.918954854669142</v>
      </c>
      <c r="O18" s="20">
        <v>23.299772992208112</v>
      </c>
      <c r="P18" s="20">
        <v>23.506348400203148</v>
      </c>
      <c r="Q18" s="20">
        <v>23.592056103387026</v>
      </c>
      <c r="R18" s="20">
        <v>23.82231681362116</v>
      </c>
      <c r="S18" s="20">
        <v>23.824832419256552</v>
      </c>
      <c r="T18" s="60">
        <v>23.376359703337453</v>
      </c>
      <c r="U18" s="60">
        <v>23.030657160570367</v>
      </c>
      <c r="V18" s="60">
        <v>22.97</v>
      </c>
      <c r="W18" s="60">
        <v>23.128971962616824</v>
      </c>
      <c r="X18" s="60">
        <v>22.966328747284578</v>
      </c>
      <c r="Y18" s="60">
        <v>23.059312429165093</v>
      </c>
      <c r="Z18" s="60">
        <v>23.050593765462644</v>
      </c>
      <c r="AA18" s="60" t="e">
        <v>#DIV/0!</v>
      </c>
      <c r="AB18" s="60" t="e">
        <v>#DIV/0!</v>
      </c>
      <c r="AC18" s="60" t="e">
        <v>#DIV/0!</v>
      </c>
      <c r="AD18" s="60" t="e">
        <v>#DIV/0!</v>
      </c>
      <c r="AE18" s="60" t="e">
        <v>#DIV/0!</v>
      </c>
      <c r="AF18" s="60" t="e">
        <v>#DIV/0!</v>
      </c>
      <c r="AG18" s="60" t="e">
        <v>#DIV/0!</v>
      </c>
      <c r="AH18" s="60" t="e">
        <v>#DIV/0!</v>
      </c>
      <c r="AI18" s="60" t="e">
        <v>#DIV/0!</v>
      </c>
      <c r="AJ18" s="60" t="e">
        <v>#DIV/0!</v>
      </c>
      <c r="AK18" s="60" t="e">
        <v>#DIV/0!</v>
      </c>
      <c r="AL18" s="60" t="e">
        <v>#DIV/0!</v>
      </c>
      <c r="AM18" s="60">
        <v>23.050593765462644</v>
      </c>
      <c r="BO18" s="14"/>
      <c r="BP18" s="51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</row>
    <row r="19" spans="1:79" s="48" customFormat="1">
      <c r="A19" s="84" t="s">
        <v>54</v>
      </c>
      <c r="B19" s="18" t="s">
        <v>43</v>
      </c>
      <c r="C19" s="20"/>
      <c r="D19" s="20"/>
      <c r="E19" s="20"/>
      <c r="F19" s="21"/>
      <c r="G19" s="21"/>
      <c r="H19" s="21"/>
      <c r="I19" s="21">
        <v>18.88</v>
      </c>
      <c r="J19" s="20">
        <v>19.160730814117269</v>
      </c>
      <c r="K19" s="20">
        <v>18.906497391558133</v>
      </c>
      <c r="L19" s="20">
        <v>19.191096701789387</v>
      </c>
      <c r="M19" s="20">
        <v>19.678957169459963</v>
      </c>
      <c r="N19" s="20">
        <v>19.619264069264069</v>
      </c>
      <c r="O19" s="20">
        <v>19.78541628320756</v>
      </c>
      <c r="P19" s="20">
        <v>19.489366429659725</v>
      </c>
      <c r="Q19" s="20">
        <v>19.608348134991118</v>
      </c>
      <c r="R19" s="20">
        <v>20.073882639100031</v>
      </c>
      <c r="S19" s="20">
        <v>20.738543570993297</v>
      </c>
      <c r="T19" s="60">
        <v>20.191841779975277</v>
      </c>
      <c r="U19" s="60">
        <v>20.133663980161192</v>
      </c>
      <c r="V19" s="60">
        <v>20.059999999999999</v>
      </c>
      <c r="W19" s="60">
        <v>20.146542056074768</v>
      </c>
      <c r="X19" s="60">
        <v>20.062273714699494</v>
      </c>
      <c r="Y19" s="60">
        <v>20.075557234605213</v>
      </c>
      <c r="Z19" s="60">
        <v>20.094507669470559</v>
      </c>
      <c r="AA19" s="60" t="e">
        <v>#DIV/0!</v>
      </c>
      <c r="AB19" s="60" t="e">
        <v>#DIV/0!</v>
      </c>
      <c r="AC19" s="60" t="e">
        <v>#DIV/0!</v>
      </c>
      <c r="AD19" s="60" t="e">
        <v>#DIV/0!</v>
      </c>
      <c r="AE19" s="60" t="e">
        <v>#DIV/0!</v>
      </c>
      <c r="AF19" s="60" t="e">
        <v>#DIV/0!</v>
      </c>
      <c r="AG19" s="60" t="e">
        <v>#DIV/0!</v>
      </c>
      <c r="AH19" s="60" t="e">
        <v>#DIV/0!</v>
      </c>
      <c r="AI19" s="60" t="e">
        <v>#DIV/0!</v>
      </c>
      <c r="AJ19" s="60" t="e">
        <v>#DIV/0!</v>
      </c>
      <c r="AK19" s="60" t="e">
        <v>#DIV/0!</v>
      </c>
      <c r="AL19" s="60" t="e">
        <v>#DIV/0!</v>
      </c>
      <c r="AM19" s="60">
        <v>20.094507669470559</v>
      </c>
      <c r="BO19" s="14"/>
      <c r="BP19" s="51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</row>
    <row r="20" spans="1:79" s="48" customFormat="1">
      <c r="A20" s="84" t="s">
        <v>45</v>
      </c>
      <c r="B20" s="13" t="s">
        <v>44</v>
      </c>
      <c r="C20" s="20"/>
      <c r="D20" s="20"/>
      <c r="E20" s="20"/>
      <c r="F20" s="21"/>
      <c r="G20" s="21"/>
      <c r="H20" s="21"/>
      <c r="I20" s="20">
        <v>62.91</v>
      </c>
      <c r="J20" s="20">
        <v>63.968126440920258</v>
      </c>
      <c r="K20" s="20">
        <v>64.582723224911618</v>
      </c>
      <c r="L20" s="20">
        <v>64.06832155925683</v>
      </c>
      <c r="M20" s="20">
        <v>64.388686464946815</v>
      </c>
      <c r="N20" s="20">
        <v>65.052637838547227</v>
      </c>
      <c r="O20" s="20">
        <v>65.183073311186732</v>
      </c>
      <c r="P20" s="20">
        <v>63.585694091330389</v>
      </c>
      <c r="Q20" s="20">
        <v>64.08318620916053</v>
      </c>
      <c r="R20" s="20">
        <v>65.198821694954091</v>
      </c>
      <c r="S20" s="20">
        <v>67.380860219950364</v>
      </c>
      <c r="T20" s="60">
        <v>66.856161762509032</v>
      </c>
      <c r="U20" s="60">
        <v>66.701870637115874</v>
      </c>
      <c r="V20" s="60">
        <v>66.8</v>
      </c>
      <c r="W20" s="60">
        <v>66.199882075471692</v>
      </c>
      <c r="X20" s="60">
        <v>66.390300009584962</v>
      </c>
      <c r="Y20" s="60">
        <v>66.166125035797435</v>
      </c>
      <c r="Z20" s="60">
        <v>66.253645206680673</v>
      </c>
      <c r="AA20" s="60" t="e">
        <v>#DIV/0!</v>
      </c>
      <c r="AB20" s="60" t="e">
        <v>#DIV/0!</v>
      </c>
      <c r="AC20" s="60" t="e">
        <v>#DIV/0!</v>
      </c>
      <c r="AD20" s="60" t="e">
        <v>#DIV/0!</v>
      </c>
      <c r="AE20" s="60" t="e">
        <v>#DIV/0!</v>
      </c>
      <c r="AF20" s="60" t="e">
        <v>#DIV/0!</v>
      </c>
      <c r="AG20" s="60" t="e">
        <v>#DIV/0!</v>
      </c>
      <c r="AH20" s="60" t="e">
        <v>#DIV/0!</v>
      </c>
      <c r="AI20" s="60" t="e">
        <v>#DIV/0!</v>
      </c>
      <c r="AJ20" s="60" t="e">
        <v>#DIV/0!</v>
      </c>
      <c r="AK20" s="60" t="e">
        <v>#DIV/0!</v>
      </c>
      <c r="AL20" s="60" t="e">
        <v>#DIV/0!</v>
      </c>
      <c r="AM20" s="60">
        <v>66.253645206680673</v>
      </c>
      <c r="BO20" s="14"/>
      <c r="BP20" s="51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</row>
    <row r="21" spans="1:79" s="48" customFormat="1">
      <c r="A21" s="84" t="s">
        <v>55</v>
      </c>
      <c r="B21" s="18" t="s">
        <v>43</v>
      </c>
      <c r="C21" s="20"/>
      <c r="D21" s="20"/>
      <c r="E21" s="20"/>
      <c r="F21" s="21"/>
      <c r="G21" s="21"/>
      <c r="H21" s="21"/>
      <c r="I21" s="21">
        <v>3.78</v>
      </c>
      <c r="J21" s="20">
        <v>3.4196949575435633</v>
      </c>
      <c r="K21" s="20">
        <v>3.2552624858633394</v>
      </c>
      <c r="L21" s="20">
        <v>3.2572479581021261</v>
      </c>
      <c r="M21" s="20">
        <v>3.3759776536312849</v>
      </c>
      <c r="N21" s="20">
        <v>3.2996907854050712</v>
      </c>
      <c r="O21" s="20">
        <v>3.5143873857291856</v>
      </c>
      <c r="P21" s="20">
        <v>4.017013712544439</v>
      </c>
      <c r="Q21" s="20">
        <v>3.9837079683959087</v>
      </c>
      <c r="R21" s="20">
        <v>3.7484341745211309</v>
      </c>
      <c r="S21" s="20">
        <v>3.08628884826325</v>
      </c>
      <c r="T21" s="60">
        <v>3.1845488257107539</v>
      </c>
      <c r="U21" s="60">
        <v>2.897024178549287</v>
      </c>
      <c r="V21" s="60">
        <v>2.91</v>
      </c>
      <c r="W21" s="60">
        <v>2.9824299065420559</v>
      </c>
      <c r="X21" s="60">
        <v>2.9040550325850831</v>
      </c>
      <c r="Y21" s="60">
        <v>2.9837551945598793</v>
      </c>
      <c r="Z21" s="60">
        <v>2.9560860959920832</v>
      </c>
      <c r="AA21" s="60" t="e">
        <v>#DIV/0!</v>
      </c>
      <c r="AB21" s="60" t="e">
        <v>#DIV/0!</v>
      </c>
      <c r="AC21" s="60" t="e">
        <v>#DIV/0!</v>
      </c>
      <c r="AD21" s="60" t="e">
        <v>#DIV/0!</v>
      </c>
      <c r="AE21" s="60" t="e">
        <v>#DIV/0!</v>
      </c>
      <c r="AF21" s="60" t="e">
        <v>#DIV/0!</v>
      </c>
      <c r="AG21" s="60" t="e">
        <v>#DIV/0!</v>
      </c>
      <c r="AH21" s="60" t="e">
        <v>#DIV/0!</v>
      </c>
      <c r="AI21" s="60" t="e">
        <v>#DIV/0!</v>
      </c>
      <c r="AJ21" s="60" t="e">
        <v>#DIV/0!</v>
      </c>
      <c r="AK21" s="60" t="e">
        <v>#DIV/0!</v>
      </c>
      <c r="AL21" s="60" t="e">
        <v>#DIV/0!</v>
      </c>
      <c r="AM21" s="60">
        <v>2.9560860959920832</v>
      </c>
      <c r="BO21" s="14"/>
      <c r="BP21" s="51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</row>
    <row r="22" spans="1:79" s="48" customFormat="1">
      <c r="A22" s="84" t="s">
        <v>55</v>
      </c>
      <c r="B22" s="13" t="s">
        <v>44</v>
      </c>
      <c r="C22" s="20"/>
      <c r="D22" s="20"/>
      <c r="E22" s="20"/>
      <c r="F22" s="21"/>
      <c r="G22" s="21"/>
      <c r="H22" s="21"/>
      <c r="I22" s="21">
        <v>12.6</v>
      </c>
      <c r="J22" s="20">
        <v>11.416656366382021</v>
      </c>
      <c r="K22" s="20">
        <v>11.119654359819204</v>
      </c>
      <c r="L22" s="20">
        <v>10.87412631079399</v>
      </c>
      <c r="M22" s="20">
        <v>11.046051108321858</v>
      </c>
      <c r="N22" s="20">
        <v>10.940960317590513</v>
      </c>
      <c r="O22" s="20">
        <v>11.57815268220163</v>
      </c>
      <c r="P22" s="20">
        <v>13.105844461819668</v>
      </c>
      <c r="Q22" s="20">
        <v>13.019388363779031</v>
      </c>
      <c r="R22" s="20">
        <v>12.17469962207732</v>
      </c>
      <c r="S22" s="20">
        <v>10.027550718367904</v>
      </c>
      <c r="T22" s="60">
        <v>10.544194717466086</v>
      </c>
      <c r="U22" s="60">
        <v>9.5977032387447405</v>
      </c>
      <c r="V22" s="60">
        <v>9.6999999999999993</v>
      </c>
      <c r="W22" s="60">
        <v>9.8000196540880502</v>
      </c>
      <c r="X22" s="60">
        <v>9.6101313140994922</v>
      </c>
      <c r="Y22" s="60">
        <v>9.8340243796147568</v>
      </c>
      <c r="Z22" s="60">
        <v>9.7465179354365077</v>
      </c>
      <c r="AA22" s="60" t="e">
        <v>#DIV/0!</v>
      </c>
      <c r="AB22" s="60" t="e">
        <v>#DIV/0!</v>
      </c>
      <c r="AC22" s="60" t="e">
        <v>#DIV/0!</v>
      </c>
      <c r="AD22" s="60" t="e">
        <v>#DIV/0!</v>
      </c>
      <c r="AE22" s="60" t="e">
        <v>#DIV/0!</v>
      </c>
      <c r="AF22" s="60" t="e">
        <v>#DIV/0!</v>
      </c>
      <c r="AG22" s="60" t="e">
        <v>#DIV/0!</v>
      </c>
      <c r="AH22" s="60" t="e">
        <v>#DIV/0!</v>
      </c>
      <c r="AI22" s="60" t="e">
        <v>#DIV/0!</v>
      </c>
      <c r="AJ22" s="60" t="e">
        <v>#DIV/0!</v>
      </c>
      <c r="AK22" s="60" t="e">
        <v>#DIV/0!</v>
      </c>
      <c r="AL22" s="60" t="e">
        <v>#DIV/0!</v>
      </c>
      <c r="AM22" s="60">
        <v>9.7465179354365077</v>
      </c>
      <c r="BO22" s="14"/>
      <c r="BP22" s="51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</row>
    <row r="23" spans="1:79" s="48" customFormat="1">
      <c r="A23" s="84" t="s">
        <v>49</v>
      </c>
      <c r="B23" s="18" t="s">
        <v>41</v>
      </c>
      <c r="C23" s="20"/>
      <c r="D23" s="20"/>
      <c r="E23" s="20"/>
      <c r="F23" s="21"/>
      <c r="G23" s="21"/>
      <c r="H23" s="21"/>
      <c r="I23" s="21">
        <v>98.36</v>
      </c>
      <c r="J23" s="20">
        <v>93.648935544289401</v>
      </c>
      <c r="K23" s="20">
        <v>95.782955919384023</v>
      </c>
      <c r="L23" s="20">
        <v>93.389879276437298</v>
      </c>
      <c r="M23" s="20">
        <v>92.587636229579957</v>
      </c>
      <c r="N23" s="20">
        <v>92.166045340427786</v>
      </c>
      <c r="O23" s="20">
        <v>92.344960157358884</v>
      </c>
      <c r="P23" s="20">
        <v>94.212169624331295</v>
      </c>
      <c r="Q23" s="20">
        <v>91.017744940479133</v>
      </c>
      <c r="R23" s="20">
        <v>91.537451099253857</v>
      </c>
      <c r="S23" s="20">
        <v>91.601959512585736</v>
      </c>
      <c r="T23" s="60">
        <v>90.105830010719913</v>
      </c>
      <c r="U23" s="60">
        <v>89.563327756540261</v>
      </c>
      <c r="V23" s="60">
        <v>89</v>
      </c>
      <c r="W23" s="60">
        <v>87.999008741101207</v>
      </c>
      <c r="X23" s="60">
        <v>87.990188026325882</v>
      </c>
      <c r="Y23" s="60">
        <v>87.999817314059968</v>
      </c>
      <c r="Z23" s="60">
        <v>87.996264126272521</v>
      </c>
      <c r="AA23" s="60" t="e">
        <v>#DIV/0!</v>
      </c>
      <c r="AB23" s="60" t="e">
        <v>#DIV/0!</v>
      </c>
      <c r="AC23" s="60" t="e">
        <v>#DIV/0!</v>
      </c>
      <c r="AD23" s="60" t="e">
        <v>#DIV/0!</v>
      </c>
      <c r="AE23" s="60" t="e">
        <v>#DIV/0!</v>
      </c>
      <c r="AF23" s="60" t="e">
        <v>#DIV/0!</v>
      </c>
      <c r="AG23" s="60" t="e">
        <v>#DIV/0!</v>
      </c>
      <c r="AH23" s="60" t="e">
        <v>#DIV/0!</v>
      </c>
      <c r="AI23" s="60" t="e">
        <v>#DIV/0!</v>
      </c>
      <c r="AJ23" s="60" t="e">
        <v>#DIV/0!</v>
      </c>
      <c r="AK23" s="60" t="e">
        <v>#DIV/0!</v>
      </c>
      <c r="AL23" s="60" t="e">
        <v>#DIV/0!</v>
      </c>
      <c r="AM23" s="60">
        <v>87.996264126272521</v>
      </c>
      <c r="BO23" s="14"/>
      <c r="BP23" s="51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</row>
    <row r="24" spans="1:79" s="48" customFormat="1">
      <c r="A24" s="84" t="s">
        <v>50</v>
      </c>
      <c r="B24" s="18" t="s">
        <v>41</v>
      </c>
      <c r="C24" s="20"/>
      <c r="D24" s="20"/>
      <c r="E24" s="20"/>
      <c r="F24" s="21"/>
      <c r="G24" s="21"/>
      <c r="H24" s="21"/>
      <c r="I24" s="21"/>
      <c r="J24" s="20">
        <v>6.625</v>
      </c>
      <c r="K24" s="20">
        <v>6.7416666666666671</v>
      </c>
      <c r="L24" s="20">
        <v>6.3500000000000005</v>
      </c>
      <c r="M24" s="20">
        <v>6.1499999999999995</v>
      </c>
      <c r="N24" s="20">
        <v>6.4916666666666671</v>
      </c>
      <c r="O24" s="20">
        <v>6.8416666666666677</v>
      </c>
      <c r="P24" s="20">
        <v>6.966666666666665</v>
      </c>
      <c r="Q24" s="20">
        <v>7.0249999999999995</v>
      </c>
      <c r="R24" s="20">
        <v>6.92</v>
      </c>
      <c r="S24" s="20">
        <v>6.9416666666666664</v>
      </c>
      <c r="T24" s="60">
        <v>6.6416666666666666</v>
      </c>
      <c r="U24" s="60">
        <v>6.3000000000000007</v>
      </c>
      <c r="V24" s="60"/>
      <c r="W24" s="60">
        <v>5.8</v>
      </c>
      <c r="X24" s="60">
        <v>5.61</v>
      </c>
      <c r="Y24" s="60">
        <v>5.9</v>
      </c>
      <c r="Z24" s="60">
        <v>5.7700000000000005</v>
      </c>
      <c r="AA24" s="60">
        <v>0</v>
      </c>
      <c r="AB24" s="60">
        <v>0</v>
      </c>
      <c r="AC24" s="60">
        <v>0</v>
      </c>
      <c r="AD24" s="60">
        <v>0</v>
      </c>
      <c r="AE24" s="60">
        <v>0</v>
      </c>
      <c r="AF24" s="60">
        <v>0</v>
      </c>
      <c r="AG24" s="60">
        <v>0</v>
      </c>
      <c r="AH24" s="60">
        <v>0</v>
      </c>
      <c r="AI24" s="60">
        <v>0</v>
      </c>
      <c r="AJ24" s="60">
        <v>0</v>
      </c>
      <c r="AK24" s="60">
        <v>0</v>
      </c>
      <c r="AL24" s="60">
        <v>0</v>
      </c>
      <c r="AM24" s="60">
        <v>5.7700000000000005</v>
      </c>
      <c r="BO24" s="14"/>
      <c r="BP24" s="51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</row>
    <row r="25" spans="1:79" s="48" customFormat="1">
      <c r="A25" s="84" t="s">
        <v>56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BO25" s="18"/>
      <c r="BP25" s="51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</row>
    <row r="26" spans="1:79" s="48" customFormat="1">
      <c r="A26" s="84" t="s">
        <v>57</v>
      </c>
      <c r="B26" s="13" t="s">
        <v>44</v>
      </c>
      <c r="C26" s="20">
        <v>3.1521127372142703</v>
      </c>
      <c r="D26" s="20">
        <v>3.2</v>
      </c>
      <c r="E26" s="20">
        <v>3.18</v>
      </c>
      <c r="F26" s="20">
        <v>3.1504923890967187</v>
      </c>
      <c r="G26" s="20">
        <v>3.1775048577573886</v>
      </c>
      <c r="H26" s="20">
        <v>3.1863900140208754</v>
      </c>
      <c r="I26" s="20">
        <v>3.1924337577993991</v>
      </c>
      <c r="J26" s="20">
        <v>3.0741990492729898</v>
      </c>
      <c r="K26" s="20">
        <v>2.8455109546371746</v>
      </c>
      <c r="L26" s="20">
        <v>2.8298694102138491</v>
      </c>
      <c r="M26" s="20">
        <v>2.8466089263015899</v>
      </c>
      <c r="N26" s="20">
        <v>2.8691885441527445</v>
      </c>
      <c r="O26" s="20">
        <v>3.2091519132813238</v>
      </c>
      <c r="P26" s="20">
        <v>3.1774287571685376</v>
      </c>
      <c r="Q26" s="20">
        <v>3.0602845212845597</v>
      </c>
      <c r="R26" s="20">
        <v>3.1549120461535423</v>
      </c>
      <c r="S26" s="20">
        <v>3.1206229145912419</v>
      </c>
      <c r="T26" s="60">
        <v>3.1086667712456042</v>
      </c>
      <c r="U26" s="60">
        <v>3.2143672492862159</v>
      </c>
      <c r="V26" s="54"/>
      <c r="W26" s="60">
        <v>3.1814354254381669</v>
      </c>
      <c r="X26" s="60">
        <v>3.2098573483111128</v>
      </c>
      <c r="Y26" s="60">
        <v>3.1970571158273411</v>
      </c>
      <c r="Z26" s="60">
        <v>3.1961406486366819</v>
      </c>
      <c r="AA26" s="60" t="e">
        <v>#DIV/0!</v>
      </c>
      <c r="AB26" s="60" t="e">
        <v>#DIV/0!</v>
      </c>
      <c r="AC26" s="60" t="e">
        <v>#DIV/0!</v>
      </c>
      <c r="AD26" s="60" t="e">
        <v>#DIV/0!</v>
      </c>
      <c r="AE26" s="60" t="e">
        <v>#DIV/0!</v>
      </c>
      <c r="AF26" s="60" t="e">
        <v>#DIV/0!</v>
      </c>
      <c r="AG26" s="60" t="e">
        <v>#DIV/0!</v>
      </c>
      <c r="AH26" s="60" t="e">
        <v>#DIV/0!</v>
      </c>
      <c r="AI26" s="60" t="e">
        <v>#DIV/0!</v>
      </c>
      <c r="AJ26" s="60" t="e">
        <v>#DIV/0!</v>
      </c>
      <c r="AK26" s="60" t="e">
        <v>#DIV/0!</v>
      </c>
      <c r="AL26" s="60" t="e">
        <v>#DIV/0!</v>
      </c>
      <c r="AM26" s="60">
        <v>3.1961406486366819</v>
      </c>
      <c r="BO26" s="14"/>
      <c r="BP26" s="51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</row>
    <row r="27" spans="1:79" s="48" customFormat="1">
      <c r="A27" s="84" t="s">
        <v>58</v>
      </c>
      <c r="B27" s="13" t="s">
        <v>44</v>
      </c>
      <c r="C27" s="20">
        <v>0.79334461195366746</v>
      </c>
      <c r="D27" s="20">
        <v>0.82</v>
      </c>
      <c r="E27" s="20">
        <v>0.65</v>
      </c>
      <c r="F27" s="20">
        <v>0.52814369606029621</v>
      </c>
      <c r="G27" s="20">
        <v>0.56089319632426859</v>
      </c>
      <c r="H27" s="20">
        <v>0.46955327932699797</v>
      </c>
      <c r="I27" s="20">
        <v>0.34336145839998944</v>
      </c>
      <c r="J27" s="20">
        <v>0.41983716378510172</v>
      </c>
      <c r="K27" s="20">
        <v>0.30917291117799273</v>
      </c>
      <c r="L27" s="20">
        <v>0.44237778422699903</v>
      </c>
      <c r="M27" s="20">
        <v>0.25600308687780116</v>
      </c>
      <c r="N27" s="20">
        <v>0.42643073489558425</v>
      </c>
      <c r="O27" s="20">
        <v>0.18195750395309085</v>
      </c>
      <c r="P27" s="20">
        <v>0.10716563862937856</v>
      </c>
      <c r="Q27" s="20">
        <v>0.18469656119990627</v>
      </c>
      <c r="R27" s="20">
        <v>0.26224800943091786</v>
      </c>
      <c r="S27" s="20">
        <v>0.27262200097954942</v>
      </c>
      <c r="T27" s="60">
        <v>0.21673522139962711</v>
      </c>
      <c r="U27" s="60">
        <v>0.27212126242740914</v>
      </c>
      <c r="V27" s="54"/>
      <c r="W27" s="60">
        <v>0.21149515323607165</v>
      </c>
      <c r="X27" s="60">
        <v>0.30123994247288843</v>
      </c>
      <c r="Y27" s="60">
        <v>0.30411427225738868</v>
      </c>
      <c r="Z27" s="60">
        <v>0.27197832606827921</v>
      </c>
      <c r="AA27" s="60" t="e">
        <v>#DIV/0!</v>
      </c>
      <c r="AB27" s="60" t="e">
        <v>#DIV/0!</v>
      </c>
      <c r="AC27" s="60" t="e">
        <v>#DIV/0!</v>
      </c>
      <c r="AD27" s="60" t="e">
        <v>#DIV/0!</v>
      </c>
      <c r="AE27" s="60" t="e">
        <v>#DIV/0!</v>
      </c>
      <c r="AF27" s="60" t="e">
        <v>#DIV/0!</v>
      </c>
      <c r="AG27" s="60" t="e">
        <v>#DIV/0!</v>
      </c>
      <c r="AH27" s="60" t="e">
        <v>#DIV/0!</v>
      </c>
      <c r="AI27" s="60" t="e">
        <v>#DIV/0!</v>
      </c>
      <c r="AJ27" s="60" t="e">
        <v>#DIV/0!</v>
      </c>
      <c r="AK27" s="60" t="e">
        <v>#DIV/0!</v>
      </c>
      <c r="AL27" s="60" t="e">
        <v>#DIV/0!</v>
      </c>
      <c r="AM27" s="60">
        <v>0.27197832606827921</v>
      </c>
      <c r="BO27" s="14"/>
      <c r="BP27" s="51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</row>
    <row r="28" spans="1:79" s="48" customFormat="1">
      <c r="A28" s="84" t="s">
        <v>59</v>
      </c>
      <c r="B28" s="18" t="s">
        <v>60</v>
      </c>
      <c r="C28" s="22">
        <v>312.27171127950714</v>
      </c>
      <c r="D28" s="22">
        <v>325</v>
      </c>
      <c r="E28" s="22">
        <v>361</v>
      </c>
      <c r="F28" s="22">
        <v>365.30253577705247</v>
      </c>
      <c r="G28" s="22">
        <v>370.4286964129484</v>
      </c>
      <c r="H28" s="22">
        <v>395.5208113247412</v>
      </c>
      <c r="I28" s="22">
        <v>346.19354838709677</v>
      </c>
      <c r="J28" s="22">
        <v>365.20509193776519</v>
      </c>
      <c r="K28" s="22">
        <v>377.51761087409466</v>
      </c>
      <c r="L28" s="22">
        <v>251.05117423853963</v>
      </c>
      <c r="M28" s="22">
        <v>360.23054755043228</v>
      </c>
      <c r="N28" s="22" t="s">
        <v>61</v>
      </c>
      <c r="O28" s="22" t="s">
        <v>61</v>
      </c>
      <c r="P28" s="22" t="s">
        <v>61</v>
      </c>
      <c r="Q28" s="22" t="s">
        <v>61</v>
      </c>
      <c r="R28" s="22">
        <v>309.22124470511568</v>
      </c>
      <c r="S28" s="22">
        <v>253</v>
      </c>
      <c r="T28" s="62">
        <v>384.99665103817813</v>
      </c>
      <c r="U28" s="62">
        <v>370.10740943018391</v>
      </c>
      <c r="V28" s="54"/>
      <c r="W28" s="62">
        <v>361.94415718717681</v>
      </c>
      <c r="X28" s="62">
        <v>372.44348762109797</v>
      </c>
      <c r="Y28" s="62">
        <v>372</v>
      </c>
      <c r="Z28" s="62">
        <v>368.48072562358277</v>
      </c>
      <c r="AA28" s="62" t="s">
        <v>1</v>
      </c>
      <c r="AB28" s="62" t="s">
        <v>1</v>
      </c>
      <c r="AC28" s="62" t="s">
        <v>1</v>
      </c>
      <c r="AD28" s="60" t="s">
        <v>61</v>
      </c>
      <c r="AE28" s="62" t="s">
        <v>1</v>
      </c>
      <c r="AF28" s="62" t="s">
        <v>1</v>
      </c>
      <c r="AG28" s="62" t="s">
        <v>1</v>
      </c>
      <c r="AH28" s="60" t="s">
        <v>61</v>
      </c>
      <c r="AI28" s="62" t="s">
        <v>1</v>
      </c>
      <c r="AJ28" s="62" t="s">
        <v>1</v>
      </c>
      <c r="AK28" s="62" t="s">
        <v>1</v>
      </c>
      <c r="AL28" s="60" t="s">
        <v>61</v>
      </c>
      <c r="AM28" s="62">
        <v>368.48072562358277</v>
      </c>
      <c r="BO28" s="14"/>
      <c r="BP28" s="51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</row>
    <row r="29" spans="1:79" s="48" customFormat="1">
      <c r="A29" s="84" t="s">
        <v>62</v>
      </c>
      <c r="B29" s="18" t="s">
        <v>60</v>
      </c>
      <c r="C29" s="22">
        <v>788.43589923514139</v>
      </c>
      <c r="D29" s="22">
        <v>783</v>
      </c>
      <c r="E29" s="22">
        <v>786</v>
      </c>
      <c r="F29" s="22">
        <v>774.8974263334577</v>
      </c>
      <c r="G29" s="22">
        <v>795.58632626568578</v>
      </c>
      <c r="H29" s="22">
        <v>784.44790046656294</v>
      </c>
      <c r="I29" s="22">
        <v>784.49933441798544</v>
      </c>
      <c r="J29" s="22">
        <v>790.61460771030909</v>
      </c>
      <c r="K29" s="22">
        <v>795.07109004739345</v>
      </c>
      <c r="L29" s="22">
        <v>796.11969746793818</v>
      </c>
      <c r="M29" s="22">
        <v>797.62845849802363</v>
      </c>
      <c r="N29" s="22">
        <v>1115.035733919736</v>
      </c>
      <c r="O29" s="22">
        <v>1025.553319919517</v>
      </c>
      <c r="P29" s="22">
        <v>3609.4695621217516</v>
      </c>
      <c r="Q29" s="22">
        <v>1842.8775948460986</v>
      </c>
      <c r="R29" s="22">
        <v>1599.3219487694626</v>
      </c>
      <c r="S29" s="22">
        <v>1559.4065577858123</v>
      </c>
      <c r="T29" s="62">
        <v>1957.405924739792</v>
      </c>
      <c r="U29" s="62">
        <v>1674.0823136818688</v>
      </c>
      <c r="V29" s="54"/>
      <c r="W29" s="62">
        <v>2225.9259259259256</v>
      </c>
      <c r="X29" s="62">
        <v>1600</v>
      </c>
      <c r="Y29" s="62">
        <v>1789.0520694259012</v>
      </c>
      <c r="Z29" s="62">
        <v>1832.3643410852712</v>
      </c>
      <c r="AA29" s="62" t="e">
        <v>#DIV/0!</v>
      </c>
      <c r="AB29" s="62" t="e">
        <v>#DIV/0!</v>
      </c>
      <c r="AC29" s="62" t="e">
        <v>#DIV/0!</v>
      </c>
      <c r="AD29" s="62" t="e">
        <v>#DIV/0!</v>
      </c>
      <c r="AE29" s="62" t="e">
        <v>#DIV/0!</v>
      </c>
      <c r="AF29" s="62" t="e">
        <v>#DIV/0!</v>
      </c>
      <c r="AG29" s="62" t="e">
        <v>#DIV/0!</v>
      </c>
      <c r="AH29" s="62" t="e">
        <v>#DIV/0!</v>
      </c>
      <c r="AI29" s="62" t="e">
        <v>#DIV/0!</v>
      </c>
      <c r="AJ29" s="62" t="e">
        <v>#DIV/0!</v>
      </c>
      <c r="AK29" s="62" t="e">
        <v>#DIV/0!</v>
      </c>
      <c r="AL29" s="62" t="e">
        <v>#DIV/0!</v>
      </c>
      <c r="AM29" s="62">
        <v>1832.3643410852712</v>
      </c>
      <c r="BO29" s="14"/>
      <c r="BP29" s="51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</row>
    <row r="30" spans="1:79" s="48" customFormat="1">
      <c r="A30" s="85" t="s">
        <v>63</v>
      </c>
      <c r="B30" s="18" t="s">
        <v>41</v>
      </c>
      <c r="C30" s="13"/>
      <c r="D30" s="13"/>
      <c r="E30" s="13"/>
      <c r="F30" s="13"/>
      <c r="G30" s="13"/>
      <c r="H30" s="13"/>
      <c r="I30" s="13"/>
      <c r="J30" s="24"/>
      <c r="K30" s="24"/>
      <c r="L30" s="24"/>
      <c r="M30" s="24"/>
      <c r="N30" s="24"/>
      <c r="O30" s="24"/>
      <c r="P30" s="24"/>
      <c r="Q30" s="24"/>
      <c r="R30" s="21">
        <v>14.78</v>
      </c>
      <c r="S30" s="21">
        <v>14.79</v>
      </c>
      <c r="T30" s="59">
        <v>13.3</v>
      </c>
      <c r="U30" s="59">
        <v>14.14</v>
      </c>
      <c r="V30" s="59">
        <v>14.3</v>
      </c>
      <c r="W30" s="59">
        <v>14.59</v>
      </c>
      <c r="X30" s="59">
        <v>13.95</v>
      </c>
      <c r="Y30" s="59">
        <v>16.96</v>
      </c>
      <c r="Z30" s="59">
        <v>15.17</v>
      </c>
      <c r="AA30" s="59">
        <v>0</v>
      </c>
      <c r="AB30" s="59">
        <v>0</v>
      </c>
      <c r="AC30" s="59">
        <v>0</v>
      </c>
      <c r="AD30" s="59">
        <v>0</v>
      </c>
      <c r="AE30" s="59">
        <v>0</v>
      </c>
      <c r="AF30" s="59">
        <v>0</v>
      </c>
      <c r="AG30" s="59">
        <v>0</v>
      </c>
      <c r="AH30" s="59">
        <v>0</v>
      </c>
      <c r="AI30" s="59">
        <v>0</v>
      </c>
      <c r="AJ30" s="59">
        <v>0</v>
      </c>
      <c r="AK30" s="59">
        <v>0</v>
      </c>
      <c r="AL30" s="59">
        <v>0</v>
      </c>
      <c r="AM30" s="59">
        <v>15.17</v>
      </c>
      <c r="BO30" s="23"/>
      <c r="BP30" s="51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</row>
    <row r="31" spans="1:79" s="12" customFormat="1" ht="14.1" customHeight="1">
      <c r="A31" s="64" t="s">
        <v>64</v>
      </c>
      <c r="B31" s="18"/>
      <c r="C31" s="13"/>
      <c r="D31" s="15"/>
      <c r="E31" s="15"/>
      <c r="F31" s="15"/>
      <c r="G31" s="15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BO31" s="13"/>
      <c r="BP31" s="16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</row>
    <row r="32" spans="1:79" ht="14.1" customHeight="1">
      <c r="A32" s="84" t="s">
        <v>65</v>
      </c>
      <c r="B32" s="18" t="s">
        <v>41</v>
      </c>
      <c r="C32" s="20">
        <v>9.4</v>
      </c>
      <c r="D32" s="20">
        <v>9.4</v>
      </c>
      <c r="E32" s="20">
        <v>9.4</v>
      </c>
      <c r="F32" s="20">
        <v>9.2941666666666674</v>
      </c>
      <c r="G32" s="20">
        <v>9.3975000000000009</v>
      </c>
      <c r="H32" s="20">
        <v>9.3000000000000007</v>
      </c>
      <c r="I32" s="20">
        <v>9.3591666666666669</v>
      </c>
      <c r="J32" s="20">
        <v>9.4</v>
      </c>
      <c r="K32" s="20">
        <v>9.5550000000000015</v>
      </c>
      <c r="L32" s="20">
        <v>9.6690000000000005</v>
      </c>
      <c r="M32" s="20">
        <v>9.8125000000000018</v>
      </c>
      <c r="N32" s="20">
        <v>9.7766666666666655</v>
      </c>
      <c r="O32" s="20">
        <v>9.7233333333333345</v>
      </c>
      <c r="P32" s="20">
        <v>9.76</v>
      </c>
      <c r="Q32" s="20">
        <v>9.7211111111111101</v>
      </c>
      <c r="R32" s="20">
        <v>9.7391666666666676</v>
      </c>
      <c r="S32" s="20">
        <v>9.7791666666666668</v>
      </c>
      <c r="T32" s="60">
        <v>10.033333333333331</v>
      </c>
      <c r="U32" s="60">
        <v>10.178333333333333</v>
      </c>
      <c r="W32" s="60">
        <v>10.11</v>
      </c>
      <c r="X32" s="60">
        <v>10.16</v>
      </c>
      <c r="Y32" s="60">
        <v>10.25</v>
      </c>
      <c r="Z32" s="60">
        <v>10.173333333333334</v>
      </c>
      <c r="AA32" s="60">
        <v>0</v>
      </c>
      <c r="AB32" s="60">
        <v>0</v>
      </c>
      <c r="AC32" s="60">
        <v>0</v>
      </c>
      <c r="AD32" s="60" t="e">
        <v>#DIV/0!</v>
      </c>
      <c r="AE32" s="60">
        <v>0</v>
      </c>
      <c r="AF32" s="60">
        <v>0</v>
      </c>
      <c r="AG32" s="60">
        <v>0</v>
      </c>
      <c r="AH32" s="60" t="e">
        <v>#DIV/0!</v>
      </c>
      <c r="AI32" s="60">
        <v>0</v>
      </c>
      <c r="AJ32" s="60">
        <v>0</v>
      </c>
      <c r="AK32" s="60">
        <v>0</v>
      </c>
      <c r="AL32" s="60" t="e">
        <v>#DIV/0!</v>
      </c>
      <c r="AM32" s="60">
        <v>10.173333333333334</v>
      </c>
      <c r="BO32" s="14"/>
    </row>
    <row r="33" spans="1:79" ht="14.1" customHeight="1">
      <c r="A33" s="84" t="s">
        <v>66</v>
      </c>
      <c r="B33" s="18" t="s">
        <v>41</v>
      </c>
      <c r="C33" s="20">
        <v>53</v>
      </c>
      <c r="D33" s="20">
        <v>53.4</v>
      </c>
      <c r="E33" s="20">
        <v>53.2</v>
      </c>
      <c r="F33" s="20">
        <v>53.08</v>
      </c>
      <c r="G33" s="20">
        <v>53.747500000000002</v>
      </c>
      <c r="H33" s="20">
        <v>53.166666666666664</v>
      </c>
      <c r="I33" s="20">
        <v>53.954166666666673</v>
      </c>
      <c r="J33" s="20">
        <v>54.141666666666666</v>
      </c>
      <c r="K33" s="20">
        <v>54.307500000000012</v>
      </c>
      <c r="L33" s="20">
        <v>54.846000000000004</v>
      </c>
      <c r="M33" s="20">
        <v>54.439166666666672</v>
      </c>
      <c r="N33" s="20">
        <v>54.180833333333332</v>
      </c>
      <c r="O33" s="20">
        <v>53.014166666666661</v>
      </c>
      <c r="P33" s="20">
        <v>54.12</v>
      </c>
      <c r="Q33" s="20">
        <v>53.070833333333333</v>
      </c>
      <c r="R33" s="20">
        <v>53.065000000000005</v>
      </c>
      <c r="S33" s="20">
        <v>53.045833333333327</v>
      </c>
      <c r="T33" s="60">
        <v>53.74583333333333</v>
      </c>
      <c r="U33" s="60">
        <v>53.400833333333331</v>
      </c>
      <c r="V33" s="59"/>
      <c r="W33" s="60">
        <v>52.91</v>
      </c>
      <c r="X33" s="60">
        <v>53.65</v>
      </c>
      <c r="Y33" s="60">
        <v>53.83</v>
      </c>
      <c r="Z33" s="60">
        <v>53.463333333333331</v>
      </c>
      <c r="AA33" s="60">
        <v>0</v>
      </c>
      <c r="AB33" s="60">
        <v>0</v>
      </c>
      <c r="AC33" s="60">
        <v>0</v>
      </c>
      <c r="AD33" s="60" t="e">
        <v>#DIV/0!</v>
      </c>
      <c r="AE33" s="60">
        <v>0</v>
      </c>
      <c r="AF33" s="60">
        <v>0</v>
      </c>
      <c r="AG33" s="60">
        <v>0</v>
      </c>
      <c r="AH33" s="60" t="e">
        <v>#DIV/0!</v>
      </c>
      <c r="AI33" s="60">
        <v>0</v>
      </c>
      <c r="AJ33" s="60">
        <v>0</v>
      </c>
      <c r="AK33" s="60">
        <v>0</v>
      </c>
      <c r="AL33" s="60" t="e">
        <v>#DIV/0!</v>
      </c>
      <c r="AM33" s="60">
        <v>53.463333333333331</v>
      </c>
      <c r="BO33" s="14"/>
    </row>
    <row r="34" spans="1:79" ht="14.1" customHeight="1">
      <c r="A34" s="84" t="s">
        <v>67</v>
      </c>
      <c r="B34" s="18" t="s">
        <v>41</v>
      </c>
      <c r="C34" s="20">
        <v>10.7</v>
      </c>
      <c r="D34" s="20">
        <v>10.5</v>
      </c>
      <c r="E34" s="20">
        <v>10.8</v>
      </c>
      <c r="F34" s="20">
        <v>10.949166666666668</v>
      </c>
      <c r="G34" s="20">
        <v>10.828333333333333</v>
      </c>
      <c r="H34" s="20">
        <v>11.172499999999999</v>
      </c>
      <c r="I34" s="20">
        <v>10.946666666666665</v>
      </c>
      <c r="J34" s="20">
        <v>10.954166666666666</v>
      </c>
      <c r="K34" s="20">
        <v>10.9825</v>
      </c>
      <c r="L34" s="20">
        <v>10.224</v>
      </c>
      <c r="M34" s="20">
        <v>10.68</v>
      </c>
      <c r="N34" s="20">
        <v>11.066666666666665</v>
      </c>
      <c r="O34" s="20">
        <v>11.823333333333332</v>
      </c>
      <c r="P34" s="20">
        <v>10.6</v>
      </c>
      <c r="Q34" s="20">
        <v>11.327500000000001</v>
      </c>
      <c r="R34" s="20">
        <v>10.967500000000001</v>
      </c>
      <c r="S34" s="20">
        <v>10.993333333333334</v>
      </c>
      <c r="T34" s="60">
        <v>10.352500000000001</v>
      </c>
      <c r="U34" s="60">
        <v>10.637499999999998</v>
      </c>
      <c r="V34" s="66"/>
      <c r="W34" s="60">
        <v>11.2</v>
      </c>
      <c r="X34" s="60">
        <v>10.78</v>
      </c>
      <c r="Y34" s="60">
        <v>10.67</v>
      </c>
      <c r="Z34" s="60">
        <v>10.883333333333333</v>
      </c>
      <c r="AA34" s="60">
        <v>0</v>
      </c>
      <c r="AB34" s="60">
        <v>0</v>
      </c>
      <c r="AC34" s="60">
        <v>0</v>
      </c>
      <c r="AD34" s="60" t="e">
        <v>#DIV/0!</v>
      </c>
      <c r="AE34" s="60">
        <v>0</v>
      </c>
      <c r="AF34" s="60">
        <v>0</v>
      </c>
      <c r="AG34" s="60">
        <v>0</v>
      </c>
      <c r="AH34" s="60" t="e">
        <v>#DIV/0!</v>
      </c>
      <c r="AI34" s="60">
        <v>0</v>
      </c>
      <c r="AJ34" s="60">
        <v>0</v>
      </c>
      <c r="AK34" s="60">
        <v>0</v>
      </c>
      <c r="AL34" s="60" t="e">
        <v>#DIV/0!</v>
      </c>
      <c r="AM34" s="60">
        <v>10.883333333333333</v>
      </c>
      <c r="BO34" s="14"/>
    </row>
    <row r="35" spans="1:79" ht="14.1" customHeight="1">
      <c r="A35" s="84" t="s">
        <v>68</v>
      </c>
      <c r="B35" s="18"/>
      <c r="C35" s="20">
        <v>1.8166666666666664</v>
      </c>
      <c r="D35" s="20">
        <v>1.9</v>
      </c>
      <c r="E35" s="20">
        <v>1.8</v>
      </c>
      <c r="F35" s="20">
        <v>1.8033333333333335</v>
      </c>
      <c r="G35" s="20">
        <v>1.8266666666666669</v>
      </c>
      <c r="H35" s="20">
        <v>1.7658333333333331</v>
      </c>
      <c r="I35" s="20">
        <v>1.780833333333333</v>
      </c>
      <c r="J35" s="20">
        <v>1.8041666666666667</v>
      </c>
      <c r="K35" s="20">
        <v>1.8199999999999996</v>
      </c>
      <c r="L35" s="20">
        <v>1.7039999999999995</v>
      </c>
      <c r="M35" s="20">
        <v>1.7150000000000001</v>
      </c>
      <c r="N35" s="20">
        <v>1.718333333333333</v>
      </c>
      <c r="O35" s="20">
        <v>1.7008333333333334</v>
      </c>
      <c r="P35" s="20">
        <v>1.75</v>
      </c>
      <c r="Q35" s="20">
        <v>1.6691666666666665</v>
      </c>
      <c r="R35" s="20">
        <v>1.7075000000000002</v>
      </c>
      <c r="S35" s="20">
        <v>1.668333333333333</v>
      </c>
      <c r="T35" s="60">
        <v>1.6150000000000002</v>
      </c>
      <c r="U35" s="60">
        <v>1.5866666666666667</v>
      </c>
      <c r="W35" s="60">
        <v>1.54</v>
      </c>
      <c r="X35" s="60">
        <v>1.61</v>
      </c>
      <c r="Y35" s="60">
        <v>1.62</v>
      </c>
      <c r="Z35" s="60">
        <v>1.59</v>
      </c>
      <c r="AA35" s="60">
        <v>0</v>
      </c>
      <c r="AB35" s="60">
        <v>0</v>
      </c>
      <c r="AC35" s="60">
        <v>0</v>
      </c>
      <c r="AD35" s="60" t="e">
        <v>#DIV/0!</v>
      </c>
      <c r="AE35" s="60">
        <v>0</v>
      </c>
      <c r="AF35" s="60">
        <v>0</v>
      </c>
      <c r="AG35" s="60">
        <v>0</v>
      </c>
      <c r="AH35" s="60" t="e">
        <v>#DIV/0!</v>
      </c>
      <c r="AI35" s="60">
        <v>0</v>
      </c>
      <c r="AJ35" s="60">
        <v>0</v>
      </c>
      <c r="AK35" s="60">
        <v>0</v>
      </c>
      <c r="AL35" s="60" t="e">
        <v>#DIV/0!</v>
      </c>
      <c r="AM35" s="60">
        <v>1.59</v>
      </c>
      <c r="BO35" s="14"/>
    </row>
    <row r="36" spans="1:79" ht="14.1" customHeight="1">
      <c r="A36" s="84" t="s">
        <v>69</v>
      </c>
      <c r="B36" s="18" t="s">
        <v>70</v>
      </c>
      <c r="C36" s="20">
        <v>0.89431578452688565</v>
      </c>
      <c r="D36" s="20">
        <v>0.92</v>
      </c>
      <c r="E36" s="20">
        <v>0.91</v>
      </c>
      <c r="F36" s="20">
        <v>0.91695526429142826</v>
      </c>
      <c r="G36" s="20">
        <v>0.87436281859070464</v>
      </c>
      <c r="H36" s="20">
        <v>0.8407718402853116</v>
      </c>
      <c r="I36" s="20">
        <v>0.80919005063344429</v>
      </c>
      <c r="J36" s="20">
        <v>0.88286785409959811</v>
      </c>
      <c r="K36" s="20">
        <v>0.84495247325699796</v>
      </c>
      <c r="L36" s="20">
        <v>0.82726684234272529</v>
      </c>
      <c r="M36" s="20">
        <v>0.80943352198303098</v>
      </c>
      <c r="N36" s="20">
        <v>0.75680786062257455</v>
      </c>
      <c r="O36" s="20">
        <v>0.67485386601375263</v>
      </c>
      <c r="P36" s="20">
        <v>0.77659422523247168</v>
      </c>
      <c r="Q36" s="20">
        <v>0.74102680740154925</v>
      </c>
      <c r="R36" s="20">
        <v>0.71869473014452911</v>
      </c>
      <c r="S36" s="20">
        <v>0.71352948988831877</v>
      </c>
      <c r="T36" s="60">
        <v>0.71847916101995279</v>
      </c>
      <c r="U36" s="60">
        <v>0.71968889227006216</v>
      </c>
      <c r="V36" s="60">
        <v>0.69</v>
      </c>
      <c r="W36" s="60">
        <v>0.72814415806453914</v>
      </c>
      <c r="X36" s="60">
        <v>0.73936112615051441</v>
      </c>
      <c r="Y36" s="60">
        <v>0.73576570157197496</v>
      </c>
      <c r="Z36" s="60">
        <v>0.73440134663941325</v>
      </c>
      <c r="AA36" s="60" t="e">
        <v>#DIV/0!</v>
      </c>
      <c r="AB36" s="60" t="e">
        <v>#DIV/0!</v>
      </c>
      <c r="AC36" s="60" t="e">
        <v>#DIV/0!</v>
      </c>
      <c r="AD36" s="60" t="e">
        <v>#DIV/0!</v>
      </c>
      <c r="AE36" s="60" t="e">
        <v>#DIV/0!</v>
      </c>
      <c r="AF36" s="60" t="e">
        <v>#DIV/0!</v>
      </c>
      <c r="AG36" s="60" t="e">
        <v>#DIV/0!</v>
      </c>
      <c r="AH36" s="60" t="e">
        <v>#DIV/0!</v>
      </c>
      <c r="AI36" s="60" t="e">
        <v>#DIV/0!</v>
      </c>
      <c r="AJ36" s="60" t="e">
        <v>#DIV/0!</v>
      </c>
      <c r="AK36" s="60" t="e">
        <v>#DIV/0!</v>
      </c>
      <c r="AL36" s="60" t="e">
        <v>#DIV/0!</v>
      </c>
      <c r="AM36" s="60">
        <v>0.73440134663941325</v>
      </c>
      <c r="BO36" s="14"/>
    </row>
    <row r="37" spans="1:79" ht="14.1" customHeight="1">
      <c r="A37" s="84" t="s">
        <v>71</v>
      </c>
      <c r="B37" s="18" t="s">
        <v>72</v>
      </c>
      <c r="C37" s="22">
        <v>843.57616024539959</v>
      </c>
      <c r="D37" s="22">
        <v>817</v>
      </c>
      <c r="E37" s="22">
        <v>811</v>
      </c>
      <c r="F37" s="22">
        <v>801.08374313712864</v>
      </c>
      <c r="G37" s="22">
        <v>799.1801113176615</v>
      </c>
      <c r="H37" s="22">
        <v>798.44631325284217</v>
      </c>
      <c r="I37" s="22">
        <v>797.80276820845052</v>
      </c>
      <c r="J37" s="22">
        <v>796.54254884996487</v>
      </c>
      <c r="K37" s="22">
        <v>830.36755040797595</v>
      </c>
      <c r="L37" s="22">
        <v>832.85329016633409</v>
      </c>
      <c r="M37" s="22">
        <v>943.78176920451301</v>
      </c>
      <c r="N37" s="22">
        <v>895.83507594134176</v>
      </c>
      <c r="O37" s="22">
        <v>891.84129143878249</v>
      </c>
      <c r="P37" s="22">
        <v>846</v>
      </c>
      <c r="Q37" s="22">
        <v>847.50887149891344</v>
      </c>
      <c r="R37" s="25">
        <v>853.58083950861646</v>
      </c>
      <c r="S37" s="25">
        <v>860.55181488129563</v>
      </c>
      <c r="T37" s="67">
        <v>872.20769476491523</v>
      </c>
      <c r="U37" s="67">
        <v>857.1462072915682</v>
      </c>
      <c r="V37" s="62">
        <v>872</v>
      </c>
      <c r="W37" s="67">
        <v>841.15219868746806</v>
      </c>
      <c r="X37" s="67">
        <v>873.47002538566687</v>
      </c>
      <c r="Y37" s="67">
        <v>861.80835000118589</v>
      </c>
      <c r="Z37" s="67">
        <v>858.83468543631852</v>
      </c>
      <c r="AA37" s="62" t="e">
        <v>#DIV/0!</v>
      </c>
      <c r="AB37" s="62" t="e">
        <v>#DIV/0!</v>
      </c>
      <c r="AC37" s="62" t="e">
        <v>#DIV/0!</v>
      </c>
      <c r="AD37" s="67" t="e">
        <v>#DIV/0!</v>
      </c>
      <c r="AE37" s="62" t="e">
        <v>#DIV/0!</v>
      </c>
      <c r="AF37" s="62" t="e">
        <v>#DIV/0!</v>
      </c>
      <c r="AG37" s="62" t="e">
        <v>#DIV/0!</v>
      </c>
      <c r="AH37" s="67" t="e">
        <v>#DIV/0!</v>
      </c>
      <c r="AI37" s="62" t="e">
        <v>#DIV/0!</v>
      </c>
      <c r="AJ37" s="62" t="e">
        <v>#DIV/0!</v>
      </c>
      <c r="AK37" s="62" t="e">
        <v>#DIV/0!</v>
      </c>
      <c r="AL37" s="67" t="e">
        <v>#DIV/0!</v>
      </c>
      <c r="AM37" s="67">
        <v>858.83468543631852</v>
      </c>
      <c r="BO37" s="14"/>
    </row>
    <row r="38" spans="1:79" ht="14.1" customHeight="1">
      <c r="A38" s="84" t="s">
        <v>73</v>
      </c>
      <c r="B38" s="18" t="s">
        <v>72</v>
      </c>
      <c r="C38" s="22">
        <v>77.220731535093918</v>
      </c>
      <c r="D38" s="22">
        <v>82</v>
      </c>
      <c r="E38" s="22">
        <v>75</v>
      </c>
      <c r="F38" s="22">
        <v>64.62802700052255</v>
      </c>
      <c r="G38" s="22">
        <v>66.089972283809942</v>
      </c>
      <c r="H38" s="22">
        <v>93.250094242903586</v>
      </c>
      <c r="I38" s="22">
        <v>90.554400707110034</v>
      </c>
      <c r="J38" s="22">
        <v>89.139555004162645</v>
      </c>
      <c r="K38" s="22">
        <v>87.544331737804129</v>
      </c>
      <c r="L38" s="22">
        <v>80.185651820633524</v>
      </c>
      <c r="M38" s="22">
        <v>93.657075557277594</v>
      </c>
      <c r="N38" s="22">
        <v>112.80825978012227</v>
      </c>
      <c r="O38" s="22">
        <v>115.00100360765867</v>
      </c>
      <c r="P38" s="22">
        <v>129</v>
      </c>
      <c r="Q38" s="22">
        <v>152.56947043752518</v>
      </c>
      <c r="R38" s="25">
        <v>135.53329085893137</v>
      </c>
      <c r="S38" s="25">
        <v>150.27560963063436</v>
      </c>
      <c r="T38" s="67">
        <v>129.81758548707015</v>
      </c>
      <c r="U38" s="67">
        <v>135.4525020484129</v>
      </c>
      <c r="V38" s="62">
        <v>141</v>
      </c>
      <c r="W38" s="62">
        <v>144.0641332966558</v>
      </c>
      <c r="X38" s="62">
        <v>131.69302870533099</v>
      </c>
      <c r="Y38" s="62">
        <v>131.8908064605387</v>
      </c>
      <c r="Z38" s="62">
        <v>135.88176586308876</v>
      </c>
      <c r="AA38" s="62" t="e">
        <v>#DIV/0!</v>
      </c>
      <c r="AB38" s="62" t="e">
        <v>#DIV/0!</v>
      </c>
      <c r="AC38" s="62" t="e">
        <v>#DIV/0!</v>
      </c>
      <c r="AD38" s="62" t="e">
        <v>#DIV/0!</v>
      </c>
      <c r="AE38" s="62" t="e">
        <v>#DIV/0!</v>
      </c>
      <c r="AF38" s="62" t="e">
        <v>#DIV/0!</v>
      </c>
      <c r="AG38" s="62" t="e">
        <v>#DIV/0!</v>
      </c>
      <c r="AH38" s="62" t="e">
        <v>#DIV/0!</v>
      </c>
      <c r="AI38" s="62" t="e">
        <v>#DIV/0!</v>
      </c>
      <c r="AJ38" s="62" t="e">
        <v>#DIV/0!</v>
      </c>
      <c r="AK38" s="62" t="e">
        <v>#DIV/0!</v>
      </c>
      <c r="AL38" s="62" t="e">
        <v>#DIV/0!</v>
      </c>
      <c r="AM38" s="67">
        <v>135.88176586308876</v>
      </c>
      <c r="BO38" s="14"/>
    </row>
    <row r="39" spans="1:79" ht="14.1" customHeight="1">
      <c r="A39" s="84" t="s">
        <v>74</v>
      </c>
      <c r="B39" s="18" t="s">
        <v>72</v>
      </c>
      <c r="C39" s="22">
        <v>143.49963708975542</v>
      </c>
      <c r="D39" s="22">
        <v>123</v>
      </c>
      <c r="E39" s="22">
        <v>127</v>
      </c>
      <c r="F39" s="22">
        <v>143.71049598785979</v>
      </c>
      <c r="G39" s="22">
        <v>151.85576327258281</v>
      </c>
      <c r="H39" s="22">
        <v>139.85576431875594</v>
      </c>
      <c r="I39" s="22">
        <v>141.92026403997815</v>
      </c>
      <c r="J39" s="22">
        <v>142.60924925317096</v>
      </c>
      <c r="K39" s="22">
        <v>141.55774906376331</v>
      </c>
      <c r="L39" s="22">
        <v>144.46506539863609</v>
      </c>
      <c r="M39" s="22">
        <v>142.95027321900264</v>
      </c>
      <c r="N39" s="22">
        <v>135.29184289737219</v>
      </c>
      <c r="O39" s="22">
        <v>131.83674411912557</v>
      </c>
      <c r="P39" s="22">
        <v>107.0054040898506</v>
      </c>
      <c r="Q39" s="22">
        <v>96.638405538484747</v>
      </c>
      <c r="R39" s="22">
        <v>94.348069476575162</v>
      </c>
      <c r="S39" s="22">
        <v>98.316561214848264</v>
      </c>
      <c r="T39" s="62">
        <v>100.54527490323972</v>
      </c>
      <c r="U39" s="62">
        <v>97.333900895900825</v>
      </c>
      <c r="V39" s="62">
        <v>92</v>
      </c>
      <c r="W39" s="62">
        <v>107.08531457539199</v>
      </c>
      <c r="X39" s="62">
        <v>108.00234329232572</v>
      </c>
      <c r="Y39" s="62">
        <v>100.14941774513601</v>
      </c>
      <c r="Z39" s="62">
        <v>105.0946821357377</v>
      </c>
      <c r="AA39" s="62" t="e">
        <v>#DIV/0!</v>
      </c>
      <c r="AB39" s="62" t="e">
        <v>#DIV/0!</v>
      </c>
      <c r="AC39" s="62" t="e">
        <v>#DIV/0!</v>
      </c>
      <c r="AD39" s="62" t="e">
        <v>#DIV/0!</v>
      </c>
      <c r="AE39" s="62" t="e">
        <v>#DIV/0!</v>
      </c>
      <c r="AF39" s="62" t="e">
        <v>#DIV/0!</v>
      </c>
      <c r="AG39" s="62" t="e">
        <v>#DIV/0!</v>
      </c>
      <c r="AH39" s="62" t="e">
        <v>#DIV/0!</v>
      </c>
      <c r="AI39" s="62" t="e">
        <v>#DIV/0!</v>
      </c>
      <c r="AJ39" s="62" t="e">
        <v>#DIV/0!</v>
      </c>
      <c r="AK39" s="62" t="e">
        <v>#DIV/0!</v>
      </c>
      <c r="AL39" s="62" t="e">
        <v>#DIV/0!</v>
      </c>
      <c r="AM39" s="62">
        <v>105.0946821357377</v>
      </c>
      <c r="BO39" s="14"/>
    </row>
    <row r="40" spans="1:79" ht="14.1" customHeight="1">
      <c r="A40" s="84" t="s">
        <v>75</v>
      </c>
      <c r="B40" s="18" t="s">
        <v>72</v>
      </c>
      <c r="C40" s="22">
        <v>10.11287986521415</v>
      </c>
      <c r="D40" s="22">
        <v>10</v>
      </c>
      <c r="E40" s="22">
        <v>10</v>
      </c>
      <c r="F40" s="22">
        <v>10.586180485465388</v>
      </c>
      <c r="G40" s="22">
        <v>12.802697645118856</v>
      </c>
      <c r="H40" s="22">
        <v>10.111294703724973</v>
      </c>
      <c r="I40" s="22">
        <v>12.695171427662007</v>
      </c>
      <c r="J40" s="22">
        <v>12.295336195497804</v>
      </c>
      <c r="K40" s="22">
        <v>8.0789166935343868</v>
      </c>
      <c r="L40" s="22">
        <v>5.653022058800282</v>
      </c>
      <c r="M40" s="22">
        <v>4.6310390317253853</v>
      </c>
      <c r="N40" s="22">
        <v>12.689823048006275</v>
      </c>
      <c r="O40" s="22">
        <v>10.025418806364115</v>
      </c>
      <c r="P40" s="22">
        <v>6.7282854598454556</v>
      </c>
      <c r="Q40" s="22">
        <v>9.3074572818829928</v>
      </c>
      <c r="R40" s="22">
        <v>5.6428067744609249</v>
      </c>
      <c r="S40" s="22">
        <v>4.9727503837688127</v>
      </c>
      <c r="T40" s="62">
        <v>4.376499691704244</v>
      </c>
      <c r="U40" s="62">
        <v>5.836466652975048</v>
      </c>
      <c r="V40" s="54">
        <v>6</v>
      </c>
      <c r="W40" s="62">
        <v>1.9963060478641885</v>
      </c>
      <c r="X40" s="62">
        <v>1.7574692442882249</v>
      </c>
      <c r="Y40" s="62">
        <v>3.5259425571779812</v>
      </c>
      <c r="Z40" s="62">
        <v>2.4230453882242613</v>
      </c>
      <c r="AA40" s="62" t="e">
        <v>#DIV/0!</v>
      </c>
      <c r="AB40" s="62" t="e">
        <v>#DIV/0!</v>
      </c>
      <c r="AC40" s="62" t="e">
        <v>#DIV/0!</v>
      </c>
      <c r="AD40" s="62" t="e">
        <v>#DIV/0!</v>
      </c>
      <c r="AE40" s="62" t="e">
        <v>#DIV/0!</v>
      </c>
      <c r="AF40" s="62" t="e">
        <v>#DIV/0!</v>
      </c>
      <c r="AG40" s="62" t="e">
        <v>#DIV/0!</v>
      </c>
      <c r="AH40" s="62" t="e">
        <v>#DIV/0!</v>
      </c>
      <c r="AI40" s="62" t="e">
        <v>#DIV/0!</v>
      </c>
      <c r="AJ40" s="62" t="e">
        <v>#DIV/0!</v>
      </c>
      <c r="AK40" s="62" t="e">
        <v>#DIV/0!</v>
      </c>
      <c r="AL40" s="62" t="e">
        <v>#DIV/0!</v>
      </c>
      <c r="AM40" s="62">
        <v>2.4230453882242613</v>
      </c>
      <c r="BO40" s="14"/>
    </row>
    <row r="41" spans="1:79" ht="14.1" customHeight="1">
      <c r="A41" s="84" t="s">
        <v>76</v>
      </c>
      <c r="B41" s="18" t="s">
        <v>72</v>
      </c>
      <c r="C41" s="21">
        <v>37.713763986823565</v>
      </c>
      <c r="D41" s="21">
        <v>35</v>
      </c>
      <c r="E41" s="21">
        <v>38</v>
      </c>
      <c r="F41" s="21">
        <v>39.148610246168602</v>
      </c>
      <c r="G41" s="21">
        <v>33.87702081493422</v>
      </c>
      <c r="H41" s="21">
        <v>34.008476576674965</v>
      </c>
      <c r="I41" s="21">
        <v>24.145310131897567</v>
      </c>
      <c r="J41" s="22">
        <v>19.135147488532297</v>
      </c>
      <c r="K41" s="22">
        <v>24.007341087770641</v>
      </c>
      <c r="L41" s="22">
        <v>24.290921967428726</v>
      </c>
      <c r="M41" s="22">
        <v>12.463214605300788</v>
      </c>
      <c r="N41" s="22">
        <v>13.217151384449027</v>
      </c>
      <c r="O41" s="22">
        <v>15.633187617790677</v>
      </c>
      <c r="P41" s="22">
        <v>3.5311882913230339</v>
      </c>
      <c r="Q41" s="22">
        <v>7.2836239238864566</v>
      </c>
      <c r="R41" s="22">
        <v>5.9745091732337032</v>
      </c>
      <c r="S41" s="22">
        <v>3.8099376494126376</v>
      </c>
      <c r="T41" s="62">
        <v>4.2724963041653359</v>
      </c>
      <c r="U41" s="62">
        <v>8.3855237434683511E-2</v>
      </c>
      <c r="V41" s="60">
        <v>0.13</v>
      </c>
      <c r="W41" s="62">
        <v>0</v>
      </c>
      <c r="X41" s="62">
        <v>0</v>
      </c>
      <c r="Y41" s="62">
        <v>0</v>
      </c>
      <c r="Z41" s="62">
        <v>0</v>
      </c>
      <c r="AA41" s="62" t="e">
        <v>#DIV/0!</v>
      </c>
      <c r="AB41" s="62" t="e">
        <v>#DIV/0!</v>
      </c>
      <c r="AC41" s="62" t="e">
        <v>#DIV/0!</v>
      </c>
      <c r="AD41" s="62" t="e">
        <v>#DIV/0!</v>
      </c>
      <c r="AE41" s="62" t="e">
        <v>#DIV/0!</v>
      </c>
      <c r="AF41" s="62" t="e">
        <v>#DIV/0!</v>
      </c>
      <c r="AG41" s="62" t="e">
        <v>#DIV/0!</v>
      </c>
      <c r="AH41" s="62" t="e">
        <v>#DIV/0!</v>
      </c>
      <c r="AI41" s="62" t="e">
        <v>#DIV/0!</v>
      </c>
      <c r="AJ41" s="62" t="e">
        <v>#DIV/0!</v>
      </c>
      <c r="AK41" s="62" t="e">
        <v>#DIV/0!</v>
      </c>
      <c r="AL41" s="62" t="e">
        <v>#DIV/0!</v>
      </c>
      <c r="AM41" s="62">
        <v>0</v>
      </c>
      <c r="BO41" s="14"/>
    </row>
    <row r="42" spans="1:79" ht="14.1" customHeight="1">
      <c r="A42" s="84" t="s">
        <v>77</v>
      </c>
      <c r="B42" s="18" t="s">
        <v>72</v>
      </c>
      <c r="C42" s="22">
        <v>111.73431685841246</v>
      </c>
      <c r="D42" s="22">
        <v>141</v>
      </c>
      <c r="E42" s="22">
        <v>139</v>
      </c>
      <c r="F42" s="22">
        <v>135.33403483153305</v>
      </c>
      <c r="G42" s="22">
        <v>137.14950753840569</v>
      </c>
      <c r="H42" s="22">
        <v>123.58186449455857</v>
      </c>
      <c r="I42" s="22">
        <v>135.15521897640437</v>
      </c>
      <c r="J42" s="22">
        <v>146.44052302518816</v>
      </c>
      <c r="K42" s="22">
        <v>118.92686193298778</v>
      </c>
      <c r="L42" s="22">
        <v>116.27267294991005</v>
      </c>
      <c r="M42" s="22">
        <v>21.725292668751557</v>
      </c>
      <c r="N42" s="22">
        <v>103.69335917848306</v>
      </c>
      <c r="O42" s="22">
        <v>52.571278347475619</v>
      </c>
      <c r="P42" s="22">
        <v>119</v>
      </c>
      <c r="Q42" s="22">
        <v>91.289392211650906</v>
      </c>
      <c r="R42" s="22">
        <v>92.540330063216757</v>
      </c>
      <c r="S42" s="22">
        <v>81.935656792911033</v>
      </c>
      <c r="T42" s="62">
        <v>94.757300666364557</v>
      </c>
      <c r="U42" s="62">
        <v>99.052222625706463</v>
      </c>
      <c r="V42" s="62">
        <v>79</v>
      </c>
      <c r="W42" s="62">
        <v>113.72656894722364</v>
      </c>
      <c r="X42" s="62">
        <v>93.161491896114043</v>
      </c>
      <c r="Y42" s="62">
        <v>111.41504138634369</v>
      </c>
      <c r="Z42" s="62">
        <v>106.06390029102739</v>
      </c>
      <c r="AA42" s="62" t="e">
        <v>#DIV/0!</v>
      </c>
      <c r="AB42" s="62" t="e">
        <v>#DIV/0!</v>
      </c>
      <c r="AC42" s="62" t="e">
        <v>#DIV/0!</v>
      </c>
      <c r="AD42" s="62" t="e">
        <v>#DIV/0!</v>
      </c>
      <c r="AE42" s="62" t="e">
        <v>#DIV/0!</v>
      </c>
      <c r="AF42" s="62" t="e">
        <v>#DIV/0!</v>
      </c>
      <c r="AG42" s="62" t="e">
        <v>#DIV/0!</v>
      </c>
      <c r="AH42" s="62" t="e">
        <v>#DIV/0!</v>
      </c>
      <c r="AI42" s="62" t="e">
        <v>#DIV/0!</v>
      </c>
      <c r="AJ42" s="62" t="e">
        <v>#DIV/0!</v>
      </c>
      <c r="AK42" s="62" t="e">
        <v>#DIV/0!</v>
      </c>
      <c r="AL42" s="62" t="e">
        <v>#DIV/0!</v>
      </c>
      <c r="AM42" s="62">
        <v>106.06390029102739</v>
      </c>
      <c r="BO42" s="14"/>
    </row>
    <row r="43" spans="1:79" ht="14.1" customHeight="1">
      <c r="A43" s="84" t="s">
        <v>78</v>
      </c>
      <c r="B43" s="18" t="s">
        <v>72</v>
      </c>
      <c r="C43" s="22">
        <v>72.333102340688967</v>
      </c>
      <c r="D43" s="22">
        <v>68</v>
      </c>
      <c r="E43" s="22">
        <v>67</v>
      </c>
      <c r="F43" s="22">
        <v>68.690274228530939</v>
      </c>
      <c r="G43" s="22">
        <v>69.011185977076323</v>
      </c>
      <c r="H43" s="22">
        <v>68.574307446774782</v>
      </c>
      <c r="I43" s="22">
        <v>68.725316644753107</v>
      </c>
      <c r="J43" s="22">
        <v>69.206157462576925</v>
      </c>
      <c r="K43" s="22">
        <v>69.244314377123587</v>
      </c>
      <c r="L43" s="22">
        <v>67.969053814367143</v>
      </c>
      <c r="M43" s="22">
        <v>68.254012183384233</v>
      </c>
      <c r="N43" s="22">
        <v>72.628265041283143</v>
      </c>
      <c r="O43" s="22">
        <v>63.154179004527784</v>
      </c>
      <c r="P43" s="22">
        <v>69</v>
      </c>
      <c r="Q43" s="22">
        <v>70.05074816549299</v>
      </c>
      <c r="R43" s="22">
        <v>70.287660980045288</v>
      </c>
      <c r="S43" s="22">
        <v>72.053779073702572</v>
      </c>
      <c r="T43" s="62">
        <v>68.942174116528363</v>
      </c>
      <c r="U43" s="62">
        <v>63.62622735997418</v>
      </c>
      <c r="V43" s="62">
        <v>63</v>
      </c>
      <c r="W43" s="62">
        <v>63.873934059024641</v>
      </c>
      <c r="X43" s="62">
        <v>64.190587775825037</v>
      </c>
      <c r="Y43" s="62">
        <v>65.190408803788415</v>
      </c>
      <c r="Z43" s="62">
        <v>64.416334207376011</v>
      </c>
      <c r="AA43" s="62" t="e">
        <v>#DIV/0!</v>
      </c>
      <c r="AB43" s="62" t="e">
        <v>#DIV/0!</v>
      </c>
      <c r="AC43" s="62" t="e">
        <v>#DIV/0!</v>
      </c>
      <c r="AD43" s="62" t="e">
        <v>#DIV/0!</v>
      </c>
      <c r="AE43" s="62" t="e">
        <v>#DIV/0!</v>
      </c>
      <c r="AF43" s="62" t="e">
        <v>#DIV/0!</v>
      </c>
      <c r="AG43" s="62" t="e">
        <v>#DIV/0!</v>
      </c>
      <c r="AH43" s="62" t="e">
        <v>#DIV/0!</v>
      </c>
      <c r="AI43" s="62" t="e">
        <v>#DIV/0!</v>
      </c>
      <c r="AJ43" s="62" t="e">
        <v>#DIV/0!</v>
      </c>
      <c r="AK43" s="62" t="e">
        <v>#DIV/0!</v>
      </c>
      <c r="AL43" s="62" t="e">
        <v>#DIV/0!</v>
      </c>
      <c r="AM43" s="62">
        <v>64.416334207376011</v>
      </c>
      <c r="BO43" s="14"/>
    </row>
    <row r="44" spans="1:79" ht="14.1" customHeight="1">
      <c r="A44" s="84" t="s">
        <v>78</v>
      </c>
      <c r="B44" s="18" t="s">
        <v>72</v>
      </c>
      <c r="C44" s="22">
        <v>19.306825011577001</v>
      </c>
      <c r="D44" s="22">
        <v>23</v>
      </c>
      <c r="E44" s="22">
        <v>19.5</v>
      </c>
      <c r="F44" s="22">
        <v>18.960494198323563</v>
      </c>
      <c r="G44" s="22">
        <v>18.076253490256786</v>
      </c>
      <c r="H44" s="22">
        <v>16.118883459401566</v>
      </c>
      <c r="I44" s="22">
        <v>15.246447922864284</v>
      </c>
      <c r="J44" s="22">
        <v>12.427561664408495</v>
      </c>
      <c r="K44" s="22">
        <v>5.5864189876243149</v>
      </c>
      <c r="L44" s="22">
        <v>5.396928777613021</v>
      </c>
      <c r="M44" s="22">
        <v>14.428177381710164</v>
      </c>
      <c r="N44" s="22">
        <v>2.1856850358765105</v>
      </c>
      <c r="O44" s="22">
        <v>0</v>
      </c>
      <c r="P44" s="22">
        <v>7</v>
      </c>
      <c r="Q44" s="22">
        <v>0</v>
      </c>
      <c r="R44" s="22">
        <v>0</v>
      </c>
      <c r="S44" s="22">
        <v>0</v>
      </c>
      <c r="T44" s="62">
        <v>0</v>
      </c>
      <c r="U44" s="62">
        <v>0</v>
      </c>
      <c r="V44" s="62"/>
      <c r="W44" s="62">
        <v>0</v>
      </c>
      <c r="X44" s="62">
        <v>0</v>
      </c>
      <c r="Y44" s="62">
        <v>0</v>
      </c>
      <c r="Z44" s="62">
        <v>0</v>
      </c>
      <c r="AA44" s="62" t="e">
        <v>#DIV/0!</v>
      </c>
      <c r="AB44" s="62" t="e">
        <v>#DIV/0!</v>
      </c>
      <c r="AC44" s="62" t="e">
        <v>#DIV/0!</v>
      </c>
      <c r="AD44" s="62" t="e">
        <v>#DIV/0!</v>
      </c>
      <c r="AE44" s="62" t="e">
        <v>#DIV/0!</v>
      </c>
      <c r="AF44" s="62" t="e">
        <v>#DIV/0!</v>
      </c>
      <c r="AG44" s="62" t="e">
        <v>#DIV/0!</v>
      </c>
      <c r="AH44" s="62" t="e">
        <v>#DIV/0!</v>
      </c>
      <c r="AI44" s="62" t="e">
        <v>#DIV/0!</v>
      </c>
      <c r="AJ44" s="62" t="e">
        <v>#DIV/0!</v>
      </c>
      <c r="AK44" s="62" t="e">
        <v>#DIV/0!</v>
      </c>
      <c r="AL44" s="62" t="e">
        <v>#DIV/0!</v>
      </c>
      <c r="AM44" s="62">
        <v>0</v>
      </c>
      <c r="BO44" s="14"/>
    </row>
    <row r="45" spans="1:79" s="28" customFormat="1" ht="14.1" customHeight="1">
      <c r="A45" s="86" t="s">
        <v>79</v>
      </c>
      <c r="B45" s="27" t="s">
        <v>72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62">
        <v>79.83</v>
      </c>
      <c r="U45" s="62">
        <v>70.87</v>
      </c>
      <c r="V45" s="62"/>
      <c r="W45" s="62">
        <v>71.36</v>
      </c>
      <c r="X45" s="62">
        <v>71.48</v>
      </c>
      <c r="Y45" s="62">
        <v>71.87</v>
      </c>
      <c r="Z45" s="62">
        <v>71.569999999999993</v>
      </c>
      <c r="AA45" s="62">
        <v>0</v>
      </c>
      <c r="AB45" s="62">
        <v>0</v>
      </c>
      <c r="AC45" s="62">
        <v>0</v>
      </c>
      <c r="AD45" s="62">
        <v>0</v>
      </c>
      <c r="AE45" s="62">
        <v>0</v>
      </c>
      <c r="AF45" s="62">
        <v>0</v>
      </c>
      <c r="AG45" s="62">
        <v>0</v>
      </c>
      <c r="AH45" s="62">
        <v>0</v>
      </c>
      <c r="AI45" s="62">
        <v>0</v>
      </c>
      <c r="AJ45" s="62">
        <v>0</v>
      </c>
      <c r="AK45" s="62">
        <v>0</v>
      </c>
      <c r="AL45" s="62">
        <v>0</v>
      </c>
      <c r="AM45" s="62">
        <v>71.569999999999993</v>
      </c>
      <c r="BO45" s="26"/>
      <c r="BP45" s="16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</row>
    <row r="46" spans="1:79" ht="14.1" customHeight="1">
      <c r="A46" s="84" t="s">
        <v>80</v>
      </c>
      <c r="B46" s="18" t="s">
        <v>81</v>
      </c>
      <c r="C46" s="21">
        <v>86.062879170879683</v>
      </c>
      <c r="D46" s="21">
        <v>70.7</v>
      </c>
      <c r="E46" s="21">
        <v>76.13</v>
      </c>
      <c r="F46" s="20">
        <v>73.401084010840108</v>
      </c>
      <c r="G46" s="20">
        <v>82.438494169845185</v>
      </c>
      <c r="H46" s="20">
        <v>80.360806950726015</v>
      </c>
      <c r="I46" s="20">
        <v>50.104077285838109</v>
      </c>
      <c r="J46" s="20">
        <v>32.048504821498888</v>
      </c>
      <c r="K46" s="20">
        <v>17.416001368613141</v>
      </c>
      <c r="L46" s="20">
        <v>19.164536340852127</v>
      </c>
      <c r="M46" s="20">
        <v>18.345148401826485</v>
      </c>
      <c r="N46" s="20">
        <v>50.840805017893565</v>
      </c>
      <c r="O46" s="20">
        <v>38.717299842431252</v>
      </c>
      <c r="P46" s="20">
        <v>92.91</v>
      </c>
      <c r="Q46" s="20">
        <v>90.145701782280156</v>
      </c>
      <c r="R46" s="20">
        <v>88.419174548581253</v>
      </c>
      <c r="S46" s="20">
        <v>97.011756782477562</v>
      </c>
      <c r="T46" s="60">
        <v>71.809154106340372</v>
      </c>
      <c r="U46" s="60">
        <v>95.304468940171233</v>
      </c>
      <c r="V46" s="59"/>
      <c r="W46" s="60">
        <v>98.792226148409895</v>
      </c>
      <c r="X46" s="60">
        <v>95.010288065843611</v>
      </c>
      <c r="Y46" s="60">
        <v>98.238571428571419</v>
      </c>
      <c r="Z46" s="60">
        <v>97.320383805289026</v>
      </c>
      <c r="AA46" s="60" t="e">
        <v>#DIV/0!</v>
      </c>
      <c r="AB46" s="60" t="e">
        <v>#DIV/0!</v>
      </c>
      <c r="AC46" s="60" t="e">
        <v>#DIV/0!</v>
      </c>
      <c r="AD46" s="60" t="e">
        <v>#DIV/0!</v>
      </c>
      <c r="AE46" s="60" t="e">
        <v>#DIV/0!</v>
      </c>
      <c r="AF46" s="60" t="e">
        <v>#DIV/0!</v>
      </c>
      <c r="AG46" s="60" t="e">
        <v>#DIV/0!</v>
      </c>
      <c r="AH46" s="60" t="e">
        <v>#DIV/0!</v>
      </c>
      <c r="AI46" s="60" t="e">
        <v>#DIV/0!</v>
      </c>
      <c r="AJ46" s="60" t="e">
        <v>#DIV/0!</v>
      </c>
      <c r="AK46" s="60" t="e">
        <v>#DIV/0!</v>
      </c>
      <c r="AL46" s="60" t="e">
        <v>#DIV/0!</v>
      </c>
      <c r="AM46" s="60">
        <v>97.320383805289026</v>
      </c>
      <c r="BO46" s="14"/>
    </row>
    <row r="47" spans="1:79" ht="14.1" customHeight="1">
      <c r="A47" s="84" t="s">
        <v>82</v>
      </c>
      <c r="B47" s="29" t="s">
        <v>83</v>
      </c>
      <c r="C47" s="20">
        <v>85.783333333333317</v>
      </c>
      <c r="D47" s="20">
        <v>85.5</v>
      </c>
      <c r="E47" s="20">
        <v>85</v>
      </c>
      <c r="F47" s="20">
        <v>83.922499999999999</v>
      </c>
      <c r="G47" s="20">
        <v>84.683333333333337</v>
      </c>
      <c r="H47" s="20">
        <v>85.56583333333333</v>
      </c>
      <c r="I47" s="20">
        <v>85.506666666666661</v>
      </c>
      <c r="J47" s="20">
        <v>85.446666666666673</v>
      </c>
      <c r="K47" s="20">
        <v>86.097499999999982</v>
      </c>
      <c r="L47" s="20">
        <v>85.921428571428578</v>
      </c>
      <c r="M47" s="20">
        <v>84.477500000000006</v>
      </c>
      <c r="N47" s="20">
        <v>83.634166666666673</v>
      </c>
      <c r="O47" s="20">
        <v>83.878333333333345</v>
      </c>
      <c r="P47" s="20">
        <v>85.89</v>
      </c>
      <c r="Q47" s="20">
        <v>85.231666666666669</v>
      </c>
      <c r="R47" s="20">
        <v>86.015000000000001</v>
      </c>
      <c r="S47" s="20">
        <v>85.363333333333344</v>
      </c>
      <c r="T47" s="60">
        <v>84.06750000000001</v>
      </c>
      <c r="U47" s="60">
        <v>87.83</v>
      </c>
      <c r="V47" s="54"/>
      <c r="W47" s="60">
        <v>86.9</v>
      </c>
      <c r="X47" s="60">
        <v>88.77</v>
      </c>
      <c r="Y47" s="60">
        <v>88.66</v>
      </c>
      <c r="Z47" s="60">
        <v>88.110000000000014</v>
      </c>
      <c r="AA47" s="60">
        <v>0</v>
      </c>
      <c r="AB47" s="60">
        <v>0</v>
      </c>
      <c r="AC47" s="60">
        <v>0</v>
      </c>
      <c r="AD47" s="60" t="e">
        <v>#DIV/0!</v>
      </c>
      <c r="AE47" s="60">
        <v>0</v>
      </c>
      <c r="AF47" s="60">
        <v>0</v>
      </c>
      <c r="AG47" s="60">
        <v>0</v>
      </c>
      <c r="AH47" s="60" t="e">
        <v>#DIV/0!</v>
      </c>
      <c r="AI47" s="60">
        <v>0</v>
      </c>
      <c r="AJ47" s="60">
        <v>0</v>
      </c>
      <c r="AK47" s="60">
        <v>0</v>
      </c>
      <c r="AL47" s="60" t="e">
        <v>#DIV/0!</v>
      </c>
      <c r="AM47" s="60">
        <v>88.110000000000014</v>
      </c>
      <c r="BO47" s="14"/>
    </row>
    <row r="48" spans="1:79" ht="14.1" customHeight="1">
      <c r="A48" s="84" t="s">
        <v>84</v>
      </c>
      <c r="B48" s="29" t="s">
        <v>83</v>
      </c>
      <c r="C48" s="20">
        <v>66.61666666666666</v>
      </c>
      <c r="D48" s="20">
        <v>81</v>
      </c>
      <c r="E48" s="20">
        <v>81.2</v>
      </c>
      <c r="F48" s="20">
        <v>81.310833333333335</v>
      </c>
      <c r="G48" s="20">
        <v>81.717500000000001</v>
      </c>
      <c r="H48" s="20">
        <v>81.27</v>
      </c>
      <c r="I48" s="20">
        <v>82.791666666666671</v>
      </c>
      <c r="J48" s="20">
        <v>82.72</v>
      </c>
      <c r="K48" s="20">
        <v>82.171666666666667</v>
      </c>
      <c r="L48" s="20">
        <v>82.31</v>
      </c>
      <c r="M48" s="20">
        <v>82.31</v>
      </c>
      <c r="N48" s="20">
        <v>82.31</v>
      </c>
      <c r="O48" s="20">
        <v>75.715833333333322</v>
      </c>
      <c r="P48" s="20">
        <v>78.95</v>
      </c>
      <c r="Q48" s="20">
        <v>80.41</v>
      </c>
      <c r="R48" s="20">
        <v>80.318333333333314</v>
      </c>
      <c r="S48" s="20">
        <v>74.706666666666678</v>
      </c>
      <c r="T48" s="60">
        <v>76.648333333333341</v>
      </c>
      <c r="U48" s="60">
        <v>80.77000000000001</v>
      </c>
      <c r="V48" s="54"/>
      <c r="W48" s="60">
        <v>82.07</v>
      </c>
      <c r="X48" s="60">
        <v>82.65</v>
      </c>
      <c r="Y48" s="60">
        <v>79.209999999999994</v>
      </c>
      <c r="Z48" s="60">
        <v>81.31</v>
      </c>
      <c r="AA48" s="60">
        <v>0</v>
      </c>
      <c r="AB48" s="60">
        <v>0</v>
      </c>
      <c r="AC48" s="60">
        <v>0</v>
      </c>
      <c r="AD48" s="60" t="e">
        <v>#DIV/0!</v>
      </c>
      <c r="AE48" s="60">
        <v>0</v>
      </c>
      <c r="AF48" s="60">
        <v>0</v>
      </c>
      <c r="AG48" s="60">
        <v>0</v>
      </c>
      <c r="AH48" s="60" t="e">
        <v>#DIV/0!</v>
      </c>
      <c r="AI48" s="60">
        <v>0</v>
      </c>
      <c r="AJ48" s="60">
        <v>0</v>
      </c>
      <c r="AK48" s="60">
        <v>0</v>
      </c>
      <c r="AL48" s="60" t="e">
        <v>#DIV/0!</v>
      </c>
      <c r="AM48" s="60">
        <v>81.31</v>
      </c>
      <c r="BO48" s="14"/>
    </row>
    <row r="49" spans="1:79" ht="14.1" customHeight="1">
      <c r="A49" s="84" t="s">
        <v>85</v>
      </c>
      <c r="B49" s="18" t="s">
        <v>41</v>
      </c>
      <c r="C49" s="20">
        <v>70.474999999999994</v>
      </c>
      <c r="D49" s="20">
        <v>70.2</v>
      </c>
      <c r="E49" s="20">
        <v>70.3</v>
      </c>
      <c r="F49" s="20">
        <v>70.196666666666673</v>
      </c>
      <c r="G49" s="20">
        <v>70.053333333333327</v>
      </c>
      <c r="H49" s="20">
        <v>70.076666666666668</v>
      </c>
      <c r="I49" s="20">
        <v>70.240000000000009</v>
      </c>
      <c r="J49" s="20">
        <v>70.164166666666659</v>
      </c>
      <c r="K49" s="20">
        <v>70.207499999999996</v>
      </c>
      <c r="L49" s="20">
        <v>71</v>
      </c>
      <c r="M49" s="20">
        <v>70.19916666666667</v>
      </c>
      <c r="N49" s="20">
        <v>71.005833333333342</v>
      </c>
      <c r="O49" s="20">
        <v>70.852500000000006</v>
      </c>
      <c r="P49" s="20">
        <v>70.989999999999995</v>
      </c>
      <c r="Q49" s="20">
        <v>70.276363636363655</v>
      </c>
      <c r="R49" s="20">
        <v>71.53416666666665</v>
      </c>
      <c r="S49" s="20">
        <v>72.396666666666675</v>
      </c>
      <c r="T49" s="60">
        <v>72.589999999999989</v>
      </c>
      <c r="U49" s="60">
        <v>72.332499999999996</v>
      </c>
      <c r="V49" s="59"/>
      <c r="W49" s="60">
        <v>72.319999999999993</v>
      </c>
      <c r="X49" s="60">
        <v>72.34</v>
      </c>
      <c r="Y49" s="60">
        <v>72.540000000000006</v>
      </c>
      <c r="Z49" s="60">
        <v>72.399999999999991</v>
      </c>
      <c r="AA49" s="60">
        <v>0</v>
      </c>
      <c r="AB49" s="60">
        <v>0</v>
      </c>
      <c r="AC49" s="60">
        <v>0</v>
      </c>
      <c r="AD49" s="60" t="e">
        <v>#DIV/0!</v>
      </c>
      <c r="AE49" s="60">
        <v>0</v>
      </c>
      <c r="AF49" s="60">
        <v>0</v>
      </c>
      <c r="AG49" s="60">
        <v>0</v>
      </c>
      <c r="AH49" s="60" t="e">
        <v>#DIV/0!</v>
      </c>
      <c r="AI49" s="60">
        <v>0</v>
      </c>
      <c r="AJ49" s="60">
        <v>0</v>
      </c>
      <c r="AK49" s="60">
        <v>0</v>
      </c>
      <c r="AL49" s="60" t="e">
        <v>#DIV/0!</v>
      </c>
      <c r="AM49" s="60">
        <v>72.399999999999991</v>
      </c>
      <c r="BO49" s="14"/>
    </row>
    <row r="50" spans="1:79" ht="14.1" customHeight="1">
      <c r="A50" s="84" t="s">
        <v>86</v>
      </c>
      <c r="B50" s="18" t="s">
        <v>41</v>
      </c>
      <c r="C50" s="20">
        <v>24.868082706497642</v>
      </c>
      <c r="D50" s="20">
        <v>23.3</v>
      </c>
      <c r="E50" s="20">
        <v>20.84</v>
      </c>
      <c r="F50" s="20">
        <v>21.006409611208269</v>
      </c>
      <c r="G50" s="20">
        <v>20.452765645676305</v>
      </c>
      <c r="H50" s="20">
        <v>20.525307826105117</v>
      </c>
      <c r="I50" s="20">
        <v>20.489155828030071</v>
      </c>
      <c r="J50" s="20">
        <v>20.980099383152837</v>
      </c>
      <c r="K50" s="20">
        <v>20.966245939745441</v>
      </c>
      <c r="L50" s="20">
        <v>19.474781424409983</v>
      </c>
      <c r="M50" s="20">
        <v>19.407706127441614</v>
      </c>
      <c r="N50" s="20">
        <v>18.419598817626433</v>
      </c>
      <c r="O50" s="20">
        <v>19.137755916687365</v>
      </c>
      <c r="P50" s="20">
        <v>19.059999999999999</v>
      </c>
      <c r="Q50" s="20">
        <v>18.572548525519604</v>
      </c>
      <c r="R50" s="20">
        <v>18.72360765292267</v>
      </c>
      <c r="S50" s="20">
        <v>18.694957327453785</v>
      </c>
      <c r="T50" s="60">
        <v>18.651264908120012</v>
      </c>
      <c r="U50" s="60">
        <v>18.695053169694788</v>
      </c>
      <c r="V50" s="54"/>
      <c r="W50" s="60">
        <v>18.580796111825194</v>
      </c>
      <c r="X50" s="60">
        <v>18.574472012812389</v>
      </c>
      <c r="Y50" s="60">
        <v>18.753935510520723</v>
      </c>
      <c r="Z50" s="60">
        <v>18.636141725964368</v>
      </c>
      <c r="AA50" s="60" t="e">
        <v>#DIV/0!</v>
      </c>
      <c r="AB50" s="60" t="e">
        <v>#DIV/0!</v>
      </c>
      <c r="AC50" s="60" t="e">
        <v>#DIV/0!</v>
      </c>
      <c r="AD50" s="60" t="e">
        <v>#DIV/0!</v>
      </c>
      <c r="AE50" s="60" t="e">
        <v>#DIV/0!</v>
      </c>
      <c r="AF50" s="60" t="e">
        <v>#DIV/0!</v>
      </c>
      <c r="AG50" s="60" t="e">
        <v>#DIV/0!</v>
      </c>
      <c r="AH50" s="60" t="e">
        <v>#DIV/0!</v>
      </c>
      <c r="AI50" s="60" t="e">
        <v>#DIV/0!</v>
      </c>
      <c r="AJ50" s="60" t="e">
        <v>#DIV/0!</v>
      </c>
      <c r="AK50" s="60" t="e">
        <v>#DIV/0!</v>
      </c>
      <c r="AL50" s="60" t="e">
        <v>#DIV/0!</v>
      </c>
      <c r="AM50" s="60">
        <v>18.636141725964368</v>
      </c>
      <c r="BO50" s="14"/>
    </row>
    <row r="51" spans="1:79" ht="14.1" customHeight="1">
      <c r="A51" s="53"/>
      <c r="B51" s="18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60"/>
      <c r="U51" s="60"/>
      <c r="V51" s="54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BO51" s="14"/>
    </row>
    <row r="52" spans="1:79" ht="14.1" customHeight="1">
      <c r="A52" s="64" t="s">
        <v>87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BO52" s="13"/>
    </row>
    <row r="53" spans="1:79" ht="14.1" customHeight="1">
      <c r="A53" s="84" t="s">
        <v>65</v>
      </c>
      <c r="B53" s="18" t="s">
        <v>41</v>
      </c>
      <c r="C53" s="20">
        <v>9.7583333333333346</v>
      </c>
      <c r="D53" s="20">
        <v>9.6999999999999993</v>
      </c>
      <c r="E53" s="20">
        <v>9.6999999999999993</v>
      </c>
      <c r="F53" s="20">
        <v>9.7433333333333341</v>
      </c>
      <c r="G53" s="20">
        <v>9.6816666666666666</v>
      </c>
      <c r="H53" s="20">
        <v>9.4133333333333322</v>
      </c>
      <c r="I53" s="20">
        <v>9.8441666666666663</v>
      </c>
      <c r="J53" s="20">
        <v>10.015833333333333</v>
      </c>
      <c r="K53" s="20">
        <v>9.9599999999999991</v>
      </c>
      <c r="L53" s="20">
        <v>10.048333333333332</v>
      </c>
      <c r="M53" s="20">
        <v>10.361666666666666</v>
      </c>
      <c r="N53" s="20">
        <v>9.7583333333333329</v>
      </c>
      <c r="O53" s="20">
        <v>10.220000000000001</v>
      </c>
      <c r="P53" s="20">
        <v>9.8241666666666667</v>
      </c>
      <c r="Q53" s="20">
        <v>9.8708333333333318</v>
      </c>
      <c r="R53" s="20">
        <v>10.112500000000001</v>
      </c>
      <c r="S53" s="20">
        <v>10.213333333333333</v>
      </c>
      <c r="T53" s="60">
        <v>10.144166666666667</v>
      </c>
      <c r="U53" s="60">
        <v>10.009166666666665</v>
      </c>
      <c r="W53" s="60">
        <v>9.92</v>
      </c>
      <c r="X53" s="60">
        <v>9.92</v>
      </c>
      <c r="Y53" s="60">
        <v>9.8699999999999992</v>
      </c>
      <c r="Z53" s="60">
        <v>9.9033333333333342</v>
      </c>
      <c r="AA53" s="60">
        <v>0</v>
      </c>
      <c r="AB53" s="60">
        <v>0</v>
      </c>
      <c r="AC53" s="60">
        <v>0</v>
      </c>
      <c r="AD53" s="60" t="e">
        <v>#DIV/0!</v>
      </c>
      <c r="AE53" s="60">
        <v>0</v>
      </c>
      <c r="AF53" s="60">
        <v>0</v>
      </c>
      <c r="AG53" s="60">
        <v>0</v>
      </c>
      <c r="AH53" s="60" t="e">
        <v>#DIV/0!</v>
      </c>
      <c r="AI53" s="60">
        <v>0</v>
      </c>
      <c r="AJ53" s="60">
        <v>0</v>
      </c>
      <c r="AK53" s="60">
        <v>0</v>
      </c>
      <c r="AL53" s="60" t="e">
        <v>#DIV/0!</v>
      </c>
      <c r="AM53" s="60">
        <v>9.9033333333333342</v>
      </c>
      <c r="BO53" s="14"/>
    </row>
    <row r="54" spans="1:79" ht="14.1" customHeight="1">
      <c r="A54" s="84" t="s">
        <v>66</v>
      </c>
      <c r="B54" s="18" t="s">
        <v>41</v>
      </c>
      <c r="C54" s="20">
        <v>53.291666666666664</v>
      </c>
      <c r="D54" s="20">
        <v>53.5</v>
      </c>
      <c r="E54" s="20">
        <v>53.3</v>
      </c>
      <c r="F54" s="20">
        <v>53.093333333333334</v>
      </c>
      <c r="G54" s="20">
        <v>53.81583333333333</v>
      </c>
      <c r="H54" s="20">
        <v>53.32</v>
      </c>
      <c r="I54" s="20">
        <v>54.111666666666672</v>
      </c>
      <c r="J54" s="20">
        <v>54.379166666666663</v>
      </c>
      <c r="K54" s="20">
        <v>54.732499999999995</v>
      </c>
      <c r="L54" s="20">
        <v>54.985833333333339</v>
      </c>
      <c r="M54" s="20">
        <v>55.085833333333333</v>
      </c>
      <c r="N54" s="20">
        <v>54.508333333333347</v>
      </c>
      <c r="O54" s="20">
        <v>52.896666666666668</v>
      </c>
      <c r="P54" s="20">
        <v>54.552499999999988</v>
      </c>
      <c r="Q54" s="20">
        <v>53.510833333333331</v>
      </c>
      <c r="R54" s="20">
        <v>53.347499999999989</v>
      </c>
      <c r="S54" s="20">
        <v>53.179166666666667</v>
      </c>
      <c r="T54" s="60">
        <v>53.975833333333334</v>
      </c>
      <c r="U54" s="60">
        <v>53.760000000000012</v>
      </c>
      <c r="V54" s="59"/>
      <c r="W54" s="60">
        <v>53.51</v>
      </c>
      <c r="X54" s="60">
        <v>53.8</v>
      </c>
      <c r="Y54" s="60">
        <v>53.96</v>
      </c>
      <c r="Z54" s="60">
        <v>53.756666666666668</v>
      </c>
      <c r="AA54" s="60">
        <v>0</v>
      </c>
      <c r="AB54" s="60">
        <v>0</v>
      </c>
      <c r="AC54" s="60">
        <v>0</v>
      </c>
      <c r="AD54" s="60" t="e">
        <v>#DIV/0!</v>
      </c>
      <c r="AE54" s="60">
        <v>0</v>
      </c>
      <c r="AF54" s="60">
        <v>0</v>
      </c>
      <c r="AG54" s="60">
        <v>0</v>
      </c>
      <c r="AH54" s="60" t="e">
        <v>#DIV/0!</v>
      </c>
      <c r="AI54" s="60">
        <v>0</v>
      </c>
      <c r="AJ54" s="60">
        <v>0</v>
      </c>
      <c r="AK54" s="60">
        <v>0</v>
      </c>
      <c r="AL54" s="60" t="e">
        <v>#DIV/0!</v>
      </c>
      <c r="AM54" s="60">
        <v>53.756666666666668</v>
      </c>
      <c r="BO54" s="14"/>
    </row>
    <row r="55" spans="1:79" ht="14.1" customHeight="1">
      <c r="A55" s="84" t="s">
        <v>67</v>
      </c>
      <c r="B55" s="18" t="s">
        <v>41</v>
      </c>
      <c r="C55" s="20">
        <v>10.333333333333334</v>
      </c>
      <c r="D55" s="20">
        <v>10.4</v>
      </c>
      <c r="E55" s="20">
        <v>10.6</v>
      </c>
      <c r="F55" s="20">
        <v>10.751666666666667</v>
      </c>
      <c r="G55" s="20">
        <v>10.76</v>
      </c>
      <c r="H55" s="20">
        <v>11.0625</v>
      </c>
      <c r="I55" s="20">
        <v>10.789166666666667</v>
      </c>
      <c r="J55" s="20">
        <v>10.706666666666665</v>
      </c>
      <c r="K55" s="20">
        <v>10.452499999999999</v>
      </c>
      <c r="L55" s="20">
        <v>10.155000000000001</v>
      </c>
      <c r="M55" s="20">
        <v>10.265833333333333</v>
      </c>
      <c r="N55" s="20">
        <v>10.643333333333333</v>
      </c>
      <c r="O55" s="20">
        <v>11.673333333333332</v>
      </c>
      <c r="P55" s="20">
        <v>10.202500000000001</v>
      </c>
      <c r="Q55" s="20">
        <v>11.000833333333333</v>
      </c>
      <c r="R55" s="20">
        <v>10.828333333333333</v>
      </c>
      <c r="S55" s="20">
        <v>10.899999999999999</v>
      </c>
      <c r="T55" s="60">
        <v>10.215</v>
      </c>
      <c r="U55" s="60">
        <v>10.396666666666667</v>
      </c>
      <c r="V55" s="66"/>
      <c r="W55" s="60">
        <v>10.75</v>
      </c>
      <c r="X55" s="60">
        <v>10.37</v>
      </c>
      <c r="Y55" s="60">
        <v>10.49</v>
      </c>
      <c r="Z55" s="60">
        <v>10.536666666666667</v>
      </c>
      <c r="AA55" s="60">
        <v>0</v>
      </c>
      <c r="AB55" s="60">
        <v>0</v>
      </c>
      <c r="AC55" s="60">
        <v>0</v>
      </c>
      <c r="AD55" s="60" t="e">
        <v>#DIV/0!</v>
      </c>
      <c r="AE55" s="60">
        <v>0</v>
      </c>
      <c r="AF55" s="60">
        <v>0</v>
      </c>
      <c r="AG55" s="60">
        <v>0</v>
      </c>
      <c r="AH55" s="60" t="e">
        <v>#DIV/0!</v>
      </c>
      <c r="AI55" s="60">
        <v>0</v>
      </c>
      <c r="AJ55" s="60">
        <v>0</v>
      </c>
      <c r="AK55" s="60">
        <v>0</v>
      </c>
      <c r="AL55" s="60" t="e">
        <v>#DIV/0!</v>
      </c>
      <c r="AM55" s="60">
        <v>10.536666666666667</v>
      </c>
      <c r="BO55" s="14"/>
    </row>
    <row r="56" spans="1:79" ht="14.1" customHeight="1">
      <c r="A56" s="84" t="s">
        <v>68</v>
      </c>
      <c r="B56" s="18" t="s">
        <v>41</v>
      </c>
      <c r="C56" s="20">
        <v>1.8916666666666666</v>
      </c>
      <c r="D56" s="20">
        <v>1.9</v>
      </c>
      <c r="E56" s="20">
        <v>1.8</v>
      </c>
      <c r="F56" s="20">
        <v>1.8525</v>
      </c>
      <c r="G56" s="20">
        <v>1.8174999999999999</v>
      </c>
      <c r="H56" s="20">
        <v>1.7775000000000001</v>
      </c>
      <c r="I56" s="20">
        <v>1.7849999999999999</v>
      </c>
      <c r="J56" s="20">
        <v>1.8058333333333334</v>
      </c>
      <c r="K56" s="20">
        <v>1.7841666666666665</v>
      </c>
      <c r="L56" s="20">
        <v>1.7233333333333334</v>
      </c>
      <c r="M56" s="20">
        <v>1.7958333333333334</v>
      </c>
      <c r="N56" s="20">
        <v>1.8066666666666669</v>
      </c>
      <c r="O56" s="20">
        <v>1.7249999999999999</v>
      </c>
      <c r="P56" s="20">
        <v>1.781666666666667</v>
      </c>
      <c r="Q56" s="20">
        <v>1.7041666666666666</v>
      </c>
      <c r="R56" s="20">
        <v>1.7483333333333331</v>
      </c>
      <c r="S56" s="20">
        <v>1.6841666666666668</v>
      </c>
      <c r="T56" s="60">
        <v>1.6375</v>
      </c>
      <c r="U56" s="60">
        <v>1.5933333333333335</v>
      </c>
      <c r="W56" s="60">
        <v>1.58</v>
      </c>
      <c r="X56" s="60">
        <v>1.6</v>
      </c>
      <c r="Y56" s="60">
        <v>1.64</v>
      </c>
      <c r="Z56" s="60">
        <v>1.6066666666666667</v>
      </c>
      <c r="AA56" s="60">
        <v>0</v>
      </c>
      <c r="AB56" s="60">
        <v>0</v>
      </c>
      <c r="AC56" s="60">
        <v>0</v>
      </c>
      <c r="AD56" s="60" t="e">
        <v>#DIV/0!</v>
      </c>
      <c r="AE56" s="60">
        <v>0</v>
      </c>
      <c r="AF56" s="60">
        <v>0</v>
      </c>
      <c r="AG56" s="60">
        <v>0</v>
      </c>
      <c r="AH56" s="60" t="e">
        <v>#DIV/0!</v>
      </c>
      <c r="AI56" s="60">
        <v>0</v>
      </c>
      <c r="AJ56" s="60">
        <v>0</v>
      </c>
      <c r="AK56" s="60">
        <v>0</v>
      </c>
      <c r="AL56" s="60" t="e">
        <v>#DIV/0!</v>
      </c>
      <c r="AM56" s="60">
        <v>1.6066666666666667</v>
      </c>
      <c r="BO56" s="14"/>
    </row>
    <row r="57" spans="1:79" ht="14.1" customHeight="1">
      <c r="A57" s="84" t="s">
        <v>69</v>
      </c>
      <c r="B57" s="18" t="s">
        <v>70</v>
      </c>
      <c r="C57" s="20">
        <v>1.3028575395482431</v>
      </c>
      <c r="D57" s="20">
        <v>1.3</v>
      </c>
      <c r="E57" s="20">
        <v>1.3</v>
      </c>
      <c r="F57" s="20">
        <v>1.2915793123518844</v>
      </c>
      <c r="G57" s="20">
        <v>1.2874985646284802</v>
      </c>
      <c r="H57" s="20">
        <v>1.2727068742968466</v>
      </c>
      <c r="I57" s="20">
        <v>1.2656430424887184</v>
      </c>
      <c r="J57" s="20">
        <v>1.2894302877745143</v>
      </c>
      <c r="K57" s="20">
        <v>1.2896221748475523</v>
      </c>
      <c r="L57" s="20">
        <v>1.2813115168431419</v>
      </c>
      <c r="M57" s="20">
        <v>1.2803303372868791</v>
      </c>
      <c r="N57" s="20">
        <v>1.3027246600021014</v>
      </c>
      <c r="O57" s="20">
        <v>1.3001395033562784</v>
      </c>
      <c r="P57" s="20">
        <v>1.3012590436355416</v>
      </c>
      <c r="Q57" s="20">
        <v>1.3044019859492437</v>
      </c>
      <c r="R57" s="20">
        <v>1.3089795964944313</v>
      </c>
      <c r="S57" s="20">
        <v>1.3067854636899072</v>
      </c>
      <c r="T57" s="60">
        <v>1.2996544158296996</v>
      </c>
      <c r="U57" s="60">
        <v>1.3007077425017868</v>
      </c>
      <c r="V57" s="60">
        <v>1.26</v>
      </c>
      <c r="W57" s="60">
        <v>1.3055806290637428</v>
      </c>
      <c r="X57" s="60">
        <v>1.302607013937507</v>
      </c>
      <c r="Y57" s="60">
        <v>1.3077981651376147</v>
      </c>
      <c r="Z57" s="60">
        <v>1.3053418866452628</v>
      </c>
      <c r="AA57" s="60" t="e">
        <v>#DIV/0!</v>
      </c>
      <c r="AB57" s="60" t="e">
        <v>#DIV/0!</v>
      </c>
      <c r="AC57" s="60" t="e">
        <v>#DIV/0!</v>
      </c>
      <c r="AD57" s="60" t="e">
        <v>#DIV/0!</v>
      </c>
      <c r="AE57" s="60" t="e">
        <v>#DIV/0!</v>
      </c>
      <c r="AF57" s="60" t="e">
        <v>#DIV/0!</v>
      </c>
      <c r="AG57" s="60" t="e">
        <v>#DIV/0!</v>
      </c>
      <c r="AH57" s="60" t="e">
        <v>#DIV/0!</v>
      </c>
      <c r="AI57" s="60" t="e">
        <v>#DIV/0!</v>
      </c>
      <c r="AJ57" s="60" t="e">
        <v>#DIV/0!</v>
      </c>
      <c r="AK57" s="60" t="e">
        <v>#DIV/0!</v>
      </c>
      <c r="AL57" s="60" t="e">
        <v>#DIV/0!</v>
      </c>
      <c r="AM57" s="60">
        <v>1.3053418866452628</v>
      </c>
      <c r="BO57" s="14"/>
    </row>
    <row r="58" spans="1:79" ht="14.1" customHeight="1">
      <c r="A58" s="84" t="s">
        <v>71</v>
      </c>
      <c r="B58" s="18" t="s">
        <v>72</v>
      </c>
      <c r="C58" s="22">
        <v>792.89538097775414</v>
      </c>
      <c r="D58" s="22">
        <v>797</v>
      </c>
      <c r="E58" s="22">
        <v>794</v>
      </c>
      <c r="F58" s="22">
        <v>778.03574037897079</v>
      </c>
      <c r="G58" s="22">
        <v>794.87658919174169</v>
      </c>
      <c r="H58" s="22">
        <v>780.05065335679706</v>
      </c>
      <c r="I58" s="22">
        <v>786.10023016276773</v>
      </c>
      <c r="J58" s="22">
        <v>789.34372208781008</v>
      </c>
      <c r="K58" s="22">
        <v>792.21177962585807</v>
      </c>
      <c r="L58" s="22">
        <v>801.92329005654585</v>
      </c>
      <c r="M58" s="22">
        <v>818.97243738084853</v>
      </c>
      <c r="N58" s="22">
        <v>766.63357369282755</v>
      </c>
      <c r="O58" s="22">
        <v>756.86469535834556</v>
      </c>
      <c r="P58" s="22">
        <v>805.29086165030242</v>
      </c>
      <c r="Q58" s="22">
        <v>764.73319146896313</v>
      </c>
      <c r="R58" s="22">
        <v>781.19997888367277</v>
      </c>
      <c r="S58" s="22">
        <v>761.70225381132013</v>
      </c>
      <c r="T58" s="62">
        <v>770.96052165114349</v>
      </c>
      <c r="U58" s="62">
        <v>766.74683316229414</v>
      </c>
      <c r="V58" s="62">
        <v>773</v>
      </c>
      <c r="W58" s="62">
        <v>766.1162831547515</v>
      </c>
      <c r="X58" s="62">
        <v>764.09767718880289</v>
      </c>
      <c r="Y58" s="62">
        <v>760.52846954285042</v>
      </c>
      <c r="Z58" s="62">
        <v>763.57626287395783</v>
      </c>
      <c r="AA58" s="62" t="e">
        <v>#DIV/0!</v>
      </c>
      <c r="AB58" s="62" t="e">
        <v>#DIV/0!</v>
      </c>
      <c r="AC58" s="62" t="e">
        <v>#DIV/0!</v>
      </c>
      <c r="AD58" s="62" t="e">
        <v>#DIV/0!</v>
      </c>
      <c r="AE58" s="62" t="e">
        <v>#DIV/0!</v>
      </c>
      <c r="AF58" s="62" t="e">
        <v>#DIV/0!</v>
      </c>
      <c r="AG58" s="62" t="e">
        <v>#DIV/0!</v>
      </c>
      <c r="AH58" s="62" t="e">
        <v>#DIV/0!</v>
      </c>
      <c r="AI58" s="62" t="e">
        <v>#DIV/0!</v>
      </c>
      <c r="AJ58" s="62" t="e">
        <v>#DIV/0!</v>
      </c>
      <c r="AK58" s="62" t="e">
        <v>#DIV/0!</v>
      </c>
      <c r="AL58" s="62" t="e">
        <v>#DIV/0!</v>
      </c>
      <c r="AM58" s="62">
        <v>763.57626287395783</v>
      </c>
      <c r="BO58" s="14"/>
    </row>
    <row r="59" spans="1:79" ht="14.1" customHeight="1">
      <c r="A59" s="87" t="s">
        <v>88</v>
      </c>
      <c r="B59" s="18" t="s">
        <v>72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>
        <v>101.3205937949963</v>
      </c>
      <c r="S59" s="22">
        <v>104.11704106665086</v>
      </c>
      <c r="T59" s="62">
        <v>77.774639312944217</v>
      </c>
      <c r="U59" s="62">
        <v>85.838732168177287</v>
      </c>
      <c r="V59" s="62">
        <v>83</v>
      </c>
      <c r="W59" s="62">
        <v>94.607412611979626</v>
      </c>
      <c r="X59" s="62">
        <v>81.6259678379988</v>
      </c>
      <c r="Y59" s="62">
        <v>83.064421840289967</v>
      </c>
      <c r="Z59" s="62">
        <v>86.458067680235416</v>
      </c>
      <c r="AA59" s="62" t="e">
        <v>#DIV/0!</v>
      </c>
      <c r="AB59" s="62" t="e">
        <v>#DIV/0!</v>
      </c>
      <c r="AC59" s="62" t="e">
        <v>#DIV/0!</v>
      </c>
      <c r="AD59" s="62" t="e">
        <v>#DIV/0!</v>
      </c>
      <c r="AE59" s="62" t="e">
        <v>#DIV/0!</v>
      </c>
      <c r="AF59" s="62" t="e">
        <v>#DIV/0!</v>
      </c>
      <c r="AG59" s="62" t="e">
        <v>#DIV/0!</v>
      </c>
      <c r="AH59" s="62" t="e">
        <v>#DIV/0!</v>
      </c>
      <c r="AI59" s="62" t="e">
        <v>#DIV/0!</v>
      </c>
      <c r="AJ59" s="62" t="e">
        <v>#DIV/0!</v>
      </c>
      <c r="AK59" s="62" t="e">
        <v>#DIV/0!</v>
      </c>
      <c r="AL59" s="62" t="e">
        <v>#DIV/0!</v>
      </c>
      <c r="AM59" s="62">
        <v>86.458067680235416</v>
      </c>
      <c r="BO59" s="30"/>
    </row>
    <row r="60" spans="1:79" ht="14.1" customHeight="1">
      <c r="A60" s="87" t="s">
        <v>89</v>
      </c>
      <c r="B60" s="18" t="s">
        <v>72</v>
      </c>
      <c r="C60" s="22">
        <v>176.02217097375782</v>
      </c>
      <c r="D60" s="22">
        <v>173</v>
      </c>
      <c r="E60" s="22">
        <v>174</v>
      </c>
      <c r="F60" s="22">
        <v>170.69215608706034</v>
      </c>
      <c r="G60" s="22">
        <v>176.33925214624225</v>
      </c>
      <c r="H60" s="22">
        <v>172.23666064301477</v>
      </c>
      <c r="I60" s="22">
        <v>181.22816195165564</v>
      </c>
      <c r="J60" s="22">
        <v>190.15247101468128</v>
      </c>
      <c r="K60" s="22">
        <v>188.67803330316059</v>
      </c>
      <c r="L60" s="22">
        <v>189.9850208919139</v>
      </c>
      <c r="M60" s="22">
        <v>191.03854520803895</v>
      </c>
      <c r="N60" s="22">
        <v>178.78812095430709</v>
      </c>
      <c r="O60" s="22">
        <v>174.44013914377737</v>
      </c>
      <c r="P60" s="22">
        <v>187.26995761881059</v>
      </c>
      <c r="Q60" s="22">
        <v>199.72603225087067</v>
      </c>
      <c r="R60" s="22">
        <v>79.973730514013056</v>
      </c>
      <c r="S60" s="22">
        <v>80.900042245065848</v>
      </c>
      <c r="T60" s="62">
        <v>93.938661402399504</v>
      </c>
      <c r="U60" s="62">
        <v>93.82143500638459</v>
      </c>
      <c r="V60" s="62">
        <v>91</v>
      </c>
      <c r="W60" s="62">
        <v>100.70261724925348</v>
      </c>
      <c r="X60" s="62">
        <v>89.690291840381178</v>
      </c>
      <c r="Y60" s="62">
        <v>90.705015783935451</v>
      </c>
      <c r="Z60" s="62">
        <v>93.720451201569389</v>
      </c>
      <c r="AA60" s="62" t="e">
        <v>#DIV/0!</v>
      </c>
      <c r="AB60" s="62" t="e">
        <v>#DIV/0!</v>
      </c>
      <c r="AC60" s="62" t="e">
        <v>#DIV/0!</v>
      </c>
      <c r="AD60" s="62" t="e">
        <v>#DIV/0!</v>
      </c>
      <c r="AE60" s="62" t="e">
        <v>#DIV/0!</v>
      </c>
      <c r="AF60" s="62" t="e">
        <v>#DIV/0!</v>
      </c>
      <c r="AG60" s="62" t="e">
        <v>#DIV/0!</v>
      </c>
      <c r="AH60" s="62" t="e">
        <v>#DIV/0!</v>
      </c>
      <c r="AI60" s="62" t="e">
        <v>#DIV/0!</v>
      </c>
      <c r="AJ60" s="62" t="e">
        <v>#DIV/0!</v>
      </c>
      <c r="AK60" s="62" t="e">
        <v>#DIV/0!</v>
      </c>
      <c r="AL60" s="62" t="e">
        <v>#DIV/0!</v>
      </c>
      <c r="AM60" s="62">
        <v>93.720451201569389</v>
      </c>
      <c r="BO60" s="30"/>
    </row>
    <row r="61" spans="1:79" ht="14.1" customHeight="1">
      <c r="A61" s="84" t="s">
        <v>77</v>
      </c>
      <c r="B61" s="18" t="s">
        <v>72</v>
      </c>
      <c r="C61" s="22">
        <v>147.07262804715597</v>
      </c>
      <c r="D61" s="22">
        <v>142</v>
      </c>
      <c r="E61" s="22">
        <v>138</v>
      </c>
      <c r="F61" s="22">
        <v>151.93963267822713</v>
      </c>
      <c r="G61" s="22">
        <v>144.12782309931114</v>
      </c>
      <c r="H61" s="22">
        <v>160.19478986533272</v>
      </c>
      <c r="I61" s="22">
        <v>144.42488969744471</v>
      </c>
      <c r="J61" s="22">
        <v>147.18233217999079</v>
      </c>
      <c r="K61" s="22">
        <v>140.73873708229615</v>
      </c>
      <c r="L61" s="22">
        <v>120.35501971506559</v>
      </c>
      <c r="M61" s="22">
        <v>122.58342334713846</v>
      </c>
      <c r="N61" s="22">
        <v>187.71656431409434</v>
      </c>
      <c r="O61" s="22">
        <v>230.29102178864105</v>
      </c>
      <c r="P61" s="22">
        <v>244.95000226234106</v>
      </c>
      <c r="Q61" s="22">
        <v>265.20317798420598</v>
      </c>
      <c r="R61" s="22">
        <v>263.58939786017987</v>
      </c>
      <c r="S61" s="22">
        <v>255.51347518781759</v>
      </c>
      <c r="T61" s="62">
        <v>244.34932749544066</v>
      </c>
      <c r="U61" s="62">
        <v>271.51373667264647</v>
      </c>
      <c r="V61" s="62">
        <v>275</v>
      </c>
      <c r="W61" s="62">
        <v>264.84571696235145</v>
      </c>
      <c r="X61" s="62">
        <v>259.3627159023228</v>
      </c>
      <c r="Y61" s="62">
        <v>255.00409213141589</v>
      </c>
      <c r="Z61" s="62">
        <v>259.73712604217752</v>
      </c>
      <c r="AA61" s="62" t="e">
        <v>#DIV/0!</v>
      </c>
      <c r="AB61" s="62" t="e">
        <v>#DIV/0!</v>
      </c>
      <c r="AC61" s="62" t="e">
        <v>#DIV/0!</v>
      </c>
      <c r="AD61" s="62" t="e">
        <v>#DIV/0!</v>
      </c>
      <c r="AE61" s="62" t="e">
        <v>#DIV/0!</v>
      </c>
      <c r="AF61" s="62" t="e">
        <v>#DIV/0!</v>
      </c>
      <c r="AG61" s="62" t="e">
        <v>#DIV/0!</v>
      </c>
      <c r="AH61" s="62" t="e">
        <v>#DIV/0!</v>
      </c>
      <c r="AI61" s="62" t="e">
        <v>#DIV/0!</v>
      </c>
      <c r="AJ61" s="62" t="e">
        <v>#DIV/0!</v>
      </c>
      <c r="AK61" s="62" t="e">
        <v>#DIV/0!</v>
      </c>
      <c r="AL61" s="62" t="e">
        <v>#DIV/0!</v>
      </c>
      <c r="AM61" s="62">
        <v>259.73712604217752</v>
      </c>
      <c r="BO61" s="14"/>
    </row>
    <row r="62" spans="1:79" ht="14.1" customHeight="1">
      <c r="A62" s="84" t="s">
        <v>78</v>
      </c>
      <c r="B62" s="18" t="s">
        <v>72</v>
      </c>
      <c r="C62" s="22">
        <v>65.925969095510851</v>
      </c>
      <c r="D62" s="22">
        <v>66</v>
      </c>
      <c r="E62" s="22">
        <v>66</v>
      </c>
      <c r="F62" s="22">
        <v>66.813501694661554</v>
      </c>
      <c r="G62" s="22">
        <v>66.254044098848951</v>
      </c>
      <c r="H62" s="22">
        <v>65.825703870822906</v>
      </c>
      <c r="I62" s="22">
        <v>65.331231247966372</v>
      </c>
      <c r="J62" s="22">
        <v>65.785508641397186</v>
      </c>
      <c r="K62" s="22">
        <v>65.950417703854569</v>
      </c>
      <c r="L62" s="22">
        <v>64.219926669782069</v>
      </c>
      <c r="M62" s="22">
        <v>65.062038660401583</v>
      </c>
      <c r="N62" s="22">
        <v>72.799419694725003</v>
      </c>
      <c r="O62" s="22">
        <v>62.737000862574043</v>
      </c>
      <c r="P62" s="22">
        <v>66.945387086557176</v>
      </c>
      <c r="Q62" s="22">
        <v>69.991517316554166</v>
      </c>
      <c r="R62" s="22">
        <v>70.38711167873349</v>
      </c>
      <c r="S62" s="22">
        <v>72.038954397563117</v>
      </c>
      <c r="T62" s="62">
        <v>68.598545504288353</v>
      </c>
      <c r="U62" s="62">
        <v>63.170676297091291</v>
      </c>
      <c r="V62" s="62">
        <v>64</v>
      </c>
      <c r="W62" s="62">
        <v>63.26482815153112</v>
      </c>
      <c r="X62" s="62">
        <v>63.162596783799884</v>
      </c>
      <c r="Y62" s="62">
        <v>63.194200865193508</v>
      </c>
      <c r="Z62" s="62">
        <v>63.207454634624824</v>
      </c>
      <c r="AA62" s="62" t="e">
        <v>#DIV/0!</v>
      </c>
      <c r="AB62" s="62" t="e">
        <v>#DIV/0!</v>
      </c>
      <c r="AC62" s="62" t="e">
        <v>#DIV/0!</v>
      </c>
      <c r="AD62" s="62" t="e">
        <v>#DIV/0!</v>
      </c>
      <c r="AE62" s="62" t="e">
        <v>#DIV/0!</v>
      </c>
      <c r="AF62" s="62" t="e">
        <v>#DIV/0!</v>
      </c>
      <c r="AG62" s="62" t="e">
        <v>#DIV/0!</v>
      </c>
      <c r="AH62" s="62" t="e">
        <v>#DIV/0!</v>
      </c>
      <c r="AI62" s="62" t="e">
        <v>#DIV/0!</v>
      </c>
      <c r="AJ62" s="62" t="e">
        <v>#DIV/0!</v>
      </c>
      <c r="AK62" s="62" t="e">
        <v>#DIV/0!</v>
      </c>
      <c r="AL62" s="62" t="e">
        <v>#DIV/0!</v>
      </c>
      <c r="AM62" s="62">
        <v>63.207454634624824</v>
      </c>
      <c r="BO62" s="14"/>
    </row>
    <row r="63" spans="1:79" s="28" customFormat="1" ht="14.1" customHeight="1">
      <c r="A63" s="86" t="s">
        <v>79</v>
      </c>
      <c r="B63" s="27" t="s">
        <v>72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62">
        <v>79.11</v>
      </c>
      <c r="U63" s="62">
        <v>69.959999999999994</v>
      </c>
      <c r="V63" s="62"/>
      <c r="W63" s="62">
        <v>68.77</v>
      </c>
      <c r="X63" s="62">
        <v>68.650000000000006</v>
      </c>
      <c r="Y63" s="62">
        <v>69.22</v>
      </c>
      <c r="Z63" s="62">
        <v>68.88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62">
        <v>0</v>
      </c>
      <c r="AH63" s="62">
        <v>0</v>
      </c>
      <c r="AI63" s="62">
        <v>0</v>
      </c>
      <c r="AJ63" s="62">
        <v>0</v>
      </c>
      <c r="AK63" s="62">
        <v>0</v>
      </c>
      <c r="AL63" s="62">
        <v>0</v>
      </c>
      <c r="AM63" s="62">
        <v>68.88</v>
      </c>
      <c r="BO63" s="26"/>
      <c r="BP63" s="16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</row>
    <row r="64" spans="1:79" ht="14.1" customHeight="1">
      <c r="A64" s="84" t="s">
        <v>90</v>
      </c>
      <c r="B64" s="18" t="s">
        <v>72</v>
      </c>
      <c r="C64" s="22">
        <v>14.539034401225523</v>
      </c>
      <c r="D64" s="22">
        <v>13</v>
      </c>
      <c r="E64" s="22">
        <v>13</v>
      </c>
      <c r="F64" s="22">
        <v>11.113436168766601</v>
      </c>
      <c r="G64" s="22">
        <v>11.528501435172606</v>
      </c>
      <c r="H64" s="22">
        <v>14.202288496998078</v>
      </c>
      <c r="I64" s="22">
        <v>12.75333034918706</v>
      </c>
      <c r="J64" s="22">
        <v>11.727997606597466</v>
      </c>
      <c r="K64" s="22">
        <v>10.553386889944935</v>
      </c>
      <c r="L64" s="22">
        <v>11.814757220764175</v>
      </c>
      <c r="M64" s="22">
        <v>14.218261011688828</v>
      </c>
      <c r="N64" s="22">
        <v>14.221782348638065</v>
      </c>
      <c r="O64" s="22">
        <v>14.233519647927256</v>
      </c>
      <c r="P64" s="22">
        <v>15.345911949685535</v>
      </c>
      <c r="Q64" s="22">
        <v>14.309578346022622</v>
      </c>
      <c r="R64" s="22">
        <v>12.064397048944837</v>
      </c>
      <c r="S64" s="22">
        <v>11.925955022592463</v>
      </c>
      <c r="T64" s="62">
        <v>13.795728404330804</v>
      </c>
      <c r="U64" s="62">
        <v>15.104725645183613</v>
      </c>
      <c r="V64" s="60">
        <v>15</v>
      </c>
      <c r="W64" s="62">
        <v>12.805199367644475</v>
      </c>
      <c r="X64" s="62">
        <v>13.442525312686122</v>
      </c>
      <c r="Y64" s="62">
        <v>10.896761370279433</v>
      </c>
      <c r="Z64" s="62">
        <v>12.374693477194702</v>
      </c>
      <c r="AA64" s="62" t="e">
        <v>#DIV/0!</v>
      </c>
      <c r="AB64" s="62" t="e">
        <v>#DIV/0!</v>
      </c>
      <c r="AC64" s="62" t="e">
        <v>#DIV/0!</v>
      </c>
      <c r="AD64" s="62" t="e">
        <v>#DIV/0!</v>
      </c>
      <c r="AE64" s="62" t="e">
        <v>#DIV/0!</v>
      </c>
      <c r="AF64" s="62" t="e">
        <v>#DIV/0!</v>
      </c>
      <c r="AG64" s="62" t="e">
        <v>#DIV/0!</v>
      </c>
      <c r="AH64" s="62" t="e">
        <v>#DIV/0!</v>
      </c>
      <c r="AI64" s="62" t="e">
        <v>#DIV/0!</v>
      </c>
      <c r="AJ64" s="62" t="e">
        <v>#DIV/0!</v>
      </c>
      <c r="AK64" s="62" t="e">
        <v>#DIV/0!</v>
      </c>
      <c r="AL64" s="62" t="e">
        <v>#DIV/0!</v>
      </c>
      <c r="AM64" s="62">
        <v>12.374693477194702</v>
      </c>
      <c r="BO64" s="14"/>
    </row>
    <row r="65" spans="1:67" ht="14.1" customHeight="1">
      <c r="A65" s="84" t="s">
        <v>75</v>
      </c>
      <c r="B65" s="18" t="s">
        <v>72</v>
      </c>
      <c r="C65" s="21">
        <v>9.6155046956174228</v>
      </c>
      <c r="D65" s="21">
        <v>10.4</v>
      </c>
      <c r="E65" s="21">
        <v>10</v>
      </c>
      <c r="F65" s="21">
        <v>10.194444402016385</v>
      </c>
      <c r="G65" s="21">
        <v>12.591722217153695</v>
      </c>
      <c r="H65" s="21">
        <v>9.7331839425599131</v>
      </c>
      <c r="I65" s="21">
        <v>13.565881021249158</v>
      </c>
      <c r="J65" s="22">
        <v>10.573571112672026</v>
      </c>
      <c r="K65" s="22">
        <v>7.0799860451082441</v>
      </c>
      <c r="L65" s="22">
        <v>5.5220464820804853</v>
      </c>
      <c r="M65" s="22">
        <v>7.5774435355613337</v>
      </c>
      <c r="N65" s="22">
        <v>17.139189252877451</v>
      </c>
      <c r="O65" s="22">
        <v>12.173508391493321</v>
      </c>
      <c r="P65" s="22">
        <v>9.5428562810129254</v>
      </c>
      <c r="Q65" s="22">
        <v>9.4226564763308112</v>
      </c>
      <c r="R65" s="22">
        <v>5.6481332149656636</v>
      </c>
      <c r="S65" s="22">
        <v>5.4538132965727142</v>
      </c>
      <c r="T65" s="62">
        <v>4.8697255734471261</v>
      </c>
      <c r="U65" s="62">
        <v>6.9047637699665492</v>
      </c>
      <c r="V65" s="60">
        <v>7</v>
      </c>
      <c r="W65" s="62">
        <v>2.3771883599742374</v>
      </c>
      <c r="X65" s="62">
        <v>1.9833234067897558</v>
      </c>
      <c r="Y65" s="62">
        <v>3.9985969835145565</v>
      </c>
      <c r="Z65" s="62">
        <v>2.7915644923982343</v>
      </c>
      <c r="AA65" s="62" t="e">
        <v>#DIV/0!</v>
      </c>
      <c r="AB65" s="62" t="e">
        <v>#DIV/0!</v>
      </c>
      <c r="AC65" s="62" t="e">
        <v>#DIV/0!</v>
      </c>
      <c r="AD65" s="62" t="e">
        <v>#DIV/0!</v>
      </c>
      <c r="AE65" s="62" t="e">
        <v>#DIV/0!</v>
      </c>
      <c r="AF65" s="62" t="e">
        <v>#DIV/0!</v>
      </c>
      <c r="AG65" s="62" t="e">
        <v>#DIV/0!</v>
      </c>
      <c r="AH65" s="62" t="e">
        <v>#DIV/0!</v>
      </c>
      <c r="AI65" s="62" t="e">
        <v>#DIV/0!</v>
      </c>
      <c r="AJ65" s="62" t="e">
        <v>#DIV/0!</v>
      </c>
      <c r="AK65" s="62" t="e">
        <v>#DIV/0!</v>
      </c>
      <c r="AL65" s="62" t="e">
        <v>#DIV/0!</v>
      </c>
      <c r="AM65" s="62">
        <v>2.7915644923982343</v>
      </c>
      <c r="BO65" s="14"/>
    </row>
    <row r="66" spans="1:67" ht="14.1" customHeight="1">
      <c r="A66" s="84" t="s">
        <v>76</v>
      </c>
      <c r="B66" s="18" t="s">
        <v>72</v>
      </c>
      <c r="C66" s="22">
        <v>35.760893998934328</v>
      </c>
      <c r="D66" s="22">
        <v>36</v>
      </c>
      <c r="E66" s="22">
        <v>38</v>
      </c>
      <c r="F66" s="22">
        <v>38.469860888575937</v>
      </c>
      <c r="G66" s="22">
        <v>32.771361915140844</v>
      </c>
      <c r="H66" s="22">
        <v>32.342646771965782</v>
      </c>
      <c r="I66" s="22">
        <v>21.753707262441285</v>
      </c>
      <c r="J66" s="22">
        <v>16.34136770814364</v>
      </c>
      <c r="K66" s="22">
        <v>20.203948857207514</v>
      </c>
      <c r="L66" s="22">
        <v>31.172198044146665</v>
      </c>
      <c r="M66" s="22">
        <v>30.613740358571576</v>
      </c>
      <c r="N66" s="22">
        <v>15.91229030017274</v>
      </c>
      <c r="O66" s="22">
        <v>13.700044333999566</v>
      </c>
      <c r="P66" s="22">
        <v>4.5427808696439076</v>
      </c>
      <c r="Q66" s="22">
        <v>8.7046504696738864</v>
      </c>
      <c r="R66" s="22">
        <v>6.3101978783902961</v>
      </c>
      <c r="S66" s="22">
        <v>3.7664811342429609</v>
      </c>
      <c r="T66" s="62">
        <v>4.9778024678079662</v>
      </c>
      <c r="U66" s="62">
        <v>4.1258326739834913E-2</v>
      </c>
      <c r="V66" s="60">
        <v>0.06</v>
      </c>
      <c r="W66" s="62">
        <v>0</v>
      </c>
      <c r="X66" s="62">
        <v>0</v>
      </c>
      <c r="Y66" s="62">
        <v>0</v>
      </c>
      <c r="Z66" s="62">
        <v>0</v>
      </c>
      <c r="AA66" s="62" t="e">
        <v>#DIV/0!</v>
      </c>
      <c r="AB66" s="62" t="e">
        <v>#DIV/0!</v>
      </c>
      <c r="AC66" s="62" t="e">
        <v>#DIV/0!</v>
      </c>
      <c r="AD66" s="62" t="e">
        <v>#DIV/0!</v>
      </c>
      <c r="AE66" s="62" t="e">
        <v>#DIV/0!</v>
      </c>
      <c r="AF66" s="62" t="e">
        <v>#DIV/0!</v>
      </c>
      <c r="AG66" s="62" t="e">
        <v>#DIV/0!</v>
      </c>
      <c r="AH66" s="62" t="e">
        <v>#DIV/0!</v>
      </c>
      <c r="AI66" s="62" t="e">
        <v>#DIV/0!</v>
      </c>
      <c r="AJ66" s="62" t="e">
        <v>#DIV/0!</v>
      </c>
      <c r="AK66" s="62" t="e">
        <v>#DIV/0!</v>
      </c>
      <c r="AL66" s="62" t="e">
        <v>#DIV/0!</v>
      </c>
      <c r="AM66" s="62">
        <v>0</v>
      </c>
      <c r="BO66" s="14"/>
    </row>
    <row r="67" spans="1:67" ht="14.1" customHeight="1">
      <c r="A67" s="84" t="s">
        <v>91</v>
      </c>
      <c r="B67" s="18" t="s">
        <v>72</v>
      </c>
      <c r="C67" s="22">
        <v>21.120391800985747</v>
      </c>
      <c r="D67" s="22">
        <v>24</v>
      </c>
      <c r="E67" s="22">
        <v>18</v>
      </c>
      <c r="F67" s="22">
        <v>20.479515138925589</v>
      </c>
      <c r="G67" s="22">
        <v>21.392242749195191</v>
      </c>
      <c r="H67" s="22">
        <v>20.139362453317574</v>
      </c>
      <c r="I67" s="22">
        <v>18.558633380851969</v>
      </c>
      <c r="J67" s="22">
        <v>23.11725504478958</v>
      </c>
      <c r="K67" s="22">
        <v>15.063975635513314</v>
      </c>
      <c r="L67" s="22">
        <v>0.12853925703166866</v>
      </c>
      <c r="M67" s="22">
        <v>3.9370560751327286</v>
      </c>
      <c r="N67" s="22">
        <v>0.52354518983892029</v>
      </c>
      <c r="O67" s="22">
        <v>0</v>
      </c>
      <c r="P67" s="22">
        <v>7</v>
      </c>
      <c r="Q67" s="22">
        <v>0</v>
      </c>
      <c r="R67" s="22">
        <v>0</v>
      </c>
      <c r="S67" s="22">
        <v>0</v>
      </c>
      <c r="T67" s="62">
        <v>0</v>
      </c>
      <c r="U67" s="62">
        <v>0</v>
      </c>
      <c r="V67" s="62"/>
      <c r="W67" s="62">
        <v>0</v>
      </c>
      <c r="X67" s="62">
        <v>0</v>
      </c>
      <c r="Y67" s="62">
        <v>0</v>
      </c>
      <c r="Z67" s="62">
        <v>0</v>
      </c>
      <c r="AA67" s="62" t="e">
        <v>#DIV/0!</v>
      </c>
      <c r="AB67" s="62" t="e">
        <v>#DIV/0!</v>
      </c>
      <c r="AC67" s="62" t="e">
        <v>#DIV/0!</v>
      </c>
      <c r="AD67" s="62" t="e">
        <v>#DIV/0!</v>
      </c>
      <c r="AE67" s="62" t="e">
        <v>#DIV/0!</v>
      </c>
      <c r="AF67" s="62" t="e">
        <v>#DIV/0!</v>
      </c>
      <c r="AG67" s="62" t="e">
        <v>#DIV/0!</v>
      </c>
      <c r="AH67" s="62" t="e">
        <v>#DIV/0!</v>
      </c>
      <c r="AI67" s="62" t="e">
        <v>#DIV/0!</v>
      </c>
      <c r="AJ67" s="62" t="e">
        <v>#DIV/0!</v>
      </c>
      <c r="AK67" s="62" t="e">
        <v>#DIV/0!</v>
      </c>
      <c r="AL67" s="62" t="e">
        <v>#DIV/0!</v>
      </c>
      <c r="AM67" s="62">
        <v>0</v>
      </c>
      <c r="BO67" s="14"/>
    </row>
    <row r="68" spans="1:67" ht="14.1" customHeight="1">
      <c r="A68" s="84" t="s">
        <v>80</v>
      </c>
      <c r="B68" s="18" t="s">
        <v>81</v>
      </c>
      <c r="C68" s="21">
        <v>95.024762394803119</v>
      </c>
      <c r="D68" s="21">
        <v>95.2</v>
      </c>
      <c r="E68" s="21">
        <v>96.13</v>
      </c>
      <c r="F68" s="21">
        <v>96.262216102101746</v>
      </c>
      <c r="G68" s="21">
        <v>97.179128076616934</v>
      </c>
      <c r="H68" s="21">
        <v>92.872126155623107</v>
      </c>
      <c r="I68" s="21">
        <v>82.398994049968749</v>
      </c>
      <c r="J68" s="20">
        <v>89.539035636793528</v>
      </c>
      <c r="K68" s="20">
        <v>81.502787057397796</v>
      </c>
      <c r="L68" s="20">
        <v>83.114040211007335</v>
      </c>
      <c r="M68" s="20">
        <v>80.572524828760976</v>
      </c>
      <c r="N68" s="20">
        <v>92.292209903917211</v>
      </c>
      <c r="O68" s="20">
        <v>91.357118784642623</v>
      </c>
      <c r="P68" s="20">
        <v>77.1445415106121</v>
      </c>
      <c r="Q68" s="20">
        <v>92.587598635683193</v>
      </c>
      <c r="R68" s="20">
        <v>97.510459630278035</v>
      </c>
      <c r="S68" s="20">
        <v>96.615315699454314</v>
      </c>
      <c r="T68" s="60">
        <v>91.970207305105518</v>
      </c>
      <c r="U68" s="60">
        <v>91.608339805245237</v>
      </c>
      <c r="V68" s="59"/>
      <c r="W68" s="60">
        <v>97.332857142857137</v>
      </c>
      <c r="X68" s="60">
        <v>93.014201593349497</v>
      </c>
      <c r="Y68" s="60">
        <v>98.517715112075194</v>
      </c>
      <c r="Z68" s="60">
        <v>96.24559328049213</v>
      </c>
      <c r="AA68" s="60" t="e">
        <v>#DIV/0!</v>
      </c>
      <c r="AB68" s="60" t="e">
        <v>#DIV/0!</v>
      </c>
      <c r="AC68" s="60" t="e">
        <v>#DIV/0!</v>
      </c>
      <c r="AD68" s="60" t="e">
        <v>#DIV/0!</v>
      </c>
      <c r="AE68" s="60" t="e">
        <v>#DIV/0!</v>
      </c>
      <c r="AF68" s="60" t="e">
        <v>#DIV/0!</v>
      </c>
      <c r="AG68" s="60" t="e">
        <v>#DIV/0!</v>
      </c>
      <c r="AH68" s="60" t="e">
        <v>#DIV/0!</v>
      </c>
      <c r="AI68" s="60" t="e">
        <v>#DIV/0!</v>
      </c>
      <c r="AJ68" s="60" t="e">
        <v>#DIV/0!</v>
      </c>
      <c r="AK68" s="60" t="e">
        <v>#DIV/0!</v>
      </c>
      <c r="AL68" s="60" t="e">
        <v>#DIV/0!</v>
      </c>
      <c r="AM68" s="60">
        <v>96.24559328049213</v>
      </c>
      <c r="BO68" s="14"/>
    </row>
    <row r="69" spans="1:67" ht="14.1" customHeight="1">
      <c r="A69" s="84" t="s">
        <v>92</v>
      </c>
      <c r="B69" s="18" t="s">
        <v>41</v>
      </c>
      <c r="C69" s="20">
        <v>90.1</v>
      </c>
      <c r="D69" s="20">
        <v>90</v>
      </c>
      <c r="E69" s="20">
        <v>90.3</v>
      </c>
      <c r="F69" s="20">
        <v>90.34333333333332</v>
      </c>
      <c r="G69" s="20">
        <v>90.431666666666658</v>
      </c>
      <c r="H69" s="20">
        <v>88.419166666666669</v>
      </c>
      <c r="I69" s="20">
        <v>88.081666666666663</v>
      </c>
      <c r="J69" s="20">
        <v>87.554166666666674</v>
      </c>
      <c r="K69" s="20">
        <v>87.509166666666673</v>
      </c>
      <c r="L69" s="20">
        <v>89.951666666666654</v>
      </c>
      <c r="M69" s="20">
        <v>88.788333333333313</v>
      </c>
      <c r="N69" s="20">
        <v>88.172499999999999</v>
      </c>
      <c r="O69" s="20">
        <v>89.311666666666667</v>
      </c>
      <c r="P69" s="20">
        <v>90.115833333333342</v>
      </c>
      <c r="Q69" s="20">
        <v>89.30083333333333</v>
      </c>
      <c r="R69" s="20">
        <v>89.259166666666658</v>
      </c>
      <c r="S69" s="20">
        <v>87.492500000000007</v>
      </c>
      <c r="T69" s="60">
        <v>87.73</v>
      </c>
      <c r="U69" s="60">
        <v>86.624166666666653</v>
      </c>
      <c r="V69" s="59"/>
      <c r="W69" s="60">
        <v>86.04</v>
      </c>
      <c r="X69" s="60">
        <v>85.37</v>
      </c>
      <c r="Y69" s="60">
        <v>84.93</v>
      </c>
      <c r="Z69" s="60">
        <v>85.446666666666673</v>
      </c>
      <c r="AA69" s="60">
        <v>0</v>
      </c>
      <c r="AB69" s="60">
        <v>0</v>
      </c>
      <c r="AC69" s="60">
        <v>0</v>
      </c>
      <c r="AD69" s="60" t="e">
        <v>#DIV/0!</v>
      </c>
      <c r="AE69" s="60">
        <v>0</v>
      </c>
      <c r="AF69" s="60">
        <v>0</v>
      </c>
      <c r="AG69" s="60">
        <v>0</v>
      </c>
      <c r="AH69" s="60" t="e">
        <v>#DIV/0!</v>
      </c>
      <c r="AI69" s="60">
        <v>0</v>
      </c>
      <c r="AJ69" s="60">
        <v>0</v>
      </c>
      <c r="AK69" s="60">
        <v>0</v>
      </c>
      <c r="AL69" s="60" t="e">
        <v>#DIV/0!</v>
      </c>
      <c r="AM69" s="60">
        <v>85.446666666666673</v>
      </c>
      <c r="BO69" s="14"/>
    </row>
    <row r="70" spans="1:67" ht="14.1" customHeight="1">
      <c r="A70" s="84" t="s">
        <v>93</v>
      </c>
      <c r="B70" s="18" t="s">
        <v>41</v>
      </c>
      <c r="C70" s="20">
        <v>80.625</v>
      </c>
      <c r="D70" s="20">
        <v>80.7</v>
      </c>
      <c r="E70" s="20">
        <v>80.8</v>
      </c>
      <c r="F70" s="20">
        <v>80.652500000000003</v>
      </c>
      <c r="G70" s="20">
        <v>80.534999999999997</v>
      </c>
      <c r="H70" s="20">
        <v>77.520833333333329</v>
      </c>
      <c r="I70" s="20">
        <v>73.970000000000013</v>
      </c>
      <c r="J70" s="20">
        <v>75.969166666666666</v>
      </c>
      <c r="K70" s="20">
        <v>78.39500000000001</v>
      </c>
      <c r="L70" s="20">
        <v>81.952500000000001</v>
      </c>
      <c r="M70" s="20">
        <v>80.37166666666667</v>
      </c>
      <c r="N70" s="20">
        <v>79.303333333333327</v>
      </c>
      <c r="O70" s="20">
        <v>82.099166666666648</v>
      </c>
      <c r="P70" s="20">
        <v>82.782500000000013</v>
      </c>
      <c r="Q70" s="20">
        <v>78.71916666666668</v>
      </c>
      <c r="R70" s="20">
        <v>75.716666666666683</v>
      </c>
      <c r="S70" s="20">
        <v>74.643333333333317</v>
      </c>
      <c r="T70" s="60">
        <v>78.018333333333331</v>
      </c>
      <c r="U70" s="60">
        <v>76.511666666666656</v>
      </c>
      <c r="V70" s="59"/>
      <c r="W70" s="60">
        <v>75.709999999999994</v>
      </c>
      <c r="X70" s="60">
        <v>74.77</v>
      </c>
      <c r="Y70" s="60">
        <v>73</v>
      </c>
      <c r="Z70" s="60">
        <v>74.493333333333325</v>
      </c>
      <c r="AA70" s="60">
        <v>0</v>
      </c>
      <c r="AB70" s="60">
        <v>0</v>
      </c>
      <c r="AC70" s="60">
        <v>0</v>
      </c>
      <c r="AD70" s="60" t="e">
        <v>#DIV/0!</v>
      </c>
      <c r="AE70" s="60">
        <v>0</v>
      </c>
      <c r="AF70" s="60">
        <v>0</v>
      </c>
      <c r="AG70" s="60">
        <v>0</v>
      </c>
      <c r="AH70" s="60" t="e">
        <v>#DIV/0!</v>
      </c>
      <c r="AI70" s="60">
        <v>0</v>
      </c>
      <c r="AJ70" s="60">
        <v>0</v>
      </c>
      <c r="AK70" s="60">
        <v>0</v>
      </c>
      <c r="AL70" s="60" t="e">
        <v>#DIV/0!</v>
      </c>
      <c r="AM70" s="60">
        <v>74.493333333333325</v>
      </c>
      <c r="BO70" s="14"/>
    </row>
    <row r="71" spans="1:67" ht="14.1" customHeight="1">
      <c r="A71" s="84" t="s">
        <v>85</v>
      </c>
      <c r="B71" s="18" t="s">
        <v>41</v>
      </c>
      <c r="C71" s="20">
        <v>73.733333333333334</v>
      </c>
      <c r="D71" s="20">
        <v>73.900000000000006</v>
      </c>
      <c r="E71" s="20">
        <v>73.900000000000006</v>
      </c>
      <c r="F71" s="20">
        <v>73.735833333333332</v>
      </c>
      <c r="G71" s="20">
        <v>73.44916666666667</v>
      </c>
      <c r="H71" s="20">
        <v>72.485833333333332</v>
      </c>
      <c r="I71" s="20">
        <v>72.80083333333333</v>
      </c>
      <c r="J71" s="20">
        <v>72.995833333333337</v>
      </c>
      <c r="K71" s="20">
        <v>73.26166666666667</v>
      </c>
      <c r="L71" s="20">
        <v>73.597500000000011</v>
      </c>
      <c r="M71" s="20">
        <v>74.710000000000022</v>
      </c>
      <c r="N71" s="20">
        <v>74.447499999999991</v>
      </c>
      <c r="O71" s="20">
        <v>74.283333333333331</v>
      </c>
      <c r="P71" s="20">
        <v>73.726666666666659</v>
      </c>
      <c r="Q71" s="20">
        <v>73.782727272727271</v>
      </c>
      <c r="R71" s="20">
        <v>73.910833333333329</v>
      </c>
      <c r="S71" s="20">
        <v>74.247500000000002</v>
      </c>
      <c r="T71" s="60">
        <v>74.284999999999997</v>
      </c>
      <c r="U71" s="60">
        <v>74.446666666666658</v>
      </c>
      <c r="V71" s="59"/>
      <c r="W71" s="60">
        <v>74.489999999999995</v>
      </c>
      <c r="X71" s="60">
        <v>74.17</v>
      </c>
      <c r="Y71" s="60">
        <v>74.53</v>
      </c>
      <c r="Z71" s="60">
        <v>74.396666666666661</v>
      </c>
      <c r="AA71" s="60">
        <v>0</v>
      </c>
      <c r="AB71" s="60">
        <v>0</v>
      </c>
      <c r="AC71" s="60">
        <v>0</v>
      </c>
      <c r="AD71" s="60" t="e">
        <v>#DIV/0!</v>
      </c>
      <c r="AE71" s="60">
        <v>0</v>
      </c>
      <c r="AF71" s="60">
        <v>0</v>
      </c>
      <c r="AG71" s="60">
        <v>0</v>
      </c>
      <c r="AH71" s="60" t="e">
        <v>#DIV/0!</v>
      </c>
      <c r="AI71" s="60">
        <v>0</v>
      </c>
      <c r="AJ71" s="60">
        <v>0</v>
      </c>
      <c r="AK71" s="60">
        <v>0</v>
      </c>
      <c r="AL71" s="60" t="e">
        <v>#DIV/0!</v>
      </c>
      <c r="AM71" s="60">
        <v>74.396666666666661</v>
      </c>
      <c r="BO71" s="14"/>
    </row>
    <row r="72" spans="1:67" ht="14.1" customHeight="1">
      <c r="A72" s="84" t="s">
        <v>86</v>
      </c>
      <c r="B72" s="18" t="s">
        <v>41</v>
      </c>
      <c r="C72" s="20">
        <v>18.410779110560757</v>
      </c>
      <c r="D72" s="20">
        <v>17.8</v>
      </c>
      <c r="E72" s="20">
        <v>16.920000000000002</v>
      </c>
      <c r="F72" s="20">
        <v>17.993230683830369</v>
      </c>
      <c r="G72" s="20">
        <v>18.174514204572372</v>
      </c>
      <c r="H72" s="20">
        <v>17.151905554840972</v>
      </c>
      <c r="I72" s="20">
        <v>16.568831180335248</v>
      </c>
      <c r="J72" s="20">
        <v>16.412519713908271</v>
      </c>
      <c r="K72" s="20">
        <v>16.435793578404422</v>
      </c>
      <c r="L72" s="20">
        <v>16.019595940596599</v>
      </c>
      <c r="M72" s="20">
        <v>14.524949043090194</v>
      </c>
      <c r="N72" s="20">
        <v>8.9923213053780859</v>
      </c>
      <c r="O72" s="20">
        <v>10.786850233736169</v>
      </c>
      <c r="P72" s="20">
        <v>10.361671937079381</v>
      </c>
      <c r="Q72" s="20">
        <v>10.181840572099681</v>
      </c>
      <c r="R72" s="20">
        <v>10.300831795246369</v>
      </c>
      <c r="S72" s="20">
        <v>11.415754352056981</v>
      </c>
      <c r="T72" s="60">
        <v>9.2788776162921529</v>
      </c>
      <c r="U72" s="60">
        <v>9.6282762128662132</v>
      </c>
      <c r="V72" s="54"/>
      <c r="W72" s="60">
        <v>9.1810264208634553</v>
      </c>
      <c r="X72" s="60">
        <v>10.229005714668766</v>
      </c>
      <c r="Y72" s="60">
        <v>7.7287435104831479</v>
      </c>
      <c r="Z72" s="60">
        <v>9.0540181963926738</v>
      </c>
      <c r="AA72" s="60" t="e">
        <v>#DIV/0!</v>
      </c>
      <c r="AB72" s="60" t="e">
        <v>#DIV/0!</v>
      </c>
      <c r="AC72" s="60" t="e">
        <v>#DIV/0!</v>
      </c>
      <c r="AD72" s="60" t="e">
        <v>#DIV/0!</v>
      </c>
      <c r="AE72" s="60" t="e">
        <v>#DIV/0!</v>
      </c>
      <c r="AF72" s="60" t="e">
        <v>#DIV/0!</v>
      </c>
      <c r="AG72" s="60" t="e">
        <v>#DIV/0!</v>
      </c>
      <c r="AH72" s="60" t="e">
        <v>#DIV/0!</v>
      </c>
      <c r="AI72" s="60" t="e">
        <v>#DIV/0!</v>
      </c>
      <c r="AJ72" s="60" t="e">
        <v>#DIV/0!</v>
      </c>
      <c r="AK72" s="60" t="e">
        <v>#DIV/0!</v>
      </c>
      <c r="AL72" s="60" t="e">
        <v>#DIV/0!</v>
      </c>
      <c r="AM72" s="60">
        <v>9.0540181963926738</v>
      </c>
      <c r="BO72" s="14"/>
    </row>
    <row r="73" spans="1:67">
      <c r="A73" s="68" t="s">
        <v>94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BO73" s="31"/>
    </row>
    <row r="74" spans="1:67">
      <c r="A74" s="53" t="s">
        <v>65</v>
      </c>
      <c r="B74" s="18" t="s">
        <v>41</v>
      </c>
      <c r="C74" s="20"/>
      <c r="D74" s="20"/>
      <c r="E74" s="20"/>
      <c r="F74" s="20"/>
      <c r="G74" s="20"/>
      <c r="H74" s="20"/>
      <c r="I74" s="20"/>
      <c r="J74" s="20">
        <v>9.745000000000001</v>
      </c>
      <c r="K74" s="20">
        <v>9.7841666666666676</v>
      </c>
      <c r="L74" s="20">
        <v>10.059166666666664</v>
      </c>
      <c r="M74" s="20">
        <v>10.208333333333334</v>
      </c>
      <c r="N74" s="20">
        <v>9.83</v>
      </c>
      <c r="O74" s="20">
        <v>10.176666666666668</v>
      </c>
      <c r="P74" s="20">
        <v>9.6958333333333346</v>
      </c>
      <c r="Q74" s="20">
        <v>9.894166666666667</v>
      </c>
      <c r="R74" s="20">
        <v>10.106666666666667</v>
      </c>
      <c r="S74" s="20">
        <v>10.290833333333333</v>
      </c>
      <c r="T74" s="60">
        <v>10.1525</v>
      </c>
      <c r="U74" s="60">
        <v>9.9216666666666669</v>
      </c>
      <c r="W74" s="60">
        <v>9.8800000000000008</v>
      </c>
      <c r="X74" s="60">
        <v>10.07</v>
      </c>
      <c r="Y74" s="60">
        <v>10.14</v>
      </c>
      <c r="Z74" s="60">
        <v>10.030000000000001</v>
      </c>
      <c r="AA74" s="60">
        <v>0</v>
      </c>
      <c r="AB74" s="60">
        <v>0</v>
      </c>
      <c r="AC74" s="60">
        <v>0</v>
      </c>
      <c r="AD74" s="60" t="e">
        <v>#DIV/0!</v>
      </c>
      <c r="AE74" s="60">
        <v>0</v>
      </c>
      <c r="AF74" s="60">
        <v>0</v>
      </c>
      <c r="AG74" s="60">
        <v>0</v>
      </c>
      <c r="AH74" s="60" t="e">
        <v>#DIV/0!</v>
      </c>
      <c r="AI74" s="60">
        <v>0</v>
      </c>
      <c r="AJ74" s="60">
        <v>0</v>
      </c>
      <c r="AK74" s="60">
        <v>0</v>
      </c>
      <c r="AL74" s="60" t="e">
        <v>#DIV/0!</v>
      </c>
      <c r="AM74" s="60">
        <v>10.030000000000001</v>
      </c>
      <c r="BO74" s="14"/>
    </row>
    <row r="75" spans="1:67">
      <c r="A75" s="84" t="s">
        <v>66</v>
      </c>
      <c r="B75" s="18" t="s">
        <v>41</v>
      </c>
      <c r="C75" s="20"/>
      <c r="D75" s="20"/>
      <c r="E75" s="20"/>
      <c r="F75" s="20"/>
      <c r="G75" s="20"/>
      <c r="H75" s="20"/>
      <c r="I75" s="20"/>
      <c r="J75" s="20">
        <v>54.06333333333334</v>
      </c>
      <c r="K75" s="20">
        <v>54.52</v>
      </c>
      <c r="L75" s="20">
        <v>54.742500000000014</v>
      </c>
      <c r="M75" s="20">
        <v>55.218333333333327</v>
      </c>
      <c r="N75" s="20">
        <v>54.677500000000002</v>
      </c>
      <c r="O75" s="20">
        <v>53.1</v>
      </c>
      <c r="P75" s="20">
        <v>54.633333333333326</v>
      </c>
      <c r="Q75" s="20">
        <v>53.49583333333333</v>
      </c>
      <c r="R75" s="20">
        <v>53.392499999999991</v>
      </c>
      <c r="S75" s="20">
        <v>53.159166666666664</v>
      </c>
      <c r="T75" s="60">
        <v>54.170833333333341</v>
      </c>
      <c r="U75" s="60">
        <v>53.847499999999997</v>
      </c>
      <c r="V75" s="59"/>
      <c r="W75" s="60">
        <v>53.45</v>
      </c>
      <c r="X75" s="60">
        <v>53.95</v>
      </c>
      <c r="Y75" s="60">
        <v>54.01</v>
      </c>
      <c r="Z75" s="60">
        <v>53.803333333333335</v>
      </c>
      <c r="AA75" s="60">
        <v>0</v>
      </c>
      <c r="AB75" s="60">
        <v>0</v>
      </c>
      <c r="AC75" s="60">
        <v>0</v>
      </c>
      <c r="AD75" s="60" t="e">
        <v>#DIV/0!</v>
      </c>
      <c r="AE75" s="60">
        <v>0</v>
      </c>
      <c r="AF75" s="60">
        <v>0</v>
      </c>
      <c r="AG75" s="60">
        <v>0</v>
      </c>
      <c r="AH75" s="60" t="e">
        <v>#DIV/0!</v>
      </c>
      <c r="AI75" s="60">
        <v>0</v>
      </c>
      <c r="AJ75" s="60">
        <v>0</v>
      </c>
      <c r="AK75" s="60">
        <v>0</v>
      </c>
      <c r="AL75" s="60" t="e">
        <v>#DIV/0!</v>
      </c>
      <c r="AM75" s="60">
        <v>53.803333333333335</v>
      </c>
      <c r="BO75" s="14"/>
    </row>
    <row r="76" spans="1:67">
      <c r="A76" s="84" t="s">
        <v>67</v>
      </c>
      <c r="B76" s="18" t="s">
        <v>41</v>
      </c>
      <c r="C76" s="20"/>
      <c r="D76" s="20"/>
      <c r="E76" s="20"/>
      <c r="F76" s="20"/>
      <c r="G76" s="20"/>
      <c r="H76" s="20"/>
      <c r="I76" s="20"/>
      <c r="J76" s="20">
        <v>10.864166666666666</v>
      </c>
      <c r="K76" s="20">
        <v>10.620000000000001</v>
      </c>
      <c r="L76" s="20">
        <v>10.341666666666667</v>
      </c>
      <c r="M76" s="20">
        <v>10.260833333333332</v>
      </c>
      <c r="N76" s="20">
        <v>10.626666666666665</v>
      </c>
      <c r="O76" s="20">
        <v>11.569166666666666</v>
      </c>
      <c r="P76" s="20">
        <v>10.129166666666666</v>
      </c>
      <c r="Q76" s="20">
        <v>11.011666666666665</v>
      </c>
      <c r="R76" s="20">
        <v>10.776666666666666</v>
      </c>
      <c r="S76" s="20">
        <v>10.935</v>
      </c>
      <c r="T76" s="60">
        <v>10.148333333333332</v>
      </c>
      <c r="U76" s="60">
        <v>10.3575</v>
      </c>
      <c r="V76" s="66"/>
      <c r="W76" s="60">
        <v>10.78</v>
      </c>
      <c r="X76" s="60">
        <v>10.31</v>
      </c>
      <c r="Y76" s="60">
        <v>10.31</v>
      </c>
      <c r="Z76" s="60">
        <v>10.466666666666667</v>
      </c>
      <c r="AA76" s="60">
        <v>0</v>
      </c>
      <c r="AB76" s="60">
        <v>0</v>
      </c>
      <c r="AC76" s="60">
        <v>0</v>
      </c>
      <c r="AD76" s="60" t="e">
        <v>#DIV/0!</v>
      </c>
      <c r="AE76" s="60">
        <v>0</v>
      </c>
      <c r="AF76" s="60">
        <v>0</v>
      </c>
      <c r="AG76" s="60">
        <v>0</v>
      </c>
      <c r="AH76" s="60" t="e">
        <v>#DIV/0!</v>
      </c>
      <c r="AI76" s="60">
        <v>0</v>
      </c>
      <c r="AJ76" s="60">
        <v>0</v>
      </c>
      <c r="AK76" s="60">
        <v>0</v>
      </c>
      <c r="AL76" s="60" t="e">
        <v>#DIV/0!</v>
      </c>
      <c r="AM76" s="60">
        <v>10.466666666666667</v>
      </c>
      <c r="BO76" s="14"/>
    </row>
    <row r="77" spans="1:67">
      <c r="A77" s="84" t="s">
        <v>68</v>
      </c>
      <c r="B77" s="18" t="s">
        <v>41</v>
      </c>
      <c r="C77" s="20"/>
      <c r="D77" s="20"/>
      <c r="E77" s="20"/>
      <c r="F77" s="20"/>
      <c r="G77" s="20"/>
      <c r="H77" s="20"/>
      <c r="I77" s="20"/>
      <c r="J77" s="20">
        <v>1.76</v>
      </c>
      <c r="K77" s="20">
        <v>1.7566666666666666</v>
      </c>
      <c r="L77" s="20">
        <v>1.7141666666666664</v>
      </c>
      <c r="M77" s="20">
        <v>1.8</v>
      </c>
      <c r="N77" s="20">
        <v>1.8250000000000002</v>
      </c>
      <c r="O77" s="20">
        <v>1.7324999999999999</v>
      </c>
      <c r="P77" s="20">
        <v>1.781666666666667</v>
      </c>
      <c r="Q77" s="20">
        <v>1.7008333333333336</v>
      </c>
      <c r="R77" s="20">
        <v>1.7408333333333335</v>
      </c>
      <c r="S77" s="20">
        <v>1.6841666666666664</v>
      </c>
      <c r="T77" s="60">
        <v>1.6475</v>
      </c>
      <c r="U77" s="60">
        <v>1.5974999999999999</v>
      </c>
      <c r="W77" s="60">
        <v>1.56</v>
      </c>
      <c r="X77" s="60">
        <v>1.62</v>
      </c>
      <c r="Y77" s="60">
        <v>1.59</v>
      </c>
      <c r="Z77" s="60">
        <v>1.59</v>
      </c>
      <c r="AA77" s="60">
        <v>0</v>
      </c>
      <c r="AB77" s="60">
        <v>0</v>
      </c>
      <c r="AC77" s="60">
        <v>0</v>
      </c>
      <c r="AD77" s="60" t="e">
        <v>#DIV/0!</v>
      </c>
      <c r="AE77" s="60">
        <v>0</v>
      </c>
      <c r="AF77" s="60">
        <v>0</v>
      </c>
      <c r="AG77" s="60">
        <v>0</v>
      </c>
      <c r="AH77" s="60" t="e">
        <v>#DIV/0!</v>
      </c>
      <c r="AI77" s="60">
        <v>0</v>
      </c>
      <c r="AJ77" s="60">
        <v>0</v>
      </c>
      <c r="AK77" s="60">
        <v>0</v>
      </c>
      <c r="AL77" s="60" t="e">
        <v>#DIV/0!</v>
      </c>
      <c r="AM77" s="60">
        <v>1.59</v>
      </c>
      <c r="BO77" s="14"/>
    </row>
    <row r="78" spans="1:67">
      <c r="A78" s="84" t="s">
        <v>69</v>
      </c>
      <c r="B78" s="18" t="s">
        <v>70</v>
      </c>
      <c r="C78" s="20"/>
      <c r="D78" s="20"/>
      <c r="E78" s="20"/>
      <c r="F78" s="20"/>
      <c r="G78" s="20"/>
      <c r="H78" s="20"/>
      <c r="I78" s="20"/>
      <c r="J78" s="20">
        <v>1.0295379001739813</v>
      </c>
      <c r="K78" s="20">
        <v>1.2185016975828664</v>
      </c>
      <c r="L78" s="20">
        <v>1.2086609330583493</v>
      </c>
      <c r="M78" s="20">
        <v>1.2904579005960151</v>
      </c>
      <c r="N78" s="20">
        <v>1.2897807952888043</v>
      </c>
      <c r="O78" s="20">
        <v>1.2966026200362766</v>
      </c>
      <c r="P78" s="20">
        <v>1.2921581008699938</v>
      </c>
      <c r="Q78" s="20">
        <v>1.3044931205735391</v>
      </c>
      <c r="R78" s="20">
        <v>1.2761099984200204</v>
      </c>
      <c r="S78" s="20">
        <v>1.2667957891530188</v>
      </c>
      <c r="T78" s="60">
        <v>1.2908022502820624</v>
      </c>
      <c r="U78" s="60">
        <v>1.2846051918561323</v>
      </c>
      <c r="V78" s="60">
        <v>1.24</v>
      </c>
      <c r="W78" s="60">
        <v>1.284746318854846</v>
      </c>
      <c r="X78" s="60">
        <v>1.2773857131655297</v>
      </c>
      <c r="Y78" s="60">
        <v>1.2600215035598774</v>
      </c>
      <c r="Z78" s="60">
        <v>1.2744215906443184</v>
      </c>
      <c r="AA78" s="60" t="e">
        <v>#DIV/0!</v>
      </c>
      <c r="AB78" s="60" t="e">
        <v>#DIV/0!</v>
      </c>
      <c r="AC78" s="60" t="e">
        <v>#DIV/0!</v>
      </c>
      <c r="AD78" s="60" t="e">
        <v>#DIV/0!</v>
      </c>
      <c r="AE78" s="60" t="e">
        <v>#DIV/0!</v>
      </c>
      <c r="AF78" s="60" t="e">
        <v>#DIV/0!</v>
      </c>
      <c r="AG78" s="60" t="e">
        <v>#DIV/0!</v>
      </c>
      <c r="AH78" s="60" t="e">
        <v>#DIV/0!</v>
      </c>
      <c r="AI78" s="60" t="e">
        <v>#DIV/0!</v>
      </c>
      <c r="AJ78" s="60" t="e">
        <v>#DIV/0!</v>
      </c>
      <c r="AK78" s="60" t="e">
        <v>#DIV/0!</v>
      </c>
      <c r="AL78" s="60" t="e">
        <v>#DIV/0!</v>
      </c>
      <c r="AM78" s="60">
        <v>1.2744215906443184</v>
      </c>
      <c r="BO78" s="14"/>
    </row>
    <row r="79" spans="1:67">
      <c r="A79" s="84" t="s">
        <v>71</v>
      </c>
      <c r="B79" s="18" t="s">
        <v>72</v>
      </c>
      <c r="C79" s="22"/>
      <c r="D79" s="22"/>
      <c r="E79" s="22"/>
      <c r="F79" s="22"/>
      <c r="G79" s="22"/>
      <c r="H79" s="22"/>
      <c r="I79" s="22"/>
      <c r="J79" s="22">
        <v>758.907714841342</v>
      </c>
      <c r="K79" s="22">
        <v>683.50700547165832</v>
      </c>
      <c r="L79" s="22">
        <v>674.60759952050341</v>
      </c>
      <c r="M79" s="22">
        <v>699.22258019330445</v>
      </c>
      <c r="N79" s="22">
        <v>731.44273024883796</v>
      </c>
      <c r="O79" s="22">
        <v>708.42542662572907</v>
      </c>
      <c r="P79" s="22">
        <v>759.8941697920219</v>
      </c>
      <c r="Q79" s="22">
        <v>746.39467192417283</v>
      </c>
      <c r="R79" s="22">
        <v>780.41512654074177</v>
      </c>
      <c r="S79" s="22">
        <v>757.01522996334677</v>
      </c>
      <c r="T79" s="62">
        <v>778.96372229871019</v>
      </c>
      <c r="U79" s="62">
        <v>753.42351789803286</v>
      </c>
      <c r="V79" s="54">
        <v>756</v>
      </c>
      <c r="W79" s="62">
        <v>756.8239718549072</v>
      </c>
      <c r="X79" s="62">
        <v>756.65571959117278</v>
      </c>
      <c r="Y79" s="62">
        <v>756.29589025791063</v>
      </c>
      <c r="Z79" s="62">
        <v>756.60130464708936</v>
      </c>
      <c r="AA79" s="62" t="e">
        <v>#DIV/0!</v>
      </c>
      <c r="AB79" s="62" t="e">
        <v>#DIV/0!</v>
      </c>
      <c r="AC79" s="62" t="e">
        <v>#DIV/0!</v>
      </c>
      <c r="AD79" s="62" t="e">
        <v>#DIV/0!</v>
      </c>
      <c r="AE79" s="62" t="e">
        <v>#DIV/0!</v>
      </c>
      <c r="AF79" s="62" t="e">
        <v>#DIV/0!</v>
      </c>
      <c r="AG79" s="62" t="e">
        <v>#DIV/0!</v>
      </c>
      <c r="AH79" s="62" t="e">
        <v>#DIV/0!</v>
      </c>
      <c r="AI79" s="62" t="e">
        <v>#DIV/0!</v>
      </c>
      <c r="AJ79" s="62" t="e">
        <v>#DIV/0!</v>
      </c>
      <c r="AK79" s="62" t="e">
        <v>#DIV/0!</v>
      </c>
      <c r="AL79" s="62" t="e">
        <v>#DIV/0!</v>
      </c>
      <c r="AM79" s="62">
        <v>756.60130464708936</v>
      </c>
      <c r="BO79" s="14"/>
    </row>
    <row r="80" spans="1:67">
      <c r="A80" s="84" t="s">
        <v>73</v>
      </c>
      <c r="B80" s="18" t="s">
        <v>72</v>
      </c>
      <c r="C80" s="22"/>
      <c r="D80" s="22"/>
      <c r="E80" s="22"/>
      <c r="F80" s="22"/>
      <c r="G80" s="22"/>
      <c r="H80" s="22"/>
      <c r="I80" s="22"/>
      <c r="J80" s="22">
        <v>92.491053243271239</v>
      </c>
      <c r="K80" s="22">
        <v>74.752352161485078</v>
      </c>
      <c r="L80" s="22">
        <v>55.865715998201885</v>
      </c>
      <c r="M80" s="22">
        <v>56.153426298477044</v>
      </c>
      <c r="N80" s="22">
        <v>70.790340850873278</v>
      </c>
      <c r="O80" s="22">
        <v>86.214821254704475</v>
      </c>
      <c r="P80" s="22">
        <v>74</v>
      </c>
      <c r="Q80" s="22">
        <v>90.301226865238846</v>
      </c>
      <c r="R80" s="22">
        <v>85.080360226627704</v>
      </c>
      <c r="S80" s="22">
        <v>84.457665686277451</v>
      </c>
      <c r="T80" s="62">
        <v>64.908514962815005</v>
      </c>
      <c r="U80" s="62">
        <v>75.417414353157525</v>
      </c>
      <c r="V80" s="54">
        <v>75</v>
      </c>
      <c r="W80" s="62">
        <v>82.430387505826317</v>
      </c>
      <c r="X80" s="62">
        <v>80.043583683742071</v>
      </c>
      <c r="Y80" s="62">
        <v>89.827070320546611</v>
      </c>
      <c r="Z80" s="62">
        <v>83.879277462799621</v>
      </c>
      <c r="AA80" s="62" t="e">
        <v>#DIV/0!</v>
      </c>
      <c r="AB80" s="62" t="e">
        <v>#DIV/0!</v>
      </c>
      <c r="AC80" s="62" t="e">
        <v>#DIV/0!</v>
      </c>
      <c r="AD80" s="62" t="e">
        <v>#DIV/0!</v>
      </c>
      <c r="AE80" s="62" t="e">
        <v>#DIV/0!</v>
      </c>
      <c r="AF80" s="62" t="e">
        <v>#DIV/0!</v>
      </c>
      <c r="AG80" s="62" t="e">
        <v>#DIV/0!</v>
      </c>
      <c r="AH80" s="62" t="e">
        <v>#DIV/0!</v>
      </c>
      <c r="AI80" s="62" t="e">
        <v>#DIV/0!</v>
      </c>
      <c r="AJ80" s="62" t="e">
        <v>#DIV/0!</v>
      </c>
      <c r="AK80" s="62" t="e">
        <v>#DIV/0!</v>
      </c>
      <c r="AL80" s="62" t="e">
        <v>#DIV/0!</v>
      </c>
      <c r="AM80" s="62">
        <v>83.879277462799621</v>
      </c>
      <c r="BO80" s="14"/>
    </row>
    <row r="81" spans="1:79">
      <c r="A81" s="84" t="s">
        <v>74</v>
      </c>
      <c r="B81" s="18" t="s">
        <v>72</v>
      </c>
      <c r="C81" s="22"/>
      <c r="D81" s="22"/>
      <c r="E81" s="22"/>
      <c r="F81" s="22"/>
      <c r="G81" s="22"/>
      <c r="H81" s="22"/>
      <c r="I81" s="22"/>
      <c r="J81" s="22">
        <v>127.9279360732245</v>
      </c>
      <c r="K81" s="22">
        <v>100.79648551836718</v>
      </c>
      <c r="L81" s="22">
        <v>104.75656810349133</v>
      </c>
      <c r="M81" s="22">
        <v>106.63590235278775</v>
      </c>
      <c r="N81" s="22">
        <v>84.545293465972932</v>
      </c>
      <c r="O81" s="22">
        <v>95.18174657635582</v>
      </c>
      <c r="P81" s="22">
        <v>77.732833276508686</v>
      </c>
      <c r="Q81" s="22">
        <v>97.060492761856196</v>
      </c>
      <c r="R81" s="22">
        <v>83.658600265687113</v>
      </c>
      <c r="S81" s="22">
        <v>95.633720105666697</v>
      </c>
      <c r="T81" s="62">
        <v>96.614315917453169</v>
      </c>
      <c r="U81" s="62">
        <v>79.398314861606764</v>
      </c>
      <c r="V81" s="54">
        <v>80</v>
      </c>
      <c r="W81" s="62">
        <v>81.386439530829989</v>
      </c>
      <c r="X81" s="62">
        <v>81.55980479420522</v>
      </c>
      <c r="Y81" s="62">
        <v>80.965864456369559</v>
      </c>
      <c r="Z81" s="62">
        <v>81.317311048223544</v>
      </c>
      <c r="AA81" s="62" t="e">
        <v>#DIV/0!</v>
      </c>
      <c r="AB81" s="62" t="e">
        <v>#DIV/0!</v>
      </c>
      <c r="AC81" s="62" t="e">
        <v>#DIV/0!</v>
      </c>
      <c r="AD81" s="62" t="e">
        <v>#DIV/0!</v>
      </c>
      <c r="AE81" s="62" t="e">
        <v>#DIV/0!</v>
      </c>
      <c r="AF81" s="62" t="e">
        <v>#DIV/0!</v>
      </c>
      <c r="AG81" s="62" t="e">
        <v>#DIV/0!</v>
      </c>
      <c r="AH81" s="62" t="e">
        <v>#DIV/0!</v>
      </c>
      <c r="AI81" s="62" t="e">
        <v>#DIV/0!</v>
      </c>
      <c r="AJ81" s="62" t="e">
        <v>#DIV/0!</v>
      </c>
      <c r="AK81" s="62" t="e">
        <v>#DIV/0!</v>
      </c>
      <c r="AL81" s="62" t="e">
        <v>#DIV/0!</v>
      </c>
      <c r="AM81" s="62">
        <v>81.317311048223544</v>
      </c>
      <c r="BO81" s="14"/>
    </row>
    <row r="82" spans="1:79">
      <c r="A82" s="84" t="s">
        <v>77</v>
      </c>
      <c r="B82" s="18" t="s">
        <v>72</v>
      </c>
      <c r="C82" s="22"/>
      <c r="D82" s="22"/>
      <c r="E82" s="22"/>
      <c r="F82" s="22"/>
      <c r="G82" s="22"/>
      <c r="H82" s="22"/>
      <c r="I82" s="22"/>
      <c r="J82" s="22">
        <v>200.11350915059649</v>
      </c>
      <c r="K82" s="22">
        <v>244.43308921495162</v>
      </c>
      <c r="L82" s="22">
        <v>252.04909844663104</v>
      </c>
      <c r="M82" s="22">
        <v>264.59956479947448</v>
      </c>
      <c r="N82" s="22">
        <v>254.33189300143616</v>
      </c>
      <c r="O82" s="22">
        <v>260.82933984503251</v>
      </c>
      <c r="P82" s="22">
        <v>265.79120354585751</v>
      </c>
      <c r="Q82" s="22">
        <v>230.79219932962482</v>
      </c>
      <c r="R82" s="22">
        <v>195.45874268799386</v>
      </c>
      <c r="S82" s="22">
        <v>227.3798850149108</v>
      </c>
      <c r="T82" s="62">
        <v>215.5861167092315</v>
      </c>
      <c r="U82" s="62">
        <v>251.03069676528278</v>
      </c>
      <c r="V82" s="54">
        <v>248</v>
      </c>
      <c r="W82" s="62">
        <v>248.82037071326869</v>
      </c>
      <c r="X82" s="62">
        <v>255.6305822411835</v>
      </c>
      <c r="Y82" s="62">
        <v>250.03054986261293</v>
      </c>
      <c r="Z82" s="62">
        <v>251.59244960079357</v>
      </c>
      <c r="AA82" s="62" t="e">
        <v>#DIV/0!</v>
      </c>
      <c r="AB82" s="62" t="e">
        <v>#DIV/0!</v>
      </c>
      <c r="AC82" s="62" t="e">
        <v>#DIV/0!</v>
      </c>
      <c r="AD82" s="62" t="e">
        <v>#DIV/0!</v>
      </c>
      <c r="AE82" s="62" t="e">
        <v>#DIV/0!</v>
      </c>
      <c r="AF82" s="62" t="e">
        <v>#DIV/0!</v>
      </c>
      <c r="AG82" s="62" t="e">
        <v>#DIV/0!</v>
      </c>
      <c r="AH82" s="62" t="e">
        <v>#DIV/0!</v>
      </c>
      <c r="AI82" s="62" t="e">
        <v>#DIV/0!</v>
      </c>
      <c r="AJ82" s="62" t="e">
        <v>#DIV/0!</v>
      </c>
      <c r="AK82" s="62" t="e">
        <v>#DIV/0!</v>
      </c>
      <c r="AL82" s="62" t="e">
        <v>#DIV/0!</v>
      </c>
      <c r="AM82" s="62">
        <v>251.59244960079357</v>
      </c>
      <c r="BO82" s="14"/>
    </row>
    <row r="83" spans="1:79">
      <c r="A83" s="84" t="s">
        <v>78</v>
      </c>
      <c r="B83" s="18" t="s">
        <v>72</v>
      </c>
      <c r="C83" s="22"/>
      <c r="D83" s="22"/>
      <c r="E83" s="22"/>
      <c r="F83" s="22"/>
      <c r="G83" s="22"/>
      <c r="H83" s="22"/>
      <c r="I83" s="22"/>
      <c r="J83" s="22">
        <v>72.887094149306037</v>
      </c>
      <c r="K83" s="22">
        <v>70.365080154393027</v>
      </c>
      <c r="L83" s="22">
        <v>64.990822136756407</v>
      </c>
      <c r="M83" s="22">
        <v>65.222116494631237</v>
      </c>
      <c r="N83" s="22">
        <v>72.881492178561913</v>
      </c>
      <c r="O83" s="22">
        <v>61.071978604953948</v>
      </c>
      <c r="P83" s="22">
        <v>67.363927719058978</v>
      </c>
      <c r="Q83" s="22">
        <v>70.017500467559458</v>
      </c>
      <c r="R83" s="22">
        <v>70.381633762297056</v>
      </c>
      <c r="S83" s="22">
        <v>72.054644560862059</v>
      </c>
      <c r="T83" s="62">
        <v>68.574500475814105</v>
      </c>
      <c r="U83" s="62">
        <v>60.364630536301554</v>
      </c>
      <c r="V83" s="62">
        <v>61</v>
      </c>
      <c r="W83" s="62">
        <v>59.128319403385333</v>
      </c>
      <c r="X83" s="62">
        <v>59.117276940548173</v>
      </c>
      <c r="Y83" s="62">
        <v>59.343544552173931</v>
      </c>
      <c r="Z83" s="62">
        <v>59.191041005509689</v>
      </c>
      <c r="AA83" s="62" t="e">
        <v>#DIV/0!</v>
      </c>
      <c r="AB83" s="62" t="e">
        <v>#DIV/0!</v>
      </c>
      <c r="AC83" s="62" t="e">
        <v>#DIV/0!</v>
      </c>
      <c r="AD83" s="62" t="e">
        <v>#DIV/0!</v>
      </c>
      <c r="AE83" s="62" t="e">
        <v>#DIV/0!</v>
      </c>
      <c r="AF83" s="62" t="e">
        <v>#DIV/0!</v>
      </c>
      <c r="AG83" s="62" t="e">
        <v>#DIV/0!</v>
      </c>
      <c r="AH83" s="62" t="e">
        <v>#DIV/0!</v>
      </c>
      <c r="AI83" s="62" t="e">
        <v>#DIV/0!</v>
      </c>
      <c r="AJ83" s="62" t="e">
        <v>#DIV/0!</v>
      </c>
      <c r="AK83" s="62" t="e">
        <v>#DIV/0!</v>
      </c>
      <c r="AL83" s="62" t="e">
        <v>#DIV/0!</v>
      </c>
      <c r="AM83" s="62">
        <v>59.29104100550969</v>
      </c>
      <c r="BO83" s="14"/>
    </row>
    <row r="84" spans="1:79" s="28" customFormat="1">
      <c r="A84" s="86" t="s">
        <v>79</v>
      </c>
      <c r="B84" s="27" t="s">
        <v>72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62">
        <v>78.790000000000006</v>
      </c>
      <c r="U84" s="62">
        <v>66</v>
      </c>
      <c r="V84" s="62"/>
      <c r="W84" s="62">
        <v>64.98</v>
      </c>
      <c r="X84" s="62">
        <v>64.959999999999994</v>
      </c>
      <c r="Y84" s="62">
        <v>65.209999999999994</v>
      </c>
      <c r="Z84" s="62">
        <v>65.05</v>
      </c>
      <c r="AA84" s="62">
        <v>0</v>
      </c>
      <c r="AB84" s="62">
        <v>0</v>
      </c>
      <c r="AC84" s="62">
        <v>0</v>
      </c>
      <c r="AD84" s="62">
        <v>0</v>
      </c>
      <c r="AE84" s="62">
        <v>0</v>
      </c>
      <c r="AF84" s="62">
        <v>0</v>
      </c>
      <c r="AG84" s="62">
        <v>0</v>
      </c>
      <c r="AH84" s="62">
        <v>0</v>
      </c>
      <c r="AI84" s="62">
        <v>0</v>
      </c>
      <c r="AJ84" s="62">
        <v>0</v>
      </c>
      <c r="AK84" s="62">
        <v>0</v>
      </c>
      <c r="AL84" s="62">
        <v>0</v>
      </c>
      <c r="AM84" s="62">
        <v>65.05</v>
      </c>
      <c r="BO84" s="26"/>
      <c r="BP84" s="16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</row>
    <row r="85" spans="1:79">
      <c r="A85" s="84" t="s">
        <v>90</v>
      </c>
      <c r="B85" s="18" t="s">
        <v>72</v>
      </c>
      <c r="C85" s="22"/>
      <c r="D85" s="22"/>
      <c r="E85" s="22"/>
      <c r="F85" s="22"/>
      <c r="G85" s="22"/>
      <c r="H85" s="22"/>
      <c r="I85" s="22"/>
      <c r="J85" s="21">
        <v>7.8055007142610568</v>
      </c>
      <c r="K85" s="21">
        <v>10.142887272864449</v>
      </c>
      <c r="L85" s="21">
        <v>16.331601818091006</v>
      </c>
      <c r="M85" s="21">
        <v>22.961839048258476</v>
      </c>
      <c r="N85" s="21">
        <v>22.28117776994052</v>
      </c>
      <c r="O85" s="21">
        <v>22.523978542955657</v>
      </c>
      <c r="P85" s="21">
        <v>26.571019434026592</v>
      </c>
      <c r="Q85" s="21">
        <v>25.434695552768464</v>
      </c>
      <c r="R85" s="21">
        <v>23.584247282782719</v>
      </c>
      <c r="S85" s="21">
        <v>24.947321045266328</v>
      </c>
      <c r="T85" s="59">
        <v>23.435154774628586</v>
      </c>
      <c r="U85" s="59">
        <v>24.225446155130193</v>
      </c>
      <c r="V85" s="54">
        <v>24</v>
      </c>
      <c r="W85" s="59">
        <v>24.128925978661321</v>
      </c>
      <c r="X85" s="59">
        <v>22.313618366532641</v>
      </c>
      <c r="Y85" s="59">
        <v>18.06806160248868</v>
      </c>
      <c r="Z85" s="59">
        <v>21.614092868311037</v>
      </c>
      <c r="AA85" s="59" t="e">
        <v>#DIV/0!</v>
      </c>
      <c r="AB85" s="59" t="e">
        <v>#DIV/0!</v>
      </c>
      <c r="AC85" s="59" t="e">
        <v>#DIV/0!</v>
      </c>
      <c r="AD85" s="59" t="e">
        <v>#DIV/0!</v>
      </c>
      <c r="AE85" s="59" t="e">
        <v>#DIV/0!</v>
      </c>
      <c r="AF85" s="59" t="e">
        <v>#DIV/0!</v>
      </c>
      <c r="AG85" s="59" t="e">
        <v>#DIV/0!</v>
      </c>
      <c r="AH85" s="59" t="e">
        <v>#DIV/0!</v>
      </c>
      <c r="AI85" s="59" t="e">
        <v>#DIV/0!</v>
      </c>
      <c r="AJ85" s="59" t="e">
        <v>#DIV/0!</v>
      </c>
      <c r="AK85" s="59" t="e">
        <v>#DIV/0!</v>
      </c>
      <c r="AL85" s="59" t="e">
        <v>#DIV/0!</v>
      </c>
      <c r="AM85" s="59">
        <v>21.614092868311037</v>
      </c>
      <c r="BO85" s="14"/>
    </row>
    <row r="86" spans="1:79">
      <c r="A86" s="84" t="s">
        <v>75</v>
      </c>
      <c r="B86" s="18"/>
      <c r="C86" s="22"/>
      <c r="D86" s="22"/>
      <c r="E86" s="22"/>
      <c r="F86" s="22"/>
      <c r="G86" s="22"/>
      <c r="H86" s="22"/>
      <c r="I86" s="22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59"/>
      <c r="U86" s="59">
        <v>1.7780242768699341</v>
      </c>
      <c r="V86" s="54"/>
      <c r="W86" s="59">
        <v>2.2986010458634758</v>
      </c>
      <c r="X86" s="59">
        <v>1.9704735889015068</v>
      </c>
      <c r="Y86" s="59">
        <v>4.01512480055304</v>
      </c>
      <c r="Z86" s="59">
        <v>2.7143229158224926</v>
      </c>
      <c r="AA86" s="59" t="e">
        <v>#DIV/0!</v>
      </c>
      <c r="AB86" s="59" t="e">
        <v>#DIV/0!</v>
      </c>
      <c r="AC86" s="59" t="e">
        <v>#DIV/0!</v>
      </c>
      <c r="AD86" s="59" t="e">
        <v>#DIV/0!</v>
      </c>
      <c r="AE86" s="59" t="e">
        <v>#DIV/0!</v>
      </c>
      <c r="AF86" s="59" t="e">
        <v>#DIV/0!</v>
      </c>
      <c r="AG86" s="59" t="e">
        <v>#DIV/0!</v>
      </c>
      <c r="AH86" s="59"/>
      <c r="AI86" s="59" t="e">
        <v>#DIV/0!</v>
      </c>
      <c r="AJ86" s="59" t="e">
        <v>#DIV/0!</v>
      </c>
      <c r="AK86" s="59" t="e">
        <v>#DIV/0!</v>
      </c>
      <c r="AL86" s="59"/>
      <c r="AM86" s="59">
        <v>2.7143229158224926</v>
      </c>
      <c r="BO86" s="14"/>
    </row>
    <row r="87" spans="1:79">
      <c r="A87" s="84" t="s">
        <v>76</v>
      </c>
      <c r="B87" s="18" t="s">
        <v>72</v>
      </c>
      <c r="C87" s="22"/>
      <c r="D87" s="22"/>
      <c r="E87" s="22"/>
      <c r="F87" s="22"/>
      <c r="G87" s="22"/>
      <c r="H87" s="22"/>
      <c r="I87" s="22"/>
      <c r="J87" s="32" t="s">
        <v>61</v>
      </c>
      <c r="K87" s="21">
        <v>12</v>
      </c>
      <c r="L87" s="21">
        <v>27.828904650117376</v>
      </c>
      <c r="M87" s="21">
        <v>13.348846308040825</v>
      </c>
      <c r="N87" s="21">
        <v>8.1206187860566512</v>
      </c>
      <c r="O87" s="21">
        <v>11.492510183923562</v>
      </c>
      <c r="P87" s="21">
        <v>4.8436413228776001</v>
      </c>
      <c r="Q87" s="21">
        <v>1.3247967126932019</v>
      </c>
      <c r="R87" s="21">
        <v>7.0042546064201696</v>
      </c>
      <c r="S87" s="21">
        <v>4.2574924899526732</v>
      </c>
      <c r="T87" s="59">
        <v>5.1803403985658658</v>
      </c>
      <c r="U87" s="59">
        <v>2.4231100078481841E-2</v>
      </c>
      <c r="V87" s="54"/>
      <c r="W87" s="59">
        <v>0</v>
      </c>
      <c r="X87" s="59">
        <v>0</v>
      </c>
      <c r="Y87" s="59">
        <v>0</v>
      </c>
      <c r="Z87" s="59">
        <v>0</v>
      </c>
      <c r="AA87" s="59" t="e">
        <v>#DIV/0!</v>
      </c>
      <c r="AB87" s="59" t="e">
        <v>#DIV/0!</v>
      </c>
      <c r="AC87" s="59" t="e">
        <v>#DIV/0!</v>
      </c>
      <c r="AD87" s="59" t="e">
        <v>#DIV/0!</v>
      </c>
      <c r="AE87" s="59" t="e">
        <v>#DIV/0!</v>
      </c>
      <c r="AF87" s="59" t="e">
        <v>#DIV/0!</v>
      </c>
      <c r="AG87" s="59" t="e">
        <v>#DIV/0!</v>
      </c>
      <c r="AH87" s="59" t="e">
        <v>#DIV/0!</v>
      </c>
      <c r="AI87" s="59" t="e">
        <v>#DIV/0!</v>
      </c>
      <c r="AJ87" s="59" t="e">
        <v>#DIV/0!</v>
      </c>
      <c r="AK87" s="59" t="e">
        <v>#DIV/0!</v>
      </c>
      <c r="AL87" s="59" t="e">
        <v>#DIV/0!</v>
      </c>
      <c r="AM87" s="59">
        <v>0</v>
      </c>
      <c r="BO87" s="14"/>
    </row>
    <row r="88" spans="1:79">
      <c r="A88" s="84" t="s">
        <v>80</v>
      </c>
      <c r="B88" s="18" t="s">
        <v>81</v>
      </c>
      <c r="C88" s="21"/>
      <c r="D88" s="21"/>
      <c r="E88" s="21"/>
      <c r="F88" s="21"/>
      <c r="G88" s="21"/>
      <c r="H88" s="21"/>
      <c r="I88" s="21"/>
      <c r="J88" s="20">
        <v>77.550220063455768</v>
      </c>
      <c r="K88" s="20">
        <v>79.180767036283967</v>
      </c>
      <c r="L88" s="20">
        <v>87.74875088201081</v>
      </c>
      <c r="M88" s="20">
        <v>83.455780370161861</v>
      </c>
      <c r="N88" s="20">
        <v>90.190481834884139</v>
      </c>
      <c r="O88" s="20">
        <v>91.679047959016316</v>
      </c>
      <c r="P88" s="20">
        <v>93.52302770539346</v>
      </c>
      <c r="Q88" s="20">
        <v>94.028202534658178</v>
      </c>
      <c r="R88" s="20">
        <v>95.042289133879351</v>
      </c>
      <c r="S88" s="20">
        <v>95.521099934527712</v>
      </c>
      <c r="T88" s="60">
        <v>96.621297134238304</v>
      </c>
      <c r="U88" s="60">
        <v>96.581907825511834</v>
      </c>
      <c r="V88" s="59"/>
      <c r="W88" s="60">
        <v>97.027220630372497</v>
      </c>
      <c r="X88" s="60">
        <v>98.402777777777771</v>
      </c>
      <c r="Y88" s="60">
        <v>91.976693372177706</v>
      </c>
      <c r="Z88" s="60">
        <v>95.850320741268717</v>
      </c>
      <c r="AA88" s="60" t="e">
        <v>#DIV/0!</v>
      </c>
      <c r="AB88" s="60" t="e">
        <v>#DIV/0!</v>
      </c>
      <c r="AC88" s="60" t="e">
        <v>#DIV/0!</v>
      </c>
      <c r="AD88" s="60" t="e">
        <v>#DIV/0!</v>
      </c>
      <c r="AE88" s="60" t="e">
        <v>#DIV/0!</v>
      </c>
      <c r="AF88" s="60" t="e">
        <v>#DIV/0!</v>
      </c>
      <c r="AG88" s="60" t="e">
        <v>#DIV/0!</v>
      </c>
      <c r="AH88" s="60" t="e">
        <v>#DIV/0!</v>
      </c>
      <c r="AI88" s="60" t="e">
        <v>#DIV/0!</v>
      </c>
      <c r="AJ88" s="60" t="e">
        <v>#DIV/0!</v>
      </c>
      <c r="AK88" s="60" t="e">
        <v>#DIV/0!</v>
      </c>
      <c r="AL88" s="60" t="e">
        <v>#DIV/0!</v>
      </c>
      <c r="AM88" s="60">
        <v>95.850320741268717</v>
      </c>
      <c r="BO88" s="14"/>
    </row>
    <row r="89" spans="1:79">
      <c r="A89" s="84" t="s">
        <v>85</v>
      </c>
      <c r="B89" s="18" t="s">
        <v>41</v>
      </c>
      <c r="C89" s="20"/>
      <c r="D89" s="20"/>
      <c r="E89" s="20"/>
      <c r="F89" s="20"/>
      <c r="G89" s="20"/>
      <c r="H89" s="20"/>
      <c r="I89" s="20"/>
      <c r="J89" s="20">
        <v>72.558333333333337</v>
      </c>
      <c r="K89" s="20">
        <v>73.107500000000002</v>
      </c>
      <c r="L89" s="20">
        <v>74.185833333333335</v>
      </c>
      <c r="M89" s="20">
        <v>74.997499999999988</v>
      </c>
      <c r="N89" s="20">
        <v>74.575000000000003</v>
      </c>
      <c r="O89" s="20">
        <v>74.311666666666667</v>
      </c>
      <c r="P89" s="20">
        <v>73.740833333333342</v>
      </c>
      <c r="Q89" s="20">
        <v>73.444166666666675</v>
      </c>
      <c r="R89" s="20">
        <v>73.686666666666667</v>
      </c>
      <c r="S89" s="20">
        <v>74.415833333333325</v>
      </c>
      <c r="T89" s="60">
        <v>74.321666666666673</v>
      </c>
      <c r="U89" s="60">
        <v>74.523333333333326</v>
      </c>
      <c r="V89" s="59"/>
      <c r="W89" s="60">
        <v>74.63</v>
      </c>
      <c r="X89" s="60">
        <v>74.59</v>
      </c>
      <c r="Y89" s="60">
        <v>74.510000000000005</v>
      </c>
      <c r="Z89" s="60">
        <v>74.576666666666668</v>
      </c>
      <c r="AA89" s="60">
        <v>0</v>
      </c>
      <c r="AB89" s="60">
        <v>0</v>
      </c>
      <c r="AC89" s="60">
        <v>0</v>
      </c>
      <c r="AD89" s="60" t="e">
        <v>#DIV/0!</v>
      </c>
      <c r="AE89" s="60">
        <v>0</v>
      </c>
      <c r="AF89" s="60">
        <v>0</v>
      </c>
      <c r="AG89" s="60">
        <v>0</v>
      </c>
      <c r="AH89" s="60" t="e">
        <v>#DIV/0!</v>
      </c>
      <c r="AI89" s="60">
        <v>0</v>
      </c>
      <c r="AJ89" s="60">
        <v>0</v>
      </c>
      <c r="AK89" s="60">
        <v>0</v>
      </c>
      <c r="AL89" s="60" t="e">
        <v>#DIV/0!</v>
      </c>
      <c r="AM89" s="60">
        <v>74.576666666666668</v>
      </c>
      <c r="BO89" s="14"/>
    </row>
    <row r="90" spans="1:79">
      <c r="A90" s="84" t="s">
        <v>86</v>
      </c>
      <c r="B90" s="18" t="s">
        <v>41</v>
      </c>
      <c r="C90" s="20"/>
      <c r="D90" s="20"/>
      <c r="E90" s="20"/>
      <c r="F90" s="20"/>
      <c r="G90" s="20"/>
      <c r="H90" s="20"/>
      <c r="I90" s="20"/>
      <c r="J90" s="20">
        <v>18.546176674842446</v>
      </c>
      <c r="K90" s="20">
        <v>16.315513684432538</v>
      </c>
      <c r="L90" s="20">
        <v>15.716288656194319</v>
      </c>
      <c r="M90" s="20">
        <v>14.069537693159385</v>
      </c>
      <c r="N90" s="20">
        <v>16.226458920630531</v>
      </c>
      <c r="O90" s="20">
        <v>14.528371125823764</v>
      </c>
      <c r="P90" s="20">
        <v>16.803756432869925</v>
      </c>
      <c r="Q90" s="20">
        <v>15.057107421188057</v>
      </c>
      <c r="R90" s="20">
        <v>14.414357999980442</v>
      </c>
      <c r="S90" s="20">
        <v>15.758764205072467</v>
      </c>
      <c r="T90" s="60">
        <v>15.449737637103855</v>
      </c>
      <c r="U90" s="60">
        <v>14.880453716087342</v>
      </c>
      <c r="V90" s="54"/>
      <c r="W90" s="60">
        <v>14.571603865006603</v>
      </c>
      <c r="X90" s="60">
        <v>14.619827096768825</v>
      </c>
      <c r="Y90" s="60">
        <v>13.790524703672997</v>
      </c>
      <c r="Z90" s="60">
        <v>14.348383682858623</v>
      </c>
      <c r="AA90" s="60" t="e">
        <v>#DIV/0!</v>
      </c>
      <c r="AB90" s="60" t="e">
        <v>#DIV/0!</v>
      </c>
      <c r="AC90" s="60" t="e">
        <v>#DIV/0!</v>
      </c>
      <c r="AD90" s="60" t="e">
        <v>#DIV/0!</v>
      </c>
      <c r="AE90" s="60" t="e">
        <v>#DIV/0!</v>
      </c>
      <c r="AF90" s="60" t="e">
        <v>#DIV/0!</v>
      </c>
      <c r="AG90" s="60" t="e">
        <v>#DIV/0!</v>
      </c>
      <c r="AH90" s="60" t="e">
        <v>#DIV/0!</v>
      </c>
      <c r="AI90" s="60" t="e">
        <v>#DIV/0!</v>
      </c>
      <c r="AJ90" s="60" t="e">
        <v>#DIV/0!</v>
      </c>
      <c r="AK90" s="60" t="e">
        <v>#DIV/0!</v>
      </c>
      <c r="AL90" s="60" t="e">
        <v>#DIV/0!</v>
      </c>
      <c r="AM90" s="60">
        <v>14.348383682858623</v>
      </c>
      <c r="BO90" s="14"/>
    </row>
    <row r="91" spans="1:79">
      <c r="A91" s="53"/>
      <c r="B91" s="18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60"/>
      <c r="U91" s="60"/>
      <c r="V91" s="54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BO91" s="14"/>
    </row>
    <row r="92" spans="1:79" s="12" customFormat="1">
      <c r="A92" s="57" t="s">
        <v>95</v>
      </c>
      <c r="B92" s="18"/>
      <c r="C92" s="13"/>
      <c r="D92" s="15"/>
      <c r="E92" s="15"/>
      <c r="F92" s="15"/>
      <c r="G92" s="15"/>
      <c r="H92" s="15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8"/>
      <c r="AL92" s="54"/>
      <c r="AM92" s="65"/>
      <c r="BO92" s="18"/>
      <c r="BP92" s="16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</row>
    <row r="93" spans="1:79">
      <c r="A93" s="84" t="s">
        <v>96</v>
      </c>
      <c r="B93" s="18" t="s">
        <v>97</v>
      </c>
      <c r="C93" s="24"/>
      <c r="D93" s="24"/>
      <c r="E93" s="24"/>
      <c r="F93" s="24"/>
      <c r="G93" s="24"/>
      <c r="H93" s="24"/>
      <c r="I93" s="24"/>
      <c r="J93" s="24"/>
      <c r="K93" s="24"/>
      <c r="L93" s="24">
        <v>0.21099999999999999</v>
      </c>
      <c r="M93" s="24" t="s">
        <v>61</v>
      </c>
      <c r="N93" s="33">
        <v>1.284</v>
      </c>
      <c r="O93" s="33">
        <v>1.5680000000000001</v>
      </c>
      <c r="P93" s="24">
        <v>1.7390000000000001</v>
      </c>
      <c r="Q93" s="24">
        <v>1.6439999999999999</v>
      </c>
      <c r="R93" s="24">
        <v>1.5757497144402144</v>
      </c>
      <c r="S93" s="24">
        <v>1.6030860968084153</v>
      </c>
      <c r="T93" s="69">
        <v>1.8950856890565337</v>
      </c>
      <c r="U93" s="69">
        <v>2.0159244060977177</v>
      </c>
      <c r="V93" s="60">
        <v>2.2999999999999998</v>
      </c>
      <c r="W93" s="69">
        <v>1.9900961323496535</v>
      </c>
      <c r="X93" s="69">
        <v>1.8194670083776388</v>
      </c>
      <c r="Y93" s="69">
        <v>2.1266879737267739</v>
      </c>
      <c r="Z93" s="69">
        <v>1.9778064429618318</v>
      </c>
      <c r="AA93" s="69" t="e">
        <v>#DIV/0!</v>
      </c>
      <c r="AB93" s="69" t="e">
        <v>#DIV/0!</v>
      </c>
      <c r="AC93" s="69" t="e">
        <v>#DIV/0!</v>
      </c>
      <c r="AD93" s="69" t="e">
        <v>#DIV/0!</v>
      </c>
      <c r="AE93" s="69" t="e">
        <v>#DIV/0!</v>
      </c>
      <c r="AF93" s="69" t="e">
        <v>#DIV/0!</v>
      </c>
      <c r="AG93" s="69" t="e">
        <v>#DIV/0!</v>
      </c>
      <c r="AH93" s="69" t="e">
        <v>#DIV/0!</v>
      </c>
      <c r="AI93" s="69" t="e">
        <v>#DIV/0!</v>
      </c>
      <c r="AJ93" s="69" t="e">
        <v>#DIV/0!</v>
      </c>
      <c r="AK93" s="69" t="e">
        <v>#DIV/0!</v>
      </c>
      <c r="AL93" s="69" t="e">
        <v>#DIV/0!</v>
      </c>
      <c r="AM93" s="69">
        <v>1.9778064429618318</v>
      </c>
      <c r="BO93" s="14"/>
    </row>
    <row r="94" spans="1:79" hidden="1">
      <c r="A94" s="84" t="s">
        <v>98</v>
      </c>
      <c r="B94" s="18" t="s">
        <v>97</v>
      </c>
      <c r="C94" s="24">
        <v>1.4382216150985634</v>
      </c>
      <c r="D94" s="24">
        <v>1.39</v>
      </c>
      <c r="E94" s="24">
        <v>1.42</v>
      </c>
      <c r="F94" s="24">
        <v>1.4527989558202574</v>
      </c>
      <c r="G94" s="24">
        <v>1.4471742239491521</v>
      </c>
      <c r="H94" s="24">
        <v>1.4965778495957578</v>
      </c>
      <c r="I94" s="24">
        <v>1.3845237942450719</v>
      </c>
      <c r="J94" s="24">
        <v>1.3376007941428121</v>
      </c>
      <c r="K94" s="24">
        <v>1.2985505069601075</v>
      </c>
      <c r="L94" s="24">
        <v>1.488</v>
      </c>
      <c r="M94" s="24">
        <v>1.4794316792173188</v>
      </c>
      <c r="N94" s="24">
        <v>1.1299999999999999</v>
      </c>
      <c r="O94" s="24">
        <v>0.93100000000000005</v>
      </c>
      <c r="P94" s="24">
        <v>1.5629999999999999</v>
      </c>
      <c r="Q94" s="24">
        <v>1.55</v>
      </c>
      <c r="R94" s="24">
        <v>1.3544888404326352</v>
      </c>
      <c r="S94" s="24">
        <v>1.4852457715154312</v>
      </c>
      <c r="T94" s="69">
        <v>1.5714306849268587</v>
      </c>
      <c r="U94" s="69"/>
      <c r="V94" s="60">
        <v>1.48</v>
      </c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BO94" s="14"/>
    </row>
    <row r="95" spans="1:79">
      <c r="A95" s="84" t="s">
        <v>99</v>
      </c>
      <c r="B95" s="18" t="s">
        <v>97</v>
      </c>
      <c r="C95" s="24"/>
      <c r="D95" s="24"/>
      <c r="E95" s="24"/>
      <c r="F95" s="24"/>
      <c r="G95" s="24"/>
      <c r="H95" s="24"/>
      <c r="I95" s="24" t="s">
        <v>1</v>
      </c>
      <c r="J95" s="24">
        <v>1.4377444630366885</v>
      </c>
      <c r="K95" s="24">
        <v>1.7025336963312232</v>
      </c>
      <c r="L95" s="24">
        <v>2.2427922751217038</v>
      </c>
      <c r="M95" s="24">
        <v>2.0468259311753689</v>
      </c>
      <c r="N95" s="33">
        <v>2.1713204437612759</v>
      </c>
      <c r="O95" s="33">
        <v>2.0732785605677724</v>
      </c>
      <c r="P95" s="33">
        <v>2.159277545933441</v>
      </c>
      <c r="Q95" s="33">
        <v>2.1989999999999998</v>
      </c>
      <c r="R95" s="33">
        <v>2.2358441905225468</v>
      </c>
      <c r="S95" s="33">
        <v>2.3097472528070337</v>
      </c>
      <c r="T95" s="70">
        <v>2.5680870160804283</v>
      </c>
      <c r="U95" s="70">
        <v>2.6490596054547799</v>
      </c>
      <c r="V95" s="60">
        <v>2.85</v>
      </c>
      <c r="W95" s="69">
        <v>2.7284778243635488</v>
      </c>
      <c r="X95" s="69">
        <v>2.6398327896886977</v>
      </c>
      <c r="Y95" s="69">
        <v>2.6030614426219536</v>
      </c>
      <c r="Z95" s="69">
        <v>2.6569567096168565</v>
      </c>
      <c r="AA95" s="69" t="e">
        <v>#DIV/0!</v>
      </c>
      <c r="AB95" s="69" t="e">
        <v>#DIV/0!</v>
      </c>
      <c r="AC95" s="69" t="e">
        <v>#DIV/0!</v>
      </c>
      <c r="AD95" s="69" t="e">
        <v>#DIV/0!</v>
      </c>
      <c r="AE95" s="69" t="e">
        <v>#DIV/0!</v>
      </c>
      <c r="AF95" s="69" t="e">
        <v>#DIV/0!</v>
      </c>
      <c r="AG95" s="69" t="e">
        <v>#DIV/0!</v>
      </c>
      <c r="AH95" s="69" t="e">
        <v>#DIV/0!</v>
      </c>
      <c r="AI95" s="69" t="e">
        <v>#DIV/0!</v>
      </c>
      <c r="AJ95" s="69" t="e">
        <v>#DIV/0!</v>
      </c>
      <c r="AK95" s="69" t="e">
        <v>#DIV/0!</v>
      </c>
      <c r="AL95" s="69" t="e">
        <v>#DIV/0!</v>
      </c>
      <c r="AM95" s="69">
        <v>2.6569567096168565</v>
      </c>
      <c r="BO95" s="14"/>
    </row>
    <row r="96" spans="1:79">
      <c r="A96" s="84" t="s">
        <v>100</v>
      </c>
      <c r="B96" s="18" t="s">
        <v>97</v>
      </c>
      <c r="C96" s="24"/>
      <c r="D96" s="24"/>
      <c r="E96" s="24">
        <v>1.42</v>
      </c>
      <c r="F96" s="24">
        <v>1.4527989558202574</v>
      </c>
      <c r="G96" s="24">
        <v>1.4471742239491521</v>
      </c>
      <c r="H96" s="24">
        <v>1.4965778495957578</v>
      </c>
      <c r="I96" s="24">
        <v>1.3845237942450719</v>
      </c>
      <c r="J96" s="24">
        <v>1.3919999999999999</v>
      </c>
      <c r="K96" s="24">
        <v>1.5549999999999999</v>
      </c>
      <c r="L96" s="24">
        <v>2.0710000000000002</v>
      </c>
      <c r="M96" s="24">
        <v>1.881</v>
      </c>
      <c r="N96" s="24">
        <v>1.768</v>
      </c>
      <c r="O96" s="24">
        <v>1.8129999999999999</v>
      </c>
      <c r="P96" s="24">
        <v>1.9830000000000001</v>
      </c>
      <c r="Q96" s="24">
        <v>1.919</v>
      </c>
      <c r="R96" s="24">
        <v>1.8819696212979755</v>
      </c>
      <c r="S96" s="24">
        <v>1.9605228144230782</v>
      </c>
      <c r="T96" s="69">
        <v>2.3098015437473731</v>
      </c>
      <c r="U96" s="69">
        <v>2.457666268931531</v>
      </c>
      <c r="V96" s="60">
        <v>2.5099999999999998</v>
      </c>
      <c r="W96" s="69">
        <v>2.5004701574430568</v>
      </c>
      <c r="X96" s="69">
        <v>2.3935135620258294</v>
      </c>
      <c r="Y96" s="69">
        <v>2.4561350375084463</v>
      </c>
      <c r="Z96" s="69">
        <v>2.4493076826410491</v>
      </c>
      <c r="AA96" s="69" t="e">
        <v>#DIV/0!</v>
      </c>
      <c r="AB96" s="69" t="e">
        <v>#DIV/0!</v>
      </c>
      <c r="AC96" s="69" t="e">
        <v>#DIV/0!</v>
      </c>
      <c r="AD96" s="69" t="e">
        <v>#DIV/0!</v>
      </c>
      <c r="AE96" s="69" t="e">
        <v>#DIV/0!</v>
      </c>
      <c r="AF96" s="69" t="e">
        <v>#DIV/0!</v>
      </c>
      <c r="AG96" s="69" t="e">
        <v>#DIV/0!</v>
      </c>
      <c r="AH96" s="69" t="e">
        <v>#DIV/0!</v>
      </c>
      <c r="AI96" s="69" t="e">
        <v>#DIV/0!</v>
      </c>
      <c r="AJ96" s="69" t="e">
        <v>#DIV/0!</v>
      </c>
      <c r="AK96" s="69" t="e">
        <v>#DIV/0!</v>
      </c>
      <c r="AL96" s="69" t="e">
        <v>#DIV/0!</v>
      </c>
      <c r="AM96" s="69">
        <v>2.4493076826410491</v>
      </c>
      <c r="BO96" s="14"/>
    </row>
    <row r="97" spans="1:67">
      <c r="A97" s="84" t="s">
        <v>101</v>
      </c>
      <c r="B97" s="18" t="s">
        <v>102</v>
      </c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2">
        <v>492</v>
      </c>
      <c r="P97" s="22">
        <v>444</v>
      </c>
      <c r="Q97" s="22">
        <v>455</v>
      </c>
      <c r="R97" s="22">
        <v>447</v>
      </c>
      <c r="S97" s="22">
        <v>454</v>
      </c>
      <c r="T97" s="62">
        <v>434</v>
      </c>
      <c r="U97" s="62">
        <v>437.23335159789195</v>
      </c>
      <c r="V97" s="62">
        <v>417</v>
      </c>
      <c r="W97" s="62">
        <v>442.00545963130639</v>
      </c>
      <c r="X97" s="62">
        <v>456.99474299065417</v>
      </c>
      <c r="Y97" s="62">
        <v>438.99852599654298</v>
      </c>
      <c r="Z97" s="62">
        <v>445.57692452560133</v>
      </c>
      <c r="AA97" s="62" t="s">
        <v>108</v>
      </c>
      <c r="AB97" s="62" t="s">
        <v>108</v>
      </c>
      <c r="AC97" s="62" t="s">
        <v>108</v>
      </c>
      <c r="AD97" s="62" t="s">
        <v>108</v>
      </c>
      <c r="AE97" s="62" t="s">
        <v>108</v>
      </c>
      <c r="AF97" s="62" t="s">
        <v>108</v>
      </c>
      <c r="AG97" s="62" t="s">
        <v>108</v>
      </c>
      <c r="AH97" s="62" t="s">
        <v>108</v>
      </c>
      <c r="AI97" s="62" t="s">
        <v>108</v>
      </c>
      <c r="AJ97" s="62" t="s">
        <v>108</v>
      </c>
      <c r="AK97" s="62" t="s">
        <v>108</v>
      </c>
      <c r="AL97" s="62" t="s">
        <v>108</v>
      </c>
      <c r="AM97" s="62">
        <v>445.57692452560133</v>
      </c>
      <c r="BO97" s="14"/>
    </row>
    <row r="98" spans="1:67" hidden="1">
      <c r="A98" s="84" t="s">
        <v>103</v>
      </c>
      <c r="B98" s="18" t="s">
        <v>102</v>
      </c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2">
        <v>561</v>
      </c>
      <c r="P98" s="22">
        <v>462</v>
      </c>
      <c r="Q98" s="22">
        <v>479</v>
      </c>
      <c r="R98" s="22">
        <v>478</v>
      </c>
      <c r="S98" s="22">
        <v>486</v>
      </c>
      <c r="T98" s="62">
        <v>481</v>
      </c>
      <c r="U98" s="62"/>
      <c r="V98" s="62">
        <v>465</v>
      </c>
      <c r="W98" s="60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BO98" s="14"/>
    </row>
    <row r="99" spans="1:67">
      <c r="A99" s="84" t="s">
        <v>104</v>
      </c>
      <c r="B99" s="18" t="s">
        <v>102</v>
      </c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2">
        <v>413</v>
      </c>
      <c r="P99" s="22">
        <v>399</v>
      </c>
      <c r="Q99" s="22">
        <v>397</v>
      </c>
      <c r="R99" s="22">
        <v>389</v>
      </c>
      <c r="S99" s="22">
        <v>385</v>
      </c>
      <c r="T99" s="62">
        <v>371</v>
      </c>
      <c r="U99" s="62">
        <v>368.72101340239118</v>
      </c>
      <c r="V99" s="62">
        <v>354</v>
      </c>
      <c r="W99" s="62">
        <v>376.00023427262016</v>
      </c>
      <c r="X99" s="62">
        <v>377.99971208522277</v>
      </c>
      <c r="Y99" s="62">
        <v>372.51121474744122</v>
      </c>
      <c r="Z99" s="62">
        <v>375.57124282435046</v>
      </c>
      <c r="AA99" s="62" t="s">
        <v>108</v>
      </c>
      <c r="AB99" s="62" t="s">
        <v>108</v>
      </c>
      <c r="AC99" s="62" t="s">
        <v>108</v>
      </c>
      <c r="AD99" s="62" t="s">
        <v>108</v>
      </c>
      <c r="AE99" s="62" t="s">
        <v>108</v>
      </c>
      <c r="AF99" s="62" t="s">
        <v>108</v>
      </c>
      <c r="AG99" s="62" t="s">
        <v>108</v>
      </c>
      <c r="AH99" s="62" t="s">
        <v>108</v>
      </c>
      <c r="AI99" s="62" t="s">
        <v>108</v>
      </c>
      <c r="AJ99" s="62" t="s">
        <v>108</v>
      </c>
      <c r="AK99" s="62" t="s">
        <v>108</v>
      </c>
      <c r="AL99" s="62" t="s">
        <v>108</v>
      </c>
      <c r="AM99" s="62">
        <v>375.57124282435046</v>
      </c>
      <c r="BO99" s="14"/>
    </row>
    <row r="100" spans="1:67">
      <c r="A100" s="84" t="s">
        <v>105</v>
      </c>
      <c r="B100" s="18" t="s">
        <v>102</v>
      </c>
      <c r="C100" s="22">
        <v>565.90404268756549</v>
      </c>
      <c r="D100" s="22">
        <v>548</v>
      </c>
      <c r="E100" s="22">
        <v>534</v>
      </c>
      <c r="F100" s="22">
        <v>529.07674680816797</v>
      </c>
      <c r="G100" s="22">
        <v>528.71228040391304</v>
      </c>
      <c r="H100" s="22">
        <v>525.34338987177409</v>
      </c>
      <c r="I100" s="22">
        <v>528.90295242289983</v>
      </c>
      <c r="J100" s="22">
        <v>494.80402272069955</v>
      </c>
      <c r="K100" s="22">
        <v>463.92566901925824</v>
      </c>
      <c r="L100" s="22">
        <v>417.99280401609855</v>
      </c>
      <c r="M100" s="22">
        <v>409.82129892227448</v>
      </c>
      <c r="N100" s="22">
        <v>417.68825684146759</v>
      </c>
      <c r="O100" s="22">
        <v>439.51862313038976</v>
      </c>
      <c r="P100" s="22">
        <v>414.95838410670711</v>
      </c>
      <c r="Q100" s="22">
        <v>424</v>
      </c>
      <c r="R100" s="22">
        <v>415.24867538537882</v>
      </c>
      <c r="S100" s="22">
        <v>415.32929351185447</v>
      </c>
      <c r="T100" s="62">
        <v>390.59257673508432</v>
      </c>
      <c r="U100" s="62">
        <v>385.70935474455263</v>
      </c>
      <c r="V100" s="62">
        <v>381</v>
      </c>
      <c r="W100" s="62">
        <v>392.21928034831296</v>
      </c>
      <c r="X100" s="62">
        <v>396.02984146029843</v>
      </c>
      <c r="Y100" s="62">
        <v>390.26711071841231</v>
      </c>
      <c r="Z100" s="62">
        <v>392.85405416464022</v>
      </c>
      <c r="AA100" s="62" t="e">
        <v>#DIV/0!</v>
      </c>
      <c r="AB100" s="62" t="e">
        <v>#DIV/0!</v>
      </c>
      <c r="AC100" s="62" t="e">
        <v>#DIV/0!</v>
      </c>
      <c r="AD100" s="62" t="e">
        <v>#DIV/0!</v>
      </c>
      <c r="AE100" s="62" t="e">
        <v>#DIV/0!</v>
      </c>
      <c r="AF100" s="62" t="e">
        <v>#DIV/0!</v>
      </c>
      <c r="AG100" s="62" t="e">
        <v>#DIV/0!</v>
      </c>
      <c r="AH100" s="62" t="e">
        <v>#DIV/0!</v>
      </c>
      <c r="AI100" s="62" t="e">
        <v>#DIV/0!</v>
      </c>
      <c r="AJ100" s="62" t="e">
        <v>#DIV/0!</v>
      </c>
      <c r="AK100" s="62" t="e">
        <v>#DIV/0!</v>
      </c>
      <c r="AL100" s="62" t="e">
        <v>#DIV/0!</v>
      </c>
      <c r="AM100" s="62">
        <v>392.85405416464022</v>
      </c>
      <c r="BO100" s="14"/>
    </row>
    <row r="101" spans="1:67">
      <c r="A101" s="84" t="s">
        <v>106</v>
      </c>
      <c r="B101" s="18" t="s">
        <v>102</v>
      </c>
      <c r="C101" s="22"/>
      <c r="D101" s="22"/>
      <c r="E101" s="22"/>
      <c r="F101" s="22"/>
      <c r="G101" s="22"/>
      <c r="H101" s="22"/>
      <c r="I101" s="22"/>
      <c r="J101" s="34"/>
      <c r="K101" s="34"/>
      <c r="L101" s="34"/>
      <c r="M101" s="34"/>
      <c r="N101" s="20">
        <v>89.06</v>
      </c>
      <c r="O101" s="20">
        <v>97.92</v>
      </c>
      <c r="P101" s="22">
        <v>95</v>
      </c>
      <c r="Q101" s="22">
        <v>91.26</v>
      </c>
      <c r="R101" s="22">
        <v>86.453197008533337</v>
      </c>
      <c r="S101" s="22">
        <v>94.114943121787732</v>
      </c>
      <c r="T101" s="62">
        <v>96.452202369577677</v>
      </c>
      <c r="U101" s="62">
        <v>103.72347131249772</v>
      </c>
      <c r="V101" s="62">
        <v>110</v>
      </c>
      <c r="W101" s="62">
        <v>111.00126942044777</v>
      </c>
      <c r="X101" s="62">
        <v>113.00136292834891</v>
      </c>
      <c r="Y101" s="62">
        <v>112.99986214356157</v>
      </c>
      <c r="Z101" s="62">
        <v>112.33022215191303</v>
      </c>
      <c r="AA101" s="62" t="e">
        <v>#DIV/0!</v>
      </c>
      <c r="AB101" s="62" t="e">
        <v>#DIV/0!</v>
      </c>
      <c r="AC101" s="62" t="e">
        <v>#DIV/0!</v>
      </c>
      <c r="AD101" s="62" t="e">
        <v>#DIV/0!</v>
      </c>
      <c r="AE101" s="62" t="e">
        <v>#DIV/0!</v>
      </c>
      <c r="AF101" s="62" t="e">
        <v>#DIV/0!</v>
      </c>
      <c r="AG101" s="62" t="e">
        <v>#DIV/0!</v>
      </c>
      <c r="AH101" s="62" t="e">
        <v>#DIV/0!</v>
      </c>
      <c r="AI101" s="62" t="e">
        <v>#DIV/0!</v>
      </c>
      <c r="AJ101" s="62" t="e">
        <v>#DIV/0!</v>
      </c>
      <c r="AK101" s="62" t="e">
        <v>#DIV/0!</v>
      </c>
      <c r="AL101" s="62" t="e">
        <v>#DIV/0!</v>
      </c>
      <c r="AM101" s="62">
        <v>112.33022215191303</v>
      </c>
      <c r="BO101" s="14"/>
    </row>
    <row r="102" spans="1:67" hidden="1">
      <c r="A102" s="84" t="s">
        <v>107</v>
      </c>
      <c r="B102" s="18" t="s">
        <v>102</v>
      </c>
      <c r="C102" s="22"/>
      <c r="D102" s="22"/>
      <c r="E102" s="22"/>
      <c r="F102" s="22"/>
      <c r="G102" s="22"/>
      <c r="H102" s="22"/>
      <c r="I102" s="22"/>
      <c r="J102" s="34" t="s">
        <v>61</v>
      </c>
      <c r="K102" s="22">
        <v>6.6257448600754998</v>
      </c>
      <c r="L102" s="22">
        <v>44.079053895106028</v>
      </c>
      <c r="M102" s="22">
        <v>71.425953750870377</v>
      </c>
      <c r="N102" s="20">
        <v>78.47</v>
      </c>
      <c r="O102" s="20">
        <v>20.93</v>
      </c>
      <c r="P102" s="22">
        <v>82</v>
      </c>
      <c r="Q102" s="22">
        <v>74.900000000000006</v>
      </c>
      <c r="R102" s="22">
        <v>72.883163405504604</v>
      </c>
      <c r="S102" s="22">
        <v>78.85417116053604</v>
      </c>
      <c r="T102" s="62">
        <v>89.891912443647811</v>
      </c>
      <c r="U102" s="62" t="s">
        <v>108</v>
      </c>
      <c r="V102" s="62">
        <v>90</v>
      </c>
      <c r="W102" s="62" t="s">
        <v>108</v>
      </c>
      <c r="X102" s="62" t="s">
        <v>108</v>
      </c>
      <c r="Y102" s="62" t="s">
        <v>108</v>
      </c>
      <c r="Z102" s="62" t="s">
        <v>108</v>
      </c>
      <c r="AA102" s="62" t="s">
        <v>108</v>
      </c>
      <c r="AB102" s="62" t="s">
        <v>108</v>
      </c>
      <c r="AC102" s="62" t="s">
        <v>108</v>
      </c>
      <c r="AD102" s="62" t="s">
        <v>108</v>
      </c>
      <c r="AE102" s="62" t="s">
        <v>108</v>
      </c>
      <c r="AF102" s="62" t="s">
        <v>108</v>
      </c>
      <c r="AG102" s="62" t="s">
        <v>108</v>
      </c>
      <c r="AH102" s="62" t="s">
        <v>108</v>
      </c>
      <c r="AI102" s="62" t="s">
        <v>108</v>
      </c>
      <c r="AJ102" s="62" t="s">
        <v>108</v>
      </c>
      <c r="AK102" s="62" t="s">
        <v>108</v>
      </c>
      <c r="AL102" s="62" t="s">
        <v>108</v>
      </c>
      <c r="AM102" s="62" t="s">
        <v>108</v>
      </c>
      <c r="BO102" s="14"/>
    </row>
    <row r="103" spans="1:67">
      <c r="A103" s="84" t="s">
        <v>109</v>
      </c>
      <c r="B103" s="18" t="s">
        <v>102</v>
      </c>
      <c r="C103" s="22"/>
      <c r="D103" s="22"/>
      <c r="E103" s="22"/>
      <c r="F103" s="22"/>
      <c r="G103" s="22"/>
      <c r="H103" s="22"/>
      <c r="I103" s="22"/>
      <c r="J103" s="21">
        <v>84.67</v>
      </c>
      <c r="K103" s="21">
        <v>125.22518641055346</v>
      </c>
      <c r="L103" s="21">
        <v>130.92496345917402</v>
      </c>
      <c r="M103" s="21">
        <v>144.1521788302401</v>
      </c>
      <c r="N103" s="20">
        <v>143.22</v>
      </c>
      <c r="O103" s="20">
        <v>129</v>
      </c>
      <c r="P103" s="22">
        <v>124</v>
      </c>
      <c r="Q103" s="22">
        <v>127.6</v>
      </c>
      <c r="R103" s="22">
        <v>137.6574327807472</v>
      </c>
      <c r="S103" s="22">
        <v>149.45038136094058</v>
      </c>
      <c r="T103" s="62">
        <v>147.63069881838231</v>
      </c>
      <c r="U103" s="62">
        <v>156.06489851251908</v>
      </c>
      <c r="V103" s="62">
        <v>155</v>
      </c>
      <c r="W103" s="62">
        <v>155.99994143184497</v>
      </c>
      <c r="X103" s="62">
        <v>156.5104729000216</v>
      </c>
      <c r="Y103" s="62">
        <v>155.00113982790532</v>
      </c>
      <c r="Z103" s="62">
        <v>155.85591036442236</v>
      </c>
      <c r="AA103" s="62" t="e">
        <v>#DIV/0!</v>
      </c>
      <c r="AB103" s="62" t="e">
        <v>#DIV/0!</v>
      </c>
      <c r="AC103" s="62" t="e">
        <v>#DIV/0!</v>
      </c>
      <c r="AD103" s="62" t="e">
        <v>#DIV/0!</v>
      </c>
      <c r="AE103" s="62" t="e">
        <v>#DIV/0!</v>
      </c>
      <c r="AF103" s="62" t="e">
        <v>#DIV/0!</v>
      </c>
      <c r="AG103" s="62" t="e">
        <v>#DIV/0!</v>
      </c>
      <c r="AH103" s="62" t="e">
        <v>#DIV/0!</v>
      </c>
      <c r="AI103" s="62" t="e">
        <v>#DIV/0!</v>
      </c>
      <c r="AJ103" s="62" t="e">
        <v>#DIV/0!</v>
      </c>
      <c r="AK103" s="62" t="e">
        <v>#DIV/0!</v>
      </c>
      <c r="AL103" s="62" t="e">
        <v>#DIV/0!</v>
      </c>
      <c r="AM103" s="62">
        <v>155.85591036442236</v>
      </c>
      <c r="BO103" s="14"/>
    </row>
    <row r="104" spans="1:67">
      <c r="A104" s="84" t="s">
        <v>110</v>
      </c>
      <c r="B104" s="18" t="s">
        <v>102</v>
      </c>
      <c r="C104" s="22"/>
      <c r="D104" s="22"/>
      <c r="E104" s="22"/>
      <c r="F104" s="22"/>
      <c r="G104" s="22"/>
      <c r="H104" s="22"/>
      <c r="I104" s="22"/>
      <c r="J104" s="21"/>
      <c r="K104" s="21">
        <v>88.058978816814403</v>
      </c>
      <c r="L104" s="21">
        <v>121.33785053918166</v>
      </c>
      <c r="M104" s="21">
        <v>127.41256095231726</v>
      </c>
      <c r="N104" s="20">
        <v>125.89</v>
      </c>
      <c r="O104" s="20">
        <v>116</v>
      </c>
      <c r="P104" s="22">
        <v>114</v>
      </c>
      <c r="Q104" s="22">
        <v>110.46</v>
      </c>
      <c r="R104" s="22">
        <v>117.07878832589915</v>
      </c>
      <c r="S104" s="22">
        <v>126.9348577674001</v>
      </c>
      <c r="T104" s="62">
        <v>133.08682674539637</v>
      </c>
      <c r="U104" s="62">
        <v>143.08631641006872</v>
      </c>
      <c r="V104" s="62">
        <v>137</v>
      </c>
      <c r="W104" s="62">
        <v>144.94082047912357</v>
      </c>
      <c r="X104" s="62">
        <v>146.57978646579787</v>
      </c>
      <c r="Y104" s="62">
        <v>143.78440834636035</v>
      </c>
      <c r="Z104" s="62">
        <v>145.10982925574999</v>
      </c>
      <c r="AA104" s="62" t="e">
        <v>#DIV/0!</v>
      </c>
      <c r="AB104" s="62" t="e">
        <v>#DIV/0!</v>
      </c>
      <c r="AC104" s="62" t="e">
        <v>#DIV/0!</v>
      </c>
      <c r="AD104" s="62" t="e">
        <v>#DIV/0!</v>
      </c>
      <c r="AE104" s="62" t="e">
        <v>#DIV/0!</v>
      </c>
      <c r="AF104" s="62" t="e">
        <v>#DIV/0!</v>
      </c>
      <c r="AG104" s="62" t="e">
        <v>#DIV/0!</v>
      </c>
      <c r="AH104" s="62" t="e">
        <v>#DIV/0!</v>
      </c>
      <c r="AI104" s="62" t="e">
        <v>#DIV/0!</v>
      </c>
      <c r="AJ104" s="62" t="e">
        <v>#DIV/0!</v>
      </c>
      <c r="AK104" s="62" t="e">
        <v>#DIV/0!</v>
      </c>
      <c r="AL104" s="62" t="e">
        <v>#DIV/0!</v>
      </c>
      <c r="AM104" s="62">
        <v>145.10982925574999</v>
      </c>
      <c r="BO104" s="14"/>
    </row>
    <row r="105" spans="1:67">
      <c r="A105" s="84" t="s">
        <v>111</v>
      </c>
      <c r="B105" s="18" t="s">
        <v>102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1">
        <v>22.06</v>
      </c>
      <c r="O105" s="21">
        <v>6.86</v>
      </c>
      <c r="P105" s="22">
        <v>15</v>
      </c>
      <c r="Q105" s="22">
        <v>4.68</v>
      </c>
      <c r="R105" s="22">
        <v>30.51</v>
      </c>
      <c r="S105" s="22">
        <v>14.12</v>
      </c>
      <c r="T105" s="62">
        <v>0</v>
      </c>
      <c r="U105" s="62"/>
      <c r="V105" s="59"/>
      <c r="W105" s="71"/>
      <c r="X105" s="71"/>
      <c r="Y105" s="71"/>
      <c r="Z105" s="71">
        <v>0</v>
      </c>
      <c r="AA105" s="71">
        <v>0</v>
      </c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BO105" s="14"/>
    </row>
    <row r="106" spans="1:67" hidden="1">
      <c r="A106" s="84" t="s">
        <v>112</v>
      </c>
      <c r="B106" s="18" t="s">
        <v>102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1">
        <v>24.16</v>
      </c>
      <c r="O106" s="21">
        <v>4.49</v>
      </c>
      <c r="P106" s="22">
        <v>10</v>
      </c>
      <c r="Q106" s="22">
        <v>4.7300000000000004</v>
      </c>
      <c r="R106" s="22">
        <v>27.64</v>
      </c>
      <c r="S106" s="22">
        <v>15.39</v>
      </c>
      <c r="T106" s="62">
        <v>9.1</v>
      </c>
      <c r="U106" s="62"/>
      <c r="V106" s="59"/>
      <c r="W106" s="71"/>
      <c r="X106" s="71"/>
      <c r="Y106" s="71"/>
      <c r="Z106" s="71">
        <v>0</v>
      </c>
      <c r="AA106" s="71">
        <v>0</v>
      </c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BO106" s="14"/>
    </row>
    <row r="107" spans="1:67">
      <c r="A107" s="84" t="s">
        <v>113</v>
      </c>
      <c r="B107" s="18" t="s">
        <v>102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1">
        <v>36.299999999999997</v>
      </c>
      <c r="O107" s="21">
        <v>39.03</v>
      </c>
      <c r="P107" s="22">
        <v>37.65</v>
      </c>
      <c r="Q107" s="22">
        <v>37.979999999999997</v>
      </c>
      <c r="R107" s="22">
        <v>40.78</v>
      </c>
      <c r="S107" s="22">
        <v>38.299999999999997</v>
      </c>
      <c r="T107" s="62">
        <v>34</v>
      </c>
      <c r="U107" s="62">
        <v>23.888530945880632</v>
      </c>
      <c r="V107" s="59">
        <v>15</v>
      </c>
      <c r="W107" s="71">
        <v>21.498173405665003</v>
      </c>
      <c r="X107" s="71">
        <v>20.99978406391708</v>
      </c>
      <c r="Y107" s="71">
        <v>23.001340746722512</v>
      </c>
      <c r="Z107" s="71">
        <v>21.807553679229791</v>
      </c>
      <c r="AA107" s="71" t="s">
        <v>108</v>
      </c>
      <c r="AB107" s="71" t="s">
        <v>108</v>
      </c>
      <c r="AC107" s="71" t="s">
        <v>108</v>
      </c>
      <c r="AD107" s="71" t="s">
        <v>108</v>
      </c>
      <c r="AE107" s="71" t="s">
        <v>108</v>
      </c>
      <c r="AF107" s="71" t="s">
        <v>108</v>
      </c>
      <c r="AG107" s="71" t="s">
        <v>108</v>
      </c>
      <c r="AH107" s="71" t="s">
        <v>108</v>
      </c>
      <c r="AI107" s="71" t="s">
        <v>108</v>
      </c>
      <c r="AJ107" s="71" t="s">
        <v>108</v>
      </c>
      <c r="AK107" s="71" t="s">
        <v>108</v>
      </c>
      <c r="AL107" s="71" t="s">
        <v>108</v>
      </c>
      <c r="AM107" s="71">
        <v>21.807553679229791</v>
      </c>
      <c r="BO107" s="14"/>
    </row>
    <row r="108" spans="1:67">
      <c r="A108" s="84" t="s">
        <v>114</v>
      </c>
      <c r="B108" s="18" t="s">
        <v>102</v>
      </c>
      <c r="C108" s="20">
        <v>20.855881270019662</v>
      </c>
      <c r="D108" s="20">
        <v>24.77</v>
      </c>
      <c r="E108" s="20">
        <v>24.75</v>
      </c>
      <c r="F108" s="20">
        <v>25.891329270468773</v>
      </c>
      <c r="G108" s="20">
        <v>26.53384479667783</v>
      </c>
      <c r="H108" s="20">
        <v>24.487461803301233</v>
      </c>
      <c r="I108" s="20">
        <v>26.160232442272232</v>
      </c>
      <c r="J108" s="21">
        <v>28.090382708818204</v>
      </c>
      <c r="K108" s="21">
        <v>26.933875724522274</v>
      </c>
      <c r="L108" s="21">
        <v>30.654370079910844</v>
      </c>
      <c r="M108" s="21">
        <v>30.781680425687629</v>
      </c>
      <c r="N108" s="21">
        <v>32.409999999999997</v>
      </c>
      <c r="O108" s="21">
        <v>29.61</v>
      </c>
      <c r="P108" s="22">
        <v>30</v>
      </c>
      <c r="Q108" s="22">
        <v>25.06</v>
      </c>
      <c r="R108" s="22">
        <v>36.630000000000003</v>
      </c>
      <c r="S108" s="22">
        <v>29.81</v>
      </c>
      <c r="T108" s="62">
        <v>25</v>
      </c>
      <c r="U108" s="62">
        <v>17.965129984664355</v>
      </c>
      <c r="V108" s="62">
        <v>10</v>
      </c>
      <c r="W108" s="71">
        <v>16.214664152422813</v>
      </c>
      <c r="X108" s="71">
        <v>16.206712662067126</v>
      </c>
      <c r="Y108" s="71">
        <v>16.858673735245475</v>
      </c>
      <c r="Z108" s="71">
        <v>16.423474753824564</v>
      </c>
      <c r="AA108" s="71" t="s">
        <v>108</v>
      </c>
      <c r="AB108" s="71" t="s">
        <v>108</v>
      </c>
      <c r="AC108" s="71" t="s">
        <v>108</v>
      </c>
      <c r="AD108" s="71" t="s">
        <v>108</v>
      </c>
      <c r="AE108" s="71" t="s">
        <v>108</v>
      </c>
      <c r="AF108" s="71" t="s">
        <v>108</v>
      </c>
      <c r="AG108" s="71" t="s">
        <v>108</v>
      </c>
      <c r="AH108" s="71" t="s">
        <v>108</v>
      </c>
      <c r="AI108" s="71" t="s">
        <v>108</v>
      </c>
      <c r="AJ108" s="71" t="s">
        <v>108</v>
      </c>
      <c r="AK108" s="71" t="s">
        <v>108</v>
      </c>
      <c r="AL108" s="71" t="s">
        <v>108</v>
      </c>
      <c r="AM108" s="71">
        <v>16.423474753824564</v>
      </c>
      <c r="BO108" s="14"/>
    </row>
    <row r="109" spans="1:67">
      <c r="A109" s="85" t="s">
        <v>115</v>
      </c>
      <c r="B109" s="15" t="s">
        <v>61</v>
      </c>
      <c r="C109" s="13">
        <v>1.006</v>
      </c>
      <c r="D109" s="13">
        <v>0.98299999999999998</v>
      </c>
      <c r="E109" s="24">
        <v>0.97</v>
      </c>
      <c r="F109" s="24">
        <v>0.96599999999999997</v>
      </c>
      <c r="G109" s="24">
        <v>0.96599999999999997</v>
      </c>
      <c r="H109" s="24">
        <v>0.95599999999999996</v>
      </c>
      <c r="I109" s="24">
        <v>0.96</v>
      </c>
      <c r="J109" s="24">
        <v>0.96399999999999997</v>
      </c>
      <c r="K109" s="24">
        <v>0.995</v>
      </c>
      <c r="L109" s="24">
        <v>0.99358333333333315</v>
      </c>
      <c r="M109" s="24">
        <v>0.94599999999999995</v>
      </c>
      <c r="N109" s="24">
        <v>0.94199999999999995</v>
      </c>
      <c r="O109" s="24">
        <v>0.95799999999999996</v>
      </c>
      <c r="P109" s="24">
        <v>0.93799999999999994</v>
      </c>
      <c r="Q109" s="24">
        <v>0.96899999999999997</v>
      </c>
      <c r="R109" s="24">
        <v>0.96699999999999997</v>
      </c>
      <c r="S109" s="24">
        <v>0.97099999999999997</v>
      </c>
      <c r="T109" s="69">
        <v>0.89500000000000002</v>
      </c>
      <c r="U109" s="69">
        <v>0.88300000000000001</v>
      </c>
      <c r="V109" s="69">
        <v>0.87</v>
      </c>
      <c r="W109" s="69">
        <v>0.89900000000000002</v>
      </c>
      <c r="X109" s="69">
        <v>0.91</v>
      </c>
      <c r="Y109" s="69">
        <v>0.92100000000000004</v>
      </c>
      <c r="Z109" s="69">
        <v>0.88600000000000001</v>
      </c>
      <c r="AA109" s="69">
        <v>0</v>
      </c>
      <c r="AB109" s="69">
        <v>0</v>
      </c>
      <c r="AC109" s="69">
        <v>0</v>
      </c>
      <c r="AD109" s="69">
        <v>0.875</v>
      </c>
      <c r="AE109" s="69">
        <v>0</v>
      </c>
      <c r="AF109" s="69">
        <v>0</v>
      </c>
      <c r="AG109" s="69">
        <v>0</v>
      </c>
      <c r="AH109" s="69">
        <v>0</v>
      </c>
      <c r="AI109" s="69">
        <v>0</v>
      </c>
      <c r="AJ109" s="69">
        <v>0</v>
      </c>
      <c r="AK109" s="69">
        <v>0</v>
      </c>
      <c r="AL109" s="69">
        <v>0</v>
      </c>
      <c r="AM109" s="69">
        <v>0.91</v>
      </c>
      <c r="BO109" s="23"/>
    </row>
    <row r="110" spans="1:67">
      <c r="A110" s="84" t="s">
        <v>116</v>
      </c>
      <c r="B110" s="18" t="s">
        <v>102</v>
      </c>
      <c r="C110" s="22">
        <v>464.03659913678132</v>
      </c>
      <c r="D110" s="22">
        <v>452</v>
      </c>
      <c r="E110" s="22">
        <v>445</v>
      </c>
      <c r="F110" s="22">
        <v>441.34259526870352</v>
      </c>
      <c r="G110" s="22">
        <v>442.18851571581268</v>
      </c>
      <c r="H110" s="22">
        <v>440.00573404868658</v>
      </c>
      <c r="I110" s="22">
        <v>441.656002896139</v>
      </c>
      <c r="J110" s="22">
        <v>416.61261703026105</v>
      </c>
      <c r="K110" s="22">
        <v>467.74603518262171</v>
      </c>
      <c r="L110" s="22">
        <v>459.55606425652064</v>
      </c>
      <c r="M110" s="22">
        <v>458.48589110291374</v>
      </c>
      <c r="N110" s="22">
        <v>460.72633263198344</v>
      </c>
      <c r="O110" s="22">
        <v>432.13230627425384</v>
      </c>
      <c r="P110" s="22">
        <v>455</v>
      </c>
      <c r="Q110" s="22">
        <v>457</v>
      </c>
      <c r="R110" s="22">
        <v>465</v>
      </c>
      <c r="S110" s="22">
        <v>463</v>
      </c>
      <c r="T110" s="62">
        <v>449</v>
      </c>
      <c r="U110" s="62">
        <v>445</v>
      </c>
      <c r="V110" s="59">
        <v>431.5</v>
      </c>
      <c r="W110" s="62">
        <v>450</v>
      </c>
      <c r="X110" s="62">
        <v>455</v>
      </c>
      <c r="Y110" s="62">
        <v>448</v>
      </c>
      <c r="Z110" s="62">
        <v>1353</v>
      </c>
      <c r="AA110" s="62">
        <v>0</v>
      </c>
      <c r="AB110" s="62">
        <v>0</v>
      </c>
      <c r="AC110" s="62">
        <v>0</v>
      </c>
      <c r="AD110" s="62">
        <v>0</v>
      </c>
      <c r="AE110" s="62">
        <v>0</v>
      </c>
      <c r="AF110" s="62">
        <v>0</v>
      </c>
      <c r="AG110" s="62">
        <v>0</v>
      </c>
      <c r="AH110" s="62">
        <v>0</v>
      </c>
      <c r="AI110" s="62">
        <v>0</v>
      </c>
      <c r="AJ110" s="62">
        <v>0</v>
      </c>
      <c r="AK110" s="62">
        <v>0</v>
      </c>
      <c r="AL110" s="62">
        <v>0</v>
      </c>
      <c r="AM110" s="62">
        <v>451</v>
      </c>
      <c r="BO110" s="14"/>
    </row>
    <row r="111" spans="1:67" ht="15" customHeight="1">
      <c r="A111" s="84" t="s">
        <v>117</v>
      </c>
      <c r="B111" s="18" t="s">
        <v>102</v>
      </c>
      <c r="C111" s="22">
        <v>1206.6436471027287</v>
      </c>
      <c r="D111" s="22">
        <v>1212</v>
      </c>
      <c r="E111" s="22">
        <v>1209</v>
      </c>
      <c r="F111" s="22">
        <v>1188.0297017194018</v>
      </c>
      <c r="G111" s="22">
        <v>1203.4974266049721</v>
      </c>
      <c r="H111" s="22">
        <v>1218.4418621165396</v>
      </c>
      <c r="I111" s="22">
        <v>1223.7218130717852</v>
      </c>
      <c r="J111" s="22">
        <v>1252.8870500185474</v>
      </c>
      <c r="K111" s="22">
        <v>1283.017391821712</v>
      </c>
      <c r="L111" s="22">
        <v>1281.0984541433793</v>
      </c>
      <c r="M111" s="22">
        <v>1240.7626322604278</v>
      </c>
      <c r="N111" s="22">
        <v>1281.1610091801708</v>
      </c>
      <c r="O111" s="22">
        <v>1270.6143373522561</v>
      </c>
      <c r="P111" s="22">
        <v>1281.059469325573</v>
      </c>
      <c r="Q111" s="22">
        <v>1247.4671525306801</v>
      </c>
      <c r="R111" s="22">
        <v>1229.0405356781198</v>
      </c>
      <c r="S111" s="22">
        <v>1221.0611851834051</v>
      </c>
      <c r="T111" s="62">
        <v>1215.146974137778</v>
      </c>
      <c r="U111" s="62">
        <v>1264.9402095099542</v>
      </c>
      <c r="V111" s="62">
        <v>1105</v>
      </c>
      <c r="W111" s="62">
        <v>1280.7845324307089</v>
      </c>
      <c r="X111" s="62">
        <v>1292.6207379262073</v>
      </c>
      <c r="Y111" s="62">
        <v>1276.0370647273387</v>
      </c>
      <c r="Z111" s="62">
        <v>1283.1884659055509</v>
      </c>
      <c r="AA111" s="62" t="e">
        <v>#DIV/0!</v>
      </c>
      <c r="AB111" s="62" t="e">
        <v>#DIV/0!</v>
      </c>
      <c r="AC111" s="62" t="e">
        <v>#DIV/0!</v>
      </c>
      <c r="AD111" s="62" t="e">
        <v>#DIV/0!</v>
      </c>
      <c r="AE111" s="62" t="e">
        <v>#DIV/0!</v>
      </c>
      <c r="AF111" s="62" t="e">
        <v>#DIV/0!</v>
      </c>
      <c r="AG111" s="62" t="e">
        <v>#DIV/0!</v>
      </c>
      <c r="AH111" s="62" t="e">
        <v>#DIV/0!</v>
      </c>
      <c r="AI111" s="62" t="e">
        <v>#DIV/0!</v>
      </c>
      <c r="AJ111" s="62" t="e">
        <v>#DIV/0!</v>
      </c>
      <c r="AK111" s="62" t="e">
        <v>#DIV/0!</v>
      </c>
      <c r="AL111" s="62" t="e">
        <v>#DIV/0!</v>
      </c>
      <c r="AM111" s="62">
        <v>1283.1884659055509</v>
      </c>
      <c r="BO111" s="14"/>
    </row>
    <row r="112" spans="1:67" ht="15" customHeight="1">
      <c r="A112" s="84" t="s">
        <v>118</v>
      </c>
      <c r="B112" s="18" t="s">
        <v>102</v>
      </c>
      <c r="C112" s="22">
        <v>490.38623706383038</v>
      </c>
      <c r="D112" s="22">
        <v>483</v>
      </c>
      <c r="E112" s="22">
        <v>487</v>
      </c>
      <c r="F112" s="22">
        <v>508.09295007469711</v>
      </c>
      <c r="G112" s="22">
        <v>492.77396566150372</v>
      </c>
      <c r="H112" s="22">
        <v>477.38462370827244</v>
      </c>
      <c r="I112" s="22">
        <v>472.53500540908522</v>
      </c>
      <c r="J112" s="22">
        <v>440.10378966595277</v>
      </c>
      <c r="K112" s="22">
        <v>412.94540061278485</v>
      </c>
      <c r="L112" s="22">
        <v>406.84167930424172</v>
      </c>
      <c r="M112" s="22">
        <v>452.18801722481004</v>
      </c>
      <c r="N112" s="22">
        <v>434.37516372681728</v>
      </c>
      <c r="O112" s="22">
        <v>464.07412945562731</v>
      </c>
      <c r="P112" s="22">
        <v>415.2726830373598</v>
      </c>
      <c r="Q112" s="22">
        <v>477.97333466143544</v>
      </c>
      <c r="R112" s="22">
        <v>436.90185289452569</v>
      </c>
      <c r="S112" s="22">
        <v>415.41584840033659</v>
      </c>
      <c r="T112" s="62">
        <v>254.72874865799008</v>
      </c>
      <c r="U112" s="62">
        <v>214.51118204941693</v>
      </c>
      <c r="V112" s="62">
        <v>287</v>
      </c>
      <c r="W112" s="62">
        <v>194.78579691498967</v>
      </c>
      <c r="X112" s="62">
        <v>202.26588452265884</v>
      </c>
      <c r="Y112" s="62">
        <v>158.93540859557308</v>
      </c>
      <c r="Z112" s="62">
        <v>185.51803085690162</v>
      </c>
      <c r="AA112" s="62" t="e">
        <v>#DIV/0!</v>
      </c>
      <c r="AB112" s="62" t="e">
        <v>#DIV/0!</v>
      </c>
      <c r="AC112" s="62" t="e">
        <v>#DIV/0!</v>
      </c>
      <c r="AD112" s="62" t="e">
        <v>#DIV/0!</v>
      </c>
      <c r="AE112" s="62" t="e">
        <v>#DIV/0!</v>
      </c>
      <c r="AF112" s="62" t="e">
        <v>#DIV/0!</v>
      </c>
      <c r="AG112" s="62" t="e">
        <v>#DIV/0!</v>
      </c>
      <c r="AH112" s="62" t="e">
        <v>#DIV/0!</v>
      </c>
      <c r="AI112" s="62" t="e">
        <v>#DIV/0!</v>
      </c>
      <c r="AJ112" s="62" t="e">
        <v>#DIV/0!</v>
      </c>
      <c r="AK112" s="62" t="e">
        <v>#DIV/0!</v>
      </c>
      <c r="AL112" s="62" t="e">
        <v>#DIV/0!</v>
      </c>
      <c r="AM112" s="62">
        <v>185.51803085690162</v>
      </c>
      <c r="BO112" s="14"/>
    </row>
    <row r="113" spans="1:67" ht="15" customHeight="1">
      <c r="A113" s="84" t="s">
        <v>119</v>
      </c>
      <c r="B113" s="18" t="s">
        <v>102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>
        <v>1199.3162615630906</v>
      </c>
      <c r="N113" s="22">
        <v>1491.8449284347705</v>
      </c>
      <c r="O113" s="22">
        <v>1230.5057596713204</v>
      </c>
      <c r="P113" s="22">
        <v>1275.4211449043373</v>
      </c>
      <c r="Q113" s="22">
        <v>1246.4148160855298</v>
      </c>
      <c r="R113" s="22">
        <v>1291.850665085411</v>
      </c>
      <c r="S113" s="22">
        <v>1242.3145266693634</v>
      </c>
      <c r="T113" s="62">
        <v>1224.6389218478409</v>
      </c>
      <c r="U113" s="62">
        <v>1267.7847171708281</v>
      </c>
      <c r="V113" s="62">
        <v>1096</v>
      </c>
      <c r="W113" s="62">
        <v>1311.2315469501909</v>
      </c>
      <c r="X113" s="62">
        <v>1351.6537235165374</v>
      </c>
      <c r="Y113" s="62">
        <v>1290.5905208545732</v>
      </c>
      <c r="Z113" s="62">
        <v>1317.987336227892</v>
      </c>
      <c r="AA113" s="62" t="e">
        <v>#DIV/0!</v>
      </c>
      <c r="AB113" s="62" t="e">
        <v>#DIV/0!</v>
      </c>
      <c r="AC113" s="62" t="e">
        <v>#DIV/0!</v>
      </c>
      <c r="AD113" s="62" t="e">
        <v>#DIV/0!</v>
      </c>
      <c r="AE113" s="62" t="e">
        <v>#DIV/0!</v>
      </c>
      <c r="AF113" s="62" t="e">
        <v>#DIV/0!</v>
      </c>
      <c r="AG113" s="62" t="e">
        <v>#DIV/0!</v>
      </c>
      <c r="AH113" s="62" t="e">
        <v>#DIV/0!</v>
      </c>
      <c r="AI113" s="62" t="e">
        <v>#DIV/0!</v>
      </c>
      <c r="AJ113" s="62" t="e">
        <v>#DIV/0!</v>
      </c>
      <c r="AK113" s="62" t="e">
        <v>#DIV/0!</v>
      </c>
      <c r="AL113" s="62" t="e">
        <v>#DIV/0!</v>
      </c>
      <c r="AM113" s="62">
        <v>1317.987336227892</v>
      </c>
      <c r="BO113" s="14"/>
    </row>
    <row r="114" spans="1:67" ht="15" customHeight="1">
      <c r="A114" s="84" t="s">
        <v>120</v>
      </c>
      <c r="B114" s="18" t="s">
        <v>102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>
        <v>1644.1449565409632</v>
      </c>
      <c r="M114" s="22">
        <v>1651.5042787879006</v>
      </c>
      <c r="N114" s="22">
        <v>1690.6728953886968</v>
      </c>
      <c r="O114" s="22">
        <v>1694.5798891269478</v>
      </c>
      <c r="P114" s="22">
        <v>1715</v>
      </c>
      <c r="Q114" s="22">
        <v>1745.3009165748986</v>
      </c>
      <c r="R114" s="22">
        <v>1743.6913916463036</v>
      </c>
      <c r="S114" s="22">
        <v>1741.7402383218764</v>
      </c>
      <c r="T114" s="62">
        <v>1723.7470138191015</v>
      </c>
      <c r="U114" s="62">
        <v>1729.3698485431134</v>
      </c>
      <c r="V114" s="62">
        <v>1700</v>
      </c>
      <c r="W114" s="62">
        <v>1729.2761241624173</v>
      </c>
      <c r="X114" s="62">
        <v>1731.2685398126853</v>
      </c>
      <c r="Y114" s="62">
        <v>1727.0044631731575</v>
      </c>
      <c r="Z114" s="62">
        <v>1729.1972574536128</v>
      </c>
      <c r="AA114" s="62" t="e">
        <v>#DIV/0!</v>
      </c>
      <c r="AB114" s="62" t="e">
        <v>#DIV/0!</v>
      </c>
      <c r="AC114" s="62" t="e">
        <v>#DIV/0!</v>
      </c>
      <c r="AD114" s="62" t="e">
        <v>#DIV/0!</v>
      </c>
      <c r="AE114" s="62" t="e">
        <v>#DIV/0!</v>
      </c>
      <c r="AF114" s="62" t="e">
        <v>#DIV/0!</v>
      </c>
      <c r="AG114" s="62" t="e">
        <v>#DIV/0!</v>
      </c>
      <c r="AH114" s="62" t="e">
        <v>#DIV/0!</v>
      </c>
      <c r="AI114" s="62" t="e">
        <v>#DIV/0!</v>
      </c>
      <c r="AJ114" s="62" t="e">
        <v>#DIV/0!</v>
      </c>
      <c r="AK114" s="62" t="e">
        <v>#DIV/0!</v>
      </c>
      <c r="AL114" s="62" t="e">
        <v>#DIV/0!</v>
      </c>
      <c r="AM114" s="62">
        <v>1729.1972574536128</v>
      </c>
      <c r="BO114" s="14"/>
    </row>
    <row r="115" spans="1:67" ht="15" customHeight="1">
      <c r="A115" s="84" t="s">
        <v>121</v>
      </c>
      <c r="B115" s="18" t="s">
        <v>102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>
        <v>1715</v>
      </c>
      <c r="S115" s="22">
        <v>1713</v>
      </c>
      <c r="T115" s="62">
        <v>1697</v>
      </c>
      <c r="U115" s="62">
        <v>1706.6748184046294</v>
      </c>
      <c r="V115" s="62">
        <v>1650</v>
      </c>
      <c r="W115" s="62">
        <v>1714.0526169026762</v>
      </c>
      <c r="X115" s="62">
        <v>1714.1535846415359</v>
      </c>
      <c r="Y115" s="62">
        <v>1709.7011712997576</v>
      </c>
      <c r="Z115" s="62">
        <v>1712.6575415840966</v>
      </c>
      <c r="AA115" s="62" t="s">
        <v>108</v>
      </c>
      <c r="AB115" s="62" t="s">
        <v>108</v>
      </c>
      <c r="AC115" s="62" t="s">
        <v>108</v>
      </c>
      <c r="AD115" s="62" t="s">
        <v>108</v>
      </c>
      <c r="AE115" s="62" t="s">
        <v>108</v>
      </c>
      <c r="AF115" s="62" t="s">
        <v>108</v>
      </c>
      <c r="AG115" s="62" t="s">
        <v>108</v>
      </c>
      <c r="AH115" s="62" t="s">
        <v>108</v>
      </c>
      <c r="AI115" s="62" t="s">
        <v>108</v>
      </c>
      <c r="AJ115" s="62" t="s">
        <v>108</v>
      </c>
      <c r="AK115" s="62" t="s">
        <v>108</v>
      </c>
      <c r="AL115" s="62" t="s">
        <v>108</v>
      </c>
      <c r="AM115" s="72">
        <v>1712.6575415840966</v>
      </c>
      <c r="BO115" s="14"/>
    </row>
    <row r="116" spans="1:67" ht="15" customHeight="1">
      <c r="A116" s="57" t="s">
        <v>452</v>
      </c>
      <c r="B116" s="18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62"/>
      <c r="U116" s="62"/>
      <c r="V116" s="59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BO116" s="14"/>
    </row>
    <row r="117" spans="1:67" ht="15" customHeight="1">
      <c r="A117" s="87" t="s">
        <v>122</v>
      </c>
      <c r="B117" s="18" t="s">
        <v>102</v>
      </c>
      <c r="C117" s="22"/>
      <c r="D117" s="22"/>
      <c r="E117" s="22"/>
      <c r="F117" s="22"/>
      <c r="G117" s="22"/>
      <c r="H117" s="22"/>
      <c r="I117" s="22"/>
      <c r="J117" s="20">
        <v>20.11</v>
      </c>
      <c r="K117" s="20">
        <v>3.182449426837402</v>
      </c>
      <c r="L117" s="20">
        <v>2.9096521851752044</v>
      </c>
      <c r="M117" s="20">
        <v>6.7006125809559443</v>
      </c>
      <c r="N117" s="20">
        <v>5.152733000041124</v>
      </c>
      <c r="O117" s="20">
        <v>8.1198724789512848</v>
      </c>
      <c r="P117" s="20">
        <v>3</v>
      </c>
      <c r="Q117" s="20">
        <v>6.1083473060740374</v>
      </c>
      <c r="R117" s="20">
        <v>2.8240349899164809</v>
      </c>
      <c r="S117" s="20">
        <v>0.51621424493208889</v>
      </c>
      <c r="T117" s="60">
        <v>7.2124607651490136</v>
      </c>
      <c r="U117" s="60">
        <v>2.7444321409211581</v>
      </c>
      <c r="V117" s="62">
        <v>0</v>
      </c>
      <c r="W117" s="60">
        <v>0</v>
      </c>
      <c r="X117" s="60">
        <v>0</v>
      </c>
      <c r="Y117" s="60">
        <v>0</v>
      </c>
      <c r="Z117" s="60">
        <v>0</v>
      </c>
      <c r="AA117" s="60" t="e">
        <v>#DIV/0!</v>
      </c>
      <c r="AB117" s="60" t="e">
        <v>#DIV/0!</v>
      </c>
      <c r="AC117" s="60" t="e">
        <v>#DIV/0!</v>
      </c>
      <c r="AD117" s="60" t="e">
        <v>#DIV/0!</v>
      </c>
      <c r="AE117" s="60" t="e">
        <v>#DIV/0!</v>
      </c>
      <c r="AF117" s="60" t="e">
        <v>#DIV/0!</v>
      </c>
      <c r="AG117" s="60" t="e">
        <v>#DIV/0!</v>
      </c>
      <c r="AH117" s="60" t="e">
        <v>#DIV/0!</v>
      </c>
      <c r="AI117" s="60" t="e">
        <v>#DIV/0!</v>
      </c>
      <c r="AJ117" s="60" t="e">
        <v>#DIV/0!</v>
      </c>
      <c r="AK117" s="60" t="e">
        <v>#DIV/0!</v>
      </c>
      <c r="AL117" s="60" t="e">
        <v>#DIV/0!</v>
      </c>
      <c r="AM117" s="60">
        <v>0</v>
      </c>
      <c r="BO117" s="30"/>
    </row>
    <row r="118" spans="1:67" ht="15" customHeight="1">
      <c r="A118" s="87" t="s">
        <v>123</v>
      </c>
      <c r="B118" s="18" t="s">
        <v>102</v>
      </c>
      <c r="C118" s="22"/>
      <c r="D118" s="22"/>
      <c r="E118" s="22"/>
      <c r="F118" s="22"/>
      <c r="G118" s="22"/>
      <c r="H118" s="22"/>
      <c r="I118" s="22"/>
      <c r="J118" s="20">
        <v>20.11</v>
      </c>
      <c r="K118" s="20">
        <v>3.182449426837402</v>
      </c>
      <c r="L118" s="20">
        <v>2.9096521851752044</v>
      </c>
      <c r="M118" s="20">
        <v>6.7006125809559443</v>
      </c>
      <c r="N118" s="20">
        <v>5.152733000041124</v>
      </c>
      <c r="O118" s="20">
        <v>8.1198724789512848</v>
      </c>
      <c r="P118" s="20">
        <v>19.012213802630715</v>
      </c>
      <c r="Q118" s="20">
        <v>19.860429382783003</v>
      </c>
      <c r="R118" s="20">
        <v>77.749003073658059</v>
      </c>
      <c r="S118" s="20">
        <v>105.26320473813475</v>
      </c>
      <c r="T118" s="60">
        <v>253.87129102333341</v>
      </c>
      <c r="U118" s="60">
        <v>249.91845698374237</v>
      </c>
      <c r="V118" s="62">
        <v>308</v>
      </c>
      <c r="W118" s="60">
        <v>253.70579481671879</v>
      </c>
      <c r="X118" s="60">
        <v>236.38191736381918</v>
      </c>
      <c r="Y118" s="60">
        <v>292.03198985024579</v>
      </c>
      <c r="Z118" s="60">
        <v>260.49076069116035</v>
      </c>
      <c r="AA118" s="60" t="e">
        <v>#DIV/0!</v>
      </c>
      <c r="AB118" s="60" t="e">
        <v>#DIV/0!</v>
      </c>
      <c r="AC118" s="60" t="e">
        <v>#DIV/0!</v>
      </c>
      <c r="AD118" s="60" t="e">
        <v>#DIV/0!</v>
      </c>
      <c r="AE118" s="60" t="e">
        <v>#DIV/0!</v>
      </c>
      <c r="AF118" s="60" t="e">
        <v>#DIV/0!</v>
      </c>
      <c r="AG118" s="60" t="e">
        <v>#DIV/0!</v>
      </c>
      <c r="AH118" s="60" t="e">
        <v>#DIV/0!</v>
      </c>
      <c r="AI118" s="60" t="e">
        <v>#DIV/0!</v>
      </c>
      <c r="AJ118" s="60" t="e">
        <v>#DIV/0!</v>
      </c>
      <c r="AK118" s="60" t="e">
        <v>#DIV/0!</v>
      </c>
      <c r="AL118" s="60" t="e">
        <v>#DIV/0!</v>
      </c>
      <c r="AM118" s="60">
        <v>260.49076069116035</v>
      </c>
      <c r="BO118" s="30"/>
    </row>
    <row r="119" spans="1:67" ht="15" customHeight="1">
      <c r="A119" s="84" t="s">
        <v>124</v>
      </c>
      <c r="B119" s="18" t="s">
        <v>102</v>
      </c>
      <c r="C119" s="22">
        <v>5.4395606367250862</v>
      </c>
      <c r="D119" s="22">
        <v>7</v>
      </c>
      <c r="E119" s="22">
        <v>3</v>
      </c>
      <c r="F119" s="22">
        <v>2.5619751825749217</v>
      </c>
      <c r="G119" s="22">
        <v>0.51450577129958619</v>
      </c>
      <c r="H119" s="22">
        <v>0.75914353730455009</v>
      </c>
      <c r="I119" s="22">
        <v>0.28089422854941176</v>
      </c>
      <c r="J119" s="22">
        <v>1.6070228768718902</v>
      </c>
      <c r="K119" s="22">
        <v>0.16369856191799492</v>
      </c>
      <c r="L119" s="22">
        <v>6.6581597363627315E-2</v>
      </c>
      <c r="M119" s="22">
        <v>0.36874156096979033</v>
      </c>
      <c r="N119" s="20">
        <v>0.50646162139139583</v>
      </c>
      <c r="O119" s="20">
        <v>0.39120630035263743</v>
      </c>
      <c r="P119" s="20">
        <v>0.40984162884115583</v>
      </c>
      <c r="Q119" s="20">
        <v>0.8335224034220764</v>
      </c>
      <c r="R119" s="20">
        <v>9.5812572975889798E-2</v>
      </c>
      <c r="S119" s="20">
        <v>4.2276166610817623E-2</v>
      </c>
      <c r="T119" s="60">
        <v>8.3648782956295464E-2</v>
      </c>
      <c r="U119" s="60">
        <v>9.6137362917386726E-2</v>
      </c>
      <c r="V119" s="62">
        <v>0</v>
      </c>
      <c r="W119" s="60">
        <v>0</v>
      </c>
      <c r="X119" s="60">
        <v>0</v>
      </c>
      <c r="Y119" s="60">
        <v>9.6286730555744354E-2</v>
      </c>
      <c r="Z119" s="60">
        <v>3.1617583468095532E-2</v>
      </c>
      <c r="AA119" s="60" t="e">
        <v>#DIV/0!</v>
      </c>
      <c r="AB119" s="60" t="e">
        <v>#DIV/0!</v>
      </c>
      <c r="AC119" s="60" t="e">
        <v>#DIV/0!</v>
      </c>
      <c r="AD119" s="60" t="e">
        <v>#DIV/0!</v>
      </c>
      <c r="AE119" s="60" t="e">
        <v>#DIV/0!</v>
      </c>
      <c r="AF119" s="60" t="e">
        <v>#DIV/0!</v>
      </c>
      <c r="AG119" s="60" t="e">
        <v>#DIV/0!</v>
      </c>
      <c r="AH119" s="60" t="e">
        <v>#DIV/0!</v>
      </c>
      <c r="AI119" s="60" t="e">
        <v>#DIV/0!</v>
      </c>
      <c r="AJ119" s="60" t="e">
        <v>#DIV/0!</v>
      </c>
      <c r="AK119" s="60" t="e">
        <v>#DIV/0!</v>
      </c>
      <c r="AL119" s="60" t="e">
        <v>#DIV/0!</v>
      </c>
      <c r="AM119" s="60">
        <v>3.1617583468095532E-2</v>
      </c>
      <c r="BO119" s="14"/>
    </row>
    <row r="120" spans="1:67" ht="15" customHeight="1">
      <c r="A120" s="84" t="s">
        <v>125</v>
      </c>
      <c r="B120" s="18" t="s">
        <v>102</v>
      </c>
      <c r="C120" s="22">
        <v>1.0653052290114686</v>
      </c>
      <c r="D120" s="22">
        <v>2</v>
      </c>
      <c r="E120" s="22">
        <v>5</v>
      </c>
      <c r="F120" s="22">
        <v>10.587847615227016</v>
      </c>
      <c r="G120" s="22">
        <v>7.6651832038984642</v>
      </c>
      <c r="H120" s="22">
        <v>8.0711836552507705</v>
      </c>
      <c r="I120" s="22">
        <v>20.713290118432571</v>
      </c>
      <c r="J120" s="22">
        <v>23.326382133124088</v>
      </c>
      <c r="K120" s="22">
        <v>17.230752845741716</v>
      </c>
      <c r="L120" s="22">
        <v>7.1442700394447485</v>
      </c>
      <c r="M120" s="22">
        <v>4.7017561618100627</v>
      </c>
      <c r="N120" s="21">
        <v>4.9131729807547186</v>
      </c>
      <c r="O120" s="21">
        <v>2.3563420390069649</v>
      </c>
      <c r="P120" s="22">
        <v>2.7644731525018091</v>
      </c>
      <c r="Q120" s="22">
        <v>3.3029622210293899</v>
      </c>
      <c r="R120" s="22">
        <v>3.9816735834992656</v>
      </c>
      <c r="S120" s="22">
        <v>4.4608030958614302</v>
      </c>
      <c r="T120" s="62">
        <v>4.7334150157169841</v>
      </c>
      <c r="U120" s="62">
        <v>4.8552843117723095</v>
      </c>
      <c r="V120" s="59">
        <v>6</v>
      </c>
      <c r="W120" s="62">
        <v>4.6051523593123189</v>
      </c>
      <c r="X120" s="62">
        <v>5.0772700507727002</v>
      </c>
      <c r="Y120" s="62">
        <v>0.97136319354765632</v>
      </c>
      <c r="Z120" s="62">
        <v>3.5699971451181987</v>
      </c>
      <c r="AA120" s="62" t="e">
        <v>#DIV/0!</v>
      </c>
      <c r="AB120" s="62" t="e">
        <v>#DIV/0!</v>
      </c>
      <c r="AC120" s="62" t="e">
        <v>#DIV/0!</v>
      </c>
      <c r="AD120" s="62" t="e">
        <v>#DIV/0!</v>
      </c>
      <c r="AE120" s="62" t="e">
        <v>#DIV/0!</v>
      </c>
      <c r="AF120" s="62" t="e">
        <v>#DIV/0!</v>
      </c>
      <c r="AG120" s="62" t="e">
        <v>#DIV/0!</v>
      </c>
      <c r="AH120" s="62" t="e">
        <v>#DIV/0!</v>
      </c>
      <c r="AI120" s="62" t="e">
        <v>#DIV/0!</v>
      </c>
      <c r="AJ120" s="62" t="e">
        <v>#DIV/0!</v>
      </c>
      <c r="AK120" s="62" t="e">
        <v>#DIV/0!</v>
      </c>
      <c r="AL120" s="62" t="e">
        <v>#DIV/0!</v>
      </c>
      <c r="AM120" s="62">
        <v>3.5699971451181987</v>
      </c>
      <c r="BO120" s="14"/>
    </row>
    <row r="121" spans="1:67" ht="15" customHeight="1">
      <c r="A121" s="84" t="s">
        <v>126</v>
      </c>
      <c r="B121" s="18" t="s">
        <v>41</v>
      </c>
      <c r="C121" s="21">
        <v>71.103264495270352</v>
      </c>
      <c r="D121" s="21">
        <v>71.5</v>
      </c>
      <c r="E121" s="21">
        <v>71.3</v>
      </c>
      <c r="F121" s="21">
        <v>70.043855641143978</v>
      </c>
      <c r="G121" s="21">
        <v>70.949579889861667</v>
      </c>
      <c r="H121" s="21">
        <v>71.849441691195011</v>
      </c>
      <c r="I121" s="21">
        <v>72.142484542389226</v>
      </c>
      <c r="J121" s="21">
        <v>74.004360841788781</v>
      </c>
      <c r="K121" s="21">
        <v>75.65127003641301</v>
      </c>
      <c r="L121" s="21">
        <v>75.766896555151732</v>
      </c>
      <c r="M121" s="21">
        <v>73.001012616675581</v>
      </c>
      <c r="N121" s="21">
        <v>74.491062341955129</v>
      </c>
      <c r="O121" s="21">
        <v>73.517595670555608</v>
      </c>
      <c r="P121" s="20">
        <v>75.290000000000006</v>
      </c>
      <c r="Q121" s="20">
        <v>72.209999999999994</v>
      </c>
      <c r="R121" s="20">
        <v>71.260000000000005</v>
      </c>
      <c r="S121" s="20">
        <v>70.92</v>
      </c>
      <c r="T121" s="60">
        <v>71.23</v>
      </c>
      <c r="U121" s="60">
        <v>73.78431937197152</v>
      </c>
      <c r="V121" s="60">
        <v>65</v>
      </c>
      <c r="W121" s="73">
        <v>74.431048507252328</v>
      </c>
      <c r="X121" s="73">
        <v>75.054159638471248</v>
      </c>
      <c r="Y121" s="73">
        <v>74.299173783699615</v>
      </c>
      <c r="Z121" s="73">
        <v>74.596624437750165</v>
      </c>
      <c r="AA121" s="73" t="s">
        <v>108</v>
      </c>
      <c r="AB121" s="73" t="s">
        <v>108</v>
      </c>
      <c r="AC121" s="73" t="s">
        <v>108</v>
      </c>
      <c r="AD121" s="73" t="s">
        <v>108</v>
      </c>
      <c r="AE121" s="73" t="s">
        <v>108</v>
      </c>
      <c r="AF121" s="73" t="s">
        <v>108</v>
      </c>
      <c r="AG121" s="73" t="s">
        <v>108</v>
      </c>
      <c r="AH121" s="73" t="s">
        <v>108</v>
      </c>
      <c r="AI121" s="73" t="s">
        <v>108</v>
      </c>
      <c r="AJ121" s="73" t="s">
        <v>108</v>
      </c>
      <c r="AK121" s="73" t="s">
        <v>108</v>
      </c>
      <c r="AL121" s="73" t="s">
        <v>108</v>
      </c>
      <c r="AM121" s="73">
        <v>74.596624437750165</v>
      </c>
      <c r="BO121" s="14"/>
    </row>
    <row r="122" spans="1:67" ht="15" customHeight="1">
      <c r="A122" s="84" t="s">
        <v>127</v>
      </c>
      <c r="B122" s="18" t="s">
        <v>41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0">
        <v>1.1200000000000001</v>
      </c>
      <c r="Q122" s="20">
        <v>1.1499999999999999</v>
      </c>
      <c r="R122" s="20">
        <v>4.3899999999999997</v>
      </c>
      <c r="S122" s="20">
        <v>6.01</v>
      </c>
      <c r="T122" s="60">
        <v>14.5</v>
      </c>
      <c r="U122" s="60">
        <v>14.246747560824327</v>
      </c>
      <c r="V122" s="59">
        <v>18.100000000000001</v>
      </c>
      <c r="W122" s="73">
        <v>14.512873790942843</v>
      </c>
      <c r="X122" s="73">
        <v>13.505963636481479</v>
      </c>
      <c r="Y122" s="73">
        <v>16.739327763385432</v>
      </c>
      <c r="Z122" s="73">
        <v>14.905294433210909</v>
      </c>
      <c r="AA122" s="73" t="s">
        <v>108</v>
      </c>
      <c r="AB122" s="73" t="s">
        <v>108</v>
      </c>
      <c r="AC122" s="73" t="s">
        <v>108</v>
      </c>
      <c r="AD122" s="73" t="s">
        <v>108</v>
      </c>
      <c r="AE122" s="73" t="s">
        <v>108</v>
      </c>
      <c r="AF122" s="73" t="s">
        <v>108</v>
      </c>
      <c r="AG122" s="73" t="s">
        <v>108</v>
      </c>
      <c r="AH122" s="73" t="s">
        <v>108</v>
      </c>
      <c r="AI122" s="73" t="s">
        <v>108</v>
      </c>
      <c r="AJ122" s="73" t="s">
        <v>108</v>
      </c>
      <c r="AK122" s="73" t="s">
        <v>108</v>
      </c>
      <c r="AL122" s="73" t="s">
        <v>108</v>
      </c>
      <c r="AM122" s="73">
        <v>14.905294433210909</v>
      </c>
      <c r="BO122" s="14"/>
    </row>
    <row r="123" spans="1:67" ht="15" customHeight="1">
      <c r="A123" s="84" t="s">
        <v>128</v>
      </c>
      <c r="B123" s="18" t="s">
        <v>41</v>
      </c>
      <c r="C123" s="20">
        <v>20.027400473687358</v>
      </c>
      <c r="D123" s="20">
        <v>17</v>
      </c>
      <c r="E123" s="21">
        <v>18</v>
      </c>
      <c r="F123" s="21">
        <v>17.761397183789406</v>
      </c>
      <c r="G123" s="21">
        <v>18.702476439899325</v>
      </c>
      <c r="H123" s="21">
        <v>16.95</v>
      </c>
      <c r="I123" s="21">
        <v>15.562034938104105</v>
      </c>
      <c r="J123" s="20">
        <v>17.982362913385419</v>
      </c>
      <c r="K123" s="20">
        <v>20.217404465515187</v>
      </c>
      <c r="L123" s="20">
        <v>23.545300528436496</v>
      </c>
      <c r="M123" s="20">
        <v>20.866743634337194</v>
      </c>
      <c r="N123" s="21">
        <v>21.4</v>
      </c>
      <c r="O123" s="21">
        <v>19.7</v>
      </c>
      <c r="P123" s="36">
        <v>21.7</v>
      </c>
      <c r="Q123" s="36">
        <v>22.59</v>
      </c>
      <c r="R123" s="36">
        <v>23.08</v>
      </c>
      <c r="S123" s="36">
        <v>23</v>
      </c>
      <c r="T123" s="74">
        <v>20.64</v>
      </c>
      <c r="U123" s="74">
        <v>21.93</v>
      </c>
      <c r="V123" s="59">
        <v>21</v>
      </c>
      <c r="W123" s="73">
        <v>23.1</v>
      </c>
      <c r="X123" s="73">
        <v>24.62</v>
      </c>
      <c r="Y123" s="73">
        <v>23.31</v>
      </c>
      <c r="Z123" s="73">
        <v>21.89</v>
      </c>
      <c r="AA123" s="73">
        <v>0</v>
      </c>
      <c r="AB123" s="73">
        <v>0</v>
      </c>
      <c r="AC123" s="73">
        <v>0</v>
      </c>
      <c r="AD123" s="73">
        <v>22.46</v>
      </c>
      <c r="AE123" s="73">
        <v>0</v>
      </c>
      <c r="AF123" s="73">
        <v>0</v>
      </c>
      <c r="AG123" s="73">
        <v>0</v>
      </c>
      <c r="AH123" s="73">
        <v>0</v>
      </c>
      <c r="AI123" s="73">
        <v>0</v>
      </c>
      <c r="AJ123" s="73">
        <v>0</v>
      </c>
      <c r="AK123" s="73">
        <v>0</v>
      </c>
      <c r="AL123" s="73">
        <v>0</v>
      </c>
      <c r="AM123" s="73">
        <v>23.69</v>
      </c>
      <c r="BO123" s="14"/>
    </row>
    <row r="124" spans="1:67" ht="15" customHeight="1">
      <c r="A124" s="84" t="s">
        <v>129</v>
      </c>
      <c r="B124" s="18" t="s">
        <v>130</v>
      </c>
      <c r="C124" s="22">
        <v>963.66666666666663</v>
      </c>
      <c r="D124" s="22">
        <v>978</v>
      </c>
      <c r="E124" s="22">
        <v>962</v>
      </c>
      <c r="F124" s="22">
        <v>964.08333333333337</v>
      </c>
      <c r="G124" s="22">
        <v>958.08333333333337</v>
      </c>
      <c r="H124" s="22">
        <v>891.91666666666663</v>
      </c>
      <c r="I124" s="22">
        <v>871.58333333333337</v>
      </c>
      <c r="J124" s="22">
        <v>962.58333333333337</v>
      </c>
      <c r="K124" s="22">
        <v>953.16666666666663</v>
      </c>
      <c r="L124" s="22">
        <v>1074.5</v>
      </c>
      <c r="M124" s="22">
        <v>1060.75</v>
      </c>
      <c r="N124" s="22">
        <v>1040.5</v>
      </c>
      <c r="O124" s="22">
        <v>1107.75</v>
      </c>
      <c r="P124" s="22">
        <v>1112</v>
      </c>
      <c r="Q124" s="22">
        <v>1094.1666666666667</v>
      </c>
      <c r="R124" s="22">
        <v>1087.8333333333333</v>
      </c>
      <c r="S124" s="22">
        <v>1097</v>
      </c>
      <c r="T124" s="62">
        <v>1112</v>
      </c>
      <c r="U124" s="62">
        <v>1152</v>
      </c>
      <c r="V124" s="54"/>
      <c r="W124" s="71">
        <v>1170</v>
      </c>
      <c r="X124" s="71">
        <v>1154</v>
      </c>
      <c r="Y124" s="71">
        <v>1140</v>
      </c>
      <c r="Z124" s="71">
        <v>1146</v>
      </c>
      <c r="AA124" s="71">
        <v>0</v>
      </c>
      <c r="AB124" s="71">
        <v>0</v>
      </c>
      <c r="AC124" s="71">
        <v>0</v>
      </c>
      <c r="AD124" s="71">
        <v>1141</v>
      </c>
      <c r="AE124" s="71">
        <v>0</v>
      </c>
      <c r="AF124" s="71">
        <v>0</v>
      </c>
      <c r="AG124" s="71">
        <v>0</v>
      </c>
      <c r="AH124" s="71" t="e">
        <v>#DIV/0!</v>
      </c>
      <c r="AI124" s="71">
        <v>0</v>
      </c>
      <c r="AJ124" s="71">
        <v>0</v>
      </c>
      <c r="AK124" s="71">
        <v>0</v>
      </c>
      <c r="AL124" s="71" t="e">
        <v>#DIV/0!</v>
      </c>
      <c r="AM124" s="71">
        <v>1155</v>
      </c>
      <c r="BO124" s="14"/>
    </row>
    <row r="125" spans="1:67" ht="15" customHeight="1">
      <c r="A125" s="84" t="s">
        <v>131</v>
      </c>
      <c r="B125" s="18" t="s">
        <v>132</v>
      </c>
      <c r="C125" s="22">
        <v>403.26086566478637</v>
      </c>
      <c r="D125" s="22">
        <v>400</v>
      </c>
      <c r="E125" s="22">
        <v>393</v>
      </c>
      <c r="F125" s="22">
        <v>398.35349352950396</v>
      </c>
      <c r="G125" s="22">
        <v>397.69347235960663</v>
      </c>
      <c r="H125" s="22">
        <v>395.46221527890492</v>
      </c>
      <c r="I125" s="22">
        <v>404.43686813572117</v>
      </c>
      <c r="J125" s="22">
        <v>389.1988929186773</v>
      </c>
      <c r="K125" s="22">
        <v>375.32661643290317</v>
      </c>
      <c r="L125" s="22">
        <v>368.02977942744997</v>
      </c>
      <c r="M125" s="22">
        <v>378.81447178072648</v>
      </c>
      <c r="N125" s="22">
        <v>382.48356997315989</v>
      </c>
      <c r="O125" s="22">
        <v>389.88232359989252</v>
      </c>
      <c r="P125" s="22">
        <v>364.62147862506225</v>
      </c>
      <c r="Q125" s="22">
        <v>389.97688733451758</v>
      </c>
      <c r="R125" s="22">
        <v>387.89940561406002</v>
      </c>
      <c r="S125" s="22">
        <v>390.07462410925228</v>
      </c>
      <c r="T125" s="62">
        <v>369.62484557812485</v>
      </c>
      <c r="U125" s="62">
        <v>375.86975356403212</v>
      </c>
      <c r="V125" s="62">
        <v>376</v>
      </c>
      <c r="W125" s="62">
        <v>385.19559473554887</v>
      </c>
      <c r="X125" s="62">
        <v>387.51124887511247</v>
      </c>
      <c r="Y125" s="62">
        <v>381.73723917623869</v>
      </c>
      <c r="Z125" s="62">
        <v>384.83527703977586</v>
      </c>
      <c r="AA125" s="62" t="e">
        <v>#DIV/0!</v>
      </c>
      <c r="AB125" s="62" t="e">
        <v>#DIV/0!</v>
      </c>
      <c r="AC125" s="62" t="e">
        <v>#DIV/0!</v>
      </c>
      <c r="AD125" s="62" t="e">
        <v>#DIV/0!</v>
      </c>
      <c r="AE125" s="62" t="e">
        <v>#DIV/0!</v>
      </c>
      <c r="AF125" s="62" t="e">
        <v>#DIV/0!</v>
      </c>
      <c r="AG125" s="62" t="e">
        <v>#DIV/0!</v>
      </c>
      <c r="AH125" s="62" t="e">
        <v>#DIV/0!</v>
      </c>
      <c r="AI125" s="62" t="e">
        <v>#DIV/0!</v>
      </c>
      <c r="AJ125" s="62" t="e">
        <v>#DIV/0!</v>
      </c>
      <c r="AK125" s="62" t="e">
        <v>#DIV/0!</v>
      </c>
      <c r="AL125" s="62" t="e">
        <v>#DIV/0!</v>
      </c>
      <c r="AM125" s="62">
        <v>384.83527703977586</v>
      </c>
      <c r="BO125" s="14"/>
    </row>
    <row r="126" spans="1:67" ht="15" customHeight="1">
      <c r="A126" s="84" t="s">
        <v>133</v>
      </c>
      <c r="B126" s="18" t="s">
        <v>134</v>
      </c>
      <c r="C126" s="20">
        <v>0.94499999999999995</v>
      </c>
      <c r="D126" s="20">
        <v>0.94</v>
      </c>
      <c r="E126" s="20">
        <v>0.94</v>
      </c>
      <c r="F126" s="20">
        <v>0.93916666666666659</v>
      </c>
      <c r="G126" s="20">
        <v>0.94</v>
      </c>
      <c r="H126" s="20">
        <v>0.94166666666666676</v>
      </c>
      <c r="I126" s="20">
        <v>0.94583333333333341</v>
      </c>
      <c r="J126" s="20">
        <v>0.95916666666666661</v>
      </c>
      <c r="K126" s="20">
        <v>0.97166666666666679</v>
      </c>
      <c r="L126" s="20">
        <v>0.97500000000000009</v>
      </c>
      <c r="M126" s="20">
        <v>1.0691666666666666</v>
      </c>
      <c r="N126" s="20">
        <v>0.99583333333333324</v>
      </c>
      <c r="O126" s="20">
        <v>0.99583333333333346</v>
      </c>
      <c r="P126" s="20">
        <v>0.99416666666666664</v>
      </c>
      <c r="Q126" s="20">
        <v>0.99583333333333346</v>
      </c>
      <c r="R126" s="20">
        <v>1.0016666666666667</v>
      </c>
      <c r="S126" s="20">
        <v>0.99750000000000005</v>
      </c>
      <c r="T126" s="60">
        <v>0.99833333333333341</v>
      </c>
      <c r="U126" s="60">
        <v>0.99916666666666665</v>
      </c>
      <c r="V126" s="54">
        <v>1</v>
      </c>
      <c r="W126" s="59">
        <v>0.99</v>
      </c>
      <c r="X126" s="60">
        <v>0.99</v>
      </c>
      <c r="Y126" s="60">
        <v>0.98</v>
      </c>
      <c r="Z126" s="60">
        <v>0.98666666666666669</v>
      </c>
      <c r="AA126" s="60">
        <v>0</v>
      </c>
      <c r="AB126" s="60">
        <v>0</v>
      </c>
      <c r="AC126" s="60">
        <v>0</v>
      </c>
      <c r="AD126" s="60" t="e">
        <v>#DIV/0!</v>
      </c>
      <c r="AE126" s="60">
        <v>0</v>
      </c>
      <c r="AF126" s="60">
        <v>0</v>
      </c>
      <c r="AG126" s="60">
        <v>0</v>
      </c>
      <c r="AH126" s="60" t="e">
        <v>#DIV/0!</v>
      </c>
      <c r="AI126" s="60">
        <v>0</v>
      </c>
      <c r="AJ126" s="60">
        <v>0</v>
      </c>
      <c r="AK126" s="60">
        <v>0</v>
      </c>
      <c r="AL126" s="60" t="e">
        <v>#DIV/0!</v>
      </c>
      <c r="AM126" s="60">
        <v>0.98666666666666669</v>
      </c>
      <c r="BO126" s="14"/>
    </row>
    <row r="127" spans="1:67" ht="15" customHeight="1">
      <c r="A127" s="84" t="s">
        <v>135</v>
      </c>
      <c r="B127" s="29" t="s">
        <v>136</v>
      </c>
      <c r="C127" s="21">
        <v>10.79749478079332</v>
      </c>
      <c r="D127" s="21">
        <v>10.3</v>
      </c>
      <c r="E127" s="21">
        <v>0.55000000000000004</v>
      </c>
      <c r="F127" s="21">
        <v>0.16636167027116952</v>
      </c>
      <c r="G127" s="21">
        <v>0.3482345319080013</v>
      </c>
      <c r="H127" s="21">
        <v>0.50819672131147542</v>
      </c>
      <c r="I127" s="21">
        <v>0.54036171151301282</v>
      </c>
      <c r="J127" s="20">
        <v>6.2971175166297115</v>
      </c>
      <c r="K127" s="20">
        <v>8.6915382535820491</v>
      </c>
      <c r="L127" s="20">
        <v>1.4276116896204232</v>
      </c>
      <c r="M127" s="20">
        <v>2.1018593371059016</v>
      </c>
      <c r="N127" s="20">
        <v>4.6332046332046328</v>
      </c>
      <c r="O127" s="20">
        <v>9.0511638898735676</v>
      </c>
      <c r="P127" s="20">
        <v>8.4577694820345322</v>
      </c>
      <c r="Q127" s="20">
        <v>5.2607248520710064</v>
      </c>
      <c r="R127" s="20">
        <v>2.5006844939308204</v>
      </c>
      <c r="S127" s="20">
        <v>1.9986675549633577</v>
      </c>
      <c r="T127" s="60">
        <v>0.91443500979751791</v>
      </c>
      <c r="U127" s="60">
        <v>1.3095238095238095</v>
      </c>
      <c r="V127" s="54">
        <v>0</v>
      </c>
      <c r="W127" s="60">
        <v>0.71599045346062051</v>
      </c>
      <c r="X127" s="60">
        <v>0.8009153318077803</v>
      </c>
      <c r="Y127" s="60">
        <v>1.3853904282115868</v>
      </c>
      <c r="Z127" s="60">
        <v>0.95770151636073431</v>
      </c>
      <c r="AA127" s="60" t="e">
        <v>#DIV/0!</v>
      </c>
      <c r="AB127" s="60" t="e">
        <v>#DIV/0!</v>
      </c>
      <c r="AC127" s="60" t="e">
        <v>#DIV/0!</v>
      </c>
      <c r="AD127" s="60" t="e">
        <v>#DIV/0!</v>
      </c>
      <c r="AE127" s="60" t="e">
        <v>#DIV/0!</v>
      </c>
      <c r="AF127" s="60" t="e">
        <v>#DIV/0!</v>
      </c>
      <c r="AG127" s="60" t="e">
        <v>#DIV/0!</v>
      </c>
      <c r="AH127" s="60" t="e">
        <v>#DIV/0!</v>
      </c>
      <c r="AI127" s="60" t="e">
        <v>#DIV/0!</v>
      </c>
      <c r="AJ127" s="60" t="e">
        <v>#DIV/0!</v>
      </c>
      <c r="AK127" s="60" t="e">
        <v>#DIV/0!</v>
      </c>
      <c r="AL127" s="60" t="e">
        <v>#DIV/0!</v>
      </c>
      <c r="AM127" s="60">
        <v>0.95770151636073431</v>
      </c>
      <c r="BO127" s="14"/>
    </row>
    <row r="128" spans="1:67" ht="15" customHeight="1">
      <c r="A128" s="84" t="s">
        <v>137</v>
      </c>
      <c r="B128" s="29" t="s">
        <v>138</v>
      </c>
      <c r="C128" s="21">
        <v>47.181628392484342</v>
      </c>
      <c r="D128" s="21">
        <v>49.8</v>
      </c>
      <c r="E128" s="21">
        <v>61.12</v>
      </c>
      <c r="F128" s="20">
        <v>70.944934287140242</v>
      </c>
      <c r="G128" s="20">
        <v>71.266601878846785</v>
      </c>
      <c r="H128" s="20">
        <v>69.393442622950815</v>
      </c>
      <c r="I128" s="20">
        <v>62.891486546096168</v>
      </c>
      <c r="J128" s="20">
        <v>30.820399113082043</v>
      </c>
      <c r="K128" s="20">
        <v>22.992700729927009</v>
      </c>
      <c r="L128" s="20">
        <v>7.5075579442391671</v>
      </c>
      <c r="M128" s="20">
        <v>11.479385610347617</v>
      </c>
      <c r="N128" s="20">
        <v>14.624984431436044</v>
      </c>
      <c r="O128" s="20">
        <v>17.523336878175588</v>
      </c>
      <c r="P128" s="20">
        <v>8.0377974801679901</v>
      </c>
      <c r="Q128" s="20">
        <v>6.3239644970414206</v>
      </c>
      <c r="R128" s="20">
        <v>4.4720270146938033</v>
      </c>
      <c r="S128" s="20">
        <v>4.9217188540972687</v>
      </c>
      <c r="T128" s="60">
        <v>5.9998133806102452</v>
      </c>
      <c r="U128" s="60">
        <v>7.3809523809523814</v>
      </c>
      <c r="V128" s="54">
        <v>0</v>
      </c>
      <c r="W128" s="60">
        <v>6.6825775656324584</v>
      </c>
      <c r="X128" s="60">
        <v>2.8604118993135015</v>
      </c>
      <c r="Y128" s="60">
        <v>7.0528967254408066</v>
      </c>
      <c r="Z128" s="60">
        <v>5.4668794892258576</v>
      </c>
      <c r="AA128" s="60" t="e">
        <v>#DIV/0!</v>
      </c>
      <c r="AB128" s="60" t="e">
        <v>#DIV/0!</v>
      </c>
      <c r="AC128" s="60" t="e">
        <v>#DIV/0!</v>
      </c>
      <c r="AD128" s="60" t="e">
        <v>#DIV/0!</v>
      </c>
      <c r="AE128" s="60" t="e">
        <v>#DIV/0!</v>
      </c>
      <c r="AF128" s="60" t="e">
        <v>#DIV/0!</v>
      </c>
      <c r="AG128" s="60" t="e">
        <v>#DIV/0!</v>
      </c>
      <c r="AH128" s="60" t="e">
        <v>#DIV/0!</v>
      </c>
      <c r="AI128" s="60" t="e">
        <v>#DIV/0!</v>
      </c>
      <c r="AJ128" s="60" t="e">
        <v>#DIV/0!</v>
      </c>
      <c r="AK128" s="60" t="e">
        <v>#DIV/0!</v>
      </c>
      <c r="AL128" s="60" t="e">
        <v>#DIV/0!</v>
      </c>
      <c r="AM128" s="60">
        <v>5.4668794892258576</v>
      </c>
      <c r="BO128" s="14"/>
    </row>
    <row r="129" spans="1:169" ht="15" customHeight="1">
      <c r="A129" s="84" t="s">
        <v>139</v>
      </c>
      <c r="B129" s="29"/>
      <c r="C129" s="21"/>
      <c r="D129" s="21"/>
      <c r="E129" s="21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60"/>
      <c r="U129" s="60"/>
      <c r="V129" s="54"/>
      <c r="W129" s="60"/>
      <c r="X129" s="60"/>
      <c r="Y129" s="60"/>
      <c r="Z129" s="60"/>
      <c r="AA129" s="60"/>
      <c r="AB129" s="60"/>
      <c r="AC129" s="60">
        <v>0</v>
      </c>
      <c r="AD129" s="60">
        <v>0</v>
      </c>
      <c r="AE129" s="60">
        <v>0</v>
      </c>
      <c r="AF129" s="60">
        <v>0</v>
      </c>
      <c r="AG129" s="60">
        <v>0</v>
      </c>
      <c r="AH129" s="60">
        <v>0</v>
      </c>
      <c r="AI129" s="60">
        <v>0</v>
      </c>
      <c r="AJ129" s="60">
        <v>0</v>
      </c>
      <c r="AK129" s="60">
        <v>0</v>
      </c>
      <c r="AL129" s="60">
        <v>0</v>
      </c>
      <c r="AM129" s="60"/>
      <c r="BO129" s="14"/>
      <c r="DW129" s="11">
        <v>0</v>
      </c>
      <c r="DX129" s="11">
        <v>0</v>
      </c>
      <c r="DY129" s="11">
        <v>0</v>
      </c>
      <c r="DZ129" s="11">
        <v>0</v>
      </c>
      <c r="EA129" s="11">
        <v>0</v>
      </c>
      <c r="EB129" s="11">
        <v>0</v>
      </c>
      <c r="EC129" s="11">
        <v>0</v>
      </c>
      <c r="ED129" s="11">
        <v>0</v>
      </c>
      <c r="EE129" s="11">
        <v>0</v>
      </c>
      <c r="EF129" s="11">
        <v>0</v>
      </c>
      <c r="EG129" s="11">
        <v>0</v>
      </c>
      <c r="EH129" s="11">
        <v>0</v>
      </c>
      <c r="EI129" s="11">
        <v>0</v>
      </c>
      <c r="EJ129" s="11">
        <v>0</v>
      </c>
      <c r="EK129" s="11">
        <v>0</v>
      </c>
      <c r="EL129" s="11">
        <v>0</v>
      </c>
      <c r="EM129" s="11">
        <v>0</v>
      </c>
      <c r="EN129" s="11">
        <v>0</v>
      </c>
      <c r="EO129" s="11">
        <v>0</v>
      </c>
      <c r="EP129" s="11">
        <v>0</v>
      </c>
      <c r="EQ129" s="11">
        <v>0</v>
      </c>
      <c r="ER129" s="11">
        <v>0</v>
      </c>
      <c r="ES129" s="11">
        <v>0</v>
      </c>
      <c r="ET129" s="11">
        <v>0</v>
      </c>
      <c r="EU129" s="11">
        <v>0</v>
      </c>
      <c r="EV129" s="11">
        <v>0</v>
      </c>
      <c r="EW129" s="11">
        <v>0</v>
      </c>
      <c r="EX129" s="11">
        <v>0</v>
      </c>
      <c r="EY129" s="11">
        <v>0</v>
      </c>
      <c r="EZ129" s="11">
        <v>0</v>
      </c>
      <c r="FA129" s="11">
        <v>0</v>
      </c>
      <c r="FB129" s="11">
        <v>0</v>
      </c>
      <c r="FC129" s="11">
        <v>0</v>
      </c>
      <c r="FD129" s="11">
        <v>0</v>
      </c>
      <c r="FE129" s="11">
        <v>0</v>
      </c>
      <c r="FF129" s="11">
        <v>0</v>
      </c>
      <c r="FG129" s="11">
        <v>0</v>
      </c>
      <c r="FH129" s="11">
        <v>0</v>
      </c>
      <c r="FI129" s="11">
        <v>0</v>
      </c>
      <c r="FJ129" s="11">
        <v>0</v>
      </c>
      <c r="FK129" s="11">
        <v>0</v>
      </c>
      <c r="FL129" s="11">
        <v>0</v>
      </c>
      <c r="FM129" s="11">
        <v>0</v>
      </c>
    </row>
    <row r="130" spans="1:169" ht="15" customHeight="1">
      <c r="A130" s="84" t="s">
        <v>331</v>
      </c>
      <c r="B130" s="29" t="s">
        <v>41</v>
      </c>
      <c r="C130" s="21">
        <v>0</v>
      </c>
      <c r="D130" s="21">
        <v>0</v>
      </c>
      <c r="E130" s="21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60">
        <v>3.18</v>
      </c>
      <c r="U130" s="60">
        <v>4.45</v>
      </c>
      <c r="V130" s="54">
        <v>4.5</v>
      </c>
      <c r="W130" s="60">
        <v>4.67</v>
      </c>
      <c r="X130" s="60">
        <v>3.56</v>
      </c>
      <c r="Y130" s="60">
        <v>5.03</v>
      </c>
      <c r="Z130" s="60">
        <v>4.42</v>
      </c>
      <c r="AA130" s="60">
        <v>0</v>
      </c>
      <c r="AB130" s="60">
        <v>0</v>
      </c>
      <c r="AC130" s="60">
        <v>0</v>
      </c>
      <c r="AD130" s="60">
        <v>4.6100000000000003</v>
      </c>
      <c r="AE130" s="60">
        <v>0</v>
      </c>
      <c r="AF130" s="60">
        <v>0</v>
      </c>
      <c r="AG130" s="60">
        <v>0</v>
      </c>
      <c r="AH130" s="60">
        <v>0</v>
      </c>
      <c r="AI130" s="60">
        <v>0</v>
      </c>
      <c r="AJ130" s="60">
        <v>0</v>
      </c>
      <c r="AK130" s="60">
        <v>0</v>
      </c>
      <c r="AL130" s="60">
        <v>0</v>
      </c>
      <c r="AM130" s="60">
        <v>4.42</v>
      </c>
      <c r="BO130" s="14"/>
      <c r="DW130" s="11">
        <v>0</v>
      </c>
      <c r="DX130" s="11">
        <v>0</v>
      </c>
      <c r="DY130" s="11">
        <v>0</v>
      </c>
      <c r="DZ130" s="11">
        <v>0</v>
      </c>
      <c r="EA130" s="11">
        <v>0</v>
      </c>
      <c r="EB130" s="11">
        <v>0</v>
      </c>
      <c r="EC130" s="11">
        <v>0</v>
      </c>
      <c r="ED130" s="11">
        <v>0</v>
      </c>
      <c r="EE130" s="11">
        <v>0</v>
      </c>
      <c r="EF130" s="11">
        <v>0</v>
      </c>
      <c r="EG130" s="11">
        <v>0</v>
      </c>
      <c r="EH130" s="11">
        <v>0</v>
      </c>
      <c r="EI130" s="11">
        <v>0</v>
      </c>
      <c r="EJ130" s="11">
        <v>0</v>
      </c>
      <c r="EK130" s="11">
        <v>0</v>
      </c>
      <c r="EL130" s="11">
        <v>0</v>
      </c>
      <c r="EM130" s="11">
        <v>0</v>
      </c>
      <c r="EN130" s="11">
        <v>0</v>
      </c>
      <c r="EO130" s="11">
        <v>0</v>
      </c>
      <c r="EP130" s="11">
        <v>0</v>
      </c>
      <c r="EQ130" s="11">
        <v>0</v>
      </c>
      <c r="ER130" s="11">
        <v>0</v>
      </c>
      <c r="ES130" s="11">
        <v>0</v>
      </c>
      <c r="ET130" s="11">
        <v>0</v>
      </c>
      <c r="EU130" s="11">
        <v>0</v>
      </c>
      <c r="EV130" s="11">
        <v>0</v>
      </c>
      <c r="EW130" s="11">
        <v>0</v>
      </c>
      <c r="EX130" s="11">
        <v>0</v>
      </c>
      <c r="EY130" s="11">
        <v>0</v>
      </c>
      <c r="EZ130" s="11">
        <v>0</v>
      </c>
      <c r="FA130" s="11">
        <v>0</v>
      </c>
      <c r="FB130" s="11">
        <v>0</v>
      </c>
      <c r="FC130" s="11">
        <v>0</v>
      </c>
      <c r="FD130" s="11">
        <v>0</v>
      </c>
      <c r="FE130" s="11">
        <v>0</v>
      </c>
      <c r="FF130" s="11">
        <v>0</v>
      </c>
      <c r="FG130" s="11">
        <v>0</v>
      </c>
      <c r="FH130" s="11">
        <v>0</v>
      </c>
      <c r="FI130" s="11">
        <v>0</v>
      </c>
      <c r="FJ130" s="11">
        <v>0</v>
      </c>
      <c r="FK130" s="11">
        <v>0</v>
      </c>
      <c r="FL130" s="11">
        <v>0</v>
      </c>
      <c r="FM130" s="11">
        <v>0</v>
      </c>
    </row>
    <row r="131" spans="1:169" ht="15" hidden="1" customHeight="1">
      <c r="A131" s="84" t="s">
        <v>332</v>
      </c>
      <c r="B131" s="29"/>
      <c r="C131" s="21"/>
      <c r="D131" s="21"/>
      <c r="E131" s="21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60"/>
      <c r="U131" s="60">
        <v>0</v>
      </c>
      <c r="V131" s="54">
        <v>3</v>
      </c>
      <c r="W131" s="60">
        <v>0</v>
      </c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>
        <v>0</v>
      </c>
      <c r="BO131" s="14"/>
    </row>
    <row r="132" spans="1:169" ht="15" customHeight="1">
      <c r="A132" s="84" t="s">
        <v>333</v>
      </c>
      <c r="B132" s="29" t="s">
        <v>41</v>
      </c>
      <c r="C132" s="21">
        <v>0</v>
      </c>
      <c r="D132" s="21">
        <v>0</v>
      </c>
      <c r="E132" s="21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60">
        <v>6.76</v>
      </c>
      <c r="U132" s="60">
        <v>6.93</v>
      </c>
      <c r="V132" s="54">
        <v>8</v>
      </c>
      <c r="W132" s="60">
        <v>7.16</v>
      </c>
      <c r="X132" s="60">
        <v>6.57</v>
      </c>
      <c r="Y132" s="60">
        <v>6.85</v>
      </c>
      <c r="Z132" s="60">
        <v>6.86</v>
      </c>
      <c r="AA132" s="60">
        <v>0</v>
      </c>
      <c r="AB132" s="60">
        <v>0</v>
      </c>
      <c r="AC132" s="60">
        <v>0</v>
      </c>
      <c r="AD132" s="60">
        <v>6.83</v>
      </c>
      <c r="AE132" s="60">
        <v>0</v>
      </c>
      <c r="AF132" s="60">
        <v>0</v>
      </c>
      <c r="AG132" s="60">
        <v>0</v>
      </c>
      <c r="AH132" s="60">
        <v>0</v>
      </c>
      <c r="AI132" s="60">
        <v>0</v>
      </c>
      <c r="AJ132" s="60">
        <v>0</v>
      </c>
      <c r="AK132" s="60">
        <v>0</v>
      </c>
      <c r="AL132" s="60">
        <v>0</v>
      </c>
      <c r="AM132" s="60">
        <v>6.86</v>
      </c>
      <c r="BO132" s="14"/>
      <c r="DW132" s="11">
        <v>0</v>
      </c>
      <c r="DX132" s="11">
        <v>0</v>
      </c>
      <c r="DY132" s="11">
        <v>0</v>
      </c>
      <c r="DZ132" s="11">
        <v>0</v>
      </c>
      <c r="EA132" s="11">
        <v>0</v>
      </c>
      <c r="EB132" s="11">
        <v>0</v>
      </c>
      <c r="EC132" s="11">
        <v>0</v>
      </c>
      <c r="ED132" s="11">
        <v>0</v>
      </c>
      <c r="EE132" s="11">
        <v>0</v>
      </c>
      <c r="EF132" s="11">
        <v>0</v>
      </c>
      <c r="EG132" s="11">
        <v>0</v>
      </c>
      <c r="EH132" s="11">
        <v>0</v>
      </c>
      <c r="EI132" s="11">
        <v>0</v>
      </c>
      <c r="EJ132" s="11">
        <v>0</v>
      </c>
      <c r="EK132" s="11">
        <v>0</v>
      </c>
      <c r="EL132" s="11">
        <v>0</v>
      </c>
      <c r="EM132" s="11">
        <v>0</v>
      </c>
      <c r="EN132" s="11">
        <v>0</v>
      </c>
      <c r="EO132" s="11">
        <v>0</v>
      </c>
      <c r="EP132" s="11">
        <v>0</v>
      </c>
      <c r="EQ132" s="11">
        <v>0</v>
      </c>
      <c r="ER132" s="11">
        <v>0</v>
      </c>
      <c r="ES132" s="11">
        <v>0</v>
      </c>
      <c r="ET132" s="11">
        <v>0</v>
      </c>
      <c r="EU132" s="11">
        <v>0</v>
      </c>
      <c r="EV132" s="11">
        <v>0</v>
      </c>
      <c r="EW132" s="11">
        <v>0</v>
      </c>
      <c r="EX132" s="11">
        <v>0</v>
      </c>
      <c r="EY132" s="11">
        <v>0</v>
      </c>
      <c r="EZ132" s="11">
        <v>0</v>
      </c>
      <c r="FA132" s="11">
        <v>0</v>
      </c>
      <c r="FB132" s="11">
        <v>0</v>
      </c>
      <c r="FC132" s="11">
        <v>0</v>
      </c>
      <c r="FD132" s="11">
        <v>0</v>
      </c>
      <c r="FE132" s="11">
        <v>0</v>
      </c>
      <c r="FF132" s="11">
        <v>0</v>
      </c>
      <c r="FG132" s="11">
        <v>0</v>
      </c>
      <c r="FH132" s="11">
        <v>0</v>
      </c>
      <c r="FI132" s="11">
        <v>0</v>
      </c>
      <c r="FJ132" s="11">
        <v>0</v>
      </c>
      <c r="FK132" s="11">
        <v>0</v>
      </c>
      <c r="FL132" s="11">
        <v>0</v>
      </c>
      <c r="FM132" s="11">
        <v>0</v>
      </c>
    </row>
    <row r="133" spans="1:169" ht="15" customHeight="1">
      <c r="A133" s="84" t="s">
        <v>334</v>
      </c>
      <c r="B133" s="29" t="s">
        <v>41</v>
      </c>
      <c r="C133" s="21">
        <v>0</v>
      </c>
      <c r="D133" s="21">
        <v>0</v>
      </c>
      <c r="E133" s="21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60">
        <v>5.48</v>
      </c>
      <c r="U133" s="60">
        <v>6.22</v>
      </c>
      <c r="V133" s="54">
        <v>6.37</v>
      </c>
      <c r="W133" s="60">
        <v>6.46</v>
      </c>
      <c r="X133" s="60">
        <v>5.72</v>
      </c>
      <c r="Y133" s="60">
        <v>6.3</v>
      </c>
      <c r="Z133" s="60">
        <v>6.16</v>
      </c>
      <c r="AA133" s="60">
        <v>0</v>
      </c>
      <c r="AB133" s="60">
        <v>0</v>
      </c>
      <c r="AC133" s="60">
        <v>0</v>
      </c>
      <c r="AD133" s="60">
        <v>6.18</v>
      </c>
      <c r="AE133" s="60">
        <v>0</v>
      </c>
      <c r="AF133" s="60">
        <v>0</v>
      </c>
      <c r="AG133" s="60">
        <v>0</v>
      </c>
      <c r="AH133" s="60">
        <v>0</v>
      </c>
      <c r="AI133" s="60">
        <v>0</v>
      </c>
      <c r="AJ133" s="60">
        <v>0</v>
      </c>
      <c r="AK133" s="60">
        <v>0</v>
      </c>
      <c r="AL133" s="60">
        <v>0</v>
      </c>
      <c r="AM133" s="60">
        <v>6.16</v>
      </c>
      <c r="BO133" s="14"/>
      <c r="DW133" s="11">
        <v>0</v>
      </c>
      <c r="DX133" s="11">
        <v>0</v>
      </c>
      <c r="DY133" s="11">
        <v>0</v>
      </c>
      <c r="DZ133" s="11">
        <v>0</v>
      </c>
      <c r="EA133" s="11">
        <v>0</v>
      </c>
      <c r="EB133" s="11">
        <v>0</v>
      </c>
      <c r="EC133" s="11">
        <v>0</v>
      </c>
      <c r="ED133" s="11">
        <v>0</v>
      </c>
      <c r="EE133" s="11">
        <v>0</v>
      </c>
      <c r="EF133" s="11">
        <v>0</v>
      </c>
      <c r="EG133" s="11">
        <v>0</v>
      </c>
      <c r="EH133" s="11">
        <v>0</v>
      </c>
      <c r="EI133" s="11">
        <v>0</v>
      </c>
      <c r="EJ133" s="11">
        <v>0</v>
      </c>
      <c r="EK133" s="11">
        <v>0</v>
      </c>
      <c r="EL133" s="11">
        <v>0</v>
      </c>
      <c r="EM133" s="11">
        <v>0</v>
      </c>
      <c r="EN133" s="11">
        <v>0</v>
      </c>
      <c r="EO133" s="11">
        <v>0</v>
      </c>
      <c r="EP133" s="11">
        <v>0</v>
      </c>
      <c r="EQ133" s="11">
        <v>0</v>
      </c>
      <c r="ER133" s="11">
        <v>0</v>
      </c>
      <c r="ES133" s="11">
        <v>0</v>
      </c>
      <c r="ET133" s="11">
        <v>0</v>
      </c>
      <c r="EU133" s="11">
        <v>0</v>
      </c>
      <c r="EV133" s="11">
        <v>0</v>
      </c>
      <c r="EW133" s="11">
        <v>0</v>
      </c>
      <c r="EX133" s="11">
        <v>0</v>
      </c>
      <c r="EY133" s="11">
        <v>0</v>
      </c>
      <c r="EZ133" s="11">
        <v>0</v>
      </c>
      <c r="FA133" s="11">
        <v>0</v>
      </c>
      <c r="FB133" s="11">
        <v>0</v>
      </c>
      <c r="FC133" s="11">
        <v>0</v>
      </c>
      <c r="FD133" s="11">
        <v>0</v>
      </c>
      <c r="FE133" s="11">
        <v>0</v>
      </c>
      <c r="FF133" s="11">
        <v>0</v>
      </c>
      <c r="FG133" s="11">
        <v>0</v>
      </c>
      <c r="FH133" s="11">
        <v>0</v>
      </c>
      <c r="FI133" s="11">
        <v>0</v>
      </c>
      <c r="FJ133" s="11">
        <v>0</v>
      </c>
      <c r="FK133" s="11">
        <v>0</v>
      </c>
      <c r="FL133" s="11">
        <v>0</v>
      </c>
      <c r="FM133" s="11">
        <v>0</v>
      </c>
    </row>
    <row r="134" spans="1:169" ht="15" customHeight="1">
      <c r="A134" s="84" t="s">
        <v>140</v>
      </c>
      <c r="B134" s="29"/>
      <c r="C134" s="21"/>
      <c r="D134" s="21"/>
      <c r="E134" s="21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60"/>
      <c r="U134" s="60"/>
      <c r="V134" s="54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BO134" s="14"/>
      <c r="DW134" s="11">
        <v>0</v>
      </c>
      <c r="DX134" s="11">
        <v>0</v>
      </c>
      <c r="DY134" s="11">
        <v>0</v>
      </c>
      <c r="DZ134" s="11">
        <v>0</v>
      </c>
      <c r="EA134" s="11">
        <v>0</v>
      </c>
      <c r="EB134" s="11">
        <v>0</v>
      </c>
      <c r="EC134" s="11">
        <v>0</v>
      </c>
      <c r="ED134" s="11">
        <v>0</v>
      </c>
      <c r="EE134" s="11">
        <v>0</v>
      </c>
      <c r="EF134" s="11">
        <v>0</v>
      </c>
      <c r="EG134" s="11">
        <v>0</v>
      </c>
      <c r="EH134" s="11">
        <v>0</v>
      </c>
      <c r="EI134" s="11">
        <v>0</v>
      </c>
      <c r="EJ134" s="11">
        <v>0</v>
      </c>
      <c r="EK134" s="11">
        <v>0</v>
      </c>
      <c r="EL134" s="11">
        <v>0</v>
      </c>
      <c r="EM134" s="11">
        <v>0</v>
      </c>
      <c r="EN134" s="11">
        <v>0</v>
      </c>
      <c r="EO134" s="11">
        <v>0</v>
      </c>
      <c r="EP134" s="11">
        <v>0</v>
      </c>
      <c r="EQ134" s="11">
        <v>0</v>
      </c>
      <c r="ER134" s="11">
        <v>0</v>
      </c>
      <c r="ES134" s="11">
        <v>0</v>
      </c>
      <c r="ET134" s="11">
        <v>0</v>
      </c>
      <c r="EU134" s="11">
        <v>0</v>
      </c>
      <c r="EV134" s="11">
        <v>0</v>
      </c>
      <c r="EW134" s="11">
        <v>0</v>
      </c>
      <c r="EX134" s="11">
        <v>0</v>
      </c>
      <c r="EY134" s="11">
        <v>0</v>
      </c>
      <c r="EZ134" s="11">
        <v>0</v>
      </c>
      <c r="FA134" s="11">
        <v>0</v>
      </c>
      <c r="FB134" s="11">
        <v>0</v>
      </c>
      <c r="FC134" s="11">
        <v>0</v>
      </c>
      <c r="FD134" s="11">
        <v>0</v>
      </c>
      <c r="FE134" s="11">
        <v>0</v>
      </c>
      <c r="FF134" s="11">
        <v>0</v>
      </c>
      <c r="FG134" s="11">
        <v>0</v>
      </c>
      <c r="FH134" s="11">
        <v>0</v>
      </c>
      <c r="FI134" s="11">
        <v>0</v>
      </c>
      <c r="FJ134" s="11">
        <v>0</v>
      </c>
      <c r="FK134" s="11">
        <v>0</v>
      </c>
      <c r="FL134" s="11">
        <v>0</v>
      </c>
      <c r="FM134" s="11">
        <v>0</v>
      </c>
    </row>
    <row r="135" spans="1:169" ht="15" customHeight="1">
      <c r="A135" s="84" t="s">
        <v>331</v>
      </c>
      <c r="B135" s="29" t="s">
        <v>41</v>
      </c>
      <c r="C135" s="21">
        <v>0</v>
      </c>
      <c r="D135" s="21">
        <v>0</v>
      </c>
      <c r="E135" s="21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60">
        <v>1105</v>
      </c>
      <c r="U135" s="60">
        <v>1138</v>
      </c>
      <c r="V135" s="54">
        <v>1150</v>
      </c>
      <c r="W135" s="62">
        <v>1152</v>
      </c>
      <c r="X135" s="62">
        <v>1125</v>
      </c>
      <c r="Y135" s="62">
        <v>1126</v>
      </c>
      <c r="Z135" s="62">
        <v>1134</v>
      </c>
      <c r="AA135" s="62">
        <v>0</v>
      </c>
      <c r="AB135" s="62">
        <v>0</v>
      </c>
      <c r="AC135" s="62">
        <v>0</v>
      </c>
      <c r="AD135" s="62">
        <v>1131</v>
      </c>
      <c r="AE135" s="62">
        <v>0</v>
      </c>
      <c r="AF135" s="62">
        <v>0</v>
      </c>
      <c r="AG135" s="62">
        <v>0</v>
      </c>
      <c r="AH135" s="62">
        <v>0</v>
      </c>
      <c r="AI135" s="62">
        <v>0</v>
      </c>
      <c r="AJ135" s="62">
        <v>0</v>
      </c>
      <c r="AK135" s="62">
        <v>0</v>
      </c>
      <c r="AL135" s="62">
        <v>0</v>
      </c>
      <c r="AM135" s="62">
        <v>1134</v>
      </c>
      <c r="BO135" s="14"/>
      <c r="DW135" s="11">
        <v>0</v>
      </c>
      <c r="DX135" s="11">
        <v>0</v>
      </c>
      <c r="DY135" s="11">
        <v>0</v>
      </c>
      <c r="DZ135" s="11">
        <v>0</v>
      </c>
      <c r="EA135" s="11">
        <v>0</v>
      </c>
      <c r="EB135" s="11">
        <v>0</v>
      </c>
      <c r="EC135" s="11">
        <v>0</v>
      </c>
      <c r="ED135" s="11">
        <v>0</v>
      </c>
      <c r="EE135" s="11">
        <v>0</v>
      </c>
      <c r="EF135" s="11">
        <v>0</v>
      </c>
      <c r="EG135" s="11">
        <v>0</v>
      </c>
      <c r="EH135" s="11">
        <v>0</v>
      </c>
      <c r="EI135" s="11">
        <v>0</v>
      </c>
      <c r="EJ135" s="11">
        <v>0</v>
      </c>
      <c r="EK135" s="11">
        <v>0</v>
      </c>
      <c r="EL135" s="11">
        <v>0</v>
      </c>
      <c r="EM135" s="11">
        <v>0</v>
      </c>
      <c r="EN135" s="11">
        <v>0</v>
      </c>
      <c r="EO135" s="11">
        <v>0</v>
      </c>
      <c r="EP135" s="11">
        <v>0</v>
      </c>
      <c r="EQ135" s="11">
        <v>0</v>
      </c>
      <c r="ER135" s="11">
        <v>0</v>
      </c>
      <c r="ES135" s="11">
        <v>0</v>
      </c>
      <c r="ET135" s="11">
        <v>0</v>
      </c>
      <c r="EU135" s="11">
        <v>0</v>
      </c>
      <c r="EV135" s="11">
        <v>0</v>
      </c>
      <c r="EW135" s="11">
        <v>0</v>
      </c>
      <c r="EX135" s="11">
        <v>0</v>
      </c>
      <c r="EY135" s="11">
        <v>0</v>
      </c>
      <c r="EZ135" s="11">
        <v>0</v>
      </c>
      <c r="FA135" s="11">
        <v>0</v>
      </c>
      <c r="FB135" s="11">
        <v>0</v>
      </c>
      <c r="FC135" s="11">
        <v>0</v>
      </c>
      <c r="FD135" s="11">
        <v>0</v>
      </c>
      <c r="FE135" s="11">
        <v>0</v>
      </c>
      <c r="FF135" s="11">
        <v>0</v>
      </c>
      <c r="FG135" s="11">
        <v>0</v>
      </c>
      <c r="FH135" s="11">
        <v>0</v>
      </c>
      <c r="FI135" s="11">
        <v>0</v>
      </c>
      <c r="FJ135" s="11">
        <v>0</v>
      </c>
      <c r="FK135" s="11">
        <v>0</v>
      </c>
      <c r="FL135" s="11">
        <v>0</v>
      </c>
      <c r="FM135" s="11">
        <v>0</v>
      </c>
    </row>
    <row r="136" spans="1:169" ht="15" hidden="1" customHeight="1">
      <c r="A136" s="84" t="s">
        <v>332</v>
      </c>
      <c r="B136" s="29"/>
      <c r="C136" s="21"/>
      <c r="D136" s="21"/>
      <c r="E136" s="21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60"/>
      <c r="U136" s="60"/>
      <c r="V136" s="54">
        <v>960</v>
      </c>
      <c r="W136" s="62">
        <v>0</v>
      </c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>
        <v>0</v>
      </c>
      <c r="BO136" s="14"/>
    </row>
    <row r="137" spans="1:169" ht="15" customHeight="1">
      <c r="A137" s="84" t="s">
        <v>333</v>
      </c>
      <c r="B137" s="29" t="s">
        <v>41</v>
      </c>
      <c r="C137" s="21">
        <v>0</v>
      </c>
      <c r="D137" s="21">
        <v>0</v>
      </c>
      <c r="E137" s="21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60">
        <v>1126</v>
      </c>
      <c r="U137" s="60">
        <v>1158</v>
      </c>
      <c r="V137" s="54">
        <v>1200</v>
      </c>
      <c r="W137" s="62">
        <v>1177</v>
      </c>
      <c r="X137" s="62">
        <v>1166</v>
      </c>
      <c r="Y137" s="62">
        <v>1127</v>
      </c>
      <c r="Z137" s="62">
        <v>1157</v>
      </c>
      <c r="AA137" s="62">
        <v>0</v>
      </c>
      <c r="AB137" s="62">
        <v>0</v>
      </c>
      <c r="AC137" s="62">
        <v>0</v>
      </c>
      <c r="AD137" s="62">
        <v>1147</v>
      </c>
      <c r="AE137" s="62">
        <v>0</v>
      </c>
      <c r="AF137" s="62">
        <v>0</v>
      </c>
      <c r="AG137" s="62">
        <v>0</v>
      </c>
      <c r="AH137" s="62">
        <v>0</v>
      </c>
      <c r="AI137" s="62">
        <v>0</v>
      </c>
      <c r="AJ137" s="62">
        <v>0</v>
      </c>
      <c r="AK137" s="62">
        <v>0</v>
      </c>
      <c r="AL137" s="62">
        <v>0</v>
      </c>
      <c r="AM137" s="62">
        <v>1157</v>
      </c>
      <c r="BO137" s="14"/>
      <c r="DW137" s="11">
        <v>0</v>
      </c>
      <c r="DX137" s="11">
        <v>0</v>
      </c>
      <c r="DY137" s="11">
        <v>0</v>
      </c>
      <c r="DZ137" s="11">
        <v>0</v>
      </c>
      <c r="EA137" s="11">
        <v>0</v>
      </c>
      <c r="EB137" s="11">
        <v>0</v>
      </c>
      <c r="EC137" s="11">
        <v>0</v>
      </c>
      <c r="ED137" s="11">
        <v>0</v>
      </c>
      <c r="EE137" s="11">
        <v>0</v>
      </c>
      <c r="EF137" s="11">
        <v>0</v>
      </c>
      <c r="EG137" s="11">
        <v>0</v>
      </c>
      <c r="EH137" s="11">
        <v>0</v>
      </c>
      <c r="EI137" s="11">
        <v>0</v>
      </c>
      <c r="EJ137" s="11">
        <v>0</v>
      </c>
      <c r="EK137" s="11">
        <v>0</v>
      </c>
      <c r="EL137" s="11">
        <v>0</v>
      </c>
      <c r="EM137" s="11">
        <v>0</v>
      </c>
      <c r="EN137" s="11">
        <v>0</v>
      </c>
      <c r="EO137" s="11">
        <v>0</v>
      </c>
      <c r="EP137" s="11">
        <v>0</v>
      </c>
      <c r="EQ137" s="11">
        <v>0</v>
      </c>
      <c r="ER137" s="11">
        <v>0</v>
      </c>
      <c r="ES137" s="11">
        <v>0</v>
      </c>
      <c r="ET137" s="11">
        <v>0</v>
      </c>
      <c r="EU137" s="11">
        <v>0</v>
      </c>
      <c r="EV137" s="11">
        <v>0</v>
      </c>
      <c r="EW137" s="11">
        <v>0</v>
      </c>
      <c r="EX137" s="11">
        <v>0</v>
      </c>
      <c r="EY137" s="11">
        <v>0</v>
      </c>
      <c r="EZ137" s="11">
        <v>0</v>
      </c>
      <c r="FA137" s="11">
        <v>0</v>
      </c>
      <c r="FB137" s="11">
        <v>0</v>
      </c>
      <c r="FC137" s="11">
        <v>0</v>
      </c>
      <c r="FD137" s="11">
        <v>0</v>
      </c>
      <c r="FE137" s="11">
        <v>0</v>
      </c>
      <c r="FF137" s="11">
        <v>0</v>
      </c>
      <c r="FG137" s="11">
        <v>0</v>
      </c>
      <c r="FH137" s="11">
        <v>0</v>
      </c>
      <c r="FI137" s="11">
        <v>0</v>
      </c>
      <c r="FJ137" s="11">
        <v>0</v>
      </c>
      <c r="FK137" s="11">
        <v>0</v>
      </c>
      <c r="FL137" s="11">
        <v>0</v>
      </c>
      <c r="FM137" s="11">
        <v>0</v>
      </c>
    </row>
    <row r="138" spans="1:169" ht="15" customHeight="1">
      <c r="A138" s="84" t="s">
        <v>334</v>
      </c>
      <c r="B138" s="29" t="s">
        <v>41</v>
      </c>
      <c r="C138" s="21">
        <v>0</v>
      </c>
      <c r="D138" s="21">
        <v>0</v>
      </c>
      <c r="E138" s="21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60">
        <v>1112</v>
      </c>
      <c r="U138" s="60">
        <v>1152</v>
      </c>
      <c r="V138" s="54">
        <v>1145</v>
      </c>
      <c r="W138" s="62">
        <v>1170</v>
      </c>
      <c r="X138" s="62">
        <v>1154</v>
      </c>
      <c r="Y138" s="62">
        <v>1140</v>
      </c>
      <c r="Z138" s="62">
        <v>1155</v>
      </c>
      <c r="AA138" s="62">
        <v>0</v>
      </c>
      <c r="AB138" s="62">
        <v>0</v>
      </c>
      <c r="AC138" s="62">
        <v>0</v>
      </c>
      <c r="AD138" s="62">
        <v>1141</v>
      </c>
      <c r="AE138" s="62">
        <v>0</v>
      </c>
      <c r="AF138" s="62">
        <v>0</v>
      </c>
      <c r="AG138" s="62">
        <v>0</v>
      </c>
      <c r="AH138" s="62">
        <v>0</v>
      </c>
      <c r="AI138" s="62">
        <v>0</v>
      </c>
      <c r="AJ138" s="62">
        <v>0</v>
      </c>
      <c r="AK138" s="62">
        <v>0</v>
      </c>
      <c r="AL138" s="62">
        <v>0</v>
      </c>
      <c r="AM138" s="62">
        <v>1155</v>
      </c>
      <c r="BO138" s="14"/>
      <c r="DW138" s="11">
        <v>0</v>
      </c>
      <c r="DX138" s="11">
        <v>0</v>
      </c>
      <c r="DY138" s="11">
        <v>0</v>
      </c>
      <c r="DZ138" s="11">
        <v>0</v>
      </c>
      <c r="EA138" s="11">
        <v>0</v>
      </c>
      <c r="EB138" s="11">
        <v>0</v>
      </c>
      <c r="EC138" s="11">
        <v>0</v>
      </c>
      <c r="ED138" s="11">
        <v>0</v>
      </c>
      <c r="EE138" s="11">
        <v>0</v>
      </c>
      <c r="EF138" s="11">
        <v>0</v>
      </c>
      <c r="EG138" s="11">
        <v>0</v>
      </c>
      <c r="EH138" s="11">
        <v>0</v>
      </c>
      <c r="EI138" s="11">
        <v>0</v>
      </c>
      <c r="EJ138" s="11">
        <v>0</v>
      </c>
      <c r="EK138" s="11">
        <v>0</v>
      </c>
      <c r="EL138" s="11">
        <v>0</v>
      </c>
      <c r="EM138" s="11">
        <v>0</v>
      </c>
      <c r="EN138" s="11">
        <v>0</v>
      </c>
      <c r="EO138" s="11">
        <v>0</v>
      </c>
      <c r="EP138" s="11">
        <v>0</v>
      </c>
      <c r="EQ138" s="11">
        <v>0</v>
      </c>
      <c r="ER138" s="11">
        <v>0</v>
      </c>
      <c r="ES138" s="11">
        <v>0</v>
      </c>
      <c r="ET138" s="11">
        <v>0</v>
      </c>
      <c r="EU138" s="11">
        <v>0</v>
      </c>
      <c r="EV138" s="11">
        <v>0</v>
      </c>
      <c r="EW138" s="11">
        <v>0</v>
      </c>
      <c r="EX138" s="11">
        <v>0</v>
      </c>
      <c r="EY138" s="11">
        <v>0</v>
      </c>
      <c r="EZ138" s="11">
        <v>0</v>
      </c>
      <c r="FA138" s="11">
        <v>0</v>
      </c>
      <c r="FB138" s="11">
        <v>0</v>
      </c>
      <c r="FC138" s="11">
        <v>0</v>
      </c>
      <c r="FD138" s="11">
        <v>0</v>
      </c>
      <c r="FE138" s="11">
        <v>0</v>
      </c>
      <c r="FF138" s="11">
        <v>0</v>
      </c>
      <c r="FG138" s="11">
        <v>0</v>
      </c>
      <c r="FH138" s="11">
        <v>0</v>
      </c>
      <c r="FI138" s="11">
        <v>0</v>
      </c>
      <c r="FJ138" s="11">
        <v>0</v>
      </c>
      <c r="FK138" s="11">
        <v>0</v>
      </c>
      <c r="FL138" s="11">
        <v>0</v>
      </c>
      <c r="FM138" s="11">
        <v>0</v>
      </c>
    </row>
    <row r="139" spans="1:169" ht="15" customHeight="1">
      <c r="A139" s="84" t="s">
        <v>141</v>
      </c>
      <c r="B139" s="29"/>
      <c r="C139" s="21"/>
      <c r="D139" s="21"/>
      <c r="E139" s="21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60"/>
      <c r="U139" s="60"/>
      <c r="V139" s="54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BO139" s="14"/>
      <c r="DW139" s="11">
        <v>0</v>
      </c>
      <c r="DX139" s="11">
        <v>0</v>
      </c>
      <c r="DY139" s="11">
        <v>0</v>
      </c>
      <c r="DZ139" s="11">
        <v>0</v>
      </c>
      <c r="EA139" s="11">
        <v>0</v>
      </c>
      <c r="EB139" s="11">
        <v>0</v>
      </c>
      <c r="EC139" s="11">
        <v>0</v>
      </c>
      <c r="ED139" s="11">
        <v>0</v>
      </c>
      <c r="EE139" s="11">
        <v>0</v>
      </c>
      <c r="EF139" s="11">
        <v>0</v>
      </c>
      <c r="EG139" s="11">
        <v>0</v>
      </c>
      <c r="EH139" s="11">
        <v>0</v>
      </c>
      <c r="EI139" s="11">
        <v>0</v>
      </c>
      <c r="EJ139" s="11">
        <v>0</v>
      </c>
      <c r="EK139" s="11">
        <v>0</v>
      </c>
      <c r="EL139" s="11">
        <v>0</v>
      </c>
      <c r="EM139" s="11">
        <v>0</v>
      </c>
      <c r="EN139" s="11">
        <v>0</v>
      </c>
      <c r="EO139" s="11">
        <v>0</v>
      </c>
      <c r="EP139" s="11">
        <v>0</v>
      </c>
      <c r="EQ139" s="11">
        <v>0</v>
      </c>
      <c r="ER139" s="11">
        <v>0</v>
      </c>
      <c r="ES139" s="11">
        <v>0</v>
      </c>
      <c r="ET139" s="11">
        <v>0</v>
      </c>
      <c r="EU139" s="11">
        <v>0</v>
      </c>
      <c r="EV139" s="11">
        <v>0</v>
      </c>
      <c r="EW139" s="11">
        <v>0</v>
      </c>
      <c r="EX139" s="11">
        <v>0</v>
      </c>
      <c r="EY139" s="11">
        <v>0</v>
      </c>
      <c r="EZ139" s="11">
        <v>0</v>
      </c>
      <c r="FA139" s="11">
        <v>0</v>
      </c>
      <c r="FB139" s="11">
        <v>0</v>
      </c>
      <c r="FC139" s="11">
        <v>0</v>
      </c>
      <c r="FD139" s="11">
        <v>0</v>
      </c>
      <c r="FE139" s="11">
        <v>0</v>
      </c>
      <c r="FF139" s="11">
        <v>0</v>
      </c>
      <c r="FG139" s="11">
        <v>0</v>
      </c>
      <c r="FH139" s="11">
        <v>0</v>
      </c>
      <c r="FI139" s="11">
        <v>0</v>
      </c>
      <c r="FJ139" s="11">
        <v>0</v>
      </c>
      <c r="FK139" s="11">
        <v>0</v>
      </c>
      <c r="FL139" s="11">
        <v>0</v>
      </c>
      <c r="FM139" s="11">
        <v>0</v>
      </c>
    </row>
    <row r="140" spans="1:169" ht="15" customHeight="1">
      <c r="A140" s="84" t="s">
        <v>331</v>
      </c>
      <c r="B140" s="29">
        <v>0</v>
      </c>
      <c r="C140" s="21">
        <v>0</v>
      </c>
      <c r="D140" s="21">
        <v>0</v>
      </c>
      <c r="E140" s="21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60">
        <v>0.73</v>
      </c>
      <c r="U140" s="60">
        <v>0.73</v>
      </c>
      <c r="V140" s="54"/>
      <c r="W140" s="60">
        <v>0.69</v>
      </c>
      <c r="X140" s="60">
        <v>0.73</v>
      </c>
      <c r="Y140" s="60">
        <v>0.71</v>
      </c>
      <c r="Z140" s="60">
        <v>0.71</v>
      </c>
      <c r="AA140" s="60">
        <v>0</v>
      </c>
      <c r="AB140" s="60">
        <v>0</v>
      </c>
      <c r="AC140" s="60">
        <v>0</v>
      </c>
      <c r="AD140" s="60">
        <v>0.73999999999999988</v>
      </c>
      <c r="AE140" s="60">
        <v>0</v>
      </c>
      <c r="AF140" s="60">
        <v>0</v>
      </c>
      <c r="AG140" s="60">
        <v>0</v>
      </c>
      <c r="AH140" s="60">
        <v>0</v>
      </c>
      <c r="AI140" s="60">
        <v>0</v>
      </c>
      <c r="AJ140" s="60">
        <v>0</v>
      </c>
      <c r="AK140" s="60">
        <v>0</v>
      </c>
      <c r="AL140" s="60">
        <v>0</v>
      </c>
      <c r="AM140" s="60">
        <v>0.71</v>
      </c>
      <c r="BO140" s="14"/>
      <c r="DW140" s="11">
        <v>0</v>
      </c>
      <c r="DX140" s="11">
        <v>0</v>
      </c>
      <c r="DY140" s="11">
        <v>0</v>
      </c>
      <c r="DZ140" s="11">
        <v>0</v>
      </c>
      <c r="EA140" s="11">
        <v>0</v>
      </c>
      <c r="EB140" s="11">
        <v>0</v>
      </c>
      <c r="EC140" s="11">
        <v>0</v>
      </c>
      <c r="ED140" s="11">
        <v>0</v>
      </c>
      <c r="EE140" s="11">
        <v>0</v>
      </c>
      <c r="EF140" s="11">
        <v>0</v>
      </c>
      <c r="EG140" s="11">
        <v>0</v>
      </c>
      <c r="EH140" s="11">
        <v>0</v>
      </c>
      <c r="EI140" s="11">
        <v>0</v>
      </c>
      <c r="EJ140" s="11">
        <v>0</v>
      </c>
      <c r="EK140" s="11">
        <v>0</v>
      </c>
      <c r="EL140" s="11">
        <v>0</v>
      </c>
      <c r="EM140" s="11">
        <v>0</v>
      </c>
      <c r="EN140" s="11">
        <v>0</v>
      </c>
      <c r="EO140" s="11">
        <v>0</v>
      </c>
      <c r="EP140" s="11">
        <v>0</v>
      </c>
      <c r="EQ140" s="11">
        <v>0</v>
      </c>
      <c r="ER140" s="11">
        <v>0</v>
      </c>
      <c r="ES140" s="11">
        <v>0</v>
      </c>
      <c r="ET140" s="11">
        <v>0</v>
      </c>
      <c r="EU140" s="11">
        <v>0</v>
      </c>
      <c r="EV140" s="11">
        <v>0</v>
      </c>
      <c r="EW140" s="11">
        <v>0</v>
      </c>
      <c r="EX140" s="11">
        <v>0</v>
      </c>
      <c r="EY140" s="11">
        <v>0</v>
      </c>
      <c r="EZ140" s="11">
        <v>0</v>
      </c>
      <c r="FA140" s="11">
        <v>0</v>
      </c>
      <c r="FB140" s="11">
        <v>0</v>
      </c>
      <c r="FC140" s="11">
        <v>0</v>
      </c>
      <c r="FD140" s="11">
        <v>0</v>
      </c>
      <c r="FE140" s="11">
        <v>0</v>
      </c>
      <c r="FF140" s="11">
        <v>0</v>
      </c>
      <c r="FG140" s="11">
        <v>0</v>
      </c>
      <c r="FH140" s="11">
        <v>0</v>
      </c>
      <c r="FI140" s="11">
        <v>0</v>
      </c>
      <c r="FJ140" s="11">
        <v>0</v>
      </c>
      <c r="FK140" s="11">
        <v>0</v>
      </c>
      <c r="FL140" s="11">
        <v>0</v>
      </c>
      <c r="FM140" s="11">
        <v>0</v>
      </c>
    </row>
    <row r="141" spans="1:169" ht="15" hidden="1" customHeight="1">
      <c r="A141" s="84" t="s">
        <v>332</v>
      </c>
      <c r="B141" s="29"/>
      <c r="C141" s="21"/>
      <c r="D141" s="21"/>
      <c r="E141" s="21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60"/>
      <c r="U141" s="60"/>
      <c r="V141" s="54"/>
      <c r="W141" s="60">
        <v>0</v>
      </c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>
        <v>0</v>
      </c>
      <c r="BO141" s="14"/>
    </row>
    <row r="142" spans="1:169" ht="15" customHeight="1">
      <c r="A142" s="84" t="s">
        <v>333</v>
      </c>
      <c r="B142" s="29">
        <v>0</v>
      </c>
      <c r="C142" s="21">
        <v>0</v>
      </c>
      <c r="D142" s="21">
        <v>0</v>
      </c>
      <c r="E142" s="21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60">
        <v>0.65</v>
      </c>
      <c r="U142" s="60">
        <v>0.65</v>
      </c>
      <c r="V142" s="54"/>
      <c r="W142" s="60">
        <v>0.59</v>
      </c>
      <c r="X142" s="60">
        <v>0.65</v>
      </c>
      <c r="Y142" s="60">
        <v>0.63</v>
      </c>
      <c r="Z142" s="60">
        <v>0.62</v>
      </c>
      <c r="AA142" s="60">
        <v>0</v>
      </c>
      <c r="AB142" s="60">
        <v>0</v>
      </c>
      <c r="AC142" s="60">
        <v>0</v>
      </c>
      <c r="AD142" s="60">
        <v>0.66666666666666663</v>
      </c>
      <c r="AE142" s="60">
        <v>0</v>
      </c>
      <c r="AF142" s="60">
        <v>0</v>
      </c>
      <c r="AG142" s="60">
        <v>0</v>
      </c>
      <c r="AH142" s="60">
        <v>0</v>
      </c>
      <c r="AI142" s="60">
        <v>0</v>
      </c>
      <c r="AJ142" s="60">
        <v>0</v>
      </c>
      <c r="AK142" s="60">
        <v>0</v>
      </c>
      <c r="AL142" s="60">
        <v>0</v>
      </c>
      <c r="AM142" s="60">
        <v>0.62</v>
      </c>
      <c r="BO142" s="14"/>
      <c r="DW142" s="11">
        <v>0</v>
      </c>
      <c r="DX142" s="11">
        <v>0</v>
      </c>
      <c r="DY142" s="11">
        <v>0</v>
      </c>
      <c r="DZ142" s="11">
        <v>0</v>
      </c>
      <c r="EA142" s="11">
        <v>0</v>
      </c>
      <c r="EB142" s="11">
        <v>0</v>
      </c>
      <c r="EC142" s="11">
        <v>0</v>
      </c>
      <c r="ED142" s="11">
        <v>0</v>
      </c>
      <c r="EE142" s="11">
        <v>0</v>
      </c>
      <c r="EF142" s="11">
        <v>0</v>
      </c>
      <c r="EG142" s="11">
        <v>0</v>
      </c>
      <c r="EH142" s="11">
        <v>0</v>
      </c>
      <c r="EI142" s="11">
        <v>0</v>
      </c>
      <c r="EJ142" s="11">
        <v>0</v>
      </c>
      <c r="EK142" s="11">
        <v>0</v>
      </c>
      <c r="EL142" s="11">
        <v>0</v>
      </c>
      <c r="EM142" s="11">
        <v>0</v>
      </c>
      <c r="EN142" s="11">
        <v>0</v>
      </c>
      <c r="EO142" s="11">
        <v>0</v>
      </c>
      <c r="EP142" s="11">
        <v>0</v>
      </c>
      <c r="EQ142" s="11">
        <v>0</v>
      </c>
      <c r="ER142" s="11">
        <v>0</v>
      </c>
      <c r="ES142" s="11">
        <v>0</v>
      </c>
      <c r="ET142" s="11">
        <v>0</v>
      </c>
      <c r="EU142" s="11">
        <v>0</v>
      </c>
      <c r="EV142" s="11">
        <v>0</v>
      </c>
      <c r="EW142" s="11">
        <v>0</v>
      </c>
      <c r="EX142" s="11">
        <v>0</v>
      </c>
      <c r="EY142" s="11">
        <v>0</v>
      </c>
      <c r="EZ142" s="11">
        <v>0</v>
      </c>
      <c r="FA142" s="11">
        <v>0</v>
      </c>
      <c r="FB142" s="11">
        <v>0</v>
      </c>
      <c r="FC142" s="11">
        <v>0</v>
      </c>
      <c r="FD142" s="11">
        <v>0</v>
      </c>
      <c r="FE142" s="11">
        <v>0</v>
      </c>
      <c r="FF142" s="11">
        <v>0</v>
      </c>
      <c r="FG142" s="11">
        <v>0</v>
      </c>
      <c r="FH142" s="11">
        <v>0</v>
      </c>
      <c r="FI142" s="11">
        <v>0</v>
      </c>
      <c r="FJ142" s="11">
        <v>0</v>
      </c>
      <c r="FK142" s="11">
        <v>0</v>
      </c>
      <c r="FL142" s="11">
        <v>0</v>
      </c>
      <c r="FM142" s="11">
        <v>0</v>
      </c>
    </row>
    <row r="143" spans="1:169" ht="15" customHeight="1">
      <c r="A143" s="84" t="s">
        <v>334</v>
      </c>
      <c r="B143" s="29">
        <v>0</v>
      </c>
      <c r="C143" s="21">
        <v>0</v>
      </c>
      <c r="D143" s="21">
        <v>0</v>
      </c>
      <c r="E143" s="21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60">
        <v>0.68</v>
      </c>
      <c r="U143" s="60">
        <v>0.68</v>
      </c>
      <c r="V143" s="54"/>
      <c r="W143" s="60">
        <v>0.62</v>
      </c>
      <c r="X143" s="60">
        <v>0.65</v>
      </c>
      <c r="Y143" s="60">
        <v>0.66</v>
      </c>
      <c r="Z143" s="60">
        <v>0.64</v>
      </c>
      <c r="AA143" s="60">
        <v>0</v>
      </c>
      <c r="AB143" s="60">
        <v>0</v>
      </c>
      <c r="AC143" s="60">
        <v>0</v>
      </c>
      <c r="AD143" s="60">
        <v>0.69666666666666666</v>
      </c>
      <c r="AE143" s="60">
        <v>0</v>
      </c>
      <c r="AF143" s="60">
        <v>0</v>
      </c>
      <c r="AG143" s="60">
        <v>0</v>
      </c>
      <c r="AH143" s="60">
        <v>0</v>
      </c>
      <c r="AI143" s="60">
        <v>0</v>
      </c>
      <c r="AJ143" s="60">
        <v>0</v>
      </c>
      <c r="AK143" s="60">
        <v>0</v>
      </c>
      <c r="AL143" s="60">
        <v>0</v>
      </c>
      <c r="AM143" s="60">
        <v>0.64</v>
      </c>
      <c r="BO143" s="14"/>
      <c r="DW143" s="11">
        <v>0</v>
      </c>
      <c r="DX143" s="11">
        <v>0</v>
      </c>
      <c r="DY143" s="11">
        <v>0</v>
      </c>
      <c r="DZ143" s="11">
        <v>0</v>
      </c>
      <c r="EA143" s="11">
        <v>0</v>
      </c>
      <c r="EB143" s="11">
        <v>0</v>
      </c>
      <c r="EC143" s="11">
        <v>0</v>
      </c>
      <c r="ED143" s="11">
        <v>0</v>
      </c>
      <c r="EE143" s="11">
        <v>0</v>
      </c>
      <c r="EF143" s="11">
        <v>0</v>
      </c>
      <c r="EG143" s="11">
        <v>0</v>
      </c>
      <c r="EH143" s="11">
        <v>0</v>
      </c>
      <c r="EI143" s="11">
        <v>0</v>
      </c>
      <c r="EJ143" s="11">
        <v>0</v>
      </c>
      <c r="EK143" s="11">
        <v>0</v>
      </c>
      <c r="EL143" s="11">
        <v>0</v>
      </c>
      <c r="EM143" s="11">
        <v>0</v>
      </c>
      <c r="EN143" s="11">
        <v>0</v>
      </c>
      <c r="EO143" s="11">
        <v>0</v>
      </c>
      <c r="EP143" s="11">
        <v>0</v>
      </c>
      <c r="EQ143" s="11">
        <v>0</v>
      </c>
      <c r="ER143" s="11">
        <v>0</v>
      </c>
      <c r="ES143" s="11">
        <v>0</v>
      </c>
      <c r="ET143" s="11">
        <v>0</v>
      </c>
      <c r="EU143" s="11">
        <v>0</v>
      </c>
      <c r="EV143" s="11">
        <v>0</v>
      </c>
      <c r="EW143" s="11">
        <v>0</v>
      </c>
      <c r="EX143" s="11">
        <v>0</v>
      </c>
      <c r="EY143" s="11">
        <v>0</v>
      </c>
      <c r="EZ143" s="11">
        <v>0</v>
      </c>
      <c r="FA143" s="11">
        <v>0</v>
      </c>
      <c r="FB143" s="11">
        <v>0</v>
      </c>
      <c r="FC143" s="11">
        <v>0</v>
      </c>
      <c r="FD143" s="11">
        <v>0</v>
      </c>
      <c r="FE143" s="11">
        <v>0</v>
      </c>
      <c r="FF143" s="11">
        <v>0</v>
      </c>
      <c r="FG143" s="11">
        <v>0</v>
      </c>
      <c r="FH143" s="11">
        <v>0</v>
      </c>
      <c r="FI143" s="11">
        <v>0</v>
      </c>
      <c r="FJ143" s="11">
        <v>0</v>
      </c>
      <c r="FK143" s="11">
        <v>0</v>
      </c>
      <c r="FL143" s="11">
        <v>0</v>
      </c>
      <c r="FM143" s="11">
        <v>0</v>
      </c>
    </row>
    <row r="144" spans="1:169" ht="15" customHeight="1">
      <c r="A144" s="84" t="s">
        <v>142</v>
      </c>
      <c r="B144" s="18" t="s">
        <v>143</v>
      </c>
      <c r="C144" s="21"/>
      <c r="D144" s="21"/>
      <c r="E144" s="22">
        <v>1560</v>
      </c>
      <c r="F144" s="22">
        <v>1555</v>
      </c>
      <c r="G144" s="22">
        <v>1541</v>
      </c>
      <c r="H144" s="22">
        <v>1563</v>
      </c>
      <c r="I144" s="22">
        <v>1584</v>
      </c>
      <c r="J144" s="22">
        <v>1610.5318444270076</v>
      </c>
      <c r="K144" s="22">
        <v>1642</v>
      </c>
      <c r="L144" s="22">
        <v>1636.6584053772074</v>
      </c>
      <c r="M144" s="22">
        <v>1630.3531543972731</v>
      </c>
      <c r="N144" s="22">
        <v>1625.2017179553548</v>
      </c>
      <c r="O144" s="22">
        <v>1660.7289569358559</v>
      </c>
      <c r="P144" s="22">
        <v>1688.2110230169146</v>
      </c>
      <c r="Q144" s="22">
        <v>1693.1691113587672</v>
      </c>
      <c r="R144" s="22">
        <v>1697.5249833540026</v>
      </c>
      <c r="S144" s="22">
        <v>1700.3678214455078</v>
      </c>
      <c r="T144" s="62">
        <v>1676.0370815842439</v>
      </c>
      <c r="U144" s="62">
        <v>1650.0124318518556</v>
      </c>
      <c r="V144" s="62">
        <v>1650</v>
      </c>
      <c r="W144" s="62">
        <v>1657.9517317028269</v>
      </c>
      <c r="X144" s="62">
        <v>1658.12464389408</v>
      </c>
      <c r="Y144" s="62">
        <v>1653.7790195218581</v>
      </c>
      <c r="Z144" s="62">
        <v>1656.6394344808441</v>
      </c>
      <c r="AA144" s="62" t="e">
        <v>#DIV/0!</v>
      </c>
      <c r="AB144" s="62" t="e">
        <v>#DIV/0!</v>
      </c>
      <c r="AC144" s="62" t="e">
        <v>#DIV/0!</v>
      </c>
      <c r="AD144" s="62" t="e">
        <v>#DIV/0!</v>
      </c>
      <c r="AE144" s="62" t="e">
        <v>#DIV/0!</v>
      </c>
      <c r="AF144" s="62" t="e">
        <v>#DIV/0!</v>
      </c>
      <c r="AG144" s="62" t="e">
        <v>#DIV/0!</v>
      </c>
      <c r="AH144" s="62" t="e">
        <v>#DIV/0!</v>
      </c>
      <c r="AI144" s="62" t="e">
        <v>#DIV/0!</v>
      </c>
      <c r="AJ144" s="62" t="e">
        <v>#DIV/0!</v>
      </c>
      <c r="AK144" s="62" t="e">
        <v>#DIV/0!</v>
      </c>
      <c r="AL144" s="62" t="e">
        <v>#DIV/0!</v>
      </c>
      <c r="AM144" s="62">
        <v>1656.6394344808441</v>
      </c>
      <c r="BO144" s="14"/>
      <c r="DW144" s="11">
        <v>0</v>
      </c>
      <c r="DX144" s="11">
        <v>0</v>
      </c>
      <c r="DY144" s="11">
        <v>0</v>
      </c>
      <c r="DZ144" s="11">
        <v>0</v>
      </c>
      <c r="EA144" s="11">
        <v>0</v>
      </c>
      <c r="EB144" s="11">
        <v>0</v>
      </c>
      <c r="EC144" s="11">
        <v>0</v>
      </c>
      <c r="ED144" s="11">
        <v>0</v>
      </c>
      <c r="EE144" s="11">
        <v>0</v>
      </c>
      <c r="EF144" s="11">
        <v>0</v>
      </c>
      <c r="EG144" s="11">
        <v>0</v>
      </c>
      <c r="EH144" s="11">
        <v>0</v>
      </c>
      <c r="EI144" s="11">
        <v>0</v>
      </c>
      <c r="EJ144" s="11">
        <v>0</v>
      </c>
      <c r="EK144" s="11">
        <v>0</v>
      </c>
      <c r="EL144" s="11">
        <v>0</v>
      </c>
      <c r="EM144" s="11">
        <v>0</v>
      </c>
      <c r="EN144" s="11">
        <v>0</v>
      </c>
      <c r="EO144" s="11">
        <v>0</v>
      </c>
      <c r="EP144" s="11">
        <v>0</v>
      </c>
      <c r="EQ144" s="11">
        <v>0</v>
      </c>
      <c r="ER144" s="11">
        <v>0</v>
      </c>
      <c r="ES144" s="11">
        <v>0</v>
      </c>
      <c r="ET144" s="11">
        <v>0</v>
      </c>
      <c r="EU144" s="11">
        <v>0</v>
      </c>
      <c r="EV144" s="11">
        <v>0</v>
      </c>
      <c r="EW144" s="11">
        <v>0</v>
      </c>
      <c r="EX144" s="11">
        <v>0</v>
      </c>
      <c r="EY144" s="11">
        <v>0</v>
      </c>
      <c r="EZ144" s="11">
        <v>0</v>
      </c>
      <c r="FA144" s="11">
        <v>0</v>
      </c>
      <c r="FB144" s="11">
        <v>0</v>
      </c>
      <c r="FC144" s="11">
        <v>0</v>
      </c>
      <c r="FD144" s="11">
        <v>0</v>
      </c>
      <c r="FE144" s="11">
        <v>0</v>
      </c>
      <c r="FF144" s="11">
        <v>0</v>
      </c>
      <c r="FG144" s="11">
        <v>0</v>
      </c>
      <c r="FH144" s="11">
        <v>0</v>
      </c>
      <c r="FI144" s="11">
        <v>0</v>
      </c>
      <c r="FJ144" s="11">
        <v>0</v>
      </c>
      <c r="FK144" s="11">
        <v>0</v>
      </c>
      <c r="FL144" s="11">
        <v>0</v>
      </c>
      <c r="FM144" s="11">
        <v>0</v>
      </c>
    </row>
    <row r="145" spans="1:79" ht="15" customHeight="1">
      <c r="A145" s="84" t="s">
        <v>144</v>
      </c>
      <c r="B145" s="18" t="s">
        <v>145</v>
      </c>
      <c r="C145" s="22">
        <v>2895.1175105874854</v>
      </c>
      <c r="D145" s="22">
        <v>2875</v>
      </c>
      <c r="E145" s="22">
        <v>2919</v>
      </c>
      <c r="F145" s="22">
        <v>2938.7661319374406</v>
      </c>
      <c r="G145" s="22">
        <v>2915.0141341395788</v>
      </c>
      <c r="H145" s="22">
        <v>2975.9918575554966</v>
      </c>
      <c r="I145" s="22">
        <v>2994.429158169004</v>
      </c>
      <c r="J145" s="22">
        <v>3254.88834058267</v>
      </c>
      <c r="K145" s="22">
        <v>3540</v>
      </c>
      <c r="L145" s="22">
        <v>3915.5181372791603</v>
      </c>
      <c r="M145" s="22">
        <v>3978.2050339615985</v>
      </c>
      <c r="N145" s="22">
        <v>3890.9442421125941</v>
      </c>
      <c r="O145" s="22">
        <v>3778.5178364175385</v>
      </c>
      <c r="P145" s="22">
        <v>4068.3863434912287</v>
      </c>
      <c r="Q145" s="22">
        <v>3994.3894414224269</v>
      </c>
      <c r="R145" s="22">
        <v>4087.9720610272507</v>
      </c>
      <c r="S145" s="22">
        <v>4094.0233400536085</v>
      </c>
      <c r="T145" s="62">
        <v>4291.0110980450099</v>
      </c>
      <c r="U145" s="62">
        <v>4277.8646967082896</v>
      </c>
      <c r="V145" s="62"/>
      <c r="W145" s="62">
        <v>4227.1041092892519</v>
      </c>
      <c r="X145" s="62">
        <v>4186.8679334365397</v>
      </c>
      <c r="Y145" s="62">
        <v>4237.5567248737543</v>
      </c>
      <c r="Z145" s="62">
        <v>4216.9335327428425</v>
      </c>
      <c r="AA145" s="62" t="e">
        <v>#DIV/0!</v>
      </c>
      <c r="AB145" s="62" t="e">
        <v>#DIV/0!</v>
      </c>
      <c r="AC145" s="62" t="e">
        <v>#DIV/0!</v>
      </c>
      <c r="AD145" s="62" t="e">
        <v>#DIV/0!</v>
      </c>
      <c r="AE145" s="62" t="e">
        <v>#DIV/0!</v>
      </c>
      <c r="AF145" s="62" t="e">
        <v>#DIV/0!</v>
      </c>
      <c r="AG145" s="62" t="e">
        <v>#DIV/0!</v>
      </c>
      <c r="AH145" s="62" t="e">
        <v>#DIV/0!</v>
      </c>
      <c r="AI145" s="62" t="e">
        <v>#DIV/0!</v>
      </c>
      <c r="AJ145" s="62" t="e">
        <v>#DIV/0!</v>
      </c>
      <c r="AK145" s="62" t="e">
        <v>#DIV/0!</v>
      </c>
      <c r="AL145" s="62" t="e">
        <v>#DIV/0!</v>
      </c>
      <c r="AM145" s="62">
        <v>4216.9335327428425</v>
      </c>
      <c r="BO145" s="14"/>
    </row>
    <row r="146" spans="1:79" ht="15" customHeight="1">
      <c r="A146" s="84" t="s">
        <v>146</v>
      </c>
      <c r="B146" s="18" t="s">
        <v>147</v>
      </c>
      <c r="C146" s="22">
        <v>309</v>
      </c>
      <c r="D146" s="22">
        <v>443</v>
      </c>
      <c r="E146" s="22">
        <v>311</v>
      </c>
      <c r="F146" s="22">
        <v>593.88888888888891</v>
      </c>
      <c r="G146" s="22">
        <v>665.8</v>
      </c>
      <c r="H146" s="22">
        <v>556.5</v>
      </c>
      <c r="I146" s="22">
        <v>559.27272727272725</v>
      </c>
      <c r="J146" s="22">
        <v>483.30769230769232</v>
      </c>
      <c r="K146" s="22">
        <v>380.86363636363637</v>
      </c>
      <c r="L146" s="22">
        <v>49.333333333333336</v>
      </c>
      <c r="M146" s="22">
        <v>297.21739130434781</v>
      </c>
      <c r="N146" s="22">
        <v>315.05263157894734</v>
      </c>
      <c r="O146" s="22">
        <v>336.68421052631578</v>
      </c>
      <c r="P146" s="22">
        <v>357.85714285714283</v>
      </c>
      <c r="Q146" s="22">
        <v>489.23076923076923</v>
      </c>
      <c r="R146" s="22">
        <v>562.28571428571433</v>
      </c>
      <c r="S146" s="22">
        <v>540.47058823529414</v>
      </c>
      <c r="T146" s="62">
        <v>519.11111111111109</v>
      </c>
      <c r="U146" s="62">
        <v>419</v>
      </c>
      <c r="V146" s="54"/>
      <c r="W146" s="62" t="s">
        <v>61</v>
      </c>
      <c r="X146" s="62" t="s">
        <v>61</v>
      </c>
      <c r="Y146" s="62">
        <v>530.5</v>
      </c>
      <c r="Z146" s="62">
        <v>530.5</v>
      </c>
      <c r="AA146" s="62" t="s">
        <v>61</v>
      </c>
      <c r="AB146" s="62" t="s">
        <v>61</v>
      </c>
      <c r="AC146" s="62" t="s">
        <v>61</v>
      </c>
      <c r="AD146" s="62" t="s">
        <v>61</v>
      </c>
      <c r="AE146" s="62" t="s">
        <v>61</v>
      </c>
      <c r="AF146" s="62" t="s">
        <v>61</v>
      </c>
      <c r="AG146" s="62" t="s">
        <v>61</v>
      </c>
      <c r="AH146" s="62" t="s">
        <v>61</v>
      </c>
      <c r="AI146" s="62" t="s">
        <v>61</v>
      </c>
      <c r="AJ146" s="62" t="s">
        <v>61</v>
      </c>
      <c r="AK146" s="62" t="s">
        <v>61</v>
      </c>
      <c r="AL146" s="62" t="s">
        <v>61</v>
      </c>
      <c r="AM146" s="62">
        <v>530.5</v>
      </c>
      <c r="BO146" s="14"/>
    </row>
    <row r="147" spans="1:79" ht="15" customHeight="1">
      <c r="A147" s="84" t="s">
        <v>148</v>
      </c>
      <c r="B147" s="18" t="s">
        <v>147</v>
      </c>
      <c r="C147" s="22">
        <v>1192</v>
      </c>
      <c r="D147" s="22">
        <v>1403</v>
      </c>
      <c r="E147" s="22">
        <v>1411</v>
      </c>
      <c r="F147" s="22">
        <v>1383.1818181818182</v>
      </c>
      <c r="G147" s="22">
        <v>1553.6363636363637</v>
      </c>
      <c r="H147" s="22">
        <v>1553.2142857142858</v>
      </c>
      <c r="I147" s="22">
        <v>1217</v>
      </c>
      <c r="J147" s="22">
        <v>711.66666666666663</v>
      </c>
      <c r="K147" s="22">
        <v>409.68965517241378</v>
      </c>
      <c r="L147" s="22">
        <v>70.3125</v>
      </c>
      <c r="M147" s="22">
        <v>177.05</v>
      </c>
      <c r="N147" s="22">
        <v>184.91176470588235</v>
      </c>
      <c r="O147" s="22">
        <v>285.4736842105263</v>
      </c>
      <c r="P147" s="22">
        <v>160.125</v>
      </c>
      <c r="Q147" s="22">
        <v>351.5</v>
      </c>
      <c r="R147" s="22">
        <v>388</v>
      </c>
      <c r="S147" s="22">
        <v>430.53846153846155</v>
      </c>
      <c r="T147" s="62">
        <v>613</v>
      </c>
      <c r="U147" s="62">
        <v>469.21428571428572</v>
      </c>
      <c r="V147" s="54"/>
      <c r="W147" s="62">
        <v>211</v>
      </c>
      <c r="X147" s="62" t="s">
        <v>61</v>
      </c>
      <c r="Y147" s="62" t="s">
        <v>61</v>
      </c>
      <c r="Z147" s="62">
        <v>211</v>
      </c>
      <c r="AA147" s="62" t="s">
        <v>61</v>
      </c>
      <c r="AB147" s="62" t="s">
        <v>61</v>
      </c>
      <c r="AC147" s="62" t="s">
        <v>61</v>
      </c>
      <c r="AD147" s="62" t="s">
        <v>61</v>
      </c>
      <c r="AE147" s="62" t="s">
        <v>61</v>
      </c>
      <c r="AF147" s="62" t="s">
        <v>61</v>
      </c>
      <c r="AG147" s="62" t="s">
        <v>61</v>
      </c>
      <c r="AH147" s="62" t="s">
        <v>61</v>
      </c>
      <c r="AI147" s="62" t="s">
        <v>61</v>
      </c>
      <c r="AJ147" s="62" t="s">
        <v>61</v>
      </c>
      <c r="AK147" s="62" t="s">
        <v>61</v>
      </c>
      <c r="AL147" s="62" t="s">
        <v>61</v>
      </c>
      <c r="AM147" s="62">
        <v>211</v>
      </c>
      <c r="BO147" s="14"/>
    </row>
    <row r="148" spans="1:79" ht="15" customHeight="1">
      <c r="A148" s="84" t="s">
        <v>149</v>
      </c>
      <c r="B148" s="18" t="s">
        <v>147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>
        <v>2021</v>
      </c>
      <c r="M148" s="22">
        <v>2076.5</v>
      </c>
      <c r="N148" s="22">
        <v>2076.5</v>
      </c>
      <c r="O148" s="22">
        <v>2132</v>
      </c>
      <c r="P148" s="22">
        <v>2007</v>
      </c>
      <c r="Q148" s="22">
        <v>2141.75</v>
      </c>
      <c r="R148" s="22">
        <v>1856</v>
      </c>
      <c r="S148" s="22">
        <v>2466.4</v>
      </c>
      <c r="T148" s="62">
        <v>2650.25</v>
      </c>
      <c r="U148" s="62">
        <v>2019</v>
      </c>
      <c r="V148" s="54"/>
      <c r="W148" s="62" t="s">
        <v>61</v>
      </c>
      <c r="X148" s="62" t="s">
        <v>61</v>
      </c>
      <c r="Y148" s="62">
        <v>2105</v>
      </c>
      <c r="Z148" s="62">
        <v>2105</v>
      </c>
      <c r="AA148" s="62" t="s">
        <v>61</v>
      </c>
      <c r="AB148" s="62" t="s">
        <v>61</v>
      </c>
      <c r="AC148" s="62" t="s">
        <v>61</v>
      </c>
      <c r="AD148" s="62" t="s">
        <v>61</v>
      </c>
      <c r="AE148" s="62" t="s">
        <v>61</v>
      </c>
      <c r="AF148" s="62" t="s">
        <v>61</v>
      </c>
      <c r="AG148" s="62" t="s">
        <v>61</v>
      </c>
      <c r="AH148" s="62" t="s">
        <v>61</v>
      </c>
      <c r="AI148" s="62" t="s">
        <v>61</v>
      </c>
      <c r="AJ148" s="62" t="s">
        <v>61</v>
      </c>
      <c r="AK148" s="62" t="s">
        <v>61</v>
      </c>
      <c r="AL148" s="62" t="s">
        <v>61</v>
      </c>
      <c r="AM148" s="62">
        <v>2105</v>
      </c>
      <c r="BO148" s="14"/>
    </row>
    <row r="149" spans="1:79" ht="15" customHeight="1">
      <c r="A149" s="85" t="s">
        <v>150</v>
      </c>
      <c r="B149" s="15"/>
      <c r="C149" s="13"/>
      <c r="D149" s="13"/>
      <c r="E149" s="13"/>
      <c r="F149" s="13"/>
      <c r="G149" s="13"/>
      <c r="H149" s="13"/>
      <c r="I149" s="13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69"/>
      <c r="U149" s="69"/>
      <c r="V149" s="69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BO149" s="23"/>
    </row>
    <row r="150" spans="1:79" ht="15" customHeight="1">
      <c r="A150" s="84" t="s">
        <v>151</v>
      </c>
      <c r="B150" s="15"/>
      <c r="C150" s="13"/>
      <c r="D150" s="13"/>
      <c r="E150" s="13"/>
      <c r="F150" s="13"/>
      <c r="G150" s="13"/>
      <c r="H150" s="13"/>
      <c r="I150" s="13"/>
      <c r="J150" s="24"/>
      <c r="K150" s="24"/>
      <c r="L150" s="24"/>
      <c r="M150" s="24"/>
      <c r="N150" s="24"/>
      <c r="O150" s="22">
        <v>597</v>
      </c>
      <c r="P150" s="22">
        <v>554</v>
      </c>
      <c r="Q150" s="22">
        <v>551</v>
      </c>
      <c r="R150" s="22">
        <v>563.96319700853337</v>
      </c>
      <c r="S150" s="22">
        <v>562.23494312178775</v>
      </c>
      <c r="T150" s="62">
        <v>530.45220236957766</v>
      </c>
      <c r="U150" s="62">
        <v>540.95682291038963</v>
      </c>
      <c r="V150" s="62">
        <v>527</v>
      </c>
      <c r="W150" s="62">
        <v>553.00672905175418</v>
      </c>
      <c r="X150" s="62">
        <v>569.99610591900307</v>
      </c>
      <c r="Y150" s="62">
        <v>551.99838814010457</v>
      </c>
      <c r="Z150" s="62">
        <v>557.90714667751433</v>
      </c>
      <c r="AA150" s="62" t="e">
        <v>#VALUE!</v>
      </c>
      <c r="AB150" s="62" t="e">
        <v>#VALUE!</v>
      </c>
      <c r="AC150" s="62" t="e">
        <v>#VALUE!</v>
      </c>
      <c r="AD150" s="62" t="e">
        <v>#VALUE!</v>
      </c>
      <c r="AE150" s="62" t="e">
        <v>#VALUE!</v>
      </c>
      <c r="AF150" s="62" t="e">
        <v>#VALUE!</v>
      </c>
      <c r="AG150" s="62" t="e">
        <v>#VALUE!</v>
      </c>
      <c r="AH150" s="62" t="e">
        <v>#VALUE!</v>
      </c>
      <c r="AI150" s="62" t="e">
        <v>#VALUE!</v>
      </c>
      <c r="AJ150" s="62" t="e">
        <v>#VALUE!</v>
      </c>
      <c r="AK150" s="62" t="e">
        <v>#VALUE!</v>
      </c>
      <c r="AL150" s="62" t="e">
        <v>#VALUE!</v>
      </c>
      <c r="AM150" s="62">
        <v>557.90714667751433</v>
      </c>
      <c r="BO150" s="14"/>
    </row>
    <row r="151" spans="1:79" ht="15" hidden="1" customHeight="1">
      <c r="A151" s="84" t="s">
        <v>152</v>
      </c>
      <c r="B151" s="15"/>
      <c r="C151" s="13"/>
      <c r="D151" s="13"/>
      <c r="E151" s="13"/>
      <c r="F151" s="13"/>
      <c r="G151" s="13"/>
      <c r="H151" s="13"/>
      <c r="I151" s="13"/>
      <c r="J151" s="24"/>
      <c r="K151" s="24"/>
      <c r="L151" s="24"/>
      <c r="M151" s="24"/>
      <c r="N151" s="24"/>
      <c r="O151" s="22">
        <v>586</v>
      </c>
      <c r="P151" s="22">
        <v>554</v>
      </c>
      <c r="Q151" s="22">
        <v>559</v>
      </c>
      <c r="R151" s="22">
        <v>578.52316340550453</v>
      </c>
      <c r="S151" s="22">
        <v>580.24417116053598</v>
      </c>
      <c r="T151" s="62">
        <v>580.99191244364783</v>
      </c>
      <c r="U151" s="62"/>
      <c r="V151" s="62">
        <v>555</v>
      </c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BO151" s="14"/>
    </row>
    <row r="152" spans="1:79" ht="15" hidden="1" customHeight="1">
      <c r="A152" s="84" t="s">
        <v>152</v>
      </c>
      <c r="B152" s="15"/>
      <c r="C152" s="13"/>
      <c r="D152" s="13"/>
      <c r="E152" s="13"/>
      <c r="F152" s="13"/>
      <c r="G152" s="13"/>
      <c r="H152" s="13"/>
      <c r="I152" s="13"/>
      <c r="J152" s="24"/>
      <c r="K152" s="24"/>
      <c r="L152" s="24"/>
      <c r="M152" s="24"/>
      <c r="N152" s="24"/>
      <c r="O152" s="22"/>
      <c r="P152" s="22"/>
      <c r="Q152" s="22"/>
      <c r="R152" s="22"/>
      <c r="S152" s="2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BO152" s="14"/>
    </row>
    <row r="153" spans="1:79" ht="15" customHeight="1">
      <c r="A153" s="84" t="s">
        <v>153</v>
      </c>
      <c r="B153" s="15"/>
      <c r="C153" s="13"/>
      <c r="D153" s="13"/>
      <c r="E153" s="13"/>
      <c r="F153" s="13"/>
      <c r="G153" s="13"/>
      <c r="H153" s="13"/>
      <c r="I153" s="13"/>
      <c r="J153" s="24"/>
      <c r="K153" s="24"/>
      <c r="L153" s="24"/>
      <c r="M153" s="24"/>
      <c r="N153" s="24"/>
      <c r="O153" s="22">
        <v>581</v>
      </c>
      <c r="P153" s="22">
        <v>561</v>
      </c>
      <c r="Q153" s="22">
        <v>563</v>
      </c>
      <c r="R153" s="22">
        <v>568.43743278074714</v>
      </c>
      <c r="S153" s="22">
        <v>573.75038136094054</v>
      </c>
      <c r="T153" s="62">
        <v>552.63069881838237</v>
      </c>
      <c r="U153" s="62">
        <v>548.6744428607908</v>
      </c>
      <c r="V153" s="62">
        <v>524</v>
      </c>
      <c r="W153" s="62">
        <v>553.49834911013022</v>
      </c>
      <c r="X153" s="62">
        <v>555.50996904916144</v>
      </c>
      <c r="Y153" s="62">
        <v>550.513695322069</v>
      </c>
      <c r="Z153" s="62">
        <v>553.2347068680026</v>
      </c>
      <c r="AA153" s="62" t="e">
        <v>#VALUE!</v>
      </c>
      <c r="AB153" s="62" t="e">
        <v>#VALUE!</v>
      </c>
      <c r="AC153" s="62" t="e">
        <v>#VALUE!</v>
      </c>
      <c r="AD153" s="62" t="e">
        <v>#VALUE!</v>
      </c>
      <c r="AE153" s="62" t="e">
        <v>#VALUE!</v>
      </c>
      <c r="AF153" s="62" t="e">
        <v>#VALUE!</v>
      </c>
      <c r="AG153" s="62" t="e">
        <v>#VALUE!</v>
      </c>
      <c r="AH153" s="62" t="e">
        <v>#VALUE!</v>
      </c>
      <c r="AI153" s="62" t="e">
        <v>#VALUE!</v>
      </c>
      <c r="AJ153" s="62" t="e">
        <v>#VALUE!</v>
      </c>
      <c r="AK153" s="62" t="e">
        <v>#VALUE!</v>
      </c>
      <c r="AL153" s="62" t="e">
        <v>#VALUE!</v>
      </c>
      <c r="AM153" s="62">
        <v>553.2347068680026</v>
      </c>
      <c r="BO153" s="14"/>
    </row>
    <row r="154" spans="1:79" ht="15" customHeight="1">
      <c r="A154" s="85" t="s">
        <v>154</v>
      </c>
      <c r="B154" s="15"/>
      <c r="C154" s="13"/>
      <c r="D154" s="13"/>
      <c r="E154" s="13"/>
      <c r="F154" s="13"/>
      <c r="G154" s="13"/>
      <c r="H154" s="13"/>
      <c r="I154" s="13"/>
      <c r="J154" s="24"/>
      <c r="K154" s="24"/>
      <c r="L154" s="24"/>
      <c r="M154" s="24"/>
      <c r="N154" s="24"/>
      <c r="O154" s="22">
        <v>586</v>
      </c>
      <c r="P154" s="22">
        <v>559</v>
      </c>
      <c r="Q154" s="22">
        <v>560</v>
      </c>
      <c r="R154" s="22">
        <v>568.95746371127791</v>
      </c>
      <c r="S154" s="22">
        <v>572.07415127925447</v>
      </c>
      <c r="T154" s="62">
        <v>548.67940348048069</v>
      </c>
      <c r="U154" s="62">
        <v>546.76080113928572</v>
      </c>
      <c r="V154" s="62">
        <v>528</v>
      </c>
      <c r="W154" s="62">
        <v>553.37476497985926</v>
      </c>
      <c r="X154" s="62">
        <v>558.81634058816348</v>
      </c>
      <c r="Y154" s="62">
        <v>550.91019280001819</v>
      </c>
      <c r="Z154" s="62">
        <v>554.3873581742148</v>
      </c>
      <c r="AA154" s="62" t="e">
        <v>#DIV/0!</v>
      </c>
      <c r="AB154" s="62" t="e">
        <v>#DIV/0!</v>
      </c>
      <c r="AC154" s="62" t="e">
        <v>#DIV/0!</v>
      </c>
      <c r="AD154" s="62" t="e">
        <v>#DIV/0!</v>
      </c>
      <c r="AE154" s="62" t="e">
        <v>#DIV/0!</v>
      </c>
      <c r="AF154" s="62" t="e">
        <v>#DIV/0!</v>
      </c>
      <c r="AG154" s="62" t="e">
        <v>#DIV/0!</v>
      </c>
      <c r="AH154" s="62" t="e">
        <v>#DIV/0!</v>
      </c>
      <c r="AI154" s="62" t="e">
        <v>#DIV/0!</v>
      </c>
      <c r="AJ154" s="62" t="e">
        <v>#DIV/0!</v>
      </c>
      <c r="AK154" s="62" t="e">
        <v>#DIV/0!</v>
      </c>
      <c r="AL154" s="62" t="e">
        <v>#DIV/0!</v>
      </c>
      <c r="AM154" s="62">
        <v>554.3873581742148</v>
      </c>
      <c r="BO154" s="23"/>
    </row>
    <row r="155" spans="1:79" s="12" customFormat="1">
      <c r="A155" s="64" t="s">
        <v>155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BO155" s="13"/>
      <c r="BP155" s="16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</row>
    <row r="156" spans="1:79">
      <c r="A156" s="84" t="s">
        <v>156</v>
      </c>
      <c r="B156" s="18" t="s">
        <v>157</v>
      </c>
      <c r="C156" s="20">
        <v>55.384790528233154</v>
      </c>
      <c r="D156" s="20">
        <v>55.84</v>
      </c>
      <c r="E156" s="20">
        <v>59.12</v>
      </c>
      <c r="F156" s="20">
        <v>57.237442922374427</v>
      </c>
      <c r="G156" s="20">
        <v>49.857695810564664</v>
      </c>
      <c r="H156" s="20">
        <v>53.436073059360737</v>
      </c>
      <c r="I156" s="20">
        <v>56.706621004566216</v>
      </c>
      <c r="J156" s="20">
        <v>59.131449771689489</v>
      </c>
      <c r="K156" s="20">
        <v>53.31194747789911</v>
      </c>
      <c r="L156" s="20">
        <v>31.677226027397264</v>
      </c>
      <c r="M156" s="20">
        <v>44.497260273972607</v>
      </c>
      <c r="N156" s="20">
        <v>51.434132420091331</v>
      </c>
      <c r="O156" s="20">
        <v>44.228426684881605</v>
      </c>
      <c r="P156" s="20">
        <v>41.184360730593603</v>
      </c>
      <c r="Q156" s="20">
        <v>58.652968036529685</v>
      </c>
      <c r="R156" s="20">
        <v>60.166952054794521</v>
      </c>
      <c r="S156" s="20">
        <v>46.913479052823313</v>
      </c>
      <c r="T156" s="60">
        <v>41.925513698630134</v>
      </c>
      <c r="U156" s="60">
        <v>87.620776255707767</v>
      </c>
      <c r="V156" s="75">
        <v>89.04</v>
      </c>
      <c r="W156" s="60">
        <v>63.319444444444443</v>
      </c>
      <c r="X156" s="60">
        <v>95.362903225806448</v>
      </c>
      <c r="Y156" s="60">
        <v>98.490277777777777</v>
      </c>
      <c r="Z156" s="60">
        <v>85.830128205128204</v>
      </c>
      <c r="AA156" s="60" t="e">
        <v>#DIV/0!</v>
      </c>
      <c r="AB156" s="60" t="e">
        <v>#DIV/0!</v>
      </c>
      <c r="AC156" s="60" t="e">
        <v>#DIV/0!</v>
      </c>
      <c r="AD156" s="60" t="e">
        <v>#DIV/0!</v>
      </c>
      <c r="AE156" s="60" t="e">
        <v>#DIV/0!</v>
      </c>
      <c r="AF156" s="60" t="e">
        <v>#DIV/0!</v>
      </c>
      <c r="AG156" s="60" t="e">
        <v>#DIV/0!</v>
      </c>
      <c r="AH156" s="60" t="e">
        <v>#DIV/0!</v>
      </c>
      <c r="AI156" s="60" t="e">
        <v>#DIV/0!</v>
      </c>
      <c r="AJ156" s="60" t="e">
        <v>#DIV/0!</v>
      </c>
      <c r="AK156" s="60" t="e">
        <v>#DIV/0!</v>
      </c>
      <c r="AL156" s="60" t="e">
        <v>#DIV/0!</v>
      </c>
      <c r="AM156" s="60">
        <v>85.830128205128204</v>
      </c>
      <c r="BO156" s="14"/>
    </row>
    <row r="157" spans="1:79">
      <c r="A157" s="84" t="s">
        <v>158</v>
      </c>
      <c r="B157" s="18" t="s">
        <v>159</v>
      </c>
      <c r="C157" s="21">
        <v>91.294964028776988</v>
      </c>
      <c r="D157" s="21">
        <v>84.3</v>
      </c>
      <c r="E157" s="21">
        <v>90.03</v>
      </c>
      <c r="F157" s="20">
        <v>90.626246509772628</v>
      </c>
      <c r="G157" s="20">
        <v>82.977508848042021</v>
      </c>
      <c r="H157" s="20">
        <v>95.428327280495623</v>
      </c>
      <c r="I157" s="20">
        <v>93.054856567689981</v>
      </c>
      <c r="J157" s="20">
        <v>92.577841528287621</v>
      </c>
      <c r="K157" s="20">
        <v>86.503826734345253</v>
      </c>
      <c r="L157" s="20">
        <v>77.721019487013152</v>
      </c>
      <c r="M157" s="20">
        <v>89.241808535746898</v>
      </c>
      <c r="N157" s="20">
        <v>92.060488766276876</v>
      </c>
      <c r="O157" s="20">
        <v>78.601810799158315</v>
      </c>
      <c r="P157" s="20">
        <v>94.574041992931882</v>
      </c>
      <c r="Q157" s="20">
        <v>98.017127286882072</v>
      </c>
      <c r="R157" s="20">
        <v>96.784347207399492</v>
      </c>
      <c r="S157" s="20">
        <v>96.869600667818517</v>
      </c>
      <c r="T157" s="60">
        <v>94.58705167214633</v>
      </c>
      <c r="U157" s="60">
        <v>82.11210097477975</v>
      </c>
      <c r="V157" s="59">
        <v>95</v>
      </c>
      <c r="W157" s="60">
        <v>91.884185128317611</v>
      </c>
      <c r="X157" s="60">
        <v>89.288231148696269</v>
      </c>
      <c r="Y157" s="60">
        <v>82.513784496495703</v>
      </c>
      <c r="Z157" s="60">
        <v>87.356830778915253</v>
      </c>
      <c r="AA157" s="60" t="e">
        <v>#DIV/0!</v>
      </c>
      <c r="AB157" s="60" t="e">
        <v>#DIV/0!</v>
      </c>
      <c r="AC157" s="60" t="e">
        <v>#DIV/0!</v>
      </c>
      <c r="AD157" s="60" t="e">
        <v>#DIV/0!</v>
      </c>
      <c r="AE157" s="60" t="e">
        <v>#DIV/0!</v>
      </c>
      <c r="AF157" s="60" t="e">
        <v>#DIV/0!</v>
      </c>
      <c r="AG157" s="60" t="e">
        <v>#DIV/0!</v>
      </c>
      <c r="AH157" s="60" t="e">
        <v>#DIV/0!</v>
      </c>
      <c r="AI157" s="60" t="e">
        <v>#DIV/0!</v>
      </c>
      <c r="AJ157" s="60" t="e">
        <v>#DIV/0!</v>
      </c>
      <c r="AK157" s="60" t="e">
        <v>#DIV/0!</v>
      </c>
      <c r="AL157" s="60" t="e">
        <v>#DIV/0!</v>
      </c>
      <c r="AM157" s="60">
        <v>87.356830778915253</v>
      </c>
      <c r="BO157" s="14"/>
    </row>
    <row r="158" spans="1:79">
      <c r="A158" s="84" t="s">
        <v>160</v>
      </c>
      <c r="B158" s="18" t="s">
        <v>161</v>
      </c>
      <c r="C158" s="22">
        <v>1130.0279763755052</v>
      </c>
      <c r="D158" s="22">
        <v>1153</v>
      </c>
      <c r="E158" s="22">
        <v>1151</v>
      </c>
      <c r="F158" s="22">
        <v>1149.9893950169055</v>
      </c>
      <c r="G158" s="22">
        <v>1149.9543021282152</v>
      </c>
      <c r="H158" s="22">
        <v>1149.5034861609972</v>
      </c>
      <c r="I158" s="22">
        <v>1149.1758552623307</v>
      </c>
      <c r="J158" s="22">
        <v>1149.8883766076194</v>
      </c>
      <c r="K158" s="22">
        <v>1149.2985204098836</v>
      </c>
      <c r="L158" s="22">
        <v>1149.3131466147941</v>
      </c>
      <c r="M158" s="22">
        <v>1148.6795615806843</v>
      </c>
      <c r="N158" s="22">
        <v>1147.6681401999456</v>
      </c>
      <c r="O158" s="22">
        <v>1148.456121575955</v>
      </c>
      <c r="P158" s="22">
        <v>1145.0457968186686</v>
      </c>
      <c r="Q158" s="22">
        <v>1135</v>
      </c>
      <c r="R158" s="22">
        <v>1131.5784593893516</v>
      </c>
      <c r="S158" s="22">
        <v>1130.5359860339274</v>
      </c>
      <c r="T158" s="62">
        <v>1129.8325762862853</v>
      </c>
      <c r="U158" s="62">
        <v>1128.5152982526149</v>
      </c>
      <c r="V158" s="54">
        <v>1128</v>
      </c>
      <c r="W158" s="60">
        <v>1100.8183306055646</v>
      </c>
      <c r="X158" s="60">
        <v>1103.6832711341879</v>
      </c>
      <c r="Y158" s="60">
        <v>1104.1206872468222</v>
      </c>
      <c r="Z158" s="60">
        <v>1103.124067768714</v>
      </c>
      <c r="AA158" s="60" t="e">
        <v>#DIV/0!</v>
      </c>
      <c r="AB158" s="60" t="e">
        <v>#DIV/0!</v>
      </c>
      <c r="AC158" s="60" t="e">
        <v>#DIV/0!</v>
      </c>
      <c r="AD158" s="60" t="e">
        <v>#DIV/0!</v>
      </c>
      <c r="AE158" s="60" t="e">
        <v>#DIV/0!</v>
      </c>
      <c r="AF158" s="60" t="e">
        <v>#DIV/0!</v>
      </c>
      <c r="AG158" s="60" t="e">
        <v>#DIV/0!</v>
      </c>
      <c r="AH158" s="62" t="e">
        <v>#DIV/0!</v>
      </c>
      <c r="AI158" s="60" t="e">
        <v>#DIV/0!</v>
      </c>
      <c r="AJ158" s="60" t="e">
        <v>#DIV/0!</v>
      </c>
      <c r="AK158" s="60" t="e">
        <v>#DIV/0!</v>
      </c>
      <c r="AL158" s="62" t="e">
        <v>#DIV/0!</v>
      </c>
      <c r="AM158" s="60">
        <v>1103.124067768714</v>
      </c>
      <c r="BO158" s="14"/>
    </row>
    <row r="159" spans="1:79">
      <c r="A159" s="84" t="s">
        <v>162</v>
      </c>
      <c r="B159" s="18" t="s">
        <v>161</v>
      </c>
      <c r="C159" s="22">
        <v>1036.7863433841053</v>
      </c>
      <c r="D159" s="22">
        <v>1073</v>
      </c>
      <c r="E159" s="22">
        <v>1069</v>
      </c>
      <c r="F159" s="22">
        <v>1069.3690658881362</v>
      </c>
      <c r="G159" s="22">
        <v>1072.2452130769711</v>
      </c>
      <c r="H159" s="22">
        <v>1067.2881893091062</v>
      </c>
      <c r="I159" s="22">
        <v>1068.498937601368</v>
      </c>
      <c r="J159" s="22">
        <v>1072.8245571463237</v>
      </c>
      <c r="K159" s="22">
        <v>1070.1724809112338</v>
      </c>
      <c r="L159" s="22">
        <v>1069.8645229037199</v>
      </c>
      <c r="M159" s="22">
        <v>1070.0207800976723</v>
      </c>
      <c r="N159" s="22">
        <v>1068.7957502982781</v>
      </c>
      <c r="O159" s="22">
        <v>1076.25966801821</v>
      </c>
      <c r="P159" s="22">
        <v>1072.7826277102151</v>
      </c>
      <c r="Q159" s="22">
        <v>1069.2870312923267</v>
      </c>
      <c r="R159" s="22">
        <v>1073.0293209272427</v>
      </c>
      <c r="S159" s="22">
        <v>1071.9460714421409</v>
      </c>
      <c r="T159" s="62">
        <v>1078.8384905426681</v>
      </c>
      <c r="U159" s="62">
        <v>1086.8781127934371</v>
      </c>
      <c r="V159" s="54">
        <v>1087</v>
      </c>
      <c r="W159" s="60">
        <v>1031.1374795417348</v>
      </c>
      <c r="X159" s="60">
        <v>1034.7503921250473</v>
      </c>
      <c r="Y159" s="60">
        <v>1035.7033105182288</v>
      </c>
      <c r="Z159" s="60">
        <v>1034.1929577319906</v>
      </c>
      <c r="AA159" s="60" t="e">
        <v>#DIV/0!</v>
      </c>
      <c r="AB159" s="60" t="e">
        <v>#DIV/0!</v>
      </c>
      <c r="AC159" s="60" t="e">
        <v>#DIV/0!</v>
      </c>
      <c r="AD159" s="60" t="e">
        <v>#DIV/0!</v>
      </c>
      <c r="AE159" s="60" t="e">
        <v>#DIV/0!</v>
      </c>
      <c r="AF159" s="60" t="e">
        <v>#DIV/0!</v>
      </c>
      <c r="AG159" s="60" t="e">
        <v>#DIV/0!</v>
      </c>
      <c r="AH159" s="60" t="e">
        <v>#DIV/0!</v>
      </c>
      <c r="AI159" s="60" t="e">
        <v>#DIV/0!</v>
      </c>
      <c r="AJ159" s="60" t="e">
        <v>#DIV/0!</v>
      </c>
      <c r="AK159" s="60" t="e">
        <v>#DIV/0!</v>
      </c>
      <c r="AL159" s="60" t="e">
        <v>#DIV/0!</v>
      </c>
      <c r="AM159" s="60">
        <v>1034.1929577319906</v>
      </c>
      <c r="BO159" s="14"/>
    </row>
    <row r="160" spans="1:79">
      <c r="A160" s="84" t="s">
        <v>163</v>
      </c>
      <c r="B160" s="18" t="s">
        <v>161</v>
      </c>
      <c r="C160" s="20">
        <v>93.241632991399854</v>
      </c>
      <c r="D160" s="20">
        <v>80</v>
      </c>
      <c r="E160" s="20">
        <v>82</v>
      </c>
      <c r="F160" s="20">
        <v>80.620329128769441</v>
      </c>
      <c r="G160" s="20">
        <v>77.709089051244064</v>
      </c>
      <c r="H160" s="20">
        <v>83</v>
      </c>
      <c r="I160" s="20">
        <v>80.676917660962829</v>
      </c>
      <c r="J160" s="20">
        <v>77.063819461295807</v>
      </c>
      <c r="K160" s="20">
        <v>79.12603949864976</v>
      </c>
      <c r="L160" s="20">
        <v>79.448623711074006</v>
      </c>
      <c r="M160" s="20">
        <v>78.65878148301212</v>
      </c>
      <c r="N160" s="20">
        <v>78.872389901667447</v>
      </c>
      <c r="O160" s="20">
        <v>72.19645355774486</v>
      </c>
      <c r="P160" s="20">
        <v>72.263169108453454</v>
      </c>
      <c r="Q160" s="20">
        <v>66</v>
      </c>
      <c r="R160" s="20">
        <v>58.549138462109021</v>
      </c>
      <c r="S160" s="20">
        <v>58.589914591786332</v>
      </c>
      <c r="T160" s="60">
        <v>50.994085743617106</v>
      </c>
      <c r="U160" s="60">
        <v>41.6371854591778</v>
      </c>
      <c r="V160" s="54">
        <v>41</v>
      </c>
      <c r="W160" s="60">
        <v>69.680851063829792</v>
      </c>
      <c r="X160" s="60">
        <v>68.932879009140564</v>
      </c>
      <c r="Y160" s="60">
        <v>68.417376728593382</v>
      </c>
      <c r="Z160" s="60">
        <v>68.931110036723481</v>
      </c>
      <c r="AA160" s="60" t="e">
        <v>#DIV/0!</v>
      </c>
      <c r="AB160" s="60" t="e">
        <v>#DIV/0!</v>
      </c>
      <c r="AC160" s="60" t="e">
        <v>#DIV/0!</v>
      </c>
      <c r="AD160" s="60" t="e">
        <v>#DIV/0!</v>
      </c>
      <c r="AE160" s="60" t="e">
        <v>#DIV/0!</v>
      </c>
      <c r="AF160" s="60" t="e">
        <v>#DIV/0!</v>
      </c>
      <c r="AG160" s="60" t="e">
        <v>#DIV/0!</v>
      </c>
      <c r="AH160" s="60" t="e">
        <v>#DIV/0!</v>
      </c>
      <c r="AI160" s="60" t="e">
        <v>#DIV/0!</v>
      </c>
      <c r="AJ160" s="60" t="e">
        <v>#DIV/0!</v>
      </c>
      <c r="AK160" s="60" t="e">
        <v>#DIV/0!</v>
      </c>
      <c r="AL160" s="60" t="e">
        <v>#DIV/0!</v>
      </c>
      <c r="AM160" s="60">
        <v>68.931110036723481</v>
      </c>
      <c r="BO160" s="14"/>
    </row>
    <row r="161" spans="1:67">
      <c r="A161" s="84" t="s">
        <v>164</v>
      </c>
      <c r="B161" s="18" t="s">
        <v>161</v>
      </c>
      <c r="C161" s="21">
        <v>84.198528649880842</v>
      </c>
      <c r="D161" s="21">
        <v>81.3</v>
      </c>
      <c r="E161" s="21">
        <v>78.25</v>
      </c>
      <c r="F161" s="20">
        <v>75.90672605457199</v>
      </c>
      <c r="G161" s="20">
        <v>80.138739874089595</v>
      </c>
      <c r="H161" s="20">
        <v>76.581977604056618</v>
      </c>
      <c r="I161" s="20">
        <v>76.631001923633022</v>
      </c>
      <c r="J161" s="20">
        <v>76.597913127881583</v>
      </c>
      <c r="K161" s="20">
        <v>76.462348155799887</v>
      </c>
      <c r="L161" s="20">
        <v>75.648551410717673</v>
      </c>
      <c r="M161" s="20">
        <v>74.785068597605346</v>
      </c>
      <c r="N161" s="20">
        <v>75.782467334915324</v>
      </c>
      <c r="O161" s="20">
        <v>75.281062845337459</v>
      </c>
      <c r="P161" s="20">
        <v>66.323526938150749</v>
      </c>
      <c r="Q161" s="20">
        <v>63.556804180466109</v>
      </c>
      <c r="R161" s="20">
        <v>68.87358273256784</v>
      </c>
      <c r="S161" s="20">
        <v>69.694382175259818</v>
      </c>
      <c r="T161" s="60">
        <v>66.260000000000005</v>
      </c>
      <c r="U161" s="60">
        <v>68.288964435815387</v>
      </c>
      <c r="V161" s="54">
        <v>67</v>
      </c>
      <c r="W161" s="60">
        <v>64.402618657937808</v>
      </c>
      <c r="X161" s="60">
        <v>64.470766401644227</v>
      </c>
      <c r="Y161" s="60">
        <v>66.294175164129072</v>
      </c>
      <c r="Z161" s="60">
        <v>65.125034717578927</v>
      </c>
      <c r="AA161" s="60" t="e">
        <v>#DIV/0!</v>
      </c>
      <c r="AB161" s="60" t="e">
        <v>#DIV/0!</v>
      </c>
      <c r="AC161" s="60" t="e">
        <v>#DIV/0!</v>
      </c>
      <c r="AD161" s="60" t="e">
        <v>#DIV/0!</v>
      </c>
      <c r="AE161" s="60" t="e">
        <v>#DIV/0!</v>
      </c>
      <c r="AF161" s="60" t="e">
        <v>#DIV/0!</v>
      </c>
      <c r="AG161" s="60" t="e">
        <v>#DIV/0!</v>
      </c>
      <c r="AH161" s="60" t="e">
        <v>#DIV/0!</v>
      </c>
      <c r="AI161" s="60" t="e">
        <v>#DIV/0!</v>
      </c>
      <c r="AJ161" s="60" t="e">
        <v>#DIV/0!</v>
      </c>
      <c r="AK161" s="60" t="e">
        <v>#DIV/0!</v>
      </c>
      <c r="AL161" s="60" t="e">
        <v>#DIV/0!</v>
      </c>
      <c r="AM161" s="60">
        <v>65.125034717578927</v>
      </c>
      <c r="BO161" s="14"/>
    </row>
    <row r="162" spans="1:67">
      <c r="A162" s="84" t="s">
        <v>165</v>
      </c>
      <c r="B162" s="18" t="s">
        <v>161</v>
      </c>
      <c r="C162" s="20"/>
      <c r="D162" s="20"/>
      <c r="E162" s="20"/>
      <c r="F162" s="20"/>
      <c r="G162" s="20">
        <v>20.97</v>
      </c>
      <c r="H162" s="20">
        <v>23.9224593281217</v>
      </c>
      <c r="I162" s="20">
        <v>23.025761595232407</v>
      </c>
      <c r="J162" s="20">
        <v>20.368842513952924</v>
      </c>
      <c r="K162" s="20">
        <v>22.983150389744942</v>
      </c>
      <c r="L162" s="20">
        <v>22.701451171437917</v>
      </c>
      <c r="M162" s="20">
        <v>22.668932880866596</v>
      </c>
      <c r="N162" s="20">
        <v>22.915162048978448</v>
      </c>
      <c r="O162" s="20">
        <v>22.60520720963039</v>
      </c>
      <c r="P162" s="20">
        <v>25.612128755894211</v>
      </c>
      <c r="Q162" s="20">
        <v>25.4</v>
      </c>
      <c r="R162" s="20">
        <v>25</v>
      </c>
      <c r="S162" s="20">
        <v>25.598467411497214</v>
      </c>
      <c r="T162" s="60">
        <v>23.576040949615681</v>
      </c>
      <c r="U162" s="60">
        <v>25.30395700476048</v>
      </c>
      <c r="V162" s="54">
        <v>25</v>
      </c>
      <c r="W162" s="60">
        <v>23.240589198036005</v>
      </c>
      <c r="X162" s="60">
        <v>24.717399534858565</v>
      </c>
      <c r="Y162" s="60">
        <v>25.394608185500768</v>
      </c>
      <c r="Z162" s="60">
        <v>24.595475913715244</v>
      </c>
      <c r="AA162" s="60" t="e">
        <v>#DIV/0!</v>
      </c>
      <c r="AB162" s="60" t="e">
        <v>#DIV/0!</v>
      </c>
      <c r="AC162" s="60" t="e">
        <v>#DIV/0!</v>
      </c>
      <c r="AD162" s="60" t="e">
        <v>#DIV/0!</v>
      </c>
      <c r="AE162" s="60" t="e">
        <v>#DIV/0!</v>
      </c>
      <c r="AF162" s="60" t="e">
        <v>#DIV/0!</v>
      </c>
      <c r="AG162" s="60" t="e">
        <v>#DIV/0!</v>
      </c>
      <c r="AH162" s="60" t="e">
        <v>#DIV/0!</v>
      </c>
      <c r="AI162" s="60" t="e">
        <v>#DIV/0!</v>
      </c>
      <c r="AJ162" s="60" t="e">
        <v>#DIV/0!</v>
      </c>
      <c r="AK162" s="60" t="e">
        <v>#DIV/0!</v>
      </c>
      <c r="AL162" s="60" t="e">
        <v>#DIV/0!</v>
      </c>
      <c r="AM162" s="60">
        <v>24.595475913715244</v>
      </c>
      <c r="BO162" s="14"/>
    </row>
    <row r="163" spans="1:67">
      <c r="A163" s="84" t="s">
        <v>166</v>
      </c>
      <c r="B163" s="18" t="s">
        <v>161</v>
      </c>
      <c r="C163" s="21">
        <v>8.6130970883846238</v>
      </c>
      <c r="D163" s="21">
        <v>8.8000000000000007</v>
      </c>
      <c r="E163" s="21">
        <v>20.53</v>
      </c>
      <c r="F163" s="20">
        <v>24.820651021197488</v>
      </c>
      <c r="G163" s="20">
        <v>4.6095244582957244</v>
      </c>
      <c r="H163" s="20">
        <v>0.17166701880414115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60">
        <v>0</v>
      </c>
      <c r="U163" s="60">
        <v>0</v>
      </c>
      <c r="V163" s="54">
        <v>0</v>
      </c>
      <c r="W163" s="60">
        <v>0</v>
      </c>
      <c r="X163" s="60">
        <v>0</v>
      </c>
      <c r="Y163" s="60">
        <v>0</v>
      </c>
      <c r="Z163" s="60">
        <v>0</v>
      </c>
      <c r="AA163" s="60" t="e">
        <v>#DIV/0!</v>
      </c>
      <c r="AB163" s="60" t="e">
        <v>#DIV/0!</v>
      </c>
      <c r="AC163" s="60" t="e">
        <v>#DIV/0!</v>
      </c>
      <c r="AD163" s="60" t="e">
        <v>#DIV/0!</v>
      </c>
      <c r="AE163" s="60" t="e">
        <v>#DIV/0!</v>
      </c>
      <c r="AF163" s="60" t="e">
        <v>#DIV/0!</v>
      </c>
      <c r="AG163" s="60" t="e">
        <v>#DIV/0!</v>
      </c>
      <c r="AH163" s="60" t="e">
        <v>#DIV/0!</v>
      </c>
      <c r="AI163" s="60" t="e">
        <v>#DIV/0!</v>
      </c>
      <c r="AJ163" s="60" t="e">
        <v>#DIV/0!</v>
      </c>
      <c r="AK163" s="60" t="e">
        <v>#DIV/0!</v>
      </c>
      <c r="AL163" s="60" t="e">
        <v>#DIV/0!</v>
      </c>
      <c r="AM163" s="60">
        <v>0</v>
      </c>
      <c r="BO163" s="14"/>
    </row>
    <row r="164" spans="1:67">
      <c r="A164" s="84" t="s">
        <v>167</v>
      </c>
      <c r="B164" s="18" t="s">
        <v>168</v>
      </c>
      <c r="C164" s="20">
        <v>0.21927779504714537</v>
      </c>
      <c r="D164" s="20">
        <v>0.1</v>
      </c>
      <c r="E164" s="20">
        <v>7.0000000000000007E-2</v>
      </c>
      <c r="F164" s="20">
        <v>0.14472682811193871</v>
      </c>
      <c r="G164" s="20">
        <v>0.12205021656817498</v>
      </c>
      <c r="H164" s="20">
        <v>0.10035918022395944</v>
      </c>
      <c r="I164" s="20">
        <v>0.1533877314960333</v>
      </c>
      <c r="J164" s="20">
        <v>7.6437757825770447E-2</v>
      </c>
      <c r="K164" s="20">
        <v>6.7435223869617058E-3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2.2610879698601594E-2</v>
      </c>
      <c r="T164" s="60">
        <v>0.89653266894217465</v>
      </c>
      <c r="U164" s="60">
        <v>0.78484985687864983</v>
      </c>
      <c r="V164" s="60">
        <v>0.7</v>
      </c>
      <c r="W164" s="60">
        <v>1.1490998363338789</v>
      </c>
      <c r="X164" s="60">
        <v>0.66155551949807989</v>
      </c>
      <c r="Y164" s="60">
        <v>0.89465009079480373</v>
      </c>
      <c r="Z164" s="60">
        <v>0.86995566436587701</v>
      </c>
      <c r="AA164" s="60" t="e">
        <v>#DIV/0!</v>
      </c>
      <c r="AB164" s="60" t="e">
        <v>#DIV/0!</v>
      </c>
      <c r="AC164" s="60" t="e">
        <v>#DIV/0!</v>
      </c>
      <c r="AD164" s="60" t="e">
        <v>#DIV/0!</v>
      </c>
      <c r="AE164" s="60" t="e">
        <v>#DIV/0!</v>
      </c>
      <c r="AF164" s="60" t="e">
        <v>#DIV/0!</v>
      </c>
      <c r="AG164" s="60" t="e">
        <v>#DIV/0!</v>
      </c>
      <c r="AH164" s="60" t="e">
        <v>#DIV/0!</v>
      </c>
      <c r="AI164" s="60" t="e">
        <v>#DIV/0!</v>
      </c>
      <c r="AJ164" s="60" t="e">
        <v>#DIV/0!</v>
      </c>
      <c r="AK164" s="60" t="e">
        <v>#DIV/0!</v>
      </c>
      <c r="AL164" s="60" t="e">
        <v>#DIV/0!</v>
      </c>
      <c r="AM164" s="60">
        <v>0.86995566436587701</v>
      </c>
      <c r="BO164" s="14"/>
    </row>
    <row r="165" spans="1:67">
      <c r="A165" s="84" t="s">
        <v>169</v>
      </c>
      <c r="B165" s="18" t="s">
        <v>168</v>
      </c>
      <c r="C165" s="21">
        <v>11.345974510413429</v>
      </c>
      <c r="D165" s="21">
        <v>10.1</v>
      </c>
      <c r="E165" s="21">
        <v>9.69</v>
      </c>
      <c r="F165" s="20">
        <v>9.7865279285348912</v>
      </c>
      <c r="G165" s="20">
        <v>9.0430695345629175</v>
      </c>
      <c r="H165" s="20">
        <v>8.1792731882526937</v>
      </c>
      <c r="I165" s="20">
        <v>7.5009115254535628</v>
      </c>
      <c r="J165" s="20">
        <v>7.9568066003397231</v>
      </c>
      <c r="K165" s="20">
        <v>10.000030652374486</v>
      </c>
      <c r="L165" s="20">
        <v>9.5539756588800326</v>
      </c>
      <c r="M165" s="20">
        <v>6.6676755976460864</v>
      </c>
      <c r="N165" s="20">
        <v>6.1322264638111337</v>
      </c>
      <c r="O165" s="20">
        <v>5.56</v>
      </c>
      <c r="P165" s="20">
        <v>5.79</v>
      </c>
      <c r="Q165" s="20">
        <v>6.48</v>
      </c>
      <c r="R165" s="20">
        <v>6.1419214468644467</v>
      </c>
      <c r="S165" s="20">
        <v>6.16</v>
      </c>
      <c r="T165" s="60">
        <v>6.5868095171175209</v>
      </c>
      <c r="U165" s="60">
        <v>7.1330964604644871</v>
      </c>
      <c r="V165" s="60">
        <v>7</v>
      </c>
      <c r="W165" s="60">
        <v>9.4926350245499176</v>
      </c>
      <c r="X165" s="60">
        <v>6.3551300773432855</v>
      </c>
      <c r="Y165" s="60">
        <v>7.4032686129347676</v>
      </c>
      <c r="Z165" s="60">
        <v>7.5298571178751814</v>
      </c>
      <c r="AA165" s="60" t="e">
        <v>#DIV/0!</v>
      </c>
      <c r="AB165" s="60" t="e">
        <v>#DIV/0!</v>
      </c>
      <c r="AC165" s="60" t="e">
        <v>#DIV/0!</v>
      </c>
      <c r="AD165" s="60" t="e">
        <v>#DIV/0!</v>
      </c>
      <c r="AE165" s="60" t="e">
        <v>#DIV/0!</v>
      </c>
      <c r="AF165" s="60" t="e">
        <v>#DIV/0!</v>
      </c>
      <c r="AG165" s="60" t="e">
        <v>#DIV/0!</v>
      </c>
      <c r="AH165" s="60" t="e">
        <v>#DIV/0!</v>
      </c>
      <c r="AI165" s="60" t="e">
        <v>#DIV/0!</v>
      </c>
      <c r="AJ165" s="60" t="e">
        <v>#DIV/0!</v>
      </c>
      <c r="AK165" s="60" t="e">
        <v>#DIV/0!</v>
      </c>
      <c r="AL165" s="60" t="e">
        <v>#DIV/0!</v>
      </c>
      <c r="AM165" s="60">
        <v>7.5298571178751814</v>
      </c>
      <c r="BO165" s="14"/>
    </row>
    <row r="166" spans="1:67">
      <c r="A166" s="84" t="s">
        <v>170</v>
      </c>
      <c r="B166" s="18" t="s">
        <v>168</v>
      </c>
      <c r="C166" s="20">
        <v>17.195109315096882</v>
      </c>
      <c r="D166" s="20">
        <v>14.04</v>
      </c>
      <c r="E166" s="20">
        <v>13.67</v>
      </c>
      <c r="F166" s="20">
        <v>13.95116717196292</v>
      </c>
      <c r="G166" s="20">
        <v>16.204295032272348</v>
      </c>
      <c r="H166" s="20">
        <v>12.230614832030424</v>
      </c>
      <c r="I166" s="20">
        <v>12.190552824471629</v>
      </c>
      <c r="J166" s="20">
        <v>13.168793982043196</v>
      </c>
      <c r="K166" s="20">
        <v>13.559997425200542</v>
      </c>
      <c r="L166" s="20">
        <v>12.243721058339501</v>
      </c>
      <c r="M166" s="20">
        <v>11.414501830627652</v>
      </c>
      <c r="N166" s="20">
        <v>10.349124213299895</v>
      </c>
      <c r="O166" s="20">
        <v>10.441316595941936</v>
      </c>
      <c r="P166" s="20">
        <v>11.1</v>
      </c>
      <c r="Q166" s="20">
        <v>12.2</v>
      </c>
      <c r="R166" s="20">
        <v>12.2</v>
      </c>
      <c r="S166" s="20">
        <v>12.580263923578546</v>
      </c>
      <c r="T166" s="60">
        <v>15.429597006428745</v>
      </c>
      <c r="U166" s="60">
        <v>14.018704259363002</v>
      </c>
      <c r="V166" s="59">
        <v>15</v>
      </c>
      <c r="W166" s="60">
        <v>10.597381342062192</v>
      </c>
      <c r="X166" s="60">
        <v>13.954243063443128</v>
      </c>
      <c r="Y166" s="60">
        <v>13.326721609163291</v>
      </c>
      <c r="Z166" s="60">
        <v>12.879244545482599</v>
      </c>
      <c r="AA166" s="60" t="e">
        <v>#DIV/0!</v>
      </c>
      <c r="AB166" s="60" t="e">
        <v>#DIV/0!</v>
      </c>
      <c r="AC166" s="60" t="e">
        <v>#DIV/0!</v>
      </c>
      <c r="AD166" s="60" t="e">
        <v>#DIV/0!</v>
      </c>
      <c r="AE166" s="60" t="e">
        <v>#DIV/0!</v>
      </c>
      <c r="AF166" s="60" t="e">
        <v>#DIV/0!</v>
      </c>
      <c r="AG166" s="60" t="e">
        <v>#DIV/0!</v>
      </c>
      <c r="AH166" s="60" t="e">
        <v>#DIV/0!</v>
      </c>
      <c r="AI166" s="60" t="e">
        <v>#DIV/0!</v>
      </c>
      <c r="AJ166" s="60" t="e">
        <v>#DIV/0!</v>
      </c>
      <c r="AK166" s="60" t="e">
        <v>#DIV/0!</v>
      </c>
      <c r="AL166" s="60" t="e">
        <v>#DIV/0!</v>
      </c>
      <c r="AM166" s="60">
        <v>12.879244545482599</v>
      </c>
      <c r="BO166" s="14"/>
    </row>
    <row r="167" spans="1:67">
      <c r="A167" s="84" t="s">
        <v>171</v>
      </c>
      <c r="B167" s="18" t="s">
        <v>168</v>
      </c>
      <c r="C167" s="21">
        <v>4.2715780748109005</v>
      </c>
      <c r="D167" s="21">
        <v>3.78</v>
      </c>
      <c r="E167" s="21">
        <v>3.9</v>
      </c>
      <c r="F167" s="20">
        <v>4.0698182181133111</v>
      </c>
      <c r="G167" s="20">
        <v>4.075909557951146</v>
      </c>
      <c r="H167" s="20">
        <v>4.0354954574265793</v>
      </c>
      <c r="I167" s="20">
        <v>3.4725976589511798</v>
      </c>
      <c r="J167" s="20">
        <v>3.5957049259888376</v>
      </c>
      <c r="K167" s="20">
        <v>4.1054564291822873</v>
      </c>
      <c r="L167" s="20">
        <v>4.5402902342875837</v>
      </c>
      <c r="M167" s="20">
        <v>4.5954865860686036</v>
      </c>
      <c r="N167" s="20">
        <v>5.9232334134914275</v>
      </c>
      <c r="O167" s="20">
        <v>5.4080812185065108</v>
      </c>
      <c r="P167" s="20">
        <v>4.5779998093668173</v>
      </c>
      <c r="Q167" s="20">
        <v>6</v>
      </c>
      <c r="R167" s="20">
        <v>5.9</v>
      </c>
      <c r="S167" s="20">
        <v>6.291131823808314</v>
      </c>
      <c r="T167" s="60">
        <v>7.3944377883587045</v>
      </c>
      <c r="U167" s="60">
        <v>6.8395710708137321</v>
      </c>
      <c r="V167" s="60">
        <v>7.96</v>
      </c>
      <c r="W167" s="60">
        <v>7.4477905073649753</v>
      </c>
      <c r="X167" s="60">
        <v>6.110687435772622</v>
      </c>
      <c r="Y167" s="60">
        <v>7.104288308422964</v>
      </c>
      <c r="Z167" s="60">
        <v>6.8126999475378804</v>
      </c>
      <c r="AA167" s="60" t="e">
        <v>#DIV/0!</v>
      </c>
      <c r="AB167" s="60" t="e">
        <v>#DIV/0!</v>
      </c>
      <c r="AC167" s="60" t="e">
        <v>#DIV/0!</v>
      </c>
      <c r="AD167" s="60" t="e">
        <v>#DIV/0!</v>
      </c>
      <c r="AE167" s="60" t="e">
        <v>#DIV/0!</v>
      </c>
      <c r="AF167" s="60" t="e">
        <v>#DIV/0!</v>
      </c>
      <c r="AG167" s="60" t="e">
        <v>#DIV/0!</v>
      </c>
      <c r="AH167" s="60" t="e">
        <v>#DIV/0!</v>
      </c>
      <c r="AI167" s="60" t="e">
        <v>#DIV/0!</v>
      </c>
      <c r="AJ167" s="60" t="e">
        <v>#DIV/0!</v>
      </c>
      <c r="AK167" s="60" t="e">
        <v>#DIV/0!</v>
      </c>
      <c r="AL167" s="60" t="e">
        <v>#DIV/0!</v>
      </c>
      <c r="AM167" s="60">
        <v>6.8126999475378804</v>
      </c>
      <c r="BO167" s="14"/>
    </row>
    <row r="168" spans="1:67">
      <c r="A168" s="84" t="s">
        <v>172</v>
      </c>
      <c r="B168" s="18" t="s">
        <v>168</v>
      </c>
      <c r="C168" s="20">
        <v>19.194902082685733</v>
      </c>
      <c r="D168" s="20">
        <v>17.2</v>
      </c>
      <c r="E168" s="20">
        <v>16.899999999999999</v>
      </c>
      <c r="F168" s="20">
        <v>14.130828062032913</v>
      </c>
      <c r="G168" s="20">
        <v>14.135118104872358</v>
      </c>
      <c r="H168" s="20">
        <v>15.27</v>
      </c>
      <c r="I168" s="20">
        <v>17.34</v>
      </c>
      <c r="J168" s="20">
        <v>18.66</v>
      </c>
      <c r="K168" s="20">
        <v>21.88</v>
      </c>
      <c r="L168" s="20">
        <v>18.309999999999999</v>
      </c>
      <c r="M168" s="20">
        <v>17.899999999999999</v>
      </c>
      <c r="N168" s="20">
        <v>18.12</v>
      </c>
      <c r="O168" s="20">
        <v>21.49</v>
      </c>
      <c r="P168" s="20">
        <v>17.27</v>
      </c>
      <c r="Q168" s="20">
        <v>17.53</v>
      </c>
      <c r="R168" s="20">
        <v>13.46</v>
      </c>
      <c r="S168" s="20">
        <v>11.72</v>
      </c>
      <c r="T168" s="60">
        <v>14.97</v>
      </c>
      <c r="U168" s="60">
        <v>17.897530741033492</v>
      </c>
      <c r="V168" s="59">
        <v>14</v>
      </c>
      <c r="W168" s="60">
        <v>16.987029459901802</v>
      </c>
      <c r="X168" s="60">
        <v>11.314889934555682</v>
      </c>
      <c r="Y168" s="60">
        <v>30.963123341248778</v>
      </c>
      <c r="Z168" s="60">
        <v>19.975620544577371</v>
      </c>
      <c r="AA168" s="60" t="e">
        <v>#DIV/0!</v>
      </c>
      <c r="AB168" s="60" t="e">
        <v>#DIV/0!</v>
      </c>
      <c r="AC168" s="60" t="e">
        <v>#DIV/0!</v>
      </c>
      <c r="AD168" s="60" t="e">
        <v>#DIV/0!</v>
      </c>
      <c r="AE168" s="60" t="e">
        <v>#DIV/0!</v>
      </c>
      <c r="AF168" s="60" t="e">
        <v>#DIV/0!</v>
      </c>
      <c r="AG168" s="60" t="e">
        <v>#DIV/0!</v>
      </c>
      <c r="AH168" s="60" t="e">
        <v>#DIV/0!</v>
      </c>
      <c r="AI168" s="60" t="e">
        <v>#DIV/0!</v>
      </c>
      <c r="AJ168" s="60" t="e">
        <v>#DIV/0!</v>
      </c>
      <c r="AK168" s="60" t="e">
        <v>#DIV/0!</v>
      </c>
      <c r="AL168" s="60" t="e">
        <v>#DIV/0!</v>
      </c>
      <c r="AM168" s="60">
        <v>19.975620544577371</v>
      </c>
      <c r="BO168" s="14"/>
    </row>
    <row r="169" spans="1:67">
      <c r="A169" s="84" t="s">
        <v>173</v>
      </c>
      <c r="B169" s="18" t="s">
        <v>41</v>
      </c>
      <c r="C169" s="21">
        <v>88.49338431491212</v>
      </c>
      <c r="D169" s="21">
        <v>86.7</v>
      </c>
      <c r="E169" s="21">
        <v>86.9</v>
      </c>
      <c r="F169" s="20">
        <v>86.957323635606159</v>
      </c>
      <c r="G169" s="20">
        <v>86.959977292080609</v>
      </c>
      <c r="H169" s="20">
        <v>86.994081535124806</v>
      </c>
      <c r="I169" s="20">
        <v>87.01888361305005</v>
      </c>
      <c r="J169" s="20">
        <v>86.964962890587898</v>
      </c>
      <c r="K169" s="20">
        <v>87.009596048497656</v>
      </c>
      <c r="L169" s="20">
        <v>87.00848876091051</v>
      </c>
      <c r="M169" s="20">
        <v>87.056480627540012</v>
      </c>
      <c r="N169" s="20">
        <v>87.133202096712481</v>
      </c>
      <c r="O169" s="20">
        <v>87.073418062133896</v>
      </c>
      <c r="P169" s="20">
        <v>87.409088235870698</v>
      </c>
      <c r="Q169" s="20">
        <v>88.083852730467044</v>
      </c>
      <c r="R169" s="20">
        <v>88.372131132616545</v>
      </c>
      <c r="S169" s="20">
        <v>88.453619553335486</v>
      </c>
      <c r="T169" s="60">
        <v>88.508688896806305</v>
      </c>
      <c r="U169" s="60">
        <v>88.61200211892502</v>
      </c>
      <c r="V169" s="59">
        <v>88.7</v>
      </c>
      <c r="W169" s="59">
        <v>90.841510556051148</v>
      </c>
      <c r="X169" s="59">
        <v>90.60570420464569</v>
      </c>
      <c r="Y169" s="59">
        <v>90.569809220181156</v>
      </c>
      <c r="Z169" s="59">
        <v>90.651634681735942</v>
      </c>
      <c r="AA169" s="59" t="e">
        <v>#DIV/0!</v>
      </c>
      <c r="AB169" s="59" t="e">
        <v>#DIV/0!</v>
      </c>
      <c r="AC169" s="59" t="e">
        <v>#DIV/0!</v>
      </c>
      <c r="AD169" s="59" t="e">
        <v>#DIV/0!</v>
      </c>
      <c r="AE169" s="59" t="e">
        <v>#DIV/0!</v>
      </c>
      <c r="AF169" s="59" t="e">
        <v>#DIV/0!</v>
      </c>
      <c r="AG169" s="59" t="e">
        <v>#DIV/0!</v>
      </c>
      <c r="AH169" s="59" t="e">
        <v>#DIV/0!</v>
      </c>
      <c r="AI169" s="59" t="e">
        <v>#DIV/0!</v>
      </c>
      <c r="AJ169" s="59" t="e">
        <v>#DIV/0!</v>
      </c>
      <c r="AK169" s="59" t="e">
        <v>#DIV/0!</v>
      </c>
      <c r="AL169" s="59" t="e">
        <v>#DIV/0!</v>
      </c>
      <c r="AM169" s="59">
        <v>90.651634681735942</v>
      </c>
      <c r="BO169" s="14"/>
    </row>
    <row r="170" spans="1:67">
      <c r="A170" s="84" t="s">
        <v>174</v>
      </c>
      <c r="B170" s="18" t="s">
        <v>175</v>
      </c>
      <c r="C170" s="20">
        <v>65.630737844270655</v>
      </c>
      <c r="D170" s="20">
        <v>65.599999999999994</v>
      </c>
      <c r="E170" s="20">
        <v>65.8</v>
      </c>
      <c r="F170" s="20">
        <v>66.548488874128196</v>
      </c>
      <c r="G170" s="20">
        <v>66.76407049459921</v>
      </c>
      <c r="H170" s="20">
        <v>67.602213890376717</v>
      </c>
      <c r="I170" s="20">
        <v>66.871531864805789</v>
      </c>
      <c r="J170" s="20">
        <v>66.446307642695899</v>
      </c>
      <c r="K170" s="20">
        <v>66.606574111882395</v>
      </c>
      <c r="L170" s="20">
        <v>66.694603903559127</v>
      </c>
      <c r="M170" s="20">
        <v>67.122094159015433</v>
      </c>
      <c r="N170" s="20">
        <v>66.049799056438928</v>
      </c>
      <c r="O170" s="20">
        <v>67.194193424341478</v>
      </c>
      <c r="P170" s="20">
        <v>68.650115473441105</v>
      </c>
      <c r="Q170" s="20">
        <v>68.259469132120486</v>
      </c>
      <c r="R170" s="20">
        <v>68.543002400790854</v>
      </c>
      <c r="S170" s="20">
        <v>68.530766068247232</v>
      </c>
      <c r="T170" s="60">
        <v>67.638633800547765</v>
      </c>
      <c r="U170" s="60">
        <v>68.571654095772672</v>
      </c>
      <c r="V170" s="59">
        <v>68</v>
      </c>
      <c r="W170" s="59">
        <v>69.039548022598865</v>
      </c>
      <c r="X170" s="59">
        <v>68.099447513812152</v>
      </c>
      <c r="Y170" s="59">
        <v>68.311068702290072</v>
      </c>
      <c r="Z170" s="59">
        <v>68.411681914144964</v>
      </c>
      <c r="AA170" s="59" t="e">
        <v>#DIV/0!</v>
      </c>
      <c r="AB170" s="59" t="e">
        <v>#DIV/0!</v>
      </c>
      <c r="AC170" s="59" t="e">
        <v>#DIV/0!</v>
      </c>
      <c r="AD170" s="59" t="e">
        <v>#DIV/0!</v>
      </c>
      <c r="AE170" s="59" t="e">
        <v>#DIV/0!</v>
      </c>
      <c r="AF170" s="59" t="e">
        <v>#DIV/0!</v>
      </c>
      <c r="AG170" s="59" t="e">
        <v>#DIV/0!</v>
      </c>
      <c r="AH170" s="59" t="e">
        <v>#DIV/0!</v>
      </c>
      <c r="AI170" s="59" t="e">
        <v>#DIV/0!</v>
      </c>
      <c r="AJ170" s="59" t="e">
        <v>#DIV/0!</v>
      </c>
      <c r="AK170" s="59" t="e">
        <v>#DIV/0!</v>
      </c>
      <c r="AL170" s="59" t="e">
        <v>#DIV/0!</v>
      </c>
      <c r="AM170" s="59">
        <v>68.411681914144964</v>
      </c>
      <c r="BO170" s="14"/>
    </row>
    <row r="171" spans="1:67">
      <c r="A171" s="84" t="s">
        <v>176</v>
      </c>
      <c r="B171" s="18" t="s">
        <v>177</v>
      </c>
      <c r="C171" s="21">
        <v>1.6541992519551174</v>
      </c>
      <c r="D171" s="21">
        <v>1.7</v>
      </c>
      <c r="E171" s="21">
        <v>1.65</v>
      </c>
      <c r="F171" s="20">
        <v>1.6652274991697111</v>
      </c>
      <c r="G171" s="20">
        <v>1.6598446086791738</v>
      </c>
      <c r="H171" s="20">
        <v>1.6714872344224245</v>
      </c>
      <c r="I171" s="20">
        <v>1.6705902135530519</v>
      </c>
      <c r="J171" s="20">
        <v>1.6704014833924541</v>
      </c>
      <c r="K171" s="20">
        <v>1.6744610044916293</v>
      </c>
      <c r="L171" s="20">
        <v>1.2380597014925372</v>
      </c>
      <c r="M171" s="20">
        <v>1.3590974799765578</v>
      </c>
      <c r="N171" s="20">
        <v>1.449556176830334</v>
      </c>
      <c r="O171" s="20">
        <v>1.1742741780426842</v>
      </c>
      <c r="P171" s="20">
        <v>1.313316012317167</v>
      </c>
      <c r="Q171" s="20">
        <v>1.5019743513271699</v>
      </c>
      <c r="R171" s="20">
        <v>1.3</v>
      </c>
      <c r="S171" s="20">
        <v>1.31</v>
      </c>
      <c r="T171" s="60">
        <v>1.1100000000000001</v>
      </c>
      <c r="U171" s="60" t="s">
        <v>178</v>
      </c>
      <c r="V171" s="60">
        <v>0.05</v>
      </c>
      <c r="W171" s="76" t="s">
        <v>179</v>
      </c>
      <c r="X171" s="76" t="s">
        <v>180</v>
      </c>
      <c r="Y171" s="76" t="s">
        <v>181</v>
      </c>
      <c r="Z171" s="76" t="s">
        <v>182</v>
      </c>
      <c r="AA171" s="76" t="s">
        <v>183</v>
      </c>
      <c r="AB171" s="76" t="s">
        <v>183</v>
      </c>
      <c r="AC171" s="76" t="s">
        <v>183</v>
      </c>
      <c r="AD171" s="76" t="s">
        <v>183</v>
      </c>
      <c r="AE171" s="76" t="s">
        <v>183</v>
      </c>
      <c r="AF171" s="76" t="s">
        <v>183</v>
      </c>
      <c r="AG171" s="76" t="s">
        <v>183</v>
      </c>
      <c r="AH171" s="76" t="s">
        <v>183</v>
      </c>
      <c r="AI171" s="76" t="s">
        <v>183</v>
      </c>
      <c r="AJ171" s="76" t="s">
        <v>183</v>
      </c>
      <c r="AK171" s="76" t="s">
        <v>183</v>
      </c>
      <c r="AL171" s="77"/>
      <c r="AM171" s="76" t="s">
        <v>182</v>
      </c>
      <c r="BO171" s="14"/>
    </row>
    <row r="172" spans="1:67">
      <c r="A172" s="84" t="s">
        <v>184</v>
      </c>
      <c r="B172" s="18" t="s">
        <v>185</v>
      </c>
      <c r="C172" s="20">
        <v>1541</v>
      </c>
      <c r="D172" s="20">
        <v>1778</v>
      </c>
      <c r="E172" s="20">
        <v>1701</v>
      </c>
      <c r="F172" s="20">
        <v>1814.75</v>
      </c>
      <c r="G172" s="20">
        <v>1557.3333333333333</v>
      </c>
      <c r="H172" s="20">
        <v>1674.3333333333333</v>
      </c>
      <c r="I172" s="20">
        <v>1726.25</v>
      </c>
      <c r="J172" s="20">
        <v>1802</v>
      </c>
      <c r="K172" s="20">
        <v>1646.6666666666667</v>
      </c>
      <c r="L172" s="20">
        <v>1287</v>
      </c>
      <c r="M172" s="20">
        <v>1657</v>
      </c>
      <c r="N172" s="20">
        <v>1672.75</v>
      </c>
      <c r="O172" s="20">
        <v>1369</v>
      </c>
      <c r="P172" s="20">
        <v>1631</v>
      </c>
      <c r="Q172" s="20">
        <v>1671.25</v>
      </c>
      <c r="R172" s="20" t="s">
        <v>1</v>
      </c>
      <c r="S172" s="20">
        <v>1877.25</v>
      </c>
      <c r="T172" s="60">
        <v>1589.6666666666667</v>
      </c>
      <c r="U172" s="60">
        <v>1806.5</v>
      </c>
      <c r="V172" s="62">
        <v>1800</v>
      </c>
      <c r="W172" s="62" t="s">
        <v>1</v>
      </c>
      <c r="X172" s="62" t="s">
        <v>1</v>
      </c>
      <c r="Y172" s="62">
        <v>2263</v>
      </c>
      <c r="Z172" s="62">
        <v>2263</v>
      </c>
      <c r="AA172" s="62" t="s">
        <v>1</v>
      </c>
      <c r="AB172" s="62" t="s">
        <v>1</v>
      </c>
      <c r="AC172" s="62" t="s">
        <v>1</v>
      </c>
      <c r="AD172" s="62" t="e">
        <v>#DIV/0!</v>
      </c>
      <c r="AE172" s="62" t="s">
        <v>1</v>
      </c>
      <c r="AF172" s="62" t="s">
        <v>1</v>
      </c>
      <c r="AG172" s="62" t="s">
        <v>1</v>
      </c>
      <c r="AH172" s="62" t="s">
        <v>1</v>
      </c>
      <c r="AI172" s="62" t="s">
        <v>1</v>
      </c>
      <c r="AJ172" s="62" t="s">
        <v>1</v>
      </c>
      <c r="AK172" s="62" t="s">
        <v>1</v>
      </c>
      <c r="AL172" s="62" t="s">
        <v>1</v>
      </c>
      <c r="AM172" s="62">
        <v>2263</v>
      </c>
      <c r="BO172" s="14"/>
    </row>
    <row r="173" spans="1:67">
      <c r="A173" s="84" t="s">
        <v>186</v>
      </c>
      <c r="B173" s="18" t="s">
        <v>187</v>
      </c>
      <c r="C173" s="21">
        <v>64.233084654439949</v>
      </c>
      <c r="D173" s="21">
        <v>65</v>
      </c>
      <c r="E173" s="21">
        <v>61.29</v>
      </c>
      <c r="F173" s="20">
        <v>62.503374879914162</v>
      </c>
      <c r="G173" s="20">
        <v>61.86294044517107</v>
      </c>
      <c r="H173" s="20">
        <v>61.16646418761885</v>
      </c>
      <c r="I173" s="20">
        <v>61.352402026729699</v>
      </c>
      <c r="J173" s="20">
        <v>61.328099975734048</v>
      </c>
      <c r="K173" s="20">
        <v>59.36</v>
      </c>
      <c r="L173" s="20">
        <v>59.353087913790432</v>
      </c>
      <c r="M173" s="20">
        <v>54.989924097346318</v>
      </c>
      <c r="N173" s="20">
        <v>60.806263680446982</v>
      </c>
      <c r="O173" s="20">
        <v>60.400913364828014</v>
      </c>
      <c r="P173" s="20">
        <v>59.059012183703103</v>
      </c>
      <c r="Q173" s="20">
        <v>60.44504836722389</v>
      </c>
      <c r="R173" s="20">
        <v>59.127191961314757</v>
      </c>
      <c r="S173" s="20">
        <v>57.61976847195087</v>
      </c>
      <c r="T173" s="60">
        <v>59.558610209297505</v>
      </c>
      <c r="U173" s="60">
        <v>58.83814625236937</v>
      </c>
      <c r="V173" s="59">
        <v>57</v>
      </c>
      <c r="W173" s="60">
        <v>59.752045826513914</v>
      </c>
      <c r="X173" s="60">
        <v>59.100546270755586</v>
      </c>
      <c r="Y173" s="60">
        <v>59.488755412767148</v>
      </c>
      <c r="Z173" s="60">
        <v>59.407280919218621</v>
      </c>
      <c r="AA173" s="60" t="e">
        <v>#DIV/0!</v>
      </c>
      <c r="AB173" s="60" t="e">
        <v>#DIV/0!</v>
      </c>
      <c r="AC173" s="60" t="e">
        <v>#DIV/0!</v>
      </c>
      <c r="AD173" s="60" t="e">
        <v>#DIV/0!</v>
      </c>
      <c r="AE173" s="60" t="e">
        <v>#DIV/0!</v>
      </c>
      <c r="AF173" s="60" t="e">
        <v>#DIV/0!</v>
      </c>
      <c r="AG173" s="60" t="e">
        <v>#DIV/0!</v>
      </c>
      <c r="AH173" s="60" t="e">
        <v>#DIV/0!</v>
      </c>
      <c r="AI173" s="60" t="e">
        <v>#DIV/0!</v>
      </c>
      <c r="AJ173" s="60" t="e">
        <v>#DIV/0!</v>
      </c>
      <c r="AK173" s="60" t="e">
        <v>#DIV/0!</v>
      </c>
      <c r="AL173" s="60" t="e">
        <v>#DIV/0!</v>
      </c>
      <c r="AM173" s="60">
        <v>59.407280919218621</v>
      </c>
      <c r="BO173" s="14"/>
    </row>
    <row r="174" spans="1:67">
      <c r="A174" s="84" t="s">
        <v>188</v>
      </c>
      <c r="B174" s="18" t="s">
        <v>187</v>
      </c>
      <c r="C174" s="20">
        <v>3.4179852396031682</v>
      </c>
      <c r="D174" s="20">
        <v>4</v>
      </c>
      <c r="E174" s="20">
        <v>4.07</v>
      </c>
      <c r="F174" s="20">
        <v>4.0355107134907193</v>
      </c>
      <c r="G174" s="20">
        <v>4.0234112569886475</v>
      </c>
      <c r="H174" s="20">
        <v>4.0059722670789366</v>
      </c>
      <c r="I174" s="20">
        <v>4.0492624989604673</v>
      </c>
      <c r="J174" s="20">
        <v>4.0337186546572825</v>
      </c>
      <c r="K174" s="20">
        <v>3.9873693781138844</v>
      </c>
      <c r="L174" s="20">
        <v>3.9913778237627175</v>
      </c>
      <c r="M174" s="20">
        <v>3.9832140370503084</v>
      </c>
      <c r="N174" s="20">
        <v>3.9984749155378569</v>
      </c>
      <c r="O174" s="20">
        <v>3.9855422515235648</v>
      </c>
      <c r="P174" s="20">
        <v>3.978040303426746</v>
      </c>
      <c r="Q174" s="20">
        <v>3.9903293993691378</v>
      </c>
      <c r="R174" s="20">
        <v>3.9830179804764536</v>
      </c>
      <c r="S174" s="20">
        <v>3.9777797808625284</v>
      </c>
      <c r="T174" s="60">
        <v>3.9989402734285497</v>
      </c>
      <c r="U174" s="60">
        <v>3.9885928928495478</v>
      </c>
      <c r="V174" s="60">
        <v>5</v>
      </c>
      <c r="W174" s="60">
        <v>4.0032827246614691</v>
      </c>
      <c r="X174" s="60">
        <v>3.9747480221090279</v>
      </c>
      <c r="Y174" s="60">
        <v>3.9963682078502583</v>
      </c>
      <c r="Z174" s="60">
        <v>3.9898839018058574</v>
      </c>
      <c r="AA174" s="60" t="e">
        <v>#DIV/0!</v>
      </c>
      <c r="AB174" s="60" t="e">
        <v>#DIV/0!</v>
      </c>
      <c r="AC174" s="60" t="e">
        <v>#DIV/0!</v>
      </c>
      <c r="AD174" s="60" t="e">
        <v>#DIV/0!</v>
      </c>
      <c r="AE174" s="60" t="e">
        <v>#DIV/0!</v>
      </c>
      <c r="AF174" s="60" t="e">
        <v>#DIV/0!</v>
      </c>
      <c r="AG174" s="60" t="e">
        <v>#DIV/0!</v>
      </c>
      <c r="AH174" s="60" t="e">
        <v>#DIV/0!</v>
      </c>
      <c r="AI174" s="60" t="e">
        <v>#DIV/0!</v>
      </c>
      <c r="AJ174" s="60" t="e">
        <v>#DIV/0!</v>
      </c>
      <c r="AK174" s="60" t="e">
        <v>#DIV/0!</v>
      </c>
      <c r="AL174" s="60" t="e">
        <v>#DIV/0!</v>
      </c>
      <c r="AM174" s="60">
        <v>3.9898839018058574</v>
      </c>
      <c r="BO174" s="14"/>
    </row>
    <row r="175" spans="1:67">
      <c r="A175" s="84" t="s">
        <v>189</v>
      </c>
      <c r="B175" s="18" t="s">
        <v>190</v>
      </c>
      <c r="C175" s="21">
        <v>2667.5450527031621</v>
      </c>
      <c r="D175" s="21">
        <v>2876</v>
      </c>
      <c r="E175" s="21">
        <v>2492</v>
      </c>
      <c r="F175" s="20">
        <v>2445.8817668548654</v>
      </c>
      <c r="G175" s="20">
        <v>2247.5080538184575</v>
      </c>
      <c r="H175" s="20">
        <v>2412.5870380289234</v>
      </c>
      <c r="I175" s="20">
        <v>2412.6618463090635</v>
      </c>
      <c r="J175" s="20">
        <v>2888.68107062238</v>
      </c>
      <c r="K175" s="20">
        <v>2935.5042874642713</v>
      </c>
      <c r="L175" s="20">
        <v>2978.4730195177958</v>
      </c>
      <c r="M175" s="20">
        <v>3803.6921273686266</v>
      </c>
      <c r="N175" s="20">
        <v>2812.7031277302112</v>
      </c>
      <c r="O175" s="20">
        <v>3013.4589502018844</v>
      </c>
      <c r="P175" s="20">
        <v>3665.5119322555811</v>
      </c>
      <c r="Q175" s="20">
        <v>3655.7560393677304</v>
      </c>
      <c r="R175" s="20">
        <v>3666.4736619121595</v>
      </c>
      <c r="S175" s="20">
        <v>3633.1780183637111</v>
      </c>
      <c r="T175" s="60">
        <v>3656.1785081359753</v>
      </c>
      <c r="U175" s="60">
        <v>3668.6946149798282</v>
      </c>
      <c r="V175" s="62">
        <v>3650</v>
      </c>
      <c r="W175" s="62">
        <v>3641.8079096045199</v>
      </c>
      <c r="X175" s="62">
        <v>3737.3664825046039</v>
      </c>
      <c r="Y175" s="62">
        <v>3645.7862595419847</v>
      </c>
      <c r="Z175" s="62">
        <v>3679.7902885292046</v>
      </c>
      <c r="AA175" s="62" t="e">
        <v>#DIV/0!</v>
      </c>
      <c r="AB175" s="62" t="e">
        <v>#DIV/0!</v>
      </c>
      <c r="AC175" s="62" t="e">
        <v>#DIV/0!</v>
      </c>
      <c r="AD175" s="62" t="e">
        <v>#DIV/0!</v>
      </c>
      <c r="AE175" s="62" t="e">
        <v>#DIV/0!</v>
      </c>
      <c r="AF175" s="62" t="e">
        <v>#DIV/0!</v>
      </c>
      <c r="AG175" s="62" t="e">
        <v>#DIV/0!</v>
      </c>
      <c r="AH175" s="62" t="e">
        <v>#DIV/0!</v>
      </c>
      <c r="AI175" s="62" t="e">
        <v>#DIV/0!</v>
      </c>
      <c r="AJ175" s="62" t="e">
        <v>#DIV/0!</v>
      </c>
      <c r="AK175" s="62" t="e">
        <v>#DIV/0!</v>
      </c>
      <c r="AL175" s="62" t="e">
        <v>#DIV/0!</v>
      </c>
      <c r="AM175" s="62">
        <v>3679.7902885292046</v>
      </c>
      <c r="BO175" s="14"/>
    </row>
    <row r="176" spans="1:67">
      <c r="A176" s="84" t="s">
        <v>191</v>
      </c>
      <c r="B176" s="18" t="s">
        <v>41</v>
      </c>
      <c r="C176" s="20">
        <v>90.483458810317757</v>
      </c>
      <c r="D176" s="20">
        <v>88.65</v>
      </c>
      <c r="E176" s="20">
        <v>88.71</v>
      </c>
      <c r="F176" s="20">
        <v>88.561267532287175</v>
      </c>
      <c r="G176" s="20">
        <v>88.674672031001251</v>
      </c>
      <c r="H176" s="20">
        <v>88.676340844759778</v>
      </c>
      <c r="I176" s="20">
        <v>88.668081661232804</v>
      </c>
      <c r="J176" s="20">
        <v>88.515813442111636</v>
      </c>
      <c r="K176" s="20">
        <v>88.475940535437104</v>
      </c>
      <c r="L176" s="20">
        <v>88.604476130921398</v>
      </c>
      <c r="M176" s="20">
        <v>88.570856685348275</v>
      </c>
      <c r="N176" s="20">
        <v>88.756677390009727</v>
      </c>
      <c r="O176" s="20">
        <v>88.642621316887798</v>
      </c>
      <c r="P176" s="20">
        <v>89.77006031445832</v>
      </c>
      <c r="Q176" s="20">
        <v>89.806394244371688</v>
      </c>
      <c r="R176" s="20">
        <v>89.970230237702907</v>
      </c>
      <c r="S176" s="20">
        <v>90.084302356433057</v>
      </c>
      <c r="T176" s="60">
        <v>90.175843960357639</v>
      </c>
      <c r="U176" s="60">
        <v>90.177869151591111</v>
      </c>
      <c r="V176" s="60">
        <v>90</v>
      </c>
      <c r="W176" s="60">
        <v>92.703687184061849</v>
      </c>
      <c r="X176" s="60">
        <v>92.048907184161521</v>
      </c>
      <c r="Y176" s="60">
        <v>92.012043924902585</v>
      </c>
      <c r="Z176" s="60">
        <v>92.199593427702865</v>
      </c>
      <c r="AA176" s="60" t="e">
        <v>#DIV/0!</v>
      </c>
      <c r="AB176" s="60" t="e">
        <v>#DIV/0!</v>
      </c>
      <c r="AC176" s="60" t="e">
        <v>#DIV/0!</v>
      </c>
      <c r="AD176" s="60" t="e">
        <v>#DIV/0!</v>
      </c>
      <c r="AE176" s="60" t="e">
        <v>#DIV/0!</v>
      </c>
      <c r="AF176" s="60" t="e">
        <v>#DIV/0!</v>
      </c>
      <c r="AG176" s="60" t="e">
        <v>#DIV/0!</v>
      </c>
      <c r="AH176" s="60" t="e">
        <v>#DIV/0!</v>
      </c>
      <c r="AI176" s="60" t="e">
        <v>#DIV/0!</v>
      </c>
      <c r="AJ176" s="60" t="e">
        <v>#DIV/0!</v>
      </c>
      <c r="AK176" s="60" t="e">
        <v>#DIV/0!</v>
      </c>
      <c r="AL176" s="60" t="e">
        <v>#DIV/0!</v>
      </c>
      <c r="AM176" s="60">
        <v>92.199593427702865</v>
      </c>
      <c r="BO176" s="14"/>
    </row>
    <row r="177" spans="1:79">
      <c r="A177" s="84" t="s">
        <v>192</v>
      </c>
      <c r="B177" s="18" t="s">
        <v>41</v>
      </c>
      <c r="C177" s="21">
        <v>98.459480474305067</v>
      </c>
      <c r="D177" s="21">
        <v>98.54</v>
      </c>
      <c r="E177" s="21">
        <v>98.64</v>
      </c>
      <c r="F177" s="20">
        <v>98.763672473247894</v>
      </c>
      <c r="G177" s="20">
        <v>98.837696777007153</v>
      </c>
      <c r="H177" s="20">
        <v>98.909172793732594</v>
      </c>
      <c r="I177" s="20">
        <v>98.952158896799375</v>
      </c>
      <c r="J177" s="20">
        <v>98.986897041306207</v>
      </c>
      <c r="K177" s="20">
        <v>99.056468862863937</v>
      </c>
      <c r="L177" s="20">
        <v>99.054972178688402</v>
      </c>
      <c r="M177" s="20">
        <v>99.150787254876477</v>
      </c>
      <c r="N177" s="20">
        <v>99.05608170309192</v>
      </c>
      <c r="O177" s="20">
        <v>98.934170878486967</v>
      </c>
      <c r="P177" s="20">
        <v>98.815154701236438</v>
      </c>
      <c r="Q177" s="20">
        <v>96.779509701877757</v>
      </c>
      <c r="R177" s="20">
        <v>98.875295250294741</v>
      </c>
      <c r="S177" s="20">
        <v>98.206153646412204</v>
      </c>
      <c r="T177" s="60">
        <v>98.744761985566882</v>
      </c>
      <c r="U177" s="60">
        <v>98.72659157081533</v>
      </c>
      <c r="V177" s="60">
        <v>98.7</v>
      </c>
      <c r="W177" s="60">
        <v>98.234440503063524</v>
      </c>
      <c r="X177" s="60">
        <v>98.763714209258765</v>
      </c>
      <c r="Y177" s="60">
        <v>98.823886695563345</v>
      </c>
      <c r="Z177" s="60">
        <v>98.652425329525713</v>
      </c>
      <c r="AA177" s="60" t="e">
        <v>#DIV/0!</v>
      </c>
      <c r="AB177" s="60" t="e">
        <v>#DIV/0!</v>
      </c>
      <c r="AC177" s="60" t="e">
        <v>#DIV/0!</v>
      </c>
      <c r="AD177" s="60" t="e">
        <v>#DIV/0!</v>
      </c>
      <c r="AE177" s="60" t="e">
        <v>#DIV/0!</v>
      </c>
      <c r="AF177" s="60" t="e">
        <v>#DIV/0!</v>
      </c>
      <c r="AG177" s="60" t="e">
        <v>#DIV/0!</v>
      </c>
      <c r="AH177" s="60" t="e">
        <v>#DIV/0!</v>
      </c>
      <c r="AI177" s="60" t="e">
        <v>#DIV/0!</v>
      </c>
      <c r="AJ177" s="60" t="e">
        <v>#DIV/0!</v>
      </c>
      <c r="AK177" s="60" t="e">
        <v>#DIV/0!</v>
      </c>
      <c r="AL177" s="60" t="e">
        <v>#DIV/0!</v>
      </c>
      <c r="AM177" s="60">
        <v>98.652425329525713</v>
      </c>
      <c r="BO177" s="14"/>
    </row>
    <row r="178" spans="1:79">
      <c r="A178" s="84" t="s">
        <v>193</v>
      </c>
      <c r="B178" s="18"/>
      <c r="C178" s="20">
        <v>1.0369999999999999</v>
      </c>
      <c r="D178" s="20">
        <v>1.073</v>
      </c>
      <c r="E178" s="20">
        <v>1.069</v>
      </c>
      <c r="F178" s="20">
        <v>1.069</v>
      </c>
      <c r="G178" s="20">
        <v>1.0720000000000001</v>
      </c>
      <c r="H178" s="20">
        <v>1.0669999999999999</v>
      </c>
      <c r="I178" s="20">
        <v>1.0680000000000001</v>
      </c>
      <c r="J178" s="20">
        <v>1.0727500000000001</v>
      </c>
      <c r="K178" s="20">
        <v>1.0705833333333332</v>
      </c>
      <c r="L178" s="20">
        <v>1.07</v>
      </c>
      <c r="M178" s="20">
        <v>1.07</v>
      </c>
      <c r="N178" s="20">
        <v>1.069</v>
      </c>
      <c r="O178" s="20">
        <v>1.075</v>
      </c>
      <c r="P178" s="20">
        <v>1.073</v>
      </c>
      <c r="Q178" s="20">
        <v>1.0629999999999999</v>
      </c>
      <c r="R178" s="20">
        <v>1.0740000000000001</v>
      </c>
      <c r="S178" s="20">
        <v>1.0719460714421409</v>
      </c>
      <c r="T178" s="60">
        <v>1.0788384905426682</v>
      </c>
      <c r="U178" s="60">
        <v>1.086878112793437</v>
      </c>
      <c r="V178" s="69">
        <v>1.087</v>
      </c>
      <c r="W178" s="69">
        <v>1.031137479541735</v>
      </c>
      <c r="X178" s="69">
        <v>1.0347503921250474</v>
      </c>
      <c r="Y178" s="69">
        <v>1.0357033105182287</v>
      </c>
      <c r="Z178" s="69">
        <v>1.0338637273950038</v>
      </c>
      <c r="AA178" s="69" t="e">
        <v>#DIV/0!</v>
      </c>
      <c r="AB178" s="69" t="e">
        <v>#DIV/0!</v>
      </c>
      <c r="AC178" s="69" t="e">
        <v>#DIV/0!</v>
      </c>
      <c r="AD178" s="69" t="e">
        <v>#DIV/0!</v>
      </c>
      <c r="AE178" s="69" t="e">
        <v>#DIV/0!</v>
      </c>
      <c r="AF178" s="69" t="e">
        <v>#DIV/0!</v>
      </c>
      <c r="AG178" s="69" t="e">
        <v>#DIV/0!</v>
      </c>
      <c r="AH178" s="69" t="e">
        <v>#DIV/0!</v>
      </c>
      <c r="AI178" s="69" t="e">
        <v>#DIV/0!</v>
      </c>
      <c r="AJ178" s="69" t="e">
        <v>#DIV/0!</v>
      </c>
      <c r="AK178" s="69" t="e">
        <v>#DIV/0!</v>
      </c>
      <c r="AL178" s="69" t="e">
        <v>#DIV/0!</v>
      </c>
      <c r="AM178" s="69">
        <v>1.0341929577319906</v>
      </c>
      <c r="BO178" s="14"/>
    </row>
    <row r="179" spans="1:79">
      <c r="A179" s="85" t="s">
        <v>194</v>
      </c>
      <c r="B179" s="13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2">
        <v>5209</v>
      </c>
      <c r="P179" s="22">
        <v>5198</v>
      </c>
      <c r="Q179" s="22">
        <v>6704</v>
      </c>
      <c r="R179" s="22">
        <v>7081</v>
      </c>
      <c r="S179" s="22">
        <v>7297</v>
      </c>
      <c r="T179" s="62">
        <v>6207</v>
      </c>
      <c r="U179" s="62">
        <v>5701</v>
      </c>
      <c r="V179" s="62">
        <v>7350</v>
      </c>
      <c r="W179" s="62">
        <v>354</v>
      </c>
      <c r="X179" s="62">
        <v>543</v>
      </c>
      <c r="Y179" s="62">
        <v>524</v>
      </c>
      <c r="Z179" s="62">
        <v>1421</v>
      </c>
      <c r="AA179" s="62">
        <v>0</v>
      </c>
      <c r="AB179" s="62">
        <v>0</v>
      </c>
      <c r="AC179" s="62">
        <v>0</v>
      </c>
      <c r="AD179" s="62">
        <v>0</v>
      </c>
      <c r="AE179" s="62">
        <v>0</v>
      </c>
      <c r="AF179" s="62">
        <v>0</v>
      </c>
      <c r="AG179" s="62">
        <v>0</v>
      </c>
      <c r="AH179" s="62">
        <v>0</v>
      </c>
      <c r="AI179" s="62">
        <v>0</v>
      </c>
      <c r="AJ179" s="62">
        <v>0</v>
      </c>
      <c r="AK179" s="62">
        <v>0</v>
      </c>
      <c r="AL179" s="62">
        <v>0</v>
      </c>
      <c r="AM179" s="62">
        <v>1421</v>
      </c>
      <c r="BO179" s="23"/>
    </row>
    <row r="180" spans="1:79" s="12" customFormat="1">
      <c r="A180" s="64" t="s">
        <v>195</v>
      </c>
      <c r="B180" s="18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3"/>
      <c r="Q180" s="13"/>
      <c r="R180" s="13"/>
      <c r="S180" s="13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BO180" s="13"/>
      <c r="BP180" s="16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</row>
    <row r="181" spans="1:79">
      <c r="A181" s="85" t="s">
        <v>156</v>
      </c>
      <c r="B181" s="18" t="s">
        <v>157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3"/>
      <c r="Q181" s="13"/>
      <c r="R181" s="20"/>
      <c r="S181" s="20">
        <v>90.28</v>
      </c>
      <c r="T181" s="60">
        <v>91.98</v>
      </c>
      <c r="U181" s="60">
        <v>89.573325722983256</v>
      </c>
      <c r="V181" s="60"/>
      <c r="W181" s="60">
        <v>91.746759259259264</v>
      </c>
      <c r="X181" s="60">
        <v>75.646057347670265</v>
      </c>
      <c r="Y181" s="60">
        <v>90.443055555555546</v>
      </c>
      <c r="Z181" s="60">
        <v>85.832112332112331</v>
      </c>
      <c r="AA181" s="60" t="e">
        <v>#DIV/0!</v>
      </c>
      <c r="AB181" s="60" t="e">
        <v>#DIV/0!</v>
      </c>
      <c r="AC181" s="60" t="e">
        <v>#DIV/0!</v>
      </c>
      <c r="AD181" s="60" t="e">
        <v>#DIV/0!</v>
      </c>
      <c r="AE181" s="60" t="e">
        <v>#DIV/0!</v>
      </c>
      <c r="AF181" s="60" t="e">
        <v>#DIV/0!</v>
      </c>
      <c r="AG181" s="60" t="e">
        <v>#DIV/0!</v>
      </c>
      <c r="AH181" s="60" t="e">
        <v>#DIV/0!</v>
      </c>
      <c r="AI181" s="60" t="e">
        <v>#DIV/0!</v>
      </c>
      <c r="AJ181" s="60" t="e">
        <v>#DIV/0!</v>
      </c>
      <c r="AK181" s="60" t="e">
        <v>#DIV/0!</v>
      </c>
      <c r="AL181" s="60" t="e">
        <v>#DIV/0!</v>
      </c>
      <c r="AM181" s="60">
        <v>85.832112332112331</v>
      </c>
      <c r="BO181" s="13"/>
    </row>
    <row r="182" spans="1:79">
      <c r="A182" s="85" t="s">
        <v>158</v>
      </c>
      <c r="B182" s="18" t="s">
        <v>159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3"/>
      <c r="Q182" s="13"/>
      <c r="R182" s="20"/>
      <c r="S182" s="20">
        <v>91.56</v>
      </c>
      <c r="T182" s="60">
        <v>92.96</v>
      </c>
      <c r="U182" s="60">
        <v>95.263695169089715</v>
      </c>
      <c r="V182" s="60"/>
      <c r="W182" s="60">
        <v>96.369333864855449</v>
      </c>
      <c r="X182" s="60">
        <v>97.269636701768519</v>
      </c>
      <c r="Y182" s="60">
        <v>93.317874455484059</v>
      </c>
      <c r="Z182" s="60">
        <v>95.579616339362545</v>
      </c>
      <c r="AA182" s="60" t="e">
        <v>#DIV/0!</v>
      </c>
      <c r="AB182" s="60" t="e">
        <v>#DIV/0!</v>
      </c>
      <c r="AC182" s="60" t="e">
        <v>#DIV/0!</v>
      </c>
      <c r="AD182" s="60" t="e">
        <v>#DIV/0!</v>
      </c>
      <c r="AE182" s="60" t="e">
        <v>#DIV/0!</v>
      </c>
      <c r="AF182" s="60" t="e">
        <v>#DIV/0!</v>
      </c>
      <c r="AG182" s="60" t="e">
        <v>#DIV/0!</v>
      </c>
      <c r="AH182" s="60" t="e">
        <v>#DIV/0!</v>
      </c>
      <c r="AI182" s="60" t="e">
        <v>#DIV/0!</v>
      </c>
      <c r="AJ182" s="60" t="e">
        <v>#DIV/0!</v>
      </c>
      <c r="AK182" s="60" t="e">
        <v>#DIV/0!</v>
      </c>
      <c r="AL182" s="60" t="e">
        <v>#DIV/0!</v>
      </c>
      <c r="AM182" s="60">
        <v>95.579616339362545</v>
      </c>
      <c r="BO182" s="13"/>
    </row>
    <row r="183" spans="1:79">
      <c r="A183" s="84" t="s">
        <v>196</v>
      </c>
      <c r="B183" s="18" t="s">
        <v>161</v>
      </c>
      <c r="C183" s="22">
        <v>1110.7481169351627</v>
      </c>
      <c r="D183" s="22">
        <v>1136</v>
      </c>
      <c r="E183" s="22">
        <v>1136</v>
      </c>
      <c r="F183" s="22">
        <v>1135.3811252474877</v>
      </c>
      <c r="G183" s="22">
        <v>1135.2166816931872</v>
      </c>
      <c r="H183" s="22">
        <v>1135.623047048028</v>
      </c>
      <c r="I183" s="22">
        <v>1135.2263215844491</v>
      </c>
      <c r="J183" s="22">
        <v>1135.2481304377427</v>
      </c>
      <c r="K183" s="22">
        <v>1135.6149025828913</v>
      </c>
      <c r="L183" s="22">
        <v>1135.8303556614283</v>
      </c>
      <c r="M183" s="22">
        <v>1133.7175696289171</v>
      </c>
      <c r="N183" s="22">
        <v>1129.4127183313963</v>
      </c>
      <c r="O183" s="22">
        <v>1126.3916885356052</v>
      </c>
      <c r="P183" s="22">
        <v>1123.9030059474844</v>
      </c>
      <c r="Q183" s="22">
        <v>1119.2897508963576</v>
      </c>
      <c r="R183" s="22">
        <v>1116.3243494528404</v>
      </c>
      <c r="S183" s="22">
        <v>1113.3191775748312</v>
      </c>
      <c r="T183" s="62">
        <v>1102.3207693716474</v>
      </c>
      <c r="U183" s="62">
        <v>1099.1084745391775</v>
      </c>
      <c r="V183" s="54">
        <v>1098</v>
      </c>
      <c r="W183" s="60">
        <v>1097.9728776358079</v>
      </c>
      <c r="X183" s="60">
        <v>1098.4399268284265</v>
      </c>
      <c r="Y183" s="60">
        <v>1098.2486131362396</v>
      </c>
      <c r="Z183" s="60">
        <v>1098.2127697108017</v>
      </c>
      <c r="AA183" s="60" t="e">
        <v>#DIV/0!</v>
      </c>
      <c r="AB183" s="60" t="e">
        <v>#DIV/0!</v>
      </c>
      <c r="AC183" s="60" t="e">
        <v>#DIV/0!</v>
      </c>
      <c r="AD183" s="60" t="e">
        <v>#DIV/0!</v>
      </c>
      <c r="AE183" s="60" t="e">
        <v>#DIV/0!</v>
      </c>
      <c r="AF183" s="60" t="e">
        <v>#DIV/0!</v>
      </c>
      <c r="AG183" s="60" t="e">
        <v>#DIV/0!</v>
      </c>
      <c r="AH183" s="60" t="e">
        <v>#DIV/0!</v>
      </c>
      <c r="AI183" s="60" t="e">
        <v>#DIV/0!</v>
      </c>
      <c r="AJ183" s="60" t="e">
        <v>#DIV/0!</v>
      </c>
      <c r="AK183" s="60" t="e">
        <v>#DIV/0!</v>
      </c>
      <c r="AL183" s="60" t="e">
        <v>#DIV/0!</v>
      </c>
      <c r="AM183" s="60">
        <v>1098.2127697108017</v>
      </c>
      <c r="BO183" s="14"/>
    </row>
    <row r="184" spans="1:79">
      <c r="A184" s="84" t="s">
        <v>162</v>
      </c>
      <c r="B184" s="18" t="s">
        <v>161</v>
      </c>
      <c r="C184" s="22">
        <v>1024.9180919526223</v>
      </c>
      <c r="D184" s="22">
        <v>1047</v>
      </c>
      <c r="E184" s="22">
        <v>1049</v>
      </c>
      <c r="F184" s="22">
        <v>1049.7174492693007</v>
      </c>
      <c r="G184" s="22">
        <v>1049.423042119548</v>
      </c>
      <c r="H184" s="22">
        <v>1048.4835194641707</v>
      </c>
      <c r="I184" s="22">
        <v>1045.5104018419406</v>
      </c>
      <c r="J184" s="22">
        <v>1046.2437705773725</v>
      </c>
      <c r="K184" s="22">
        <v>1037.9460217081723</v>
      </c>
      <c r="L184" s="22">
        <v>1024.0506263481002</v>
      </c>
      <c r="M184" s="22">
        <v>1005.4693156990854</v>
      </c>
      <c r="N184" s="22">
        <v>991.13296769801502</v>
      </c>
      <c r="O184" s="22">
        <v>1009.044549246314</v>
      </c>
      <c r="P184" s="22">
        <v>1034.399874997494</v>
      </c>
      <c r="Q184" s="22">
        <v>1022.0959332904182</v>
      </c>
      <c r="R184" s="22">
        <v>1021.3477846840296</v>
      </c>
      <c r="S184" s="22">
        <v>1027.646611522212</v>
      </c>
      <c r="T184" s="62">
        <v>1020.8831180866767</v>
      </c>
      <c r="U184" s="62">
        <v>1028.0873333296859</v>
      </c>
      <c r="V184" s="54">
        <v>1025</v>
      </c>
      <c r="W184" s="60">
        <v>1038.3977424159284</v>
      </c>
      <c r="X184" s="60">
        <v>1040.1718841680186</v>
      </c>
      <c r="Y184" s="60">
        <v>1038.7886101194965</v>
      </c>
      <c r="Z184" s="60">
        <v>1039.0930440247412</v>
      </c>
      <c r="AA184" s="60" t="e">
        <v>#DIV/0!</v>
      </c>
      <c r="AB184" s="60" t="e">
        <v>#DIV/0!</v>
      </c>
      <c r="AC184" s="60" t="e">
        <v>#DIV/0!</v>
      </c>
      <c r="AD184" s="60" t="e">
        <v>#DIV/0!</v>
      </c>
      <c r="AE184" s="60" t="e">
        <v>#DIV/0!</v>
      </c>
      <c r="AF184" s="60" t="e">
        <v>#DIV/0!</v>
      </c>
      <c r="AG184" s="60" t="e">
        <v>#DIV/0!</v>
      </c>
      <c r="AH184" s="60" t="e">
        <v>#DIV/0!</v>
      </c>
      <c r="AI184" s="60" t="e">
        <v>#DIV/0!</v>
      </c>
      <c r="AJ184" s="60" t="e">
        <v>#DIV/0!</v>
      </c>
      <c r="AK184" s="60" t="e">
        <v>#DIV/0!</v>
      </c>
      <c r="AL184" s="60" t="e">
        <v>#DIV/0!</v>
      </c>
      <c r="AM184" s="60">
        <v>1039.0930440247412</v>
      </c>
      <c r="BO184" s="14"/>
    </row>
    <row r="185" spans="1:79">
      <c r="A185" s="84" t="s">
        <v>163</v>
      </c>
      <c r="B185" s="18" t="s">
        <v>161</v>
      </c>
      <c r="C185" s="22">
        <v>85.830024982540351</v>
      </c>
      <c r="D185" s="22">
        <v>89</v>
      </c>
      <c r="E185" s="22">
        <v>87</v>
      </c>
      <c r="F185" s="22">
        <v>85</v>
      </c>
      <c r="G185" s="22">
        <v>85.793639573639211</v>
      </c>
      <c r="H185" s="22">
        <v>88</v>
      </c>
      <c r="I185" s="22">
        <v>89</v>
      </c>
      <c r="J185" s="22">
        <v>89.004359860370158</v>
      </c>
      <c r="K185" s="22">
        <v>97.668880874718994</v>
      </c>
      <c r="L185" s="22">
        <v>111.77972931332812</v>
      </c>
      <c r="M185" s="22">
        <v>128.24825392983166</v>
      </c>
      <c r="N185" s="22">
        <v>138.27975063338121</v>
      </c>
      <c r="O185" s="22">
        <v>117.34713928929119</v>
      </c>
      <c r="P185" s="22">
        <v>89.503130949990407</v>
      </c>
      <c r="Q185" s="22">
        <v>97.193817605939415</v>
      </c>
      <c r="R185" s="22">
        <v>94.976564768810661</v>
      </c>
      <c r="S185" s="22">
        <v>85.672566052619217</v>
      </c>
      <c r="T185" s="62">
        <v>81.437651284970684</v>
      </c>
      <c r="U185" s="62">
        <v>71.02114120949166</v>
      </c>
      <c r="V185" s="54">
        <v>73</v>
      </c>
      <c r="W185" s="60">
        <v>59.575135219879279</v>
      </c>
      <c r="X185" s="60">
        <v>58.268042660407964</v>
      </c>
      <c r="Y185" s="60">
        <v>59.460003016742924</v>
      </c>
      <c r="Z185" s="60">
        <v>59.119725686060484</v>
      </c>
      <c r="AA185" s="60" t="e">
        <v>#DIV/0!</v>
      </c>
      <c r="AB185" s="60" t="e">
        <v>#DIV/0!</v>
      </c>
      <c r="AC185" s="60" t="e">
        <v>#DIV/0!</v>
      </c>
      <c r="AD185" s="69" t="e">
        <v>#DIV/0!</v>
      </c>
      <c r="AE185" s="60" t="e">
        <v>#DIV/0!</v>
      </c>
      <c r="AF185" s="60" t="e">
        <v>#DIV/0!</v>
      </c>
      <c r="AG185" s="60" t="e">
        <v>#DIV/0!</v>
      </c>
      <c r="AH185" s="60" t="e">
        <v>#DIV/0!</v>
      </c>
      <c r="AI185" s="60" t="e">
        <v>#DIV/0!</v>
      </c>
      <c r="AJ185" s="60" t="e">
        <v>#DIV/0!</v>
      </c>
      <c r="AK185" s="60" t="e">
        <v>#DIV/0!</v>
      </c>
      <c r="AL185" s="60" t="e">
        <v>#DIV/0!</v>
      </c>
      <c r="AM185" s="60">
        <v>59.119725686060484</v>
      </c>
      <c r="BO185" s="14"/>
    </row>
    <row r="186" spans="1:79">
      <c r="A186" s="85" t="s">
        <v>197</v>
      </c>
      <c r="B186" s="18" t="s">
        <v>161</v>
      </c>
      <c r="C186" s="20">
        <v>4.9865478628913191</v>
      </c>
      <c r="D186" s="20">
        <v>4.49</v>
      </c>
      <c r="E186" s="20">
        <v>2.66</v>
      </c>
      <c r="F186" s="20">
        <v>0.66887009258480501</v>
      </c>
      <c r="G186" s="20">
        <v>4.3456807508896265E-2</v>
      </c>
      <c r="H186" s="20">
        <v>0</v>
      </c>
      <c r="I186" s="20">
        <v>0.17109769202943514</v>
      </c>
      <c r="J186" s="20">
        <v>0.12570216278325014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60">
        <v>0</v>
      </c>
      <c r="U186" s="60">
        <v>0</v>
      </c>
      <c r="V186" s="54">
        <v>0</v>
      </c>
      <c r="W186" s="60">
        <v>0</v>
      </c>
      <c r="X186" s="60">
        <v>0</v>
      </c>
      <c r="Y186" s="60">
        <v>0</v>
      </c>
      <c r="Z186" s="60">
        <v>0</v>
      </c>
      <c r="AA186" s="60" t="e">
        <v>#DIV/0!</v>
      </c>
      <c r="AB186" s="60" t="e">
        <v>#DIV/0!</v>
      </c>
      <c r="AC186" s="60" t="e">
        <v>#DIV/0!</v>
      </c>
      <c r="AD186" s="60" t="e">
        <v>#DIV/0!</v>
      </c>
      <c r="AE186" s="60" t="e">
        <v>#DIV/0!</v>
      </c>
      <c r="AF186" s="60" t="e">
        <v>#DIV/0!</v>
      </c>
      <c r="AG186" s="60" t="e">
        <v>#DIV/0!</v>
      </c>
      <c r="AH186" s="60" t="e">
        <v>#DIV/0!</v>
      </c>
      <c r="AI186" s="60" t="e">
        <v>#DIV/0!</v>
      </c>
      <c r="AJ186" s="60" t="e">
        <v>#DIV/0!</v>
      </c>
      <c r="AK186" s="60" t="e">
        <v>#DIV/0!</v>
      </c>
      <c r="AL186" s="60" t="e">
        <v>#DIV/0!</v>
      </c>
      <c r="AM186" s="60">
        <v>0</v>
      </c>
      <c r="BO186" s="23"/>
    </row>
    <row r="187" spans="1:79">
      <c r="A187" s="85" t="s">
        <v>165</v>
      </c>
      <c r="B187" s="18" t="s">
        <v>161</v>
      </c>
      <c r="C187" s="32">
        <v>30.96569470679497</v>
      </c>
      <c r="D187" s="32">
        <v>31.7</v>
      </c>
      <c r="E187" s="32">
        <v>32</v>
      </c>
      <c r="F187" s="32">
        <v>29.071128679922076</v>
      </c>
      <c r="G187" s="32">
        <v>28.69359485163351</v>
      </c>
      <c r="H187" s="32">
        <v>29.436051452389258</v>
      </c>
      <c r="I187" s="32">
        <v>32.701838508070374</v>
      </c>
      <c r="J187" s="32">
        <v>32.958678408394604</v>
      </c>
      <c r="K187" s="32">
        <v>32.617606741002575</v>
      </c>
      <c r="L187" s="32">
        <v>28.705275664272676</v>
      </c>
      <c r="M187" s="32">
        <v>31.845217600582057</v>
      </c>
      <c r="N187" s="20">
        <v>28.991703422178368</v>
      </c>
      <c r="O187" s="20">
        <v>30.242840299699541</v>
      </c>
      <c r="P187" s="21">
        <v>27.1091229234802</v>
      </c>
      <c r="Q187" s="21">
        <v>25.8</v>
      </c>
      <c r="R187" s="21">
        <v>27.638264487182663</v>
      </c>
      <c r="S187" s="21">
        <v>28.332184338785503</v>
      </c>
      <c r="T187" s="59">
        <v>26.179609047641112</v>
      </c>
      <c r="U187" s="59">
        <v>26.026557823724769</v>
      </c>
      <c r="V187" s="59">
        <v>26</v>
      </c>
      <c r="W187" s="60">
        <v>26.755506780591048</v>
      </c>
      <c r="X187" s="60">
        <v>28.436820488040588</v>
      </c>
      <c r="Y187" s="60">
        <v>29.520505472036469</v>
      </c>
      <c r="Z187" s="60">
        <v>28.20207499531417</v>
      </c>
      <c r="AA187" s="60" t="e">
        <v>#DIV/0!</v>
      </c>
      <c r="AB187" s="60" t="e">
        <v>#DIV/0!</v>
      </c>
      <c r="AC187" s="60" t="e">
        <v>#DIV/0!</v>
      </c>
      <c r="AD187" s="59" t="e">
        <v>#DIV/0!</v>
      </c>
      <c r="AE187" s="60" t="e">
        <v>#DIV/0!</v>
      </c>
      <c r="AF187" s="60" t="e">
        <v>#DIV/0!</v>
      </c>
      <c r="AG187" s="60" t="e">
        <v>#DIV/0!</v>
      </c>
      <c r="AH187" s="59" t="e">
        <v>#DIV/0!</v>
      </c>
      <c r="AI187" s="60" t="e">
        <v>#DIV/0!</v>
      </c>
      <c r="AJ187" s="60" t="e">
        <v>#DIV/0!</v>
      </c>
      <c r="AK187" s="60" t="e">
        <v>#DIV/0!</v>
      </c>
      <c r="AL187" s="59" t="e">
        <v>#DIV/0!</v>
      </c>
      <c r="AM187" s="60">
        <v>28.20207499531417</v>
      </c>
      <c r="BO187" s="23"/>
    </row>
    <row r="188" spans="1:79">
      <c r="A188" s="84" t="s">
        <v>164</v>
      </c>
      <c r="B188" s="18" t="s">
        <v>161</v>
      </c>
      <c r="C188" s="32">
        <v>75.808300015467609</v>
      </c>
      <c r="D188" s="32">
        <v>74.5</v>
      </c>
      <c r="E188" s="32">
        <v>65</v>
      </c>
      <c r="F188" s="32">
        <v>59.172555981642155</v>
      </c>
      <c r="G188" s="32">
        <v>71.429789476521492</v>
      </c>
      <c r="H188" s="32">
        <v>70.426578849222537</v>
      </c>
      <c r="I188" s="32">
        <v>75.488407339246066</v>
      </c>
      <c r="J188" s="32">
        <v>81.948900452796764</v>
      </c>
      <c r="K188" s="32">
        <v>77.563727493439359</v>
      </c>
      <c r="L188" s="32">
        <v>63.615886249970373</v>
      </c>
      <c r="M188" s="32">
        <v>66.518995838367573</v>
      </c>
      <c r="N188" s="20">
        <v>69.271213928353106</v>
      </c>
      <c r="O188" s="20">
        <v>74.141723399130314</v>
      </c>
      <c r="P188" s="21">
        <v>64.53</v>
      </c>
      <c r="Q188" s="21">
        <v>63.82</v>
      </c>
      <c r="R188" s="21">
        <v>63.15</v>
      </c>
      <c r="S188" s="21">
        <v>64.596801242880701</v>
      </c>
      <c r="T188" s="59">
        <v>66.02754627637627</v>
      </c>
      <c r="U188" s="59">
        <v>66.870017672387846</v>
      </c>
      <c r="V188" s="59">
        <v>67</v>
      </c>
      <c r="W188" s="60">
        <v>64.99647252488829</v>
      </c>
      <c r="X188" s="60">
        <v>64.863838746419077</v>
      </c>
      <c r="Y188" s="60">
        <v>62.935961251613122</v>
      </c>
      <c r="Z188" s="60">
        <v>64.27634262781288</v>
      </c>
      <c r="AA188" s="60" t="e">
        <v>#DIV/0!</v>
      </c>
      <c r="AB188" s="60" t="e">
        <v>#DIV/0!</v>
      </c>
      <c r="AC188" s="60" t="e">
        <v>#DIV/0!</v>
      </c>
      <c r="AD188" s="59" t="e">
        <v>#DIV/0!</v>
      </c>
      <c r="AE188" s="60" t="e">
        <v>#DIV/0!</v>
      </c>
      <c r="AF188" s="60" t="e">
        <v>#DIV/0!</v>
      </c>
      <c r="AG188" s="60" t="e">
        <v>#DIV/0!</v>
      </c>
      <c r="AH188" s="59" t="e">
        <v>#DIV/0!</v>
      </c>
      <c r="AI188" s="60" t="e">
        <v>#DIV/0!</v>
      </c>
      <c r="AJ188" s="60" t="e">
        <v>#DIV/0!</v>
      </c>
      <c r="AK188" s="60" t="e">
        <v>#DIV/0!</v>
      </c>
      <c r="AL188" s="59" t="e">
        <v>#DIV/0!</v>
      </c>
      <c r="AM188" s="60">
        <v>64.27634262781288</v>
      </c>
      <c r="BO188" s="14"/>
    </row>
    <row r="189" spans="1:79">
      <c r="A189" s="84" t="s">
        <v>198</v>
      </c>
      <c r="B189" s="18" t="s">
        <v>168</v>
      </c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20"/>
      <c r="O189" s="20">
        <v>4.1000000000000002E-2</v>
      </c>
      <c r="P189" s="21">
        <v>0</v>
      </c>
      <c r="Q189" s="21">
        <v>0</v>
      </c>
      <c r="R189" s="20">
        <v>5.8000000000000003E-2</v>
      </c>
      <c r="S189" s="20">
        <v>1.956</v>
      </c>
      <c r="T189" s="60">
        <v>2.6623258774804115</v>
      </c>
      <c r="U189" s="60">
        <v>2.216322611355193</v>
      </c>
      <c r="V189" s="54">
        <v>3.73</v>
      </c>
      <c r="W189" s="60">
        <v>2.8127302657364583</v>
      </c>
      <c r="X189" s="60">
        <v>2.465605908949712</v>
      </c>
      <c r="Y189" s="60">
        <v>2.6044547237166271</v>
      </c>
      <c r="Z189" s="60">
        <v>2.6333366409772987</v>
      </c>
      <c r="AA189" s="60" t="e">
        <v>#DIV/0!</v>
      </c>
      <c r="AB189" s="60" t="e">
        <v>#DIV/0!</v>
      </c>
      <c r="AC189" s="69" t="e">
        <v>#DIV/0!</v>
      </c>
      <c r="AD189" s="60" t="e">
        <v>#DIV/0!</v>
      </c>
      <c r="AE189" s="60" t="e">
        <v>#DIV/0!</v>
      </c>
      <c r="AF189" s="60" t="e">
        <v>#DIV/0!</v>
      </c>
      <c r="AG189" s="60" t="e">
        <v>#DIV/0!</v>
      </c>
      <c r="AH189" s="60" t="e">
        <v>#DIV/0!</v>
      </c>
      <c r="AI189" s="60" t="e">
        <v>#DIV/0!</v>
      </c>
      <c r="AJ189" s="60" t="e">
        <v>#DIV/0!</v>
      </c>
      <c r="AK189" s="60" t="e">
        <v>#DIV/0!</v>
      </c>
      <c r="AL189" s="60" t="e">
        <v>#DIV/0!</v>
      </c>
      <c r="AM189" s="60">
        <v>2.6333366409772987</v>
      </c>
      <c r="BO189" s="14"/>
    </row>
    <row r="190" spans="1:79">
      <c r="A190" s="84" t="s">
        <v>199</v>
      </c>
      <c r="B190" s="18" t="s">
        <v>168</v>
      </c>
      <c r="C190" s="20">
        <v>2.3435778934984461E-3</v>
      </c>
      <c r="D190" s="20">
        <v>0.33</v>
      </c>
      <c r="E190" s="20">
        <v>0.19</v>
      </c>
      <c r="F190" s="20">
        <v>3.4097031057849021E-3</v>
      </c>
      <c r="G190" s="20">
        <v>1.0451637248975052E-2</v>
      </c>
      <c r="H190" s="20">
        <v>3.8279772640024672E-3</v>
      </c>
      <c r="I190" s="20">
        <v>0.11248089013046199</v>
      </c>
      <c r="J190" s="20">
        <v>0</v>
      </c>
      <c r="K190" s="20">
        <v>1.4981485380983334E-2</v>
      </c>
      <c r="L190" s="20">
        <v>3.1480362179715095E-2</v>
      </c>
      <c r="M190" s="20">
        <v>9.0424906636283903E-3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5.0000000000000001E-3</v>
      </c>
      <c r="T190" s="60">
        <v>0</v>
      </c>
      <c r="U190" s="60">
        <v>0</v>
      </c>
      <c r="V190" s="54">
        <v>0.79</v>
      </c>
      <c r="W190" s="60">
        <v>0</v>
      </c>
      <c r="X190" s="60">
        <v>0.98367445552756017</v>
      </c>
      <c r="Y190" s="60">
        <v>0.67373925285333602</v>
      </c>
      <c r="Z190" s="60">
        <v>0.5358383223629809</v>
      </c>
      <c r="AA190" s="60" t="e">
        <v>#DIV/0!</v>
      </c>
      <c r="AB190" s="60" t="e">
        <v>#DIV/0!</v>
      </c>
      <c r="AC190" s="60" t="e">
        <v>#DIV/0!</v>
      </c>
      <c r="AD190" s="60" t="e">
        <v>#DIV/0!</v>
      </c>
      <c r="AE190" s="60" t="e">
        <v>#DIV/0!</v>
      </c>
      <c r="AF190" s="60" t="e">
        <v>#DIV/0!</v>
      </c>
      <c r="AG190" s="60" t="e">
        <v>#DIV/0!</v>
      </c>
      <c r="AH190" s="60" t="e">
        <v>#DIV/0!</v>
      </c>
      <c r="AI190" s="60" t="e">
        <v>#DIV/0!</v>
      </c>
      <c r="AJ190" s="60" t="e">
        <v>#DIV/0!</v>
      </c>
      <c r="AK190" s="60" t="e">
        <v>#DIV/0!</v>
      </c>
      <c r="AL190" s="60" t="e">
        <v>#DIV/0!</v>
      </c>
      <c r="AM190" s="60">
        <v>0.5358383223629809</v>
      </c>
      <c r="BO190" s="14"/>
    </row>
    <row r="191" spans="1:79">
      <c r="A191" s="84" t="s">
        <v>169</v>
      </c>
      <c r="B191" s="18" t="s">
        <v>168</v>
      </c>
      <c r="C191" s="20">
        <v>0.41657097056934883</v>
      </c>
      <c r="D191" s="20">
        <v>0.36</v>
      </c>
      <c r="E191" s="20">
        <v>0.38</v>
      </c>
      <c r="F191" s="20">
        <v>0.38870615405947884</v>
      </c>
      <c r="G191" s="20">
        <v>0.37130816542411371</v>
      </c>
      <c r="H191" s="20">
        <v>0.32647177522992471</v>
      </c>
      <c r="I191" s="20">
        <v>0.32212837079615875</v>
      </c>
      <c r="J191" s="20">
        <v>0.51440804830056219</v>
      </c>
      <c r="K191" s="20">
        <v>0.34332570664753476</v>
      </c>
      <c r="L191" s="20">
        <v>0.40368935030458175</v>
      </c>
      <c r="M191" s="20">
        <v>0.46707942158665106</v>
      </c>
      <c r="N191" s="20">
        <v>0.25475424443121242</v>
      </c>
      <c r="O191" s="20">
        <v>0.17495150800593315</v>
      </c>
      <c r="P191" s="20">
        <v>0.51</v>
      </c>
      <c r="Q191" s="20">
        <v>5.3573114120087112E-2</v>
      </c>
      <c r="R191" s="20">
        <v>0.22</v>
      </c>
      <c r="S191" s="20">
        <v>0.31465334051500449</v>
      </c>
      <c r="T191" s="60">
        <v>0.28946869049273943</v>
      </c>
      <c r="U191" s="60">
        <v>0.19998522741572788</v>
      </c>
      <c r="V191" s="60">
        <v>0.45</v>
      </c>
      <c r="W191" s="60">
        <v>0.10347260327663244</v>
      </c>
      <c r="X191" s="60">
        <v>0.22089531632899595</v>
      </c>
      <c r="Y191" s="60">
        <v>0.23798749727655152</v>
      </c>
      <c r="Z191" s="60">
        <v>0.1852280620514008</v>
      </c>
      <c r="AA191" s="60" t="e">
        <v>#DIV/0!</v>
      </c>
      <c r="AB191" s="60" t="e">
        <v>#DIV/0!</v>
      </c>
      <c r="AC191" s="60" t="e">
        <v>#DIV/0!</v>
      </c>
      <c r="AD191" s="60" t="e">
        <v>#DIV/0!</v>
      </c>
      <c r="AE191" s="60" t="e">
        <v>#DIV/0!</v>
      </c>
      <c r="AF191" s="60" t="e">
        <v>#DIV/0!</v>
      </c>
      <c r="AG191" s="60" t="e">
        <v>#DIV/0!</v>
      </c>
      <c r="AH191" s="60" t="e">
        <v>#DIV/0!</v>
      </c>
      <c r="AI191" s="60" t="e">
        <v>#DIV/0!</v>
      </c>
      <c r="AJ191" s="60" t="e">
        <v>#DIV/0!</v>
      </c>
      <c r="AK191" s="60" t="e">
        <v>#DIV/0!</v>
      </c>
      <c r="AL191" s="60" t="e">
        <v>#DIV/0!</v>
      </c>
      <c r="AM191" s="60">
        <v>0.1852280620514008</v>
      </c>
      <c r="BO191" s="14"/>
    </row>
    <row r="192" spans="1:79">
      <c r="A192" s="85" t="s">
        <v>200</v>
      </c>
      <c r="B192" s="18" t="s">
        <v>168</v>
      </c>
      <c r="C192" s="20">
        <v>11.838583729007402</v>
      </c>
      <c r="D192" s="20">
        <v>11.46</v>
      </c>
      <c r="E192" s="20">
        <v>11.8</v>
      </c>
      <c r="F192" s="20">
        <v>12.052732195098665</v>
      </c>
      <c r="G192" s="20">
        <v>12.703139946872678</v>
      </c>
      <c r="H192" s="20">
        <v>10.573420057069672</v>
      </c>
      <c r="I192" s="20">
        <v>10.427981865756962</v>
      </c>
      <c r="J192" s="20">
        <v>10.405415741726815</v>
      </c>
      <c r="K192" s="20">
        <v>11.568203628349298</v>
      </c>
      <c r="L192" s="20">
        <v>14.326898006589396</v>
      </c>
      <c r="M192" s="20">
        <v>14.671093313634616</v>
      </c>
      <c r="N192" s="20">
        <v>14.925978046034945</v>
      </c>
      <c r="O192" s="20">
        <v>14.681664321302248</v>
      </c>
      <c r="P192" s="20">
        <v>12.773614033122481</v>
      </c>
      <c r="Q192" s="20">
        <v>14.474661759482796</v>
      </c>
      <c r="R192" s="20">
        <v>15.09</v>
      </c>
      <c r="S192" s="20">
        <v>13.528099745108943</v>
      </c>
      <c r="T192" s="60">
        <v>13.774451071378923</v>
      </c>
      <c r="U192" s="60">
        <v>14.177473450383264</v>
      </c>
      <c r="V192" s="60">
        <v>12.22</v>
      </c>
      <c r="W192" s="60">
        <v>14.689974131849182</v>
      </c>
      <c r="X192" s="60">
        <v>12.150933627860422</v>
      </c>
      <c r="Y192" s="60">
        <v>12.030402064792934</v>
      </c>
      <c r="Z192" s="60">
        <v>13.004090453036968</v>
      </c>
      <c r="AA192" s="60" t="e">
        <v>#DIV/0!</v>
      </c>
      <c r="AB192" s="60" t="e">
        <v>#DIV/0!</v>
      </c>
      <c r="AC192" s="60" t="e">
        <v>#DIV/0!</v>
      </c>
      <c r="AD192" s="60" t="e">
        <v>#DIV/0!</v>
      </c>
      <c r="AE192" s="60" t="e">
        <v>#DIV/0!</v>
      </c>
      <c r="AF192" s="60" t="e">
        <v>#DIV/0!</v>
      </c>
      <c r="AG192" s="60" t="e">
        <v>#DIV/0!</v>
      </c>
      <c r="AH192" s="60" t="e">
        <v>#DIV/0!</v>
      </c>
      <c r="AI192" s="60" t="e">
        <v>#DIV/0!</v>
      </c>
      <c r="AJ192" s="60" t="e">
        <v>#DIV/0!</v>
      </c>
      <c r="AK192" s="60" t="e">
        <v>#DIV/0!</v>
      </c>
      <c r="AL192" s="60" t="e">
        <v>#DIV/0!</v>
      </c>
      <c r="AM192" s="60">
        <v>13.004090453036968</v>
      </c>
      <c r="BO192" s="23"/>
    </row>
    <row r="193" spans="1:69">
      <c r="A193" s="84" t="s">
        <v>171</v>
      </c>
      <c r="B193" s="18" t="s">
        <v>168</v>
      </c>
      <c r="C193" s="20">
        <v>2.058833179438385</v>
      </c>
      <c r="D193" s="20">
        <v>1.94</v>
      </c>
      <c r="E193" s="20">
        <v>1.82</v>
      </c>
      <c r="F193" s="20">
        <v>1.8935217914125491</v>
      </c>
      <c r="G193" s="20">
        <v>1.9082489271944449</v>
      </c>
      <c r="H193" s="20">
        <v>2.0780448004584824</v>
      </c>
      <c r="I193" s="20">
        <v>2.3209085076215046</v>
      </c>
      <c r="J193" s="20">
        <v>2.0655786207980551</v>
      </c>
      <c r="K193" s="20">
        <v>2.0244689271508629</v>
      </c>
      <c r="L193" s="20">
        <v>1.9717817440565075</v>
      </c>
      <c r="M193" s="20">
        <v>1.7253767762407861</v>
      </c>
      <c r="N193" s="20">
        <v>1.7195911499106837</v>
      </c>
      <c r="O193" s="20">
        <v>1.974860228958278</v>
      </c>
      <c r="P193" s="20">
        <v>1.791660156119474</v>
      </c>
      <c r="Q193" s="20">
        <v>1.8949008883215996</v>
      </c>
      <c r="R193" s="20">
        <v>1.9405542060724488</v>
      </c>
      <c r="S193" s="20">
        <v>2.5104944536885996</v>
      </c>
      <c r="T193" s="60">
        <v>2.8254130065908947</v>
      </c>
      <c r="U193" s="60">
        <v>2.9746822526549619</v>
      </c>
      <c r="V193" s="60">
        <v>3.03</v>
      </c>
      <c r="W193" s="60">
        <v>3.2459669201222856</v>
      </c>
      <c r="X193" s="60">
        <v>3.2260311324336453</v>
      </c>
      <c r="Y193" s="60">
        <v>3.3001994402265908</v>
      </c>
      <c r="Z193" s="60">
        <v>3.2574372374557603</v>
      </c>
      <c r="AA193" s="60" t="e">
        <v>#DIV/0!</v>
      </c>
      <c r="AB193" s="60" t="e">
        <v>#DIV/0!</v>
      </c>
      <c r="AC193" s="60" t="e">
        <v>#DIV/0!</v>
      </c>
      <c r="AD193" s="60" t="e">
        <v>#DIV/0!</v>
      </c>
      <c r="AE193" s="60" t="e">
        <v>#DIV/0!</v>
      </c>
      <c r="AF193" s="60" t="e">
        <v>#DIV/0!</v>
      </c>
      <c r="AG193" s="60" t="e">
        <v>#DIV/0!</v>
      </c>
      <c r="AH193" s="60" t="e">
        <v>#DIV/0!</v>
      </c>
      <c r="AI193" s="60" t="e">
        <v>#DIV/0!</v>
      </c>
      <c r="AJ193" s="60" t="e">
        <v>#DIV/0!</v>
      </c>
      <c r="AK193" s="60" t="e">
        <v>#DIV/0!</v>
      </c>
      <c r="AL193" s="60" t="e">
        <v>#DIV/0!</v>
      </c>
      <c r="AM193" s="60">
        <v>3.2574372374557603</v>
      </c>
      <c r="BO193" s="14"/>
    </row>
    <row r="194" spans="1:69">
      <c r="A194" s="84" t="s">
        <v>201</v>
      </c>
      <c r="B194" s="18" t="s">
        <v>168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>
        <v>10.3</v>
      </c>
      <c r="S194" s="20">
        <v>13.81</v>
      </c>
      <c r="T194" s="60">
        <v>9.35</v>
      </c>
      <c r="U194" s="60">
        <v>7.3110613828233149</v>
      </c>
      <c r="V194" s="60"/>
      <c r="W194" s="60">
        <v>3.8441639883985261</v>
      </c>
      <c r="X194" s="60">
        <v>3.4583922962758429</v>
      </c>
      <c r="Y194" s="60">
        <v>3.2446746107563644</v>
      </c>
      <c r="Z194" s="60">
        <v>3.5237433709302199</v>
      </c>
      <c r="AA194" s="60" t="e">
        <v>#DIV/0!</v>
      </c>
      <c r="AB194" s="60" t="e">
        <v>#DIV/0!</v>
      </c>
      <c r="AC194" s="60" t="e">
        <v>#DIV/0!</v>
      </c>
      <c r="AD194" s="60" t="e">
        <v>#DIV/0!</v>
      </c>
      <c r="AE194" s="60" t="e">
        <v>#DIV/0!</v>
      </c>
      <c r="AF194" s="60" t="e">
        <v>#DIV/0!</v>
      </c>
      <c r="AG194" s="60" t="e">
        <v>#DIV/0!</v>
      </c>
      <c r="AH194" s="60" t="e">
        <v>#DIV/0!</v>
      </c>
      <c r="AI194" s="60" t="e">
        <v>#DIV/0!</v>
      </c>
      <c r="AJ194" s="60" t="e">
        <v>#DIV/0!</v>
      </c>
      <c r="AK194" s="60" t="e">
        <v>#DIV/0!</v>
      </c>
      <c r="AL194" s="60" t="e">
        <v>#DIV/0!</v>
      </c>
      <c r="AM194" s="60">
        <v>3.5237433709302199</v>
      </c>
      <c r="BO194" s="14"/>
    </row>
    <row r="195" spans="1:69">
      <c r="A195" s="84" t="s">
        <v>202</v>
      </c>
      <c r="B195" s="18" t="s">
        <v>168</v>
      </c>
      <c r="C195" s="20">
        <v>8.4280919994937875</v>
      </c>
      <c r="D195" s="20">
        <v>7.9</v>
      </c>
      <c r="E195" s="20">
        <v>7.17</v>
      </c>
      <c r="F195" s="20">
        <v>7.3160862973124718</v>
      </c>
      <c r="G195" s="20">
        <v>7.2270321145807488</v>
      </c>
      <c r="H195" s="20">
        <v>9.81</v>
      </c>
      <c r="I195" s="20">
        <v>11.91</v>
      </c>
      <c r="J195" s="20">
        <v>10.6</v>
      </c>
      <c r="K195" s="20">
        <v>9.93</v>
      </c>
      <c r="L195" s="20">
        <v>11.47</v>
      </c>
      <c r="M195" s="20">
        <v>12.7</v>
      </c>
      <c r="N195" s="20">
        <v>10.7</v>
      </c>
      <c r="O195" s="20">
        <v>8.64</v>
      </c>
      <c r="P195" s="20">
        <v>8.77</v>
      </c>
      <c r="Q195" s="20">
        <v>8.98</v>
      </c>
      <c r="R195" s="20">
        <v>4.7</v>
      </c>
      <c r="S195" s="20">
        <v>4.58</v>
      </c>
      <c r="T195" s="60">
        <v>8.42</v>
      </c>
      <c r="U195" s="60">
        <v>8.0960207035032905</v>
      </c>
      <c r="V195" s="60"/>
      <c r="W195" s="60">
        <v>10.65381829583758</v>
      </c>
      <c r="X195" s="60">
        <v>8.8561936975805065</v>
      </c>
      <c r="Y195" s="60">
        <v>10.767301858648834</v>
      </c>
      <c r="Z195" s="60">
        <v>10.116910881046097</v>
      </c>
      <c r="AA195" s="60" t="e">
        <v>#DIV/0!</v>
      </c>
      <c r="AB195" s="60" t="e">
        <v>#DIV/0!</v>
      </c>
      <c r="AC195" s="60" t="e">
        <v>#DIV/0!</v>
      </c>
      <c r="AD195" s="60" t="e">
        <v>#DIV/0!</v>
      </c>
      <c r="AE195" s="60" t="e">
        <v>#DIV/0!</v>
      </c>
      <c r="AF195" s="60" t="e">
        <v>#DIV/0!</v>
      </c>
      <c r="AG195" s="60" t="e">
        <v>#DIV/0!</v>
      </c>
      <c r="AH195" s="60" t="e">
        <v>#DIV/0!</v>
      </c>
      <c r="AI195" s="60" t="e">
        <v>#DIV/0!</v>
      </c>
      <c r="AJ195" s="60" t="e">
        <v>#DIV/0!</v>
      </c>
      <c r="AK195" s="60" t="e">
        <v>#DIV/0!</v>
      </c>
      <c r="AL195" s="60" t="e">
        <v>#DIV/0!</v>
      </c>
      <c r="AM195" s="60">
        <v>10.116910881046097</v>
      </c>
      <c r="BO195" s="14"/>
    </row>
    <row r="196" spans="1:69">
      <c r="A196" s="84" t="s">
        <v>203</v>
      </c>
      <c r="B196" s="18" t="s">
        <v>41</v>
      </c>
      <c r="C196" s="20">
        <v>90.029412137042826</v>
      </c>
      <c r="D196" s="20">
        <v>88.03</v>
      </c>
      <c r="E196" s="20">
        <v>88.1</v>
      </c>
      <c r="F196" s="20">
        <v>88.076151502168258</v>
      </c>
      <c r="G196" s="20">
        <v>88.088909908237952</v>
      </c>
      <c r="H196" s="20">
        <v>88.057388637843289</v>
      </c>
      <c r="I196" s="20">
        <v>88.088161892184445</v>
      </c>
      <c r="J196" s="21">
        <v>88.08646966143057</v>
      </c>
      <c r="K196" s="21">
        <v>88.058020172644532</v>
      </c>
      <c r="L196" s="21">
        <v>88.04131664694502</v>
      </c>
      <c r="M196" s="21">
        <v>88.205389665727338</v>
      </c>
      <c r="N196" s="20">
        <v>88.541591906049049</v>
      </c>
      <c r="O196" s="20">
        <v>88.779064172612649</v>
      </c>
      <c r="P196" s="20">
        <v>88.975649563012752</v>
      </c>
      <c r="Q196" s="20">
        <v>89.342370838218869</v>
      </c>
      <c r="R196" s="20">
        <v>89.579699707360504</v>
      </c>
      <c r="S196" s="20">
        <v>89.821501339653835</v>
      </c>
      <c r="T196" s="60">
        <v>90.717695591459005</v>
      </c>
      <c r="U196" s="60">
        <v>90.98283046350538</v>
      </c>
      <c r="V196" s="60">
        <v>91.07</v>
      </c>
      <c r="W196" s="60">
        <v>91.076930985147257</v>
      </c>
      <c r="X196" s="60">
        <v>91.038205692990744</v>
      </c>
      <c r="Y196" s="60">
        <v>91.054064447605029</v>
      </c>
      <c r="Z196" s="60">
        <v>91.057036266600278</v>
      </c>
      <c r="AA196" s="60" t="e">
        <v>#DIV/0!</v>
      </c>
      <c r="AB196" s="60" t="e">
        <v>#DIV/0!</v>
      </c>
      <c r="AC196" s="60" t="e">
        <v>#DIV/0!</v>
      </c>
      <c r="AD196" s="60" t="e">
        <v>#DIV/0!</v>
      </c>
      <c r="AE196" s="60" t="e">
        <v>#DIV/0!</v>
      </c>
      <c r="AF196" s="60" t="e">
        <v>#DIV/0!</v>
      </c>
      <c r="AG196" s="60" t="e">
        <v>#DIV/0!</v>
      </c>
      <c r="AH196" s="60" t="e">
        <v>#DIV/0!</v>
      </c>
      <c r="AI196" s="60" t="e">
        <v>#DIV/0!</v>
      </c>
      <c r="AJ196" s="60" t="e">
        <v>#DIV/0!</v>
      </c>
      <c r="AK196" s="60" t="e">
        <v>#DIV/0!</v>
      </c>
      <c r="AL196" s="60" t="e">
        <v>#DIV/0!</v>
      </c>
      <c r="AM196" s="60">
        <v>91.057036266600278</v>
      </c>
      <c r="BO196" s="14"/>
    </row>
    <row r="197" spans="1:69">
      <c r="A197" s="84" t="s">
        <v>204</v>
      </c>
      <c r="B197" s="18" t="s">
        <v>175</v>
      </c>
      <c r="C197" s="21">
        <v>149.62672043482073</v>
      </c>
      <c r="D197" s="21">
        <v>149.6</v>
      </c>
      <c r="E197" s="21">
        <v>151</v>
      </c>
      <c r="F197" s="21">
        <v>150.98103818103817</v>
      </c>
      <c r="G197" s="21">
        <v>151.11363258520365</v>
      </c>
      <c r="H197" s="21">
        <v>154.18566610455312</v>
      </c>
      <c r="I197" s="21">
        <v>152.96082390953151</v>
      </c>
      <c r="J197" s="22">
        <v>149.26503983438931</v>
      </c>
      <c r="K197" s="22">
        <v>147.85663302978094</v>
      </c>
      <c r="L197" s="22">
        <v>150.28084822173986</v>
      </c>
      <c r="M197" s="22">
        <v>154.37098679265543</v>
      </c>
      <c r="N197" s="22">
        <v>155.02617157974302</v>
      </c>
      <c r="O197" s="22">
        <v>155.73346495557749</v>
      </c>
      <c r="P197" s="21">
        <v>155.75400247831476</v>
      </c>
      <c r="Q197" s="21">
        <v>156.4265951314681</v>
      </c>
      <c r="R197" s="21">
        <v>156.60940460975718</v>
      </c>
      <c r="S197" s="21">
        <v>158.30000000000001</v>
      </c>
      <c r="T197" s="59">
        <v>157.79292335814074</v>
      </c>
      <c r="U197" s="59">
        <v>157.54762520472374</v>
      </c>
      <c r="V197" s="59">
        <v>158</v>
      </c>
      <c r="W197" s="59">
        <v>157.7274975272008</v>
      </c>
      <c r="X197" s="59">
        <v>158.49562363238513</v>
      </c>
      <c r="Y197" s="59">
        <v>158.18398727465535</v>
      </c>
      <c r="Z197" s="62">
        <v>158.12238493723851</v>
      </c>
      <c r="AA197" s="59" t="e">
        <v>#DIV/0!</v>
      </c>
      <c r="AB197" s="60" t="e">
        <v>#DIV/0!</v>
      </c>
      <c r="AC197" s="59" t="e">
        <v>#DIV/0!</v>
      </c>
      <c r="AD197" s="62" t="e">
        <v>#DIV/0!</v>
      </c>
      <c r="AE197" s="59" t="e">
        <v>#DIV/0!</v>
      </c>
      <c r="AF197" s="62" t="e">
        <v>#DIV/0!</v>
      </c>
      <c r="AG197" s="62" t="e">
        <v>#DIV/0!</v>
      </c>
      <c r="AH197" s="62" t="e">
        <v>#DIV/0!</v>
      </c>
      <c r="AI197" s="62" t="e">
        <v>#DIV/0!</v>
      </c>
      <c r="AJ197" s="62" t="e">
        <v>#DIV/0!</v>
      </c>
      <c r="AK197" s="62" t="e">
        <v>#DIV/0!</v>
      </c>
      <c r="AL197" s="62" t="e">
        <v>#DIV/0!</v>
      </c>
      <c r="AM197" s="59">
        <v>158.12238493723851</v>
      </c>
      <c r="BO197" s="14"/>
    </row>
    <row r="198" spans="1:69">
      <c r="A198" s="84" t="s">
        <v>176</v>
      </c>
      <c r="B198" s="18" t="s">
        <v>177</v>
      </c>
      <c r="C198" s="20">
        <v>2.1800000000000002</v>
      </c>
      <c r="D198" s="20">
        <v>2.1800000000000002</v>
      </c>
      <c r="E198" s="20">
        <v>2.1800000000000002</v>
      </c>
      <c r="F198" s="20">
        <v>2.14</v>
      </c>
      <c r="G198" s="20">
        <v>2.11</v>
      </c>
      <c r="H198" s="20">
        <v>2.12</v>
      </c>
      <c r="I198" s="20">
        <v>2.0699999999999998</v>
      </c>
      <c r="J198" s="20">
        <v>1.38</v>
      </c>
      <c r="K198" s="20">
        <v>1.36</v>
      </c>
      <c r="L198" s="20">
        <v>1.27</v>
      </c>
      <c r="M198" s="20">
        <v>1.24</v>
      </c>
      <c r="N198" s="20">
        <v>1.1399999999999999</v>
      </c>
      <c r="O198" s="20">
        <v>1.07</v>
      </c>
      <c r="P198" s="20">
        <v>1.02</v>
      </c>
      <c r="Q198" s="20">
        <v>1</v>
      </c>
      <c r="R198" s="20">
        <v>1.02</v>
      </c>
      <c r="S198" s="20">
        <v>1.01</v>
      </c>
      <c r="T198" s="60">
        <v>1</v>
      </c>
      <c r="U198" s="60" t="s">
        <v>205</v>
      </c>
      <c r="V198" s="73"/>
      <c r="W198" s="76" t="s">
        <v>206</v>
      </c>
      <c r="X198" s="76" t="s">
        <v>207</v>
      </c>
      <c r="Y198" s="76" t="s">
        <v>208</v>
      </c>
      <c r="Z198" s="76" t="s">
        <v>206</v>
      </c>
      <c r="AA198" s="76" t="s">
        <v>209</v>
      </c>
      <c r="AB198" s="76" t="s">
        <v>210</v>
      </c>
      <c r="AC198" s="77">
        <v>4.0972222222222222E-2</v>
      </c>
      <c r="AD198" s="77"/>
      <c r="AE198" s="77">
        <v>4.027777777777778E-2</v>
      </c>
      <c r="AF198" s="77">
        <v>3.9583333333333331E-2</v>
      </c>
      <c r="AG198" s="77">
        <v>3.9583333333333331E-2</v>
      </c>
      <c r="AH198" s="77"/>
      <c r="AI198" s="77">
        <v>3.888888888888889E-2</v>
      </c>
      <c r="AJ198" s="77">
        <v>3.9583333333333331E-2</v>
      </c>
      <c r="AK198" s="77">
        <v>3.8194444444444441E-2</v>
      </c>
      <c r="AL198" s="77"/>
      <c r="AM198" s="76" t="s">
        <v>206</v>
      </c>
      <c r="BO198" s="14"/>
    </row>
    <row r="199" spans="1:69">
      <c r="A199" s="84" t="s">
        <v>184</v>
      </c>
      <c r="B199" s="18" t="s">
        <v>185</v>
      </c>
      <c r="C199" s="22">
        <v>4000.6666666666665</v>
      </c>
      <c r="D199" s="22">
        <v>4647</v>
      </c>
      <c r="E199" s="22">
        <v>5360</v>
      </c>
      <c r="F199" s="22">
        <v>3525.3333333333335</v>
      </c>
      <c r="G199" s="22">
        <v>5781</v>
      </c>
      <c r="H199" s="22">
        <v>5933.5</v>
      </c>
      <c r="I199" s="22">
        <v>5628</v>
      </c>
      <c r="J199" s="22">
        <v>4635</v>
      </c>
      <c r="K199" s="22">
        <v>5257.5</v>
      </c>
      <c r="L199" s="22">
        <v>5756</v>
      </c>
      <c r="M199" s="22">
        <v>6336.5</v>
      </c>
      <c r="N199" s="22">
        <v>6861</v>
      </c>
      <c r="O199" s="22">
        <v>7583.5</v>
      </c>
      <c r="P199" s="22">
        <v>5436.75</v>
      </c>
      <c r="Q199" s="22">
        <v>5586.333333333333</v>
      </c>
      <c r="R199" s="22" t="s">
        <v>1</v>
      </c>
      <c r="S199" s="22">
        <v>5646.5</v>
      </c>
      <c r="T199" s="62">
        <v>6350</v>
      </c>
      <c r="U199" s="62">
        <v>7567.666666666667</v>
      </c>
      <c r="V199" s="54"/>
      <c r="W199" s="62" t="s">
        <v>1</v>
      </c>
      <c r="X199" s="62">
        <v>7890</v>
      </c>
      <c r="Y199" s="62" t="s">
        <v>1</v>
      </c>
      <c r="Z199" s="62">
        <v>7890</v>
      </c>
      <c r="AA199" s="62" t="s">
        <v>1</v>
      </c>
      <c r="AB199" s="62" t="s">
        <v>1</v>
      </c>
      <c r="AC199" s="62" t="s">
        <v>1</v>
      </c>
      <c r="AD199" s="62" t="s">
        <v>1</v>
      </c>
      <c r="AE199" s="62" t="s">
        <v>1</v>
      </c>
      <c r="AF199" s="62" t="s">
        <v>1</v>
      </c>
      <c r="AG199" s="62" t="s">
        <v>1</v>
      </c>
      <c r="AH199" s="62" t="s">
        <v>1</v>
      </c>
      <c r="AI199" s="62" t="s">
        <v>1</v>
      </c>
      <c r="AJ199" s="62" t="s">
        <v>1</v>
      </c>
      <c r="AK199" s="62" t="s">
        <v>1</v>
      </c>
      <c r="AL199" s="62" t="s">
        <v>1</v>
      </c>
      <c r="AM199" s="62">
        <v>7890</v>
      </c>
      <c r="BO199" s="14"/>
    </row>
    <row r="200" spans="1:69">
      <c r="A200" s="84" t="s">
        <v>211</v>
      </c>
      <c r="B200" s="18" t="s">
        <v>187</v>
      </c>
      <c r="C200" s="22">
        <v>56.433502149060928</v>
      </c>
      <c r="D200" s="22">
        <v>57</v>
      </c>
      <c r="E200" s="20">
        <v>57.28</v>
      </c>
      <c r="F200" s="20">
        <v>56.902620015866482</v>
      </c>
      <c r="G200" s="20">
        <v>56.691605740039179</v>
      </c>
      <c r="H200" s="20">
        <v>56.196401482630279</v>
      </c>
      <c r="I200" s="20">
        <v>56.879954373948792</v>
      </c>
      <c r="J200" s="20">
        <v>57.945952692951352</v>
      </c>
      <c r="K200" s="20">
        <v>57.3</v>
      </c>
      <c r="L200" s="20">
        <v>56.670070249354097</v>
      </c>
      <c r="M200" s="20">
        <v>56.644554299113068</v>
      </c>
      <c r="N200" s="20">
        <v>56.353132044975702</v>
      </c>
      <c r="O200" s="20">
        <v>56.355623803547203</v>
      </c>
      <c r="P200" s="20">
        <v>56.411864799988031</v>
      </c>
      <c r="Q200" s="20">
        <v>56.364273365743649</v>
      </c>
      <c r="R200" s="20">
        <v>56.180907152810768</v>
      </c>
      <c r="S200" s="20">
        <v>55.835431932725371</v>
      </c>
      <c r="T200" s="60">
        <v>56.206823793416163</v>
      </c>
      <c r="U200" s="60">
        <v>56.206080286259855</v>
      </c>
      <c r="V200" s="59">
        <v>57</v>
      </c>
      <c r="W200" s="62">
        <v>56.300321392176841</v>
      </c>
      <c r="X200" s="62">
        <v>55.830531874503848</v>
      </c>
      <c r="Y200" s="62">
        <v>56.078100122345688</v>
      </c>
      <c r="Z200" s="62">
        <v>56.077156308228318</v>
      </c>
      <c r="AA200" s="62" t="e">
        <v>#DIV/0!</v>
      </c>
      <c r="AB200" s="62" t="e">
        <v>#DIV/0!</v>
      </c>
      <c r="AC200" s="62" t="e">
        <v>#DIV/0!</v>
      </c>
      <c r="AD200" s="62" t="e">
        <v>#DIV/0!</v>
      </c>
      <c r="AE200" s="62" t="e">
        <v>#DIV/0!</v>
      </c>
      <c r="AF200" s="62" t="e">
        <v>#DIV/0!</v>
      </c>
      <c r="AG200" s="62" t="e">
        <v>#DIV/0!</v>
      </c>
      <c r="AH200" s="62" t="e">
        <v>#DIV/0!</v>
      </c>
      <c r="AI200" s="62" t="e">
        <v>#DIV/0!</v>
      </c>
      <c r="AJ200" s="62" t="e">
        <v>#DIV/0!</v>
      </c>
      <c r="AK200" s="62" t="e">
        <v>#DIV/0!</v>
      </c>
      <c r="AL200" s="62" t="e">
        <v>#DIV/0!</v>
      </c>
      <c r="AM200" s="62">
        <v>56.077156308228318</v>
      </c>
      <c r="BO200" s="14"/>
    </row>
    <row r="201" spans="1:69">
      <c r="A201" s="84" t="s">
        <v>212</v>
      </c>
      <c r="B201" s="18" t="s">
        <v>187</v>
      </c>
      <c r="C201" s="21">
        <v>3.3348586119456853</v>
      </c>
      <c r="D201" s="21">
        <v>4</v>
      </c>
      <c r="E201" s="20">
        <v>4.04</v>
      </c>
      <c r="F201" s="20">
        <v>4.0111633679683401</v>
      </c>
      <c r="G201" s="20">
        <v>3.8381162409091383</v>
      </c>
      <c r="H201" s="20">
        <v>3.9659047533634251</v>
      </c>
      <c r="I201" s="20">
        <v>4.0034958849420832</v>
      </c>
      <c r="J201" s="20">
        <v>4.0862112586438624</v>
      </c>
      <c r="K201" s="20">
        <v>4.0116755709402465</v>
      </c>
      <c r="L201" s="20">
        <v>3.9657256630875346</v>
      </c>
      <c r="M201" s="20">
        <v>3.9720740065258959</v>
      </c>
      <c r="N201" s="20">
        <v>3.9730722325796548</v>
      </c>
      <c r="O201" s="20">
        <v>3.9714093738510883</v>
      </c>
      <c r="P201" s="20">
        <v>3.9661436695045755</v>
      </c>
      <c r="Q201" s="20">
        <v>3.9709214207136334</v>
      </c>
      <c r="R201" s="20">
        <v>3.963210514111791</v>
      </c>
      <c r="S201" s="20">
        <v>3.9612566686296082</v>
      </c>
      <c r="T201" s="60">
        <v>3.9600227051573142</v>
      </c>
      <c r="U201" s="60">
        <v>3.9656676934524624</v>
      </c>
      <c r="V201" s="59">
        <v>5</v>
      </c>
      <c r="W201" s="62">
        <v>3.9602727914086384</v>
      </c>
      <c r="X201" s="62">
        <v>3.9439478134815174</v>
      </c>
      <c r="Y201" s="62">
        <v>3.9535622706018403</v>
      </c>
      <c r="Z201" s="62">
        <v>3.9528506378240111</v>
      </c>
      <c r="AA201" s="62" t="e">
        <v>#DIV/0!</v>
      </c>
      <c r="AB201" s="62" t="e">
        <v>#DIV/0!</v>
      </c>
      <c r="AC201" s="62" t="e">
        <v>#DIV/0!</v>
      </c>
      <c r="AD201" s="62" t="e">
        <v>#DIV/0!</v>
      </c>
      <c r="AE201" s="62" t="e">
        <v>#DIV/0!</v>
      </c>
      <c r="AF201" s="62" t="e">
        <v>#DIV/0!</v>
      </c>
      <c r="AG201" s="62" t="e">
        <v>#DIV/0!</v>
      </c>
      <c r="AH201" s="62" t="e">
        <v>#DIV/0!</v>
      </c>
      <c r="AI201" s="62" t="e">
        <v>#DIV/0!</v>
      </c>
      <c r="AJ201" s="62" t="e">
        <v>#DIV/0!</v>
      </c>
      <c r="AK201" s="62" t="e">
        <v>#DIV/0!</v>
      </c>
      <c r="AL201" s="62" t="e">
        <v>#DIV/0!</v>
      </c>
      <c r="AM201" s="62">
        <v>3.9528506378240111</v>
      </c>
      <c r="BO201" s="14"/>
    </row>
    <row r="202" spans="1:69">
      <c r="A202" s="84" t="s">
        <v>189</v>
      </c>
      <c r="B202" s="18" t="s">
        <v>190</v>
      </c>
      <c r="C202" s="22">
        <v>3652.9457973291437</v>
      </c>
      <c r="D202" s="22">
        <v>3841</v>
      </c>
      <c r="E202" s="22">
        <v>5097</v>
      </c>
      <c r="F202" s="22">
        <v>5043.8312799452433</v>
      </c>
      <c r="G202" s="22">
        <v>4606.5764344432455</v>
      </c>
      <c r="H202" s="22">
        <v>4677.0649153826726</v>
      </c>
      <c r="I202" s="22">
        <v>4307.5862624959691</v>
      </c>
      <c r="J202" s="22">
        <v>4531.4650319029151</v>
      </c>
      <c r="K202" s="22">
        <v>5392.3199607410133</v>
      </c>
      <c r="L202" s="22">
        <v>5330.3757481711373</v>
      </c>
      <c r="M202" s="22">
        <v>5512.0451023352753</v>
      </c>
      <c r="N202" s="22">
        <v>4794.3940177773593</v>
      </c>
      <c r="O202" s="22">
        <v>5462.3289020187103</v>
      </c>
      <c r="P202" s="22">
        <v>7369.4169471391806</v>
      </c>
      <c r="Q202" s="22">
        <v>6958.7045072168603</v>
      </c>
      <c r="R202" s="22">
        <v>7548.0781931052697</v>
      </c>
      <c r="S202" s="22">
        <v>7489.884967998616</v>
      </c>
      <c r="T202" s="62">
        <v>7555.5570038234273</v>
      </c>
      <c r="U202" s="62">
        <v>5681.0678622113273</v>
      </c>
      <c r="V202" s="54"/>
      <c r="W202" s="62">
        <v>7322.5679012345681</v>
      </c>
      <c r="X202" s="62">
        <v>7255.3107960741545</v>
      </c>
      <c r="Y202" s="62">
        <v>7560.5829358770534</v>
      </c>
      <c r="Z202" s="62">
        <v>7379.265576052906</v>
      </c>
      <c r="AA202" s="62" t="e">
        <v>#DIV/0!</v>
      </c>
      <c r="AB202" s="62" t="e">
        <v>#DIV/0!</v>
      </c>
      <c r="AC202" s="62" t="e">
        <v>#DIV/0!</v>
      </c>
      <c r="AD202" s="62" t="e">
        <v>#DIV/0!</v>
      </c>
      <c r="AE202" s="62" t="e">
        <v>#DIV/0!</v>
      </c>
      <c r="AF202" s="62" t="e">
        <v>#DIV/0!</v>
      </c>
      <c r="AG202" s="62" t="e">
        <v>#DIV/0!</v>
      </c>
      <c r="AH202" s="62" t="e">
        <v>#DIV/0!</v>
      </c>
      <c r="AI202" s="62" t="e">
        <v>#DIV/0!</v>
      </c>
      <c r="AJ202" s="62" t="e">
        <v>#DIV/0!</v>
      </c>
      <c r="AK202" s="62" t="e">
        <v>#DIV/0!</v>
      </c>
      <c r="AL202" s="62" t="e">
        <v>#DIV/0!</v>
      </c>
      <c r="AM202" s="62">
        <v>7379.265576052906</v>
      </c>
      <c r="BO202" s="14"/>
    </row>
    <row r="203" spans="1:69">
      <c r="A203" s="84" t="s">
        <v>191</v>
      </c>
      <c r="B203" s="13" t="s">
        <v>41</v>
      </c>
      <c r="C203" s="20">
        <v>91.581009336795944</v>
      </c>
      <c r="D203" s="20">
        <v>89.69</v>
      </c>
      <c r="E203" s="20">
        <v>89.58</v>
      </c>
      <c r="F203" s="20">
        <v>89.669811320754718</v>
      </c>
      <c r="G203" s="20">
        <v>89.545289481026444</v>
      </c>
      <c r="H203" s="20">
        <v>89.499419483070824</v>
      </c>
      <c r="I203" s="20">
        <v>89.540989949629846</v>
      </c>
      <c r="J203" s="20">
        <v>89.5684824022225</v>
      </c>
      <c r="K203" s="20">
        <v>89.646691089826973</v>
      </c>
      <c r="L203" s="20">
        <v>89.586619740235491</v>
      </c>
      <c r="M203" s="20">
        <v>89.56</v>
      </c>
      <c r="N203" s="20">
        <v>89.56</v>
      </c>
      <c r="O203" s="20">
        <v>90.148273094172922</v>
      </c>
      <c r="P203" s="20">
        <v>90.375563364834278</v>
      </c>
      <c r="Q203" s="20">
        <v>91.465090432217096</v>
      </c>
      <c r="R203" s="20">
        <v>90.93767694536632</v>
      </c>
      <c r="S203" s="20">
        <v>91.16</v>
      </c>
      <c r="T203" s="60">
        <v>92.062497549637172</v>
      </c>
      <c r="U203" s="60">
        <v>92.337211182130915</v>
      </c>
      <c r="V203" s="60"/>
      <c r="W203" s="60">
        <v>92.442665845774968</v>
      </c>
      <c r="X203" s="60">
        <v>92.393771791205765</v>
      </c>
      <c r="Y203" s="60">
        <v>92.405854360437644</v>
      </c>
      <c r="Z203" s="60">
        <v>92.414935613542966</v>
      </c>
      <c r="AA203" s="60" t="e">
        <v>#DIV/0!</v>
      </c>
      <c r="AB203" s="60" t="e">
        <v>#DIV/0!</v>
      </c>
      <c r="AC203" s="60" t="e">
        <v>#DIV/0!</v>
      </c>
      <c r="AD203" s="60" t="e">
        <v>#DIV/0!</v>
      </c>
      <c r="AE203" s="60" t="e">
        <v>#DIV/0!</v>
      </c>
      <c r="AF203" s="60" t="e">
        <v>#DIV/0!</v>
      </c>
      <c r="AG203" s="60" t="e">
        <v>#DIV/0!</v>
      </c>
      <c r="AH203" s="60" t="e">
        <v>#DIV/0!</v>
      </c>
      <c r="AI203" s="60" t="e">
        <v>#DIV/0!</v>
      </c>
      <c r="AJ203" s="60" t="e">
        <v>#DIV/0!</v>
      </c>
      <c r="AK203" s="60" t="e">
        <v>#DIV/0!</v>
      </c>
      <c r="AL203" s="60" t="e">
        <v>#DIV/0!</v>
      </c>
      <c r="AM203" s="60">
        <v>92.414935613542966</v>
      </c>
      <c r="BO203" s="14"/>
    </row>
    <row r="204" spans="1:69">
      <c r="A204" s="84" t="s">
        <v>192</v>
      </c>
      <c r="B204" s="18" t="s">
        <v>41</v>
      </c>
      <c r="C204" s="20">
        <v>98.457711672381407</v>
      </c>
      <c r="D204" s="20">
        <v>98.34</v>
      </c>
      <c r="E204" s="20">
        <v>98.4</v>
      </c>
      <c r="F204" s="20">
        <v>98.394539017085705</v>
      </c>
      <c r="G204" s="20">
        <v>98.397992090908005</v>
      </c>
      <c r="H204" s="20">
        <v>98.412339631556875</v>
      </c>
      <c r="I204" s="20">
        <v>98.408035383458511</v>
      </c>
      <c r="J204" s="20">
        <v>98.395279211327249</v>
      </c>
      <c r="K204" s="20">
        <v>98.399662250562741</v>
      </c>
      <c r="L204" s="20">
        <v>98.403765450208553</v>
      </c>
      <c r="M204" s="20">
        <v>98.38</v>
      </c>
      <c r="N204" s="20">
        <v>98.38</v>
      </c>
      <c r="O204" s="20">
        <v>98.547043598062146</v>
      </c>
      <c r="P204" s="20">
        <v>98.536905827698064</v>
      </c>
      <c r="Q204" s="20">
        <v>98.542348565979367</v>
      </c>
      <c r="R204" s="20">
        <v>98.539989729016867</v>
      </c>
      <c r="S204" s="20">
        <v>98.543238154709115</v>
      </c>
      <c r="T204" s="60">
        <v>98.533630614931553</v>
      </c>
      <c r="U204" s="60">
        <v>98.551712405493561</v>
      </c>
      <c r="V204" s="60">
        <v>98.55</v>
      </c>
      <c r="W204" s="60">
        <v>98.537958394225996</v>
      </c>
      <c r="X204" s="60">
        <v>98.550300688454101</v>
      </c>
      <c r="Y204" s="60">
        <v>98.546583645762794</v>
      </c>
      <c r="Z204" s="60">
        <v>98.54473784855017</v>
      </c>
      <c r="AA204" s="60" t="e">
        <v>#DIV/0!</v>
      </c>
      <c r="AB204" s="60" t="e">
        <v>#DIV/0!</v>
      </c>
      <c r="AC204" s="60" t="e">
        <v>#DIV/0!</v>
      </c>
      <c r="AD204" s="60" t="e">
        <v>#DIV/0!</v>
      </c>
      <c r="AE204" s="60" t="e">
        <v>#DIV/0!</v>
      </c>
      <c r="AF204" s="60" t="e">
        <v>#DIV/0!</v>
      </c>
      <c r="AG204" s="60" t="e">
        <v>#DIV/0!</v>
      </c>
      <c r="AH204" s="60" t="e">
        <v>#DIV/0!</v>
      </c>
      <c r="AI204" s="60" t="e">
        <v>#DIV/0!</v>
      </c>
      <c r="AJ204" s="60" t="e">
        <v>#DIV/0!</v>
      </c>
      <c r="AK204" s="60" t="e">
        <v>#DIV/0!</v>
      </c>
      <c r="AL204" s="60" t="e">
        <v>#DIV/0!</v>
      </c>
      <c r="AM204" s="60">
        <v>98.54473784855017</v>
      </c>
      <c r="BO204" s="14"/>
    </row>
    <row r="205" spans="1:69">
      <c r="A205" s="85" t="s">
        <v>193</v>
      </c>
      <c r="B205" s="13"/>
      <c r="C205" s="24">
        <v>1.0249999999999999</v>
      </c>
      <c r="D205" s="24">
        <v>1.0469999999999999</v>
      </c>
      <c r="E205" s="24">
        <v>1.0489999999999999</v>
      </c>
      <c r="F205" s="24">
        <v>1.05</v>
      </c>
      <c r="G205" s="24">
        <v>1.0489999999999999</v>
      </c>
      <c r="H205" s="24">
        <v>1.048</v>
      </c>
      <c r="I205" s="24">
        <v>1.046</v>
      </c>
      <c r="J205" s="24">
        <v>1.0462499999999999</v>
      </c>
      <c r="K205" s="24">
        <v>1.0386666666666666</v>
      </c>
      <c r="L205" s="24">
        <v>1.0249999999999999</v>
      </c>
      <c r="M205" s="24">
        <v>1.0054693156990855</v>
      </c>
      <c r="N205" s="24">
        <v>0.99099999999999999</v>
      </c>
      <c r="O205" s="24">
        <v>1.0089999999999999</v>
      </c>
      <c r="P205" s="24">
        <v>1.0349999999999999</v>
      </c>
      <c r="Q205" s="24">
        <v>1.0289999999999999</v>
      </c>
      <c r="R205" s="24">
        <v>1.0209999999999999</v>
      </c>
      <c r="S205" s="24">
        <v>1.027646611522212</v>
      </c>
      <c r="T205" s="69">
        <v>1.0208831180866769</v>
      </c>
      <c r="U205" s="69">
        <v>1.0280873333296858</v>
      </c>
      <c r="V205" s="69">
        <v>1.0249999999999999</v>
      </c>
      <c r="W205" s="69">
        <v>1.0383977424159285</v>
      </c>
      <c r="X205" s="69">
        <v>1.0401718841680185</v>
      </c>
      <c r="Y205" s="69">
        <v>1.0387886101194965</v>
      </c>
      <c r="Z205" s="69">
        <v>1.0391194122344813</v>
      </c>
      <c r="AA205" s="69" t="e">
        <v>#DIV/0!</v>
      </c>
      <c r="AB205" s="69" t="e">
        <v>#DIV/0!</v>
      </c>
      <c r="AC205" s="69" t="e">
        <v>#DIV/0!</v>
      </c>
      <c r="AD205" s="69" t="e">
        <v>#DIV/0!</v>
      </c>
      <c r="AE205" s="69" t="e">
        <v>#DIV/0!</v>
      </c>
      <c r="AF205" s="69" t="e">
        <v>#DIV/0!</v>
      </c>
      <c r="AG205" s="69" t="e">
        <v>#DIV/0!</v>
      </c>
      <c r="AH205" s="69" t="e">
        <v>#DIV/0!</v>
      </c>
      <c r="AI205" s="69" t="e">
        <v>#DIV/0!</v>
      </c>
      <c r="AJ205" s="69" t="e">
        <v>#DIV/0!</v>
      </c>
      <c r="AK205" s="69" t="e">
        <v>#DIV/0!</v>
      </c>
      <c r="AL205" s="69" t="e">
        <v>#DIV/0!</v>
      </c>
      <c r="AM205" s="69">
        <v>1.0390930440247412</v>
      </c>
      <c r="BO205" s="23"/>
      <c r="BP205" s="37"/>
      <c r="BQ205" s="38"/>
    </row>
    <row r="206" spans="1:69">
      <c r="A206" s="85" t="s">
        <v>213</v>
      </c>
      <c r="B206" s="13" t="s">
        <v>214</v>
      </c>
      <c r="C206" s="20"/>
      <c r="D206" s="22">
        <v>278</v>
      </c>
      <c r="E206" s="22">
        <v>763</v>
      </c>
      <c r="F206" s="22">
        <v>1136</v>
      </c>
      <c r="G206" s="22">
        <v>741</v>
      </c>
      <c r="H206" s="22">
        <v>994</v>
      </c>
      <c r="I206" s="22">
        <v>388</v>
      </c>
      <c r="J206" s="13">
        <v>119</v>
      </c>
      <c r="K206" s="13">
        <v>257</v>
      </c>
      <c r="L206" s="13">
        <v>48</v>
      </c>
      <c r="M206" s="13">
        <v>90</v>
      </c>
      <c r="N206" s="13">
        <v>0</v>
      </c>
      <c r="O206" s="13">
        <v>214</v>
      </c>
      <c r="P206" s="13">
        <v>1939</v>
      </c>
      <c r="Q206" s="13">
        <v>2054</v>
      </c>
      <c r="R206" s="13">
        <v>2815</v>
      </c>
      <c r="S206" s="13">
        <v>2882</v>
      </c>
      <c r="T206" s="54">
        <v>6152</v>
      </c>
      <c r="U206" s="54">
        <v>5813</v>
      </c>
      <c r="V206" s="54"/>
      <c r="W206" s="54">
        <v>437</v>
      </c>
      <c r="X206" s="54">
        <v>512</v>
      </c>
      <c r="Y206" s="54">
        <v>451</v>
      </c>
      <c r="Z206" s="54">
        <v>1400</v>
      </c>
      <c r="AA206" s="54">
        <v>0</v>
      </c>
      <c r="AB206" s="54">
        <v>0</v>
      </c>
      <c r="AC206" s="54">
        <v>0</v>
      </c>
      <c r="AD206" s="54">
        <v>0</v>
      </c>
      <c r="AE206" s="54">
        <v>0</v>
      </c>
      <c r="AF206" s="54">
        <v>0</v>
      </c>
      <c r="AG206" s="54">
        <v>0</v>
      </c>
      <c r="AH206" s="54">
        <v>0</v>
      </c>
      <c r="AI206" s="54">
        <v>0</v>
      </c>
      <c r="AJ206" s="54">
        <v>0</v>
      </c>
      <c r="AK206" s="54">
        <v>0</v>
      </c>
      <c r="AL206" s="54">
        <v>0</v>
      </c>
      <c r="AM206" s="54">
        <v>1400</v>
      </c>
      <c r="BO206" s="23"/>
    </row>
    <row r="207" spans="1:69">
      <c r="A207" s="85" t="s">
        <v>215</v>
      </c>
      <c r="B207" s="13" t="s">
        <v>214</v>
      </c>
      <c r="C207" s="24">
        <v>1770</v>
      </c>
      <c r="D207" s="24">
        <v>1943</v>
      </c>
      <c r="E207" s="24">
        <v>5623</v>
      </c>
      <c r="F207" s="24">
        <v>1839</v>
      </c>
      <c r="G207" s="24">
        <v>2002</v>
      </c>
      <c r="H207" s="24">
        <v>1967</v>
      </c>
      <c r="I207" s="24">
        <v>5808</v>
      </c>
      <c r="J207" s="24">
        <v>2023</v>
      </c>
      <c r="K207" s="24">
        <v>1758</v>
      </c>
      <c r="L207" s="24">
        <v>2010</v>
      </c>
      <c r="M207" s="24">
        <v>5791</v>
      </c>
      <c r="N207" s="24">
        <v>1974</v>
      </c>
      <c r="O207" s="22">
        <v>20310</v>
      </c>
      <c r="P207" s="22">
        <v>20204</v>
      </c>
      <c r="Q207" s="22">
        <v>22586</v>
      </c>
      <c r="R207" s="22">
        <v>22713</v>
      </c>
      <c r="S207" s="22">
        <v>23124</v>
      </c>
      <c r="T207" s="62">
        <v>23016</v>
      </c>
      <c r="U207" s="62">
        <v>23253</v>
      </c>
      <c r="V207" s="62"/>
      <c r="W207" s="62">
        <v>2025</v>
      </c>
      <c r="X207" s="62">
        <v>1834</v>
      </c>
      <c r="Y207" s="62">
        <v>1887</v>
      </c>
      <c r="Z207" s="62">
        <v>5746</v>
      </c>
      <c r="AA207" s="62">
        <v>0</v>
      </c>
      <c r="AB207" s="62">
        <v>0</v>
      </c>
      <c r="AC207" s="62">
        <v>0</v>
      </c>
      <c r="AD207" s="62">
        <v>0</v>
      </c>
      <c r="AE207" s="62">
        <v>0</v>
      </c>
      <c r="AF207" s="62">
        <v>0</v>
      </c>
      <c r="AG207" s="62">
        <v>0</v>
      </c>
      <c r="AH207" s="62">
        <v>0</v>
      </c>
      <c r="AI207" s="62">
        <v>0</v>
      </c>
      <c r="AJ207" s="62">
        <v>0</v>
      </c>
      <c r="AK207" s="62">
        <v>0</v>
      </c>
      <c r="AL207" s="62">
        <v>0</v>
      </c>
      <c r="AM207" s="62">
        <v>5746</v>
      </c>
      <c r="BO207" s="23"/>
    </row>
    <row r="208" spans="1:69">
      <c r="A208" s="88" t="s">
        <v>216</v>
      </c>
      <c r="B208" s="13" t="s">
        <v>214</v>
      </c>
      <c r="O208" s="12">
        <v>2965</v>
      </c>
      <c r="P208" s="12">
        <v>2344</v>
      </c>
      <c r="Q208" s="12">
        <v>2919</v>
      </c>
      <c r="R208" s="12">
        <v>2851</v>
      </c>
      <c r="S208" s="12">
        <v>2991</v>
      </c>
      <c r="T208" s="65">
        <v>3519</v>
      </c>
      <c r="U208" s="65">
        <v>3600</v>
      </c>
      <c r="W208" s="62">
        <v>371</v>
      </c>
      <c r="X208" s="62">
        <v>354</v>
      </c>
      <c r="Y208" s="62">
        <v>293</v>
      </c>
      <c r="Z208" s="62">
        <v>1018</v>
      </c>
      <c r="AA208" s="62">
        <v>0</v>
      </c>
      <c r="AB208" s="62">
        <v>0</v>
      </c>
      <c r="AC208" s="62">
        <v>0</v>
      </c>
      <c r="AD208" s="62">
        <v>0</v>
      </c>
      <c r="AE208" s="62">
        <v>0</v>
      </c>
      <c r="AF208" s="62">
        <v>0</v>
      </c>
      <c r="AG208" s="62">
        <v>0</v>
      </c>
      <c r="AH208" s="62">
        <v>0</v>
      </c>
      <c r="AI208" s="62">
        <v>0</v>
      </c>
      <c r="AJ208" s="62">
        <v>0</v>
      </c>
      <c r="AK208" s="62">
        <v>0</v>
      </c>
      <c r="AL208" s="62">
        <v>0</v>
      </c>
      <c r="AM208" s="62">
        <v>1018</v>
      </c>
    </row>
    <row r="209" spans="1:69">
      <c r="A209" s="84" t="s">
        <v>217</v>
      </c>
      <c r="B209" s="18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BO209" s="18"/>
    </row>
    <row r="210" spans="1:69">
      <c r="A210" s="84" t="s">
        <v>218</v>
      </c>
      <c r="B210" s="18" t="s">
        <v>219</v>
      </c>
      <c r="C210" s="13">
        <v>13239</v>
      </c>
      <c r="D210" s="13">
        <v>17738</v>
      </c>
      <c r="E210" s="13">
        <v>16483</v>
      </c>
      <c r="F210" s="13">
        <v>9763</v>
      </c>
      <c r="G210" s="13">
        <v>12660</v>
      </c>
      <c r="H210" s="13">
        <v>3264</v>
      </c>
      <c r="I210" s="13">
        <v>3273</v>
      </c>
      <c r="J210" s="13">
        <v>1168</v>
      </c>
      <c r="K210" s="13">
        <v>849</v>
      </c>
      <c r="L210" s="13">
        <v>1400</v>
      </c>
      <c r="M210" s="13">
        <v>0</v>
      </c>
      <c r="N210" s="13">
        <v>60</v>
      </c>
      <c r="O210" s="13">
        <v>48</v>
      </c>
      <c r="P210" s="13">
        <v>0</v>
      </c>
      <c r="Q210" s="13">
        <v>34</v>
      </c>
      <c r="R210" s="13">
        <v>0</v>
      </c>
      <c r="S210" s="13">
        <v>24</v>
      </c>
      <c r="T210" s="54">
        <v>0</v>
      </c>
      <c r="U210" s="54">
        <v>0</v>
      </c>
      <c r="V210" s="54">
        <v>0</v>
      </c>
      <c r="W210" s="54">
        <v>0</v>
      </c>
      <c r="X210" s="54">
        <v>0</v>
      </c>
      <c r="Y210" s="54">
        <v>0</v>
      </c>
      <c r="Z210" s="54">
        <v>0</v>
      </c>
      <c r="AA210" s="54">
        <v>0</v>
      </c>
      <c r="AB210" s="54">
        <v>0</v>
      </c>
      <c r="AC210" s="54">
        <v>0</v>
      </c>
      <c r="AD210" s="54">
        <v>0</v>
      </c>
      <c r="AE210" s="54">
        <v>0</v>
      </c>
      <c r="AF210" s="54">
        <v>0</v>
      </c>
      <c r="AG210" s="54">
        <v>0</v>
      </c>
      <c r="AH210" s="54">
        <v>0</v>
      </c>
      <c r="AI210" s="54">
        <v>0</v>
      </c>
      <c r="AJ210" s="54">
        <v>0</v>
      </c>
      <c r="AK210" s="54">
        <v>0</v>
      </c>
      <c r="AL210" s="54">
        <v>0</v>
      </c>
      <c r="AM210" s="54">
        <v>0</v>
      </c>
      <c r="BO210" s="14"/>
    </row>
    <row r="211" spans="1:69">
      <c r="A211" s="84" t="s">
        <v>220</v>
      </c>
      <c r="B211" s="18" t="s">
        <v>219</v>
      </c>
      <c r="C211" s="13">
        <v>120083</v>
      </c>
      <c r="D211" s="13">
        <v>120044</v>
      </c>
      <c r="E211" s="13">
        <v>114767</v>
      </c>
      <c r="F211" s="13">
        <v>124808</v>
      </c>
      <c r="G211" s="13">
        <v>115429</v>
      </c>
      <c r="H211" s="13">
        <v>117336</v>
      </c>
      <c r="I211" s="13">
        <v>119527</v>
      </c>
      <c r="J211" s="13">
        <v>128847</v>
      </c>
      <c r="K211" s="13">
        <v>102308</v>
      </c>
      <c r="L211" s="13">
        <v>94182</v>
      </c>
      <c r="M211" s="13">
        <v>96485</v>
      </c>
      <c r="N211" s="13">
        <v>160078</v>
      </c>
      <c r="O211" s="13">
        <v>167340</v>
      </c>
      <c r="P211" s="13">
        <v>118881</v>
      </c>
      <c r="Q211" s="13">
        <v>143595</v>
      </c>
      <c r="R211" s="13">
        <v>134590</v>
      </c>
      <c r="S211" s="13">
        <v>206675</v>
      </c>
      <c r="T211" s="54">
        <v>220012</v>
      </c>
      <c r="U211" s="54">
        <v>244994</v>
      </c>
      <c r="V211" s="54">
        <v>310000</v>
      </c>
      <c r="W211" s="54">
        <v>17714</v>
      </c>
      <c r="X211" s="54">
        <v>31172</v>
      </c>
      <c r="Y211" s="54">
        <v>19602</v>
      </c>
      <c r="Z211" s="54">
        <v>68488</v>
      </c>
      <c r="AA211" s="54">
        <v>0</v>
      </c>
      <c r="AB211" s="54">
        <v>0</v>
      </c>
      <c r="AC211" s="54">
        <v>0</v>
      </c>
      <c r="AD211" s="54">
        <v>0</v>
      </c>
      <c r="AE211" s="54">
        <v>0</v>
      </c>
      <c r="AF211" s="54">
        <v>0</v>
      </c>
      <c r="AG211" s="54">
        <v>0</v>
      </c>
      <c r="AH211" s="54">
        <v>0</v>
      </c>
      <c r="AI211" s="54">
        <v>0</v>
      </c>
      <c r="AJ211" s="54">
        <v>0</v>
      </c>
      <c r="AK211" s="54">
        <v>0</v>
      </c>
      <c r="AL211" s="54">
        <v>0</v>
      </c>
      <c r="AM211" s="54">
        <v>68488</v>
      </c>
      <c r="BO211" s="14"/>
    </row>
    <row r="212" spans="1:69">
      <c r="A212" s="84" t="s">
        <v>221</v>
      </c>
      <c r="B212" s="18" t="s">
        <v>219</v>
      </c>
      <c r="C212" s="13">
        <v>39936</v>
      </c>
      <c r="D212" s="13">
        <v>40841</v>
      </c>
      <c r="E212" s="13">
        <v>31017</v>
      </c>
      <c r="F212" s="13">
        <v>28158</v>
      </c>
      <c r="G212" s="13">
        <v>29078</v>
      </c>
      <c r="H212" s="13">
        <v>11303</v>
      </c>
      <c r="I212" s="13">
        <v>19088</v>
      </c>
      <c r="J212" s="13">
        <v>8285</v>
      </c>
      <c r="K212" s="13">
        <v>12608</v>
      </c>
      <c r="L212" s="13">
        <v>10432</v>
      </c>
      <c r="M212" s="13">
        <v>4348</v>
      </c>
      <c r="N212" s="13">
        <v>11356</v>
      </c>
      <c r="O212" s="13">
        <v>1621</v>
      </c>
      <c r="P212" s="13">
        <v>0</v>
      </c>
      <c r="Q212" s="13">
        <v>0</v>
      </c>
      <c r="R212" s="13">
        <v>0</v>
      </c>
      <c r="S212" s="13">
        <v>0</v>
      </c>
      <c r="T212" s="54">
        <v>0</v>
      </c>
      <c r="U212" s="54">
        <v>0</v>
      </c>
      <c r="V212" s="54">
        <v>0</v>
      </c>
      <c r="W212" s="54">
        <v>0</v>
      </c>
      <c r="X212" s="54">
        <v>0</v>
      </c>
      <c r="Y212" s="54">
        <v>0</v>
      </c>
      <c r="Z212" s="54">
        <v>0</v>
      </c>
      <c r="AA212" s="54">
        <v>0</v>
      </c>
      <c r="AB212" s="54">
        <v>0</v>
      </c>
      <c r="AC212" s="54">
        <v>0</v>
      </c>
      <c r="AD212" s="54">
        <v>0</v>
      </c>
      <c r="AE212" s="54">
        <v>0</v>
      </c>
      <c r="AF212" s="54">
        <v>0</v>
      </c>
      <c r="AG212" s="54">
        <v>0</v>
      </c>
      <c r="AH212" s="54">
        <v>0</v>
      </c>
      <c r="AI212" s="54">
        <v>0</v>
      </c>
      <c r="AJ212" s="54">
        <v>0</v>
      </c>
      <c r="AK212" s="54">
        <v>0</v>
      </c>
      <c r="AL212" s="54">
        <v>0</v>
      </c>
      <c r="AM212" s="54">
        <v>0</v>
      </c>
      <c r="BO212" s="14"/>
    </row>
    <row r="213" spans="1:69">
      <c r="A213" s="84" t="s">
        <v>222</v>
      </c>
      <c r="B213" s="18" t="s">
        <v>219</v>
      </c>
      <c r="C213" s="13"/>
      <c r="D213" s="13"/>
      <c r="E213" s="13"/>
      <c r="F213" s="13"/>
      <c r="G213" s="13"/>
      <c r="H213" s="13">
        <v>320</v>
      </c>
      <c r="I213" s="13">
        <v>0</v>
      </c>
      <c r="J213" s="13">
        <v>13414</v>
      </c>
      <c r="K213" s="13">
        <v>9595</v>
      </c>
      <c r="L213" s="13">
        <v>11354</v>
      </c>
      <c r="M213" s="13">
        <v>11430</v>
      </c>
      <c r="N213" s="13">
        <v>12030</v>
      </c>
      <c r="O213" s="13">
        <v>10986</v>
      </c>
      <c r="P213" s="13">
        <v>12493</v>
      </c>
      <c r="Q213" s="13">
        <v>22126</v>
      </c>
      <c r="R213" s="13">
        <v>18528</v>
      </c>
      <c r="S213" s="13">
        <v>11809</v>
      </c>
      <c r="T213" s="54">
        <v>12002</v>
      </c>
      <c r="U213" s="54">
        <v>5675</v>
      </c>
      <c r="V213" s="54">
        <v>0</v>
      </c>
      <c r="W213" s="54">
        <v>120</v>
      </c>
      <c r="X213" s="54">
        <v>163</v>
      </c>
      <c r="Y213" s="54">
        <v>636</v>
      </c>
      <c r="Z213" s="54">
        <v>919</v>
      </c>
      <c r="AA213" s="54">
        <v>0</v>
      </c>
      <c r="AB213" s="54">
        <v>0</v>
      </c>
      <c r="AC213" s="54">
        <v>0</v>
      </c>
      <c r="AD213" s="54">
        <v>0</v>
      </c>
      <c r="AE213" s="54">
        <v>0</v>
      </c>
      <c r="AF213" s="54">
        <v>0</v>
      </c>
      <c r="AG213" s="54">
        <v>0</v>
      </c>
      <c r="AH213" s="54">
        <v>0</v>
      </c>
      <c r="AI213" s="54">
        <v>0</v>
      </c>
      <c r="AJ213" s="54">
        <v>0</v>
      </c>
      <c r="AK213" s="54">
        <v>0</v>
      </c>
      <c r="AL213" s="54">
        <v>0</v>
      </c>
      <c r="AM213" s="54">
        <v>919</v>
      </c>
      <c r="BO213" s="14"/>
    </row>
    <row r="214" spans="1:69">
      <c r="A214" s="84" t="s">
        <v>223</v>
      </c>
      <c r="B214" s="18" t="s">
        <v>41</v>
      </c>
      <c r="C214" s="20">
        <v>89.351072051833725</v>
      </c>
      <c r="D214" s="20">
        <v>89.57</v>
      </c>
      <c r="E214" s="20">
        <v>89.91</v>
      </c>
      <c r="F214" s="20">
        <v>89.46945257233601</v>
      </c>
      <c r="G214" s="20">
        <v>90.136780487804884</v>
      </c>
      <c r="H214" s="20">
        <v>90.411530789958633</v>
      </c>
      <c r="I214" s="20">
        <v>90.398324885601028</v>
      </c>
      <c r="J214" s="20">
        <v>90.423837677362513</v>
      </c>
      <c r="K214" s="20">
        <v>90.435477571858229</v>
      </c>
      <c r="L214" s="20">
        <v>90.158884992036519</v>
      </c>
      <c r="M214" s="20">
        <v>92.294291840213702</v>
      </c>
      <c r="N214" s="20">
        <v>92.37571156768108</v>
      </c>
      <c r="O214" s="20">
        <v>92.0134194582144</v>
      </c>
      <c r="P214" s="20">
        <v>92.11</v>
      </c>
      <c r="Q214" s="20">
        <v>93.42</v>
      </c>
      <c r="R214" s="20">
        <v>92.442454902965537</v>
      </c>
      <c r="S214" s="20">
        <v>92.613460156757142</v>
      </c>
      <c r="T214" s="60">
        <v>92.254575025624945</v>
      </c>
      <c r="U214" s="60">
        <v>91.490399268515702</v>
      </c>
      <c r="V214" s="59">
        <v>91.5</v>
      </c>
      <c r="W214" s="60">
        <v>92.026629169046885</v>
      </c>
      <c r="X214" s="60">
        <v>90.927168779517771</v>
      </c>
      <c r="Y214" s="60">
        <v>92.201028854499654</v>
      </c>
      <c r="Z214" s="60">
        <v>91.687004481213378</v>
      </c>
      <c r="AA214" s="60" t="e">
        <v>#DIV/0!</v>
      </c>
      <c r="AB214" s="60" t="e">
        <v>#DIV/0!</v>
      </c>
      <c r="AC214" s="60" t="e">
        <v>#DIV/0!</v>
      </c>
      <c r="AD214" s="60" t="e">
        <v>#DIV/0!</v>
      </c>
      <c r="AE214" s="60" t="e">
        <v>#DIV/0!</v>
      </c>
      <c r="AF214" s="60" t="e">
        <v>#DIV/0!</v>
      </c>
      <c r="AG214" s="60" t="e">
        <v>#DIV/0!</v>
      </c>
      <c r="AH214" s="60" t="e">
        <v>#DIV/0!</v>
      </c>
      <c r="AI214" s="60" t="e">
        <v>#DIV/0!</v>
      </c>
      <c r="AJ214" s="60" t="e">
        <v>#DIV/0!</v>
      </c>
      <c r="AK214" s="60" t="e">
        <v>#DIV/0!</v>
      </c>
      <c r="AL214" s="60" t="e">
        <v>#DIV/0!</v>
      </c>
      <c r="AM214" s="60">
        <v>91.687004481213378</v>
      </c>
      <c r="BO214" s="14"/>
      <c r="BP214" s="40"/>
      <c r="BQ214" s="41"/>
    </row>
    <row r="215" spans="1:69">
      <c r="A215" s="84" t="s">
        <v>224</v>
      </c>
      <c r="B215" s="18" t="s">
        <v>41</v>
      </c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>
        <v>88.28871141808763</v>
      </c>
      <c r="R215" s="20">
        <v>89.15</v>
      </c>
      <c r="S215" s="20">
        <v>89.05</v>
      </c>
      <c r="T215" s="60">
        <v>89.07</v>
      </c>
      <c r="U215" s="60">
        <v>89.211714831952563</v>
      </c>
      <c r="V215" s="59">
        <v>91</v>
      </c>
      <c r="W215" s="60">
        <v>89.395708971364314</v>
      </c>
      <c r="X215" s="60">
        <v>88.750047332348828</v>
      </c>
      <c r="Y215" s="60">
        <v>89.447099830936523</v>
      </c>
      <c r="Z215" s="60">
        <v>89.698035160289564</v>
      </c>
      <c r="AA215" s="60" t="e">
        <v>#DIV/0!</v>
      </c>
      <c r="AB215" s="60" t="e">
        <v>#DIV/0!</v>
      </c>
      <c r="AC215" s="60" t="e">
        <v>#DIV/0!</v>
      </c>
      <c r="AD215" s="60" t="e">
        <v>#DIV/0!</v>
      </c>
      <c r="AE215" s="60" t="e">
        <v>#DIV/0!</v>
      </c>
      <c r="AF215" s="60" t="e">
        <v>#DIV/0!</v>
      </c>
      <c r="AG215" s="60" t="e">
        <v>#DIV/0!</v>
      </c>
      <c r="AH215" s="60" t="e">
        <v>#DIV/0!</v>
      </c>
      <c r="AI215" s="60" t="e">
        <v>#DIV/0!</v>
      </c>
      <c r="AJ215" s="60" t="e">
        <v>#DIV/0!</v>
      </c>
      <c r="AK215" s="60" t="e">
        <v>#DIV/0!</v>
      </c>
      <c r="AL215" s="60" t="e">
        <v>#DIV/0!</v>
      </c>
      <c r="AM215" s="60">
        <v>89.180417106113694</v>
      </c>
      <c r="BO215" s="14"/>
      <c r="BP215" s="40"/>
      <c r="BQ215" s="41"/>
    </row>
    <row r="216" spans="1:69">
      <c r="A216" s="84" t="s">
        <v>225</v>
      </c>
      <c r="B216" s="18" t="s">
        <v>41</v>
      </c>
      <c r="C216" s="20">
        <v>92.493643267180275</v>
      </c>
      <c r="D216" s="20">
        <v>92.53</v>
      </c>
      <c r="E216" s="20">
        <v>92.67</v>
      </c>
      <c r="F216" s="20">
        <v>91.845085831201629</v>
      </c>
      <c r="G216" s="20">
        <v>92.608780487804879</v>
      </c>
      <c r="H216" s="20">
        <v>92.727682920143877</v>
      </c>
      <c r="I216" s="20">
        <v>92.716350281051945</v>
      </c>
      <c r="J216" s="20">
        <v>92.740588261667085</v>
      </c>
      <c r="K216" s="20">
        <v>92.674064202342464</v>
      </c>
      <c r="L216" s="20">
        <v>92.561284355768009</v>
      </c>
      <c r="M216" s="20">
        <v>93.732315776524132</v>
      </c>
      <c r="N216" s="20">
        <v>93.548708496276191</v>
      </c>
      <c r="O216" s="20">
        <v>93.60626479824316</v>
      </c>
      <c r="P216" s="20">
        <v>93.92</v>
      </c>
      <c r="Q216" s="20">
        <v>93.92</v>
      </c>
      <c r="R216" s="20">
        <v>94.633072206014219</v>
      </c>
      <c r="S216" s="20">
        <v>95.270703673525986</v>
      </c>
      <c r="T216" s="60">
        <v>94.634809342739914</v>
      </c>
      <c r="U216" s="60">
        <v>93.988399788688241</v>
      </c>
      <c r="V216" s="59">
        <v>94</v>
      </c>
      <c r="W216" s="60">
        <v>94.000346050696422</v>
      </c>
      <c r="X216" s="60">
        <v>94.009617933280325</v>
      </c>
      <c r="Y216" s="60">
        <v>94.003464757571336</v>
      </c>
      <c r="Z216" s="60">
        <v>94.004694995407064</v>
      </c>
      <c r="AA216" s="60" t="e">
        <v>#DIV/0!</v>
      </c>
      <c r="AB216" s="60" t="e">
        <v>#DIV/0!</v>
      </c>
      <c r="AC216" s="60" t="e">
        <v>#DIV/0!</v>
      </c>
      <c r="AD216" s="60" t="e">
        <v>#DIV/0!</v>
      </c>
      <c r="AE216" s="60" t="e">
        <v>#DIV/0!</v>
      </c>
      <c r="AF216" s="60" t="e">
        <v>#DIV/0!</v>
      </c>
      <c r="AG216" s="60" t="e">
        <v>#DIV/0!</v>
      </c>
      <c r="AH216" s="60" t="e">
        <v>#DIV/0!</v>
      </c>
      <c r="AI216" s="60" t="e">
        <v>#DIV/0!</v>
      </c>
      <c r="AJ216" s="60" t="e">
        <v>#DIV/0!</v>
      </c>
      <c r="AK216" s="60" t="e">
        <v>#DIV/0!</v>
      </c>
      <c r="AL216" s="60" t="e">
        <v>#DIV/0!</v>
      </c>
      <c r="AM216" s="60">
        <v>94.004694995407064</v>
      </c>
      <c r="BO216" s="14"/>
      <c r="BP216" s="40"/>
      <c r="BQ216" s="41"/>
    </row>
    <row r="217" spans="1:69">
      <c r="A217" s="85" t="s">
        <v>226</v>
      </c>
      <c r="B217" s="18" t="s">
        <v>219</v>
      </c>
      <c r="C217" s="20">
        <v>4.9816660883591384</v>
      </c>
      <c r="D217" s="20">
        <v>4.82</v>
      </c>
      <c r="E217" s="20">
        <v>4.82</v>
      </c>
      <c r="F217" s="20">
        <v>4.8356694520389691</v>
      </c>
      <c r="G217" s="20">
        <v>4.9344596784958332</v>
      </c>
      <c r="H217" s="20">
        <v>4.7889728910255132</v>
      </c>
      <c r="I217" s="20">
        <v>4.8704635139650172</v>
      </c>
      <c r="J217" s="20">
        <v>4.9265203186794295</v>
      </c>
      <c r="K217" s="20">
        <v>4.8762151083349599</v>
      </c>
      <c r="L217" s="20">
        <v>4.8016257967464782</v>
      </c>
      <c r="M217" s="20">
        <v>4.7814688771634044</v>
      </c>
      <c r="N217" s="20">
        <v>5.0219900097605787</v>
      </c>
      <c r="O217" s="20">
        <v>4.9795735149020901</v>
      </c>
      <c r="P217" s="20">
        <v>4.74</v>
      </c>
      <c r="Q217" s="20">
        <v>5</v>
      </c>
      <c r="R217" s="20">
        <v>5.0999999999999996</v>
      </c>
      <c r="S217" s="20">
        <v>5.2564721987357572</v>
      </c>
      <c r="T217" s="60">
        <v>5.1094959868992982</v>
      </c>
      <c r="U217" s="60">
        <v>5.2125182227896829</v>
      </c>
      <c r="V217" s="59"/>
      <c r="W217" s="60">
        <v>5.215566835871404</v>
      </c>
      <c r="X217" s="60">
        <v>5.5627172195892571</v>
      </c>
      <c r="Y217" s="60">
        <v>5.3972062633772673</v>
      </c>
      <c r="Z217" s="60">
        <v>5.3957851452068875</v>
      </c>
      <c r="AA217" s="60" t="e">
        <v>#DIV/0!</v>
      </c>
      <c r="AB217" s="60" t="e">
        <v>#DIV/0!</v>
      </c>
      <c r="AC217" s="60" t="e">
        <v>#DIV/0!</v>
      </c>
      <c r="AD217" s="60" t="e">
        <v>#DIV/0!</v>
      </c>
      <c r="AE217" s="60" t="e">
        <v>#DIV/0!</v>
      </c>
      <c r="AF217" s="60" t="e">
        <v>#DIV/0!</v>
      </c>
      <c r="AG217" s="60" t="e">
        <v>#DIV/0!</v>
      </c>
      <c r="AH217" s="60" t="e">
        <v>#DIV/0!</v>
      </c>
      <c r="AI217" s="60" t="e">
        <v>#DIV/0!</v>
      </c>
      <c r="AJ217" s="60" t="e">
        <v>#DIV/0!</v>
      </c>
      <c r="AK217" s="60" t="e">
        <v>#DIV/0!</v>
      </c>
      <c r="AL217" s="60" t="e">
        <v>#DIV/0!</v>
      </c>
      <c r="AM217" s="60">
        <v>5.3957851452068875</v>
      </c>
      <c r="BO217" s="23"/>
      <c r="BP217" s="40"/>
      <c r="BQ217" s="41"/>
    </row>
    <row r="218" spans="1:69">
      <c r="A218" s="84" t="s">
        <v>227</v>
      </c>
      <c r="B218" s="18" t="s">
        <v>41</v>
      </c>
      <c r="C218" s="20">
        <v>83.999316939890718</v>
      </c>
      <c r="D218" s="20">
        <v>85.21</v>
      </c>
      <c r="E218" s="20">
        <v>85.35</v>
      </c>
      <c r="F218" s="20">
        <v>90.456621004566202</v>
      </c>
      <c r="G218" s="20">
        <v>89.651639344262293</v>
      </c>
      <c r="H218" s="20">
        <v>86.912100456621005</v>
      </c>
      <c r="I218" s="20">
        <v>90.045662100456624</v>
      </c>
      <c r="J218" s="20">
        <v>89.029680365296798</v>
      </c>
      <c r="K218" s="20">
        <v>89.89071038251366</v>
      </c>
      <c r="L218" s="20">
        <v>87.340182648401836</v>
      </c>
      <c r="M218" s="20">
        <v>89.041095890410958</v>
      </c>
      <c r="N218" s="20">
        <v>87.248858447488587</v>
      </c>
      <c r="O218" s="20">
        <v>87.522768670309659</v>
      </c>
      <c r="P218" s="20">
        <v>91.232876712328775</v>
      </c>
      <c r="Q218" s="20">
        <v>91.11</v>
      </c>
      <c r="R218" s="20">
        <v>74.984931506849321</v>
      </c>
      <c r="S218" s="20">
        <v>85.006830601092901</v>
      </c>
      <c r="T218" s="60">
        <v>81.152968036529685</v>
      </c>
      <c r="U218" s="60">
        <v>83.05936073059361</v>
      </c>
      <c r="V218" s="59">
        <v>90</v>
      </c>
      <c r="W218" s="60">
        <v>90.833333333333329</v>
      </c>
      <c r="X218" s="60">
        <v>94.22043010752688</v>
      </c>
      <c r="Y218" s="60">
        <v>90.277777777777786</v>
      </c>
      <c r="Z218" s="60">
        <v>91.804029304029299</v>
      </c>
      <c r="AA218" s="60" t="e">
        <v>#DIV/0!</v>
      </c>
      <c r="AB218" s="60" t="e">
        <v>#DIV/0!</v>
      </c>
      <c r="AC218" s="60" t="e">
        <v>#DIV/0!</v>
      </c>
      <c r="AD218" s="60" t="e">
        <v>#DIV/0!</v>
      </c>
      <c r="AE218" s="60" t="e">
        <v>#DIV/0!</v>
      </c>
      <c r="AF218" s="60" t="e">
        <v>#DIV/0!</v>
      </c>
      <c r="AG218" s="60" t="e">
        <v>#DIV/0!</v>
      </c>
      <c r="AH218" s="60" t="e">
        <v>#DIV/0!</v>
      </c>
      <c r="AI218" s="60" t="e">
        <v>#DIV/0!</v>
      </c>
      <c r="AJ218" s="60" t="e">
        <v>#DIV/0!</v>
      </c>
      <c r="AK218" s="60" t="e">
        <v>#DIV/0!</v>
      </c>
      <c r="AL218" s="60" t="e">
        <v>#DIV/0!</v>
      </c>
      <c r="AM218" s="60">
        <v>91.804029304029299</v>
      </c>
      <c r="BO218" s="14"/>
      <c r="BP218" s="40"/>
      <c r="BQ218" s="41"/>
    </row>
    <row r="219" spans="1:69">
      <c r="A219" s="85" t="s">
        <v>228</v>
      </c>
      <c r="B219" s="18" t="s">
        <v>41</v>
      </c>
      <c r="C219" s="20">
        <v>86.608931354611357</v>
      </c>
      <c r="D219" s="20">
        <v>85.99</v>
      </c>
      <c r="E219" s="20">
        <v>83.82</v>
      </c>
      <c r="F219" s="20">
        <v>84.457849570923784</v>
      </c>
      <c r="G219" s="20">
        <v>87.397714285714272</v>
      </c>
      <c r="H219" s="20">
        <v>85.803769619754391</v>
      </c>
      <c r="I219" s="20">
        <v>86.936992900608516</v>
      </c>
      <c r="J219" s="20">
        <v>85.942941402743941</v>
      </c>
      <c r="K219" s="20">
        <v>83.881332320162116</v>
      </c>
      <c r="L219" s="20">
        <v>86.40047052672854</v>
      </c>
      <c r="M219" s="20">
        <v>83.131923076923087</v>
      </c>
      <c r="N219" s="20">
        <v>85.847834619913641</v>
      </c>
      <c r="O219" s="20">
        <v>86.526404786680544</v>
      </c>
      <c r="P219" s="20">
        <v>66.817942942942949</v>
      </c>
      <c r="Q219" s="20">
        <v>89.337744907227204</v>
      </c>
      <c r="R219" s="20">
        <v>81.60132629386726</v>
      </c>
      <c r="S219" s="20">
        <v>89.454131511986063</v>
      </c>
      <c r="T219" s="60">
        <v>89.659867773245182</v>
      </c>
      <c r="U219" s="60">
        <v>90.863386476085765</v>
      </c>
      <c r="V219" s="59">
        <v>93</v>
      </c>
      <c r="W219" s="60">
        <v>90.029051987767588</v>
      </c>
      <c r="X219" s="60">
        <v>91.339514978601983</v>
      </c>
      <c r="Y219" s="60">
        <v>91.604615384615371</v>
      </c>
      <c r="Z219" s="60">
        <v>90.998004987531161</v>
      </c>
      <c r="AA219" s="60" t="e">
        <v>#DIV/0!</v>
      </c>
      <c r="AB219" s="60" t="e">
        <v>#DIV/0!</v>
      </c>
      <c r="AC219" s="60" t="e">
        <v>#DIV/0!</v>
      </c>
      <c r="AD219" s="60" t="e">
        <v>#DIV/0!</v>
      </c>
      <c r="AE219" s="60" t="e">
        <v>#DIV/0!</v>
      </c>
      <c r="AF219" s="60" t="e">
        <v>#DIV/0!</v>
      </c>
      <c r="AG219" s="60" t="e">
        <v>#DIV/0!</v>
      </c>
      <c r="AH219" s="60" t="e">
        <v>#DIV/0!</v>
      </c>
      <c r="AI219" s="60" t="e">
        <v>#DIV/0!</v>
      </c>
      <c r="AJ219" s="60" t="e">
        <v>#DIV/0!</v>
      </c>
      <c r="AK219" s="60" t="e">
        <v>#DIV/0!</v>
      </c>
      <c r="AL219" s="60" t="e">
        <v>#DIV/0!</v>
      </c>
      <c r="AM219" s="60">
        <v>90.998004987531161</v>
      </c>
      <c r="BO219" s="23"/>
      <c r="BP219" s="40"/>
      <c r="BQ219" s="41"/>
    </row>
    <row r="220" spans="1:69">
      <c r="A220" s="84" t="s">
        <v>229</v>
      </c>
      <c r="B220" s="18" t="s">
        <v>230</v>
      </c>
      <c r="C220" s="22">
        <v>76.648869248439865</v>
      </c>
      <c r="D220" s="22">
        <v>73.099999999999994</v>
      </c>
      <c r="E220" s="22">
        <v>73</v>
      </c>
      <c r="F220" s="22">
        <v>68.91208587600336</v>
      </c>
      <c r="G220" s="22">
        <v>69.428280424318245</v>
      </c>
      <c r="H220" s="22">
        <v>67.786831418087857</v>
      </c>
      <c r="I220" s="22">
        <v>72.941951910219188</v>
      </c>
      <c r="J220" s="22">
        <v>71.244082599672666</v>
      </c>
      <c r="K220" s="22">
        <v>69.823214212918998</v>
      </c>
      <c r="L220" s="22">
        <v>69.590348687693819</v>
      </c>
      <c r="M220" s="22">
        <v>66.332474334121386</v>
      </c>
      <c r="N220" s="20">
        <v>74.706577152567689</v>
      </c>
      <c r="O220" s="20">
        <v>78.771224341002522</v>
      </c>
      <c r="P220" s="20">
        <v>78.312537803669969</v>
      </c>
      <c r="Q220" s="20">
        <v>79.468894420835227</v>
      </c>
      <c r="R220" s="20">
        <v>73.207366239251655</v>
      </c>
      <c r="S220" s="20">
        <v>74.37982256263156</v>
      </c>
      <c r="T220" s="60">
        <v>75.05</v>
      </c>
      <c r="U220" s="60">
        <v>77.77263500533941</v>
      </c>
      <c r="V220" s="59">
        <v>80</v>
      </c>
      <c r="W220" s="60">
        <v>73.815791708418971</v>
      </c>
      <c r="X220" s="60">
        <v>77.549235502662867</v>
      </c>
      <c r="Y220" s="60">
        <v>75.63945384008197</v>
      </c>
      <c r="Z220" s="60">
        <v>75.721152528624131</v>
      </c>
      <c r="AA220" s="60" t="e">
        <v>#DIV/0!</v>
      </c>
      <c r="AB220" s="60" t="e">
        <v>#DIV/0!</v>
      </c>
      <c r="AC220" s="60" t="e">
        <v>#DIV/0!</v>
      </c>
      <c r="AD220" s="60" t="e">
        <v>#DIV/0!</v>
      </c>
      <c r="AE220" s="60" t="e">
        <v>#DIV/0!</v>
      </c>
      <c r="AF220" s="60" t="e">
        <v>#DIV/0!</v>
      </c>
      <c r="AG220" s="60" t="e">
        <v>#DIV/0!</v>
      </c>
      <c r="AH220" s="60" t="e">
        <v>#DIV/0!</v>
      </c>
      <c r="AI220" s="60" t="e">
        <v>#DIV/0!</v>
      </c>
      <c r="AJ220" s="60" t="e">
        <v>#DIV/0!</v>
      </c>
      <c r="AK220" s="60" t="e">
        <v>#DIV/0!</v>
      </c>
      <c r="AL220" s="60" t="e">
        <v>#DIV/0!</v>
      </c>
      <c r="AM220" s="60">
        <v>75.721152528624131</v>
      </c>
      <c r="BO220" s="14"/>
      <c r="BP220" s="40"/>
      <c r="BQ220" s="41"/>
    </row>
    <row r="221" spans="1:69">
      <c r="A221" s="57" t="s">
        <v>231</v>
      </c>
      <c r="B221" s="18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13"/>
      <c r="Q221" s="13"/>
      <c r="R221" s="13"/>
      <c r="S221" s="13"/>
      <c r="T221" s="54"/>
      <c r="U221" s="54"/>
      <c r="V221" s="54"/>
      <c r="W221" s="62"/>
      <c r="X221" s="62"/>
      <c r="Y221" s="62"/>
      <c r="Z221" s="62"/>
      <c r="AA221" s="54"/>
      <c r="AB221" s="54"/>
      <c r="AC221" s="54"/>
      <c r="AD221" s="62"/>
      <c r="AE221" s="54"/>
      <c r="AF221" s="54"/>
      <c r="AG221" s="54"/>
      <c r="AH221" s="62"/>
      <c r="AI221" s="54"/>
      <c r="AJ221" s="54"/>
      <c r="AK221" s="54"/>
      <c r="AL221" s="54"/>
      <c r="AM221" s="54"/>
      <c r="BO221" s="18"/>
    </row>
    <row r="222" spans="1:69">
      <c r="A222" s="84" t="s">
        <v>218</v>
      </c>
      <c r="B222" s="18" t="s">
        <v>219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>
        <v>0</v>
      </c>
      <c r="M222" s="22">
        <v>0</v>
      </c>
      <c r="N222" s="13">
        <v>0</v>
      </c>
      <c r="O222" s="13">
        <v>0</v>
      </c>
      <c r="P222" s="13">
        <v>0</v>
      </c>
      <c r="Q222" s="13">
        <v>791</v>
      </c>
      <c r="R222" s="13">
        <v>1207</v>
      </c>
      <c r="S222" s="13">
        <v>1649</v>
      </c>
      <c r="T222" s="54">
        <v>7288</v>
      </c>
      <c r="U222" s="54">
        <v>16750</v>
      </c>
      <c r="V222" s="54">
        <v>12000</v>
      </c>
      <c r="W222" s="54">
        <v>242</v>
      </c>
      <c r="X222" s="54">
        <v>1060</v>
      </c>
      <c r="Y222" s="54">
        <v>0</v>
      </c>
      <c r="Z222" s="54">
        <v>1302</v>
      </c>
      <c r="AA222" s="54">
        <v>0</v>
      </c>
      <c r="AB222" s="54">
        <v>0</v>
      </c>
      <c r="AC222" s="54">
        <v>0</v>
      </c>
      <c r="AD222" s="54">
        <v>0</v>
      </c>
      <c r="AE222" s="54">
        <v>0</v>
      </c>
      <c r="AF222" s="54">
        <v>0</v>
      </c>
      <c r="AG222" s="54">
        <v>0</v>
      </c>
      <c r="AH222" s="54">
        <v>0</v>
      </c>
      <c r="AI222" s="54">
        <v>0</v>
      </c>
      <c r="AJ222" s="54">
        <v>0</v>
      </c>
      <c r="AK222" s="54">
        <v>0</v>
      </c>
      <c r="AL222" s="54">
        <v>0</v>
      </c>
      <c r="AM222" s="54">
        <v>1302</v>
      </c>
      <c r="BO222" s="14"/>
    </row>
    <row r="223" spans="1:69">
      <c r="A223" s="84" t="s">
        <v>232</v>
      </c>
      <c r="B223" s="18" t="s">
        <v>219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>
        <v>307448</v>
      </c>
      <c r="M223" s="22">
        <v>421314</v>
      </c>
      <c r="N223" s="13">
        <v>507332</v>
      </c>
      <c r="O223" s="13">
        <v>463824</v>
      </c>
      <c r="P223" s="13">
        <v>36700</v>
      </c>
      <c r="Q223" s="13">
        <v>383512</v>
      </c>
      <c r="R223" s="13">
        <v>448853</v>
      </c>
      <c r="S223" s="13">
        <v>552952</v>
      </c>
      <c r="T223" s="54">
        <v>578358</v>
      </c>
      <c r="U223" s="54">
        <v>541773</v>
      </c>
      <c r="V223" s="54">
        <v>663000</v>
      </c>
      <c r="W223" s="54">
        <v>59044</v>
      </c>
      <c r="X223" s="54">
        <v>52655</v>
      </c>
      <c r="Y223" s="54">
        <v>49024</v>
      </c>
      <c r="Z223" s="54">
        <v>160723</v>
      </c>
      <c r="AA223" s="54">
        <v>0</v>
      </c>
      <c r="AB223" s="54">
        <v>0</v>
      </c>
      <c r="AC223" s="54">
        <v>0</v>
      </c>
      <c r="AD223" s="54">
        <v>0</v>
      </c>
      <c r="AE223" s="54">
        <v>0</v>
      </c>
      <c r="AF223" s="54">
        <v>0</v>
      </c>
      <c r="AG223" s="54">
        <v>0</v>
      </c>
      <c r="AH223" s="54">
        <v>0</v>
      </c>
      <c r="AI223" s="54">
        <v>0</v>
      </c>
      <c r="AJ223" s="54">
        <v>0</v>
      </c>
      <c r="AK223" s="54">
        <v>0</v>
      </c>
      <c r="AL223" s="54">
        <v>0</v>
      </c>
      <c r="AM223" s="54">
        <v>160723</v>
      </c>
      <c r="BO223" s="14"/>
    </row>
    <row r="224" spans="1:69">
      <c r="A224" s="84" t="s">
        <v>233</v>
      </c>
      <c r="B224" s="18" t="s">
        <v>219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>
        <v>546</v>
      </c>
      <c r="M224" s="22">
        <v>934</v>
      </c>
      <c r="N224" s="13">
        <v>6071</v>
      </c>
      <c r="O224" s="13">
        <v>9259</v>
      </c>
      <c r="P224" s="13">
        <v>7943</v>
      </c>
      <c r="Q224" s="13">
        <v>7463</v>
      </c>
      <c r="R224" s="13">
        <v>1434</v>
      </c>
      <c r="S224" s="13">
        <v>3831</v>
      </c>
      <c r="T224" s="54">
        <v>2962</v>
      </c>
      <c r="U224" s="54">
        <v>3701</v>
      </c>
      <c r="V224" s="54">
        <v>0</v>
      </c>
      <c r="W224" s="54">
        <v>182</v>
      </c>
      <c r="X224" s="54">
        <v>184</v>
      </c>
      <c r="Y224" s="54">
        <v>548</v>
      </c>
      <c r="Z224" s="54">
        <v>914</v>
      </c>
      <c r="AA224" s="54">
        <v>0</v>
      </c>
      <c r="AB224" s="54">
        <v>0</v>
      </c>
      <c r="AC224" s="54">
        <v>0</v>
      </c>
      <c r="AD224" s="54">
        <v>0</v>
      </c>
      <c r="AE224" s="54">
        <v>0</v>
      </c>
      <c r="AF224" s="54">
        <v>0</v>
      </c>
      <c r="AG224" s="54">
        <v>0</v>
      </c>
      <c r="AH224" s="54">
        <v>0</v>
      </c>
      <c r="AI224" s="54">
        <v>0</v>
      </c>
      <c r="AJ224" s="54">
        <v>0</v>
      </c>
      <c r="AK224" s="54">
        <v>0</v>
      </c>
      <c r="AL224" s="54">
        <v>0</v>
      </c>
      <c r="AM224" s="54">
        <v>914</v>
      </c>
      <c r="BO224" s="14"/>
    </row>
    <row r="225" spans="1:79">
      <c r="A225" s="84" t="s">
        <v>222</v>
      </c>
      <c r="B225" s="18" t="s">
        <v>219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>
        <v>117033</v>
      </c>
      <c r="M225" s="22">
        <v>231472</v>
      </c>
      <c r="N225" s="13">
        <v>351502</v>
      </c>
      <c r="O225" s="13">
        <v>350099</v>
      </c>
      <c r="P225" s="13">
        <v>210999</v>
      </c>
      <c r="Q225" s="13">
        <v>416064</v>
      </c>
      <c r="R225" s="13">
        <v>275374</v>
      </c>
      <c r="S225" s="13">
        <v>47281</v>
      </c>
      <c r="T225" s="54">
        <v>58216</v>
      </c>
      <c r="U225" s="54">
        <v>76538</v>
      </c>
      <c r="V225" s="54">
        <v>30000</v>
      </c>
      <c r="W225" s="54">
        <v>5074</v>
      </c>
      <c r="X225" s="54">
        <v>13359</v>
      </c>
      <c r="Y225" s="54">
        <v>17832</v>
      </c>
      <c r="Z225" s="54">
        <v>36265</v>
      </c>
      <c r="AA225" s="54">
        <v>0</v>
      </c>
      <c r="AB225" s="54">
        <v>0</v>
      </c>
      <c r="AC225" s="54">
        <v>0</v>
      </c>
      <c r="AD225" s="54">
        <v>0</v>
      </c>
      <c r="AE225" s="54">
        <v>0</v>
      </c>
      <c r="AF225" s="54">
        <v>0</v>
      </c>
      <c r="AG225" s="54">
        <v>0</v>
      </c>
      <c r="AH225" s="54">
        <v>0</v>
      </c>
      <c r="AI225" s="54">
        <v>0</v>
      </c>
      <c r="AJ225" s="54">
        <v>0</v>
      </c>
      <c r="AK225" s="54">
        <v>0</v>
      </c>
      <c r="AL225" s="54">
        <v>0</v>
      </c>
      <c r="AM225" s="54">
        <v>36265</v>
      </c>
      <c r="BO225" s="14"/>
    </row>
    <row r="226" spans="1:79">
      <c r="A226" s="84" t="s">
        <v>223</v>
      </c>
      <c r="B226" s="18" t="s">
        <v>41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>
        <v>89.287106922395679</v>
      </c>
      <c r="M226" s="22">
        <v>90.461043904914987</v>
      </c>
      <c r="N226" s="20">
        <v>90.57322120270409</v>
      </c>
      <c r="O226" s="20">
        <v>89.999011932967889</v>
      </c>
      <c r="P226" s="20">
        <v>90.32585870453272</v>
      </c>
      <c r="Q226" s="20">
        <v>90.620584824952005</v>
      </c>
      <c r="R226" s="20">
        <v>90.253844017243594</v>
      </c>
      <c r="S226" s="20">
        <v>89.796755597783914</v>
      </c>
      <c r="T226" s="60">
        <v>89.827327616785681</v>
      </c>
      <c r="U226" s="60">
        <v>89.908158664231593</v>
      </c>
      <c r="V226" s="59">
        <v>91</v>
      </c>
      <c r="W226" s="60">
        <v>89.118797297983647</v>
      </c>
      <c r="X226" s="60">
        <v>89.296667037783024</v>
      </c>
      <c r="Y226" s="60">
        <v>88.769120315896529</v>
      </c>
      <c r="Z226" s="60">
        <v>89.060000268878639</v>
      </c>
      <c r="AA226" s="60" t="e">
        <v>#DIV/0!</v>
      </c>
      <c r="AB226" s="60" t="e">
        <v>#DIV/0!</v>
      </c>
      <c r="AC226" s="60" t="e">
        <v>#DIV/0!</v>
      </c>
      <c r="AD226" s="60" t="e">
        <v>#DIV/0!</v>
      </c>
      <c r="AE226" s="60" t="e">
        <v>#DIV/0!</v>
      </c>
      <c r="AF226" s="60" t="e">
        <v>#DIV/0!</v>
      </c>
      <c r="AG226" s="60" t="e">
        <v>#DIV/0!</v>
      </c>
      <c r="AH226" s="60" t="e">
        <v>#DIV/0!</v>
      </c>
      <c r="AI226" s="60" t="e">
        <v>#DIV/0!</v>
      </c>
      <c r="AJ226" s="60" t="e">
        <v>#DIV/0!</v>
      </c>
      <c r="AK226" s="60" t="e">
        <v>#DIV/0!</v>
      </c>
      <c r="AL226" s="60" t="e">
        <v>#DIV/0!</v>
      </c>
      <c r="AM226" s="60">
        <v>89.060000268878639</v>
      </c>
      <c r="BO226" s="14"/>
      <c r="BP226" s="40"/>
      <c r="BQ226" s="41"/>
    </row>
    <row r="227" spans="1:79">
      <c r="A227" s="84" t="s">
        <v>225</v>
      </c>
      <c r="B227" s="18" t="s">
        <v>41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>
        <v>89.287106922395679</v>
      </c>
      <c r="M227" s="22">
        <v>90.461043904914987</v>
      </c>
      <c r="N227" s="20">
        <v>90.57322120270409</v>
      </c>
      <c r="O227" s="20">
        <v>89.999011932967889</v>
      </c>
      <c r="P227" s="20">
        <v>90.32585870453272</v>
      </c>
      <c r="Q227" s="20">
        <v>90.620584824952005</v>
      </c>
      <c r="R227" s="20">
        <v>90.376351249122123</v>
      </c>
      <c r="S227" s="20">
        <v>90.037289532806852</v>
      </c>
      <c r="T227" s="60">
        <v>89.827327616785681</v>
      </c>
      <c r="U227" s="60">
        <v>90.12217991393787</v>
      </c>
      <c r="V227" s="59">
        <v>91.5</v>
      </c>
      <c r="W227" s="60">
        <v>89.596221240286454</v>
      </c>
      <c r="X227" s="60">
        <v>89.910021153632044</v>
      </c>
      <c r="Y227" s="60">
        <v>88.973535687932511</v>
      </c>
      <c r="Z227" s="60">
        <v>89.49054219378084</v>
      </c>
      <c r="AA227" s="60" t="e">
        <v>#DIV/0!</v>
      </c>
      <c r="AB227" s="60" t="e">
        <v>#DIV/0!</v>
      </c>
      <c r="AC227" s="60" t="e">
        <v>#DIV/0!</v>
      </c>
      <c r="AD227" s="60" t="e">
        <v>#DIV/0!</v>
      </c>
      <c r="AE227" s="60" t="e">
        <v>#DIV/0!</v>
      </c>
      <c r="AF227" s="60" t="e">
        <v>#DIV/0!</v>
      </c>
      <c r="AG227" s="60" t="e">
        <v>#DIV/0!</v>
      </c>
      <c r="AH227" s="60" t="e">
        <v>#DIV/0!</v>
      </c>
      <c r="AI227" s="60" t="e">
        <v>#DIV/0!</v>
      </c>
      <c r="AJ227" s="60" t="e">
        <v>#DIV/0!</v>
      </c>
      <c r="AK227" s="60" t="e">
        <v>#DIV/0!</v>
      </c>
      <c r="AL227" s="60" t="e">
        <v>#DIV/0!</v>
      </c>
      <c r="AM227" s="60">
        <v>89.49054219378084</v>
      </c>
      <c r="BO227" s="14"/>
      <c r="BP227" s="40"/>
      <c r="BQ227" s="41"/>
    </row>
    <row r="228" spans="1:79">
      <c r="A228" s="85" t="s">
        <v>226</v>
      </c>
      <c r="B228" s="18" t="s">
        <v>219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>
        <v>9.620932487640486</v>
      </c>
      <c r="M228" s="22">
        <v>11.72284074681335</v>
      </c>
      <c r="N228" s="20">
        <v>12.185703663820732</v>
      </c>
      <c r="O228" s="20">
        <v>12.021256325550896</v>
      </c>
      <c r="P228" s="20">
        <v>11.343230616048405</v>
      </c>
      <c r="Q228" s="20">
        <v>12.227345295112826</v>
      </c>
      <c r="R228" s="20">
        <v>12.42702998498646</v>
      </c>
      <c r="S228" s="20">
        <v>12.458070659707573</v>
      </c>
      <c r="T228" s="60">
        <v>12.145778943301684</v>
      </c>
      <c r="U228" s="60">
        <v>11.790415574691126</v>
      </c>
      <c r="V228" s="59"/>
      <c r="W228" s="60">
        <v>12.194351542177628</v>
      </c>
      <c r="X228" s="60">
        <v>12.203680830039525</v>
      </c>
      <c r="Y228" s="60">
        <v>11.519182173213876</v>
      </c>
      <c r="Z228" s="60">
        <v>11.961085427135679</v>
      </c>
      <c r="AA228" s="60" t="e">
        <v>#DIV/0!</v>
      </c>
      <c r="AB228" s="60" t="e">
        <v>#DIV/0!</v>
      </c>
      <c r="AC228" s="60" t="e">
        <v>#DIV/0!</v>
      </c>
      <c r="AD228" s="60" t="e">
        <v>#DIV/0!</v>
      </c>
      <c r="AE228" s="60" t="e">
        <v>#DIV/0!</v>
      </c>
      <c r="AF228" s="60" t="e">
        <v>#DIV/0!</v>
      </c>
      <c r="AG228" s="60" t="e">
        <v>#DIV/0!</v>
      </c>
      <c r="AH228" s="60" t="e">
        <v>#DIV/0!</v>
      </c>
      <c r="AI228" s="60" t="e">
        <v>#DIV/0!</v>
      </c>
      <c r="AJ228" s="60" t="e">
        <v>#DIV/0!</v>
      </c>
      <c r="AK228" s="60" t="e">
        <v>#DIV/0!</v>
      </c>
      <c r="AL228" s="60" t="e">
        <v>#DIV/0!</v>
      </c>
      <c r="AM228" s="60">
        <v>11.961085427135679</v>
      </c>
      <c r="BO228" s="23"/>
      <c r="BP228" s="40"/>
      <c r="BQ228" s="41"/>
    </row>
    <row r="229" spans="1:79">
      <c r="A229" s="84" t="s">
        <v>227</v>
      </c>
      <c r="B229" s="18" t="s">
        <v>41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>
        <v>87.534246575342465</v>
      </c>
      <c r="M229" s="22">
        <v>88.458904109589042</v>
      </c>
      <c r="N229" s="20">
        <v>87.694063926940629</v>
      </c>
      <c r="O229" s="20">
        <v>88.410746812386151</v>
      </c>
      <c r="P229" s="20">
        <v>84.335616438356155</v>
      </c>
      <c r="Q229" s="20">
        <v>92.44</v>
      </c>
      <c r="R229" s="20">
        <v>83.703995433789956</v>
      </c>
      <c r="S229" s="20">
        <v>87.347677595628426</v>
      </c>
      <c r="T229" s="60">
        <v>89.525456621004579</v>
      </c>
      <c r="U229" s="60">
        <v>92.24429223744292</v>
      </c>
      <c r="V229" s="59">
        <v>91.3</v>
      </c>
      <c r="W229" s="60">
        <v>94.19027777777778</v>
      </c>
      <c r="X229" s="60">
        <v>90.893817204301072</v>
      </c>
      <c r="Y229" s="60">
        <v>95.509722222222209</v>
      </c>
      <c r="Z229" s="60">
        <v>93.502289377289387</v>
      </c>
      <c r="AA229" s="60" t="e">
        <v>#DIV/0!</v>
      </c>
      <c r="AB229" s="60" t="e">
        <v>#DIV/0!</v>
      </c>
      <c r="AC229" s="60" t="e">
        <v>#DIV/0!</v>
      </c>
      <c r="AD229" s="60" t="e">
        <v>#DIV/0!</v>
      </c>
      <c r="AE229" s="60" t="e">
        <v>#DIV/0!</v>
      </c>
      <c r="AF229" s="60" t="e">
        <v>#DIV/0!</v>
      </c>
      <c r="AG229" s="60" t="e">
        <v>#DIV/0!</v>
      </c>
      <c r="AH229" s="60" t="e">
        <v>#DIV/0!</v>
      </c>
      <c r="AI229" s="60" t="e">
        <v>#DIV/0!</v>
      </c>
      <c r="AJ229" s="60" t="e">
        <v>#DIV/0!</v>
      </c>
      <c r="AK229" s="60" t="e">
        <v>#DIV/0!</v>
      </c>
      <c r="AL229" s="60" t="e">
        <v>#DIV/0!</v>
      </c>
      <c r="AM229" s="60">
        <v>93.502289377289387</v>
      </c>
      <c r="BO229" s="14"/>
      <c r="BP229" s="40"/>
      <c r="BQ229" s="41"/>
    </row>
    <row r="230" spans="1:79">
      <c r="A230" s="85" t="s">
        <v>228</v>
      </c>
      <c r="B230" s="18" t="s">
        <v>41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>
        <v>75.516171100678136</v>
      </c>
      <c r="M230" s="22">
        <v>81.924764485740084</v>
      </c>
      <c r="N230" s="20">
        <v>89.906014058838835</v>
      </c>
      <c r="O230" s="20">
        <v>91.953901622456868</v>
      </c>
      <c r="P230" s="20">
        <v>89.673515796312842</v>
      </c>
      <c r="Q230" s="20">
        <v>94.519327536997011</v>
      </c>
      <c r="R230" s="20">
        <v>91.438355697329811</v>
      </c>
      <c r="S230" s="20">
        <v>93.35937398176894</v>
      </c>
      <c r="T230" s="60">
        <v>90.694593384958495</v>
      </c>
      <c r="U230" s="60">
        <v>90.815533499987623</v>
      </c>
      <c r="V230" s="60">
        <v>94</v>
      </c>
      <c r="W230" s="60">
        <v>92.597726233835189</v>
      </c>
      <c r="X230" s="60">
        <v>93.067652495378923</v>
      </c>
      <c r="Y230" s="60">
        <v>91.879826079369479</v>
      </c>
      <c r="Z230" s="60">
        <v>92.5115935144876</v>
      </c>
      <c r="AA230" s="60" t="e">
        <v>#DIV/0!</v>
      </c>
      <c r="AB230" s="60" t="e">
        <v>#DIV/0!</v>
      </c>
      <c r="AC230" s="60" t="e">
        <v>#DIV/0!</v>
      </c>
      <c r="AD230" s="60" t="e">
        <v>#DIV/0!</v>
      </c>
      <c r="AE230" s="60" t="e">
        <v>#DIV/0!</v>
      </c>
      <c r="AF230" s="60" t="e">
        <v>#DIV/0!</v>
      </c>
      <c r="AG230" s="60" t="e">
        <v>#DIV/0!</v>
      </c>
      <c r="AH230" s="60" t="e">
        <v>#DIV/0!</v>
      </c>
      <c r="AI230" s="60" t="e">
        <v>#DIV/0!</v>
      </c>
      <c r="AJ230" s="60" t="e">
        <v>#DIV/0!</v>
      </c>
      <c r="AK230" s="60" t="e">
        <v>#DIV/0!</v>
      </c>
      <c r="AL230" s="60" t="e">
        <v>#DIV/0!</v>
      </c>
      <c r="AM230" s="60">
        <v>92.5115935144876</v>
      </c>
      <c r="BO230" s="23"/>
      <c r="BP230" s="40"/>
      <c r="BQ230" s="41"/>
    </row>
    <row r="231" spans="1:79">
      <c r="A231" s="84" t="s">
        <v>229</v>
      </c>
      <c r="B231" s="18" t="s">
        <v>230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>
        <v>93.321739791178089</v>
      </c>
      <c r="M231" s="22">
        <v>126.33282663999309</v>
      </c>
      <c r="N231" s="22">
        <v>124.65663179171169</v>
      </c>
      <c r="O231" s="22">
        <v>122.44893672438853</v>
      </c>
      <c r="P231" s="22">
        <v>121.15518724810941</v>
      </c>
      <c r="Q231" s="22">
        <v>124.87261390230444</v>
      </c>
      <c r="R231" s="22">
        <v>119.38344651281417</v>
      </c>
      <c r="S231" s="22">
        <v>129.91089066062088</v>
      </c>
      <c r="T231" s="62">
        <v>131.02257102124943</v>
      </c>
      <c r="U231" s="62">
        <v>135.3626928884068</v>
      </c>
      <c r="V231" s="59">
        <v>162</v>
      </c>
      <c r="W231" s="62">
        <v>140.45734668853606</v>
      </c>
      <c r="X231" s="62">
        <v>141.14431892209669</v>
      </c>
      <c r="Y231" s="62">
        <v>141.22153110805121</v>
      </c>
      <c r="Z231" s="62">
        <v>140.94178925136436</v>
      </c>
      <c r="AA231" s="62" t="e">
        <v>#DIV/0!</v>
      </c>
      <c r="AB231" s="62" t="e">
        <v>#DIV/0!</v>
      </c>
      <c r="AC231" s="62" t="e">
        <v>#DIV/0!</v>
      </c>
      <c r="AD231" s="62" t="e">
        <v>#DIV/0!</v>
      </c>
      <c r="AE231" s="62" t="e">
        <v>#DIV/0!</v>
      </c>
      <c r="AF231" s="62" t="e">
        <v>#DIV/0!</v>
      </c>
      <c r="AG231" s="62" t="e">
        <v>#DIV/0!</v>
      </c>
      <c r="AH231" s="62" t="e">
        <v>#DIV/0!</v>
      </c>
      <c r="AI231" s="62" t="e">
        <v>#DIV/0!</v>
      </c>
      <c r="AJ231" s="62" t="e">
        <v>#DIV/0!</v>
      </c>
      <c r="AK231" s="62" t="e">
        <v>#DIV/0!</v>
      </c>
      <c r="AL231" s="62" t="e">
        <v>#DIV/0!</v>
      </c>
      <c r="AM231" s="62">
        <v>140.94178925136436</v>
      </c>
      <c r="BO231" s="14"/>
      <c r="BP231" s="40"/>
      <c r="BQ231" s="41"/>
    </row>
    <row r="232" spans="1:79" s="12" customFormat="1" hidden="1">
      <c r="A232" s="53" t="s">
        <v>234</v>
      </c>
      <c r="B232" s="18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3"/>
      <c r="Q232" s="13"/>
      <c r="R232" s="13"/>
      <c r="S232" s="13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BO232" s="19"/>
      <c r="BP232" s="16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</row>
    <row r="233" spans="1:79" hidden="1">
      <c r="A233" s="53" t="s">
        <v>235</v>
      </c>
      <c r="B233" s="18" t="s">
        <v>41</v>
      </c>
      <c r="C233" s="20">
        <v>0.32829453769822869</v>
      </c>
      <c r="D233" s="20">
        <v>0.36</v>
      </c>
      <c r="E233" s="20">
        <v>0.33</v>
      </c>
      <c r="F233" s="20">
        <v>0.44416182520642439</v>
      </c>
      <c r="G233" s="20">
        <v>0.43892912669219974</v>
      </c>
      <c r="H233" s="20">
        <v>0.48993859919218996</v>
      </c>
      <c r="I233" s="20">
        <v>0.34470550969833613</v>
      </c>
      <c r="J233" s="20">
        <v>0.30115780485341509</v>
      </c>
      <c r="K233" s="20">
        <v>0.46058920656991398</v>
      </c>
      <c r="L233" s="20">
        <v>0.46632174273299232</v>
      </c>
      <c r="M233" s="20">
        <v>0.25410088076248349</v>
      </c>
      <c r="N233" s="20">
        <v>0.21293287011094922</v>
      </c>
      <c r="O233" s="20">
        <v>0.296951536791488</v>
      </c>
      <c r="P233" s="20">
        <v>0.27906546474935501</v>
      </c>
      <c r="Q233" s="20">
        <v>0.33578828029667068</v>
      </c>
      <c r="R233" s="20">
        <v>0.13485570439629596</v>
      </c>
      <c r="S233" s="20">
        <v>5.7367958083145293E-2</v>
      </c>
      <c r="T233" s="60">
        <v>3.9308176100628936E-2</v>
      </c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BO233" s="14"/>
    </row>
    <row r="234" spans="1:79" hidden="1">
      <c r="A234" s="53" t="s">
        <v>236</v>
      </c>
      <c r="B234" s="18" t="s">
        <v>41</v>
      </c>
      <c r="C234" s="20">
        <v>97.669735258140307</v>
      </c>
      <c r="D234" s="20">
        <v>97.68</v>
      </c>
      <c r="E234" s="20">
        <v>97.69</v>
      </c>
      <c r="F234" s="20">
        <v>97.577224045694777</v>
      </c>
      <c r="G234" s="20">
        <v>97.604438073135768</v>
      </c>
      <c r="H234" s="20">
        <v>97.524612173139801</v>
      </c>
      <c r="I234" s="20">
        <v>97.667573078307811</v>
      </c>
      <c r="J234" s="20">
        <v>97.719112913433705</v>
      </c>
      <c r="K234" s="20">
        <v>96.85716411004465</v>
      </c>
      <c r="L234" s="20">
        <v>96.662469449458825</v>
      </c>
      <c r="M234" s="20">
        <v>97.75524750542715</v>
      </c>
      <c r="N234" s="20">
        <v>97.235131909624499</v>
      </c>
      <c r="O234" s="20">
        <v>97.171422858285482</v>
      </c>
      <c r="P234" s="20">
        <v>97.193071798745379</v>
      </c>
      <c r="Q234" s="20">
        <v>97.252128887398399</v>
      </c>
      <c r="R234" s="20">
        <v>97.641360692369645</v>
      </c>
      <c r="S234" s="20">
        <v>97.672056350223968</v>
      </c>
      <c r="T234" s="60">
        <v>97.66951247651383</v>
      </c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BO234" s="14"/>
    </row>
    <row r="235" spans="1:79" hidden="1">
      <c r="A235" s="63" t="s">
        <v>226</v>
      </c>
      <c r="B235" s="18" t="s">
        <v>219</v>
      </c>
      <c r="C235" s="20">
        <v>15.284206621533896</v>
      </c>
      <c r="D235" s="20">
        <v>15.44</v>
      </c>
      <c r="E235" s="20">
        <v>15.37</v>
      </c>
      <c r="F235" s="20">
        <v>15.537117861857</v>
      </c>
      <c r="G235" s="20">
        <v>15.547296272420462</v>
      </c>
      <c r="H235" s="20">
        <v>15.56172682979841</v>
      </c>
      <c r="I235" s="20">
        <v>15.448275540814995</v>
      </c>
      <c r="J235" s="20">
        <v>15.523013781642229</v>
      </c>
      <c r="K235" s="20">
        <v>15.317613433369061</v>
      </c>
      <c r="L235" s="20">
        <v>15.56354597219412</v>
      </c>
      <c r="M235" s="20">
        <v>15.566500280324815</v>
      </c>
      <c r="N235" s="20">
        <v>10.69995766247027</v>
      </c>
      <c r="O235" s="20">
        <v>15.702994635135378</v>
      </c>
      <c r="P235" s="20">
        <v>15.662623729301361</v>
      </c>
      <c r="Q235" s="20">
        <v>15.664203065366209</v>
      </c>
      <c r="R235" s="20">
        <v>15.852018340375798</v>
      </c>
      <c r="S235" s="20">
        <v>16.077217271579915</v>
      </c>
      <c r="T235" s="60">
        <v>15.899895178197065</v>
      </c>
      <c r="U235" s="60"/>
      <c r="V235" s="59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BO235" s="23"/>
    </row>
    <row r="236" spans="1:79" hidden="1">
      <c r="A236" s="53" t="s">
        <v>227</v>
      </c>
      <c r="B236" s="18" t="s">
        <v>41</v>
      </c>
      <c r="C236" s="20">
        <v>85.501024590163937</v>
      </c>
      <c r="D236" s="20">
        <v>85.78</v>
      </c>
      <c r="E236" s="20">
        <v>86.39</v>
      </c>
      <c r="F236" s="20">
        <v>87.69269406392695</v>
      </c>
      <c r="G236" s="20">
        <v>86.955373406193075</v>
      </c>
      <c r="H236" s="20">
        <v>90.12465753424658</v>
      </c>
      <c r="I236" s="20">
        <v>90.726940639269401</v>
      </c>
      <c r="J236" s="20">
        <v>92.770091324200905</v>
      </c>
      <c r="K236" s="20">
        <v>90.468465391621137</v>
      </c>
      <c r="L236" s="20">
        <v>90.997488584474894</v>
      </c>
      <c r="M236" s="20">
        <v>91.460159817351595</v>
      </c>
      <c r="N236" s="20">
        <v>87.678082191780831</v>
      </c>
      <c r="O236" s="20">
        <v>89.94398907103826</v>
      </c>
      <c r="P236" s="20">
        <v>91.875913242009133</v>
      </c>
      <c r="Q236" s="20">
        <v>90</v>
      </c>
      <c r="R236" s="20">
        <v>94.889726027397259</v>
      </c>
      <c r="S236" s="20">
        <v>98.127276867030972</v>
      </c>
      <c r="T236" s="60">
        <v>24.657534246575342</v>
      </c>
      <c r="U236" s="60"/>
      <c r="V236" s="59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BO236" s="14"/>
    </row>
    <row r="237" spans="1:79" hidden="1">
      <c r="A237" s="63" t="s">
        <v>237</v>
      </c>
      <c r="B237" s="18" t="s">
        <v>41</v>
      </c>
      <c r="C237" s="20">
        <v>75.667107388278396</v>
      </c>
      <c r="D237" s="20">
        <v>74.599999999999994</v>
      </c>
      <c r="E237" s="20">
        <v>76.12</v>
      </c>
      <c r="F237" s="20">
        <v>74.320869370518665</v>
      </c>
      <c r="G237" s="20">
        <v>75.074756224012063</v>
      </c>
      <c r="H237" s="20">
        <v>74.596069371190595</v>
      </c>
      <c r="I237" s="20">
        <v>73.884328508445236</v>
      </c>
      <c r="J237" s="20">
        <v>72.688779892354304</v>
      </c>
      <c r="K237" s="20">
        <v>71.570893761600658</v>
      </c>
      <c r="L237" s="20">
        <v>74.452227845115885</v>
      </c>
      <c r="M237" s="20">
        <v>76.120550530397864</v>
      </c>
      <c r="N237" s="20">
        <v>79.37452803166417</v>
      </c>
      <c r="O237" s="20">
        <v>78.670570128140866</v>
      </c>
      <c r="P237" s="20">
        <v>69.120923222581581</v>
      </c>
      <c r="Q237" s="20">
        <v>78.73526487714814</v>
      </c>
      <c r="R237" s="20">
        <v>60.876961240757709</v>
      </c>
      <c r="S237" s="20">
        <v>33.041011659609026</v>
      </c>
      <c r="T237" s="60">
        <v>36.608796296296298</v>
      </c>
      <c r="U237" s="60"/>
      <c r="V237" s="59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BO237" s="23"/>
    </row>
    <row r="238" spans="1:79" hidden="1">
      <c r="A238" s="53" t="s">
        <v>238</v>
      </c>
      <c r="B238" s="18" t="s">
        <v>230</v>
      </c>
      <c r="C238" s="22">
        <v>283.25118645201138</v>
      </c>
      <c r="D238" s="22">
        <v>270</v>
      </c>
      <c r="E238" s="22">
        <v>272</v>
      </c>
      <c r="F238" s="22">
        <v>275.61339162480471</v>
      </c>
      <c r="G238" s="22">
        <v>279.1440325199282</v>
      </c>
      <c r="H238" s="22">
        <v>284.55351230197135</v>
      </c>
      <c r="I238" s="22">
        <v>275.79805486632529</v>
      </c>
      <c r="J238" s="22">
        <v>279.67639326445658</v>
      </c>
      <c r="K238" s="22">
        <v>270.14783140749284</v>
      </c>
      <c r="L238" s="22">
        <v>263.09641154734646</v>
      </c>
      <c r="M238" s="22">
        <v>275.92638443211763</v>
      </c>
      <c r="N238" s="22">
        <v>274.10209892986734</v>
      </c>
      <c r="O238" s="22">
        <v>273.64447969675859</v>
      </c>
      <c r="P238" s="22">
        <v>266.22464534035106</v>
      </c>
      <c r="Q238" s="22">
        <v>283.49927524561122</v>
      </c>
      <c r="R238" s="22">
        <v>170.11165345928109</v>
      </c>
      <c r="S238" s="22">
        <v>144.16760008005701</v>
      </c>
      <c r="T238" s="62">
        <v>149.88302244704394</v>
      </c>
      <c r="U238" s="62"/>
      <c r="V238" s="54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BO238" s="14"/>
    </row>
    <row r="239" spans="1:79" hidden="1">
      <c r="A239" s="63" t="s">
        <v>239</v>
      </c>
      <c r="B239" s="13" t="s">
        <v>240</v>
      </c>
      <c r="C239" s="20">
        <v>1.8511759011824922</v>
      </c>
      <c r="D239" s="20">
        <v>1.82</v>
      </c>
      <c r="E239" s="20">
        <v>1.85</v>
      </c>
      <c r="F239" s="20">
        <v>1.8894346175675745</v>
      </c>
      <c r="G239" s="20">
        <v>1.8940739654576495</v>
      </c>
      <c r="H239" s="20">
        <v>1.8918849082701281</v>
      </c>
      <c r="I239" s="20">
        <v>1.8364151551144483</v>
      </c>
      <c r="J239" s="20">
        <v>1.9012927820285332</v>
      </c>
      <c r="K239" s="20">
        <v>1.887454619813131</v>
      </c>
      <c r="L239" s="20">
        <v>1.8460392052568062</v>
      </c>
      <c r="M239" s="20">
        <v>1.8232344097724513</v>
      </c>
      <c r="N239" s="20">
        <v>1.8911439210478349</v>
      </c>
      <c r="O239" s="20">
        <v>1.8832480242206999</v>
      </c>
      <c r="P239" s="20">
        <v>1.5835372058551278</v>
      </c>
      <c r="Q239" s="20">
        <v>1.8827657394444783</v>
      </c>
      <c r="R239" s="20">
        <v>1.1405825555740019</v>
      </c>
      <c r="S239" s="20">
        <v>1</v>
      </c>
      <c r="T239" s="60">
        <v>1.0319444444444446</v>
      </c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BO239" s="23"/>
    </row>
    <row r="240" spans="1:79" hidden="1">
      <c r="A240" s="53"/>
      <c r="B240" s="18" t="s">
        <v>2</v>
      </c>
      <c r="C240" s="13" t="s">
        <v>3</v>
      </c>
      <c r="D240" s="15" t="s">
        <v>4</v>
      </c>
      <c r="E240" s="15" t="s">
        <v>5</v>
      </c>
      <c r="F240" s="15" t="s">
        <v>6</v>
      </c>
      <c r="G240" s="15" t="s">
        <v>7</v>
      </c>
      <c r="H240" s="13" t="s">
        <v>8</v>
      </c>
      <c r="I240" s="13" t="s">
        <v>9</v>
      </c>
      <c r="J240" s="13" t="s">
        <v>10</v>
      </c>
      <c r="K240" s="13" t="s">
        <v>11</v>
      </c>
      <c r="L240" s="13" t="s">
        <v>12</v>
      </c>
      <c r="M240" s="13" t="s">
        <v>13</v>
      </c>
      <c r="N240" s="13" t="s">
        <v>14</v>
      </c>
      <c r="O240" s="13" t="s">
        <v>15</v>
      </c>
      <c r="P240" s="13" t="s">
        <v>16</v>
      </c>
      <c r="Q240" s="13" t="s">
        <v>17</v>
      </c>
      <c r="R240" s="13" t="s">
        <v>18</v>
      </c>
      <c r="S240" s="13" t="s">
        <v>19</v>
      </c>
      <c r="T240" s="54" t="s">
        <v>20</v>
      </c>
      <c r="U240" s="54" t="s">
        <v>21</v>
      </c>
      <c r="V240" s="54" t="s">
        <v>22</v>
      </c>
      <c r="W240" s="54" t="s">
        <v>23</v>
      </c>
      <c r="X240" s="54" t="s">
        <v>24</v>
      </c>
      <c r="Y240" s="54" t="s">
        <v>25</v>
      </c>
      <c r="Z240" s="54" t="s">
        <v>26</v>
      </c>
      <c r="AA240" s="54" t="s">
        <v>27</v>
      </c>
      <c r="AB240" s="54" t="s">
        <v>28</v>
      </c>
      <c r="AC240" s="54" t="s">
        <v>29</v>
      </c>
      <c r="AD240" s="54" t="s">
        <v>30</v>
      </c>
      <c r="AE240" s="54" t="s">
        <v>31</v>
      </c>
      <c r="AF240" s="54" t="s">
        <v>32</v>
      </c>
      <c r="AG240" s="54" t="s">
        <v>33</v>
      </c>
      <c r="AH240" s="54" t="s">
        <v>34</v>
      </c>
      <c r="AI240" s="54" t="s">
        <v>35</v>
      </c>
      <c r="AJ240" s="54" t="s">
        <v>36</v>
      </c>
      <c r="AK240" s="54" t="s">
        <v>37</v>
      </c>
      <c r="AL240" s="54" t="s">
        <v>34</v>
      </c>
      <c r="AM240" s="54" t="s">
        <v>39</v>
      </c>
      <c r="BO240" s="14"/>
    </row>
    <row r="241" spans="1:69">
      <c r="A241" s="53"/>
      <c r="B241" s="18"/>
      <c r="C241" s="13"/>
      <c r="D241" s="15"/>
      <c r="E241" s="15"/>
      <c r="F241" s="15"/>
      <c r="G241" s="15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BO241" s="14"/>
    </row>
    <row r="242" spans="1:69">
      <c r="A242" s="82" t="s">
        <v>241</v>
      </c>
      <c r="B242" s="18"/>
      <c r="C242" s="13"/>
      <c r="D242" s="15"/>
      <c r="E242" s="15"/>
      <c r="F242" s="15"/>
      <c r="G242" s="15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</row>
    <row r="243" spans="1:69">
      <c r="A243" s="84" t="s">
        <v>235</v>
      </c>
      <c r="B243" s="18" t="s">
        <v>41</v>
      </c>
      <c r="C243" s="42">
        <v>3.076199265331234E-2</v>
      </c>
      <c r="D243" s="42">
        <v>3.9702233250620347E-2</v>
      </c>
      <c r="E243" s="18">
        <v>0</v>
      </c>
      <c r="F243" s="43" t="e">
        <v>#VALUE!</v>
      </c>
      <c r="G243" s="43" t="e">
        <v>#VALUE!</v>
      </c>
      <c r="H243" s="43" t="e">
        <v>#VALUE!</v>
      </c>
      <c r="I243" s="44" t="e">
        <v>#VALUE!</v>
      </c>
      <c r="J243" s="43" t="e">
        <v>#VALUE!</v>
      </c>
      <c r="K243" s="43" t="e">
        <v>#VALUE!</v>
      </c>
      <c r="L243" s="43" t="e">
        <v>#VALUE!</v>
      </c>
      <c r="M243" s="44" t="e">
        <v>#VALUE!</v>
      </c>
      <c r="N243" s="43" t="e">
        <v>#VALUE!</v>
      </c>
      <c r="O243" s="43" t="e">
        <v>#VALUE!</v>
      </c>
      <c r="P243" s="43" t="e">
        <v>#VALUE!</v>
      </c>
      <c r="Q243" s="44" t="e">
        <v>#VALUE!</v>
      </c>
      <c r="R243" s="43">
        <v>8.3132429960927748E-2</v>
      </c>
      <c r="S243" s="43">
        <v>3.076199265331234E-2</v>
      </c>
      <c r="T243" s="79">
        <v>3.9702233250620347E-2</v>
      </c>
      <c r="U243" s="79">
        <v>4.8357130131582299E-2</v>
      </c>
      <c r="V243" s="80">
        <v>0</v>
      </c>
      <c r="W243" s="80">
        <v>8.2127091674366076E-2</v>
      </c>
      <c r="X243" s="80">
        <v>5.2763487666534756E-2</v>
      </c>
      <c r="Y243" s="80">
        <v>3.7091988130563802E-2</v>
      </c>
      <c r="Z243" s="80">
        <v>5.7327522490488204E-2</v>
      </c>
      <c r="AA243" s="80" t="e">
        <v>#DIV/0!</v>
      </c>
      <c r="AB243" s="80" t="e">
        <v>#DIV/0!</v>
      </c>
      <c r="AC243" s="80" t="e">
        <v>#DIV/0!</v>
      </c>
      <c r="AD243" s="80" t="e">
        <v>#DIV/0!</v>
      </c>
      <c r="AE243" s="80" t="e">
        <v>#DIV/0!</v>
      </c>
      <c r="AF243" s="80" t="e">
        <v>#DIV/0!</v>
      </c>
      <c r="AG243" s="80" t="e">
        <v>#DIV/0!</v>
      </c>
      <c r="AH243" s="80" t="e">
        <v>#DIV/0!</v>
      </c>
      <c r="AI243" s="80" t="e">
        <v>#DIV/0!</v>
      </c>
      <c r="AJ243" s="80" t="e">
        <v>#DIV/0!</v>
      </c>
      <c r="AK243" s="80" t="e">
        <v>#DIV/0!</v>
      </c>
      <c r="AL243" s="80" t="e">
        <v>#DIV/0!</v>
      </c>
      <c r="AM243" s="80">
        <v>5.692734647406248E-2</v>
      </c>
      <c r="BO243" s="14"/>
      <c r="BP243" s="37"/>
      <c r="BQ243" s="38"/>
    </row>
    <row r="244" spans="1:69">
      <c r="A244" s="84" t="s">
        <v>236</v>
      </c>
      <c r="B244" s="18" t="s">
        <v>41</v>
      </c>
      <c r="C244" s="42">
        <v>97.133815651360365</v>
      </c>
      <c r="D244" s="42">
        <v>97.83907846873376</v>
      </c>
      <c r="E244" s="18">
        <v>97.5</v>
      </c>
      <c r="F244" s="43" t="e">
        <v>#DIV/0!</v>
      </c>
      <c r="G244" s="43" t="e">
        <v>#DIV/0!</v>
      </c>
      <c r="H244" s="43" t="e">
        <v>#DIV/0!</v>
      </c>
      <c r="I244" s="44" t="e">
        <v>#DIV/0!</v>
      </c>
      <c r="J244" s="43" t="e">
        <v>#DIV/0!</v>
      </c>
      <c r="K244" s="43" t="e">
        <v>#DIV/0!</v>
      </c>
      <c r="L244" s="45" t="e">
        <v>#DIV/0!</v>
      </c>
      <c r="M244" s="44" t="e">
        <v>#DIV/0!</v>
      </c>
      <c r="N244" s="45" t="e">
        <v>#DIV/0!</v>
      </c>
      <c r="O244" s="45" t="e">
        <v>#DIV/0!</v>
      </c>
      <c r="P244" s="45" t="e">
        <v>#DIV/0!</v>
      </c>
      <c r="Q244" s="44" t="e">
        <v>#DIV/0!</v>
      </c>
      <c r="R244" s="43">
        <v>97.442500075558385</v>
      </c>
      <c r="S244" s="43">
        <v>97.133815651360365</v>
      </c>
      <c r="T244" s="79">
        <v>97.48</v>
      </c>
      <c r="U244" s="79">
        <v>97.771560511793027</v>
      </c>
      <c r="V244" s="80">
        <v>98</v>
      </c>
      <c r="W244" s="80">
        <v>97.799800020336917</v>
      </c>
      <c r="X244" s="80">
        <v>97.799799380504638</v>
      </c>
      <c r="Y244" s="80">
        <v>97.708990895610185</v>
      </c>
      <c r="Z244" s="80">
        <v>97.76652642953843</v>
      </c>
      <c r="AA244" s="80" t="e">
        <v>#DIV/0!</v>
      </c>
      <c r="AB244" s="80" t="e">
        <v>#DIV/0!</v>
      </c>
      <c r="AC244" s="80" t="e">
        <v>#DIV/0!</v>
      </c>
      <c r="AD244" s="80" t="e">
        <v>#DIV/0!</v>
      </c>
      <c r="AE244" s="80" t="e">
        <v>#DIV/0!</v>
      </c>
      <c r="AF244" s="80" t="e">
        <v>#DIV/0!</v>
      </c>
      <c r="AG244" s="80" t="e">
        <v>#DIV/0!</v>
      </c>
      <c r="AH244" s="80" t="e">
        <v>#DIV/0!</v>
      </c>
      <c r="AI244" s="80" t="e">
        <v>#DIV/0!</v>
      </c>
      <c r="AJ244" s="80" t="e">
        <v>#DIV/0!</v>
      </c>
      <c r="AK244" s="80" t="e">
        <v>#DIV/0!</v>
      </c>
      <c r="AL244" s="80" t="e">
        <v>#DIV/0!</v>
      </c>
      <c r="AM244" s="80">
        <v>97.76652642953843</v>
      </c>
      <c r="BO244" s="14"/>
      <c r="BP244" s="37"/>
      <c r="BQ244" s="38"/>
    </row>
    <row r="245" spans="1:69">
      <c r="A245" s="85" t="s">
        <v>226</v>
      </c>
      <c r="B245" s="20" t="s">
        <v>219</v>
      </c>
      <c r="C245" s="20">
        <v>22.126477028029605</v>
      </c>
      <c r="D245" s="20">
        <v>22.920099255583125</v>
      </c>
      <c r="E245" s="13">
        <v>23.8</v>
      </c>
      <c r="F245" s="43" t="e">
        <v>#DIV/0!</v>
      </c>
      <c r="G245" s="43" t="e">
        <v>#DIV/0!</v>
      </c>
      <c r="H245" s="43" t="e">
        <v>#DIV/0!</v>
      </c>
      <c r="I245" s="44" t="e">
        <v>#DIV/0!</v>
      </c>
      <c r="J245" s="43" t="e">
        <v>#DIV/0!</v>
      </c>
      <c r="K245" s="43" t="e">
        <v>#DIV/0!</v>
      </c>
      <c r="L245" s="43" t="e">
        <v>#DIV/0!</v>
      </c>
      <c r="M245" s="44" t="e">
        <v>#DIV/0!</v>
      </c>
      <c r="N245" s="43" t="e">
        <v>#DIV/0!</v>
      </c>
      <c r="O245" s="43" t="e">
        <v>#DIV/0!</v>
      </c>
      <c r="P245" s="43" t="e">
        <v>#DIV/0!</v>
      </c>
      <c r="Q245" s="44" t="e">
        <v>#DIV/0!</v>
      </c>
      <c r="R245" s="43">
        <v>21.611878436635273</v>
      </c>
      <c r="S245" s="43">
        <v>22.126477028029605</v>
      </c>
      <c r="T245" s="60">
        <v>23</v>
      </c>
      <c r="U245" s="60">
        <v>23.169886233488587</v>
      </c>
      <c r="V245" s="80"/>
      <c r="W245" s="80">
        <v>24.229955856688225</v>
      </c>
      <c r="X245" s="80">
        <v>23.933254188101834</v>
      </c>
      <c r="Y245" s="80">
        <v>22.387054896142434</v>
      </c>
      <c r="Z245" s="80">
        <v>23.442823596385114</v>
      </c>
      <c r="AA245" s="80" t="e">
        <v>#DIV/0!</v>
      </c>
      <c r="AB245" s="80" t="e">
        <v>#DIV/0!</v>
      </c>
      <c r="AC245" s="80" t="e">
        <v>#DIV/0!</v>
      </c>
      <c r="AD245" s="80" t="e">
        <v>#DIV/0!</v>
      </c>
      <c r="AE245" s="80" t="e">
        <v>#DIV/0!</v>
      </c>
      <c r="AF245" s="80" t="e">
        <v>#DIV/0!</v>
      </c>
      <c r="AG245" s="80" t="e">
        <v>#DIV/0!</v>
      </c>
      <c r="AH245" s="80" t="e">
        <v>#DIV/0!</v>
      </c>
      <c r="AI245" s="80" t="e">
        <v>#DIV/0!</v>
      </c>
      <c r="AJ245" s="80" t="e">
        <v>#DIV/0!</v>
      </c>
      <c r="AK245" s="80" t="e">
        <v>#DIV/0!</v>
      </c>
      <c r="AL245" s="80" t="e">
        <v>#DIV/0!</v>
      </c>
      <c r="AM245" s="80">
        <v>23.442823596385114</v>
      </c>
      <c r="BO245" s="23"/>
      <c r="BP245" s="37"/>
      <c r="BQ245" s="38"/>
    </row>
    <row r="246" spans="1:69">
      <c r="A246" s="84" t="s">
        <v>242</v>
      </c>
      <c r="B246" s="18" t="s">
        <v>41</v>
      </c>
      <c r="C246" s="42">
        <v>91.133424408014577</v>
      </c>
      <c r="D246" s="42">
        <v>95.317204301075265</v>
      </c>
      <c r="E246" s="18">
        <v>93</v>
      </c>
      <c r="F246" s="43">
        <v>5.637286987494365</v>
      </c>
      <c r="G246" s="43">
        <v>5.5696323263906899</v>
      </c>
      <c r="H246" s="43">
        <v>5.4688226140340639</v>
      </c>
      <c r="I246" s="44">
        <v>5.6012996713492109</v>
      </c>
      <c r="J246" s="43">
        <v>5.5503482437160754</v>
      </c>
      <c r="K246" s="43">
        <v>5.6700856540520839</v>
      </c>
      <c r="L246" s="43">
        <v>5.9155295508062551</v>
      </c>
      <c r="M246" s="44">
        <v>5.6415410626142668</v>
      </c>
      <c r="N246" s="43">
        <v>3.9036394483093679</v>
      </c>
      <c r="O246" s="43">
        <v>5.7384657101567624</v>
      </c>
      <c r="P246" s="43">
        <v>5.8832358323842273</v>
      </c>
      <c r="Q246" s="44">
        <v>5.5253062117338523</v>
      </c>
      <c r="R246" s="43">
        <v>88.847716894977154</v>
      </c>
      <c r="S246" s="43">
        <v>91.133424408014577</v>
      </c>
      <c r="T246" s="79">
        <v>92.05</v>
      </c>
      <c r="U246" s="79">
        <v>93.477853881278534</v>
      </c>
      <c r="V246" s="80">
        <v>92.69</v>
      </c>
      <c r="W246" s="80">
        <v>94.941666666666663</v>
      </c>
      <c r="X246" s="80">
        <v>94.892473118279568</v>
      </c>
      <c r="Y246" s="80">
        <v>95.94861111111112</v>
      </c>
      <c r="Z246" s="80">
        <v>95.256868131868117</v>
      </c>
      <c r="AA246" s="80" t="e">
        <v>#DIV/0!</v>
      </c>
      <c r="AB246" s="80" t="e">
        <v>#DIV/0!</v>
      </c>
      <c r="AC246" s="80" t="e">
        <v>#DIV/0!</v>
      </c>
      <c r="AD246" s="80" t="e">
        <v>#DIV/0!</v>
      </c>
      <c r="AE246" s="80" t="e">
        <v>#DIV/0!</v>
      </c>
      <c r="AF246" s="80" t="e">
        <v>#DIV/0!</v>
      </c>
      <c r="AG246" s="80" t="e">
        <v>#DIV/0!</v>
      </c>
      <c r="AH246" s="80" t="e">
        <v>#DIV/0!</v>
      </c>
      <c r="AI246" s="80" t="e">
        <v>#DIV/0!</v>
      </c>
      <c r="AJ246" s="80" t="e">
        <v>#DIV/0!</v>
      </c>
      <c r="AK246" s="80" t="e">
        <v>#DIV/0!</v>
      </c>
      <c r="AL246" s="80" t="e">
        <v>#DIV/0!</v>
      </c>
      <c r="AM246" s="80">
        <v>95.256868131868117</v>
      </c>
      <c r="BO246" s="14"/>
      <c r="BP246" s="37"/>
      <c r="BQ246" s="38"/>
    </row>
    <row r="247" spans="1:69">
      <c r="A247" s="85" t="s">
        <v>243</v>
      </c>
      <c r="B247" s="18" t="s">
        <v>41</v>
      </c>
      <c r="C247" s="20">
        <v>82.337392381913659</v>
      </c>
      <c r="D247" s="20">
        <v>84.043093237069215</v>
      </c>
      <c r="E247" s="13">
        <v>90</v>
      </c>
      <c r="F247" s="43">
        <v>564.40772892126279</v>
      </c>
      <c r="G247" s="43">
        <v>559.29578932926279</v>
      </c>
      <c r="H247" s="43">
        <v>579.14303804428164</v>
      </c>
      <c r="I247" s="44">
        <v>587.29494045833781</v>
      </c>
      <c r="J247" s="43">
        <v>597.62938195617869</v>
      </c>
      <c r="K247" s="43">
        <v>590.61723802572089</v>
      </c>
      <c r="L247" s="43">
        <v>584.6835210115438</v>
      </c>
      <c r="M247" s="44">
        <v>587.54477994615218</v>
      </c>
      <c r="N247" s="43">
        <v>819.42457117665663</v>
      </c>
      <c r="O247" s="43">
        <v>572.78239699444975</v>
      </c>
      <c r="P247" s="43">
        <v>586.59337560493964</v>
      </c>
      <c r="Q247" s="44">
        <v>574.55843507922452</v>
      </c>
      <c r="R247" s="43">
        <v>78.507039647645016</v>
      </c>
      <c r="S247" s="43">
        <v>82.337392381913659</v>
      </c>
      <c r="T247" s="60">
        <v>81.540000000000006</v>
      </c>
      <c r="U247" s="60">
        <v>84.80239746185579</v>
      </c>
      <c r="V247" s="80">
        <v>90</v>
      </c>
      <c r="W247" s="80">
        <v>83.933116826121307</v>
      </c>
      <c r="X247" s="80">
        <v>86.944759206798878</v>
      </c>
      <c r="Y247" s="80">
        <v>83.221631949973201</v>
      </c>
      <c r="Z247" s="80">
        <v>84.718877528948624</v>
      </c>
      <c r="AA247" s="80" t="e">
        <v>#DIV/0!</v>
      </c>
      <c r="AB247" s="80" t="e">
        <v>#DIV/0!</v>
      </c>
      <c r="AC247" s="80" t="e">
        <v>#DIV/0!</v>
      </c>
      <c r="AD247" s="80" t="e">
        <v>#DIV/0!</v>
      </c>
      <c r="AE247" s="80" t="e">
        <v>#DIV/0!</v>
      </c>
      <c r="AF247" s="80" t="e">
        <v>#DIV/0!</v>
      </c>
      <c r="AG247" s="80" t="e">
        <v>#DIV/0!</v>
      </c>
      <c r="AH247" s="80" t="e">
        <v>#DIV/0!</v>
      </c>
      <c r="AI247" s="80" t="e">
        <v>#DIV/0!</v>
      </c>
      <c r="AJ247" s="80" t="e">
        <v>#DIV/0!</v>
      </c>
      <c r="AK247" s="80" t="e">
        <v>#DIV/0!</v>
      </c>
      <c r="AL247" s="80" t="e">
        <v>#DIV/0!</v>
      </c>
      <c r="AM247" s="80">
        <v>84.718877528948624</v>
      </c>
      <c r="BO247" s="23"/>
      <c r="BP247" s="37"/>
      <c r="BQ247" s="38"/>
    </row>
    <row r="248" spans="1:69">
      <c r="A248" s="84" t="s">
        <v>238</v>
      </c>
      <c r="B248" s="42" t="s">
        <v>230</v>
      </c>
      <c r="C248" s="42">
        <v>360.39607114897956</v>
      </c>
      <c r="D248" s="42">
        <v>379.07718120805367</v>
      </c>
      <c r="E248" s="18">
        <v>414.4</v>
      </c>
      <c r="F248" s="46">
        <v>5.0649809536315029E-3</v>
      </c>
      <c r="G248" s="46">
        <v>5.047751616703869E-3</v>
      </c>
      <c r="H248" s="46">
        <v>5.436232576040775E-3</v>
      </c>
      <c r="I248" s="47">
        <v>3.7993732321349432E-3</v>
      </c>
      <c r="J248" s="46">
        <v>3.2462812157958085E-3</v>
      </c>
      <c r="K248" s="43">
        <v>5.09115750528219E-3</v>
      </c>
      <c r="L248" s="46">
        <v>5.1245561826697662E-3</v>
      </c>
      <c r="M248" s="47">
        <v>2.778268497124101E-3</v>
      </c>
      <c r="N248" s="46">
        <v>2.4285758172172944E-3</v>
      </c>
      <c r="O248" s="46">
        <v>3.301516197563286E-3</v>
      </c>
      <c r="P248" s="46">
        <v>3.0374170432926457E-3</v>
      </c>
      <c r="Q248" s="47">
        <v>3.7309808921852298E-3</v>
      </c>
      <c r="R248" s="46">
        <v>290.20809295855327</v>
      </c>
      <c r="S248" s="46">
        <v>360.39607114897956</v>
      </c>
      <c r="T248" s="79">
        <v>389</v>
      </c>
      <c r="U248" s="79">
        <v>384.52963488849656</v>
      </c>
      <c r="V248" s="67">
        <v>414.4</v>
      </c>
      <c r="W248" s="67">
        <v>402.31982570806099</v>
      </c>
      <c r="X248" s="67">
        <v>289.08003844712704</v>
      </c>
      <c r="Y248" s="67">
        <v>410.30230292910323</v>
      </c>
      <c r="Z248" s="67">
        <v>365.48539007092199</v>
      </c>
      <c r="AA248" s="67" t="e">
        <v>#DIV/0!</v>
      </c>
      <c r="AB248" s="67" t="e">
        <v>#DIV/0!</v>
      </c>
      <c r="AC248" s="67" t="e">
        <v>#DIV/0!</v>
      </c>
      <c r="AD248" s="67" t="e">
        <v>#DIV/0!</v>
      </c>
      <c r="AE248" s="67" t="e">
        <v>#DIV/0!</v>
      </c>
      <c r="AF248" s="67" t="e">
        <v>#DIV/0!</v>
      </c>
      <c r="AG248" s="67" t="e">
        <v>#DIV/0!</v>
      </c>
      <c r="AH248" s="67" t="e">
        <v>#DIV/0!</v>
      </c>
      <c r="AI248" s="67" t="e">
        <v>#DIV/0!</v>
      </c>
      <c r="AJ248" s="67" t="e">
        <v>#DIV/0!</v>
      </c>
      <c r="AK248" s="67" t="e">
        <v>#DIV/0!</v>
      </c>
      <c r="AL248" s="67" t="e">
        <v>#DIV/0!</v>
      </c>
      <c r="AM248" s="67">
        <v>365.48539007092199</v>
      </c>
      <c r="BO248" s="14"/>
      <c r="BP248" s="37"/>
      <c r="BQ248" s="38"/>
    </row>
    <row r="249" spans="1:69">
      <c r="A249" s="85" t="s">
        <v>239</v>
      </c>
      <c r="B249" s="13" t="s">
        <v>244</v>
      </c>
      <c r="C249" s="13">
        <v>1.87</v>
      </c>
      <c r="D249" s="13">
        <v>1.9</v>
      </c>
      <c r="E249" s="13">
        <v>1.8</v>
      </c>
      <c r="F249" s="43">
        <v>2</v>
      </c>
      <c r="G249" s="48">
        <v>1.72</v>
      </c>
      <c r="H249" s="49">
        <v>2</v>
      </c>
      <c r="I249" s="44">
        <v>1.9066666666666665</v>
      </c>
      <c r="J249" s="50">
        <v>1.68</v>
      </c>
      <c r="K249" s="50">
        <v>1.82</v>
      </c>
      <c r="L249" s="50"/>
      <c r="M249" s="44">
        <v>1.75</v>
      </c>
      <c r="N249" s="50"/>
      <c r="O249" s="50"/>
      <c r="P249" s="50"/>
      <c r="Q249" s="44" t="e">
        <v>#DIV/0!</v>
      </c>
      <c r="R249" s="43">
        <v>1.75</v>
      </c>
      <c r="S249" s="43">
        <v>1.87</v>
      </c>
      <c r="T249" s="54">
        <v>1.88</v>
      </c>
      <c r="U249" s="54">
        <v>1.9</v>
      </c>
      <c r="V249" s="80"/>
      <c r="W249" s="80">
        <v>2</v>
      </c>
      <c r="X249" s="80">
        <v>1.44</v>
      </c>
      <c r="Y249" s="80">
        <v>2</v>
      </c>
      <c r="Z249" s="80">
        <v>0</v>
      </c>
      <c r="AA249" s="80">
        <v>0</v>
      </c>
      <c r="AB249" s="80">
        <v>0</v>
      </c>
      <c r="AC249" s="80">
        <v>0</v>
      </c>
      <c r="AD249" s="80">
        <v>0</v>
      </c>
      <c r="AE249" s="80">
        <v>0</v>
      </c>
      <c r="AF249" s="80">
        <v>0</v>
      </c>
      <c r="AG249" s="80">
        <v>0</v>
      </c>
      <c r="AH249" s="80">
        <v>0</v>
      </c>
      <c r="AI249" s="80">
        <v>0</v>
      </c>
      <c r="AJ249" s="80">
        <v>0</v>
      </c>
      <c r="AK249" s="80">
        <v>0</v>
      </c>
      <c r="AL249" s="80">
        <v>0</v>
      </c>
      <c r="AM249" s="80">
        <v>1.81</v>
      </c>
      <c r="BO249" s="23"/>
    </row>
    <row r="250" spans="1:69">
      <c r="A250" s="63"/>
      <c r="B250" s="13"/>
      <c r="C250" s="13"/>
      <c r="D250" s="13"/>
      <c r="E250" s="13"/>
      <c r="F250" s="43"/>
      <c r="G250" s="48"/>
      <c r="H250" s="49"/>
      <c r="I250" s="44"/>
      <c r="J250" s="50"/>
      <c r="K250" s="50"/>
      <c r="L250" s="50"/>
      <c r="M250" s="44"/>
      <c r="N250" s="50"/>
      <c r="O250" s="50"/>
      <c r="P250" s="50"/>
      <c r="Q250" s="44"/>
      <c r="R250" s="43"/>
      <c r="S250" s="43"/>
      <c r="T250" s="54"/>
      <c r="U250" s="54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BO250" s="23"/>
    </row>
    <row r="251" spans="1:69">
      <c r="A251" s="64" t="s">
        <v>245</v>
      </c>
      <c r="B251" s="13"/>
      <c r="C251" s="20"/>
      <c r="D251" s="20"/>
      <c r="E251" s="20"/>
      <c r="F251" s="20"/>
      <c r="G251" s="20"/>
      <c r="H251" s="20"/>
      <c r="I251" s="20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BO251" s="13"/>
    </row>
    <row r="252" spans="1:69">
      <c r="A252" s="84" t="s">
        <v>246</v>
      </c>
      <c r="B252" s="18" t="s">
        <v>41</v>
      </c>
      <c r="C252" s="20">
        <v>2.1029804831307684</v>
      </c>
      <c r="D252" s="20">
        <v>1.38</v>
      </c>
      <c r="E252" s="20">
        <v>1.24</v>
      </c>
      <c r="F252" s="20">
        <v>0.91677701945604562</v>
      </c>
      <c r="G252" s="20">
        <v>0.95016030311862432</v>
      </c>
      <c r="H252" s="20">
        <v>0.93430442139336412</v>
      </c>
      <c r="I252" s="20">
        <v>0.91706325864927019</v>
      </c>
      <c r="J252" s="20">
        <v>0.93640265314085047</v>
      </c>
      <c r="K252" s="20">
        <v>0.92565134505401392</v>
      </c>
      <c r="L252" s="20">
        <v>1.0258328213074026</v>
      </c>
      <c r="M252" s="20">
        <v>1.3036860565151214</v>
      </c>
      <c r="N252" s="20">
        <v>1.5464654260640884</v>
      </c>
      <c r="O252" s="20">
        <v>2.4122065971770943</v>
      </c>
      <c r="P252" s="20">
        <v>2.1837230584745493</v>
      </c>
      <c r="Q252" s="20">
        <v>2.6857125073911559</v>
      </c>
      <c r="R252" s="20">
        <v>1.7150624710782043</v>
      </c>
      <c r="S252" s="20">
        <v>2.397850982609925</v>
      </c>
      <c r="T252" s="60">
        <v>1.5578947368421052</v>
      </c>
      <c r="U252" s="60">
        <v>1.4391398463331668</v>
      </c>
      <c r="V252" s="54"/>
      <c r="W252" s="60">
        <v>1.5573928090751779</v>
      </c>
      <c r="X252" s="60">
        <v>2.5536261491317673</v>
      </c>
      <c r="Y252" s="60">
        <v>0.80428954423592491</v>
      </c>
      <c r="Z252" s="60">
        <v>1.5919965202261854</v>
      </c>
      <c r="AA252" s="60" t="s">
        <v>1</v>
      </c>
      <c r="AB252" s="60" t="s">
        <v>1</v>
      </c>
      <c r="AC252" s="60" t="s">
        <v>1</v>
      </c>
      <c r="AD252" s="60" t="s">
        <v>1</v>
      </c>
      <c r="AE252" s="60" t="s">
        <v>1</v>
      </c>
      <c r="AF252" s="60" t="s">
        <v>1</v>
      </c>
      <c r="AG252" s="60" t="s">
        <v>1</v>
      </c>
      <c r="AH252" s="60" t="s">
        <v>1</v>
      </c>
      <c r="AI252" s="60" t="s">
        <v>1</v>
      </c>
      <c r="AJ252" s="60" t="s">
        <v>1</v>
      </c>
      <c r="AK252" s="60" t="s">
        <v>1</v>
      </c>
      <c r="AL252" s="60" t="s">
        <v>1</v>
      </c>
      <c r="AM252" s="60">
        <v>1.5919965202261854</v>
      </c>
      <c r="BO252" s="14"/>
    </row>
    <row r="253" spans="1:69">
      <c r="A253" s="84" t="s">
        <v>247</v>
      </c>
      <c r="B253" s="18" t="s">
        <v>41</v>
      </c>
      <c r="C253" s="20">
        <v>90.564277216636739</v>
      </c>
      <c r="D253" s="20">
        <v>91.54</v>
      </c>
      <c r="E253" s="20">
        <v>91.61</v>
      </c>
      <c r="F253" s="20">
        <v>91.615491843423882</v>
      </c>
      <c r="G253" s="20">
        <v>91.51720794958797</v>
      </c>
      <c r="H253" s="20">
        <v>91.51828190838657</v>
      </c>
      <c r="I253" s="20">
        <v>91.478857594233659</v>
      </c>
      <c r="J253" s="20">
        <v>91.547042253521127</v>
      </c>
      <c r="K253" s="20">
        <v>91.548413614922396</v>
      </c>
      <c r="L253" s="20">
        <v>91.237963897850122</v>
      </c>
      <c r="M253" s="20">
        <v>91.999629612482053</v>
      </c>
      <c r="N253" s="20">
        <v>91.646041250831672</v>
      </c>
      <c r="O253" s="20">
        <v>91.151321367148711</v>
      </c>
      <c r="P253" s="20">
        <v>91.306677193773965</v>
      </c>
      <c r="Q253" s="20">
        <v>91.4</v>
      </c>
      <c r="R253" s="20">
        <v>91.414522392646603</v>
      </c>
      <c r="S253" s="20">
        <v>91.175669788717045</v>
      </c>
      <c r="T253" s="60">
        <v>91.947342812347941</v>
      </c>
      <c r="U253" s="60">
        <v>91.43702819906845</v>
      </c>
      <c r="V253" s="60">
        <v>92</v>
      </c>
      <c r="W253" s="60">
        <v>92.041078305519903</v>
      </c>
      <c r="X253" s="60">
        <v>91.752235839682015</v>
      </c>
      <c r="Y253" s="60">
        <v>91.6999429549344</v>
      </c>
      <c r="Z253" s="60">
        <v>91.868425446652196</v>
      </c>
      <c r="AA253" s="60" t="e">
        <v>#DIV/0!</v>
      </c>
      <c r="AB253" s="60" t="e">
        <v>#DIV/0!</v>
      </c>
      <c r="AC253" s="60" t="e">
        <v>#DIV/0!</v>
      </c>
      <c r="AD253" s="60" t="e">
        <v>#DIV/0!</v>
      </c>
      <c r="AE253" s="60" t="e">
        <v>#DIV/0!</v>
      </c>
      <c r="AF253" s="60" t="e">
        <v>#DIV/0!</v>
      </c>
      <c r="AG253" s="60" t="e">
        <v>#DIV/0!</v>
      </c>
      <c r="AH253" s="60" t="e">
        <v>#DIV/0!</v>
      </c>
      <c r="AI253" s="60" t="e">
        <v>#DIV/0!</v>
      </c>
      <c r="AJ253" s="60" t="e">
        <v>#DIV/0!</v>
      </c>
      <c r="AK253" s="60" t="e">
        <v>#DIV/0!</v>
      </c>
      <c r="AL253" s="60" t="e">
        <v>#DIV/0!</v>
      </c>
      <c r="AM253" s="60">
        <v>91.868425446652196</v>
      </c>
      <c r="BO253" s="14"/>
    </row>
    <row r="254" spans="1:69">
      <c r="A254" s="84" t="s">
        <v>248</v>
      </c>
      <c r="B254" s="18" t="s">
        <v>41</v>
      </c>
      <c r="C254" s="20">
        <v>78.940886699507388</v>
      </c>
      <c r="D254" s="20">
        <v>62.95</v>
      </c>
      <c r="E254" s="20">
        <v>81.33</v>
      </c>
      <c r="F254" s="20" t="s">
        <v>1</v>
      </c>
      <c r="G254" s="20">
        <v>78.378378378378372</v>
      </c>
      <c r="H254" s="20">
        <v>94.666666666666671</v>
      </c>
      <c r="I254" s="20">
        <v>67.010309278350505</v>
      </c>
      <c r="J254" s="21">
        <v>60.714285714285708</v>
      </c>
      <c r="K254" s="21">
        <v>53.104144314524191</v>
      </c>
      <c r="L254" s="21">
        <v>65.694682675814747</v>
      </c>
      <c r="M254" s="21">
        <v>90.136054421768705</v>
      </c>
      <c r="N254" s="21">
        <v>91.338582677165363</v>
      </c>
      <c r="O254" s="21" t="s">
        <v>1</v>
      </c>
      <c r="P254" s="20">
        <v>16.344714519923016</v>
      </c>
      <c r="Q254" s="20">
        <v>76.926902038786665</v>
      </c>
      <c r="R254" s="20" t="s">
        <v>1</v>
      </c>
      <c r="S254" s="20" t="s">
        <v>1</v>
      </c>
      <c r="T254" s="60" t="s">
        <v>1</v>
      </c>
      <c r="U254" s="60" t="s">
        <v>1</v>
      </c>
      <c r="V254" s="59"/>
      <c r="W254" s="59" t="s">
        <v>1</v>
      </c>
      <c r="X254" s="59" t="s">
        <v>1</v>
      </c>
      <c r="Y254" s="59" t="s">
        <v>1</v>
      </c>
      <c r="Z254" s="59" t="s">
        <v>1</v>
      </c>
      <c r="AA254" s="59" t="s">
        <v>1</v>
      </c>
      <c r="AB254" s="66" t="s">
        <v>1</v>
      </c>
      <c r="AC254" s="66" t="s">
        <v>1</v>
      </c>
      <c r="AD254" s="66" t="s">
        <v>1</v>
      </c>
      <c r="AE254" s="66" t="s">
        <v>1</v>
      </c>
      <c r="AF254" s="66" t="s">
        <v>1</v>
      </c>
      <c r="AG254" s="66" t="s">
        <v>1</v>
      </c>
      <c r="AH254" s="59" t="s">
        <v>1</v>
      </c>
      <c r="AI254" s="66" t="s">
        <v>1</v>
      </c>
      <c r="AJ254" s="59" t="s">
        <v>1</v>
      </c>
      <c r="AK254" s="59" t="s">
        <v>1</v>
      </c>
      <c r="AL254" s="59" t="s">
        <v>1</v>
      </c>
      <c r="AM254" s="59" t="s">
        <v>1</v>
      </c>
      <c r="BO254" s="14"/>
    </row>
    <row r="255" spans="1:69">
      <c r="A255" s="84" t="s">
        <v>227</v>
      </c>
      <c r="B255" s="18" t="s">
        <v>41</v>
      </c>
      <c r="C255" s="20">
        <v>52.052026411657558</v>
      </c>
      <c r="D255" s="20">
        <v>57.17</v>
      </c>
      <c r="E255" s="20">
        <v>56.99</v>
      </c>
      <c r="F255" s="20">
        <v>57.351598173515981</v>
      </c>
      <c r="G255" s="20">
        <v>57.012750455373407</v>
      </c>
      <c r="H255" s="20">
        <v>57.168949771689491</v>
      </c>
      <c r="I255" s="20">
        <v>57.351598173515981</v>
      </c>
      <c r="J255" s="20">
        <v>57.168949771689491</v>
      </c>
      <c r="K255" s="20">
        <v>59.289617486338798</v>
      </c>
      <c r="L255" s="20">
        <v>57.351598173515981</v>
      </c>
      <c r="M255" s="20">
        <v>57.168949771689491</v>
      </c>
      <c r="N255" s="20">
        <v>56.758675799086753</v>
      </c>
      <c r="O255" s="20">
        <v>57.19489981785064</v>
      </c>
      <c r="P255" s="20">
        <v>56.986301369863014</v>
      </c>
      <c r="Q255" s="20">
        <v>57.78</v>
      </c>
      <c r="R255" s="20">
        <v>57.168949771689491</v>
      </c>
      <c r="S255" s="20">
        <v>58.469945355191257</v>
      </c>
      <c r="T255" s="60">
        <v>43.013698630136986</v>
      </c>
      <c r="U255" s="60">
        <v>35.707762557077629</v>
      </c>
      <c r="V255" s="60"/>
      <c r="W255" s="60">
        <v>67.5</v>
      </c>
      <c r="X255" s="60">
        <v>51.20967741935484</v>
      </c>
      <c r="Y255" s="60">
        <v>59.166666666666664</v>
      </c>
      <c r="Z255" s="60">
        <v>59.203296703296701</v>
      </c>
      <c r="AA255" s="60" t="e">
        <v>#DIV/0!</v>
      </c>
      <c r="AB255" s="60" t="e">
        <v>#DIV/0!</v>
      </c>
      <c r="AC255" s="60" t="e">
        <v>#DIV/0!</v>
      </c>
      <c r="AD255" s="60" t="e">
        <v>#DIV/0!</v>
      </c>
      <c r="AE255" s="60" t="e">
        <v>#DIV/0!</v>
      </c>
      <c r="AF255" s="60" t="e">
        <v>#DIV/0!</v>
      </c>
      <c r="AG255" s="60" t="e">
        <v>#DIV/0!</v>
      </c>
      <c r="AH255" s="60" t="e">
        <v>#DIV/0!</v>
      </c>
      <c r="AI255" s="60" t="e">
        <v>#DIV/0!</v>
      </c>
      <c r="AJ255" s="60" t="e">
        <v>#DIV/0!</v>
      </c>
      <c r="AK255" s="60" t="e">
        <v>#DIV/0!</v>
      </c>
      <c r="AL255" s="60" t="e">
        <v>#DIV/0!</v>
      </c>
      <c r="AM255" s="60">
        <v>59.203296703296701</v>
      </c>
      <c r="BO255" s="14"/>
    </row>
    <row r="256" spans="1:69">
      <c r="A256" s="85" t="s">
        <v>249</v>
      </c>
      <c r="B256" s="18" t="s">
        <v>41</v>
      </c>
      <c r="C256" s="20">
        <v>58.490677456394558</v>
      </c>
      <c r="D256" s="20">
        <v>47.94</v>
      </c>
      <c r="E256" s="20">
        <v>44.07</v>
      </c>
      <c r="F256" s="20">
        <v>63.17675159235668</v>
      </c>
      <c r="G256" s="20">
        <v>68.630191693290726</v>
      </c>
      <c r="H256" s="20">
        <v>52.525958466453673</v>
      </c>
      <c r="I256" s="20">
        <v>50.323447452229296</v>
      </c>
      <c r="J256" s="20">
        <v>52.196485623003198</v>
      </c>
      <c r="K256" s="20">
        <v>58.602150537634415</v>
      </c>
      <c r="L256" s="20">
        <v>46.855095541401276</v>
      </c>
      <c r="M256" s="20">
        <v>50.818690095846641</v>
      </c>
      <c r="N256" s="20">
        <v>43.462870520468385</v>
      </c>
      <c r="O256" s="20">
        <v>46.775477707006367</v>
      </c>
      <c r="P256" s="20">
        <v>40.434695512820511</v>
      </c>
      <c r="Q256" s="20">
        <v>41.753194888178911</v>
      </c>
      <c r="R256" s="20">
        <v>39.347044728434504</v>
      </c>
      <c r="S256" s="20">
        <v>44.411993769470406</v>
      </c>
      <c r="T256" s="60">
        <v>58.545647558386413</v>
      </c>
      <c r="U256" s="60">
        <v>83.256074168797952</v>
      </c>
      <c r="V256" s="60"/>
      <c r="W256" s="60">
        <v>92.283950617283949</v>
      </c>
      <c r="X256" s="60">
        <v>81.102362204724415</v>
      </c>
      <c r="Y256" s="60">
        <v>83.802816901408448</v>
      </c>
      <c r="Z256" s="60">
        <v>86.194895591647338</v>
      </c>
      <c r="AA256" s="60" t="e">
        <v>#DIV/0!</v>
      </c>
      <c r="AB256" s="60" t="e">
        <v>#DIV/0!</v>
      </c>
      <c r="AC256" s="60" t="e">
        <v>#DIV/0!</v>
      </c>
      <c r="AD256" s="60" t="e">
        <v>#DIV/0!</v>
      </c>
      <c r="AE256" s="60" t="e">
        <v>#DIV/0!</v>
      </c>
      <c r="AF256" s="60" t="e">
        <v>#DIV/0!</v>
      </c>
      <c r="AG256" s="60" t="e">
        <v>#DIV/0!</v>
      </c>
      <c r="AH256" s="60" t="e">
        <v>#DIV/0!</v>
      </c>
      <c r="AI256" s="60" t="e">
        <v>#DIV/0!</v>
      </c>
      <c r="AJ256" s="60" t="e">
        <v>#DIV/0!</v>
      </c>
      <c r="AK256" s="60" t="e">
        <v>#DIV/0!</v>
      </c>
      <c r="AL256" s="60" t="e">
        <v>#DIV/0!</v>
      </c>
      <c r="AM256" s="60">
        <v>86.194895591647338</v>
      </c>
      <c r="BO256" s="23"/>
    </row>
    <row r="257" spans="1:79">
      <c r="A257" s="84" t="s">
        <v>250</v>
      </c>
      <c r="B257" s="18" t="s">
        <v>230</v>
      </c>
      <c r="C257" s="20">
        <v>14.517226680227644</v>
      </c>
      <c r="D257" s="20">
        <v>15.94</v>
      </c>
      <c r="E257" s="22">
        <v>15</v>
      </c>
      <c r="F257" s="22">
        <v>15.322936357908002</v>
      </c>
      <c r="G257" s="22">
        <v>14.831539132964794</v>
      </c>
      <c r="H257" s="22">
        <v>15.357536590001901</v>
      </c>
      <c r="I257" s="22">
        <v>14.657964995550282</v>
      </c>
      <c r="J257" s="22">
        <v>15.540933435348126</v>
      </c>
      <c r="K257" s="22">
        <v>15.325360419397116</v>
      </c>
      <c r="L257" s="22">
        <v>15.738742565845369</v>
      </c>
      <c r="M257" s="22">
        <v>15.615717092337917</v>
      </c>
      <c r="N257" s="20">
        <v>15.935215178158261</v>
      </c>
      <c r="O257" s="20">
        <v>16.01276595744681</v>
      </c>
      <c r="P257" s="21">
        <v>15.699281644785732</v>
      </c>
      <c r="Q257" s="21">
        <v>15.367288378766141</v>
      </c>
      <c r="R257" s="21">
        <v>16.604922608475007</v>
      </c>
      <c r="S257" s="21">
        <v>14.680841736080666</v>
      </c>
      <c r="T257" s="59">
        <v>15.419310970081595</v>
      </c>
      <c r="U257" s="59">
        <v>15.302294326581549</v>
      </c>
      <c r="V257" s="62"/>
      <c r="W257" s="59">
        <v>16.785953177257525</v>
      </c>
      <c r="X257" s="59">
        <v>13.446601941747574</v>
      </c>
      <c r="Y257" s="59">
        <v>13.508403361344538</v>
      </c>
      <c r="Z257" s="59">
        <v>14.810228802153432</v>
      </c>
      <c r="AA257" s="59" t="e">
        <v>#DIV/0!</v>
      </c>
      <c r="AB257" s="59" t="e">
        <v>#DIV/0!</v>
      </c>
      <c r="AC257" s="59" t="e">
        <v>#DIV/0!</v>
      </c>
      <c r="AD257" s="59" t="e">
        <v>#DIV/0!</v>
      </c>
      <c r="AE257" s="59" t="e">
        <v>#DIV/0!</v>
      </c>
      <c r="AF257" s="59" t="e">
        <v>#DIV/0!</v>
      </c>
      <c r="AG257" s="59" t="e">
        <v>#DIV/0!</v>
      </c>
      <c r="AH257" s="59" t="e">
        <v>#DIV/0!</v>
      </c>
      <c r="AI257" s="59" t="e">
        <v>#DIV/0!</v>
      </c>
      <c r="AJ257" s="60" t="e">
        <v>#DIV/0!</v>
      </c>
      <c r="AK257" s="60" t="e">
        <v>#DIV/0!</v>
      </c>
      <c r="AL257" s="60" t="e">
        <v>#DIV/0!</v>
      </c>
      <c r="AM257" s="60">
        <v>14.810228802153432</v>
      </c>
      <c r="BO257" s="14"/>
    </row>
    <row r="258" spans="1:79">
      <c r="A258" s="53"/>
      <c r="B258" s="18"/>
      <c r="C258" s="20"/>
      <c r="D258" s="20"/>
      <c r="E258" s="22"/>
      <c r="F258" s="22"/>
      <c r="G258" s="22"/>
      <c r="H258" s="22"/>
      <c r="I258" s="22"/>
      <c r="J258" s="22"/>
      <c r="K258" s="22"/>
      <c r="L258" s="22"/>
      <c r="M258" s="22"/>
      <c r="N258" s="20"/>
      <c r="O258" s="20"/>
      <c r="P258" s="21"/>
      <c r="Q258" s="21"/>
      <c r="R258" s="21"/>
      <c r="S258" s="21"/>
      <c r="T258" s="59"/>
      <c r="U258" s="59"/>
      <c r="V258" s="62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60"/>
      <c r="AK258" s="60"/>
      <c r="AL258" s="60"/>
      <c r="AM258" s="60"/>
      <c r="BO258" s="14"/>
    </row>
    <row r="259" spans="1:79">
      <c r="A259" s="64" t="s">
        <v>251</v>
      </c>
      <c r="B259" s="18"/>
      <c r="C259" s="34"/>
      <c r="D259" s="34"/>
      <c r="E259" s="34"/>
      <c r="F259" s="34"/>
      <c r="G259" s="34"/>
      <c r="H259" s="34"/>
      <c r="I259" s="34"/>
      <c r="J259" s="15"/>
      <c r="K259" s="15"/>
      <c r="L259" s="15"/>
      <c r="M259" s="15"/>
      <c r="N259" s="13"/>
      <c r="O259" s="13"/>
      <c r="P259" s="13"/>
      <c r="Q259" s="13"/>
      <c r="R259" s="13"/>
      <c r="S259" s="13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BO259" s="13"/>
    </row>
    <row r="260" spans="1:79">
      <c r="A260" s="84" t="s">
        <v>246</v>
      </c>
      <c r="B260" s="18" t="s">
        <v>41</v>
      </c>
      <c r="C260" s="20">
        <v>0.26214307379002555</v>
      </c>
      <c r="D260" s="20">
        <v>0.56000000000000005</v>
      </c>
      <c r="E260" s="20">
        <v>0.66</v>
      </c>
      <c r="F260" s="20">
        <v>0.60914861518317154</v>
      </c>
      <c r="G260" s="20">
        <v>0.39762895327859804</v>
      </c>
      <c r="H260" s="20">
        <v>0.73796415602670729</v>
      </c>
      <c r="I260" s="20">
        <v>0.62206038537399488</v>
      </c>
      <c r="J260" s="20">
        <v>1.2840837032339885</v>
      </c>
      <c r="K260" s="20">
        <v>1.34015092161148</v>
      </c>
      <c r="L260" s="20">
        <v>1.4239125442101879</v>
      </c>
      <c r="M260" s="20">
        <v>0.98595648693880522</v>
      </c>
      <c r="N260" s="20">
        <v>1.743411759958029</v>
      </c>
      <c r="O260" s="20">
        <v>1.7590643274853803</v>
      </c>
      <c r="P260" s="20">
        <v>3.0184089778318315</v>
      </c>
      <c r="Q260" s="20">
        <v>4.9191090269636577</v>
      </c>
      <c r="R260" s="20">
        <v>0.96153846153846156</v>
      </c>
      <c r="S260" s="20">
        <v>1.0709318497913769</v>
      </c>
      <c r="T260" s="60">
        <v>1.037908496732026</v>
      </c>
      <c r="U260" s="60">
        <v>0.38457312383254588</v>
      </c>
      <c r="V260" s="54"/>
      <c r="W260" s="60">
        <v>0.43509789702683105</v>
      </c>
      <c r="X260" s="60">
        <v>6.0006000600060012E-2</v>
      </c>
      <c r="Y260" s="60">
        <v>0.5950516755402443</v>
      </c>
      <c r="Z260" s="60">
        <v>0.35545023696682465</v>
      </c>
      <c r="AA260" s="60" t="s">
        <v>1</v>
      </c>
      <c r="AB260" s="60" t="s">
        <v>1</v>
      </c>
      <c r="AC260" s="60" t="s">
        <v>1</v>
      </c>
      <c r="AD260" s="60" t="s">
        <v>1</v>
      </c>
      <c r="AE260" s="60" t="s">
        <v>1</v>
      </c>
      <c r="AF260" s="60" t="s">
        <v>1</v>
      </c>
      <c r="AG260" s="60" t="s">
        <v>1</v>
      </c>
      <c r="AH260" s="60" t="s">
        <v>1</v>
      </c>
      <c r="AI260" s="60" t="s">
        <v>1</v>
      </c>
      <c r="AJ260" s="60" t="s">
        <v>1</v>
      </c>
      <c r="AK260" s="60" t="s">
        <v>1</v>
      </c>
      <c r="AL260" s="60" t="s">
        <v>1</v>
      </c>
      <c r="AM260" s="60">
        <v>0.35545023696682465</v>
      </c>
      <c r="BO260" s="14"/>
    </row>
    <row r="261" spans="1:79">
      <c r="A261" s="84" t="s">
        <v>247</v>
      </c>
      <c r="B261" s="18" t="s">
        <v>41</v>
      </c>
      <c r="C261" s="20">
        <v>94.609535552815444</v>
      </c>
      <c r="D261" s="20">
        <v>92.86</v>
      </c>
      <c r="E261" s="20">
        <v>93.83</v>
      </c>
      <c r="F261" s="20">
        <v>93.040049028751099</v>
      </c>
      <c r="G261" s="20">
        <v>93.151298119964181</v>
      </c>
      <c r="H261" s="20">
        <v>94.604928968154283</v>
      </c>
      <c r="I261" s="20">
        <v>93.795868685783844</v>
      </c>
      <c r="J261" s="20">
        <v>94.106090373280949</v>
      </c>
      <c r="K261" s="20">
        <v>93.66216480720297</v>
      </c>
      <c r="L261" s="20">
        <v>93.126491646778049</v>
      </c>
      <c r="M261" s="20">
        <v>90.992677789294191</v>
      </c>
      <c r="N261" s="20">
        <v>91.4796686746988</v>
      </c>
      <c r="O261" s="20">
        <v>90.209640003436718</v>
      </c>
      <c r="P261" s="20">
        <v>89.826943302418968</v>
      </c>
      <c r="Q261" s="20">
        <v>88.357157654858085</v>
      </c>
      <c r="R261" s="20">
        <v>91.319509542914986</v>
      </c>
      <c r="S261" s="20">
        <v>92.046853682073802</v>
      </c>
      <c r="T261" s="60">
        <v>93.010698678989399</v>
      </c>
      <c r="U261" s="60">
        <v>92.60723668808366</v>
      </c>
      <c r="V261" s="60">
        <v>92</v>
      </c>
      <c r="W261" s="60">
        <v>92.705479452054789</v>
      </c>
      <c r="X261" s="60">
        <v>92.755681818181827</v>
      </c>
      <c r="Y261" s="60">
        <v>92.772511848341239</v>
      </c>
      <c r="Z261" s="60">
        <v>92.746536267318675</v>
      </c>
      <c r="AA261" s="60" t="s">
        <v>1</v>
      </c>
      <c r="AB261" s="60" t="s">
        <v>1</v>
      </c>
      <c r="AC261" s="60" t="s">
        <v>1</v>
      </c>
      <c r="AD261" s="59" t="s">
        <v>1</v>
      </c>
      <c r="AE261" s="60" t="s">
        <v>1</v>
      </c>
      <c r="AF261" s="60" t="s">
        <v>1</v>
      </c>
      <c r="AG261" s="60" t="s">
        <v>1</v>
      </c>
      <c r="AH261" s="60" t="s">
        <v>1</v>
      </c>
      <c r="AI261" s="60" t="s">
        <v>1</v>
      </c>
      <c r="AJ261" s="60" t="s">
        <v>1</v>
      </c>
      <c r="AK261" s="60" t="s">
        <v>1</v>
      </c>
      <c r="AL261" s="60" t="s">
        <v>1</v>
      </c>
      <c r="AM261" s="60">
        <v>92.746536267318675</v>
      </c>
      <c r="BO261" s="14"/>
    </row>
    <row r="262" spans="1:79">
      <c r="A262" s="84" t="s">
        <v>248</v>
      </c>
      <c r="B262" s="18" t="s">
        <v>41</v>
      </c>
      <c r="C262" s="20">
        <v>78.940886699507388</v>
      </c>
      <c r="D262" s="20">
        <v>100</v>
      </c>
      <c r="E262" s="35" t="s">
        <v>1</v>
      </c>
      <c r="F262" s="35">
        <v>81.519861830742656</v>
      </c>
      <c r="G262" s="35">
        <v>100</v>
      </c>
      <c r="H262" s="35">
        <v>73.643410852713174</v>
      </c>
      <c r="I262" s="35">
        <v>62.146892655367239</v>
      </c>
      <c r="J262" s="32" t="s">
        <v>1</v>
      </c>
      <c r="K262" s="32" t="s">
        <v>1</v>
      </c>
      <c r="L262" s="32" t="s">
        <v>1</v>
      </c>
      <c r="M262" s="32" t="s">
        <v>1</v>
      </c>
      <c r="N262" s="21" t="s">
        <v>1</v>
      </c>
      <c r="O262" s="21" t="s">
        <v>1</v>
      </c>
      <c r="P262" s="21" t="s">
        <v>1</v>
      </c>
      <c r="Q262" s="21" t="s">
        <v>1</v>
      </c>
      <c r="R262" s="21" t="s">
        <v>1</v>
      </c>
      <c r="S262" s="21" t="s">
        <v>1</v>
      </c>
      <c r="T262" s="59" t="s">
        <v>1</v>
      </c>
      <c r="U262" s="59" t="s">
        <v>1</v>
      </c>
      <c r="V262" s="59" t="s">
        <v>252</v>
      </c>
      <c r="W262" s="59" t="s">
        <v>1</v>
      </c>
      <c r="X262" s="59" t="s">
        <v>1</v>
      </c>
      <c r="Y262" s="59" t="s">
        <v>1</v>
      </c>
      <c r="Z262" s="59" t="s">
        <v>1</v>
      </c>
      <c r="AA262" s="59" t="s">
        <v>1</v>
      </c>
      <c r="AB262" s="59" t="s">
        <v>1</v>
      </c>
      <c r="AC262" s="59" t="s">
        <v>1</v>
      </c>
      <c r="AD262" s="59" t="s">
        <v>1</v>
      </c>
      <c r="AE262" s="59" t="s">
        <v>1</v>
      </c>
      <c r="AF262" s="59" t="s">
        <v>1</v>
      </c>
      <c r="AG262" s="59" t="s">
        <v>1</v>
      </c>
      <c r="AH262" s="59" t="s">
        <v>1</v>
      </c>
      <c r="AI262" s="59" t="s">
        <v>1</v>
      </c>
      <c r="AJ262" s="59" t="s">
        <v>1</v>
      </c>
      <c r="AK262" s="59" t="s">
        <v>1</v>
      </c>
      <c r="AL262" s="59" t="s">
        <v>1</v>
      </c>
      <c r="AM262" s="59" t="s">
        <v>1</v>
      </c>
      <c r="BO262" s="14"/>
    </row>
    <row r="263" spans="1:79">
      <c r="A263" s="84" t="s">
        <v>227</v>
      </c>
      <c r="B263" s="18" t="s">
        <v>41</v>
      </c>
      <c r="C263" s="21">
        <v>84.972677595628426</v>
      </c>
      <c r="D263" s="21">
        <v>85.8</v>
      </c>
      <c r="E263" s="20">
        <v>85.48</v>
      </c>
      <c r="F263" s="20">
        <v>86.301369863013704</v>
      </c>
      <c r="G263" s="20">
        <v>85.792349726775953</v>
      </c>
      <c r="H263" s="20">
        <v>85.753424657534254</v>
      </c>
      <c r="I263" s="20">
        <v>86.027397260273972</v>
      </c>
      <c r="J263" s="20">
        <v>85.753424657534254</v>
      </c>
      <c r="K263" s="20">
        <v>85.519125683060111</v>
      </c>
      <c r="L263" s="20">
        <v>85.753424657534254</v>
      </c>
      <c r="M263" s="20">
        <v>85.753424657534254</v>
      </c>
      <c r="N263" s="20">
        <v>85.753424657534254</v>
      </c>
      <c r="O263" s="20">
        <v>85.792349726775953</v>
      </c>
      <c r="P263" s="20">
        <v>85.479452054794521</v>
      </c>
      <c r="Q263" s="20">
        <v>75.56</v>
      </c>
      <c r="R263" s="20">
        <v>85.753424657534254</v>
      </c>
      <c r="S263" s="20">
        <v>85.792349726775953</v>
      </c>
      <c r="T263" s="60">
        <v>85.753424657534254</v>
      </c>
      <c r="U263" s="60">
        <v>86.849315068493155</v>
      </c>
      <c r="V263" s="60"/>
      <c r="W263" s="60">
        <v>83.333333333333343</v>
      </c>
      <c r="X263" s="60">
        <v>90.322580645161281</v>
      </c>
      <c r="Y263" s="60">
        <v>86.666666666666671</v>
      </c>
      <c r="Z263" s="60">
        <v>86.813186813186817</v>
      </c>
      <c r="AA263" s="60" t="e">
        <v>#DIV/0!</v>
      </c>
      <c r="AB263" s="60" t="e">
        <v>#DIV/0!</v>
      </c>
      <c r="AC263" s="60" t="e">
        <v>#DIV/0!</v>
      </c>
      <c r="AD263" s="60" t="e">
        <v>#DIV/0!</v>
      </c>
      <c r="AE263" s="60" t="e">
        <v>#DIV/0!</v>
      </c>
      <c r="AF263" s="60" t="e">
        <v>#DIV/0!</v>
      </c>
      <c r="AG263" s="60" t="e">
        <v>#DIV/0!</v>
      </c>
      <c r="AH263" s="60" t="e">
        <v>#DIV/0!</v>
      </c>
      <c r="AI263" s="60" t="e">
        <v>#DIV/0!</v>
      </c>
      <c r="AJ263" s="60" t="e">
        <v>#DIV/0!</v>
      </c>
      <c r="AK263" s="60" t="e">
        <v>#DIV/0!</v>
      </c>
      <c r="AL263" s="60" t="e">
        <v>#DIV/0!</v>
      </c>
      <c r="AM263" s="60">
        <v>86.813186813186817</v>
      </c>
      <c r="BO263" s="14"/>
    </row>
    <row r="264" spans="1:79">
      <c r="A264" s="85" t="s">
        <v>253</v>
      </c>
      <c r="B264" s="18" t="s">
        <v>41</v>
      </c>
      <c r="C264" s="21">
        <v>69.022976956055743</v>
      </c>
      <c r="D264" s="21">
        <v>62.8</v>
      </c>
      <c r="E264" s="20">
        <v>58.95</v>
      </c>
      <c r="F264" s="20">
        <v>72.859259259259261</v>
      </c>
      <c r="G264" s="20">
        <v>62.386677282377924</v>
      </c>
      <c r="H264" s="20">
        <v>60.629659211927574</v>
      </c>
      <c r="I264" s="20">
        <v>67.876194267515928</v>
      </c>
      <c r="J264" s="20">
        <v>56.651357827476033</v>
      </c>
      <c r="K264" s="20">
        <v>72.257720979765708</v>
      </c>
      <c r="L264" s="20">
        <v>73.845181043663473</v>
      </c>
      <c r="M264" s="20">
        <v>73.20287539936102</v>
      </c>
      <c r="N264" s="20">
        <v>68.226837060702877</v>
      </c>
      <c r="O264" s="20">
        <v>58.008227176220807</v>
      </c>
      <c r="P264" s="20">
        <v>58.193108974358978</v>
      </c>
      <c r="Q264" s="20">
        <v>71.219355758266829</v>
      </c>
      <c r="R264" s="20">
        <v>72.973242811501592</v>
      </c>
      <c r="S264" s="20">
        <v>71.387340764331213</v>
      </c>
      <c r="T264" s="60">
        <v>81.729233226837067</v>
      </c>
      <c r="U264" s="60">
        <v>68.319532071503687</v>
      </c>
      <c r="V264" s="60"/>
      <c r="W264" s="60">
        <v>69.416666666666671</v>
      </c>
      <c r="X264" s="60">
        <v>64.80654761904762</v>
      </c>
      <c r="Y264" s="60">
        <v>74.358974358974365</v>
      </c>
      <c r="Z264" s="60">
        <v>69.40928270042194</v>
      </c>
      <c r="AA264" s="60" t="e">
        <v>#DIV/0!</v>
      </c>
      <c r="AB264" s="60" t="e">
        <v>#DIV/0!</v>
      </c>
      <c r="AC264" s="60" t="e">
        <v>#DIV/0!</v>
      </c>
      <c r="AD264" s="60" t="e">
        <v>#DIV/0!</v>
      </c>
      <c r="AE264" s="60" t="e">
        <v>#DIV/0!</v>
      </c>
      <c r="AF264" s="60" t="e">
        <v>#DIV/0!</v>
      </c>
      <c r="AG264" s="60" t="e">
        <v>#DIV/0!</v>
      </c>
      <c r="AH264" s="60" t="e">
        <v>#DIV/0!</v>
      </c>
      <c r="AI264" s="60" t="e">
        <v>#DIV/0!</v>
      </c>
      <c r="AJ264" s="60" t="e">
        <v>#DIV/0!</v>
      </c>
      <c r="AK264" s="60" t="e">
        <v>#DIV/0!</v>
      </c>
      <c r="AL264" s="60" t="e">
        <v>#DIV/0!</v>
      </c>
      <c r="AM264" s="60">
        <v>69.40928270042194</v>
      </c>
      <c r="BO264" s="23"/>
    </row>
    <row r="265" spans="1:79">
      <c r="A265" s="84" t="s">
        <v>250</v>
      </c>
      <c r="B265" s="18" t="s">
        <v>230</v>
      </c>
      <c r="C265" s="21">
        <v>4.4679849569331553</v>
      </c>
      <c r="D265" s="21">
        <v>4.0999999999999996</v>
      </c>
      <c r="E265" s="20">
        <v>3.03</v>
      </c>
      <c r="F265" s="20">
        <v>3.1695702376111079</v>
      </c>
      <c r="G265" s="20">
        <v>2.8770849906199349</v>
      </c>
      <c r="H265" s="20">
        <v>3.7211549017455265</v>
      </c>
      <c r="I265" s="20">
        <v>2.5610197159418591</v>
      </c>
      <c r="J265" s="20">
        <v>2.1948468506573615</v>
      </c>
      <c r="K265" s="20">
        <v>2.2039425202652909</v>
      </c>
      <c r="L265" s="20">
        <v>1.9343819009419081</v>
      </c>
      <c r="M265" s="20">
        <v>2.4745408256046555</v>
      </c>
      <c r="N265" s="20">
        <v>2.3703465230625147</v>
      </c>
      <c r="O265" s="20">
        <v>2.4018071600137252</v>
      </c>
      <c r="P265" s="20">
        <v>2.0756167527251863</v>
      </c>
      <c r="Q265" s="20">
        <v>2.1338870265672689</v>
      </c>
      <c r="R265" s="20">
        <v>2.2213709125735397</v>
      </c>
      <c r="S265" s="20">
        <v>2.5708443700915469</v>
      </c>
      <c r="T265" s="60">
        <v>3.0161250916198385</v>
      </c>
      <c r="U265" s="60">
        <v>3.4246548987542687</v>
      </c>
      <c r="V265" s="59"/>
      <c r="W265" s="60">
        <v>3.2496998799519807</v>
      </c>
      <c r="X265" s="60">
        <v>3.7485648679678532</v>
      </c>
      <c r="Y265" s="60">
        <v>3.375</v>
      </c>
      <c r="Z265" s="60">
        <v>3.4589665653495443</v>
      </c>
      <c r="AA265" s="60" t="e">
        <v>#DIV/0!</v>
      </c>
      <c r="AB265" s="60" t="e">
        <v>#DIV/0!</v>
      </c>
      <c r="AC265" s="60" t="e">
        <v>#DIV/0!</v>
      </c>
      <c r="AD265" s="60" t="e">
        <v>#DIV/0!</v>
      </c>
      <c r="AE265" s="60" t="e">
        <v>#DIV/0!</v>
      </c>
      <c r="AF265" s="60" t="e">
        <v>#DIV/0!</v>
      </c>
      <c r="AG265" s="60" t="e">
        <v>#DIV/0!</v>
      </c>
      <c r="AH265" s="60" t="e">
        <v>#DIV/0!</v>
      </c>
      <c r="AI265" s="60" t="e">
        <v>#DIV/0!</v>
      </c>
      <c r="AJ265" s="60" t="e">
        <v>#DIV/0!</v>
      </c>
      <c r="AK265" s="60" t="e">
        <v>#DIV/0!</v>
      </c>
      <c r="AL265" s="60" t="e">
        <v>#DIV/0!</v>
      </c>
      <c r="AM265" s="60">
        <v>3.4589665653495443</v>
      </c>
      <c r="BO265" s="14"/>
    </row>
    <row r="266" spans="1:79" s="12" customFormat="1" hidden="1">
      <c r="A266" s="53" t="s">
        <v>254</v>
      </c>
      <c r="B266" s="18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3"/>
      <c r="Q266" s="13"/>
      <c r="R266" s="13"/>
      <c r="S266" s="13"/>
      <c r="T266" s="54"/>
      <c r="U266" s="54"/>
      <c r="V266" s="58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BO266" s="18"/>
      <c r="BP266" s="16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</row>
    <row r="267" spans="1:79" hidden="1">
      <c r="A267" s="53" t="s">
        <v>255</v>
      </c>
      <c r="B267" s="18" t="s">
        <v>256</v>
      </c>
      <c r="C267" s="21">
        <v>16.293963819328358</v>
      </c>
      <c r="D267" s="21">
        <v>16.399999999999999</v>
      </c>
      <c r="E267" s="20">
        <v>15.18</v>
      </c>
      <c r="F267" s="20">
        <v>15.10271944750899</v>
      </c>
      <c r="G267" s="20">
        <v>13.243904261751577</v>
      </c>
      <c r="H267" s="20">
        <v>13.548354776744379</v>
      </c>
      <c r="I267" s="20">
        <v>14.473497433576432</v>
      </c>
      <c r="J267" s="20">
        <v>13.789119969056285</v>
      </c>
      <c r="K267" s="20">
        <v>14.012599192537937</v>
      </c>
      <c r="L267" s="20">
        <v>14.687635873887823</v>
      </c>
      <c r="M267" s="20">
        <v>16.215456015751354</v>
      </c>
      <c r="N267" s="20">
        <v>17.07997907112739</v>
      </c>
      <c r="O267" s="20">
        <v>13.838105622451883</v>
      </c>
      <c r="P267" s="20">
        <v>18.336936518429845</v>
      </c>
      <c r="Q267" s="20">
        <v>19.837499561757181</v>
      </c>
      <c r="R267" s="20">
        <v>21.686493712164427</v>
      </c>
      <c r="S267" s="20">
        <v>24.184780670470751</v>
      </c>
      <c r="T267" s="60"/>
      <c r="U267" s="60"/>
      <c r="V267" s="58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BO267" s="14"/>
    </row>
    <row r="268" spans="1:79" hidden="1">
      <c r="A268" s="53" t="s">
        <v>257</v>
      </c>
      <c r="B268" s="18" t="s">
        <v>258</v>
      </c>
      <c r="C268" s="22">
        <v>126.07586824253248</v>
      </c>
      <c r="D268" s="22">
        <v>127</v>
      </c>
      <c r="E268" s="22">
        <v>129</v>
      </c>
      <c r="F268" s="22">
        <v>125.19822459019366</v>
      </c>
      <c r="G268" s="22">
        <v>127.48591934343386</v>
      </c>
      <c r="H268" s="22">
        <v>126.21754673989277</v>
      </c>
      <c r="I268" s="22">
        <v>133.47942734843403</v>
      </c>
      <c r="J268" s="22">
        <v>129.29523105107666</v>
      </c>
      <c r="K268" s="22">
        <v>120.86311184574136</v>
      </c>
      <c r="L268" s="22">
        <v>124.95078760307211</v>
      </c>
      <c r="M268" s="22">
        <v>75.641839157535273</v>
      </c>
      <c r="N268" s="22">
        <v>125.06714673672958</v>
      </c>
      <c r="O268" s="22">
        <v>125.33980565227462</v>
      </c>
      <c r="P268" s="22">
        <v>83.470186939720293</v>
      </c>
      <c r="Q268" s="22">
        <v>126.37819519542343</v>
      </c>
      <c r="R268" s="22">
        <v>125.8256416154684</v>
      </c>
      <c r="S268" s="22">
        <v>124.43360536984484</v>
      </c>
      <c r="T268" s="62">
        <v>143.48790424937809</v>
      </c>
      <c r="U268" s="62"/>
      <c r="V268" s="58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BO268" s="14"/>
    </row>
    <row r="269" spans="1:79" hidden="1">
      <c r="A269" s="53" t="s">
        <v>259</v>
      </c>
      <c r="B269" s="18" t="s">
        <v>258</v>
      </c>
      <c r="C269" s="22">
        <v>153.10044560662502</v>
      </c>
      <c r="D269" s="22">
        <v>147</v>
      </c>
      <c r="E269" s="22">
        <v>146</v>
      </c>
      <c r="F269" s="22">
        <v>139.99211291226104</v>
      </c>
      <c r="G269" s="22">
        <v>138.08869545698613</v>
      </c>
      <c r="H269" s="22">
        <v>136.47732779439301</v>
      </c>
      <c r="I269" s="22">
        <v>147.79375799372619</v>
      </c>
      <c r="J269" s="22">
        <v>141.68143994890085</v>
      </c>
      <c r="K269" s="22">
        <v>132.78512394423987</v>
      </c>
      <c r="L269" s="22">
        <v>138.54226118731069</v>
      </c>
      <c r="M269" s="22">
        <v>84.823052887869338</v>
      </c>
      <c r="N269" s="22">
        <v>142.36280294594437</v>
      </c>
      <c r="O269" s="22">
        <v>144.29936344462291</v>
      </c>
      <c r="P269" s="22">
        <v>93.060462219086688</v>
      </c>
      <c r="Q269" s="22">
        <v>136.62720844122993</v>
      </c>
      <c r="R269" s="22">
        <v>131.47278425809665</v>
      </c>
      <c r="S269" s="22">
        <v>136.27965095668733</v>
      </c>
      <c r="T269" s="62">
        <v>157.40182515103822</v>
      </c>
      <c r="U269" s="62"/>
      <c r="V269" s="58"/>
      <c r="W269" s="62"/>
      <c r="X269" s="62"/>
      <c r="Y269" s="59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BO269" s="14"/>
    </row>
    <row r="270" spans="1:79" hidden="1">
      <c r="A270" s="53" t="s">
        <v>257</v>
      </c>
      <c r="B270" s="18" t="s">
        <v>256</v>
      </c>
      <c r="C270" s="22">
        <v>29.569322745527565</v>
      </c>
      <c r="D270" s="22">
        <v>31</v>
      </c>
      <c r="E270" s="20">
        <v>30.65</v>
      </c>
      <c r="F270" s="20">
        <v>29.219899197311928</v>
      </c>
      <c r="G270" s="20">
        <v>30.599093686434355</v>
      </c>
      <c r="H270" s="20">
        <v>30.13080670271356</v>
      </c>
      <c r="I270" s="20">
        <v>32.523504370616131</v>
      </c>
      <c r="J270" s="20">
        <v>31.10911872398054</v>
      </c>
      <c r="K270" s="20">
        <v>30.549334891554668</v>
      </c>
      <c r="L270" s="20">
        <v>30.78285206890428</v>
      </c>
      <c r="M270" s="20">
        <v>31.111543838625924</v>
      </c>
      <c r="N270" s="20">
        <v>30.265876544724172</v>
      </c>
      <c r="O270" s="20">
        <v>31.097272002229285</v>
      </c>
      <c r="P270" s="20">
        <v>30.559561774595942</v>
      </c>
      <c r="Q270" s="20">
        <v>31.18234340798114</v>
      </c>
      <c r="R270" s="20">
        <v>31.602712245225479</v>
      </c>
      <c r="S270" s="20">
        <v>29.687437712200808</v>
      </c>
      <c r="T270" s="60">
        <v>27.862292051756008</v>
      </c>
      <c r="U270" s="60"/>
      <c r="V270" s="58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BO270" s="14"/>
    </row>
    <row r="271" spans="1:79" hidden="1">
      <c r="A271" s="53" t="s">
        <v>259</v>
      </c>
      <c r="B271" s="18" t="s">
        <v>256</v>
      </c>
      <c r="C271" s="20">
        <v>35.907557502738221</v>
      </c>
      <c r="D271" s="20">
        <v>36.06</v>
      </c>
      <c r="E271" s="20">
        <v>34.58</v>
      </c>
      <c r="F271" s="20">
        <v>32.672631270167201</v>
      </c>
      <c r="G271" s="20">
        <v>33.143965632338272</v>
      </c>
      <c r="H271" s="20">
        <v>32.580034149689467</v>
      </c>
      <c r="I271" s="20">
        <v>36.011324213364844</v>
      </c>
      <c r="J271" s="20">
        <v>34.089306314891907</v>
      </c>
      <c r="K271" s="20">
        <v>33.562740178049701</v>
      </c>
      <c r="L271" s="20">
        <v>34.131244894334934</v>
      </c>
      <c r="M271" s="20">
        <v>34.887783769389522</v>
      </c>
      <c r="N271" s="20">
        <v>34.451373769586951</v>
      </c>
      <c r="O271" s="20">
        <v>35.801208813383425</v>
      </c>
      <c r="P271" s="20">
        <v>34.070690964312838</v>
      </c>
      <c r="Q271" s="20">
        <v>33.71116770500084</v>
      </c>
      <c r="R271" s="20">
        <v>33.021064034665379</v>
      </c>
      <c r="S271" s="20">
        <v>32.513673755510879</v>
      </c>
      <c r="T271" s="60">
        <v>30.564078866296981</v>
      </c>
      <c r="U271" s="60"/>
      <c r="V271" s="58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BO271" s="14"/>
    </row>
    <row r="272" spans="1:79" hidden="1">
      <c r="A272" s="63" t="s">
        <v>260</v>
      </c>
      <c r="B272" s="18"/>
      <c r="C272" s="21"/>
      <c r="D272" s="21"/>
      <c r="E272" s="21"/>
      <c r="F272" s="21"/>
      <c r="G272" s="21"/>
      <c r="H272" s="21"/>
      <c r="I272" s="21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54"/>
      <c r="U272" s="54"/>
      <c r="V272" s="58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BO272" s="23"/>
    </row>
    <row r="273" spans="1:67" hidden="1">
      <c r="A273" s="63" t="s">
        <v>261</v>
      </c>
      <c r="B273" s="18" t="s">
        <v>41</v>
      </c>
      <c r="C273" s="20">
        <v>96.724540293616244</v>
      </c>
      <c r="D273" s="20">
        <v>96.7</v>
      </c>
      <c r="E273" s="20">
        <v>96.66</v>
      </c>
      <c r="F273" s="20">
        <v>95.928931605552336</v>
      </c>
      <c r="G273" s="20">
        <v>94.538802796328625</v>
      </c>
      <c r="H273" s="20">
        <v>96.012354721465982</v>
      </c>
      <c r="I273" s="20">
        <v>96.542785726776188</v>
      </c>
      <c r="J273" s="20">
        <v>97.676113248468354</v>
      </c>
      <c r="K273" s="20">
        <v>96.668870945287495</v>
      </c>
      <c r="L273" s="20">
        <v>97.037728312318166</v>
      </c>
      <c r="M273" s="20">
        <v>97.47</v>
      </c>
      <c r="N273" s="20">
        <v>97.51</v>
      </c>
      <c r="O273" s="20">
        <v>97.51</v>
      </c>
      <c r="P273" s="20">
        <v>95.02</v>
      </c>
      <c r="Q273" s="20">
        <v>95.02</v>
      </c>
      <c r="R273" s="20">
        <v>94.979097310321919</v>
      </c>
      <c r="S273" s="20">
        <v>95.964098906324296</v>
      </c>
      <c r="T273" s="60"/>
      <c r="U273" s="60"/>
      <c r="V273" s="58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 t="e">
        <v>#DIV/0!</v>
      </c>
      <c r="AK273" s="60" t="e">
        <v>#DIV/0!</v>
      </c>
      <c r="AL273" s="60"/>
      <c r="AM273" s="60"/>
      <c r="BO273" s="23"/>
    </row>
    <row r="274" spans="1:67" hidden="1">
      <c r="A274" s="63" t="s">
        <v>262</v>
      </c>
      <c r="B274" s="18" t="s">
        <v>41</v>
      </c>
      <c r="C274" s="13">
        <v>86.71</v>
      </c>
      <c r="D274" s="13">
        <v>87.54</v>
      </c>
      <c r="E274" s="13">
        <v>87.67</v>
      </c>
      <c r="F274" s="13">
        <v>87.05</v>
      </c>
      <c r="G274" s="13">
        <v>87.27</v>
      </c>
      <c r="H274" s="13">
        <v>87.6</v>
      </c>
      <c r="I274" s="13">
        <v>87.9</v>
      </c>
      <c r="J274" s="20">
        <v>87.8</v>
      </c>
      <c r="K274" s="20">
        <v>87.58</v>
      </c>
      <c r="L274" s="20">
        <v>87.69</v>
      </c>
      <c r="M274" s="20">
        <v>80</v>
      </c>
      <c r="N274" s="20">
        <v>79</v>
      </c>
      <c r="O274" s="20">
        <v>84.7</v>
      </c>
      <c r="P274" s="20">
        <v>85.5</v>
      </c>
      <c r="Q274" s="20">
        <v>86.96</v>
      </c>
      <c r="R274" s="20">
        <v>86.430833333333339</v>
      </c>
      <c r="S274" s="20">
        <v>86.72</v>
      </c>
      <c r="T274" s="60">
        <v>88.98</v>
      </c>
      <c r="U274" s="60"/>
      <c r="V274" s="58"/>
      <c r="W274" s="60"/>
      <c r="X274" s="60"/>
      <c r="Y274" s="60"/>
      <c r="Z274" s="60">
        <v>0</v>
      </c>
      <c r="AA274" s="60">
        <v>0</v>
      </c>
      <c r="AB274" s="60">
        <v>0</v>
      </c>
      <c r="AC274" s="60">
        <v>0</v>
      </c>
      <c r="AD274" s="60">
        <v>0</v>
      </c>
      <c r="AE274" s="60">
        <v>0</v>
      </c>
      <c r="AF274" s="60">
        <v>0</v>
      </c>
      <c r="AG274" s="60">
        <v>0</v>
      </c>
      <c r="AH274" s="60">
        <v>0</v>
      </c>
      <c r="AI274" s="60">
        <v>0</v>
      </c>
      <c r="AJ274" s="60">
        <v>0</v>
      </c>
      <c r="AK274" s="60">
        <v>0</v>
      </c>
      <c r="AL274" s="60">
        <v>0</v>
      </c>
      <c r="AM274" s="60"/>
      <c r="BO274" s="23"/>
    </row>
    <row r="275" spans="1:67">
      <c r="A275" s="63"/>
      <c r="B275" s="18"/>
      <c r="C275" s="13"/>
      <c r="D275" s="13"/>
      <c r="E275" s="13"/>
      <c r="F275" s="13"/>
      <c r="G275" s="13"/>
      <c r="H275" s="13"/>
      <c r="I275" s="13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60"/>
      <c r="U275" s="60"/>
      <c r="V275" s="58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BO275" s="23"/>
    </row>
    <row r="276" spans="1:67">
      <c r="A276" s="64" t="s">
        <v>263</v>
      </c>
      <c r="B276" s="18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54"/>
      <c r="U276" s="54"/>
      <c r="V276" s="58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BO276" s="13"/>
    </row>
    <row r="277" spans="1:67">
      <c r="A277" s="85" t="s">
        <v>264</v>
      </c>
      <c r="B277" s="18" t="s">
        <v>41</v>
      </c>
      <c r="C277" s="20">
        <v>88.3</v>
      </c>
      <c r="D277" s="20">
        <v>88.32</v>
      </c>
      <c r="E277" s="20">
        <v>88.34</v>
      </c>
      <c r="F277" s="20">
        <v>88.42</v>
      </c>
      <c r="G277" s="20">
        <v>88.41</v>
      </c>
      <c r="H277" s="20">
        <v>88.52</v>
      </c>
      <c r="I277" s="20">
        <v>88.52</v>
      </c>
      <c r="J277" s="20">
        <v>88.4</v>
      </c>
      <c r="K277" s="20">
        <v>88.51</v>
      </c>
      <c r="L277" s="20">
        <v>88.52</v>
      </c>
      <c r="M277" s="20">
        <v>73</v>
      </c>
      <c r="N277" s="20">
        <v>76.3</v>
      </c>
      <c r="O277" s="20">
        <v>77.400000000000006</v>
      </c>
      <c r="P277" s="20">
        <v>81.78</v>
      </c>
      <c r="Q277" s="20">
        <v>80.8</v>
      </c>
      <c r="R277" s="20">
        <v>85.654166666666683</v>
      </c>
      <c r="S277" s="20">
        <v>88.528333333333322</v>
      </c>
      <c r="T277" s="60">
        <v>90.553333333333342</v>
      </c>
      <c r="U277" s="60">
        <v>92.486666666666665</v>
      </c>
      <c r="V277" s="60">
        <v>90</v>
      </c>
      <c r="W277" s="60">
        <v>92.05</v>
      </c>
      <c r="X277" s="60">
        <v>90.02</v>
      </c>
      <c r="Y277" s="60">
        <v>92.96</v>
      </c>
      <c r="Z277" s="60">
        <v>91.676666666666662</v>
      </c>
      <c r="AA277" s="60">
        <v>0</v>
      </c>
      <c r="AB277" s="60">
        <v>0</v>
      </c>
      <c r="AC277" s="60">
        <v>0</v>
      </c>
      <c r="AD277" s="60">
        <v>0</v>
      </c>
      <c r="AE277" s="60">
        <v>0</v>
      </c>
      <c r="AF277" s="60">
        <v>0</v>
      </c>
      <c r="AG277" s="60">
        <v>0</v>
      </c>
      <c r="AH277" s="60">
        <v>0</v>
      </c>
      <c r="AI277" s="60">
        <v>0</v>
      </c>
      <c r="AJ277" s="60">
        <v>0</v>
      </c>
      <c r="AK277" s="60">
        <v>0</v>
      </c>
      <c r="AL277" s="60">
        <v>0</v>
      </c>
      <c r="AM277" s="60">
        <v>91.676666666666662</v>
      </c>
      <c r="BO277" s="23"/>
    </row>
    <row r="278" spans="1:67">
      <c r="A278" s="85" t="s">
        <v>265</v>
      </c>
      <c r="B278" s="18" t="s">
        <v>256</v>
      </c>
      <c r="C278" s="20">
        <v>28.251201228038816</v>
      </c>
      <c r="D278" s="20">
        <v>29.29</v>
      </c>
      <c r="E278" s="20">
        <v>29.52</v>
      </c>
      <c r="F278" s="20">
        <v>30.424720936564118</v>
      </c>
      <c r="G278" s="20">
        <v>30.765630592186767</v>
      </c>
      <c r="H278" s="20">
        <v>28.248791833881679</v>
      </c>
      <c r="I278" s="20">
        <v>28.406384719660981</v>
      </c>
      <c r="J278" s="20">
        <v>25.599871599390099</v>
      </c>
      <c r="K278" s="20">
        <v>26.938035360645177</v>
      </c>
      <c r="L278" s="20">
        <v>28.148396639270519</v>
      </c>
      <c r="M278" s="20">
        <v>29.101667563206025</v>
      </c>
      <c r="N278" s="20">
        <v>25.508177469215756</v>
      </c>
      <c r="O278" s="20">
        <v>27.148376318262503</v>
      </c>
      <c r="P278" s="20">
        <v>26.004775169120574</v>
      </c>
      <c r="Q278" s="20">
        <v>27.859171437587342</v>
      </c>
      <c r="R278" s="20">
        <v>27.438553099397126</v>
      </c>
      <c r="S278" s="20">
        <v>21.849498536099173</v>
      </c>
      <c r="T278" s="60">
        <v>22.847366269474769</v>
      </c>
      <c r="U278" s="60">
        <v>25.976485868521099</v>
      </c>
      <c r="V278" s="60"/>
      <c r="W278" s="60">
        <v>23.472926113630301</v>
      </c>
      <c r="X278" s="60">
        <v>23.666210670314637</v>
      </c>
      <c r="Y278" s="60">
        <v>28.571428571428573</v>
      </c>
      <c r="Z278" s="60">
        <v>25.23318163384851</v>
      </c>
      <c r="AA278" s="60" t="e">
        <v>#DIV/0!</v>
      </c>
      <c r="AB278" s="60" t="e">
        <v>#DIV/0!</v>
      </c>
      <c r="AC278" s="60" t="e">
        <v>#DIV/0!</v>
      </c>
      <c r="AD278" s="60" t="e">
        <v>#DIV/0!</v>
      </c>
      <c r="AE278" s="60" t="e">
        <v>#DIV/0!</v>
      </c>
      <c r="AF278" s="60" t="e">
        <v>#DIV/0!</v>
      </c>
      <c r="AG278" s="60" t="e">
        <v>#DIV/0!</v>
      </c>
      <c r="AH278" s="60" t="e">
        <v>#DIV/0!</v>
      </c>
      <c r="AI278" s="60" t="e">
        <v>#DIV/0!</v>
      </c>
      <c r="AJ278" s="60" t="e">
        <v>#DIV/0!</v>
      </c>
      <c r="AK278" s="60" t="e">
        <v>#DIV/0!</v>
      </c>
      <c r="AL278" s="60" t="e">
        <v>#DIV/0!</v>
      </c>
      <c r="AM278" s="60">
        <v>25.23318163384851</v>
      </c>
      <c r="BO278" s="23"/>
    </row>
    <row r="279" spans="1:67">
      <c r="A279" s="85" t="s">
        <v>266</v>
      </c>
      <c r="B279" s="18" t="s">
        <v>41</v>
      </c>
      <c r="C279" s="20">
        <v>83.788706739526404</v>
      </c>
      <c r="D279" s="20">
        <v>85.48</v>
      </c>
      <c r="E279" s="20">
        <v>83.65</v>
      </c>
      <c r="F279" s="20">
        <v>85.810502283105023</v>
      </c>
      <c r="G279" s="20">
        <v>80.339253187613849</v>
      </c>
      <c r="H279" s="20">
        <v>78.013698630136986</v>
      </c>
      <c r="I279" s="20">
        <v>75.148401826484019</v>
      </c>
      <c r="J279" s="20">
        <v>74.063926940639263</v>
      </c>
      <c r="K279" s="20">
        <v>75.478142076502735</v>
      </c>
      <c r="L279" s="20">
        <v>77.922374429223737</v>
      </c>
      <c r="M279" s="20">
        <v>81.894977168949765</v>
      </c>
      <c r="N279" s="20">
        <v>78.538812785388117</v>
      </c>
      <c r="O279" s="20">
        <v>81.785063752276869</v>
      </c>
      <c r="P279" s="20">
        <v>82.45433789954339</v>
      </c>
      <c r="Q279" s="20">
        <v>83.06</v>
      </c>
      <c r="R279" s="20">
        <v>81.095890410958901</v>
      </c>
      <c r="S279" s="20">
        <v>46.721311475409841</v>
      </c>
      <c r="T279" s="60">
        <v>37.591324200913242</v>
      </c>
      <c r="U279" s="60">
        <v>58.299086757990871</v>
      </c>
      <c r="V279" s="60"/>
      <c r="W279" s="60">
        <v>71.805555555555557</v>
      </c>
      <c r="X279" s="60">
        <v>69.892473118279568</v>
      </c>
      <c r="Y279" s="60">
        <v>70.694444444444443</v>
      </c>
      <c r="Z279" s="60">
        <v>70.787545787545795</v>
      </c>
      <c r="AA279" s="60" t="e">
        <v>#DIV/0!</v>
      </c>
      <c r="AB279" s="60" t="e">
        <v>#DIV/0!</v>
      </c>
      <c r="AC279" s="60" t="e">
        <v>#DIV/0!</v>
      </c>
      <c r="AD279" s="60" t="e">
        <v>#DIV/0!</v>
      </c>
      <c r="AE279" s="60" t="e">
        <v>#DIV/0!</v>
      </c>
      <c r="AF279" s="60" t="e">
        <v>#DIV/0!</v>
      </c>
      <c r="AG279" s="60" t="e">
        <v>#DIV/0!</v>
      </c>
      <c r="AH279" s="60" t="e">
        <v>#DIV/0!</v>
      </c>
      <c r="AI279" s="60" t="e">
        <v>#DIV/0!</v>
      </c>
      <c r="AJ279" s="60" t="e">
        <v>#DIV/0!</v>
      </c>
      <c r="AK279" s="60" t="e">
        <v>#DIV/0!</v>
      </c>
      <c r="AL279" s="60" t="e">
        <v>#DIV/0!</v>
      </c>
      <c r="AM279" s="60">
        <v>70.787545787545795</v>
      </c>
      <c r="BO279" s="23"/>
    </row>
    <row r="280" spans="1:67">
      <c r="A280" s="85" t="s">
        <v>267</v>
      </c>
      <c r="B280" s="18" t="s">
        <v>41</v>
      </c>
      <c r="C280" s="21">
        <v>55.893478260869564</v>
      </c>
      <c r="D280" s="21">
        <v>51.7</v>
      </c>
      <c r="E280" s="21">
        <v>55.08</v>
      </c>
      <c r="F280" s="21">
        <v>52.880138353066386</v>
      </c>
      <c r="G280" s="21">
        <v>44.452316848519203</v>
      </c>
      <c r="H280" s="21">
        <v>53.575212174422006</v>
      </c>
      <c r="I280" s="21">
        <v>55.415464074130341</v>
      </c>
      <c r="J280" s="20">
        <v>54.076757090012329</v>
      </c>
      <c r="K280" s="20">
        <v>55.023831070889898</v>
      </c>
      <c r="L280" s="20">
        <v>38.550981541166124</v>
      </c>
      <c r="M280" s="20">
        <v>31.745469751881792</v>
      </c>
      <c r="N280" s="20">
        <v>36.320203488372094</v>
      </c>
      <c r="O280" s="20">
        <v>28.826837416481073</v>
      </c>
      <c r="P280" s="20">
        <v>28.315796760348888</v>
      </c>
      <c r="Q280" s="20">
        <v>41.821454283657303</v>
      </c>
      <c r="R280" s="20">
        <v>41.082488738738739</v>
      </c>
      <c r="S280" s="20">
        <v>73.160331384015592</v>
      </c>
      <c r="T280" s="60">
        <v>98.754934709990891</v>
      </c>
      <c r="U280" s="60">
        <v>88.980810652046216</v>
      </c>
      <c r="V280" s="60"/>
      <c r="W280" s="60">
        <v>87.040618955512571</v>
      </c>
      <c r="X280" s="60">
        <v>85.576923076923066</v>
      </c>
      <c r="Y280" s="60">
        <v>89.685658153241661</v>
      </c>
      <c r="Z280" s="60">
        <v>87.419146183699866</v>
      </c>
      <c r="AA280" s="60" t="e">
        <v>#DIV/0!</v>
      </c>
      <c r="AB280" s="60" t="e">
        <v>#DIV/0!</v>
      </c>
      <c r="AC280" s="60" t="e">
        <v>#DIV/0!</v>
      </c>
      <c r="AD280" s="60" t="e">
        <v>#DIV/0!</v>
      </c>
      <c r="AE280" s="60" t="e">
        <v>#DIV/0!</v>
      </c>
      <c r="AF280" s="60" t="e">
        <v>#DIV/0!</v>
      </c>
      <c r="AG280" s="60" t="e">
        <v>#DIV/0!</v>
      </c>
      <c r="AH280" s="60" t="e">
        <v>#DIV/0!</v>
      </c>
      <c r="AI280" s="60" t="e">
        <v>#DIV/0!</v>
      </c>
      <c r="AJ280" s="60" t="e">
        <v>#DIV/0!</v>
      </c>
      <c r="AK280" s="60" t="e">
        <v>#DIV/0!</v>
      </c>
      <c r="AL280" s="60" t="e">
        <v>#DIV/0!</v>
      </c>
      <c r="AM280" s="60">
        <v>87.419146183699866</v>
      </c>
      <c r="BO280" s="23"/>
    </row>
    <row r="281" spans="1:67">
      <c r="A281" s="85" t="s">
        <v>268</v>
      </c>
      <c r="B281" s="18" t="s">
        <v>269</v>
      </c>
      <c r="C281" s="21">
        <v>14.95530416221985</v>
      </c>
      <c r="D281" s="21">
        <v>14.3</v>
      </c>
      <c r="E281" s="20">
        <v>14.84</v>
      </c>
      <c r="F281" s="20">
        <v>15.474817518248175</v>
      </c>
      <c r="G281" s="20">
        <v>15.261809462157752</v>
      </c>
      <c r="H281" s="20">
        <v>15.525283789528892</v>
      </c>
      <c r="I281" s="20">
        <v>15.48981965444278</v>
      </c>
      <c r="J281" s="20">
        <v>15.41683248268108</v>
      </c>
      <c r="K281" s="20">
        <v>15.130871080139373</v>
      </c>
      <c r="L281" s="20">
        <v>12.926168291679568</v>
      </c>
      <c r="M281" s="20">
        <v>11.935899754128966</v>
      </c>
      <c r="N281" s="20">
        <v>12.491598183568273</v>
      </c>
      <c r="O281" s="20">
        <v>12.660893576490531</v>
      </c>
      <c r="P281" s="20">
        <v>12.344649954838934</v>
      </c>
      <c r="Q281" s="20">
        <v>11.188140357240004</v>
      </c>
      <c r="R281" s="20">
        <v>13.446764862405796</v>
      </c>
      <c r="S281" s="20">
        <v>16.108728244573367</v>
      </c>
      <c r="T281" s="60">
        <v>15.872917184779906</v>
      </c>
      <c r="U281" s="60">
        <v>15.711943665071244</v>
      </c>
      <c r="V281" s="60"/>
      <c r="W281" s="60">
        <v>15.971111111111112</v>
      </c>
      <c r="X281" s="60">
        <v>15.746067415730337</v>
      </c>
      <c r="Y281" s="60">
        <v>15.748083242059145</v>
      </c>
      <c r="Z281" s="60">
        <v>15.821679615242322</v>
      </c>
      <c r="AA281" s="60" t="e">
        <v>#DIV/0!</v>
      </c>
      <c r="AB281" s="60" t="e">
        <v>#DIV/0!</v>
      </c>
      <c r="AC281" s="60" t="e">
        <v>#DIV/0!</v>
      </c>
      <c r="AD281" s="59" t="s">
        <v>1</v>
      </c>
      <c r="AE281" s="60" t="e">
        <v>#DIV/0!</v>
      </c>
      <c r="AF281" s="60" t="e">
        <v>#DIV/0!</v>
      </c>
      <c r="AG281" s="60" t="e">
        <v>#DIV/0!</v>
      </c>
      <c r="AH281" s="60" t="e">
        <v>#DIV/0!</v>
      </c>
      <c r="AI281" s="60" t="e">
        <v>#DIV/0!</v>
      </c>
      <c r="AJ281" s="60" t="e">
        <v>#DIV/0!</v>
      </c>
      <c r="AK281" s="60" t="e">
        <v>#DIV/0!</v>
      </c>
      <c r="AL281" s="60" t="e">
        <v>#DIV/0!</v>
      </c>
      <c r="AM281" s="60">
        <v>15.821679615242322</v>
      </c>
      <c r="BO281" s="23"/>
    </row>
    <row r="282" spans="1:67">
      <c r="A282" s="63"/>
      <c r="B282" s="18"/>
      <c r="C282" s="21"/>
      <c r="D282" s="21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59"/>
      <c r="AE282" s="60"/>
      <c r="AF282" s="60"/>
      <c r="AG282" s="60"/>
      <c r="AH282" s="60"/>
      <c r="AI282" s="60"/>
      <c r="AJ282" s="60"/>
      <c r="AK282" s="60"/>
      <c r="AL282" s="60"/>
      <c r="AM282" s="60"/>
      <c r="BO282" s="23"/>
    </row>
    <row r="283" spans="1:67">
      <c r="A283" s="57" t="s">
        <v>270</v>
      </c>
      <c r="B283" s="18"/>
      <c r="C283" s="21"/>
      <c r="D283" s="21"/>
      <c r="E283" s="21"/>
      <c r="F283" s="21"/>
      <c r="G283" s="21"/>
      <c r="H283" s="21"/>
      <c r="I283" s="21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54"/>
      <c r="U283" s="54"/>
      <c r="V283" s="54"/>
      <c r="W283" s="54"/>
      <c r="X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BO283" s="18"/>
    </row>
    <row r="284" spans="1:67">
      <c r="A284" s="84" t="s">
        <v>271</v>
      </c>
      <c r="B284" s="18" t="s">
        <v>272</v>
      </c>
      <c r="C284" s="22">
        <v>235.83333333333334</v>
      </c>
      <c r="D284" s="22">
        <v>106</v>
      </c>
      <c r="E284" s="22">
        <v>12</v>
      </c>
      <c r="F284" s="22">
        <v>0</v>
      </c>
      <c r="G284" s="22">
        <v>5.083333333333333</v>
      </c>
      <c r="H284" s="22">
        <v>6.25</v>
      </c>
      <c r="I284" s="22">
        <v>48.166666666666664</v>
      </c>
      <c r="J284" s="20">
        <v>67.470416666666665</v>
      </c>
      <c r="K284" s="20">
        <v>61.5</v>
      </c>
      <c r="L284" s="20">
        <v>61.083333333333336</v>
      </c>
      <c r="M284" s="20">
        <v>15.75</v>
      </c>
      <c r="N284" s="21">
        <v>16.916666666666668</v>
      </c>
      <c r="O284" s="21">
        <v>17.583333333333332</v>
      </c>
      <c r="P284" s="21">
        <v>31.916666666666668</v>
      </c>
      <c r="Q284" s="21">
        <v>1.0833333333333333</v>
      </c>
      <c r="R284" s="21">
        <v>0.5</v>
      </c>
      <c r="S284" s="21">
        <v>0</v>
      </c>
      <c r="T284" s="59">
        <v>1.75</v>
      </c>
      <c r="U284" s="59">
        <v>0.25</v>
      </c>
      <c r="V284" s="60"/>
      <c r="W284" s="62">
        <v>0</v>
      </c>
      <c r="X284" s="62">
        <v>0</v>
      </c>
      <c r="Y284" s="62">
        <v>0</v>
      </c>
      <c r="Z284" s="62">
        <v>0</v>
      </c>
      <c r="AA284" s="62">
        <v>0</v>
      </c>
      <c r="AB284" s="62">
        <v>0</v>
      </c>
      <c r="AC284" s="62">
        <v>0</v>
      </c>
      <c r="AD284" s="62">
        <v>0</v>
      </c>
      <c r="AE284" s="62">
        <v>0</v>
      </c>
      <c r="AF284" s="62">
        <v>0</v>
      </c>
      <c r="AG284" s="62">
        <v>0</v>
      </c>
      <c r="AH284" s="62">
        <v>0</v>
      </c>
      <c r="AI284" s="62">
        <v>0</v>
      </c>
      <c r="AJ284" s="62">
        <v>0</v>
      </c>
      <c r="AK284" s="62">
        <v>0</v>
      </c>
      <c r="AL284" s="62">
        <v>0</v>
      </c>
      <c r="AM284" s="59">
        <v>0</v>
      </c>
      <c r="BO284" s="14"/>
    </row>
    <row r="285" spans="1:67">
      <c r="A285" s="84" t="s">
        <v>273</v>
      </c>
      <c r="B285" s="18" t="s">
        <v>41</v>
      </c>
      <c r="C285" s="21">
        <v>0.42976609696401857</v>
      </c>
      <c r="D285" s="21"/>
      <c r="E285" s="21"/>
      <c r="F285" s="21">
        <v>0.43309391216301735</v>
      </c>
      <c r="G285" s="21">
        <v>0.4720205316034512</v>
      </c>
      <c r="H285" s="21">
        <v>0.504122757344309</v>
      </c>
      <c r="I285" s="21">
        <v>0.57516243742810469</v>
      </c>
      <c r="J285" s="20">
        <v>2.5194353765361512</v>
      </c>
      <c r="K285" s="20">
        <v>4.9258216470843035</v>
      </c>
      <c r="L285" s="20">
        <v>10.162708022286152</v>
      </c>
      <c r="M285" s="20">
        <v>6.1710363398127113</v>
      </c>
      <c r="N285" s="20">
        <v>1.5814526736320209</v>
      </c>
      <c r="O285" s="20">
        <v>0.68784998939898478</v>
      </c>
      <c r="P285" s="20">
        <v>0.29959534108724378</v>
      </c>
      <c r="Q285" s="20">
        <v>0.28281200362619224</v>
      </c>
      <c r="R285" s="20">
        <v>0.323979833364893</v>
      </c>
      <c r="S285" s="20">
        <v>0.30025595589683013</v>
      </c>
      <c r="T285" s="60">
        <v>0.33366242504022231</v>
      </c>
      <c r="U285" s="60">
        <v>0.33951905976958169</v>
      </c>
      <c r="V285" s="60"/>
      <c r="W285" s="60">
        <v>0.28490028490028491</v>
      </c>
      <c r="X285" s="60">
        <v>0.28901734104046239</v>
      </c>
      <c r="Y285" s="60">
        <v>0.29498525073746312</v>
      </c>
      <c r="Z285" s="60">
        <v>0.28956914656653726</v>
      </c>
      <c r="AA285" s="60" t="e">
        <v>#DIV/0!</v>
      </c>
      <c r="AB285" s="60" t="e">
        <v>#DIV/0!</v>
      </c>
      <c r="AC285" s="60" t="e">
        <v>#DIV/0!</v>
      </c>
      <c r="AD285" s="60" t="e">
        <v>#DIV/0!</v>
      </c>
      <c r="AE285" s="60" t="e">
        <v>#DIV/0!</v>
      </c>
      <c r="AF285" s="60" t="e">
        <v>#DIV/0!</v>
      </c>
      <c r="AG285" s="60" t="e">
        <v>#DIV/0!</v>
      </c>
      <c r="AH285" s="60" t="e">
        <v>#DIV/0!</v>
      </c>
      <c r="AI285" s="60" t="e">
        <v>#DIV/0!</v>
      </c>
      <c r="AJ285" s="60" t="e">
        <v>#DIV/0!</v>
      </c>
      <c r="AK285" s="60" t="e">
        <v>#DIV/0!</v>
      </c>
      <c r="AL285" s="60" t="e">
        <v>#DIV/0!</v>
      </c>
      <c r="AM285" s="60">
        <v>0.28956914656653726</v>
      </c>
      <c r="BO285" s="14"/>
    </row>
    <row r="286" spans="1:67">
      <c r="A286" s="84" t="s">
        <v>274</v>
      </c>
      <c r="B286" s="18" t="s">
        <v>275</v>
      </c>
      <c r="C286" s="21">
        <v>4.5941108663394052</v>
      </c>
      <c r="D286" s="21">
        <v>4.5999999999999996</v>
      </c>
      <c r="E286" s="20">
        <v>4.57</v>
      </c>
      <c r="F286" s="20">
        <v>4.5748097705437738</v>
      </c>
      <c r="G286" s="20">
        <v>4.5725951547674315</v>
      </c>
      <c r="H286" s="20">
        <v>4.5756229807984496</v>
      </c>
      <c r="I286" s="20">
        <v>4.5638005315111734</v>
      </c>
      <c r="J286" s="20">
        <v>4.3996310505298029</v>
      </c>
      <c r="K286" s="20">
        <v>4.3035699256679587</v>
      </c>
      <c r="L286" s="20">
        <v>4.5007273675971096</v>
      </c>
      <c r="M286" s="20">
        <v>4.4351786907379118</v>
      </c>
      <c r="N286" s="20">
        <v>4.3089078763081075</v>
      </c>
      <c r="O286" s="20">
        <v>4.3286049745083641</v>
      </c>
      <c r="P286" s="20">
        <v>4.320108452503117</v>
      </c>
      <c r="Q286" s="20">
        <v>4.1955694555561625</v>
      </c>
      <c r="R286" s="20">
        <v>4.2545676491171358</v>
      </c>
      <c r="S286" s="20">
        <v>4.2379596616888655</v>
      </c>
      <c r="T286" s="60">
        <v>4.2570077649891038</v>
      </c>
      <c r="U286" s="60">
        <v>4.2744539679338516</v>
      </c>
      <c r="V286" s="60"/>
      <c r="W286" s="60">
        <v>4.2888001570989065</v>
      </c>
      <c r="X286" s="60">
        <v>4.3600140480827561</v>
      </c>
      <c r="Y286" s="60">
        <v>4.3119876690254326</v>
      </c>
      <c r="Z286" s="60">
        <v>4.3207883124495421</v>
      </c>
      <c r="AA286" s="60" t="e">
        <v>#DIV/0!</v>
      </c>
      <c r="AB286" s="60" t="e">
        <v>#DIV/0!</v>
      </c>
      <c r="AC286" s="60" t="e">
        <v>#DIV/0!</v>
      </c>
      <c r="AD286" s="60" t="e">
        <v>#DIV/0!</v>
      </c>
      <c r="AE286" s="60" t="e">
        <v>#DIV/0!</v>
      </c>
      <c r="AF286" s="60" t="e">
        <v>#DIV/0!</v>
      </c>
      <c r="AG286" s="60" t="e">
        <v>#DIV/0!</v>
      </c>
      <c r="AH286" s="60" t="e">
        <v>#DIV/0!</v>
      </c>
      <c r="AI286" s="60" t="e">
        <v>#DIV/0!</v>
      </c>
      <c r="AJ286" s="60" t="e">
        <v>#DIV/0!</v>
      </c>
      <c r="AK286" s="60" t="e">
        <v>#DIV/0!</v>
      </c>
      <c r="AL286" s="60" t="e">
        <v>#DIV/0!</v>
      </c>
      <c r="AM286" s="60">
        <v>4.3207883124495421</v>
      </c>
      <c r="BO286" s="14"/>
    </row>
    <row r="287" spans="1:67">
      <c r="A287" s="84" t="s">
        <v>276</v>
      </c>
      <c r="B287" s="18" t="s">
        <v>277</v>
      </c>
      <c r="C287" s="21">
        <v>23.694351124870192</v>
      </c>
      <c r="D287" s="21">
        <v>23.5</v>
      </c>
      <c r="E287" s="21">
        <v>23.56</v>
      </c>
      <c r="F287" s="21">
        <v>22.990334243687514</v>
      </c>
      <c r="G287" s="21">
        <v>23.289912710592947</v>
      </c>
      <c r="H287" s="21">
        <v>23.682444097620262</v>
      </c>
      <c r="I287" s="21">
        <v>26.347598696823738</v>
      </c>
      <c r="J287" s="20">
        <v>25.603054025392517</v>
      </c>
      <c r="K287" s="20">
        <v>25.32956203638529</v>
      </c>
      <c r="L287" s="20">
        <v>27.067449064127313</v>
      </c>
      <c r="M287" s="20">
        <v>26.85447282928823</v>
      </c>
      <c r="N287" s="20">
        <v>26.002451279718915</v>
      </c>
      <c r="O287" s="20">
        <v>25.078431922774719</v>
      </c>
      <c r="P287" s="20">
        <v>24.712806743220803</v>
      </c>
      <c r="Q287" s="20">
        <v>24.826991048160686</v>
      </c>
      <c r="R287" s="20">
        <v>27.407233034699864</v>
      </c>
      <c r="S287" s="20">
        <v>25.124183730393121</v>
      </c>
      <c r="T287" s="60">
        <v>25.09286175710594</v>
      </c>
      <c r="U287" s="60">
        <v>25.465862522229955</v>
      </c>
      <c r="V287" s="60"/>
      <c r="W287" s="60">
        <v>20.694840139284583</v>
      </c>
      <c r="X287" s="60">
        <v>21.893840512151158</v>
      </c>
      <c r="Y287" s="60">
        <v>23.393969190429367</v>
      </c>
      <c r="Z287" s="60">
        <v>21.977555739408981</v>
      </c>
      <c r="AA287" s="60" t="e">
        <v>#DIV/0!</v>
      </c>
      <c r="AB287" s="60" t="e">
        <v>#DIV/0!</v>
      </c>
      <c r="AC287" s="60" t="e">
        <v>#DIV/0!</v>
      </c>
      <c r="AD287" s="60" t="e">
        <v>#DIV/0!</v>
      </c>
      <c r="AE287" s="60" t="e">
        <v>#DIV/0!</v>
      </c>
      <c r="AF287" s="60" t="e">
        <v>#DIV/0!</v>
      </c>
      <c r="AG287" s="60" t="e">
        <v>#DIV/0!</v>
      </c>
      <c r="AH287" s="60" t="e">
        <v>#DIV/0!</v>
      </c>
      <c r="AI287" s="60" t="e">
        <v>#DIV/0!</v>
      </c>
      <c r="AJ287" s="60" t="e">
        <v>#DIV/0!</v>
      </c>
      <c r="AK287" s="60" t="e">
        <v>#DIV/0!</v>
      </c>
      <c r="AL287" s="60" t="e">
        <v>#DIV/0!</v>
      </c>
      <c r="AM287" s="60">
        <v>21.977555739408981</v>
      </c>
      <c r="BO287" s="14"/>
    </row>
    <row r="288" spans="1:67">
      <c r="A288" s="53"/>
      <c r="B288" s="18"/>
      <c r="C288" s="21"/>
      <c r="D288" s="21"/>
      <c r="E288" s="21"/>
      <c r="F288" s="21"/>
      <c r="G288" s="21"/>
      <c r="H288" s="21"/>
      <c r="I288" s="21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BO288" s="14"/>
    </row>
    <row r="289" spans="1:79">
      <c r="A289" s="57" t="s">
        <v>278</v>
      </c>
      <c r="B289" s="13"/>
      <c r="C289" s="21"/>
      <c r="D289" s="21"/>
      <c r="E289" s="21"/>
      <c r="F289" s="21"/>
      <c r="G289" s="21"/>
      <c r="H289" s="21"/>
      <c r="I289" s="21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BO289" s="18"/>
    </row>
    <row r="290" spans="1:79">
      <c r="A290" s="84" t="s">
        <v>271</v>
      </c>
      <c r="B290" s="18" t="s">
        <v>272</v>
      </c>
      <c r="C290" s="22">
        <v>20.833333333333332</v>
      </c>
      <c r="D290" s="22">
        <v>48</v>
      </c>
      <c r="E290" s="22">
        <v>45</v>
      </c>
      <c r="F290" s="22">
        <v>29.916666666666668</v>
      </c>
      <c r="G290" s="22">
        <v>19.75</v>
      </c>
      <c r="H290" s="22">
        <v>25.916666666666668</v>
      </c>
      <c r="I290" s="22">
        <v>31.25</v>
      </c>
      <c r="J290" s="20">
        <v>39.926666666666662</v>
      </c>
      <c r="K290" s="20">
        <v>19.3</v>
      </c>
      <c r="L290" s="20">
        <v>22.166666666666668</v>
      </c>
      <c r="M290" s="20">
        <v>18.25</v>
      </c>
      <c r="N290" s="21">
        <v>4.583333333333333</v>
      </c>
      <c r="O290" s="21">
        <v>7</v>
      </c>
      <c r="P290" s="21">
        <v>0</v>
      </c>
      <c r="Q290" s="21">
        <v>4.666666666666667</v>
      </c>
      <c r="R290" s="21">
        <v>0</v>
      </c>
      <c r="S290" s="21">
        <v>0</v>
      </c>
      <c r="T290" s="59">
        <v>0</v>
      </c>
      <c r="U290" s="59">
        <v>0</v>
      </c>
      <c r="V290" s="54"/>
      <c r="W290" s="62">
        <v>0</v>
      </c>
      <c r="X290" s="62">
        <v>0</v>
      </c>
      <c r="Y290" s="62">
        <v>0</v>
      </c>
      <c r="Z290" s="62">
        <v>0</v>
      </c>
      <c r="AA290" s="62">
        <v>0</v>
      </c>
      <c r="AB290" s="62">
        <v>0</v>
      </c>
      <c r="AC290" s="62">
        <v>0</v>
      </c>
      <c r="AD290" s="62">
        <v>0</v>
      </c>
      <c r="AE290" s="62">
        <v>0</v>
      </c>
      <c r="AF290" s="62">
        <v>0</v>
      </c>
      <c r="AG290" s="62">
        <v>0</v>
      </c>
      <c r="AH290" s="62" t="e">
        <v>#DIV/0!</v>
      </c>
      <c r="AI290" s="62">
        <v>0</v>
      </c>
      <c r="AJ290" s="62">
        <v>0</v>
      </c>
      <c r="AK290" s="62">
        <v>0</v>
      </c>
      <c r="AL290" s="62" t="e">
        <v>#DIV/0!</v>
      </c>
      <c r="AM290" s="59">
        <v>0</v>
      </c>
      <c r="BO290" s="14"/>
    </row>
    <row r="291" spans="1:79">
      <c r="A291" s="84" t="s">
        <v>274</v>
      </c>
      <c r="B291" s="18" t="s">
        <v>275</v>
      </c>
      <c r="C291" s="20">
        <v>3.9229653789931844</v>
      </c>
      <c r="D291" s="20">
        <v>4.13</v>
      </c>
      <c r="E291" s="20">
        <v>3.89</v>
      </c>
      <c r="F291" s="20">
        <v>4.0470306113832217</v>
      </c>
      <c r="G291" s="20">
        <v>4.2130372304439669</v>
      </c>
      <c r="H291" s="20">
        <v>4.1673669454502464</v>
      </c>
      <c r="I291" s="20">
        <v>4.1150200470383318</v>
      </c>
      <c r="J291" s="20">
        <v>4.1538862158423173</v>
      </c>
      <c r="K291" s="20">
        <v>4.1643115627472707</v>
      </c>
      <c r="L291" s="20">
        <v>4.2141905992810482</v>
      </c>
      <c r="M291" s="20">
        <v>7.1700143211132144</v>
      </c>
      <c r="N291" s="20">
        <v>4.2404987849060607</v>
      </c>
      <c r="O291" s="20">
        <v>4.1865477663416319</v>
      </c>
      <c r="P291" s="20">
        <v>3.7098925842535349</v>
      </c>
      <c r="Q291" s="20">
        <v>4.2317847035723153</v>
      </c>
      <c r="R291" s="20">
        <v>4.3476027608597958</v>
      </c>
      <c r="S291" s="20">
        <v>4.1144873841335921</v>
      </c>
      <c r="T291" s="60">
        <v>4.2408211279072843</v>
      </c>
      <c r="U291" s="60">
        <v>4.3262629600832447</v>
      </c>
      <c r="V291" s="54"/>
      <c r="W291" s="60">
        <v>0</v>
      </c>
      <c r="X291" s="60">
        <v>3.9999964683841087</v>
      </c>
      <c r="Y291" s="60">
        <v>3.9621874407981315</v>
      </c>
      <c r="Z291" s="60">
        <v>3.9438279309281352</v>
      </c>
      <c r="AA291" s="60" t="e">
        <v>#DIV/0!</v>
      </c>
      <c r="AB291" s="60" t="e">
        <v>#DIV/0!</v>
      </c>
      <c r="AC291" s="60" t="e">
        <v>#DIV/0!</v>
      </c>
      <c r="AD291" s="60" t="e">
        <v>#DIV/0!</v>
      </c>
      <c r="AE291" s="60" t="e">
        <v>#DIV/0!</v>
      </c>
      <c r="AF291" s="60" t="e">
        <v>#DIV/0!</v>
      </c>
      <c r="AG291" s="60" t="e">
        <v>#DIV/0!</v>
      </c>
      <c r="AH291" s="60" t="e">
        <v>#DIV/0!</v>
      </c>
      <c r="AI291" s="60" t="e">
        <v>#DIV/0!</v>
      </c>
      <c r="AJ291" s="60" t="e">
        <v>#DIV/0!</v>
      </c>
      <c r="AK291" s="60" t="e">
        <v>#DIV/0!</v>
      </c>
      <c r="AL291" s="60" t="e">
        <v>#DIV/0!</v>
      </c>
      <c r="AM291" s="60">
        <v>3.9438279309281352</v>
      </c>
      <c r="BO291" s="14"/>
    </row>
    <row r="292" spans="1:79">
      <c r="A292" s="84" t="s">
        <v>276</v>
      </c>
      <c r="B292" s="18" t="s">
        <v>277</v>
      </c>
      <c r="C292" s="20">
        <v>24.99275881497098</v>
      </c>
      <c r="D292" s="20">
        <v>24.76</v>
      </c>
      <c r="E292" s="20">
        <v>25.33</v>
      </c>
      <c r="F292" s="20">
        <v>26.500084857862511</v>
      </c>
      <c r="G292" s="20">
        <v>25.997688791602084</v>
      </c>
      <c r="H292" s="20">
        <v>26.148952338867076</v>
      </c>
      <c r="I292" s="20">
        <v>27.383539708932119</v>
      </c>
      <c r="J292" s="20">
        <v>26.493671825508081</v>
      </c>
      <c r="K292" s="20">
        <v>26.78598517381872</v>
      </c>
      <c r="L292" s="20">
        <v>25.456736624709212</v>
      </c>
      <c r="M292" s="20">
        <v>24.868493625677594</v>
      </c>
      <c r="N292" s="20">
        <v>24.310988383823826</v>
      </c>
      <c r="O292" s="20">
        <v>22.835478049396617</v>
      </c>
      <c r="P292" s="20">
        <v>25.47759488242281</v>
      </c>
      <c r="Q292" s="20">
        <v>26.121685230336542</v>
      </c>
      <c r="R292" s="20">
        <v>29.80420873110203</v>
      </c>
      <c r="S292" s="20">
        <v>31.728671407175696</v>
      </c>
      <c r="T292" s="60">
        <v>30.606955564209226</v>
      </c>
      <c r="U292" s="60">
        <v>34.799401006027189</v>
      </c>
      <c r="V292" s="54"/>
      <c r="W292" s="60">
        <v>0</v>
      </c>
      <c r="X292" s="60">
        <v>11.058329891079852</v>
      </c>
      <c r="Y292" s="60">
        <v>8.5793537616082922</v>
      </c>
      <c r="Z292" s="60">
        <v>14.423037903747863</v>
      </c>
      <c r="AA292" s="60" t="e">
        <v>#DIV/0!</v>
      </c>
      <c r="AB292" s="60" t="e">
        <v>#DIV/0!</v>
      </c>
      <c r="AC292" s="60" t="e">
        <v>#DIV/0!</v>
      </c>
      <c r="AD292" s="60" t="e">
        <v>#DIV/0!</v>
      </c>
      <c r="AE292" s="60" t="e">
        <v>#DIV/0!</v>
      </c>
      <c r="AF292" s="60" t="e">
        <v>#DIV/0!</v>
      </c>
      <c r="AG292" s="60" t="e">
        <v>#DIV/0!</v>
      </c>
      <c r="AH292" s="60" t="e">
        <v>#DIV/0!</v>
      </c>
      <c r="AI292" s="60" t="e">
        <v>#DIV/0!</v>
      </c>
      <c r="AJ292" s="60" t="e">
        <v>#DIV/0!</v>
      </c>
      <c r="AK292" s="60" t="e">
        <v>#DIV/0!</v>
      </c>
      <c r="AL292" s="60" t="e">
        <v>#DIV/0!</v>
      </c>
      <c r="AM292" s="60">
        <v>14.423037903747863</v>
      </c>
      <c r="BO292" s="14"/>
    </row>
    <row r="293" spans="1:79">
      <c r="A293" s="53"/>
      <c r="B293" s="18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60"/>
      <c r="U293" s="60"/>
      <c r="V293" s="54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BO293" s="14"/>
    </row>
    <row r="294" spans="1:79" s="12" customFormat="1">
      <c r="A294" s="57" t="s">
        <v>279</v>
      </c>
      <c r="B294" s="18" t="s">
        <v>0</v>
      </c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BO294" s="18"/>
      <c r="BP294" s="16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</row>
    <row r="295" spans="1:79" ht="14.4">
      <c r="A295" s="83" t="s">
        <v>453</v>
      </c>
      <c r="B295" s="13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3"/>
      <c r="Q295" s="13"/>
      <c r="R295" s="13"/>
      <c r="S295" s="13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BO295" s="14"/>
    </row>
    <row r="296" spans="1:79">
      <c r="A296" s="84" t="s">
        <v>280</v>
      </c>
      <c r="B296" s="18" t="s">
        <v>281</v>
      </c>
      <c r="C296" s="22">
        <v>583.98591786870816</v>
      </c>
      <c r="D296" s="22">
        <v>585</v>
      </c>
      <c r="E296" s="22">
        <v>587</v>
      </c>
      <c r="F296" s="22">
        <v>592.79663020288524</v>
      </c>
      <c r="G296" s="22">
        <v>599.28731857131697</v>
      </c>
      <c r="H296" s="22">
        <v>599.91251557875057</v>
      </c>
      <c r="I296" s="22">
        <v>599.82385287375098</v>
      </c>
      <c r="J296" s="22">
        <v>600.43186948058758</v>
      </c>
      <c r="K296" s="22">
        <v>603.42650893838754</v>
      </c>
      <c r="L296" s="22">
        <v>608.8514439468953</v>
      </c>
      <c r="M296" s="22">
        <v>655.15524883913974</v>
      </c>
      <c r="N296" s="22">
        <v>702.35150656324583</v>
      </c>
      <c r="O296" s="22">
        <v>729.28119903038998</v>
      </c>
      <c r="P296" s="22">
        <v>730.00645511785547</v>
      </c>
      <c r="Q296" s="22">
        <v>719.72650498115524</v>
      </c>
      <c r="R296" s="22">
        <v>714.57735394261101</v>
      </c>
      <c r="S296" s="22">
        <v>713.72191740175356</v>
      </c>
      <c r="T296" s="62">
        <v>713.08226984420048</v>
      </c>
      <c r="U296" s="62">
        <v>710.0385335277208</v>
      </c>
      <c r="V296" s="54">
        <v>670</v>
      </c>
      <c r="W296" s="62">
        <v>708.939978458827</v>
      </c>
      <c r="X296" s="62">
        <v>707.53566292222183</v>
      </c>
      <c r="Y296" s="62">
        <v>709.289899264685</v>
      </c>
      <c r="Z296" s="62">
        <v>708.57746374940041</v>
      </c>
      <c r="AA296" s="62" t="e">
        <v>#DIV/0!</v>
      </c>
      <c r="AB296" s="62" t="e">
        <v>#DIV/0!</v>
      </c>
      <c r="AC296" s="62" t="e">
        <v>#DIV/0!</v>
      </c>
      <c r="AD296" s="62" t="e">
        <v>#DIV/0!</v>
      </c>
      <c r="AE296" s="62" t="e">
        <v>#DIV/0!</v>
      </c>
      <c r="AF296" s="62" t="e">
        <v>#DIV/0!</v>
      </c>
      <c r="AG296" s="62" t="e">
        <v>#DIV/0!</v>
      </c>
      <c r="AH296" s="62" t="e">
        <v>#DIV/0!</v>
      </c>
      <c r="AI296" s="62" t="e">
        <v>#DIV/0!</v>
      </c>
      <c r="AJ296" s="62" t="e">
        <v>#DIV/0!</v>
      </c>
      <c r="AK296" s="62" t="e">
        <v>#DIV/0!</v>
      </c>
      <c r="AL296" s="62" t="e">
        <v>#DIV/0!</v>
      </c>
      <c r="AM296" s="62">
        <v>708.57746374940041</v>
      </c>
      <c r="BO296" s="14"/>
    </row>
    <row r="297" spans="1:79">
      <c r="A297" s="84" t="s">
        <v>282</v>
      </c>
      <c r="B297" s="18" t="s">
        <v>281</v>
      </c>
      <c r="C297" s="22">
        <v>580.52698294793959</v>
      </c>
      <c r="D297" s="22">
        <v>583</v>
      </c>
      <c r="E297" s="22">
        <v>578</v>
      </c>
      <c r="F297" s="22">
        <v>541.62582311213339</v>
      </c>
      <c r="G297" s="22">
        <v>537.66554699585799</v>
      </c>
      <c r="H297" s="22">
        <v>520.61417079207922</v>
      </c>
      <c r="I297" s="22">
        <v>542.87651448476595</v>
      </c>
      <c r="J297" s="22">
        <v>586.80507189471257</v>
      </c>
      <c r="K297" s="22">
        <v>577.7912994543052</v>
      </c>
      <c r="L297" s="22">
        <v>599.49734126106841</v>
      </c>
      <c r="M297" s="22">
        <v>616.73517306451356</v>
      </c>
      <c r="N297" s="22">
        <v>663.0852818290798</v>
      </c>
      <c r="O297" s="22">
        <v>723.34951082659302</v>
      </c>
      <c r="P297" s="22">
        <v>723.26041806978685</v>
      </c>
      <c r="Q297" s="22">
        <v>700.80357093448583</v>
      </c>
      <c r="R297" s="22">
        <v>655.11162396743396</v>
      </c>
      <c r="S297" s="22">
        <v>659.57361593393171</v>
      </c>
      <c r="T297" s="62">
        <v>655.11887920770084</v>
      </c>
      <c r="U297" s="62">
        <v>618.49171249600397</v>
      </c>
      <c r="V297" s="54">
        <v>615</v>
      </c>
      <c r="W297" s="62">
        <v>599.93870840385091</v>
      </c>
      <c r="X297" s="62">
        <v>599.99750024997502</v>
      </c>
      <c r="Y297" s="62">
        <v>609.99881057568132</v>
      </c>
      <c r="Z297" s="62">
        <v>603.26181869919685</v>
      </c>
      <c r="AA297" s="62" t="e">
        <v>#DIV/0!</v>
      </c>
      <c r="AB297" s="62" t="e">
        <v>#DIV/0!</v>
      </c>
      <c r="AC297" s="62" t="e">
        <v>#DIV/0!</v>
      </c>
      <c r="AD297" s="62" t="e">
        <v>#DIV/0!</v>
      </c>
      <c r="AE297" s="62" t="e">
        <v>#DIV/0!</v>
      </c>
      <c r="AF297" s="62" t="e">
        <v>#DIV/0!</v>
      </c>
      <c r="AG297" s="62" t="e">
        <v>#DIV/0!</v>
      </c>
      <c r="AH297" s="62" t="e">
        <v>#DIV/0!</v>
      </c>
      <c r="AI297" s="62" t="e">
        <v>#DIV/0!</v>
      </c>
      <c r="AJ297" s="62" t="e">
        <v>#DIV/0!</v>
      </c>
      <c r="AK297" s="62" t="e">
        <v>#DIV/0!</v>
      </c>
      <c r="AL297" s="62" t="e">
        <v>#DIV/0!</v>
      </c>
      <c r="AM297" s="62">
        <v>603.26181869919685</v>
      </c>
      <c r="BO297" s="14"/>
    </row>
    <row r="298" spans="1:79">
      <c r="A298" s="84" t="s">
        <v>283</v>
      </c>
      <c r="B298" s="18" t="s">
        <v>281</v>
      </c>
      <c r="C298" s="22">
        <v>44.391903653077513</v>
      </c>
      <c r="D298" s="22">
        <v>45</v>
      </c>
      <c r="E298" s="22">
        <v>44</v>
      </c>
      <c r="F298" s="22">
        <v>40.572365265817709</v>
      </c>
      <c r="G298" s="22">
        <v>40.857191284256672</v>
      </c>
      <c r="H298" s="22">
        <v>39.808202479557217</v>
      </c>
      <c r="I298" s="22">
        <v>44.42453045004811</v>
      </c>
      <c r="J298" s="22">
        <v>43.948647545666759</v>
      </c>
      <c r="K298" s="22">
        <v>45.050528880732124</v>
      </c>
      <c r="L298" s="22">
        <v>56.47457562813991</v>
      </c>
      <c r="M298" s="22">
        <v>56.285882096083299</v>
      </c>
      <c r="N298" s="22">
        <v>53.770518830470607</v>
      </c>
      <c r="O298" s="22">
        <v>63.036588160271705</v>
      </c>
      <c r="P298" s="22">
        <v>56.94594250756407</v>
      </c>
      <c r="Q298" s="22">
        <v>54.290961951932871</v>
      </c>
      <c r="R298" s="22">
        <v>50.632167555330128</v>
      </c>
      <c r="S298" s="22">
        <v>44.500938101542388</v>
      </c>
      <c r="T298" s="62">
        <v>46.633596065700424</v>
      </c>
      <c r="U298" s="62">
        <v>31.247752828060651</v>
      </c>
      <c r="V298" s="54">
        <v>30</v>
      </c>
      <c r="W298" s="62">
        <v>27.665343655440719</v>
      </c>
      <c r="X298" s="62">
        <v>28.400702987697716</v>
      </c>
      <c r="Y298" s="62">
        <v>27.76482121257639</v>
      </c>
      <c r="Z298" s="59">
        <v>0</v>
      </c>
      <c r="AA298" s="62" t="e">
        <v>#DIV/0!</v>
      </c>
      <c r="AB298" s="62" t="e">
        <v>#DIV/0!</v>
      </c>
      <c r="AC298" s="62" t="e">
        <v>#DIV/0!</v>
      </c>
      <c r="AD298" s="62" t="e">
        <v>#DIV/0!</v>
      </c>
      <c r="AE298" s="62" t="e">
        <v>#DIV/0!</v>
      </c>
      <c r="AF298" s="62" t="e">
        <v>#DIV/0!</v>
      </c>
      <c r="AG298" s="62" t="e">
        <v>#DIV/0!</v>
      </c>
      <c r="AH298" s="62" t="e">
        <v>#DIV/0!</v>
      </c>
      <c r="AI298" s="62" t="e">
        <v>#DIV/0!</v>
      </c>
      <c r="AJ298" s="62" t="e">
        <v>#DIV/0!</v>
      </c>
      <c r="AK298" s="62" t="e">
        <v>#DIV/0!</v>
      </c>
      <c r="AL298" s="62" t="e">
        <v>#DIV/0!</v>
      </c>
      <c r="AM298" s="62">
        <v>27.944916974677213</v>
      </c>
      <c r="BO298" s="14"/>
    </row>
    <row r="299" spans="1:79">
      <c r="A299" s="84" t="s">
        <v>284</v>
      </c>
      <c r="B299" s="18" t="s">
        <v>281</v>
      </c>
      <c r="C299" s="22">
        <v>23.428133741840949</v>
      </c>
      <c r="D299" s="22">
        <v>23</v>
      </c>
      <c r="E299" s="22">
        <v>22</v>
      </c>
      <c r="F299" s="22">
        <v>22.143373916620718</v>
      </c>
      <c r="G299" s="22">
        <v>21.841893405223967</v>
      </c>
      <c r="H299" s="22">
        <v>21.929107383118456</v>
      </c>
      <c r="I299" s="22">
        <v>21.668017921655974</v>
      </c>
      <c r="J299" s="22">
        <v>21.732160045786831</v>
      </c>
      <c r="K299" s="22">
        <v>22.398577756091122</v>
      </c>
      <c r="L299" s="22">
        <v>22.005920803821674</v>
      </c>
      <c r="M299" s="22">
        <v>23.354737621066306</v>
      </c>
      <c r="N299" s="22">
        <v>21.130324843909765</v>
      </c>
      <c r="O299" s="22">
        <v>21.417123195066456</v>
      </c>
      <c r="P299" s="22">
        <v>21.339607559235631</v>
      </c>
      <c r="Q299" s="22">
        <v>20.848226660636389</v>
      </c>
      <c r="R299" s="22">
        <v>20.126378312563293</v>
      </c>
      <c r="S299" s="22">
        <v>19.787490025470564</v>
      </c>
      <c r="T299" s="62">
        <v>21.763658282788676</v>
      </c>
      <c r="U299" s="62">
        <v>21.676285399634352</v>
      </c>
      <c r="V299" s="54">
        <v>22</v>
      </c>
      <c r="W299" s="62">
        <v>20.071432753674102</v>
      </c>
      <c r="X299" s="62">
        <v>20.393091125670043</v>
      </c>
      <c r="Y299" s="62">
        <v>17.981994621770138</v>
      </c>
      <c r="Z299" s="62">
        <v>19.476213830308975</v>
      </c>
      <c r="AA299" s="62" t="e">
        <v>#DIV/0!</v>
      </c>
      <c r="AB299" s="62" t="e">
        <v>#DIV/0!</v>
      </c>
      <c r="AC299" s="62" t="e">
        <v>#DIV/0!</v>
      </c>
      <c r="AD299" s="62" t="e">
        <v>#DIV/0!</v>
      </c>
      <c r="AE299" s="62" t="e">
        <v>#DIV/0!</v>
      </c>
      <c r="AF299" s="62" t="e">
        <v>#DIV/0!</v>
      </c>
      <c r="AG299" s="62" t="e">
        <v>#DIV/0!</v>
      </c>
      <c r="AH299" s="62" t="e">
        <v>#DIV/0!</v>
      </c>
      <c r="AI299" s="62" t="e">
        <v>#DIV/0!</v>
      </c>
      <c r="AJ299" s="62" t="e">
        <v>#DIV/0!</v>
      </c>
      <c r="AK299" s="62" t="e">
        <v>#DIV/0!</v>
      </c>
      <c r="AL299" s="62" t="e">
        <v>#DIV/0!</v>
      </c>
      <c r="AM299" s="62">
        <v>19.476213830308975</v>
      </c>
      <c r="BO299" s="14"/>
    </row>
    <row r="300" spans="1:79">
      <c r="A300" s="84" t="s">
        <v>285</v>
      </c>
      <c r="B300" s="18" t="s">
        <v>281</v>
      </c>
      <c r="C300" s="22"/>
      <c r="D300" s="22"/>
      <c r="E300" s="22"/>
      <c r="F300" s="22"/>
      <c r="G300" s="22"/>
      <c r="H300" s="22"/>
      <c r="I300" s="22"/>
      <c r="J300" s="22">
        <v>24.873857716567404</v>
      </c>
      <c r="K300" s="22">
        <v>22.926618734642577</v>
      </c>
      <c r="L300" s="22">
        <v>21.678487588032567</v>
      </c>
      <c r="M300" s="22">
        <v>21.09708207949534</v>
      </c>
      <c r="N300" s="22">
        <v>18.171618196752771</v>
      </c>
      <c r="O300" s="22">
        <v>19.176920854956411</v>
      </c>
      <c r="P300" s="22">
        <v>21.308966928060006</v>
      </c>
      <c r="Q300" s="22">
        <v>18.690520912438913</v>
      </c>
      <c r="R300" s="22">
        <v>18.829082832091107</v>
      </c>
      <c r="S300" s="22">
        <v>19.030280937118366</v>
      </c>
      <c r="T300" s="62">
        <v>19.111037892862413</v>
      </c>
      <c r="U300" s="62">
        <v>18.400042239357543</v>
      </c>
      <c r="V300" s="54">
        <v>19</v>
      </c>
      <c r="W300" s="62">
        <v>19.831819023477657</v>
      </c>
      <c r="X300" s="62">
        <v>18.354255547711858</v>
      </c>
      <c r="Y300" s="62">
        <v>19.188805133773485</v>
      </c>
      <c r="Z300" s="62">
        <v>19.112636837208701</v>
      </c>
      <c r="AA300" s="62" t="e">
        <v>#DIV/0!</v>
      </c>
      <c r="AB300" s="62" t="e">
        <v>#DIV/0!</v>
      </c>
      <c r="AC300" s="62" t="e">
        <v>#DIV/0!</v>
      </c>
      <c r="AD300" s="62" t="e">
        <v>#DIV/0!</v>
      </c>
      <c r="AE300" s="62" t="e">
        <v>#DIV/0!</v>
      </c>
      <c r="AF300" s="62" t="e">
        <v>#DIV/0!</v>
      </c>
      <c r="AG300" s="62" t="e">
        <v>#DIV/0!</v>
      </c>
      <c r="AH300" s="62" t="e">
        <v>#DIV/0!</v>
      </c>
      <c r="AI300" s="62" t="e">
        <v>#DIV/0!</v>
      </c>
      <c r="AJ300" s="62" t="e">
        <v>#DIV/0!</v>
      </c>
      <c r="AK300" s="62" t="e">
        <v>#DIV/0!</v>
      </c>
      <c r="AL300" s="62" t="e">
        <v>#DIV/0!</v>
      </c>
      <c r="AM300" s="62">
        <v>19.112636837208701</v>
      </c>
      <c r="BO300" s="14"/>
    </row>
    <row r="301" spans="1:79">
      <c r="A301" s="84" t="s">
        <v>286</v>
      </c>
      <c r="B301" s="18" t="s">
        <v>281</v>
      </c>
      <c r="C301" s="22">
        <v>365.10607857532801</v>
      </c>
      <c r="D301" s="22">
        <v>364</v>
      </c>
      <c r="E301" s="22">
        <v>365</v>
      </c>
      <c r="F301" s="22">
        <v>365.53522725010453</v>
      </c>
      <c r="G301" s="22">
        <v>360.75558028813452</v>
      </c>
      <c r="H301" s="22">
        <v>361.2939235908629</v>
      </c>
      <c r="I301" s="22">
        <v>359.72263423316525</v>
      </c>
      <c r="J301" s="22">
        <v>359.51502565355486</v>
      </c>
      <c r="K301" s="22">
        <v>364.56467253916497</v>
      </c>
      <c r="L301" s="22">
        <v>371.39190630252858</v>
      </c>
      <c r="M301" s="22">
        <v>366.56168310345055</v>
      </c>
      <c r="N301" s="22">
        <v>359.97164677367721</v>
      </c>
      <c r="O301" s="22">
        <v>356.69247974409461</v>
      </c>
      <c r="P301" s="22">
        <v>364.95118392997421</v>
      </c>
      <c r="Q301" s="22">
        <v>359.90251693561714</v>
      </c>
      <c r="R301" s="22">
        <v>366.32280689906344</v>
      </c>
      <c r="S301" s="22">
        <v>362.61345792960822</v>
      </c>
      <c r="T301" s="62">
        <v>360.62849432796133</v>
      </c>
      <c r="U301" s="62">
        <v>357.69460515227792</v>
      </c>
      <c r="V301" s="54">
        <v>360</v>
      </c>
      <c r="W301" s="62">
        <v>357.03780603858468</v>
      </c>
      <c r="X301" s="62">
        <v>356.01499488810634</v>
      </c>
      <c r="Y301" s="62">
        <v>357.99711965936842</v>
      </c>
      <c r="Z301" s="59" t="s">
        <v>1</v>
      </c>
      <c r="AA301" s="62" t="e">
        <v>#DIV/0!</v>
      </c>
      <c r="AB301" s="62" t="e">
        <v>#DIV/0!</v>
      </c>
      <c r="AC301" s="62" t="e">
        <v>#DIV/0!</v>
      </c>
      <c r="AD301" s="62" t="e">
        <v>#DIV/0!</v>
      </c>
      <c r="AE301" s="62" t="e">
        <v>#DIV/0!</v>
      </c>
      <c r="AF301" s="62" t="e">
        <v>#DIV/0!</v>
      </c>
      <c r="AG301" s="62" t="e">
        <v>#DIV/0!</v>
      </c>
      <c r="AH301" s="59" t="s">
        <v>1</v>
      </c>
      <c r="AI301" s="62" t="e">
        <v>#DIV/0!</v>
      </c>
      <c r="AJ301" s="62" t="e">
        <v>#DIV/0!</v>
      </c>
      <c r="AK301" s="62" t="e">
        <v>#DIV/0!</v>
      </c>
      <c r="AL301" s="59" t="s">
        <v>1</v>
      </c>
      <c r="AM301" s="62">
        <v>356.98295512536998</v>
      </c>
      <c r="BO301" s="14"/>
    </row>
    <row r="302" spans="1:79">
      <c r="A302" s="84" t="s">
        <v>287</v>
      </c>
      <c r="B302" s="18" t="s">
        <v>281</v>
      </c>
      <c r="C302" s="22"/>
      <c r="D302" s="22"/>
      <c r="E302" s="22"/>
      <c r="F302" s="22"/>
      <c r="G302" s="22"/>
      <c r="H302" s="22"/>
      <c r="I302" s="22"/>
      <c r="J302" s="22"/>
      <c r="K302" s="22"/>
      <c r="L302" s="22">
        <v>338.40608250459161</v>
      </c>
      <c r="M302" s="22">
        <v>322.47243606011898</v>
      </c>
      <c r="N302" s="22">
        <v>327.81587236128672</v>
      </c>
      <c r="O302" s="22">
        <v>325.09899814119888</v>
      </c>
      <c r="P302" s="22">
        <v>333.12851815090153</v>
      </c>
      <c r="Q302" s="22">
        <v>319.8433191398143</v>
      </c>
      <c r="R302" s="22">
        <v>329.92721828417615</v>
      </c>
      <c r="S302" s="22">
        <v>317.4506112038888</v>
      </c>
      <c r="T302" s="62">
        <v>305.97153035887789</v>
      </c>
      <c r="U302" s="62">
        <v>310.14531126528385</v>
      </c>
      <c r="V302" s="54">
        <v>330</v>
      </c>
      <c r="W302" s="62">
        <v>305.99827314744272</v>
      </c>
      <c r="X302" s="62">
        <v>307.00094128601938</v>
      </c>
      <c r="Y302" s="62">
        <v>306.00482619707634</v>
      </c>
      <c r="Z302" s="62">
        <v>306.00482619707634</v>
      </c>
      <c r="AA302" s="62" t="e">
        <v>#DIV/0!</v>
      </c>
      <c r="AB302" s="62" t="e">
        <v>#DIV/0!</v>
      </c>
      <c r="AC302" s="62" t="e">
        <v>#DIV/0!</v>
      </c>
      <c r="AD302" s="62" t="e">
        <v>#DIV/0!</v>
      </c>
      <c r="AE302" s="62" t="e">
        <v>#DIV/0!</v>
      </c>
      <c r="AF302" s="62" t="e">
        <v>#DIV/0!</v>
      </c>
      <c r="AG302" s="62" t="e">
        <v>#DIV/0!</v>
      </c>
      <c r="AH302" s="62" t="e">
        <v>#DIV/0!</v>
      </c>
      <c r="AI302" s="62" t="e">
        <v>#DIV/0!</v>
      </c>
      <c r="AJ302" s="62" t="e">
        <v>#DIV/0!</v>
      </c>
      <c r="AK302" s="62" t="e">
        <v>#DIV/0!</v>
      </c>
      <c r="AL302" s="62" t="e">
        <v>#DIV/0!</v>
      </c>
      <c r="AM302" s="62">
        <v>306.33343640347931</v>
      </c>
      <c r="BO302" s="14"/>
    </row>
    <row r="303" spans="1:79">
      <c r="A303" s="84" t="s">
        <v>288</v>
      </c>
      <c r="B303" s="18" t="s">
        <v>281</v>
      </c>
      <c r="C303" s="22">
        <v>347.03876473215155</v>
      </c>
      <c r="D303" s="22">
        <v>349</v>
      </c>
      <c r="E303" s="22">
        <v>345</v>
      </c>
      <c r="F303" s="22">
        <v>345.47904549944718</v>
      </c>
      <c r="G303" s="22">
        <v>344.1262787417736</v>
      </c>
      <c r="H303" s="22">
        <v>353.40665531085801</v>
      </c>
      <c r="I303" s="22">
        <v>344.32726827553228</v>
      </c>
      <c r="J303" s="22">
        <v>345.55480765477108</v>
      </c>
      <c r="K303" s="22">
        <v>355</v>
      </c>
      <c r="L303" s="22">
        <v>353.91330517854885</v>
      </c>
      <c r="M303" s="22">
        <v>328.1093063527739</v>
      </c>
      <c r="N303" s="22">
        <v>329.05496801688389</v>
      </c>
      <c r="O303" s="22">
        <v>327.12718599137315</v>
      </c>
      <c r="P303" s="22">
        <v>322.67467996149105</v>
      </c>
      <c r="Q303" s="22">
        <v>320.73103725283607</v>
      </c>
      <c r="R303" s="22">
        <v>333.65773981692587</v>
      </c>
      <c r="S303" s="22">
        <v>357.21779095132632</v>
      </c>
      <c r="T303" s="62">
        <v>363.08797837624024</v>
      </c>
      <c r="U303" s="62"/>
      <c r="V303" s="54"/>
      <c r="W303" s="62"/>
      <c r="X303" s="62"/>
      <c r="Y303" s="62"/>
      <c r="Z303" s="62"/>
      <c r="AA303" s="62"/>
      <c r="AB303" s="62"/>
      <c r="AC303" s="62"/>
      <c r="AD303" s="62" t="e">
        <v>#DIV/0!</v>
      </c>
      <c r="AE303" s="62"/>
      <c r="AF303" s="62"/>
      <c r="AG303" s="62"/>
      <c r="AH303" s="62" t="e">
        <v>#DIV/0!</v>
      </c>
      <c r="AI303" s="62"/>
      <c r="AJ303" s="62"/>
      <c r="AK303" s="62"/>
      <c r="AL303" s="62" t="e">
        <v>#DIV/0!</v>
      </c>
      <c r="AM303" s="62"/>
      <c r="BO303" s="14"/>
    </row>
    <row r="304" spans="1:79">
      <c r="A304" s="84" t="s">
        <v>289</v>
      </c>
      <c r="B304" s="18" t="s">
        <v>281</v>
      </c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22">
        <v>327.17207696752183</v>
      </c>
      <c r="T304" s="62">
        <v>321.26843135939095</v>
      </c>
      <c r="U304" s="62">
        <v>322.65488168887015</v>
      </c>
      <c r="V304" s="54">
        <v>310</v>
      </c>
      <c r="W304" s="62">
        <v>308.00257600921941</v>
      </c>
      <c r="X304" s="62">
        <v>319.99911815606436</v>
      </c>
      <c r="Y304" s="62">
        <v>306.99770526298352</v>
      </c>
      <c r="Z304" s="62">
        <v>310.93788891519597</v>
      </c>
      <c r="AA304" s="62" t="e">
        <v>#DIV/0!</v>
      </c>
      <c r="AB304" s="62" t="e">
        <v>#DIV/0!</v>
      </c>
      <c r="AC304" s="62" t="e">
        <v>#DIV/0!</v>
      </c>
      <c r="AD304" s="62" t="e">
        <v>#DIV/0!</v>
      </c>
      <c r="AE304" s="62" t="e">
        <v>#DIV/0!</v>
      </c>
      <c r="AF304" s="62" t="e">
        <v>#DIV/0!</v>
      </c>
      <c r="AG304" s="62" t="e">
        <v>#DIV/0!</v>
      </c>
      <c r="AH304" s="62" t="e">
        <v>#DIV/0!</v>
      </c>
      <c r="AI304" s="62" t="e">
        <v>#DIV/0!</v>
      </c>
      <c r="AJ304" s="62" t="e">
        <v>#DIV/0!</v>
      </c>
      <c r="AK304" s="62" t="e">
        <v>#DIV/0!</v>
      </c>
      <c r="AL304" s="62" t="e">
        <v>#DIV/0!</v>
      </c>
      <c r="AM304" s="62">
        <v>310.93788891519597</v>
      </c>
      <c r="BO304" s="14"/>
    </row>
    <row r="305" spans="1:79">
      <c r="A305" s="84" t="s">
        <v>290</v>
      </c>
      <c r="B305" s="18" t="s">
        <v>281</v>
      </c>
      <c r="C305" s="22">
        <v>739.99173620489762</v>
      </c>
      <c r="D305" s="22">
        <v>740</v>
      </c>
      <c r="E305" s="22">
        <v>740</v>
      </c>
      <c r="F305" s="22">
        <v>740.89798233226168</v>
      </c>
      <c r="G305" s="22">
        <v>742.12588023559306</v>
      </c>
      <c r="H305" s="22">
        <v>739.92326830066224</v>
      </c>
      <c r="I305" s="22">
        <v>739.94949530321583</v>
      </c>
      <c r="J305" s="22">
        <v>734.99445279318184</v>
      </c>
      <c r="K305" s="22">
        <v>735.09110306133175</v>
      </c>
      <c r="L305" s="22">
        <v>768.15340622954125</v>
      </c>
      <c r="M305" s="22">
        <v>781.7873068646569</v>
      </c>
      <c r="N305" s="22">
        <v>791.7998857154605</v>
      </c>
      <c r="O305" s="22">
        <v>748.88677988399877</v>
      </c>
      <c r="P305" s="22">
        <v>740.34509562268374</v>
      </c>
      <c r="Q305" s="22">
        <v>727.53578372670972</v>
      </c>
      <c r="R305" s="22">
        <v>725.65168412651258</v>
      </c>
      <c r="S305" s="22">
        <v>735.18200659737886</v>
      </c>
      <c r="T305" s="62">
        <v>748.45287416998292</v>
      </c>
      <c r="U305" s="62">
        <v>751.75794960679764</v>
      </c>
      <c r="V305" s="54">
        <v>750</v>
      </c>
      <c r="W305" s="62">
        <v>765.53401320901321</v>
      </c>
      <c r="X305" s="62">
        <v>744.45856537424254</v>
      </c>
      <c r="Y305" s="62">
        <v>760.32232384823851</v>
      </c>
      <c r="Z305" s="62">
        <v>756.34362557881207</v>
      </c>
      <c r="AA305" s="62" t="e">
        <v>#DIV/0!</v>
      </c>
      <c r="AB305" s="62" t="e">
        <v>#DIV/0!</v>
      </c>
      <c r="AC305" s="62" t="e">
        <v>#DIV/0!</v>
      </c>
      <c r="AD305" s="62" t="e">
        <v>#DIV/0!</v>
      </c>
      <c r="AE305" s="62" t="e">
        <v>#DIV/0!</v>
      </c>
      <c r="AF305" s="62" t="e">
        <v>#DIV/0!</v>
      </c>
      <c r="AG305" s="62" t="e">
        <v>#DIV/0!</v>
      </c>
      <c r="AH305" s="62" t="e">
        <v>#DIV/0!</v>
      </c>
      <c r="AI305" s="62" t="e">
        <v>#DIV/0!</v>
      </c>
      <c r="AJ305" s="62" t="e">
        <v>#DIV/0!</v>
      </c>
      <c r="AK305" s="62" t="e">
        <v>#DIV/0!</v>
      </c>
      <c r="AL305" s="62" t="e">
        <v>#DIV/0!</v>
      </c>
      <c r="AM305" s="62">
        <v>756.34362557881207</v>
      </c>
      <c r="BO305" s="14"/>
    </row>
    <row r="306" spans="1:79">
      <c r="A306" s="84" t="s">
        <v>291</v>
      </c>
      <c r="B306" s="18" t="s">
        <v>281</v>
      </c>
      <c r="C306" s="22">
        <v>768.66177376510052</v>
      </c>
      <c r="D306" s="22">
        <v>724</v>
      </c>
      <c r="E306" s="22">
        <v>734</v>
      </c>
      <c r="F306" s="22">
        <v>716.86713588610451</v>
      </c>
      <c r="G306" s="22">
        <v>713.71163141040142</v>
      </c>
      <c r="H306" s="22">
        <v>712.31439497667213</v>
      </c>
      <c r="I306" s="22">
        <v>693.23989638475291</v>
      </c>
      <c r="J306" s="22">
        <v>698.50294507982733</v>
      </c>
      <c r="K306" s="22">
        <v>692.0697379467623</v>
      </c>
      <c r="L306" s="22">
        <v>683.14891875587307</v>
      </c>
      <c r="M306" s="22">
        <v>675.36330725043058</v>
      </c>
      <c r="N306" s="22">
        <v>686.96582711209749</v>
      </c>
      <c r="O306" s="22">
        <v>697.25622631303645</v>
      </c>
      <c r="P306" s="22">
        <v>692.34319291730196</v>
      </c>
      <c r="Q306" s="22">
        <v>687.86142031365716</v>
      </c>
      <c r="R306" s="22">
        <v>679.1785346536966</v>
      </c>
      <c r="S306" s="22">
        <v>717.02809072073615</v>
      </c>
      <c r="T306" s="62">
        <v>693.93786825227266</v>
      </c>
      <c r="U306" s="62">
        <v>702.90432522927847</v>
      </c>
      <c r="V306" s="54"/>
      <c r="W306" s="62">
        <v>0</v>
      </c>
      <c r="X306" s="62">
        <v>705.50957671152469</v>
      </c>
      <c r="Y306" s="62">
        <v>760.00834753573793</v>
      </c>
      <c r="Z306" s="62">
        <v>735.78801727552923</v>
      </c>
      <c r="AA306" s="62" t="e">
        <v>#DIV/0!</v>
      </c>
      <c r="AB306" s="62" t="e">
        <v>#DIV/0!</v>
      </c>
      <c r="AC306" s="62" t="e">
        <v>#DIV/0!</v>
      </c>
      <c r="AD306" s="62" t="e">
        <v>#DIV/0!</v>
      </c>
      <c r="AE306" s="62" t="e">
        <v>#DIV/0!</v>
      </c>
      <c r="AF306" s="62" t="e">
        <v>#DIV/0!</v>
      </c>
      <c r="AG306" s="62" t="e">
        <v>#DIV/0!</v>
      </c>
      <c r="AH306" s="62" t="e">
        <v>#DIV/0!</v>
      </c>
      <c r="AI306" s="62" t="e">
        <v>#DIV/0!</v>
      </c>
      <c r="AJ306" s="62" t="e">
        <v>#DIV/0!</v>
      </c>
      <c r="AK306" s="62" t="e">
        <v>#DIV/0!</v>
      </c>
      <c r="AL306" s="62" t="e">
        <v>#DIV/0!</v>
      </c>
      <c r="AM306" s="62">
        <v>735.78801727552923</v>
      </c>
      <c r="BO306" s="14"/>
    </row>
    <row r="307" spans="1:79" s="12" customFormat="1">
      <c r="A307" s="53" t="s">
        <v>454</v>
      </c>
      <c r="B307" s="13"/>
      <c r="C307" s="22"/>
      <c r="D307" s="22"/>
      <c r="E307" s="22"/>
      <c r="F307" s="22"/>
      <c r="G307" s="22"/>
      <c r="H307" s="22"/>
      <c r="I307" s="22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BO307" s="14"/>
      <c r="BP307" s="16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</row>
    <row r="308" spans="1:79">
      <c r="A308" s="84" t="s">
        <v>292</v>
      </c>
      <c r="B308" s="18" t="s">
        <v>293</v>
      </c>
      <c r="C308" s="20">
        <v>4.8829478505766515</v>
      </c>
      <c r="D308" s="20">
        <v>4.92</v>
      </c>
      <c r="E308" s="20">
        <v>4.7</v>
      </c>
      <c r="F308" s="20">
        <v>4.5579254058590264</v>
      </c>
      <c r="G308" s="20">
        <v>4.5434203174883638</v>
      </c>
      <c r="H308" s="20">
        <v>4.6267170704159524</v>
      </c>
      <c r="I308" s="20">
        <v>5.1688143897957506</v>
      </c>
      <c r="J308" s="20">
        <v>19.651003225720935</v>
      </c>
      <c r="K308" s="20">
        <v>23.804421797180758</v>
      </c>
      <c r="L308" s="20">
        <v>24.130666309316517</v>
      </c>
      <c r="M308" s="20">
        <v>14.006769387662455</v>
      </c>
      <c r="N308" s="20">
        <v>14.289256786992841</v>
      </c>
      <c r="O308" s="20">
        <v>15.865940520764573</v>
      </c>
      <c r="P308" s="20">
        <v>17.876563801896552</v>
      </c>
      <c r="Q308" s="20">
        <v>16.340282591027012</v>
      </c>
      <c r="R308" s="20">
        <v>16.436889904571228</v>
      </c>
      <c r="S308" s="20">
        <v>16.554299905953737</v>
      </c>
      <c r="T308" s="60">
        <v>16.629214103163882</v>
      </c>
      <c r="U308" s="60">
        <v>16.267271846955047</v>
      </c>
      <c r="V308" s="60"/>
      <c r="W308" s="60">
        <v>15.669436992068931</v>
      </c>
      <c r="X308" s="60">
        <v>15.971275313872585</v>
      </c>
      <c r="Y308" s="60">
        <v>16.162593538485275</v>
      </c>
      <c r="Z308" s="60">
        <v>15.931813030713521</v>
      </c>
      <c r="AA308" s="60" t="e">
        <v>#DIV/0!</v>
      </c>
      <c r="AB308" s="60" t="e">
        <v>#DIV/0!</v>
      </c>
      <c r="AC308" s="60" t="e">
        <v>#DIV/0!</v>
      </c>
      <c r="AD308" s="60" t="e">
        <v>#DIV/0!</v>
      </c>
      <c r="AE308" s="60" t="e">
        <v>#DIV/0!</v>
      </c>
      <c r="AF308" s="60" t="e">
        <v>#DIV/0!</v>
      </c>
      <c r="AG308" s="60" t="e">
        <v>#DIV/0!</v>
      </c>
      <c r="AH308" s="60" t="e">
        <v>#DIV/0!</v>
      </c>
      <c r="AI308" s="60" t="e">
        <v>#DIV/0!</v>
      </c>
      <c r="AJ308" s="60" t="e">
        <v>#DIV/0!</v>
      </c>
      <c r="AK308" s="60" t="e">
        <v>#DIV/0!</v>
      </c>
      <c r="AL308" s="60" t="e">
        <v>#DIV/0!</v>
      </c>
      <c r="AM308" s="60">
        <v>15.931813030713521</v>
      </c>
      <c r="BO308" s="14"/>
    </row>
    <row r="309" spans="1:79">
      <c r="A309" s="85" t="s">
        <v>294</v>
      </c>
      <c r="B309" s="13" t="s">
        <v>293</v>
      </c>
      <c r="C309" s="20">
        <v>59.84363186580913</v>
      </c>
      <c r="D309" s="20">
        <v>60.84</v>
      </c>
      <c r="E309" s="20">
        <v>56.6</v>
      </c>
      <c r="F309" s="20">
        <v>55.018164826111956</v>
      </c>
      <c r="G309" s="20">
        <v>55.245287275376768</v>
      </c>
      <c r="H309" s="20">
        <v>58.87211181866018</v>
      </c>
      <c r="I309" s="20">
        <v>55.743793220416855</v>
      </c>
      <c r="J309" s="20">
        <v>52.692938242656922</v>
      </c>
      <c r="K309" s="20">
        <v>54.360905715951283</v>
      </c>
      <c r="L309" s="20">
        <v>55.739477275614107</v>
      </c>
      <c r="M309" s="20">
        <v>80.447762853675229</v>
      </c>
      <c r="N309" s="20">
        <v>82.410310049579692</v>
      </c>
      <c r="O309" s="20">
        <v>82.203555178530124</v>
      </c>
      <c r="P309" s="20">
        <v>78.59163052905464</v>
      </c>
      <c r="Q309" s="20">
        <v>69.409896281252912</v>
      </c>
      <c r="R309" s="20">
        <v>70.343774200207193</v>
      </c>
      <c r="S309" s="20">
        <v>70.90471713834576</v>
      </c>
      <c r="T309" s="60">
        <v>71.942027311284775</v>
      </c>
      <c r="U309" s="60">
        <v>65.125094046194235</v>
      </c>
      <c r="V309" s="60"/>
      <c r="W309" s="60">
        <v>64.405445856645272</v>
      </c>
      <c r="X309" s="60">
        <v>66.276571673806686</v>
      </c>
      <c r="Y309" s="60">
        <v>65.473365554380081</v>
      </c>
      <c r="Z309" s="60">
        <v>65.386751909070924</v>
      </c>
      <c r="AA309" s="60" t="e">
        <v>#DIV/0!</v>
      </c>
      <c r="AB309" s="60" t="e">
        <v>#DIV/0!</v>
      </c>
      <c r="AC309" s="60" t="e">
        <v>#DIV/0!</v>
      </c>
      <c r="AD309" s="60" t="e">
        <v>#DIV/0!</v>
      </c>
      <c r="AE309" s="60" t="e">
        <v>#DIV/0!</v>
      </c>
      <c r="AF309" s="60" t="e">
        <v>#DIV/0!</v>
      </c>
      <c r="AG309" s="60" t="e">
        <v>#DIV/0!</v>
      </c>
      <c r="AH309" s="60" t="e">
        <v>#DIV/0!</v>
      </c>
      <c r="AI309" s="60" t="e">
        <v>#DIV/0!</v>
      </c>
      <c r="AJ309" s="60" t="e">
        <v>#DIV/0!</v>
      </c>
      <c r="AK309" s="60" t="e">
        <v>#DIV/0!</v>
      </c>
      <c r="AL309" s="60" t="e">
        <v>#DIV/0!</v>
      </c>
      <c r="AM309" s="60">
        <v>65.386751909070924</v>
      </c>
      <c r="BO309" s="23"/>
    </row>
    <row r="310" spans="1:79">
      <c r="A310" s="84" t="s">
        <v>295</v>
      </c>
      <c r="B310" s="18" t="s">
        <v>293</v>
      </c>
      <c r="C310" s="20">
        <v>22.685109679340883</v>
      </c>
      <c r="D310" s="20">
        <v>22.59</v>
      </c>
      <c r="E310" s="20">
        <v>21.3</v>
      </c>
      <c r="F310" s="20">
        <v>20.799621065592383</v>
      </c>
      <c r="G310" s="20">
        <v>20.911214406854533</v>
      </c>
      <c r="H310" s="20">
        <v>20.625318705026242</v>
      </c>
      <c r="I310" s="20">
        <v>15.270685909825467</v>
      </c>
      <c r="J310" s="20">
        <v>35.150683816269101</v>
      </c>
      <c r="K310" s="20">
        <v>41.62241677588122</v>
      </c>
      <c r="L310" s="20">
        <v>40.05256487827203</v>
      </c>
      <c r="M310" s="20">
        <v>40.119367728726715</v>
      </c>
      <c r="N310" s="20">
        <v>38.843266940724178</v>
      </c>
      <c r="O310" s="20">
        <v>40.433226216008777</v>
      </c>
      <c r="P310" s="20">
        <v>42.280883263529731</v>
      </c>
      <c r="Q310" s="20">
        <v>41.05</v>
      </c>
      <c r="R310" s="20">
        <v>39.297445741664717</v>
      </c>
      <c r="S310" s="20">
        <v>38.369351810910779</v>
      </c>
      <c r="T310" s="60">
        <v>40.454921811892582</v>
      </c>
      <c r="U310" s="60">
        <v>40.545411650226939</v>
      </c>
      <c r="V310" s="60">
        <v>44</v>
      </c>
      <c r="W310" s="60">
        <v>40.006780727934341</v>
      </c>
      <c r="X310" s="60">
        <v>40.39637786221391</v>
      </c>
      <c r="Y310" s="60">
        <v>40.404196119078314</v>
      </c>
      <c r="Z310" s="60">
        <v>38.880000000000003</v>
      </c>
      <c r="AA310" s="60" t="e">
        <v>#DIV/0!</v>
      </c>
      <c r="AB310" s="60" t="e">
        <v>#DIV/0!</v>
      </c>
      <c r="AC310" s="60" t="e">
        <v>#DIV/0!</v>
      </c>
      <c r="AD310" s="60" t="e">
        <v>#DIV/0!</v>
      </c>
      <c r="AE310" s="60" t="e">
        <v>#DIV/0!</v>
      </c>
      <c r="AF310" s="60" t="e">
        <v>#DIV/0!</v>
      </c>
      <c r="AG310" s="60" t="e">
        <v>#DIV/0!</v>
      </c>
      <c r="AH310" s="60" t="e">
        <v>#DIV/0!</v>
      </c>
      <c r="AI310" s="60" t="e">
        <v>#DIV/0!</v>
      </c>
      <c r="AJ310" s="60" t="e">
        <v>#DIV/0!</v>
      </c>
      <c r="AK310" s="60" t="e">
        <v>#DIV/0!</v>
      </c>
      <c r="AL310" s="60" t="e">
        <v>#DIV/0!</v>
      </c>
      <c r="AM310" s="60">
        <v>40.267719842172497</v>
      </c>
      <c r="BO310" s="14"/>
    </row>
    <row r="311" spans="1:79">
      <c r="A311" s="84" t="s">
        <v>296</v>
      </c>
      <c r="B311" s="18" t="s">
        <v>293</v>
      </c>
      <c r="C311" s="20"/>
      <c r="D311" s="20"/>
      <c r="E311" s="20"/>
      <c r="F311" s="20"/>
      <c r="G311" s="20"/>
      <c r="H311" s="20"/>
      <c r="I311" s="20"/>
      <c r="J311" s="20"/>
      <c r="K311" s="20"/>
      <c r="L311" s="20">
        <v>40.946826297788689</v>
      </c>
      <c r="M311" s="20">
        <v>42.950277103596278</v>
      </c>
      <c r="N311" s="20">
        <v>43.183387445488151</v>
      </c>
      <c r="O311" s="20">
        <v>44.138903283663602</v>
      </c>
      <c r="P311" s="20">
        <v>45.644845390244477</v>
      </c>
      <c r="Q311" s="20">
        <v>45.25</v>
      </c>
      <c r="R311" s="20">
        <v>40.945760389252158</v>
      </c>
      <c r="S311" s="20">
        <v>40.014676799210214</v>
      </c>
      <c r="T311" s="60">
        <v>39.93594816104126</v>
      </c>
      <c r="U311" s="60">
        <v>38.912585260850769</v>
      </c>
      <c r="V311" s="60">
        <v>39</v>
      </c>
      <c r="W311" s="60">
        <v>38.354092815883725</v>
      </c>
      <c r="X311" s="60">
        <v>38.325608579860358</v>
      </c>
      <c r="Y311" s="60">
        <v>38.948360000154487</v>
      </c>
      <c r="Z311" s="60">
        <v>38.534233574569335</v>
      </c>
      <c r="AA311" s="60" t="e">
        <v>#DIV/0!</v>
      </c>
      <c r="AB311" s="60" t="e">
        <v>#DIV/0!</v>
      </c>
      <c r="AC311" s="60" t="e">
        <v>#DIV/0!</v>
      </c>
      <c r="AD311" s="60" t="e">
        <v>#DIV/0!</v>
      </c>
      <c r="AE311" s="60" t="e">
        <v>#DIV/0!</v>
      </c>
      <c r="AF311" s="60" t="e">
        <v>#DIV/0!</v>
      </c>
      <c r="AG311" s="60" t="e">
        <v>#DIV/0!</v>
      </c>
      <c r="AH311" s="60" t="e">
        <v>#DIV/0!</v>
      </c>
      <c r="AI311" s="60" t="e">
        <v>#DIV/0!</v>
      </c>
      <c r="AJ311" s="60" t="e">
        <v>#DIV/0!</v>
      </c>
      <c r="AK311" s="60" t="e">
        <v>#DIV/0!</v>
      </c>
      <c r="AL311" s="60" t="e">
        <v>#DIV/0!</v>
      </c>
      <c r="AM311" s="60">
        <v>38.534233574569335</v>
      </c>
      <c r="BO311" s="14"/>
    </row>
    <row r="312" spans="1:79">
      <c r="A312" s="84" t="s">
        <v>297</v>
      </c>
      <c r="B312" s="18" t="s">
        <v>293</v>
      </c>
      <c r="C312" s="21">
        <v>37.345546385184065</v>
      </c>
      <c r="D312" s="21">
        <v>41</v>
      </c>
      <c r="E312" s="21">
        <v>41.2</v>
      </c>
      <c r="F312" s="21">
        <v>39.845083428178754</v>
      </c>
      <c r="G312" s="21">
        <v>39.707659042141096</v>
      </c>
      <c r="H312" s="21">
        <v>40.554946607431624</v>
      </c>
      <c r="I312" s="21">
        <v>48.044026658635779</v>
      </c>
      <c r="J312" s="20">
        <v>47.801540998057426</v>
      </c>
      <c r="K312" s="20">
        <v>56.91447694749634</v>
      </c>
      <c r="L312" s="20">
        <v>50.830314488872588</v>
      </c>
      <c r="M312" s="20">
        <v>55.788995593440283</v>
      </c>
      <c r="N312" s="20">
        <v>48.097039324146913</v>
      </c>
      <c r="O312" s="20">
        <v>56.154434791258488</v>
      </c>
      <c r="P312" s="20">
        <v>37.716429650034016</v>
      </c>
      <c r="Q312" s="20">
        <v>34.862755597821518</v>
      </c>
      <c r="R312" s="20">
        <v>34.72764801349696</v>
      </c>
      <c r="S312" s="20">
        <v>33.073888897913456</v>
      </c>
      <c r="T312" s="60">
        <v>37.525941973538444</v>
      </c>
      <c r="U312" s="60">
        <v>31.958955632762461</v>
      </c>
      <c r="V312" s="59">
        <v>32</v>
      </c>
      <c r="W312" s="60">
        <v>31.259323299406624</v>
      </c>
      <c r="X312" s="60">
        <v>31.234118336262405</v>
      </c>
      <c r="Y312" s="60">
        <v>31.313927473100854</v>
      </c>
      <c r="Z312" s="60">
        <v>31.26896327710994</v>
      </c>
      <c r="AA312" s="60" t="e">
        <v>#DIV/0!</v>
      </c>
      <c r="AB312" s="60" t="e">
        <v>#DIV/0!</v>
      </c>
      <c r="AC312" s="60" t="e">
        <v>#DIV/0!</v>
      </c>
      <c r="AD312" s="60" t="e">
        <v>#DIV/0!</v>
      </c>
      <c r="AE312" s="60" t="e">
        <v>#DIV/0!</v>
      </c>
      <c r="AF312" s="60" t="e">
        <v>#DIV/0!</v>
      </c>
      <c r="AG312" s="60" t="e">
        <v>#DIV/0!</v>
      </c>
      <c r="AH312" s="60" t="e">
        <v>#DIV/0!</v>
      </c>
      <c r="AI312" s="60" t="e">
        <v>#DIV/0!</v>
      </c>
      <c r="AJ312" s="60" t="e">
        <v>#DIV/0!</v>
      </c>
      <c r="AK312" s="60" t="e">
        <v>#DIV/0!</v>
      </c>
      <c r="AL312" s="60" t="e">
        <v>#DIV/0!</v>
      </c>
      <c r="AM312" s="60">
        <v>31.26896327710994</v>
      </c>
      <c r="BO312" s="14"/>
    </row>
    <row r="313" spans="1:79">
      <c r="A313" s="84" t="s">
        <v>298</v>
      </c>
      <c r="B313" s="18" t="s">
        <v>293</v>
      </c>
      <c r="C313" s="21">
        <v>44.237867573597974</v>
      </c>
      <c r="D313" s="21">
        <v>44.1</v>
      </c>
      <c r="E313" s="21">
        <v>42.6</v>
      </c>
      <c r="F313" s="21">
        <v>42.065272344864773</v>
      </c>
      <c r="G313" s="21">
        <v>40.385105484935949</v>
      </c>
      <c r="H313" s="21">
        <v>41.516009121179508</v>
      </c>
      <c r="I313" s="21">
        <v>44.575450663013783</v>
      </c>
      <c r="J313" s="20">
        <v>43.487471491627424</v>
      </c>
      <c r="K313" s="20">
        <v>43.072260173870411</v>
      </c>
      <c r="L313" s="20">
        <v>40.887088260195448</v>
      </c>
      <c r="M313" s="20">
        <v>42.321523280856944</v>
      </c>
      <c r="N313" s="20">
        <v>41.270952565371431</v>
      </c>
      <c r="O313" s="20">
        <v>42.38760911875957</v>
      </c>
      <c r="P313" s="20">
        <v>45.103906007269657</v>
      </c>
      <c r="Q313" s="20">
        <v>42.956039962401078</v>
      </c>
      <c r="R313" s="20">
        <v>41.519783392977267</v>
      </c>
      <c r="S313" s="20">
        <v>41.325524405542751</v>
      </c>
      <c r="T313" s="60">
        <v>40.619713660971648</v>
      </c>
      <c r="U313" s="60">
        <v>43.504377022767819</v>
      </c>
      <c r="V313" s="60">
        <v>42</v>
      </c>
      <c r="W313" s="60">
        <v>41.726835763217942</v>
      </c>
      <c r="X313" s="60">
        <v>41.840547945205486</v>
      </c>
      <c r="Y313" s="60">
        <v>41.663328656611704</v>
      </c>
      <c r="Z313" s="60">
        <v>41.742978479646872</v>
      </c>
      <c r="AA313" s="60" t="e">
        <v>#DIV/0!</v>
      </c>
      <c r="AB313" s="60" t="e">
        <v>#DIV/0!</v>
      </c>
      <c r="AC313" s="60" t="e">
        <v>#DIV/0!</v>
      </c>
      <c r="AD313" s="60" t="e">
        <v>#DIV/0!</v>
      </c>
      <c r="AE313" s="60" t="e">
        <v>#DIV/0!</v>
      </c>
      <c r="AF313" s="60" t="e">
        <v>#DIV/0!</v>
      </c>
      <c r="AG313" s="60" t="e">
        <v>#DIV/0!</v>
      </c>
      <c r="AH313" s="60" t="e">
        <v>#DIV/0!</v>
      </c>
      <c r="AI313" s="60" t="e">
        <v>#DIV/0!</v>
      </c>
      <c r="AJ313" s="60" t="e">
        <v>#DIV/0!</v>
      </c>
      <c r="AK313" s="60" t="e">
        <v>#DIV/0!</v>
      </c>
      <c r="AL313" s="60" t="e">
        <v>#DIV/0!</v>
      </c>
      <c r="AM313" s="60">
        <v>41.742978479646872</v>
      </c>
      <c r="BO313" s="14"/>
    </row>
    <row r="314" spans="1:79">
      <c r="A314" s="84" t="s">
        <v>299</v>
      </c>
      <c r="B314" s="18" t="s">
        <v>293</v>
      </c>
      <c r="C314" s="21"/>
      <c r="D314" s="21"/>
      <c r="E314" s="21"/>
      <c r="F314" s="21"/>
      <c r="G314" s="21"/>
      <c r="H314" s="21"/>
      <c r="I314" s="21"/>
      <c r="J314" s="20">
        <v>40.134176692897334</v>
      </c>
      <c r="K314" s="20">
        <v>37.88721044879258</v>
      </c>
      <c r="L314" s="20">
        <v>35.722976811847559</v>
      </c>
      <c r="M314" s="20">
        <v>33.44137472166004</v>
      </c>
      <c r="N314" s="20">
        <v>31.852488634247216</v>
      </c>
      <c r="O314" s="20">
        <v>30.758950368960274</v>
      </c>
      <c r="P314" s="20">
        <v>32.771589226048413</v>
      </c>
      <c r="Q314" s="20">
        <v>32.999360777501543</v>
      </c>
      <c r="R314" s="20">
        <v>33.633879568310434</v>
      </c>
      <c r="S314" s="20">
        <v>33.324382279102949</v>
      </c>
      <c r="T314" s="60">
        <v>33.474509163284729</v>
      </c>
      <c r="U314" s="60">
        <v>33.106043416746651</v>
      </c>
      <c r="V314" s="60">
        <v>33</v>
      </c>
      <c r="W314" s="60">
        <v>32.427744114623572</v>
      </c>
      <c r="X314" s="60">
        <v>31.968564500782666</v>
      </c>
      <c r="Y314" s="60">
        <v>33.966709378284108</v>
      </c>
      <c r="Z314" s="60">
        <v>32.742377042360509</v>
      </c>
      <c r="AA314" s="60" t="e">
        <v>#DIV/0!</v>
      </c>
      <c r="AB314" s="60" t="e">
        <v>#DIV/0!</v>
      </c>
      <c r="AC314" s="60" t="e">
        <v>#DIV/0!</v>
      </c>
      <c r="AD314" s="60" t="e">
        <v>#DIV/0!</v>
      </c>
      <c r="AE314" s="60" t="e">
        <v>#DIV/0!</v>
      </c>
      <c r="AF314" s="60" t="e">
        <v>#DIV/0!</v>
      </c>
      <c r="AG314" s="60" t="e">
        <v>#DIV/0!</v>
      </c>
      <c r="AH314" s="60" t="e">
        <v>#DIV/0!</v>
      </c>
      <c r="AI314" s="60" t="e">
        <v>#DIV/0!</v>
      </c>
      <c r="AJ314" s="60" t="e">
        <v>#DIV/0!</v>
      </c>
      <c r="AK314" s="60" t="e">
        <v>#DIV/0!</v>
      </c>
      <c r="AL314" s="60" t="e">
        <v>#DIV/0!</v>
      </c>
      <c r="AM314" s="60">
        <v>32.742377042360509</v>
      </c>
      <c r="BO314" s="14"/>
    </row>
    <row r="315" spans="1:79">
      <c r="A315" s="84" t="s">
        <v>300</v>
      </c>
      <c r="B315" s="18" t="s">
        <v>293</v>
      </c>
      <c r="C315" s="21">
        <v>149.78879649777224</v>
      </c>
      <c r="D315" s="21">
        <v>148.30000000000001</v>
      </c>
      <c r="E315" s="21">
        <v>149.69999999999999</v>
      </c>
      <c r="F315" s="21">
        <v>154.65090641414329</v>
      </c>
      <c r="G315" s="21">
        <v>158.53089573505451</v>
      </c>
      <c r="H315" s="21">
        <v>156.41682864990491</v>
      </c>
      <c r="I315" s="21">
        <v>150.02471051208872</v>
      </c>
      <c r="J315" s="20">
        <v>143.9965251152633</v>
      </c>
      <c r="K315" s="20">
        <v>150.54164584859566</v>
      </c>
      <c r="L315" s="20">
        <v>172.80883871856224</v>
      </c>
      <c r="M315" s="20">
        <v>156.59175839207447</v>
      </c>
      <c r="N315" s="20">
        <v>152.39522173104447</v>
      </c>
      <c r="O315" s="20">
        <v>158.26715062793832</v>
      </c>
      <c r="P315" s="20">
        <v>148.62093713029779</v>
      </c>
      <c r="Q315" s="20">
        <v>140.50923215393624</v>
      </c>
      <c r="R315" s="20">
        <v>135.4182543427155</v>
      </c>
      <c r="S315" s="20">
        <v>134.20910714321423</v>
      </c>
      <c r="T315" s="60">
        <v>143.63068886914559</v>
      </c>
      <c r="U315" s="60">
        <v>139.20831766544649</v>
      </c>
      <c r="V315" s="60">
        <v>137</v>
      </c>
      <c r="W315" s="60">
        <v>156.51526186579378</v>
      </c>
      <c r="X315" s="60">
        <v>131.09045919195196</v>
      </c>
      <c r="Y315" s="60">
        <v>134.04279927364158</v>
      </c>
      <c r="Z315" s="60">
        <v>138.56951230802466</v>
      </c>
      <c r="AA315" s="60" t="e">
        <v>#DIV/0!</v>
      </c>
      <c r="AB315" s="60" t="e">
        <v>#DIV/0!</v>
      </c>
      <c r="AC315" s="60" t="e">
        <v>#DIV/0!</v>
      </c>
      <c r="AD315" s="60" t="e">
        <v>#DIV/0!</v>
      </c>
      <c r="AE315" s="60" t="e">
        <v>#DIV/0!</v>
      </c>
      <c r="AF315" s="60" t="e">
        <v>#DIV/0!</v>
      </c>
      <c r="AG315" s="60" t="e">
        <v>#DIV/0!</v>
      </c>
      <c r="AH315" s="60" t="e">
        <v>#DIV/0!</v>
      </c>
      <c r="AI315" s="60" t="e">
        <v>#DIV/0!</v>
      </c>
      <c r="AJ315" s="60" t="e">
        <v>#DIV/0!</v>
      </c>
      <c r="AK315" s="60" t="e">
        <v>#DIV/0!</v>
      </c>
      <c r="AL315" s="60" t="e">
        <v>#DIV/0!</v>
      </c>
      <c r="AM315" s="60">
        <v>138.56951230802466</v>
      </c>
      <c r="BO315" s="14"/>
    </row>
    <row r="316" spans="1:79">
      <c r="A316" s="84" t="s">
        <v>301</v>
      </c>
      <c r="B316" s="18" t="s">
        <v>293</v>
      </c>
      <c r="C316" s="21">
        <v>52.771014277076524</v>
      </c>
      <c r="D316" s="21">
        <v>52.8</v>
      </c>
      <c r="E316" s="21">
        <v>50.7</v>
      </c>
      <c r="F316" s="21">
        <v>51.615667358457543</v>
      </c>
      <c r="G316" s="21">
        <v>57.860401331868637</v>
      </c>
      <c r="H316" s="21">
        <v>56.712038769753732</v>
      </c>
      <c r="I316" s="21">
        <v>59.215843963129501</v>
      </c>
      <c r="J316" s="20">
        <v>57.843156817965955</v>
      </c>
      <c r="K316" s="20">
        <v>69.905257502603035</v>
      </c>
      <c r="L316" s="20">
        <v>84.04213442781294</v>
      </c>
      <c r="M316" s="20">
        <v>80.344486202202617</v>
      </c>
      <c r="N316" s="20">
        <v>73.011905494707761</v>
      </c>
      <c r="O316" s="20">
        <v>76.002524119220581</v>
      </c>
      <c r="P316" s="20">
        <v>66.81336533923637</v>
      </c>
      <c r="Q316" s="20">
        <v>60.46419629415778</v>
      </c>
      <c r="R316" s="20">
        <v>58.794733770370755</v>
      </c>
      <c r="S316" s="20">
        <v>57.469236080686734</v>
      </c>
      <c r="T316" s="60">
        <v>59.400200187113441</v>
      </c>
      <c r="U316" s="60">
        <v>61.931900575036522</v>
      </c>
      <c r="V316" s="60">
        <v>60.5</v>
      </c>
      <c r="W316" s="60">
        <v>61.026620678842988</v>
      </c>
      <c r="X316" s="60">
        <v>67.982701135539983</v>
      </c>
      <c r="Y316" s="60">
        <v>62.625377511857472</v>
      </c>
      <c r="Z316" s="60">
        <v>63.774556500071668</v>
      </c>
      <c r="AA316" s="60" t="e">
        <v>#DIV/0!</v>
      </c>
      <c r="AB316" s="60" t="e">
        <v>#DIV/0!</v>
      </c>
      <c r="AC316" s="60" t="e">
        <v>#DIV/0!</v>
      </c>
      <c r="AD316" s="60" t="e">
        <v>#DIV/0!</v>
      </c>
      <c r="AE316" s="60" t="e">
        <v>#DIV/0!</v>
      </c>
      <c r="AF316" s="60" t="e">
        <v>#DIV/0!</v>
      </c>
      <c r="AG316" s="60" t="e">
        <v>#DIV/0!</v>
      </c>
      <c r="AH316" s="60" t="e">
        <v>#DIV/0!</v>
      </c>
      <c r="AI316" s="60" t="e">
        <v>#DIV/0!</v>
      </c>
      <c r="AJ316" s="60" t="e">
        <v>#DIV/0!</v>
      </c>
      <c r="AK316" s="60" t="e">
        <v>#DIV/0!</v>
      </c>
      <c r="AL316" s="60" t="e">
        <v>#DIV/0!</v>
      </c>
      <c r="AM316" s="60">
        <v>63.774556500071668</v>
      </c>
      <c r="BO316" s="14"/>
    </row>
    <row r="317" spans="1:79">
      <c r="A317" s="84" t="s">
        <v>302</v>
      </c>
      <c r="B317" s="18" t="s">
        <v>293</v>
      </c>
      <c r="C317" s="21">
        <v>82.439487975174558</v>
      </c>
      <c r="D317" s="21">
        <v>82.3</v>
      </c>
      <c r="E317" s="21">
        <v>80.7</v>
      </c>
      <c r="F317" s="21">
        <v>82.27152583533902</v>
      </c>
      <c r="G317" s="21">
        <v>79.352179053877308</v>
      </c>
      <c r="H317" s="21">
        <v>81.085778031700727</v>
      </c>
      <c r="I317" s="21">
        <v>80.452029763737343</v>
      </c>
      <c r="J317" s="20">
        <v>80.561155704284786</v>
      </c>
      <c r="K317" s="20">
        <v>81.64617759883059</v>
      </c>
      <c r="L317" s="20">
        <v>81.08970995180718</v>
      </c>
      <c r="M317" s="20">
        <v>82.308305375954092</v>
      </c>
      <c r="N317" s="20">
        <v>79.7534089796318</v>
      </c>
      <c r="O317" s="20">
        <v>78.561299852289508</v>
      </c>
      <c r="P317" s="20">
        <v>83.086292073573162</v>
      </c>
      <c r="Q317" s="20">
        <v>77.089384974157696</v>
      </c>
      <c r="R317" s="20">
        <v>85.383803863904575</v>
      </c>
      <c r="S317" s="20">
        <v>79.343269876797365</v>
      </c>
      <c r="T317" s="60">
        <v>80.333067924062846</v>
      </c>
      <c r="U317" s="60">
        <v>79.210853294227874</v>
      </c>
      <c r="V317" s="59">
        <v>78</v>
      </c>
      <c r="W317" s="60">
        <v>78.499019833417478</v>
      </c>
      <c r="X317" s="60">
        <v>70.198377170016471</v>
      </c>
      <c r="Y317" s="60">
        <v>77.055166748076999</v>
      </c>
      <c r="Z317" s="60">
        <v>75.04498762250735</v>
      </c>
      <c r="AA317" s="60" t="e">
        <v>#DIV/0!</v>
      </c>
      <c r="AB317" s="60" t="e">
        <v>#DIV/0!</v>
      </c>
      <c r="AC317" s="60" t="e">
        <v>#DIV/0!</v>
      </c>
      <c r="AD317" s="60" t="e">
        <v>#DIV/0!</v>
      </c>
      <c r="AE317" s="60" t="e">
        <v>#DIV/0!</v>
      </c>
      <c r="AF317" s="60" t="e">
        <v>#DIV/0!</v>
      </c>
      <c r="AG317" s="60" t="e">
        <v>#DIV/0!</v>
      </c>
      <c r="AH317" s="60" t="e">
        <v>#DIV/0!</v>
      </c>
      <c r="AI317" s="60" t="e">
        <v>#DIV/0!</v>
      </c>
      <c r="AJ317" s="60" t="e">
        <v>#DIV/0!</v>
      </c>
      <c r="AK317" s="60" t="e">
        <v>#DIV/0!</v>
      </c>
      <c r="AL317" s="60" t="e">
        <v>#DIV/0!</v>
      </c>
      <c r="AM317" s="60">
        <v>75.04498762250735</v>
      </c>
      <c r="BO317" s="14"/>
    </row>
    <row r="318" spans="1:79">
      <c r="A318" s="84" t="s">
        <v>303</v>
      </c>
      <c r="B318" s="18" t="s">
        <v>293</v>
      </c>
      <c r="C318" s="21"/>
      <c r="D318" s="21"/>
      <c r="E318" s="21"/>
      <c r="F318" s="21"/>
      <c r="G318" s="21"/>
      <c r="H318" s="21"/>
      <c r="I318" s="21"/>
      <c r="J318" s="20"/>
      <c r="K318" s="20"/>
      <c r="L318" s="20">
        <v>161.25297610786345</v>
      </c>
      <c r="M318" s="20">
        <v>132.52485832382592</v>
      </c>
      <c r="N318" s="20">
        <v>131</v>
      </c>
      <c r="O318" s="20">
        <v>130.22377676759012</v>
      </c>
      <c r="P318" s="20">
        <v>133.97517071766831</v>
      </c>
      <c r="Q318" s="20">
        <v>126.77491693816327</v>
      </c>
      <c r="R318" s="20">
        <v>135.34068355844181</v>
      </c>
      <c r="S318" s="20">
        <v>123.27155945951171</v>
      </c>
      <c r="T318" s="60">
        <v>121.63352716276844</v>
      </c>
      <c r="U318" s="60">
        <v>112.30860088729966</v>
      </c>
      <c r="V318" s="59">
        <v>111</v>
      </c>
      <c r="W318" s="60">
        <v>106.92992301849139</v>
      </c>
      <c r="X318" s="60">
        <v>119.30047730547555</v>
      </c>
      <c r="Y318" s="60">
        <v>106.9014210785852</v>
      </c>
      <c r="Z318" s="60">
        <v>111.04749815032505</v>
      </c>
      <c r="AA318" s="60" t="e">
        <v>#DIV/0!</v>
      </c>
      <c r="AB318" s="60" t="e">
        <v>#DIV/0!</v>
      </c>
      <c r="AC318" s="60" t="e">
        <v>#DIV/0!</v>
      </c>
      <c r="AD318" s="60" t="e">
        <v>#DIV/0!</v>
      </c>
      <c r="AE318" s="60" t="e">
        <v>#DIV/0!</v>
      </c>
      <c r="AF318" s="60" t="e">
        <v>#DIV/0!</v>
      </c>
      <c r="AG318" s="60" t="e">
        <v>#DIV/0!</v>
      </c>
      <c r="AH318" s="60" t="e">
        <v>#DIV/0!</v>
      </c>
      <c r="AI318" s="60" t="e">
        <v>#DIV/0!</v>
      </c>
      <c r="AJ318" s="60" t="e">
        <v>#DIV/0!</v>
      </c>
      <c r="AK318" s="60" t="e">
        <v>#DIV/0!</v>
      </c>
      <c r="AL318" s="60" t="e">
        <v>#DIV/0!</v>
      </c>
      <c r="AM318" s="60">
        <v>111.04749815032505</v>
      </c>
      <c r="BO318" s="14"/>
    </row>
    <row r="319" spans="1:79">
      <c r="A319" s="84" t="s">
        <v>304</v>
      </c>
      <c r="B319" s="18" t="s">
        <v>293</v>
      </c>
      <c r="C319" s="21">
        <v>86.683091351072974</v>
      </c>
      <c r="D319" s="21">
        <v>90.3</v>
      </c>
      <c r="E319" s="21">
        <v>89.4</v>
      </c>
      <c r="F319" s="21">
        <v>86.405563114576466</v>
      </c>
      <c r="G319" s="21">
        <v>85.640994212546474</v>
      </c>
      <c r="H319" s="21">
        <v>83.310496168743555</v>
      </c>
      <c r="I319" s="21">
        <v>87.185146627593141</v>
      </c>
      <c r="J319" s="20">
        <v>89.40380522681491</v>
      </c>
      <c r="K319" s="20">
        <v>90.839795715146678</v>
      </c>
      <c r="L319" s="20">
        <v>86.251667207832753</v>
      </c>
      <c r="M319" s="20">
        <v>84.931124111968487</v>
      </c>
      <c r="N319" s="20">
        <v>84.511613377720678</v>
      </c>
      <c r="O319" s="20">
        <v>83.969445097716417</v>
      </c>
      <c r="P319" s="20">
        <v>86.556841223230606</v>
      </c>
      <c r="Q319" s="20">
        <v>82.800919791370134</v>
      </c>
      <c r="R319" s="20">
        <v>107.05096849849447</v>
      </c>
      <c r="S319" s="20">
        <v>147.42050161111581</v>
      </c>
      <c r="T319" s="60">
        <v>177.74625962706736</v>
      </c>
      <c r="U319" s="60"/>
      <c r="V319" s="59"/>
      <c r="W319" s="60"/>
      <c r="X319" s="60"/>
      <c r="Y319" s="60"/>
      <c r="Z319" s="60"/>
      <c r="AA319" s="60"/>
      <c r="AB319" s="60"/>
      <c r="AC319" s="60"/>
      <c r="AD319" s="60" t="e">
        <v>#DIV/0!</v>
      </c>
      <c r="AE319" s="60"/>
      <c r="AF319" s="60"/>
      <c r="AG319" s="60"/>
      <c r="AH319" s="60" t="e">
        <v>#DIV/0!</v>
      </c>
      <c r="AI319" s="60"/>
      <c r="AJ319" s="60"/>
      <c r="AK319" s="60"/>
      <c r="AL319" s="60" t="e">
        <v>#DIV/0!</v>
      </c>
      <c r="AM319" s="60"/>
      <c r="BO319" s="14"/>
    </row>
    <row r="320" spans="1:79">
      <c r="A320" s="84" t="s">
        <v>305</v>
      </c>
      <c r="B320" s="18" t="s">
        <v>293</v>
      </c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20">
        <v>132.80631895252156</v>
      </c>
      <c r="T320" s="60">
        <v>125.89922936328111</v>
      </c>
      <c r="U320" s="60">
        <v>121.93946393642825</v>
      </c>
      <c r="V320" s="60">
        <v>121</v>
      </c>
      <c r="W320" s="60">
        <v>123.58478713864262</v>
      </c>
      <c r="X320" s="60">
        <v>141.66337928158418</v>
      </c>
      <c r="Y320" s="60">
        <v>121.64431877434917</v>
      </c>
      <c r="Z320" s="60">
        <v>127.85422436383055</v>
      </c>
      <c r="AA320" s="60" t="e">
        <v>#DIV/0!</v>
      </c>
      <c r="AB320" s="60" t="e">
        <v>#DIV/0!</v>
      </c>
      <c r="AC320" s="60" t="e">
        <v>#DIV/0!</v>
      </c>
      <c r="AD320" s="60" t="e">
        <v>#DIV/0!</v>
      </c>
      <c r="AE320" s="60" t="e">
        <v>#DIV/0!</v>
      </c>
      <c r="AF320" s="60" t="e">
        <v>#DIV/0!</v>
      </c>
      <c r="AG320" s="60" t="e">
        <v>#DIV/0!</v>
      </c>
      <c r="AH320" s="60" t="e">
        <v>#DIV/0!</v>
      </c>
      <c r="AI320" s="60" t="e">
        <v>#DIV/0!</v>
      </c>
      <c r="AJ320" s="60" t="e">
        <v>#DIV/0!</v>
      </c>
      <c r="AK320" s="60" t="e">
        <v>#DIV/0!</v>
      </c>
      <c r="AL320" s="60" t="e">
        <v>#DIV/0!</v>
      </c>
      <c r="AM320" s="60">
        <v>127.85422436383055</v>
      </c>
      <c r="BO320" s="14"/>
    </row>
    <row r="321" spans="1:67">
      <c r="A321" s="84" t="s">
        <v>306</v>
      </c>
      <c r="B321" s="18" t="s">
        <v>293</v>
      </c>
      <c r="C321" s="21">
        <v>143.39449804230182</v>
      </c>
      <c r="D321" s="21">
        <v>152.6</v>
      </c>
      <c r="E321" s="21">
        <v>154.1</v>
      </c>
      <c r="F321" s="21">
        <v>151.35744397847631</v>
      </c>
      <c r="G321" s="21">
        <v>147.51111884385773</v>
      </c>
      <c r="H321" s="21">
        <v>153.02289984987272</v>
      </c>
      <c r="I321" s="21">
        <v>137.03421322016717</v>
      </c>
      <c r="J321" s="20">
        <v>151.18553044942729</v>
      </c>
      <c r="K321" s="20">
        <v>156.59051562309963</v>
      </c>
      <c r="L321" s="20">
        <v>160.2738669185832</v>
      </c>
      <c r="M321" s="20">
        <v>164.67505284351071</v>
      </c>
      <c r="N321" s="20">
        <v>174.66664146044829</v>
      </c>
      <c r="O321" s="20">
        <v>194.51350524017818</v>
      </c>
      <c r="P321" s="20">
        <v>219.86675444615472</v>
      </c>
      <c r="Q321" s="20">
        <v>233.92055388934975</v>
      </c>
      <c r="R321" s="20">
        <v>235.34428709166659</v>
      </c>
      <c r="S321" s="20">
        <v>304.84241821710941</v>
      </c>
      <c r="T321" s="60"/>
      <c r="U321" s="60"/>
      <c r="V321" s="59"/>
      <c r="W321" s="60"/>
      <c r="X321" s="60"/>
      <c r="Y321" s="60"/>
      <c r="Z321" s="60" t="e">
        <v>#DIV/0!</v>
      </c>
      <c r="AA321" s="60"/>
      <c r="AB321" s="60"/>
      <c r="AC321" s="60"/>
      <c r="AD321" s="60" t="e">
        <v>#DIV/0!</v>
      </c>
      <c r="AE321" s="60"/>
      <c r="AF321" s="60"/>
      <c r="AG321" s="60" t="e">
        <v>#DIV/0!</v>
      </c>
      <c r="AH321" s="60" t="e">
        <v>#DIV/0!</v>
      </c>
      <c r="AI321" s="60" t="e">
        <v>#DIV/0!</v>
      </c>
      <c r="AJ321" s="60" t="e">
        <v>#DIV/0!</v>
      </c>
      <c r="AK321" s="60" t="e">
        <v>#DIV/0!</v>
      </c>
      <c r="AL321" s="60" t="e">
        <v>#DIV/0!</v>
      </c>
      <c r="AM321" s="60"/>
      <c r="BO321" s="14"/>
    </row>
    <row r="322" spans="1:67">
      <c r="A322" s="84" t="s">
        <v>307</v>
      </c>
      <c r="B322" s="18" t="s">
        <v>308</v>
      </c>
      <c r="C322" s="21">
        <v>512.26870029283248</v>
      </c>
      <c r="D322" s="21">
        <v>527.6</v>
      </c>
      <c r="E322" s="21">
        <v>520</v>
      </c>
      <c r="F322" s="22">
        <v>504</v>
      </c>
      <c r="G322" s="22">
        <v>482.26260152635058</v>
      </c>
      <c r="H322" s="22">
        <v>473.91329889234191</v>
      </c>
      <c r="I322" s="22">
        <v>458.82733658712766</v>
      </c>
      <c r="J322" s="22">
        <v>480.60036060858118</v>
      </c>
      <c r="K322" s="22">
        <v>487.26970282585268</v>
      </c>
      <c r="L322" s="22">
        <v>463.96872141655712</v>
      </c>
      <c r="M322" s="21">
        <v>477.04120281049768</v>
      </c>
      <c r="N322" s="21">
        <v>461.28868048272955</v>
      </c>
      <c r="O322" s="21">
        <v>484.91334307547646</v>
      </c>
      <c r="P322" s="21">
        <v>468.85352849851142</v>
      </c>
      <c r="Q322" s="21">
        <v>456.43226682442958</v>
      </c>
      <c r="R322" s="21">
        <v>480.10438466883733</v>
      </c>
      <c r="S322" s="21">
        <v>443.4501122600301</v>
      </c>
      <c r="T322" s="59">
        <v>440.01447487054742</v>
      </c>
      <c r="U322" s="59">
        <v>435.04104703182685</v>
      </c>
      <c r="V322" s="62">
        <v>430</v>
      </c>
      <c r="W322" s="60">
        <v>425.82000049751105</v>
      </c>
      <c r="X322" s="60">
        <v>483.27487721546015</v>
      </c>
      <c r="Y322" s="60">
        <v>415.43399996737514</v>
      </c>
      <c r="Z322" s="60">
        <v>439.63214997571708</v>
      </c>
      <c r="AA322" s="60" t="e">
        <v>#DIV/0!</v>
      </c>
      <c r="AB322" s="60" t="e">
        <v>#DIV/0!</v>
      </c>
      <c r="AC322" s="60" t="e">
        <v>#DIV/0!</v>
      </c>
      <c r="AD322" s="59" t="e">
        <v>#DIV/0!</v>
      </c>
      <c r="AE322" s="60" t="e">
        <v>#DIV/0!</v>
      </c>
      <c r="AF322" s="60" t="e">
        <v>#DIV/0!</v>
      </c>
      <c r="AG322" s="60" t="e">
        <v>#DIV/0!</v>
      </c>
      <c r="AH322" s="59" t="e">
        <v>#DIV/0!</v>
      </c>
      <c r="AI322" s="60" t="e">
        <v>#DIV/0!</v>
      </c>
      <c r="AJ322" s="60" t="e">
        <v>#DIV/0!</v>
      </c>
      <c r="AK322" s="60" t="e">
        <v>#DIV/0!</v>
      </c>
      <c r="AL322" s="59" t="e">
        <v>#DIV/0!</v>
      </c>
      <c r="AM322" s="60">
        <v>439.63214997571708</v>
      </c>
      <c r="BO322" s="14"/>
    </row>
    <row r="323" spans="1:67">
      <c r="A323" s="53"/>
      <c r="B323" s="18"/>
      <c r="C323" s="21"/>
      <c r="D323" s="21"/>
      <c r="E323" s="21"/>
      <c r="F323" s="22"/>
      <c r="G323" s="22"/>
      <c r="H323" s="22"/>
      <c r="I323" s="22"/>
      <c r="J323" s="22"/>
      <c r="K323" s="22"/>
      <c r="L323" s="22"/>
      <c r="M323" s="21"/>
      <c r="N323" s="21"/>
      <c r="O323" s="21"/>
      <c r="P323" s="21"/>
      <c r="Q323" s="21"/>
      <c r="R323" s="21"/>
      <c r="S323" s="21"/>
      <c r="T323" s="59"/>
      <c r="U323" s="59"/>
      <c r="V323" s="62"/>
      <c r="W323" s="60"/>
      <c r="X323" s="60"/>
      <c r="Y323" s="60"/>
      <c r="Z323" s="60"/>
      <c r="AA323" s="60"/>
      <c r="AB323" s="60"/>
      <c r="AC323" s="60"/>
      <c r="AD323" s="59"/>
      <c r="AE323" s="60"/>
      <c r="AF323" s="60"/>
      <c r="AG323" s="60"/>
      <c r="AH323" s="59"/>
      <c r="AI323" s="60"/>
      <c r="AJ323" s="60"/>
      <c r="AK323" s="60"/>
      <c r="AL323" s="59"/>
      <c r="AM323" s="60"/>
      <c r="BO323" s="14"/>
    </row>
    <row r="324" spans="1:67">
      <c r="A324" s="64" t="s">
        <v>309</v>
      </c>
      <c r="B324" s="18"/>
      <c r="C324" s="21"/>
      <c r="D324" s="21"/>
      <c r="E324" s="21"/>
      <c r="F324" s="21"/>
      <c r="G324" s="21"/>
      <c r="H324" s="21"/>
      <c r="I324" s="21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62"/>
      <c r="U324" s="62"/>
      <c r="V324" s="54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BO324" s="13"/>
    </row>
    <row r="325" spans="1:67">
      <c r="A325" s="84" t="s">
        <v>310</v>
      </c>
      <c r="B325" s="29" t="s">
        <v>311</v>
      </c>
      <c r="C325" s="21">
        <v>90.2</v>
      </c>
      <c r="D325" s="21">
        <v>90.2</v>
      </c>
      <c r="E325" s="21">
        <v>90.3</v>
      </c>
      <c r="F325" s="21">
        <v>90.333333333333329</v>
      </c>
      <c r="G325" s="21">
        <v>90.491666666666674</v>
      </c>
      <c r="H325" s="21">
        <v>88.858333333333334</v>
      </c>
      <c r="I325" s="21">
        <v>88.641666666666694</v>
      </c>
      <c r="J325" s="21">
        <v>88.149999999999991</v>
      </c>
      <c r="K325" s="21">
        <v>90.358333333333334</v>
      </c>
      <c r="L325" s="21">
        <v>91</v>
      </c>
      <c r="M325" s="21">
        <v>91</v>
      </c>
      <c r="N325" s="20">
        <v>89.8</v>
      </c>
      <c r="O325" s="20">
        <v>90</v>
      </c>
      <c r="P325" s="20">
        <v>90</v>
      </c>
      <c r="Q325" s="20">
        <v>90.8</v>
      </c>
      <c r="R325" s="20">
        <v>90.68</v>
      </c>
      <c r="S325" s="20">
        <v>90.669999999999987</v>
      </c>
      <c r="T325" s="60">
        <v>90.694999999999993</v>
      </c>
      <c r="U325" s="60">
        <v>90.775000000000006</v>
      </c>
      <c r="V325" s="59"/>
      <c r="W325" s="60">
        <v>90.5</v>
      </c>
      <c r="X325" s="60">
        <v>90.6</v>
      </c>
      <c r="Y325" s="60">
        <v>90.7</v>
      </c>
      <c r="Z325" s="60">
        <v>90.600000000000009</v>
      </c>
      <c r="AA325" s="60">
        <v>0</v>
      </c>
      <c r="AB325" s="60">
        <v>0</v>
      </c>
      <c r="AC325" s="60">
        <v>0</v>
      </c>
      <c r="AD325" s="60">
        <v>0</v>
      </c>
      <c r="AE325" s="60">
        <v>0</v>
      </c>
      <c r="AF325" s="60">
        <v>0</v>
      </c>
      <c r="AG325" s="60">
        <v>0</v>
      </c>
      <c r="AH325" s="60">
        <v>0</v>
      </c>
      <c r="AI325" s="60">
        <v>0</v>
      </c>
      <c r="AJ325" s="60">
        <v>0</v>
      </c>
      <c r="AK325" s="60">
        <v>0</v>
      </c>
      <c r="AL325" s="60">
        <v>0</v>
      </c>
      <c r="AM325" s="60">
        <v>90.600000000000009</v>
      </c>
      <c r="BO325" s="14"/>
    </row>
    <row r="326" spans="1:67">
      <c r="A326" s="84" t="s">
        <v>312</v>
      </c>
      <c r="B326" s="29" t="s">
        <v>311</v>
      </c>
      <c r="C326" s="21">
        <v>80.599999999999994</v>
      </c>
      <c r="D326" s="21">
        <v>80.8</v>
      </c>
      <c r="E326" s="21">
        <v>80.8</v>
      </c>
      <c r="F326" s="21">
        <v>80.716666666666654</v>
      </c>
      <c r="G326" s="21">
        <v>80.75</v>
      </c>
      <c r="H326" s="21">
        <v>78.55</v>
      </c>
      <c r="I326" s="21">
        <v>77.63333333333334</v>
      </c>
      <c r="J326" s="21">
        <v>78.616666666666674</v>
      </c>
      <c r="K326" s="21">
        <v>81.853333333333339</v>
      </c>
      <c r="L326" s="21">
        <v>83.19</v>
      </c>
      <c r="M326" s="21">
        <v>83.19</v>
      </c>
      <c r="N326" s="20">
        <v>82.1</v>
      </c>
      <c r="O326" s="20">
        <v>82.94</v>
      </c>
      <c r="P326" s="20">
        <v>84.74</v>
      </c>
      <c r="Q326" s="20">
        <v>83.5</v>
      </c>
      <c r="R326" s="20">
        <v>81.950000000000017</v>
      </c>
      <c r="S326" s="20">
        <v>81.12</v>
      </c>
      <c r="T326" s="60">
        <v>81.349999999999994</v>
      </c>
      <c r="U326" s="60">
        <v>81.205000000000013</v>
      </c>
      <c r="V326" s="59"/>
      <c r="W326" s="60">
        <v>81</v>
      </c>
      <c r="X326" s="60">
        <v>81.099999999999994</v>
      </c>
      <c r="Y326" s="60">
        <v>81</v>
      </c>
      <c r="Z326" s="60">
        <v>81.033333333333331</v>
      </c>
      <c r="AA326" s="60">
        <v>0</v>
      </c>
      <c r="AB326" s="60">
        <v>0</v>
      </c>
      <c r="AC326" s="60">
        <v>0</v>
      </c>
      <c r="AD326" s="60">
        <v>0</v>
      </c>
      <c r="AE326" s="60">
        <v>0</v>
      </c>
      <c r="AF326" s="60">
        <v>0</v>
      </c>
      <c r="AG326" s="60">
        <v>0</v>
      </c>
      <c r="AH326" s="60">
        <v>0</v>
      </c>
      <c r="AI326" s="60">
        <v>0</v>
      </c>
      <c r="AJ326" s="60">
        <v>0</v>
      </c>
      <c r="AK326" s="60">
        <v>0</v>
      </c>
      <c r="AL326" s="60">
        <v>0</v>
      </c>
      <c r="AM326" s="60">
        <v>81.033333333333331</v>
      </c>
      <c r="BO326" s="14"/>
    </row>
    <row r="327" spans="1:67">
      <c r="A327" s="84" t="s">
        <v>313</v>
      </c>
      <c r="B327" s="18" t="s">
        <v>41</v>
      </c>
      <c r="C327" s="21">
        <v>3.5</v>
      </c>
      <c r="D327" s="21">
        <v>3.6</v>
      </c>
      <c r="E327" s="21">
        <v>3.7</v>
      </c>
      <c r="F327" s="21">
        <v>3.7741666666666664</v>
      </c>
      <c r="G327" s="21">
        <v>3.1974999999999998</v>
      </c>
      <c r="H327" s="21">
        <v>3</v>
      </c>
      <c r="I327" s="21">
        <v>2.2000000000000002</v>
      </c>
      <c r="J327" s="20">
        <v>1.9666666666666666</v>
      </c>
      <c r="K327" s="20">
        <v>2.4947071270025498</v>
      </c>
      <c r="L327" s="20">
        <v>1.59</v>
      </c>
      <c r="M327" s="20">
        <v>1.59</v>
      </c>
      <c r="N327" s="20">
        <v>1.1000000000000001</v>
      </c>
      <c r="O327" s="20">
        <v>1.4</v>
      </c>
      <c r="P327" s="20">
        <v>1.4</v>
      </c>
      <c r="Q327" s="20">
        <v>0.35</v>
      </c>
      <c r="R327" s="20">
        <v>0.64</v>
      </c>
      <c r="S327" s="20">
        <v>0.375</v>
      </c>
      <c r="T327" s="60">
        <v>0.505</v>
      </c>
      <c r="U327" s="60">
        <v>4.1666666666666666E-3</v>
      </c>
      <c r="V327" s="60"/>
      <c r="W327" s="60">
        <v>0</v>
      </c>
      <c r="X327" s="60">
        <v>0</v>
      </c>
      <c r="Y327" s="60">
        <v>0</v>
      </c>
      <c r="Z327" s="60">
        <v>0</v>
      </c>
      <c r="AA327" s="60">
        <v>0</v>
      </c>
      <c r="AB327" s="60">
        <v>0</v>
      </c>
      <c r="AC327" s="60">
        <v>0</v>
      </c>
      <c r="AD327" s="60">
        <v>0</v>
      </c>
      <c r="AE327" s="60">
        <v>0</v>
      </c>
      <c r="AF327" s="60">
        <v>0</v>
      </c>
      <c r="AG327" s="60">
        <v>0</v>
      </c>
      <c r="AH327" s="60">
        <v>0</v>
      </c>
      <c r="AI327" s="60">
        <v>0</v>
      </c>
      <c r="AJ327" s="60">
        <v>0</v>
      </c>
      <c r="AK327" s="60">
        <v>0</v>
      </c>
      <c r="AL327" s="60">
        <v>0</v>
      </c>
      <c r="AM327" s="60">
        <v>0</v>
      </c>
      <c r="BO327" s="14"/>
    </row>
    <row r="328" spans="1:67">
      <c r="A328" s="84" t="s">
        <v>314</v>
      </c>
      <c r="B328" s="18" t="s">
        <v>41</v>
      </c>
      <c r="C328" s="21">
        <v>2</v>
      </c>
      <c r="D328" s="21">
        <v>2.1</v>
      </c>
      <c r="E328" s="21">
        <v>2.44</v>
      </c>
      <c r="F328" s="21">
        <v>2.2041666666666671</v>
      </c>
      <c r="G328" s="21">
        <v>1.7766666666666666</v>
      </c>
      <c r="H328" s="21">
        <v>1.5591666666666668</v>
      </c>
      <c r="I328" s="21">
        <v>1.7233333333333334</v>
      </c>
      <c r="J328" s="20">
        <v>1.3925000000000001</v>
      </c>
      <c r="K328" s="20">
        <v>0.69999999999999984</v>
      </c>
      <c r="L328" s="20">
        <v>0.52</v>
      </c>
      <c r="M328" s="20">
        <v>0.52</v>
      </c>
      <c r="N328" s="20">
        <v>0.4</v>
      </c>
      <c r="O328" s="20">
        <v>0.39</v>
      </c>
      <c r="P328" s="20">
        <v>0.39</v>
      </c>
      <c r="Q328" s="20">
        <v>0.44</v>
      </c>
      <c r="R328" s="20">
        <v>0.27</v>
      </c>
      <c r="S328" s="20">
        <v>0.22500000000000003</v>
      </c>
      <c r="T328" s="60">
        <v>0.19750000000000001</v>
      </c>
      <c r="U328" s="60">
        <v>0.38583333333333325</v>
      </c>
      <c r="V328" s="60"/>
      <c r="W328" s="60">
        <v>0.21</v>
      </c>
      <c r="X328" s="60">
        <v>0.18</v>
      </c>
      <c r="Y328" s="60">
        <v>0.37</v>
      </c>
      <c r="Z328" s="60">
        <v>0.25333333333333335</v>
      </c>
      <c r="AA328" s="60">
        <v>0</v>
      </c>
      <c r="AB328" s="60">
        <v>0</v>
      </c>
      <c r="AC328" s="60">
        <v>0</v>
      </c>
      <c r="AD328" s="60">
        <v>0</v>
      </c>
      <c r="AE328" s="60">
        <v>0</v>
      </c>
      <c r="AF328" s="60">
        <v>0</v>
      </c>
      <c r="AG328" s="60">
        <v>0</v>
      </c>
      <c r="AH328" s="60">
        <v>0</v>
      </c>
      <c r="AI328" s="60">
        <v>0</v>
      </c>
      <c r="AJ328" s="60">
        <v>0</v>
      </c>
      <c r="AK328" s="60">
        <v>0</v>
      </c>
      <c r="AL328" s="60">
        <v>0</v>
      </c>
      <c r="AM328" s="60">
        <v>0.25333333333333335</v>
      </c>
      <c r="BO328" s="14"/>
    </row>
    <row r="329" spans="1:67">
      <c r="A329" s="84" t="s">
        <v>315</v>
      </c>
      <c r="B329" s="18" t="s">
        <v>41</v>
      </c>
      <c r="C329" s="21">
        <v>0.7</v>
      </c>
      <c r="D329" s="20">
        <v>0.4</v>
      </c>
      <c r="E329" s="20">
        <v>0.35</v>
      </c>
      <c r="F329" s="20">
        <v>0.32333333333333331</v>
      </c>
      <c r="G329" s="20">
        <v>0.27916666666666667</v>
      </c>
      <c r="H329" s="20">
        <v>0.30833333333333335</v>
      </c>
      <c r="I329" s="20">
        <v>0.48750000000000004</v>
      </c>
      <c r="J329" s="20">
        <v>0.5558333333333334</v>
      </c>
      <c r="K329" s="20">
        <v>0.45083333333333325</v>
      </c>
      <c r="L329" s="20">
        <v>0.34</v>
      </c>
      <c r="M329" s="20">
        <v>0.34</v>
      </c>
      <c r="N329" s="20">
        <v>0.43</v>
      </c>
      <c r="O329" s="20">
        <v>0.35</v>
      </c>
      <c r="P329" s="20">
        <v>0.35</v>
      </c>
      <c r="Q329" s="20">
        <v>0.47</v>
      </c>
      <c r="R329" s="20">
        <v>0.35999999999999993</v>
      </c>
      <c r="S329" s="20">
        <v>0.46500000000000002</v>
      </c>
      <c r="T329" s="60">
        <v>0.36</v>
      </c>
      <c r="U329" s="60">
        <v>0.38299999999999995</v>
      </c>
      <c r="V329" s="60"/>
      <c r="W329" s="60">
        <v>0.4</v>
      </c>
      <c r="X329" s="60">
        <v>0.4</v>
      </c>
      <c r="Y329" s="60">
        <v>0.4</v>
      </c>
      <c r="Z329" s="60">
        <v>0.40000000000000008</v>
      </c>
      <c r="AA329" s="60">
        <v>0</v>
      </c>
      <c r="AB329" s="60">
        <v>0</v>
      </c>
      <c r="AC329" s="60">
        <v>0</v>
      </c>
      <c r="AD329" s="60">
        <v>0</v>
      </c>
      <c r="AE329" s="60">
        <v>0</v>
      </c>
      <c r="AF329" s="60">
        <v>0</v>
      </c>
      <c r="AG329" s="60">
        <v>0</v>
      </c>
      <c r="AH329" s="60">
        <v>0</v>
      </c>
      <c r="AI329" s="60">
        <v>0</v>
      </c>
      <c r="AJ329" s="60">
        <v>0</v>
      </c>
      <c r="AK329" s="60">
        <v>0</v>
      </c>
      <c r="AL329" s="60">
        <v>0</v>
      </c>
      <c r="AM329" s="60">
        <v>0.40000000000000008</v>
      </c>
      <c r="BO329" s="14"/>
    </row>
    <row r="330" spans="1:67">
      <c r="A330" s="84"/>
      <c r="B330" s="18"/>
      <c r="C330" s="2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BO330" s="14"/>
    </row>
    <row r="331" spans="1:67">
      <c r="A331" s="84"/>
      <c r="B331" s="18"/>
      <c r="C331" s="2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BO331" s="14"/>
    </row>
    <row r="332" spans="1:67">
      <c r="A332" s="64" t="s">
        <v>316</v>
      </c>
      <c r="B332" s="13"/>
      <c r="C332" s="22"/>
      <c r="D332" s="22"/>
      <c r="E332" s="22"/>
      <c r="F332" s="22"/>
      <c r="G332" s="22"/>
      <c r="H332" s="22"/>
      <c r="I332" s="22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BO332" s="13"/>
    </row>
    <row r="333" spans="1:67">
      <c r="A333" s="85" t="s">
        <v>317</v>
      </c>
      <c r="B333" s="13" t="s">
        <v>318</v>
      </c>
      <c r="C333" s="24">
        <v>7.3879999999999999</v>
      </c>
      <c r="D333" s="24">
        <v>7.09</v>
      </c>
      <c r="E333" s="24">
        <v>6.9740000000000002</v>
      </c>
      <c r="F333" s="24">
        <v>6.87</v>
      </c>
      <c r="G333" s="24">
        <v>6.86</v>
      </c>
      <c r="H333" s="24">
        <v>6.7329999999999997</v>
      </c>
      <c r="I333" s="24">
        <v>6.6749999999999998</v>
      </c>
      <c r="J333" s="24">
        <v>6.5670999999999999</v>
      </c>
      <c r="K333" s="24">
        <v>6.4980000000000002</v>
      </c>
      <c r="L333" s="24">
        <v>6.4279999999999999</v>
      </c>
      <c r="M333" s="24">
        <v>6.3330000000000002</v>
      </c>
      <c r="N333" s="24">
        <v>6.2590000000000003</v>
      </c>
      <c r="O333" s="24">
        <v>6.2439999999999998</v>
      </c>
      <c r="P333" s="24">
        <v>6.1890000000000001</v>
      </c>
      <c r="Q333" s="24">
        <v>5.9907000000000004</v>
      </c>
      <c r="R333" s="24">
        <v>6.0343</v>
      </c>
      <c r="S333" s="24">
        <v>5.9839000000000002</v>
      </c>
      <c r="T333" s="69">
        <v>5.9180000000000001</v>
      </c>
      <c r="U333" s="69">
        <v>6.0026999999999999</v>
      </c>
      <c r="V333" s="60">
        <v>5.98</v>
      </c>
      <c r="W333" s="69">
        <v>6.1505999999999998</v>
      </c>
      <c r="X333" s="69">
        <v>6.2201000000000004</v>
      </c>
      <c r="Y333" s="69">
        <v>5.9806999999999997</v>
      </c>
      <c r="Z333" s="69">
        <v>6.117</v>
      </c>
      <c r="AA333" s="69">
        <v>0</v>
      </c>
      <c r="AB333" s="69">
        <v>0</v>
      </c>
      <c r="AC333" s="69">
        <v>0</v>
      </c>
      <c r="AD333" s="69">
        <v>0</v>
      </c>
      <c r="AE333" s="69">
        <v>0</v>
      </c>
      <c r="AF333" s="69">
        <v>0</v>
      </c>
      <c r="AG333" s="69">
        <v>0</v>
      </c>
      <c r="AH333" s="69">
        <v>6.367</v>
      </c>
      <c r="AI333" s="69">
        <v>0</v>
      </c>
      <c r="AJ333" s="69">
        <v>0</v>
      </c>
      <c r="AK333" s="69">
        <v>0</v>
      </c>
      <c r="AL333" s="69">
        <v>6.367</v>
      </c>
      <c r="AM333" s="69">
        <v>6.1166999999999998</v>
      </c>
      <c r="BO333" s="23"/>
    </row>
    <row r="334" spans="1:67">
      <c r="A334" s="85" t="s">
        <v>319</v>
      </c>
      <c r="B334" s="15" t="s">
        <v>61</v>
      </c>
      <c r="C334" s="13">
        <v>1.0269999999999999</v>
      </c>
      <c r="D334" s="13">
        <v>1.052</v>
      </c>
      <c r="E334" s="13">
        <v>1.0529999999999999</v>
      </c>
      <c r="F334" s="13">
        <v>1.0529999999999999</v>
      </c>
      <c r="G334" s="13">
        <v>1.0529999999999999</v>
      </c>
      <c r="H334" s="13">
        <v>1.052</v>
      </c>
      <c r="I334" s="13">
        <v>1.0489999999999999</v>
      </c>
      <c r="J334" s="24">
        <v>1.05</v>
      </c>
      <c r="K334" s="24">
        <v>1.0418333333333334</v>
      </c>
      <c r="L334" s="24">
        <v>1.028</v>
      </c>
      <c r="M334" s="24">
        <v>1.0169999999999999</v>
      </c>
      <c r="N334" s="24">
        <v>0.999</v>
      </c>
      <c r="O334" s="24">
        <v>1.016</v>
      </c>
      <c r="P334" s="24">
        <v>1.0389999999999999</v>
      </c>
      <c r="Q334" s="24">
        <v>1.028</v>
      </c>
      <c r="R334" s="24">
        <v>1.028</v>
      </c>
      <c r="S334" s="24">
        <v>1.0329999999999999</v>
      </c>
      <c r="T334" s="69">
        <v>1.0269999999999999</v>
      </c>
      <c r="U334" s="69">
        <v>1.0337672473468045</v>
      </c>
      <c r="V334" s="60">
        <v>1.0309999999999999</v>
      </c>
      <c r="W334" s="69">
        <v>1.037880972143346</v>
      </c>
      <c r="X334" s="69">
        <v>1.0395582599752684</v>
      </c>
      <c r="Y334" s="69">
        <v>1.0384580851764282</v>
      </c>
      <c r="Z334" s="69">
        <v>1.0386186856641535</v>
      </c>
      <c r="AA334" s="69" t="e">
        <v>#DIV/0!</v>
      </c>
      <c r="AB334" s="69" t="e">
        <v>#DIV/0!</v>
      </c>
      <c r="AC334" s="69" t="e">
        <v>#DIV/0!</v>
      </c>
      <c r="AD334" s="69" t="e">
        <v>#DIV/0!</v>
      </c>
      <c r="AE334" s="69" t="e">
        <v>#DIV/0!</v>
      </c>
      <c r="AF334" s="69" t="e">
        <v>#DIV/0!</v>
      </c>
      <c r="AG334" s="69" t="e">
        <v>#DIV/0!</v>
      </c>
      <c r="AH334" s="69" t="e">
        <v>#DIV/0!</v>
      </c>
      <c r="AI334" s="69" t="e">
        <v>#DIV/0!</v>
      </c>
      <c r="AJ334" s="69" t="e">
        <v>#DIV/0!</v>
      </c>
      <c r="AK334" s="69" t="e">
        <v>#DIV/0!</v>
      </c>
      <c r="AL334" s="69" t="e">
        <v>#DIV/0!</v>
      </c>
      <c r="AM334" s="69">
        <v>1.0386186856641535</v>
      </c>
      <c r="BO334" s="23"/>
    </row>
    <row r="335" spans="1:67">
      <c r="A335" s="85" t="s">
        <v>320</v>
      </c>
      <c r="B335" s="13" t="s">
        <v>321</v>
      </c>
      <c r="C335" s="13">
        <v>5554</v>
      </c>
      <c r="D335" s="13">
        <v>2404</v>
      </c>
      <c r="E335" s="13">
        <v>658</v>
      </c>
      <c r="F335" s="13">
        <v>359</v>
      </c>
      <c r="G335" s="13">
        <v>298</v>
      </c>
      <c r="H335" s="13">
        <v>392</v>
      </c>
      <c r="I335" s="13">
        <v>1008</v>
      </c>
      <c r="J335" s="22">
        <v>1613.1150000000002</v>
      </c>
      <c r="K335" s="22">
        <v>7976.8</v>
      </c>
      <c r="L335" s="22">
        <v>7170</v>
      </c>
      <c r="M335" s="22">
        <v>13303</v>
      </c>
      <c r="N335" s="22">
        <v>15281</v>
      </c>
      <c r="O335" s="22">
        <v>14637.24</v>
      </c>
      <c r="P335" s="22">
        <v>14029</v>
      </c>
      <c r="Q335" s="22">
        <v>1583</v>
      </c>
      <c r="R335" s="22">
        <v>13550</v>
      </c>
      <c r="S335" s="22">
        <v>14381</v>
      </c>
      <c r="T335" s="62">
        <v>11980</v>
      </c>
      <c r="U335" s="62">
        <v>11839</v>
      </c>
      <c r="V335" s="54">
        <v>15800</v>
      </c>
      <c r="W335" s="54">
        <v>967</v>
      </c>
      <c r="X335" s="54">
        <v>646</v>
      </c>
      <c r="Y335" s="54">
        <v>489</v>
      </c>
      <c r="Z335" s="54">
        <v>2102</v>
      </c>
      <c r="AA335" s="54">
        <v>0</v>
      </c>
      <c r="AB335" s="54">
        <v>0</v>
      </c>
      <c r="AC335" s="62">
        <v>0</v>
      </c>
      <c r="AD335" s="62">
        <v>0</v>
      </c>
      <c r="AE335" s="54">
        <v>0</v>
      </c>
      <c r="AF335" s="62">
        <v>0</v>
      </c>
      <c r="AG335" s="54">
        <v>0</v>
      </c>
      <c r="AH335" s="62">
        <v>0</v>
      </c>
      <c r="AI335" s="62">
        <v>0</v>
      </c>
      <c r="AJ335" s="62">
        <v>0</v>
      </c>
      <c r="AK335" s="62">
        <v>0</v>
      </c>
      <c r="AL335" s="62">
        <v>0</v>
      </c>
      <c r="AM335" s="54">
        <v>2102</v>
      </c>
      <c r="BO335" s="23"/>
    </row>
    <row r="336" spans="1:67">
      <c r="A336" s="85" t="s">
        <v>322</v>
      </c>
      <c r="B336" s="13" t="s">
        <v>323</v>
      </c>
      <c r="C336" s="20">
        <v>5.27</v>
      </c>
      <c r="D336" s="20">
        <v>5.15</v>
      </c>
      <c r="E336" s="20">
        <v>4.2</v>
      </c>
      <c r="F336" s="20">
        <v>4.0964808541227038</v>
      </c>
      <c r="G336" s="20">
        <v>4.0610876085320733</v>
      </c>
      <c r="H336" s="20">
        <v>4.0520132905537221</v>
      </c>
      <c r="I336" s="20">
        <v>4.0333472989604333</v>
      </c>
      <c r="J336" s="20">
        <v>4.2237500958254497</v>
      </c>
      <c r="K336" s="20">
        <v>3.9758266601446208</v>
      </c>
      <c r="L336" s="20">
        <v>3.8869403492426811</v>
      </c>
      <c r="M336" s="20">
        <v>3.7177698551560279</v>
      </c>
      <c r="N336" s="20">
        <v>3.6573087145934373</v>
      </c>
      <c r="O336" s="20">
        <v>3.8116495374556623</v>
      </c>
      <c r="P336" s="20">
        <v>3.4062667992362483</v>
      </c>
      <c r="Q336" s="20">
        <v>3.1374871820991226</v>
      </c>
      <c r="R336" s="20">
        <v>3.1191792597869776</v>
      </c>
      <c r="S336" s="20">
        <v>3.0045147589384995</v>
      </c>
      <c r="T336" s="69">
        <v>2.9742465654547923</v>
      </c>
      <c r="U336" s="69">
        <v>2.9398724330859416</v>
      </c>
      <c r="V336" s="60">
        <v>2.8</v>
      </c>
      <c r="W336" s="60">
        <v>2.8566685596959505</v>
      </c>
      <c r="X336" s="60">
        <v>2.8944011165934107</v>
      </c>
      <c r="Y336" s="60">
        <v>2.8702600784125938</v>
      </c>
      <c r="Z336" s="60">
        <v>2.8734668189599115</v>
      </c>
      <c r="AA336" s="60" t="e">
        <v>#DIV/0!</v>
      </c>
      <c r="AB336" s="60" t="e">
        <v>#DIV/0!</v>
      </c>
      <c r="AC336" s="60" t="e">
        <v>#DIV/0!</v>
      </c>
      <c r="AD336" s="60" t="e">
        <v>#DIV/0!</v>
      </c>
      <c r="AE336" s="60" t="e">
        <v>#DIV/0!</v>
      </c>
      <c r="AF336" s="60" t="e">
        <v>#DIV/0!</v>
      </c>
      <c r="AG336" s="60" t="e">
        <v>#DIV/0!</v>
      </c>
      <c r="AH336" s="60">
        <v>3.7615004252742659</v>
      </c>
      <c r="AI336" s="60" t="e">
        <v>#DIV/0!</v>
      </c>
      <c r="AJ336" s="60" t="e">
        <v>#DIV/0!</v>
      </c>
      <c r="AK336" s="60" t="e">
        <v>#DIV/0!</v>
      </c>
      <c r="AL336" s="60">
        <v>3.7615004252742659</v>
      </c>
      <c r="AM336" s="60">
        <v>2.8734668189599115</v>
      </c>
      <c r="BO336" s="23"/>
    </row>
    <row r="337" spans="1:67">
      <c r="A337" s="85" t="s">
        <v>322</v>
      </c>
      <c r="B337" s="13" t="s">
        <v>324</v>
      </c>
      <c r="C337" s="20">
        <v>5.3</v>
      </c>
      <c r="D337" s="20">
        <v>5.42</v>
      </c>
      <c r="E337" s="20">
        <v>4.63</v>
      </c>
      <c r="F337" s="20">
        <v>4.4594243964378046</v>
      </c>
      <c r="G337" s="20">
        <v>4.2315298359473585</v>
      </c>
      <c r="H337" s="20">
        <v>4.1709427218767141</v>
      </c>
      <c r="I337" s="20">
        <v>4.1106559910899474</v>
      </c>
      <c r="J337" s="20">
        <v>4.6283598148615566</v>
      </c>
      <c r="K337" s="20">
        <v>4.4768574828242356</v>
      </c>
      <c r="L337" s="20">
        <v>4.1569706388468566</v>
      </c>
      <c r="M337" s="20">
        <v>4.0598854075245372</v>
      </c>
      <c r="N337" s="20">
        <v>4.0137322952143588</v>
      </c>
      <c r="O337" s="20">
        <v>4.1675889880504835</v>
      </c>
      <c r="P337" s="20">
        <v>3.7171768269368117</v>
      </c>
      <c r="Q337" s="20">
        <v>3.4108005403870592</v>
      </c>
      <c r="R337" s="20">
        <v>3.3400859815248674</v>
      </c>
      <c r="S337" s="20">
        <v>2.968867580656843</v>
      </c>
      <c r="T337" s="69">
        <v>2.9487277264204375</v>
      </c>
      <c r="U337" s="69">
        <v>2.8559687814959203</v>
      </c>
      <c r="V337" s="69"/>
      <c r="W337" s="60">
        <v>2.7111036177346111</v>
      </c>
      <c r="X337" s="60">
        <v>2.9695142631043447</v>
      </c>
      <c r="Y337" s="60">
        <v>2.60737647423454</v>
      </c>
      <c r="Z337" s="60">
        <v>2.7532161711652829</v>
      </c>
      <c r="AA337" s="60" t="e">
        <v>#DIV/0!</v>
      </c>
      <c r="AB337" s="60" t="e">
        <v>#DIV/0!</v>
      </c>
      <c r="AC337" s="60" t="e">
        <v>#DIV/0!</v>
      </c>
      <c r="AD337" s="60" t="e">
        <v>#DIV/0!</v>
      </c>
      <c r="AE337" s="60" t="e">
        <v>#DIV/0!</v>
      </c>
      <c r="AF337" s="60" t="e">
        <v>#DIV/0!</v>
      </c>
      <c r="AG337" s="60" t="e">
        <v>#DIV/0!</v>
      </c>
      <c r="AH337" s="60">
        <v>4.1855763476286549</v>
      </c>
      <c r="AI337" s="60" t="e">
        <v>#DIV/0!</v>
      </c>
      <c r="AJ337" s="60" t="e">
        <v>#DIV/0!</v>
      </c>
      <c r="AK337" s="60" t="e">
        <v>#DIV/0!</v>
      </c>
      <c r="AL337" s="60">
        <v>4.1855763476286549</v>
      </c>
      <c r="AM337" s="60">
        <v>2.7532161711652829</v>
      </c>
      <c r="BO337" s="23"/>
    </row>
    <row r="338" spans="1:67">
      <c r="A338" s="85" t="s">
        <v>325</v>
      </c>
      <c r="B338" s="13" t="s">
        <v>326</v>
      </c>
      <c r="C338" s="20">
        <v>23.31</v>
      </c>
      <c r="D338" s="20">
        <v>61.87</v>
      </c>
      <c r="E338" s="20">
        <v>93.68</v>
      </c>
      <c r="F338" s="20">
        <v>83.591144773720742</v>
      </c>
      <c r="G338" s="20">
        <v>68.128172278187378</v>
      </c>
      <c r="H338" s="20">
        <v>62.576491188543194</v>
      </c>
      <c r="I338" s="20">
        <v>51.162962630468591</v>
      </c>
      <c r="J338" s="20">
        <v>46.649749478237261</v>
      </c>
      <c r="K338" s="20">
        <v>67.489999999999995</v>
      </c>
      <c r="L338" s="20">
        <v>66.903547133138972</v>
      </c>
      <c r="M338" s="20">
        <v>62.762884331937315</v>
      </c>
      <c r="N338" s="20">
        <v>62.446481801222212</v>
      </c>
      <c r="O338" s="20">
        <v>67.477085155744874</v>
      </c>
      <c r="P338" s="20">
        <v>78.457211941303555</v>
      </c>
      <c r="Q338" s="20">
        <v>42.874081355734262</v>
      </c>
      <c r="R338" s="20">
        <v>72.522585394515573</v>
      </c>
      <c r="S338" s="20">
        <v>70.40805512551718</v>
      </c>
      <c r="T338" s="60">
        <v>76.191910432677773</v>
      </c>
      <c r="U338" s="60">
        <v>21.267553994403436</v>
      </c>
      <c r="V338" s="60">
        <v>72</v>
      </c>
      <c r="W338" s="60">
        <v>70.367641294975314</v>
      </c>
      <c r="X338" s="60">
        <v>72.967935664239121</v>
      </c>
      <c r="Y338" s="60">
        <v>74.731426081418533</v>
      </c>
      <c r="Z338" s="60">
        <v>72.633656379893935</v>
      </c>
      <c r="AA338" s="60" t="e">
        <v>#DIV/0!</v>
      </c>
      <c r="AB338" s="60" t="e">
        <v>#DIV/0!</v>
      </c>
      <c r="AC338" s="60" t="e">
        <v>#DIV/0!</v>
      </c>
      <c r="AD338" s="60" t="e">
        <v>#DIV/0!</v>
      </c>
      <c r="AE338" s="60" t="e">
        <v>#DIV/0!</v>
      </c>
      <c r="AF338" s="60" t="e">
        <v>#DIV/0!</v>
      </c>
      <c r="AG338" s="60" t="e">
        <v>#DIV/0!</v>
      </c>
      <c r="AH338" s="60">
        <v>77.843280745223169</v>
      </c>
      <c r="AI338" s="60" t="e">
        <v>#DIV/0!</v>
      </c>
      <c r="AJ338" s="60" t="e">
        <v>#DIV/0!</v>
      </c>
      <c r="AK338" s="60" t="e">
        <v>#DIV/0!</v>
      </c>
      <c r="AL338" s="60">
        <v>77.843280745223169</v>
      </c>
      <c r="AM338" s="60">
        <v>72.633656379893935</v>
      </c>
      <c r="BO338" s="23"/>
    </row>
    <row r="339" spans="1:67">
      <c r="A339" s="85" t="s">
        <v>327</v>
      </c>
      <c r="B339" s="13" t="s">
        <v>328</v>
      </c>
      <c r="C339" s="20"/>
      <c r="D339" s="22"/>
      <c r="E339" s="22"/>
      <c r="F339" s="22"/>
      <c r="G339" s="22"/>
      <c r="H339" s="22"/>
      <c r="I339" s="22"/>
      <c r="J339" s="13"/>
      <c r="K339" s="13"/>
      <c r="L339" s="13"/>
      <c r="M339" s="13"/>
      <c r="N339" s="13"/>
      <c r="O339" s="13"/>
      <c r="P339" s="13"/>
      <c r="Q339" s="24">
        <v>2.67</v>
      </c>
      <c r="R339" s="13">
        <v>2.665</v>
      </c>
      <c r="S339" s="13">
        <v>2.613</v>
      </c>
      <c r="T339" s="54">
        <v>2.5209999999999999</v>
      </c>
      <c r="U339" s="54">
        <v>2.5139999999999998</v>
      </c>
      <c r="V339" s="54">
        <v>2.5209999999999999</v>
      </c>
      <c r="W339" s="69">
        <v>2.61</v>
      </c>
      <c r="X339" s="69">
        <v>2.63</v>
      </c>
      <c r="Y339" s="69">
        <v>2.58</v>
      </c>
      <c r="Z339" s="69">
        <v>2.6070000000000002</v>
      </c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69">
        <v>2.6070000000000002</v>
      </c>
      <c r="BO339" s="23"/>
    </row>
    <row r="340" spans="1:67">
      <c r="A340" s="85" t="s">
        <v>329</v>
      </c>
      <c r="B340" s="13" t="s">
        <v>330</v>
      </c>
      <c r="C340" s="20"/>
      <c r="D340" s="22"/>
      <c r="E340" s="22"/>
      <c r="F340" s="22"/>
      <c r="G340" s="22"/>
      <c r="H340" s="22"/>
      <c r="I340" s="22"/>
      <c r="J340" s="13"/>
      <c r="K340" s="13"/>
      <c r="L340" s="13"/>
      <c r="M340" s="13"/>
      <c r="N340" s="13"/>
      <c r="O340" s="13"/>
      <c r="P340" s="13"/>
      <c r="Q340" s="13">
        <v>457.39</v>
      </c>
      <c r="R340" s="13">
        <v>466.53</v>
      </c>
      <c r="S340" s="13">
        <v>495.51</v>
      </c>
      <c r="T340" s="54">
        <v>514.78</v>
      </c>
      <c r="U340" s="54">
        <v>538.12</v>
      </c>
      <c r="V340" s="54">
        <v>684</v>
      </c>
      <c r="W340" s="54">
        <v>571.26</v>
      </c>
      <c r="X340" s="54">
        <v>538.96</v>
      </c>
      <c r="Y340" s="65">
        <v>562.77</v>
      </c>
      <c r="Z340" s="54">
        <v>557.47</v>
      </c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>
        <v>557.47</v>
      </c>
      <c r="BO340" s="23"/>
    </row>
    <row r="341" spans="1:67">
      <c r="A341" s="6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BO341" s="23"/>
    </row>
    <row r="342" spans="1:67">
      <c r="A342" s="6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BO342" s="23"/>
    </row>
    <row r="343" spans="1:67">
      <c r="A343" s="6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BO343" s="23"/>
    </row>
    <row r="344" spans="1:67">
      <c r="A344" s="6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BO344" s="23"/>
    </row>
    <row r="345" spans="1:67">
      <c r="A345" s="6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BO345" s="23"/>
    </row>
  </sheetData>
  <printOptions gridLines="1"/>
  <pageMargins left="0.196850393700787" right="0.196850393700787" top="0.43307086614173201" bottom="0.15748031496063" header="0.15748031496063" footer="0.15748031496063"/>
  <pageSetup paperSize="9" scale="89" fitToWidth="0" orientation="landscape" verticalDpi="0" r:id="rId1"/>
  <headerFooter>
    <oddFooter xml:space="preserve">&amp;R </oddFooter>
  </headerFooter>
  <rowBreaks count="8" manualBreakCount="8">
    <brk id="30" max="16383" man="1"/>
    <brk id="72" max="38" man="1"/>
    <brk id="115" max="16383" man="1"/>
    <brk id="154" max="16383" man="1"/>
    <brk id="179" max="16383" man="1"/>
    <brk id="220" max="16383" man="1"/>
    <brk id="281" max="38" man="1"/>
    <brk id="32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S51"/>
  <sheetViews>
    <sheetView topLeftCell="A22" workbookViewId="0">
      <selection activeCell="R2" sqref="R2"/>
    </sheetView>
  </sheetViews>
  <sheetFormatPr defaultColWidth="9.109375" defaultRowHeight="13.8"/>
  <cols>
    <col min="1" max="1" width="41.33203125" style="108" bestFit="1" customWidth="1"/>
    <col min="2" max="3" width="9" style="101" bestFit="1" customWidth="1"/>
    <col min="4" max="4" width="7.88671875" style="101" bestFit="1" customWidth="1"/>
    <col min="5" max="5" width="12.33203125" style="101" hidden="1" customWidth="1"/>
    <col min="6" max="6" width="5.109375" style="101" hidden="1" customWidth="1"/>
    <col min="7" max="7" width="6.109375" style="101" hidden="1" customWidth="1"/>
    <col min="8" max="8" width="6.33203125" style="101" hidden="1" customWidth="1"/>
    <col min="9" max="9" width="12.33203125" style="101" hidden="1" customWidth="1"/>
    <col min="10" max="10" width="5.5546875" style="101" hidden="1" customWidth="1"/>
    <col min="11" max="11" width="6" style="101" hidden="1" customWidth="1"/>
    <col min="12" max="12" width="6.33203125" style="101" hidden="1" customWidth="1"/>
    <col min="13" max="13" width="11.6640625" style="101" hidden="1" customWidth="1"/>
    <col min="14" max="14" width="5.5546875" style="101" hidden="1" customWidth="1"/>
    <col min="15" max="15" width="6.109375" style="101" hidden="1" customWidth="1"/>
    <col min="16" max="16" width="5.6640625" style="101" hidden="1" customWidth="1"/>
    <col min="17" max="17" width="11.33203125" style="101" hidden="1" customWidth="1"/>
    <col min="18" max="18" width="12.44140625" style="101" bestFit="1" customWidth="1"/>
    <col min="19" max="16384" width="9.109375" style="109"/>
  </cols>
  <sheetData>
    <row r="1" spans="1:19" s="90" customFormat="1">
      <c r="A1" s="155" t="s">
        <v>455</v>
      </c>
      <c r="B1" s="155"/>
      <c r="C1" s="155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 t="s">
        <v>335</v>
      </c>
    </row>
    <row r="2" spans="1:19" s="90" customFormat="1" ht="14.4">
      <c r="A2" s="91" t="s">
        <v>336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 t="s">
        <v>383</v>
      </c>
    </row>
    <row r="3" spans="1:19" s="90" customFormat="1">
      <c r="A3" s="93" t="s">
        <v>337</v>
      </c>
      <c r="B3" s="94" t="s">
        <v>23</v>
      </c>
      <c r="C3" s="94" t="s">
        <v>24</v>
      </c>
      <c r="D3" s="94" t="s">
        <v>25</v>
      </c>
      <c r="E3" s="94" t="s">
        <v>338</v>
      </c>
      <c r="F3" s="94" t="s">
        <v>27</v>
      </c>
      <c r="G3" s="94" t="s">
        <v>28</v>
      </c>
      <c r="H3" s="94" t="s">
        <v>29</v>
      </c>
      <c r="I3" s="94" t="s">
        <v>339</v>
      </c>
      <c r="J3" s="94" t="s">
        <v>31</v>
      </c>
      <c r="K3" s="94" t="s">
        <v>32</v>
      </c>
      <c r="L3" s="94" t="s">
        <v>33</v>
      </c>
      <c r="M3" s="94" t="s">
        <v>340</v>
      </c>
      <c r="N3" s="94" t="s">
        <v>35</v>
      </c>
      <c r="O3" s="94" t="s">
        <v>36</v>
      </c>
      <c r="P3" s="94" t="s">
        <v>37</v>
      </c>
      <c r="Q3" s="94" t="s">
        <v>341</v>
      </c>
      <c r="R3" s="94" t="s">
        <v>342</v>
      </c>
    </row>
    <row r="4" spans="1:19" s="90" customFormat="1" ht="21" customHeight="1">
      <c r="A4" s="97" t="s">
        <v>343</v>
      </c>
      <c r="B4" s="98">
        <v>89.2</v>
      </c>
      <c r="C4" s="98">
        <v>89.1</v>
      </c>
      <c r="D4" s="98">
        <v>88.233333333333334</v>
      </c>
      <c r="E4" s="98">
        <v>88.835164835164832</v>
      </c>
      <c r="F4" s="98"/>
      <c r="G4" s="98"/>
      <c r="H4" s="98"/>
      <c r="I4" s="98"/>
      <c r="J4" s="98"/>
      <c r="K4" s="98"/>
      <c r="L4" s="98"/>
      <c r="M4" s="98">
        <v>0</v>
      </c>
      <c r="N4" s="98"/>
      <c r="O4" s="98"/>
      <c r="P4" s="98"/>
      <c r="Q4" s="98">
        <v>0</v>
      </c>
      <c r="R4" s="98">
        <v>88.835164835164832</v>
      </c>
    </row>
    <row r="5" spans="1:19" s="90" customFormat="1" ht="21" customHeight="1">
      <c r="A5" s="97" t="s">
        <v>344</v>
      </c>
      <c r="B5" s="98">
        <v>363.1</v>
      </c>
      <c r="C5" s="98">
        <v>354.6</v>
      </c>
      <c r="D5" s="98">
        <v>348.56666666666666</v>
      </c>
      <c r="E5" s="98">
        <v>355.4065934065934</v>
      </c>
      <c r="F5" s="98"/>
      <c r="G5" s="98"/>
      <c r="H5" s="98"/>
      <c r="I5" s="98"/>
      <c r="J5" s="98"/>
      <c r="K5" s="98"/>
      <c r="L5" s="98"/>
      <c r="M5" s="98">
        <v>0</v>
      </c>
      <c r="N5" s="98"/>
      <c r="O5" s="98"/>
      <c r="P5" s="98"/>
      <c r="Q5" s="98">
        <v>0</v>
      </c>
      <c r="R5" s="98">
        <v>355.4065934065934</v>
      </c>
    </row>
    <row r="6" spans="1:19" s="90" customFormat="1" ht="21" customHeight="1">
      <c r="A6" s="97" t="s">
        <v>345</v>
      </c>
      <c r="B6" s="98">
        <v>534.81000000000006</v>
      </c>
      <c r="C6" s="98">
        <v>526.11750000000006</v>
      </c>
      <c r="D6" s="98">
        <v>518.41583333333335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526.41428571428571</v>
      </c>
    </row>
    <row r="7" spans="1:19" s="90" customFormat="1" ht="21" customHeight="1">
      <c r="A7" s="97" t="s">
        <v>346</v>
      </c>
      <c r="B7" s="99">
        <v>127235</v>
      </c>
      <c r="C7" s="95">
        <v>128025</v>
      </c>
      <c r="D7" s="99">
        <v>126491</v>
      </c>
      <c r="E7" s="99">
        <v>381751</v>
      </c>
      <c r="F7" s="99"/>
      <c r="G7" s="99"/>
      <c r="H7" s="99"/>
      <c r="I7" s="99">
        <v>0</v>
      </c>
      <c r="J7" s="99"/>
      <c r="K7" s="99"/>
      <c r="L7" s="99"/>
      <c r="M7" s="99">
        <v>0</v>
      </c>
      <c r="N7" s="99"/>
      <c r="O7" s="99"/>
      <c r="P7" s="99"/>
      <c r="Q7" s="99">
        <v>0</v>
      </c>
      <c r="R7" s="99">
        <v>381751</v>
      </c>
    </row>
    <row r="8" spans="1:19" s="90" customFormat="1" ht="21" customHeight="1">
      <c r="A8" s="97" t="s">
        <v>347</v>
      </c>
      <c r="B8" s="99">
        <v>170790</v>
      </c>
      <c r="C8" s="99">
        <v>167900</v>
      </c>
      <c r="D8" s="99">
        <v>171060</v>
      </c>
      <c r="E8" s="99">
        <v>509750</v>
      </c>
      <c r="F8" s="99"/>
      <c r="G8" s="99"/>
      <c r="H8" s="99"/>
      <c r="I8" s="99">
        <v>0</v>
      </c>
      <c r="J8" s="99"/>
      <c r="K8" s="99"/>
      <c r="L8" s="99"/>
      <c r="M8" s="99">
        <v>0</v>
      </c>
      <c r="N8" s="99"/>
      <c r="O8" s="99"/>
      <c r="P8" s="99"/>
      <c r="Q8" s="99">
        <v>0</v>
      </c>
      <c r="R8" s="99">
        <v>509750</v>
      </c>
    </row>
    <row r="9" spans="1:19" s="90" customFormat="1" ht="21" customHeight="1">
      <c r="A9" s="97" t="s">
        <v>348</v>
      </c>
      <c r="B9" s="99">
        <v>313234</v>
      </c>
      <c r="C9" s="99">
        <v>325810</v>
      </c>
      <c r="D9" s="99">
        <v>286417</v>
      </c>
      <c r="E9" s="99">
        <v>925461</v>
      </c>
      <c r="F9" s="99"/>
      <c r="G9" s="99"/>
      <c r="H9" s="99"/>
      <c r="I9" s="99">
        <v>0</v>
      </c>
      <c r="J9" s="99"/>
      <c r="K9" s="99"/>
      <c r="L9" s="99"/>
      <c r="M9" s="99">
        <v>0</v>
      </c>
      <c r="N9" s="99"/>
      <c r="O9" s="99"/>
      <c r="P9" s="99"/>
      <c r="Q9" s="99">
        <v>0</v>
      </c>
      <c r="R9" s="99">
        <v>925461</v>
      </c>
    </row>
    <row r="10" spans="1:19" s="90" customFormat="1" ht="21" customHeight="1">
      <c r="A10" s="97" t="s">
        <v>349</v>
      </c>
      <c r="B10" s="99">
        <v>611259</v>
      </c>
      <c r="C10" s="99">
        <v>621735</v>
      </c>
      <c r="D10" s="99">
        <v>583968</v>
      </c>
      <c r="E10" s="99">
        <v>1816962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1816962</v>
      </c>
    </row>
    <row r="11" spans="1:19" s="101" customFormat="1" ht="21" customHeight="1">
      <c r="A11" s="100" t="s">
        <v>350</v>
      </c>
      <c r="B11" s="96">
        <v>89017</v>
      </c>
      <c r="C11" s="96">
        <v>82176</v>
      </c>
      <c r="D11" s="96">
        <v>94301</v>
      </c>
      <c r="E11" s="96">
        <v>265494</v>
      </c>
      <c r="F11" s="96"/>
      <c r="G11" s="96"/>
      <c r="H11" s="96"/>
      <c r="I11" s="96">
        <v>0</v>
      </c>
      <c r="J11" s="96"/>
      <c r="K11" s="96"/>
      <c r="L11" s="96"/>
      <c r="M11" s="96">
        <v>0</v>
      </c>
      <c r="N11" s="96"/>
      <c r="O11" s="96"/>
      <c r="P11" s="96"/>
      <c r="Q11" s="96">
        <v>0</v>
      </c>
      <c r="R11" s="99">
        <v>265494</v>
      </c>
    </row>
    <row r="12" spans="1:19" s="90" customFormat="1" ht="21" customHeight="1">
      <c r="A12" s="102" t="s">
        <v>351</v>
      </c>
      <c r="B12" s="96">
        <v>273186</v>
      </c>
      <c r="C12" s="99">
        <v>277860</v>
      </c>
      <c r="D12" s="99">
        <v>258811</v>
      </c>
      <c r="E12" s="96">
        <v>809857</v>
      </c>
      <c r="F12" s="99"/>
      <c r="G12" s="99"/>
      <c r="H12" s="96"/>
      <c r="I12" s="96">
        <v>0</v>
      </c>
      <c r="J12" s="96"/>
      <c r="K12" s="96"/>
      <c r="L12" s="96"/>
      <c r="M12" s="96">
        <v>0</v>
      </c>
      <c r="N12" s="96"/>
      <c r="O12" s="96"/>
      <c r="P12" s="96"/>
      <c r="Q12" s="96">
        <v>0</v>
      </c>
      <c r="R12" s="99">
        <v>809857</v>
      </c>
    </row>
    <row r="13" spans="1:19" s="90" customFormat="1" ht="21" customHeight="1">
      <c r="A13" s="97" t="s">
        <v>352</v>
      </c>
      <c r="B13" s="99">
        <v>362203</v>
      </c>
      <c r="C13" s="99">
        <v>360036</v>
      </c>
      <c r="D13" s="99">
        <v>353112</v>
      </c>
      <c r="E13" s="99">
        <v>1075351</v>
      </c>
      <c r="F13" s="99">
        <v>0</v>
      </c>
      <c r="G13" s="99">
        <v>0</v>
      </c>
      <c r="H13" s="99">
        <v>0</v>
      </c>
      <c r="I13" s="99">
        <v>0</v>
      </c>
      <c r="J13" s="99">
        <v>0</v>
      </c>
      <c r="K13" s="99">
        <v>0</v>
      </c>
      <c r="L13" s="99">
        <v>0</v>
      </c>
      <c r="M13" s="99">
        <v>0</v>
      </c>
      <c r="N13" s="99">
        <v>0</v>
      </c>
      <c r="O13" s="99">
        <v>0</v>
      </c>
      <c r="P13" s="99">
        <v>0</v>
      </c>
      <c r="Q13" s="99">
        <v>0</v>
      </c>
      <c r="R13" s="99">
        <v>1075351</v>
      </c>
    </row>
    <row r="14" spans="1:19" s="90" customFormat="1" ht="21" customHeight="1">
      <c r="A14" s="97" t="s">
        <v>353</v>
      </c>
      <c r="B14" s="95">
        <v>1322</v>
      </c>
      <c r="C14" s="99">
        <v>15079</v>
      </c>
      <c r="D14" s="99">
        <v>3365</v>
      </c>
      <c r="E14" s="96">
        <v>19766</v>
      </c>
      <c r="F14" s="99"/>
      <c r="G14" s="99"/>
      <c r="H14" s="96"/>
      <c r="I14" s="96">
        <v>0</v>
      </c>
      <c r="J14" s="99"/>
      <c r="K14" s="95"/>
      <c r="L14" s="99"/>
      <c r="M14" s="96">
        <v>0</v>
      </c>
      <c r="N14" s="99"/>
      <c r="O14" s="99"/>
      <c r="P14" s="99"/>
      <c r="Q14" s="96">
        <v>0</v>
      </c>
      <c r="R14" s="99">
        <v>19766</v>
      </c>
      <c r="S14" s="103"/>
    </row>
    <row r="15" spans="1:19" s="90" customFormat="1" ht="21" customHeight="1">
      <c r="A15" s="97" t="s">
        <v>354</v>
      </c>
      <c r="B15" s="99">
        <v>72</v>
      </c>
      <c r="C15" s="99">
        <v>70</v>
      </c>
      <c r="D15" s="99">
        <v>0</v>
      </c>
      <c r="E15" s="96">
        <v>142</v>
      </c>
      <c r="F15" s="99"/>
      <c r="G15" s="99"/>
      <c r="H15" s="99"/>
      <c r="I15" s="96">
        <v>0</v>
      </c>
      <c r="J15" s="99"/>
      <c r="K15" s="99"/>
      <c r="L15" s="99"/>
      <c r="M15" s="96">
        <v>0</v>
      </c>
      <c r="N15" s="99"/>
      <c r="O15" s="99"/>
      <c r="P15" s="99"/>
      <c r="Q15" s="96">
        <v>0</v>
      </c>
      <c r="R15" s="99">
        <v>142</v>
      </c>
    </row>
    <row r="16" spans="1:19" s="90" customFormat="1" ht="21" customHeight="1">
      <c r="A16" s="97" t="s">
        <v>355</v>
      </c>
      <c r="B16" s="95">
        <v>24368</v>
      </c>
      <c r="C16" s="99">
        <v>36908</v>
      </c>
      <c r="D16" s="99">
        <v>35795</v>
      </c>
      <c r="E16" s="96">
        <v>97071</v>
      </c>
      <c r="F16" s="99"/>
      <c r="G16" s="99"/>
      <c r="H16" s="95"/>
      <c r="I16" s="96">
        <v>0</v>
      </c>
      <c r="J16" s="95"/>
      <c r="K16" s="95"/>
      <c r="L16" s="95"/>
      <c r="M16" s="96">
        <v>0</v>
      </c>
      <c r="N16" s="99"/>
      <c r="O16" s="95"/>
      <c r="P16" s="99"/>
      <c r="Q16" s="96">
        <v>0</v>
      </c>
      <c r="R16" s="99">
        <v>97071</v>
      </c>
    </row>
    <row r="17" spans="1:18" s="90" customFormat="1" ht="21" customHeight="1">
      <c r="A17" s="97" t="s">
        <v>356</v>
      </c>
      <c r="B17" s="99">
        <v>24440</v>
      </c>
      <c r="C17" s="99">
        <v>36978</v>
      </c>
      <c r="D17" s="99">
        <v>35795</v>
      </c>
      <c r="E17" s="99">
        <v>97213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97213</v>
      </c>
    </row>
    <row r="18" spans="1:18" s="90" customFormat="1" ht="21" customHeight="1">
      <c r="A18" s="97" t="s">
        <v>357</v>
      </c>
      <c r="B18" s="95">
        <v>105355</v>
      </c>
      <c r="C18" s="99">
        <v>78443</v>
      </c>
      <c r="D18" s="99">
        <v>110185</v>
      </c>
      <c r="E18" s="99">
        <v>293983</v>
      </c>
      <c r="F18" s="99"/>
      <c r="G18" s="99"/>
      <c r="H18" s="95"/>
      <c r="I18" s="96">
        <v>0</v>
      </c>
      <c r="J18" s="95"/>
      <c r="K18" s="95"/>
      <c r="L18" s="99"/>
      <c r="M18" s="96">
        <v>0</v>
      </c>
      <c r="N18" s="99"/>
      <c r="O18" s="95"/>
      <c r="P18" s="95"/>
      <c r="Q18" s="96">
        <v>0</v>
      </c>
      <c r="R18" s="99">
        <v>293983</v>
      </c>
    </row>
    <row r="19" spans="1:18" s="90" customFormat="1" ht="21" customHeight="1">
      <c r="A19" s="97" t="s">
        <v>358</v>
      </c>
      <c r="B19" s="95">
        <v>134938</v>
      </c>
      <c r="C19" s="99">
        <v>134493</v>
      </c>
      <c r="D19" s="99">
        <v>127541</v>
      </c>
      <c r="E19" s="99">
        <v>396972</v>
      </c>
      <c r="F19" s="99"/>
      <c r="G19" s="99"/>
      <c r="H19" s="95"/>
      <c r="I19" s="96">
        <v>0</v>
      </c>
      <c r="J19" s="95"/>
      <c r="K19" s="95"/>
      <c r="L19" s="99"/>
      <c r="M19" s="96">
        <v>0</v>
      </c>
      <c r="N19" s="99"/>
      <c r="O19" s="95"/>
      <c r="P19" s="95"/>
      <c r="Q19" s="96">
        <v>0</v>
      </c>
      <c r="R19" s="99">
        <v>396972</v>
      </c>
    </row>
    <row r="20" spans="1:18" s="90" customFormat="1" ht="21" customHeight="1">
      <c r="A20" s="97" t="s">
        <v>359</v>
      </c>
      <c r="B20" s="95">
        <v>78632</v>
      </c>
      <c r="C20" s="99">
        <v>76794</v>
      </c>
      <c r="D20" s="99">
        <v>60609</v>
      </c>
      <c r="E20" s="99">
        <v>216035</v>
      </c>
      <c r="F20" s="99"/>
      <c r="G20" s="99"/>
      <c r="H20" s="95"/>
      <c r="I20" s="96">
        <v>0</v>
      </c>
      <c r="J20" s="99"/>
      <c r="K20" s="99"/>
      <c r="L20" s="95"/>
      <c r="M20" s="96">
        <v>0</v>
      </c>
      <c r="N20" s="99"/>
      <c r="O20" s="95"/>
      <c r="P20" s="95"/>
      <c r="Q20" s="96">
        <v>0</v>
      </c>
      <c r="R20" s="99">
        <v>216035</v>
      </c>
    </row>
    <row r="21" spans="1:18" s="90" customFormat="1" ht="21" customHeight="1">
      <c r="A21" s="97" t="s">
        <v>360</v>
      </c>
      <c r="B21" s="99">
        <v>318925</v>
      </c>
      <c r="C21" s="99">
        <v>289730</v>
      </c>
      <c r="D21" s="99">
        <v>298335</v>
      </c>
      <c r="E21" s="99">
        <v>906990</v>
      </c>
      <c r="F21" s="99"/>
      <c r="G21" s="99"/>
      <c r="H21" s="99"/>
      <c r="I21" s="96">
        <v>0</v>
      </c>
      <c r="J21" s="99"/>
      <c r="K21" s="99"/>
      <c r="L21" s="99"/>
      <c r="M21" s="96">
        <v>0</v>
      </c>
      <c r="N21" s="99"/>
      <c r="O21" s="99"/>
      <c r="P21" s="99"/>
      <c r="Q21" s="96">
        <v>0</v>
      </c>
      <c r="R21" s="99">
        <v>906990</v>
      </c>
    </row>
    <row r="22" spans="1:18" s="90" customFormat="1" ht="21" customHeight="1">
      <c r="A22" s="97" t="s">
        <v>361</v>
      </c>
      <c r="B22" s="99">
        <v>343365</v>
      </c>
      <c r="C22" s="99">
        <v>326708</v>
      </c>
      <c r="D22" s="99">
        <v>334130</v>
      </c>
      <c r="E22" s="99">
        <v>1004203</v>
      </c>
      <c r="F22" s="99">
        <v>0</v>
      </c>
      <c r="G22" s="99">
        <v>0</v>
      </c>
      <c r="H22" s="99">
        <v>0</v>
      </c>
      <c r="I22" s="99">
        <v>0</v>
      </c>
      <c r="J22" s="99">
        <v>0</v>
      </c>
      <c r="K22" s="99">
        <v>0</v>
      </c>
      <c r="L22" s="99">
        <v>0</v>
      </c>
      <c r="M22" s="99">
        <v>0</v>
      </c>
      <c r="N22" s="99">
        <v>0</v>
      </c>
      <c r="O22" s="99">
        <v>0</v>
      </c>
      <c r="P22" s="99">
        <v>0</v>
      </c>
      <c r="Q22" s="99">
        <v>0</v>
      </c>
      <c r="R22" s="99">
        <v>1004203</v>
      </c>
    </row>
    <row r="23" spans="1:18" s="90" customFormat="1" ht="21" customHeight="1">
      <c r="A23" s="97" t="s">
        <v>362</v>
      </c>
      <c r="B23" s="99">
        <v>343293</v>
      </c>
      <c r="C23" s="99">
        <v>326638</v>
      </c>
      <c r="D23" s="99">
        <v>334130</v>
      </c>
      <c r="E23" s="99">
        <v>1004061</v>
      </c>
      <c r="F23" s="99">
        <v>0</v>
      </c>
      <c r="G23" s="99">
        <v>0</v>
      </c>
      <c r="H23" s="99">
        <v>0</v>
      </c>
      <c r="I23" s="96">
        <v>0</v>
      </c>
      <c r="J23" s="99">
        <v>0</v>
      </c>
      <c r="K23" s="99">
        <v>0</v>
      </c>
      <c r="L23" s="99">
        <v>0</v>
      </c>
      <c r="M23" s="96">
        <v>0</v>
      </c>
      <c r="N23" s="99">
        <v>0</v>
      </c>
      <c r="O23" s="99">
        <v>0</v>
      </c>
      <c r="P23" s="99">
        <v>0</v>
      </c>
      <c r="Q23" s="96">
        <v>0</v>
      </c>
      <c r="R23" s="99">
        <v>1004061</v>
      </c>
    </row>
    <row r="24" spans="1:18" s="90" customFormat="1" ht="21" customHeight="1">
      <c r="A24" s="97" t="s">
        <v>363</v>
      </c>
      <c r="B24" s="96">
        <v>230831</v>
      </c>
      <c r="C24" s="99">
        <v>177446</v>
      </c>
      <c r="D24" s="99">
        <v>235891</v>
      </c>
      <c r="E24" s="99">
        <v>644168</v>
      </c>
      <c r="F24" s="99"/>
      <c r="G24" s="99"/>
      <c r="H24" s="96"/>
      <c r="I24" s="96">
        <v>0</v>
      </c>
      <c r="J24" s="96"/>
      <c r="K24" s="96"/>
      <c r="L24" s="96"/>
      <c r="M24" s="96">
        <v>0</v>
      </c>
      <c r="N24" s="99"/>
      <c r="O24" s="96"/>
      <c r="P24" s="96"/>
      <c r="Q24" s="96">
        <v>0</v>
      </c>
      <c r="R24" s="99">
        <v>644168</v>
      </c>
    </row>
    <row r="25" spans="1:18" s="90" customFormat="1" ht="21" customHeight="1">
      <c r="A25" s="97" t="s">
        <v>364</v>
      </c>
      <c r="B25" s="96">
        <v>189205</v>
      </c>
      <c r="C25" s="99">
        <v>138726</v>
      </c>
      <c r="D25" s="99">
        <v>192704</v>
      </c>
      <c r="E25" s="99">
        <v>520635</v>
      </c>
      <c r="F25" s="99"/>
      <c r="G25" s="99"/>
      <c r="H25" s="96"/>
      <c r="I25" s="96">
        <v>0</v>
      </c>
      <c r="J25" s="96"/>
      <c r="K25" s="96"/>
      <c r="L25" s="96"/>
      <c r="M25" s="96">
        <v>0</v>
      </c>
      <c r="N25" s="99"/>
      <c r="O25" s="96"/>
      <c r="P25" s="96"/>
      <c r="Q25" s="96">
        <v>0</v>
      </c>
      <c r="R25" s="99">
        <v>520635</v>
      </c>
    </row>
    <row r="26" spans="1:18" s="90" customFormat="1" ht="21" customHeight="1">
      <c r="A26" s="97" t="s">
        <v>365</v>
      </c>
      <c r="B26" s="96">
        <v>26687</v>
      </c>
      <c r="C26" s="99">
        <v>28331</v>
      </c>
      <c r="D26" s="99">
        <v>27496</v>
      </c>
      <c r="E26" s="99">
        <v>82514</v>
      </c>
      <c r="F26" s="99"/>
      <c r="G26" s="99"/>
      <c r="H26" s="96"/>
      <c r="I26" s="96">
        <v>0</v>
      </c>
      <c r="J26" s="99"/>
      <c r="K26" s="99"/>
      <c r="L26" s="99"/>
      <c r="M26" s="96">
        <v>0</v>
      </c>
      <c r="N26" s="99"/>
      <c r="O26" s="99"/>
      <c r="P26" s="99"/>
      <c r="Q26" s="96">
        <v>0</v>
      </c>
      <c r="R26" s="99">
        <v>82514</v>
      </c>
    </row>
    <row r="27" spans="1:18" s="90" customFormat="1" ht="21" customHeight="1">
      <c r="A27" s="97" t="s">
        <v>366</v>
      </c>
      <c r="B27" s="99">
        <v>43462</v>
      </c>
      <c r="C27" s="99">
        <v>49654</v>
      </c>
      <c r="D27" s="99">
        <v>45038</v>
      </c>
      <c r="E27" s="99">
        <v>138154</v>
      </c>
      <c r="F27" s="99"/>
      <c r="G27" s="99"/>
      <c r="H27" s="95"/>
      <c r="I27" s="96">
        <v>0</v>
      </c>
      <c r="J27" s="99"/>
      <c r="K27" s="95"/>
      <c r="L27" s="95"/>
      <c r="M27" s="96">
        <v>0</v>
      </c>
      <c r="N27" s="99"/>
      <c r="O27" s="95"/>
      <c r="P27" s="95"/>
      <c r="Q27" s="96">
        <v>0</v>
      </c>
      <c r="R27" s="99">
        <v>138154</v>
      </c>
    </row>
    <row r="28" spans="1:18" s="90" customFormat="1" ht="21" customHeight="1">
      <c r="A28" s="102" t="s">
        <v>367</v>
      </c>
      <c r="B28" s="99">
        <v>88203</v>
      </c>
      <c r="C28" s="99">
        <v>88832</v>
      </c>
      <c r="D28" s="99">
        <v>89228</v>
      </c>
      <c r="E28" s="99">
        <v>266263</v>
      </c>
      <c r="F28" s="99"/>
      <c r="G28" s="99"/>
      <c r="H28" s="95"/>
      <c r="I28" s="96">
        <v>0</v>
      </c>
      <c r="J28" s="99"/>
      <c r="K28" s="95"/>
      <c r="L28" s="95"/>
      <c r="M28" s="96">
        <v>0</v>
      </c>
      <c r="N28" s="99"/>
      <c r="O28" s="95"/>
      <c r="P28" s="95"/>
      <c r="Q28" s="96">
        <v>0</v>
      </c>
      <c r="R28" s="99">
        <v>266263</v>
      </c>
    </row>
    <row r="29" spans="1:18" s="90" customFormat="1" ht="21" customHeight="1">
      <c r="A29" s="97" t="s">
        <v>368</v>
      </c>
      <c r="B29" s="99">
        <v>6518</v>
      </c>
      <c r="C29" s="99">
        <v>6866</v>
      </c>
      <c r="D29" s="99">
        <v>7005</v>
      </c>
      <c r="E29" s="99">
        <v>20389</v>
      </c>
      <c r="F29" s="99"/>
      <c r="G29" s="99"/>
      <c r="H29" s="95"/>
      <c r="I29" s="96">
        <v>0</v>
      </c>
      <c r="J29" s="95"/>
      <c r="K29" s="95"/>
      <c r="L29" s="95"/>
      <c r="M29" s="96">
        <v>0</v>
      </c>
      <c r="N29" s="99"/>
      <c r="O29" s="95"/>
      <c r="P29" s="99"/>
      <c r="Q29" s="96">
        <v>0</v>
      </c>
      <c r="R29" s="99">
        <v>20389</v>
      </c>
    </row>
    <row r="30" spans="1:18" s="90" customFormat="1" ht="21" customHeight="1">
      <c r="A30" s="97" t="s">
        <v>369</v>
      </c>
      <c r="B30" s="99">
        <v>5019</v>
      </c>
      <c r="C30" s="99">
        <v>2770</v>
      </c>
      <c r="D30" s="99">
        <v>3215</v>
      </c>
      <c r="E30" s="99">
        <v>11004</v>
      </c>
      <c r="F30" s="99"/>
      <c r="G30" s="99"/>
      <c r="H30" s="95"/>
      <c r="I30" s="96">
        <v>0</v>
      </c>
      <c r="J30" s="99"/>
      <c r="K30" s="95"/>
      <c r="L30" s="95"/>
      <c r="M30" s="96">
        <v>0</v>
      </c>
      <c r="N30" s="99"/>
      <c r="O30" s="95"/>
      <c r="P30" s="99"/>
      <c r="Q30" s="96">
        <v>0</v>
      </c>
      <c r="R30" s="99">
        <v>11004</v>
      </c>
    </row>
    <row r="31" spans="1:18" s="90" customFormat="1" ht="21" customHeight="1">
      <c r="A31" s="97" t="s">
        <v>370</v>
      </c>
      <c r="B31" s="99">
        <v>2707</v>
      </c>
      <c r="C31" s="99">
        <v>3265</v>
      </c>
      <c r="D31" s="99">
        <v>3132</v>
      </c>
      <c r="E31" s="99">
        <v>9104</v>
      </c>
      <c r="F31" s="99"/>
      <c r="G31" s="99"/>
      <c r="H31" s="95"/>
      <c r="I31" s="96">
        <v>0</v>
      </c>
      <c r="J31" s="99"/>
      <c r="K31" s="95"/>
      <c r="L31" s="95"/>
      <c r="M31" s="96">
        <v>0</v>
      </c>
      <c r="N31" s="99"/>
      <c r="O31" s="95"/>
      <c r="P31" s="99"/>
      <c r="Q31" s="96">
        <v>0</v>
      </c>
      <c r="R31" s="99">
        <v>9104</v>
      </c>
    </row>
    <row r="32" spans="1:18" s="90" customFormat="1">
      <c r="A32" s="110" t="s">
        <v>371</v>
      </c>
      <c r="B32" s="99">
        <v>361801</v>
      </c>
      <c r="C32" s="99">
        <v>318444</v>
      </c>
      <c r="D32" s="99">
        <v>367818</v>
      </c>
      <c r="E32" s="99">
        <v>1048063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1048063</v>
      </c>
    </row>
    <row r="33" spans="1:19" s="90" customFormat="1" ht="15.9" customHeight="1">
      <c r="A33" s="97" t="s">
        <v>372</v>
      </c>
      <c r="B33" s="99">
        <v>122450</v>
      </c>
      <c r="C33" s="99">
        <v>150271</v>
      </c>
      <c r="D33" s="99">
        <v>138855</v>
      </c>
      <c r="E33" s="99">
        <v>411576</v>
      </c>
      <c r="F33" s="99"/>
      <c r="G33" s="99"/>
      <c r="H33" s="104"/>
      <c r="I33" s="96">
        <v>0</v>
      </c>
      <c r="J33" s="104"/>
      <c r="K33" s="104"/>
      <c r="L33" s="99"/>
      <c r="M33" s="96">
        <v>0</v>
      </c>
      <c r="N33" s="99"/>
      <c r="O33" s="99"/>
      <c r="P33" s="99"/>
      <c r="Q33" s="96">
        <v>0</v>
      </c>
      <c r="R33" s="99">
        <v>411576</v>
      </c>
      <c r="S33" s="103"/>
    </row>
    <row r="34" spans="1:19" s="90" customFormat="1" ht="15.9" customHeight="1">
      <c r="A34" s="97" t="s">
        <v>373</v>
      </c>
      <c r="B34" s="105">
        <v>42.44</v>
      </c>
      <c r="C34" s="105">
        <v>42.1</v>
      </c>
      <c r="D34" s="105">
        <v>39.65</v>
      </c>
      <c r="E34" s="105"/>
      <c r="F34" s="105"/>
      <c r="G34" s="105"/>
      <c r="H34" s="105"/>
      <c r="I34" s="106"/>
      <c r="J34" s="105"/>
      <c r="K34" s="105"/>
      <c r="L34" s="105"/>
      <c r="M34" s="105">
        <v>0</v>
      </c>
      <c r="N34" s="107"/>
      <c r="O34" s="105"/>
      <c r="P34" s="105"/>
      <c r="Q34" s="105">
        <v>0</v>
      </c>
      <c r="R34" s="105">
        <v>41.4</v>
      </c>
    </row>
    <row r="35" spans="1:19" s="90" customFormat="1" ht="15.9" customHeight="1">
      <c r="A35" s="97" t="s">
        <v>374</v>
      </c>
      <c r="B35" s="105">
        <v>210.5</v>
      </c>
      <c r="C35" s="105">
        <v>218.01</v>
      </c>
      <c r="D35" s="105">
        <v>223.32999999999998</v>
      </c>
      <c r="E35" s="105"/>
      <c r="F35" s="105"/>
      <c r="G35" s="105"/>
      <c r="H35" s="105"/>
      <c r="I35" s="106"/>
      <c r="J35" s="105"/>
      <c r="K35" s="105"/>
      <c r="L35" s="105"/>
      <c r="M35" s="105">
        <v>0</v>
      </c>
      <c r="N35" s="105"/>
      <c r="O35" s="105"/>
      <c r="P35" s="105"/>
      <c r="Q35" s="105">
        <v>0</v>
      </c>
      <c r="R35" s="105">
        <v>217.29</v>
      </c>
    </row>
    <row r="36" spans="1:19" s="90" customFormat="1" ht="15.9" customHeight="1">
      <c r="A36" s="97" t="s">
        <v>375</v>
      </c>
      <c r="B36" s="105">
        <v>44.39</v>
      </c>
      <c r="C36" s="105">
        <v>33.75</v>
      </c>
      <c r="D36" s="105">
        <v>32.58</v>
      </c>
      <c r="E36" s="105"/>
      <c r="F36" s="105"/>
      <c r="G36" s="105"/>
      <c r="H36" s="105"/>
      <c r="I36" s="106"/>
      <c r="J36" s="105"/>
      <c r="K36" s="105"/>
      <c r="L36" s="105"/>
      <c r="M36" s="105">
        <v>0</v>
      </c>
      <c r="N36" s="105"/>
      <c r="O36" s="105"/>
      <c r="P36" s="105"/>
      <c r="Q36" s="105">
        <v>0</v>
      </c>
      <c r="R36" s="105">
        <v>36.869999999999997</v>
      </c>
    </row>
    <row r="37" spans="1:19" s="90" customFormat="1" ht="15.9" customHeight="1">
      <c r="A37" s="97" t="s">
        <v>376</v>
      </c>
      <c r="B37" s="105">
        <v>0</v>
      </c>
      <c r="C37" s="105">
        <v>0</v>
      </c>
      <c r="D37" s="105">
        <v>0</v>
      </c>
      <c r="E37" s="105"/>
      <c r="F37" s="105"/>
      <c r="G37" s="105"/>
      <c r="H37" s="105"/>
      <c r="I37" s="106"/>
      <c r="J37" s="105"/>
      <c r="K37" s="105"/>
      <c r="L37" s="105"/>
      <c r="M37" s="105">
        <v>0</v>
      </c>
      <c r="N37" s="105"/>
      <c r="O37" s="105"/>
      <c r="P37" s="105"/>
      <c r="Q37" s="105">
        <v>0</v>
      </c>
      <c r="R37" s="105">
        <v>0</v>
      </c>
    </row>
    <row r="38" spans="1:19" s="90" customFormat="1" ht="15.9" customHeight="1">
      <c r="A38" s="97" t="s">
        <v>377</v>
      </c>
      <c r="B38" s="105">
        <v>297.33</v>
      </c>
      <c r="C38" s="105">
        <v>293.86</v>
      </c>
      <c r="D38" s="105">
        <v>295.55999999999995</v>
      </c>
      <c r="E38" s="105"/>
      <c r="F38" s="105"/>
      <c r="G38" s="105"/>
      <c r="H38" s="105"/>
      <c r="I38" s="106"/>
      <c r="J38" s="105"/>
      <c r="K38" s="105"/>
      <c r="L38" s="105"/>
      <c r="M38" s="105">
        <v>0</v>
      </c>
      <c r="N38" s="105"/>
      <c r="O38" s="105"/>
      <c r="P38" s="105"/>
      <c r="Q38" s="105">
        <v>0</v>
      </c>
      <c r="R38" s="105">
        <v>295.56439560439554</v>
      </c>
    </row>
    <row r="39" spans="1:19" s="90" customFormat="1" ht="15.9" customHeight="1">
      <c r="A39" s="100" t="s">
        <v>378</v>
      </c>
      <c r="B39" s="105">
        <v>3.92</v>
      </c>
      <c r="C39" s="105">
        <v>4.67</v>
      </c>
      <c r="D39" s="105">
        <v>12.49</v>
      </c>
      <c r="E39" s="105"/>
      <c r="F39" s="105"/>
      <c r="G39" s="105"/>
      <c r="H39" s="105"/>
      <c r="I39" s="105"/>
      <c r="J39" s="105"/>
      <c r="K39" s="105"/>
      <c r="L39" s="105"/>
      <c r="M39" s="105">
        <v>0</v>
      </c>
      <c r="N39" s="105"/>
      <c r="O39" s="105"/>
      <c r="P39" s="105"/>
      <c r="Q39" s="105">
        <v>0</v>
      </c>
      <c r="R39" s="105">
        <v>7.0007692307692304</v>
      </c>
    </row>
    <row r="40" spans="1:19" s="90" customFormat="1">
      <c r="A40" s="111" t="s">
        <v>379</v>
      </c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</row>
    <row r="41" spans="1:19" s="90" customFormat="1">
      <c r="A41" s="97" t="s">
        <v>380</v>
      </c>
      <c r="B41" s="99">
        <v>1029944</v>
      </c>
      <c r="C41" s="99">
        <v>1016385</v>
      </c>
      <c r="D41" s="99">
        <v>963955</v>
      </c>
      <c r="E41" s="99">
        <v>3010284</v>
      </c>
      <c r="F41" s="99"/>
      <c r="G41" s="99"/>
      <c r="H41" s="95"/>
      <c r="I41" s="96">
        <v>0</v>
      </c>
      <c r="J41" s="99"/>
      <c r="K41" s="95"/>
      <c r="L41" s="99"/>
      <c r="M41" s="96">
        <v>0</v>
      </c>
      <c r="N41" s="95"/>
      <c r="O41" s="95"/>
      <c r="P41" s="99"/>
      <c r="Q41" s="96">
        <v>0</v>
      </c>
      <c r="R41" s="99">
        <v>3010284</v>
      </c>
    </row>
    <row r="42" spans="1:19" s="90" customFormat="1">
      <c r="A42" s="97" t="s">
        <v>381</v>
      </c>
      <c r="B42" s="99">
        <v>1023664</v>
      </c>
      <c r="C42" s="99">
        <v>1014465</v>
      </c>
      <c r="D42" s="99">
        <v>952825</v>
      </c>
      <c r="E42" s="99">
        <v>2990954</v>
      </c>
      <c r="F42" s="99"/>
      <c r="G42" s="99"/>
      <c r="H42" s="95"/>
      <c r="I42" s="96">
        <v>0</v>
      </c>
      <c r="J42" s="99"/>
      <c r="K42" s="95"/>
      <c r="L42" s="99"/>
      <c r="M42" s="96">
        <v>0</v>
      </c>
      <c r="N42" s="95"/>
      <c r="O42" s="95"/>
      <c r="P42" s="99"/>
      <c r="Q42" s="96">
        <v>0</v>
      </c>
      <c r="R42" s="99">
        <v>2990954</v>
      </c>
    </row>
    <row r="43" spans="1:19" s="90" customFormat="1">
      <c r="A43" s="97" t="s">
        <v>382</v>
      </c>
      <c r="B43" s="99">
        <v>78737</v>
      </c>
      <c r="C43" s="99">
        <v>81052</v>
      </c>
      <c r="D43" s="99">
        <v>63034</v>
      </c>
      <c r="E43" s="99">
        <v>222823</v>
      </c>
      <c r="F43" s="99"/>
      <c r="G43" s="99"/>
      <c r="H43" s="95"/>
      <c r="I43" s="96">
        <v>0</v>
      </c>
      <c r="J43" s="99"/>
      <c r="K43" s="95"/>
      <c r="L43" s="99"/>
      <c r="M43" s="96">
        <v>0</v>
      </c>
      <c r="N43" s="95"/>
      <c r="O43" s="95"/>
      <c r="P43" s="99"/>
      <c r="Q43" s="96">
        <v>0</v>
      </c>
      <c r="R43" s="99">
        <v>222823</v>
      </c>
    </row>
    <row r="44" spans="1:19"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</row>
    <row r="45" spans="1:19"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</row>
    <row r="46" spans="1:19"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</row>
    <row r="47" spans="1:19"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</row>
    <row r="48" spans="1:19"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</row>
    <row r="49" spans="2:18"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</row>
    <row r="50" spans="2:18"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</row>
    <row r="51" spans="2:18"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</row>
  </sheetData>
  <mergeCells count="1">
    <mergeCell ref="A1:C1"/>
  </mergeCells>
  <pageMargins left="0.7" right="0.35" top="0.16" bottom="0.16" header="0.16" footer="0.16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52"/>
  <sheetViews>
    <sheetView workbookViewId="0">
      <selection activeCell="R10" sqref="R10"/>
    </sheetView>
  </sheetViews>
  <sheetFormatPr defaultColWidth="9.109375" defaultRowHeight="18"/>
  <cols>
    <col min="1" max="1" width="32.44140625" style="3" bestFit="1" customWidth="1"/>
    <col min="2" max="4" width="7.88671875" style="4" bestFit="1" customWidth="1"/>
    <col min="5" max="5" width="12" style="1" hidden="1" customWidth="1"/>
    <col min="6" max="6" width="0" style="4" hidden="1" customWidth="1"/>
    <col min="7" max="17" width="0" style="1" hidden="1" customWidth="1"/>
    <col min="18" max="18" width="9.44140625" style="1" bestFit="1" customWidth="1"/>
    <col min="19" max="39" width="9.109375" style="3"/>
    <col min="40" max="16384" width="9.109375" style="4"/>
  </cols>
  <sheetData>
    <row r="1" spans="1:39" s="3" customFormat="1">
      <c r="A1" s="156" t="s">
        <v>457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</row>
    <row r="2" spans="1:39" s="3" customFormat="1">
      <c r="A2" s="144"/>
      <c r="B2" s="144"/>
      <c r="C2" s="144"/>
      <c r="D2" s="144"/>
      <c r="E2" s="62"/>
      <c r="F2" s="144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 t="s">
        <v>456</v>
      </c>
    </row>
    <row r="3" spans="1:39" s="3" customFormat="1">
      <c r="A3" s="145" t="s">
        <v>337</v>
      </c>
      <c r="B3" s="145" t="s">
        <v>384</v>
      </c>
      <c r="C3" s="145" t="s">
        <v>385</v>
      </c>
      <c r="D3" s="145" t="s">
        <v>386</v>
      </c>
      <c r="E3" s="99" t="s">
        <v>338</v>
      </c>
      <c r="F3" s="145" t="s">
        <v>387</v>
      </c>
      <c r="G3" s="99" t="s">
        <v>388</v>
      </c>
      <c r="H3" s="99" t="s">
        <v>389</v>
      </c>
      <c r="I3" s="99" t="s">
        <v>390</v>
      </c>
      <c r="J3" s="99" t="s">
        <v>391</v>
      </c>
      <c r="K3" s="99" t="s">
        <v>392</v>
      </c>
      <c r="L3" s="99" t="s">
        <v>393</v>
      </c>
      <c r="M3" s="99" t="s">
        <v>340</v>
      </c>
      <c r="N3" s="99" t="s">
        <v>394</v>
      </c>
      <c r="O3" s="99" t="s">
        <v>395</v>
      </c>
      <c r="P3" s="99" t="s">
        <v>396</v>
      </c>
      <c r="Q3" s="146" t="s">
        <v>341</v>
      </c>
      <c r="R3" s="146" t="s">
        <v>342</v>
      </c>
    </row>
    <row r="4" spans="1:39">
      <c r="A4" s="157" t="s">
        <v>397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</row>
    <row r="5" spans="1:39" hidden="1">
      <c r="A5" s="145" t="s">
        <v>398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146"/>
    </row>
    <row r="6" spans="1:39">
      <c r="A6" s="151" t="s">
        <v>399</v>
      </c>
      <c r="B6" s="99">
        <v>42579.6</v>
      </c>
      <c r="C6" s="99">
        <v>45853.88</v>
      </c>
      <c r="D6" s="99">
        <v>45484</v>
      </c>
      <c r="E6" s="99">
        <f>SUM(B6:D6)</f>
        <v>133917.47999999998</v>
      </c>
      <c r="F6" s="99"/>
      <c r="G6" s="99"/>
      <c r="H6" s="99"/>
      <c r="I6" s="99">
        <f>SUM(F6:H6)</f>
        <v>0</v>
      </c>
      <c r="J6" s="99"/>
      <c r="K6" s="99"/>
      <c r="L6" s="99"/>
      <c r="M6" s="99">
        <f>SUM(J6:L6)</f>
        <v>0</v>
      </c>
      <c r="N6" s="99"/>
      <c r="O6" s="99"/>
      <c r="P6" s="99"/>
      <c r="Q6" s="99">
        <f>SUM(N6:P6)</f>
        <v>0</v>
      </c>
      <c r="R6" s="146">
        <f>E6+I6+M6+Q6</f>
        <v>133917.47999999998</v>
      </c>
    </row>
    <row r="7" spans="1:39">
      <c r="A7" s="151" t="s">
        <v>367</v>
      </c>
      <c r="B7" s="99">
        <v>84827</v>
      </c>
      <c r="C7" s="99">
        <v>89727</v>
      </c>
      <c r="D7" s="99">
        <v>84656</v>
      </c>
      <c r="E7" s="99">
        <f t="shared" ref="E7:E31" si="0">SUM(B7:D7)</f>
        <v>259210</v>
      </c>
      <c r="F7" s="99"/>
      <c r="G7" s="99"/>
      <c r="H7" s="99"/>
      <c r="I7" s="99">
        <f t="shared" ref="I7:I12" si="1">SUM(F7:H7)</f>
        <v>0</v>
      </c>
      <c r="J7" s="99"/>
      <c r="K7" s="99"/>
      <c r="L7" s="99"/>
      <c r="M7" s="99">
        <f t="shared" ref="M7:M12" si="2">SUM(J7:L7)</f>
        <v>0</v>
      </c>
      <c r="N7" s="99"/>
      <c r="O7" s="99"/>
      <c r="P7" s="99"/>
      <c r="Q7" s="99">
        <f t="shared" ref="Q7:Q12" si="3">SUM(N7:P7)</f>
        <v>0</v>
      </c>
      <c r="R7" s="146">
        <f t="shared" ref="R7:R12" si="4">E7+I7+M7+Q7</f>
        <v>259210</v>
      </c>
    </row>
    <row r="8" spans="1:39">
      <c r="A8" s="151" t="s">
        <v>400</v>
      </c>
      <c r="B8" s="99">
        <v>182832</v>
      </c>
      <c r="C8" s="99">
        <v>153563</v>
      </c>
      <c r="D8" s="147">
        <v>173846</v>
      </c>
      <c r="E8" s="99">
        <f t="shared" si="0"/>
        <v>510241</v>
      </c>
      <c r="F8" s="147"/>
      <c r="G8" s="96"/>
      <c r="H8" s="96"/>
      <c r="I8" s="99">
        <f t="shared" si="1"/>
        <v>0</v>
      </c>
      <c r="J8" s="96"/>
      <c r="K8" s="99"/>
      <c r="L8" s="96"/>
      <c r="M8" s="99">
        <f t="shared" si="2"/>
        <v>0</v>
      </c>
      <c r="N8" s="99"/>
      <c r="O8" s="99"/>
      <c r="P8" s="99"/>
      <c r="Q8" s="99">
        <f t="shared" si="3"/>
        <v>0</v>
      </c>
      <c r="R8" s="146">
        <f t="shared" si="4"/>
        <v>510241</v>
      </c>
    </row>
    <row r="9" spans="1:39">
      <c r="A9" s="151" t="s">
        <v>401</v>
      </c>
      <c r="B9" s="147">
        <v>23955</v>
      </c>
      <c r="C9" s="147">
        <v>29021</v>
      </c>
      <c r="D9" s="147">
        <v>28027</v>
      </c>
      <c r="E9" s="99">
        <f t="shared" si="0"/>
        <v>81003</v>
      </c>
      <c r="F9" s="147"/>
      <c r="G9" s="96"/>
      <c r="H9" s="96"/>
      <c r="I9" s="99">
        <f t="shared" si="1"/>
        <v>0</v>
      </c>
      <c r="J9" s="96"/>
      <c r="K9" s="96"/>
      <c r="L9" s="96"/>
      <c r="M9" s="99">
        <f t="shared" si="2"/>
        <v>0</v>
      </c>
      <c r="N9" s="96"/>
      <c r="O9" s="96"/>
      <c r="P9" s="96"/>
      <c r="Q9" s="99">
        <f t="shared" si="3"/>
        <v>0</v>
      </c>
      <c r="R9" s="146">
        <f t="shared" si="4"/>
        <v>81003</v>
      </c>
    </row>
    <row r="10" spans="1:39">
      <c r="A10" s="151" t="s">
        <v>402</v>
      </c>
      <c r="B10" s="147">
        <v>4086</v>
      </c>
      <c r="C10" s="147">
        <v>4233</v>
      </c>
      <c r="D10" s="147">
        <v>2232</v>
      </c>
      <c r="E10" s="99">
        <f t="shared" si="0"/>
        <v>10551</v>
      </c>
      <c r="F10" s="147"/>
      <c r="G10" s="96"/>
      <c r="H10" s="96"/>
      <c r="I10" s="99">
        <f t="shared" si="1"/>
        <v>0</v>
      </c>
      <c r="J10" s="96"/>
      <c r="K10" s="99"/>
      <c r="L10" s="96"/>
      <c r="M10" s="99">
        <f t="shared" si="2"/>
        <v>0</v>
      </c>
      <c r="N10" s="99"/>
      <c r="O10" s="99"/>
      <c r="P10" s="99"/>
      <c r="Q10" s="99">
        <f t="shared" si="3"/>
        <v>0</v>
      </c>
      <c r="R10" s="146">
        <f t="shared" si="4"/>
        <v>10551</v>
      </c>
    </row>
    <row r="11" spans="1:39" s="3" customFormat="1">
      <c r="A11" s="151" t="s">
        <v>403</v>
      </c>
      <c r="B11" s="147">
        <v>3011</v>
      </c>
      <c r="C11" s="147">
        <v>2943</v>
      </c>
      <c r="D11" s="147">
        <v>2017</v>
      </c>
      <c r="E11" s="99">
        <f t="shared" si="0"/>
        <v>7971</v>
      </c>
      <c r="F11" s="147"/>
      <c r="G11" s="96"/>
      <c r="H11" s="96"/>
      <c r="I11" s="99">
        <f t="shared" si="1"/>
        <v>0</v>
      </c>
      <c r="J11" s="96"/>
      <c r="K11" s="99"/>
      <c r="L11" s="96"/>
      <c r="M11" s="99">
        <f t="shared" si="2"/>
        <v>0</v>
      </c>
      <c r="N11" s="99"/>
      <c r="O11" s="99"/>
      <c r="P11" s="99"/>
      <c r="Q11" s="99">
        <f t="shared" si="3"/>
        <v>0</v>
      </c>
      <c r="R11" s="146">
        <f t="shared" si="4"/>
        <v>7971</v>
      </c>
    </row>
    <row r="12" spans="1:39" s="3" customFormat="1">
      <c r="A12" s="151" t="s">
        <v>368</v>
      </c>
      <c r="B12" s="147">
        <v>6104</v>
      </c>
      <c r="C12" s="147">
        <v>5772</v>
      </c>
      <c r="D12" s="147">
        <v>7385</v>
      </c>
      <c r="E12" s="99">
        <f t="shared" si="0"/>
        <v>19261</v>
      </c>
      <c r="F12" s="147"/>
      <c r="G12" s="96"/>
      <c r="H12" s="96"/>
      <c r="I12" s="99">
        <f t="shared" si="1"/>
        <v>0</v>
      </c>
      <c r="J12" s="96"/>
      <c r="K12" s="96"/>
      <c r="L12" s="96"/>
      <c r="M12" s="99">
        <f t="shared" si="2"/>
        <v>0</v>
      </c>
      <c r="N12" s="96"/>
      <c r="O12" s="96"/>
      <c r="P12" s="96"/>
      <c r="Q12" s="99">
        <f t="shared" si="3"/>
        <v>0</v>
      </c>
      <c r="R12" s="146">
        <f t="shared" si="4"/>
        <v>19261</v>
      </c>
    </row>
    <row r="13" spans="1:39" s="158" customFormat="1">
      <c r="A13" s="145" t="s">
        <v>459</v>
      </c>
      <c r="B13" s="145">
        <f t="shared" ref="B13:R13" si="5">SUM(B6:B12)</f>
        <v>347394.6</v>
      </c>
      <c r="C13" s="145">
        <f t="shared" si="5"/>
        <v>331112.88</v>
      </c>
      <c r="D13" s="145">
        <f t="shared" si="5"/>
        <v>343647</v>
      </c>
      <c r="E13" s="145">
        <f t="shared" si="5"/>
        <v>1022154.48</v>
      </c>
      <c r="F13" s="145">
        <f t="shared" si="5"/>
        <v>0</v>
      </c>
      <c r="G13" s="145">
        <f t="shared" si="5"/>
        <v>0</v>
      </c>
      <c r="H13" s="145">
        <f t="shared" si="5"/>
        <v>0</v>
      </c>
      <c r="I13" s="145">
        <f t="shared" si="5"/>
        <v>0</v>
      </c>
      <c r="J13" s="145">
        <f t="shared" si="5"/>
        <v>0</v>
      </c>
      <c r="K13" s="145">
        <f t="shared" si="5"/>
        <v>0</v>
      </c>
      <c r="L13" s="145">
        <f t="shared" si="5"/>
        <v>0</v>
      </c>
      <c r="M13" s="145">
        <f t="shared" si="5"/>
        <v>0</v>
      </c>
      <c r="N13" s="145">
        <f t="shared" si="5"/>
        <v>0</v>
      </c>
      <c r="O13" s="145">
        <f t="shared" si="5"/>
        <v>0</v>
      </c>
      <c r="P13" s="145">
        <f t="shared" si="5"/>
        <v>0</v>
      </c>
      <c r="Q13" s="145">
        <f t="shared" si="5"/>
        <v>0</v>
      </c>
      <c r="R13" s="145">
        <f t="shared" si="5"/>
        <v>1022154.48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s="3" customFormat="1">
      <c r="A14" s="151" t="s">
        <v>404</v>
      </c>
      <c r="B14" s="145">
        <v>286752</v>
      </c>
      <c r="C14" s="145">
        <v>264101</v>
      </c>
      <c r="D14" s="145">
        <v>277010</v>
      </c>
      <c r="E14" s="99">
        <f t="shared" si="0"/>
        <v>827863</v>
      </c>
      <c r="F14" s="148"/>
      <c r="G14" s="99"/>
      <c r="H14" s="99"/>
      <c r="I14" s="99">
        <f t="shared" ref="I14:I31" si="6">SUM(F14:H14)</f>
        <v>0</v>
      </c>
      <c r="J14" s="148"/>
      <c r="K14" s="148"/>
      <c r="L14" s="99"/>
      <c r="M14" s="99">
        <f t="shared" ref="M14:M31" si="7">SUM(J14:L14)</f>
        <v>0</v>
      </c>
      <c r="N14" s="148"/>
      <c r="O14" s="99"/>
      <c r="P14" s="148"/>
      <c r="Q14" s="99">
        <f t="shared" ref="Q14:Q31" si="8">SUM(N14:P14)</f>
        <v>0</v>
      </c>
      <c r="R14" s="146">
        <f>E14+I14+M14+Q14</f>
        <v>827863</v>
      </c>
    </row>
    <row r="15" spans="1:39">
      <c r="A15" s="152" t="s">
        <v>405</v>
      </c>
      <c r="B15" s="99">
        <v>52854</v>
      </c>
      <c r="C15" s="99">
        <v>40536</v>
      </c>
      <c r="D15" s="99">
        <v>60706</v>
      </c>
      <c r="E15" s="99">
        <f t="shared" si="0"/>
        <v>154096</v>
      </c>
      <c r="F15" s="99"/>
      <c r="G15" s="96"/>
      <c r="H15" s="99"/>
      <c r="I15" s="99">
        <f t="shared" si="6"/>
        <v>0</v>
      </c>
      <c r="J15" s="99"/>
      <c r="K15" s="104"/>
      <c r="L15" s="104"/>
      <c r="M15" s="99">
        <f t="shared" si="7"/>
        <v>0</v>
      </c>
      <c r="N15" s="104"/>
      <c r="O15" s="99"/>
      <c r="P15" s="104"/>
      <c r="Q15" s="99">
        <f t="shared" si="8"/>
        <v>0</v>
      </c>
      <c r="R15" s="146">
        <f t="shared" ref="R15:R31" si="9">E15+I15+M15+Q15</f>
        <v>154096</v>
      </c>
    </row>
    <row r="16" spans="1:39" s="1" customFormat="1">
      <c r="A16" s="152" t="s">
        <v>406</v>
      </c>
      <c r="B16" s="99">
        <v>294541</v>
      </c>
      <c r="C16" s="99">
        <v>290577</v>
      </c>
      <c r="D16" s="99">
        <v>282941</v>
      </c>
      <c r="E16" s="99">
        <f t="shared" si="0"/>
        <v>868059</v>
      </c>
      <c r="F16" s="96"/>
      <c r="G16" s="146"/>
      <c r="H16" s="99"/>
      <c r="I16" s="99">
        <f t="shared" si="6"/>
        <v>0</v>
      </c>
      <c r="J16" s="99"/>
      <c r="K16" s="99"/>
      <c r="L16" s="146"/>
      <c r="M16" s="99">
        <f t="shared" si="7"/>
        <v>0</v>
      </c>
      <c r="N16" s="99"/>
      <c r="O16" s="99"/>
      <c r="P16" s="99"/>
      <c r="Q16" s="99">
        <f t="shared" si="8"/>
        <v>0</v>
      </c>
      <c r="R16" s="146">
        <f t="shared" si="9"/>
        <v>868059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s="2" customFormat="1">
      <c r="A17" s="152" t="s">
        <v>407</v>
      </c>
      <c r="B17" s="99">
        <v>280218</v>
      </c>
      <c r="C17" s="99">
        <v>132464</v>
      </c>
      <c r="D17" s="99">
        <v>252251</v>
      </c>
      <c r="E17" s="99">
        <f t="shared" si="0"/>
        <v>664933</v>
      </c>
      <c r="F17" s="96"/>
      <c r="G17" s="146"/>
      <c r="H17" s="99"/>
      <c r="I17" s="99">
        <f t="shared" si="6"/>
        <v>0</v>
      </c>
      <c r="J17" s="99"/>
      <c r="K17" s="99"/>
      <c r="L17" s="99"/>
      <c r="M17" s="99">
        <f t="shared" si="7"/>
        <v>0</v>
      </c>
      <c r="N17" s="99"/>
      <c r="O17" s="99"/>
      <c r="P17" s="104"/>
      <c r="Q17" s="99">
        <f t="shared" si="8"/>
        <v>0</v>
      </c>
      <c r="R17" s="146">
        <f>E17+I17+M17+Q17</f>
        <v>664933</v>
      </c>
    </row>
    <row r="18" spans="1:39" s="1" customFormat="1">
      <c r="A18" s="153" t="s">
        <v>408</v>
      </c>
      <c r="B18" s="146">
        <v>338865</v>
      </c>
      <c r="C18" s="146">
        <v>366006.18000000005</v>
      </c>
      <c r="D18" s="146">
        <v>354150.5</v>
      </c>
      <c r="E18" s="99">
        <f t="shared" si="0"/>
        <v>1059021.6800000002</v>
      </c>
      <c r="F18" s="149"/>
      <c r="G18" s="146"/>
      <c r="H18" s="146"/>
      <c r="I18" s="99">
        <f t="shared" si="6"/>
        <v>0</v>
      </c>
      <c r="J18" s="146"/>
      <c r="K18" s="99"/>
      <c r="L18" s="146"/>
      <c r="M18" s="99">
        <f t="shared" si="7"/>
        <v>0</v>
      </c>
      <c r="N18" s="99"/>
      <c r="O18" s="146"/>
      <c r="P18" s="150"/>
      <c r="Q18" s="99">
        <f t="shared" si="8"/>
        <v>0</v>
      </c>
      <c r="R18" s="146">
        <f t="shared" si="9"/>
        <v>1059021.6800000002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s="5" customFormat="1">
      <c r="A19" s="153" t="s">
        <v>458</v>
      </c>
      <c r="B19" s="146">
        <f>B17+B18</f>
        <v>619083</v>
      </c>
      <c r="C19" s="146">
        <f>C17+C18</f>
        <v>498470.18000000005</v>
      </c>
      <c r="D19" s="146">
        <f>D17+D18</f>
        <v>606401.5</v>
      </c>
      <c r="E19" s="99">
        <f t="shared" si="0"/>
        <v>1723954.6800000002</v>
      </c>
      <c r="F19" s="146">
        <f>F17+F18</f>
        <v>0</v>
      </c>
      <c r="G19" s="146">
        <f>G17+G18</f>
        <v>0</v>
      </c>
      <c r="H19" s="146">
        <f>H17+H18</f>
        <v>0</v>
      </c>
      <c r="I19" s="99">
        <f t="shared" si="6"/>
        <v>0</v>
      </c>
      <c r="J19" s="146">
        <f t="shared" ref="J19:Q19" si="10">J17+J18</f>
        <v>0</v>
      </c>
      <c r="K19" s="146">
        <f t="shared" si="10"/>
        <v>0</v>
      </c>
      <c r="L19" s="146">
        <f t="shared" si="10"/>
        <v>0</v>
      </c>
      <c r="M19" s="149">
        <f t="shared" si="10"/>
        <v>0</v>
      </c>
      <c r="N19" s="146">
        <f t="shared" si="10"/>
        <v>0</v>
      </c>
      <c r="O19" s="146">
        <f t="shared" si="10"/>
        <v>0</v>
      </c>
      <c r="P19" s="146">
        <f t="shared" si="10"/>
        <v>0</v>
      </c>
      <c r="Q19" s="149">
        <f t="shared" si="10"/>
        <v>0</v>
      </c>
      <c r="R19" s="146">
        <f t="shared" si="9"/>
        <v>1723954.6800000002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s="2" customFormat="1" hidden="1">
      <c r="A20" s="153" t="s">
        <v>409</v>
      </c>
      <c r="B20" s="146"/>
      <c r="C20" s="146"/>
      <c r="D20" s="146"/>
      <c r="E20" s="99">
        <f t="shared" si="0"/>
        <v>0</v>
      </c>
      <c r="F20" s="146"/>
      <c r="G20" s="146"/>
      <c r="H20" s="146"/>
      <c r="I20" s="99">
        <f t="shared" si="6"/>
        <v>0</v>
      </c>
      <c r="J20" s="146"/>
      <c r="K20" s="146"/>
      <c r="L20" s="146"/>
      <c r="M20" s="99">
        <f t="shared" si="7"/>
        <v>0</v>
      </c>
      <c r="N20" s="146"/>
      <c r="O20" s="146"/>
      <c r="P20" s="146"/>
      <c r="Q20" s="99">
        <f t="shared" si="8"/>
        <v>0</v>
      </c>
      <c r="R20" s="146">
        <f t="shared" si="9"/>
        <v>0</v>
      </c>
    </row>
    <row r="21" spans="1:39" hidden="1">
      <c r="A21" s="152" t="s">
        <v>410</v>
      </c>
      <c r="B21" s="146"/>
      <c r="C21" s="149"/>
      <c r="D21" s="146"/>
      <c r="E21" s="99">
        <f t="shared" si="0"/>
        <v>0</v>
      </c>
      <c r="F21" s="149"/>
      <c r="G21" s="146"/>
      <c r="H21" s="146"/>
      <c r="I21" s="99">
        <f t="shared" si="6"/>
        <v>0</v>
      </c>
      <c r="J21" s="146"/>
      <c r="K21" s="146"/>
      <c r="L21" s="146"/>
      <c r="M21" s="99">
        <f t="shared" si="7"/>
        <v>0</v>
      </c>
      <c r="N21" s="146"/>
      <c r="O21" s="146"/>
      <c r="P21" s="146"/>
      <c r="Q21" s="99">
        <f t="shared" si="8"/>
        <v>0</v>
      </c>
      <c r="R21" s="146">
        <f t="shared" si="9"/>
        <v>0</v>
      </c>
    </row>
    <row r="22" spans="1:39" hidden="1">
      <c r="A22" s="152" t="s">
        <v>411</v>
      </c>
      <c r="B22" s="149"/>
      <c r="C22" s="149"/>
      <c r="D22" s="149"/>
      <c r="E22" s="99">
        <f t="shared" si="0"/>
        <v>0</v>
      </c>
      <c r="F22" s="149"/>
      <c r="G22" s="146"/>
      <c r="H22" s="146"/>
      <c r="I22" s="99">
        <f t="shared" si="6"/>
        <v>0</v>
      </c>
      <c r="J22" s="146"/>
      <c r="K22" s="146"/>
      <c r="L22" s="146"/>
      <c r="M22" s="99">
        <f t="shared" si="7"/>
        <v>0</v>
      </c>
      <c r="N22" s="146"/>
      <c r="O22" s="146"/>
      <c r="P22" s="146"/>
      <c r="Q22" s="99">
        <f t="shared" si="8"/>
        <v>0</v>
      </c>
      <c r="R22" s="146">
        <f t="shared" si="9"/>
        <v>0</v>
      </c>
    </row>
    <row r="23" spans="1:39" hidden="1">
      <c r="A23" s="152" t="s">
        <v>412</v>
      </c>
      <c r="B23" s="149"/>
      <c r="C23" s="149"/>
      <c r="D23" s="149"/>
      <c r="E23" s="99">
        <f t="shared" si="0"/>
        <v>0</v>
      </c>
      <c r="F23" s="149"/>
      <c r="G23" s="146"/>
      <c r="H23" s="146"/>
      <c r="I23" s="99">
        <f t="shared" si="6"/>
        <v>0</v>
      </c>
      <c r="J23" s="146"/>
      <c r="K23" s="146"/>
      <c r="L23" s="146"/>
      <c r="M23" s="99">
        <f t="shared" si="7"/>
        <v>0</v>
      </c>
      <c r="N23" s="146"/>
      <c r="O23" s="146"/>
      <c r="P23" s="146"/>
      <c r="Q23" s="99">
        <f t="shared" si="8"/>
        <v>0</v>
      </c>
      <c r="R23" s="146">
        <f t="shared" si="9"/>
        <v>0</v>
      </c>
    </row>
    <row r="24" spans="1:39" hidden="1">
      <c r="A24" s="152" t="s">
        <v>413</v>
      </c>
      <c r="B24" s="149"/>
      <c r="C24" s="149"/>
      <c r="D24" s="149"/>
      <c r="E24" s="99">
        <f t="shared" si="0"/>
        <v>0</v>
      </c>
      <c r="F24" s="149"/>
      <c r="G24" s="146"/>
      <c r="H24" s="146"/>
      <c r="I24" s="99">
        <f t="shared" si="6"/>
        <v>0</v>
      </c>
      <c r="J24" s="146"/>
      <c r="K24" s="146"/>
      <c r="L24" s="106"/>
      <c r="M24" s="99">
        <f t="shared" si="7"/>
        <v>0</v>
      </c>
      <c r="N24" s="146"/>
      <c r="O24" s="146"/>
      <c r="P24" s="146"/>
      <c r="Q24" s="99">
        <f t="shared" si="8"/>
        <v>0</v>
      </c>
      <c r="R24" s="146">
        <f t="shared" si="9"/>
        <v>0</v>
      </c>
    </row>
    <row r="25" spans="1:39" hidden="1">
      <c r="A25" s="152" t="s">
        <v>414</v>
      </c>
      <c r="B25" s="149"/>
      <c r="C25" s="149"/>
      <c r="D25" s="149"/>
      <c r="E25" s="99">
        <f t="shared" si="0"/>
        <v>0</v>
      </c>
      <c r="F25" s="149"/>
      <c r="G25" s="146"/>
      <c r="H25" s="146"/>
      <c r="I25" s="99">
        <f t="shared" si="6"/>
        <v>0</v>
      </c>
      <c r="J25" s="146"/>
      <c r="K25" s="146"/>
      <c r="L25" s="106"/>
      <c r="M25" s="99">
        <f t="shared" si="7"/>
        <v>0</v>
      </c>
      <c r="N25" s="146"/>
      <c r="O25" s="146"/>
      <c r="P25" s="146"/>
      <c r="Q25" s="99">
        <f t="shared" si="8"/>
        <v>0</v>
      </c>
      <c r="R25" s="146">
        <f t="shared" si="9"/>
        <v>0</v>
      </c>
    </row>
    <row r="26" spans="1:39">
      <c r="A26" s="154" t="s">
        <v>415</v>
      </c>
      <c r="B26" s="149"/>
      <c r="C26" s="149">
        <v>3288</v>
      </c>
      <c r="D26" s="149">
        <v>5025</v>
      </c>
      <c r="E26" s="99">
        <f t="shared" si="0"/>
        <v>8313</v>
      </c>
      <c r="F26" s="149"/>
      <c r="G26" s="146"/>
      <c r="H26" s="146"/>
      <c r="I26" s="99">
        <f t="shared" si="6"/>
        <v>0</v>
      </c>
      <c r="J26" s="146"/>
      <c r="K26" s="146"/>
      <c r="L26" s="146"/>
      <c r="M26" s="99">
        <f t="shared" si="7"/>
        <v>0</v>
      </c>
      <c r="N26" s="146"/>
      <c r="O26" s="146"/>
      <c r="P26" s="146"/>
      <c r="Q26" s="99">
        <f t="shared" si="8"/>
        <v>0</v>
      </c>
      <c r="R26" s="146">
        <f t="shared" si="9"/>
        <v>8313</v>
      </c>
    </row>
    <row r="27" spans="1:39">
      <c r="A27" s="154" t="s">
        <v>416</v>
      </c>
      <c r="B27" s="149"/>
      <c r="C27" s="149"/>
      <c r="D27" s="149"/>
      <c r="E27" s="99">
        <f t="shared" si="0"/>
        <v>0</v>
      </c>
      <c r="F27" s="149"/>
      <c r="G27" s="146"/>
      <c r="H27" s="146"/>
      <c r="I27" s="99">
        <f t="shared" si="6"/>
        <v>0</v>
      </c>
      <c r="J27" s="146"/>
      <c r="K27" s="146"/>
      <c r="L27" s="146"/>
      <c r="M27" s="99">
        <f t="shared" si="7"/>
        <v>0</v>
      </c>
      <c r="N27" s="146"/>
      <c r="O27" s="146"/>
      <c r="P27" s="146"/>
      <c r="Q27" s="99">
        <f t="shared" si="8"/>
        <v>0</v>
      </c>
      <c r="R27" s="146">
        <f t="shared" si="9"/>
        <v>0</v>
      </c>
    </row>
    <row r="28" spans="1:39">
      <c r="A28" s="154" t="s">
        <v>417</v>
      </c>
      <c r="B28" s="149">
        <v>63</v>
      </c>
      <c r="C28" s="149">
        <v>641</v>
      </c>
      <c r="D28" s="149">
        <v>205</v>
      </c>
      <c r="E28" s="99">
        <f t="shared" si="0"/>
        <v>909</v>
      </c>
      <c r="F28" s="149"/>
      <c r="G28" s="146"/>
      <c r="H28" s="146"/>
      <c r="I28" s="99">
        <f t="shared" si="6"/>
        <v>0</v>
      </c>
      <c r="J28" s="146"/>
      <c r="K28" s="146"/>
      <c r="L28" s="146"/>
      <c r="M28" s="99">
        <f t="shared" si="7"/>
        <v>0</v>
      </c>
      <c r="N28" s="146"/>
      <c r="O28" s="146"/>
      <c r="P28" s="146"/>
      <c r="Q28" s="99">
        <f t="shared" si="8"/>
        <v>0</v>
      </c>
      <c r="R28" s="146">
        <f t="shared" si="9"/>
        <v>909</v>
      </c>
    </row>
    <row r="29" spans="1:39">
      <c r="A29" s="154" t="s">
        <v>418</v>
      </c>
      <c r="B29" s="149"/>
      <c r="C29" s="149">
        <v>12667</v>
      </c>
      <c r="D29" s="149">
        <v>14144</v>
      </c>
      <c r="E29" s="99">
        <f t="shared" si="0"/>
        <v>26811</v>
      </c>
      <c r="F29" s="149"/>
      <c r="G29" s="146"/>
      <c r="H29" s="146"/>
      <c r="I29" s="99">
        <f t="shared" si="6"/>
        <v>0</v>
      </c>
      <c r="J29" s="146"/>
      <c r="K29" s="146"/>
      <c r="L29" s="146"/>
      <c r="M29" s="99">
        <f t="shared" si="7"/>
        <v>0</v>
      </c>
      <c r="N29" s="146"/>
      <c r="O29" s="146"/>
      <c r="P29" s="146"/>
      <c r="Q29" s="99">
        <f t="shared" si="8"/>
        <v>0</v>
      </c>
      <c r="R29" s="146">
        <f t="shared" si="9"/>
        <v>26811</v>
      </c>
    </row>
    <row r="30" spans="1:39" hidden="1">
      <c r="A30" s="154" t="s">
        <v>419</v>
      </c>
      <c r="B30" s="149"/>
      <c r="C30" s="149"/>
      <c r="D30" s="149"/>
      <c r="E30" s="99">
        <f t="shared" si="0"/>
        <v>0</v>
      </c>
      <c r="F30" s="149"/>
      <c r="G30" s="146"/>
      <c r="H30" s="146"/>
      <c r="I30" s="99">
        <f t="shared" si="6"/>
        <v>0</v>
      </c>
      <c r="J30" s="146"/>
      <c r="K30" s="146"/>
      <c r="L30" s="146"/>
      <c r="M30" s="99">
        <f t="shared" si="7"/>
        <v>0</v>
      </c>
      <c r="N30" s="146"/>
      <c r="O30" s="146"/>
      <c r="P30" s="146"/>
      <c r="Q30" s="99">
        <f t="shared" si="8"/>
        <v>0</v>
      </c>
      <c r="R30" s="146">
        <f t="shared" si="9"/>
        <v>0</v>
      </c>
    </row>
    <row r="31" spans="1:39" hidden="1">
      <c r="A31" s="154" t="s">
        <v>417</v>
      </c>
      <c r="B31" s="149"/>
      <c r="C31" s="149"/>
      <c r="D31" s="149"/>
      <c r="E31" s="99">
        <f t="shared" si="0"/>
        <v>0</v>
      </c>
      <c r="F31" s="149"/>
      <c r="G31" s="146"/>
      <c r="H31" s="146"/>
      <c r="I31" s="99">
        <f t="shared" si="6"/>
        <v>0</v>
      </c>
      <c r="J31" s="146"/>
      <c r="K31" s="146"/>
      <c r="L31" s="146"/>
      <c r="M31" s="99">
        <f t="shared" si="7"/>
        <v>0</v>
      </c>
      <c r="N31" s="146"/>
      <c r="O31" s="146"/>
      <c r="P31" s="146"/>
      <c r="Q31" s="99">
        <f t="shared" si="8"/>
        <v>0</v>
      </c>
      <c r="R31" s="146">
        <f t="shared" si="9"/>
        <v>0</v>
      </c>
    </row>
    <row r="32" spans="1:39">
      <c r="A32" s="154" t="s">
        <v>420</v>
      </c>
      <c r="B32" s="145">
        <f>B26+B28+B29</f>
        <v>63</v>
      </c>
      <c r="C32" s="145">
        <f>C26+C28+C29</f>
        <v>16596</v>
      </c>
      <c r="D32" s="145">
        <f>D26+D28+D29</f>
        <v>19374</v>
      </c>
      <c r="E32" s="145">
        <f>B32+C32+D32</f>
        <v>36033</v>
      </c>
      <c r="F32" s="145">
        <f>F26+F28+F29</f>
        <v>0</v>
      </c>
      <c r="G32" s="145">
        <f>G26+G28+G29</f>
        <v>0</v>
      </c>
      <c r="H32" s="145">
        <f>H26+H28+H29</f>
        <v>0</v>
      </c>
      <c r="I32" s="145">
        <f>F32+G32+H32</f>
        <v>0</v>
      </c>
      <c r="J32" s="145">
        <f>J26+J28+J29</f>
        <v>0</v>
      </c>
      <c r="K32" s="145">
        <f>K26+K28+K29</f>
        <v>0</v>
      </c>
      <c r="L32" s="145">
        <f>L26+L28+L29</f>
        <v>0</v>
      </c>
      <c r="M32" s="145">
        <f>J32+K32+L32</f>
        <v>0</v>
      </c>
      <c r="N32" s="145">
        <f>N26+N28+N29</f>
        <v>0</v>
      </c>
      <c r="O32" s="145">
        <f>O26+O28+O29</f>
        <v>0</v>
      </c>
      <c r="P32" s="145">
        <f>P26+P28+P29</f>
        <v>0</v>
      </c>
      <c r="Q32" s="145">
        <f>N32+O32+P32</f>
        <v>0</v>
      </c>
      <c r="R32" s="145">
        <f>E32+I32+M32+Q32</f>
        <v>36033</v>
      </c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8"/>
    </row>
    <row r="46" spans="1:1">
      <c r="A46" s="8"/>
    </row>
    <row r="47" spans="1:1">
      <c r="A47" s="8"/>
    </row>
    <row r="48" spans="1:1">
      <c r="A48" s="6"/>
    </row>
    <row r="49" spans="1:1">
      <c r="A49" s="4"/>
    </row>
    <row r="50" spans="1:1">
      <c r="A50" s="9"/>
    </row>
    <row r="51" spans="1:1">
      <c r="A51" s="9"/>
    </row>
    <row r="52" spans="1:1">
      <c r="A52" s="10"/>
    </row>
  </sheetData>
  <mergeCells count="1">
    <mergeCell ref="A1:R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X33"/>
  <sheetViews>
    <sheetView tabSelected="1" workbookViewId="0">
      <selection activeCell="B32" sqref="B32:D32"/>
    </sheetView>
  </sheetViews>
  <sheetFormatPr defaultColWidth="9.109375" defaultRowHeight="17.399999999999999"/>
  <cols>
    <col min="1" max="1" width="43.5546875" style="121" bestFit="1" customWidth="1"/>
    <col min="2" max="2" width="7.6640625" style="121" bestFit="1" customWidth="1"/>
    <col min="3" max="3" width="9" style="121" bestFit="1" customWidth="1"/>
    <col min="4" max="4" width="8.33203125" style="121" bestFit="1" customWidth="1"/>
    <col min="5" max="5" width="11.33203125" style="143" hidden="1" customWidth="1"/>
    <col min="6" max="6" width="6.109375" style="121" hidden="1" customWidth="1"/>
    <col min="7" max="7" width="7.109375" style="121" hidden="1" customWidth="1"/>
    <col min="8" max="8" width="6.88671875" style="121" hidden="1" customWidth="1"/>
    <col min="9" max="9" width="11.5546875" style="143" hidden="1" customWidth="1"/>
    <col min="10" max="12" width="7.109375" style="121" hidden="1" customWidth="1"/>
    <col min="13" max="13" width="11.6640625" style="143" hidden="1" customWidth="1"/>
    <col min="14" max="14" width="6.44140625" style="121" hidden="1" customWidth="1"/>
    <col min="15" max="15" width="6.6640625" style="121" hidden="1" customWidth="1"/>
    <col min="16" max="16" width="7.33203125" style="121" hidden="1" customWidth="1"/>
    <col min="17" max="17" width="11.33203125" style="143" hidden="1" customWidth="1"/>
    <col min="18" max="18" width="11.44140625" style="121" bestFit="1" customWidth="1"/>
    <col min="19" max="19" width="9.109375" style="121"/>
    <col min="20" max="24" width="9.109375" style="120"/>
    <col min="25" max="16384" width="9.109375" style="121"/>
  </cols>
  <sheetData>
    <row r="1" spans="1:24">
      <c r="A1" s="112"/>
      <c r="B1" s="113"/>
      <c r="C1" s="113"/>
      <c r="D1" s="113"/>
      <c r="E1" s="114"/>
      <c r="F1" s="115"/>
      <c r="G1" s="115"/>
      <c r="H1" s="115"/>
      <c r="I1" s="114"/>
      <c r="J1" s="113"/>
      <c r="K1" s="115"/>
      <c r="L1" s="115"/>
      <c r="M1" s="116"/>
      <c r="N1" s="117"/>
      <c r="O1" s="117"/>
      <c r="P1" s="117"/>
      <c r="Q1" s="116"/>
      <c r="R1" s="117" t="s">
        <v>425</v>
      </c>
      <c r="S1" s="118"/>
      <c r="T1" s="119"/>
    </row>
    <row r="2" spans="1:24" s="125" customFormat="1">
      <c r="A2" s="122" t="s">
        <v>462</v>
      </c>
      <c r="B2" s="89" t="s">
        <v>384</v>
      </c>
      <c r="C2" s="89" t="s">
        <v>385</v>
      </c>
      <c r="D2" s="89" t="s">
        <v>386</v>
      </c>
      <c r="E2" s="123" t="s">
        <v>338</v>
      </c>
      <c r="F2" s="89" t="s">
        <v>387</v>
      </c>
      <c r="G2" s="89" t="s">
        <v>388</v>
      </c>
      <c r="H2" s="89" t="s">
        <v>389</v>
      </c>
      <c r="I2" s="123" t="s">
        <v>390</v>
      </c>
      <c r="J2" s="89" t="s">
        <v>391</v>
      </c>
      <c r="K2" s="89" t="s">
        <v>392</v>
      </c>
      <c r="L2" s="89" t="s">
        <v>393</v>
      </c>
      <c r="M2" s="123" t="s">
        <v>340</v>
      </c>
      <c r="N2" s="89" t="s">
        <v>394</v>
      </c>
      <c r="O2" s="89" t="s">
        <v>395</v>
      </c>
      <c r="P2" s="89" t="s">
        <v>396</v>
      </c>
      <c r="Q2" s="123" t="s">
        <v>341</v>
      </c>
      <c r="R2" s="124" t="s">
        <v>342</v>
      </c>
      <c r="T2" s="126"/>
      <c r="U2" s="126"/>
      <c r="V2" s="126"/>
      <c r="W2" s="126"/>
      <c r="X2" s="126"/>
    </row>
    <row r="3" spans="1:24">
      <c r="A3" s="127" t="s">
        <v>421</v>
      </c>
      <c r="B3" s="128"/>
      <c r="C3" s="128"/>
      <c r="D3" s="128"/>
      <c r="E3" s="129">
        <f t="shared" ref="E3:E31" si="0">B3+C3+D3</f>
        <v>0</v>
      </c>
      <c r="F3" s="128"/>
      <c r="G3" s="128"/>
      <c r="H3" s="130"/>
      <c r="I3" s="114">
        <f t="shared" ref="I3:I31" si="1">F3+G3+H3</f>
        <v>0</v>
      </c>
      <c r="J3" s="131"/>
      <c r="K3" s="131"/>
      <c r="L3" s="131"/>
      <c r="M3" s="116">
        <f t="shared" ref="M3:M31" si="2">J3+K3+L3</f>
        <v>0</v>
      </c>
      <c r="N3" s="132"/>
      <c r="O3" s="133"/>
      <c r="P3" s="132"/>
      <c r="Q3" s="116">
        <f t="shared" ref="Q3:Q31" si="3">N3+O3+P3</f>
        <v>0</v>
      </c>
      <c r="R3" s="117">
        <f t="shared" ref="R3:R31" si="4">E3+I3+M3+Q3</f>
        <v>0</v>
      </c>
    </row>
    <row r="4" spans="1:24">
      <c r="A4" s="127" t="s">
        <v>422</v>
      </c>
      <c r="B4" s="115">
        <v>847.49300000000005</v>
      </c>
      <c r="C4" s="134">
        <v>419.07</v>
      </c>
      <c r="D4" s="135">
        <v>700.89599999999996</v>
      </c>
      <c r="E4" s="136">
        <f t="shared" si="0"/>
        <v>1967.4590000000001</v>
      </c>
      <c r="F4" s="134"/>
      <c r="G4" s="134"/>
      <c r="H4" s="134"/>
      <c r="I4" s="114">
        <f t="shared" si="1"/>
        <v>0</v>
      </c>
      <c r="J4" s="131"/>
      <c r="K4" s="131"/>
      <c r="L4" s="137"/>
      <c r="M4" s="116">
        <f t="shared" si="2"/>
        <v>0</v>
      </c>
      <c r="N4" s="138"/>
      <c r="O4" s="133"/>
      <c r="P4" s="133"/>
      <c r="Q4" s="116">
        <f t="shared" si="3"/>
        <v>0</v>
      </c>
      <c r="R4" s="117">
        <f t="shared" si="4"/>
        <v>1967.4590000000001</v>
      </c>
    </row>
    <row r="5" spans="1:24">
      <c r="A5" s="127" t="s">
        <v>423</v>
      </c>
      <c r="B5" s="115">
        <v>3.67</v>
      </c>
      <c r="C5" s="134">
        <v>41.42</v>
      </c>
      <c r="D5" s="135">
        <v>47.07</v>
      </c>
      <c r="E5" s="136">
        <f t="shared" si="0"/>
        <v>92.16</v>
      </c>
      <c r="F5" s="134"/>
      <c r="G5" s="134"/>
      <c r="H5" s="131"/>
      <c r="I5" s="136">
        <f t="shared" si="1"/>
        <v>0</v>
      </c>
      <c r="J5" s="131"/>
      <c r="K5" s="131"/>
      <c r="L5" s="131"/>
      <c r="M5" s="116">
        <f t="shared" si="2"/>
        <v>0</v>
      </c>
      <c r="N5" s="138"/>
      <c r="O5" s="133"/>
      <c r="P5" s="133"/>
      <c r="Q5" s="116">
        <f t="shared" si="3"/>
        <v>0</v>
      </c>
      <c r="R5" s="117">
        <f t="shared" si="4"/>
        <v>92.16</v>
      </c>
    </row>
    <row r="6" spans="1:24">
      <c r="A6" s="139" t="s">
        <v>424</v>
      </c>
      <c r="B6" s="134"/>
      <c r="C6" s="134"/>
      <c r="D6" s="134"/>
      <c r="E6" s="136">
        <f t="shared" si="0"/>
        <v>0</v>
      </c>
      <c r="F6" s="134"/>
      <c r="G6" s="134"/>
      <c r="H6" s="131"/>
      <c r="I6" s="114">
        <f t="shared" si="1"/>
        <v>0</v>
      </c>
      <c r="J6" s="131"/>
      <c r="K6" s="131"/>
      <c r="L6" s="131"/>
      <c r="M6" s="116">
        <f t="shared" si="2"/>
        <v>0</v>
      </c>
      <c r="N6" s="138"/>
      <c r="O6" s="138"/>
      <c r="P6" s="138"/>
      <c r="Q6" s="116">
        <f t="shared" si="3"/>
        <v>0</v>
      </c>
      <c r="R6" s="117">
        <f t="shared" si="4"/>
        <v>0</v>
      </c>
    </row>
    <row r="7" spans="1:24">
      <c r="A7" s="127" t="s">
        <v>426</v>
      </c>
      <c r="B7" s="134">
        <f>B3+B4+B5</f>
        <v>851.16300000000001</v>
      </c>
      <c r="C7" s="134">
        <f t="shared" ref="C7:Q7" si="5">C3+C4+C5</f>
        <v>460.49</v>
      </c>
      <c r="D7" s="134">
        <f t="shared" si="5"/>
        <v>747.96600000000001</v>
      </c>
      <c r="E7" s="136">
        <f t="shared" si="5"/>
        <v>2059.6190000000001</v>
      </c>
      <c r="F7" s="134">
        <f t="shared" si="5"/>
        <v>0</v>
      </c>
      <c r="G7" s="134">
        <f t="shared" si="5"/>
        <v>0</v>
      </c>
      <c r="H7" s="134">
        <f t="shared" si="5"/>
        <v>0</v>
      </c>
      <c r="I7" s="134">
        <f t="shared" si="5"/>
        <v>0</v>
      </c>
      <c r="J7" s="134">
        <f t="shared" si="5"/>
        <v>0</v>
      </c>
      <c r="K7" s="134">
        <f t="shared" si="5"/>
        <v>0</v>
      </c>
      <c r="L7" s="134">
        <f>L3+L4+L5+L6</f>
        <v>0</v>
      </c>
      <c r="M7" s="138">
        <f t="shared" si="5"/>
        <v>0</v>
      </c>
      <c r="N7" s="138">
        <f t="shared" si="5"/>
        <v>0</v>
      </c>
      <c r="O7" s="138">
        <f t="shared" si="5"/>
        <v>0</v>
      </c>
      <c r="P7" s="138">
        <f t="shared" si="5"/>
        <v>0</v>
      </c>
      <c r="Q7" s="138">
        <f t="shared" si="5"/>
        <v>0</v>
      </c>
      <c r="R7" s="138">
        <f>R3+R4+R5+R6</f>
        <v>2059.6190000000001</v>
      </c>
    </row>
    <row r="8" spans="1:24">
      <c r="A8" s="127" t="s">
        <v>427</v>
      </c>
      <c r="B8" s="134"/>
      <c r="C8" s="134"/>
      <c r="D8" s="134"/>
      <c r="E8" s="136">
        <f t="shared" si="0"/>
        <v>0</v>
      </c>
      <c r="F8" s="134"/>
      <c r="G8" s="134"/>
      <c r="H8" s="134"/>
      <c r="I8" s="136">
        <f t="shared" ref="I8:I13" si="6">F8+G8+H8</f>
        <v>0</v>
      </c>
      <c r="J8" s="134"/>
      <c r="K8" s="134"/>
      <c r="L8" s="134"/>
      <c r="M8" s="116">
        <f t="shared" si="2"/>
        <v>0</v>
      </c>
      <c r="N8" s="138"/>
      <c r="O8" s="138"/>
      <c r="P8" s="138"/>
      <c r="Q8" s="116">
        <f t="shared" si="3"/>
        <v>0</v>
      </c>
      <c r="R8" s="117">
        <f t="shared" si="4"/>
        <v>0</v>
      </c>
    </row>
    <row r="9" spans="1:24">
      <c r="A9" s="127" t="s">
        <v>428</v>
      </c>
      <c r="B9" s="134"/>
      <c r="C9" s="134"/>
      <c r="D9" s="134"/>
      <c r="E9" s="136">
        <f t="shared" si="0"/>
        <v>0</v>
      </c>
      <c r="F9" s="134"/>
      <c r="G9" s="134"/>
      <c r="H9" s="134"/>
      <c r="I9" s="136">
        <f t="shared" si="6"/>
        <v>0</v>
      </c>
      <c r="J9" s="134"/>
      <c r="K9" s="134"/>
      <c r="L9" s="134"/>
      <c r="M9" s="116">
        <f t="shared" si="2"/>
        <v>0</v>
      </c>
      <c r="N9" s="138"/>
      <c r="O9" s="138"/>
      <c r="P9" s="138"/>
      <c r="Q9" s="116">
        <f t="shared" si="3"/>
        <v>0</v>
      </c>
      <c r="R9" s="117">
        <f t="shared" si="4"/>
        <v>0</v>
      </c>
    </row>
    <row r="10" spans="1:24">
      <c r="A10" s="127" t="s">
        <v>429</v>
      </c>
      <c r="B10" s="134"/>
      <c r="C10" s="134"/>
      <c r="D10" s="134"/>
      <c r="E10" s="136">
        <f t="shared" si="0"/>
        <v>0</v>
      </c>
      <c r="F10" s="134"/>
      <c r="G10" s="134"/>
      <c r="H10" s="134"/>
      <c r="I10" s="136">
        <f t="shared" si="6"/>
        <v>0</v>
      </c>
      <c r="J10" s="134"/>
      <c r="K10" s="134"/>
      <c r="L10" s="134"/>
      <c r="M10" s="116">
        <f t="shared" si="2"/>
        <v>0</v>
      </c>
      <c r="N10" s="138"/>
      <c r="O10" s="138"/>
      <c r="P10" s="138"/>
      <c r="Q10" s="116">
        <f t="shared" si="3"/>
        <v>0</v>
      </c>
      <c r="R10" s="117">
        <f t="shared" si="4"/>
        <v>0</v>
      </c>
    </row>
    <row r="11" spans="1:24">
      <c r="A11" s="127" t="s">
        <v>430</v>
      </c>
      <c r="B11" s="134"/>
      <c r="C11" s="134"/>
      <c r="D11" s="134"/>
      <c r="E11" s="136">
        <f t="shared" si="0"/>
        <v>0</v>
      </c>
      <c r="F11" s="134"/>
      <c r="G11" s="134"/>
      <c r="H11" s="134"/>
      <c r="I11" s="136">
        <f t="shared" si="6"/>
        <v>0</v>
      </c>
      <c r="J11" s="134"/>
      <c r="K11" s="134"/>
      <c r="L11" s="134"/>
      <c r="M11" s="116">
        <f t="shared" si="2"/>
        <v>0</v>
      </c>
      <c r="N11" s="138"/>
      <c r="O11" s="138"/>
      <c r="P11" s="138"/>
      <c r="Q11" s="116">
        <f t="shared" si="3"/>
        <v>0</v>
      </c>
      <c r="R11" s="117">
        <f t="shared" si="4"/>
        <v>0</v>
      </c>
    </row>
    <row r="12" spans="1:24">
      <c r="A12" s="127" t="s">
        <v>431</v>
      </c>
      <c r="B12" s="134">
        <f>B8+B9+B10+B11</f>
        <v>0</v>
      </c>
      <c r="C12" s="134">
        <f>C8+C9+C10+C11</f>
        <v>0</v>
      </c>
      <c r="D12" s="134">
        <f>D8+D9+D10+D11</f>
        <v>0</v>
      </c>
      <c r="E12" s="136">
        <f t="shared" si="0"/>
        <v>0</v>
      </c>
      <c r="F12" s="134">
        <f>F8+F9+F10+F11</f>
        <v>0</v>
      </c>
      <c r="G12" s="134">
        <f>G8+G9+G10+G11</f>
        <v>0</v>
      </c>
      <c r="H12" s="134">
        <f>H8+H9+H10+H11</f>
        <v>0</v>
      </c>
      <c r="I12" s="136">
        <f t="shared" si="6"/>
        <v>0</v>
      </c>
      <c r="J12" s="134">
        <f>J8+J9+J10+J11</f>
        <v>0</v>
      </c>
      <c r="K12" s="134">
        <f>K8+K9+K10+K11</f>
        <v>0</v>
      </c>
      <c r="L12" s="134">
        <f>L8+L9+L10+L11</f>
        <v>0</v>
      </c>
      <c r="M12" s="116">
        <f t="shared" si="2"/>
        <v>0</v>
      </c>
      <c r="N12" s="134">
        <f>N8+N9+N10+N11</f>
        <v>0</v>
      </c>
      <c r="O12" s="134">
        <f>O8+O9+O10+O11</f>
        <v>0</v>
      </c>
      <c r="P12" s="134">
        <f>P8+P9+P10+P11</f>
        <v>0</v>
      </c>
      <c r="Q12" s="116">
        <f t="shared" si="3"/>
        <v>0</v>
      </c>
      <c r="R12" s="117">
        <f t="shared" si="4"/>
        <v>0</v>
      </c>
    </row>
    <row r="13" spans="1:24">
      <c r="A13" s="127" t="s">
        <v>432</v>
      </c>
      <c r="B13" s="115">
        <v>13158</v>
      </c>
      <c r="C13" s="135">
        <v>5823</v>
      </c>
      <c r="D13" s="135">
        <v>5410</v>
      </c>
      <c r="E13" s="114">
        <f>B13+C13+D13</f>
        <v>24391</v>
      </c>
      <c r="F13" s="115"/>
      <c r="G13" s="115"/>
      <c r="H13" s="115"/>
      <c r="I13" s="114">
        <f t="shared" si="6"/>
        <v>0</v>
      </c>
      <c r="J13" s="115"/>
      <c r="K13" s="115"/>
      <c r="L13" s="115"/>
      <c r="M13" s="116">
        <f>J13+K13+L13</f>
        <v>0</v>
      </c>
      <c r="N13" s="117"/>
      <c r="O13" s="117"/>
      <c r="P13" s="117"/>
      <c r="Q13" s="116">
        <f>N13+O13+P13</f>
        <v>0</v>
      </c>
      <c r="R13" s="117">
        <f>E13+I13+M13+Q13</f>
        <v>24391</v>
      </c>
      <c r="S13" s="118"/>
    </row>
    <row r="14" spans="1:24">
      <c r="A14" s="127" t="s">
        <v>433</v>
      </c>
      <c r="B14" s="115"/>
      <c r="C14" s="115"/>
      <c r="D14" s="115"/>
      <c r="E14" s="114">
        <f t="shared" si="0"/>
        <v>0</v>
      </c>
      <c r="F14" s="115"/>
      <c r="G14" s="115"/>
      <c r="H14" s="115"/>
      <c r="I14" s="114">
        <f t="shared" si="1"/>
        <v>0</v>
      </c>
      <c r="J14" s="115"/>
      <c r="K14" s="115"/>
      <c r="L14" s="115"/>
      <c r="M14" s="116">
        <f t="shared" si="2"/>
        <v>0</v>
      </c>
      <c r="N14" s="117"/>
      <c r="O14" s="117"/>
      <c r="P14" s="117"/>
      <c r="Q14" s="116">
        <f t="shared" si="3"/>
        <v>0</v>
      </c>
      <c r="R14" s="117">
        <f t="shared" si="4"/>
        <v>0</v>
      </c>
      <c r="T14" s="119"/>
    </row>
    <row r="15" spans="1:24">
      <c r="A15" s="127" t="s">
        <v>434</v>
      </c>
      <c r="B15" s="115">
        <v>43167</v>
      </c>
      <c r="C15" s="130">
        <v>40073</v>
      </c>
      <c r="D15" s="135">
        <v>36963</v>
      </c>
      <c r="E15" s="114">
        <f t="shared" si="0"/>
        <v>120203</v>
      </c>
      <c r="F15" s="130"/>
      <c r="G15" s="130"/>
      <c r="H15" s="115"/>
      <c r="I15" s="114">
        <f t="shared" si="1"/>
        <v>0</v>
      </c>
      <c r="J15" s="115"/>
      <c r="K15" s="130"/>
      <c r="L15" s="115"/>
      <c r="M15" s="116">
        <f t="shared" si="2"/>
        <v>0</v>
      </c>
      <c r="N15" s="140"/>
      <c r="O15" s="140"/>
      <c r="P15" s="140"/>
      <c r="Q15" s="116">
        <f t="shared" si="3"/>
        <v>0</v>
      </c>
      <c r="R15" s="117">
        <f t="shared" si="4"/>
        <v>120203</v>
      </c>
      <c r="S15" s="118"/>
    </row>
    <row r="16" spans="1:24">
      <c r="A16" s="127" t="s">
        <v>435</v>
      </c>
      <c r="B16" s="130"/>
      <c r="C16" s="130"/>
      <c r="D16" s="130"/>
      <c r="E16" s="114">
        <f t="shared" si="0"/>
        <v>0</v>
      </c>
      <c r="F16" s="130"/>
      <c r="G16" s="130"/>
      <c r="H16" s="115"/>
      <c r="I16" s="114">
        <f t="shared" si="1"/>
        <v>0</v>
      </c>
      <c r="J16" s="115"/>
      <c r="K16" s="130"/>
      <c r="L16" s="130"/>
      <c r="M16" s="116">
        <f t="shared" si="2"/>
        <v>0</v>
      </c>
      <c r="N16" s="140"/>
      <c r="O16" s="140"/>
      <c r="P16" s="140"/>
      <c r="Q16" s="116">
        <f t="shared" si="3"/>
        <v>0</v>
      </c>
      <c r="R16" s="117">
        <f t="shared" si="4"/>
        <v>0</v>
      </c>
      <c r="S16" s="118"/>
    </row>
    <row r="17" spans="1:19">
      <c r="A17" s="127" t="s">
        <v>436</v>
      </c>
      <c r="B17" s="130">
        <f>B13+B14+B15+B16</f>
        <v>56325</v>
      </c>
      <c r="C17" s="130">
        <f>C13+C14+C15+C16</f>
        <v>45896</v>
      </c>
      <c r="D17" s="130">
        <f>D13+D14+D15+D16</f>
        <v>42373</v>
      </c>
      <c r="E17" s="114">
        <f t="shared" si="0"/>
        <v>144594</v>
      </c>
      <c r="F17" s="130">
        <f>F13+F14+F15+F16</f>
        <v>0</v>
      </c>
      <c r="G17" s="130">
        <f>G13+G14+G15+G16</f>
        <v>0</v>
      </c>
      <c r="H17" s="130">
        <f>H13+H14+H15+H16</f>
        <v>0</v>
      </c>
      <c r="I17" s="114">
        <f t="shared" si="1"/>
        <v>0</v>
      </c>
      <c r="J17" s="130">
        <f>J13+J14+J15+J16</f>
        <v>0</v>
      </c>
      <c r="K17" s="130">
        <f>K13+K14+K15+K16</f>
        <v>0</v>
      </c>
      <c r="L17" s="130">
        <f>L13+L14+L15+L16</f>
        <v>0</v>
      </c>
      <c r="M17" s="116">
        <f t="shared" si="2"/>
        <v>0</v>
      </c>
      <c r="N17" s="130">
        <f>N13+N14+N15+N16</f>
        <v>0</v>
      </c>
      <c r="O17" s="130">
        <f>O13+O14+O15+O16</f>
        <v>0</v>
      </c>
      <c r="P17" s="130">
        <f>P13+P14+P15+P16</f>
        <v>0</v>
      </c>
      <c r="Q17" s="116">
        <f t="shared" si="3"/>
        <v>0</v>
      </c>
      <c r="R17" s="117">
        <f>E17+I17+M17+Q17</f>
        <v>144594</v>
      </c>
      <c r="S17" s="118"/>
    </row>
    <row r="18" spans="1:19">
      <c r="A18" s="127" t="s">
        <v>437</v>
      </c>
      <c r="B18" s="134"/>
      <c r="C18" s="134"/>
      <c r="D18" s="134"/>
      <c r="E18" s="114">
        <f t="shared" si="0"/>
        <v>0</v>
      </c>
      <c r="F18" s="134"/>
      <c r="G18" s="134"/>
      <c r="H18" s="134"/>
      <c r="I18" s="114">
        <f t="shared" si="1"/>
        <v>0</v>
      </c>
      <c r="J18" s="134"/>
      <c r="K18" s="134"/>
      <c r="L18" s="134"/>
      <c r="M18" s="116">
        <f t="shared" si="2"/>
        <v>0</v>
      </c>
      <c r="N18" s="138"/>
      <c r="O18" s="138"/>
      <c r="P18" s="138"/>
      <c r="Q18" s="116">
        <f t="shared" si="3"/>
        <v>0</v>
      </c>
      <c r="R18" s="117">
        <f t="shared" si="4"/>
        <v>0</v>
      </c>
    </row>
    <row r="19" spans="1:19">
      <c r="A19" s="127" t="s">
        <v>438</v>
      </c>
      <c r="B19" s="134"/>
      <c r="C19" s="134"/>
      <c r="D19" s="134">
        <v>6552</v>
      </c>
      <c r="E19" s="114">
        <f t="shared" si="0"/>
        <v>6552</v>
      </c>
      <c r="F19" s="134"/>
      <c r="G19" s="134"/>
      <c r="H19" s="134"/>
      <c r="I19" s="114">
        <f t="shared" si="1"/>
        <v>0</v>
      </c>
      <c r="J19" s="134"/>
      <c r="K19" s="134"/>
      <c r="L19" s="134"/>
      <c r="M19" s="116">
        <f t="shared" si="2"/>
        <v>0</v>
      </c>
      <c r="N19" s="138"/>
      <c r="O19" s="138"/>
      <c r="P19" s="138"/>
      <c r="Q19" s="116">
        <f t="shared" si="3"/>
        <v>0</v>
      </c>
      <c r="R19" s="117">
        <f t="shared" si="4"/>
        <v>6552</v>
      </c>
    </row>
    <row r="20" spans="1:19">
      <c r="A20" s="127" t="s">
        <v>439</v>
      </c>
      <c r="B20" s="134"/>
      <c r="C20" s="134"/>
      <c r="D20" s="134">
        <v>7136</v>
      </c>
      <c r="E20" s="114">
        <f t="shared" si="0"/>
        <v>7136</v>
      </c>
      <c r="F20" s="134"/>
      <c r="G20" s="134"/>
      <c r="H20" s="134"/>
      <c r="I20" s="114">
        <f t="shared" si="1"/>
        <v>0</v>
      </c>
      <c r="J20" s="134"/>
      <c r="K20" s="134"/>
      <c r="L20" s="134"/>
      <c r="M20" s="116">
        <f t="shared" si="2"/>
        <v>0</v>
      </c>
      <c r="N20" s="138"/>
      <c r="O20" s="138"/>
      <c r="P20" s="138"/>
      <c r="Q20" s="116">
        <f t="shared" si="3"/>
        <v>0</v>
      </c>
      <c r="R20" s="117">
        <f t="shared" si="4"/>
        <v>7136</v>
      </c>
    </row>
    <row r="21" spans="1:19">
      <c r="A21" s="127" t="s">
        <v>440</v>
      </c>
      <c r="B21" s="134"/>
      <c r="C21" s="134"/>
      <c r="D21" s="134"/>
      <c r="E21" s="114">
        <f t="shared" si="0"/>
        <v>0</v>
      </c>
      <c r="F21" s="134"/>
      <c r="G21" s="134"/>
      <c r="H21" s="134"/>
      <c r="I21" s="114">
        <f t="shared" si="1"/>
        <v>0</v>
      </c>
      <c r="J21" s="134"/>
      <c r="K21" s="134"/>
      <c r="L21" s="134"/>
      <c r="M21" s="116">
        <f t="shared" si="2"/>
        <v>0</v>
      </c>
      <c r="N21" s="138"/>
      <c r="O21" s="138"/>
      <c r="P21" s="138"/>
      <c r="Q21" s="116">
        <f t="shared" si="3"/>
        <v>0</v>
      </c>
      <c r="R21" s="117">
        <f t="shared" si="4"/>
        <v>0</v>
      </c>
    </row>
    <row r="22" spans="1:19">
      <c r="A22" s="127" t="s">
        <v>460</v>
      </c>
      <c r="B22" s="134">
        <f>B18+B19+B20+B21</f>
        <v>0</v>
      </c>
      <c r="C22" s="134">
        <f>C18+C19+C20+C21</f>
        <v>0</v>
      </c>
      <c r="D22" s="134">
        <f>D18+D19+D20+D21</f>
        <v>13688</v>
      </c>
      <c r="E22" s="114">
        <f t="shared" si="0"/>
        <v>13688</v>
      </c>
      <c r="F22" s="134">
        <f>F18+F19+F20+F21</f>
        <v>0</v>
      </c>
      <c r="G22" s="134">
        <f>G18+G19+G20+G21</f>
        <v>0</v>
      </c>
      <c r="H22" s="134">
        <f>H18+H19+H20+H21</f>
        <v>0</v>
      </c>
      <c r="I22" s="114">
        <f t="shared" si="1"/>
        <v>0</v>
      </c>
      <c r="J22" s="134">
        <f>J18+J19+J20+J21</f>
        <v>0</v>
      </c>
      <c r="K22" s="134">
        <f>K18+K19+K20+K21</f>
        <v>0</v>
      </c>
      <c r="L22" s="134">
        <f>L18+L19+L20+L21</f>
        <v>0</v>
      </c>
      <c r="M22" s="116">
        <f t="shared" si="2"/>
        <v>0</v>
      </c>
      <c r="N22" s="134">
        <f>N18+N19+N20+N21</f>
        <v>0</v>
      </c>
      <c r="O22" s="134">
        <f>O18+O19+O20+O21</f>
        <v>0</v>
      </c>
      <c r="P22" s="134">
        <f>P18+P19+P20+P21</f>
        <v>0</v>
      </c>
      <c r="Q22" s="116">
        <f t="shared" si="3"/>
        <v>0</v>
      </c>
      <c r="R22" s="117">
        <f>E22+I22+M22+Q22</f>
        <v>13688</v>
      </c>
    </row>
    <row r="23" spans="1:19">
      <c r="A23" s="127" t="s">
        <v>441</v>
      </c>
      <c r="B23" s="134"/>
      <c r="C23" s="134"/>
      <c r="D23" s="134"/>
      <c r="E23" s="114">
        <f t="shared" si="0"/>
        <v>0</v>
      </c>
      <c r="F23" s="134"/>
      <c r="G23" s="134"/>
      <c r="H23" s="134"/>
      <c r="I23" s="114">
        <f t="shared" si="1"/>
        <v>0</v>
      </c>
      <c r="J23" s="134"/>
      <c r="K23" s="134"/>
      <c r="L23" s="134"/>
      <c r="M23" s="116">
        <f t="shared" si="2"/>
        <v>0</v>
      </c>
      <c r="N23" s="138"/>
      <c r="O23" s="138"/>
      <c r="P23" s="138"/>
      <c r="Q23" s="116">
        <f t="shared" si="3"/>
        <v>0</v>
      </c>
      <c r="R23" s="117"/>
    </row>
    <row r="24" spans="1:19">
      <c r="A24" s="127" t="s">
        <v>442</v>
      </c>
      <c r="B24" s="115"/>
      <c r="C24" s="115"/>
      <c r="D24" s="115"/>
      <c r="E24" s="114">
        <f t="shared" si="0"/>
        <v>0</v>
      </c>
      <c r="F24" s="115"/>
      <c r="G24" s="115"/>
      <c r="H24" s="115"/>
      <c r="I24" s="114">
        <f t="shared" si="1"/>
        <v>0</v>
      </c>
      <c r="J24" s="115"/>
      <c r="K24" s="115"/>
      <c r="L24" s="115"/>
      <c r="M24" s="116">
        <f t="shared" si="2"/>
        <v>0</v>
      </c>
      <c r="N24" s="117"/>
      <c r="O24" s="117"/>
      <c r="P24" s="117"/>
      <c r="Q24" s="116">
        <f t="shared" si="3"/>
        <v>0</v>
      </c>
      <c r="R24" s="117"/>
    </row>
    <row r="25" spans="1:19">
      <c r="A25" s="127" t="s">
        <v>443</v>
      </c>
      <c r="B25" s="115"/>
      <c r="C25" s="115"/>
      <c r="D25" s="115"/>
      <c r="E25" s="114">
        <f t="shared" si="0"/>
        <v>0</v>
      </c>
      <c r="F25" s="115"/>
      <c r="G25" s="115"/>
      <c r="H25" s="115"/>
      <c r="I25" s="114">
        <f t="shared" si="1"/>
        <v>0</v>
      </c>
      <c r="J25" s="115"/>
      <c r="K25" s="115"/>
      <c r="L25" s="115"/>
      <c r="M25" s="116">
        <f t="shared" si="2"/>
        <v>0</v>
      </c>
      <c r="N25" s="117"/>
      <c r="O25" s="117"/>
      <c r="P25" s="117"/>
      <c r="Q25" s="116">
        <f t="shared" si="3"/>
        <v>0</v>
      </c>
      <c r="R25" s="117"/>
    </row>
    <row r="26" spans="1:19">
      <c r="A26" s="127" t="s">
        <v>444</v>
      </c>
      <c r="B26" s="115">
        <v>2249</v>
      </c>
      <c r="C26" s="115"/>
      <c r="D26" s="115"/>
      <c r="E26" s="114">
        <f t="shared" si="0"/>
        <v>2249</v>
      </c>
      <c r="F26" s="115"/>
      <c r="G26" s="115"/>
      <c r="H26" s="115"/>
      <c r="I26" s="114">
        <f t="shared" si="1"/>
        <v>0</v>
      </c>
      <c r="J26" s="115"/>
      <c r="K26" s="115"/>
      <c r="L26" s="115"/>
      <c r="M26" s="116">
        <f t="shared" si="2"/>
        <v>0</v>
      </c>
      <c r="N26" s="117"/>
      <c r="O26" s="117"/>
      <c r="P26" s="117"/>
      <c r="Q26" s="116">
        <f t="shared" si="3"/>
        <v>0</v>
      </c>
      <c r="R26" s="117">
        <f t="shared" si="4"/>
        <v>2249</v>
      </c>
    </row>
    <row r="27" spans="1:19">
      <c r="A27" s="127" t="s">
        <v>445</v>
      </c>
      <c r="B27" s="115"/>
      <c r="C27" s="115"/>
      <c r="D27" s="115"/>
      <c r="E27" s="114">
        <f t="shared" si="0"/>
        <v>0</v>
      </c>
      <c r="F27" s="115"/>
      <c r="G27" s="115"/>
      <c r="H27" s="115"/>
      <c r="I27" s="114">
        <f t="shared" si="1"/>
        <v>0</v>
      </c>
      <c r="J27" s="115"/>
      <c r="K27" s="115"/>
      <c r="L27" s="115"/>
      <c r="M27" s="116">
        <f t="shared" si="2"/>
        <v>0</v>
      </c>
      <c r="N27" s="117"/>
      <c r="O27" s="117"/>
      <c r="P27" s="117"/>
      <c r="Q27" s="116">
        <f t="shared" si="3"/>
        <v>0</v>
      </c>
      <c r="R27" s="117">
        <f t="shared" si="4"/>
        <v>0</v>
      </c>
    </row>
    <row r="28" spans="1:19">
      <c r="A28" s="127" t="s">
        <v>446</v>
      </c>
      <c r="B28" s="115">
        <v>3222</v>
      </c>
      <c r="C28" s="115">
        <v>6303</v>
      </c>
      <c r="D28" s="115">
        <v>7060</v>
      </c>
      <c r="E28" s="114">
        <f t="shared" si="0"/>
        <v>16585</v>
      </c>
      <c r="F28" s="115"/>
      <c r="G28" s="115"/>
      <c r="H28" s="115"/>
      <c r="I28" s="114">
        <f t="shared" si="1"/>
        <v>0</v>
      </c>
      <c r="J28" s="115"/>
      <c r="K28" s="115"/>
      <c r="L28" s="115"/>
      <c r="M28" s="116">
        <f t="shared" si="2"/>
        <v>0</v>
      </c>
      <c r="N28" s="117"/>
      <c r="O28" s="117"/>
      <c r="P28" s="117"/>
      <c r="Q28" s="116">
        <f t="shared" si="3"/>
        <v>0</v>
      </c>
      <c r="R28" s="117">
        <f t="shared" si="4"/>
        <v>16585</v>
      </c>
    </row>
    <row r="29" spans="1:19">
      <c r="A29" s="127" t="s">
        <v>461</v>
      </c>
      <c r="B29" s="115">
        <f>SUM(B23:B28)</f>
        <v>5471</v>
      </c>
      <c r="C29" s="115">
        <f>SUM(C23:C28)</f>
        <v>6303</v>
      </c>
      <c r="D29" s="115">
        <f>SUM(D23:D28)</f>
        <v>7060</v>
      </c>
      <c r="E29" s="114">
        <f t="shared" si="0"/>
        <v>18834</v>
      </c>
      <c r="F29" s="115">
        <f>SUM(F23:F28)</f>
        <v>0</v>
      </c>
      <c r="G29" s="115">
        <f>SUM(G23:G28)</f>
        <v>0</v>
      </c>
      <c r="H29" s="115">
        <f>SUM(H23:H28)</f>
        <v>0</v>
      </c>
      <c r="I29" s="114">
        <f t="shared" si="1"/>
        <v>0</v>
      </c>
      <c r="J29" s="115">
        <f>SUM(J23:J28)</f>
        <v>0</v>
      </c>
      <c r="K29" s="115">
        <f>SUM(K23:K28)</f>
        <v>0</v>
      </c>
      <c r="L29" s="115">
        <f>SUM(L23:L28)</f>
        <v>0</v>
      </c>
      <c r="M29" s="116">
        <f t="shared" si="2"/>
        <v>0</v>
      </c>
      <c r="N29" s="115">
        <f>SUM(N23:N28)</f>
        <v>0</v>
      </c>
      <c r="O29" s="115">
        <f>SUM(O23:O28)</f>
        <v>0</v>
      </c>
      <c r="P29" s="115">
        <f>SUM(P23:P28)</f>
        <v>0</v>
      </c>
      <c r="Q29" s="116">
        <f t="shared" si="3"/>
        <v>0</v>
      </c>
      <c r="R29" s="117">
        <f>E29+I29+M29+Q29</f>
        <v>18834</v>
      </c>
    </row>
    <row r="30" spans="1:19">
      <c r="A30" s="127" t="s">
        <v>447</v>
      </c>
      <c r="B30" s="115"/>
      <c r="C30" s="115"/>
      <c r="D30" s="115"/>
      <c r="E30" s="114">
        <f t="shared" si="0"/>
        <v>0</v>
      </c>
      <c r="F30" s="115"/>
      <c r="G30" s="115"/>
      <c r="H30" s="115"/>
      <c r="I30" s="114">
        <f t="shared" si="1"/>
        <v>0</v>
      </c>
      <c r="J30" s="115"/>
      <c r="K30" s="115"/>
      <c r="L30" s="115"/>
      <c r="M30" s="116">
        <f t="shared" si="2"/>
        <v>0</v>
      </c>
      <c r="N30" s="115"/>
      <c r="O30" s="115"/>
      <c r="P30" s="115"/>
      <c r="Q30" s="116">
        <f t="shared" si="3"/>
        <v>0</v>
      </c>
      <c r="R30" s="117"/>
    </row>
    <row r="31" spans="1:19">
      <c r="A31" s="127" t="s">
        <v>448</v>
      </c>
      <c r="B31" s="130">
        <v>82188</v>
      </c>
      <c r="C31" s="130">
        <v>122102</v>
      </c>
      <c r="D31" s="130">
        <v>112613</v>
      </c>
      <c r="E31" s="114">
        <f t="shared" si="0"/>
        <v>316903</v>
      </c>
      <c r="F31" s="130"/>
      <c r="G31" s="130"/>
      <c r="H31" s="130"/>
      <c r="I31" s="114">
        <f t="shared" si="1"/>
        <v>0</v>
      </c>
      <c r="J31" s="130"/>
      <c r="K31" s="130"/>
      <c r="L31" s="130"/>
      <c r="M31" s="116">
        <f t="shared" si="2"/>
        <v>0</v>
      </c>
      <c r="N31" s="140"/>
      <c r="O31" s="140"/>
      <c r="P31" s="140"/>
      <c r="Q31" s="116">
        <f t="shared" si="3"/>
        <v>0</v>
      </c>
      <c r="R31" s="117">
        <f t="shared" si="4"/>
        <v>316903</v>
      </c>
    </row>
    <row r="32" spans="1:19">
      <c r="A32" s="141"/>
      <c r="B32" s="141"/>
      <c r="C32" s="141"/>
      <c r="D32" s="141"/>
      <c r="E32" s="142"/>
      <c r="F32" s="141"/>
      <c r="G32" s="141"/>
      <c r="H32" s="141"/>
      <c r="I32" s="142"/>
      <c r="J32" s="141"/>
      <c r="K32" s="141"/>
      <c r="L32" s="141"/>
      <c r="M32" s="142"/>
      <c r="N32" s="141"/>
      <c r="O32" s="141"/>
      <c r="P32" s="141"/>
      <c r="Q32" s="142"/>
      <c r="R32" s="141"/>
    </row>
    <row r="33" spans="1:18">
      <c r="A33" s="141"/>
      <c r="B33" s="141"/>
      <c r="C33" s="141"/>
      <c r="D33" s="141"/>
      <c r="E33" s="142"/>
      <c r="F33" s="141"/>
      <c r="G33" s="141"/>
      <c r="H33" s="141"/>
      <c r="I33" s="142"/>
      <c r="J33" s="141"/>
      <c r="K33" s="141"/>
      <c r="L33" s="141"/>
      <c r="M33" s="142"/>
      <c r="N33" s="141"/>
      <c r="O33" s="141"/>
      <c r="P33" s="141"/>
      <c r="Q33" s="142"/>
      <c r="R33" s="141"/>
    </row>
  </sheetData>
  <pageMargins left="0.7" right="0.7" top="0.75" bottom="0.75" header="0.3" footer="0.3"/>
  <pageSetup paperSize="9" orientation="portrait" verticalDpi="0" r:id="rId1"/>
  <ignoredErrors>
    <ignoredError sqref="R7:R2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PAGE-1-9</vt:lpstr>
      <vt:lpstr>Pg-10</vt:lpstr>
      <vt:lpstr>PAGE-11</vt:lpstr>
      <vt:lpstr>PAGE-12</vt:lpstr>
      <vt:lpstr>'PAGE-11'!Print_Area</vt:lpstr>
      <vt:lpstr>'PAGE-1-9'!Print_Area</vt:lpstr>
      <vt:lpstr>'Pg-10'!Print_Area</vt:lpstr>
      <vt:lpstr>'PAGE-1-9'!Print_Titles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2026-07-10T10:44:48Z</dcterms:modified>
</cp:coreProperties>
</file>