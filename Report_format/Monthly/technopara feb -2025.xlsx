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PAGE-1-8" sheetId="1" r:id="rId1"/>
    <sheet name="page-9" sheetId="2" r:id="rId2"/>
    <sheet name="page-10" sheetId="3" r:id="rId3"/>
    <sheet name="page-11&amp;12" sheetId="4" r:id="rId4"/>
  </sheets>
  <definedNames>
    <definedName name="_xlnm.Print_Area" localSheetId="2">'page-10'!$A$1:$R$28</definedName>
    <definedName name="_xlnm.Print_Area" localSheetId="3">'page-11&amp;12'!$A$1:$R$31</definedName>
    <definedName name="_xlnm.Print_Area" localSheetId="0">'PAGE-1-8'!$A$1:$AL$328</definedName>
    <definedName name="_xlnm.Print_Area" localSheetId="1">'page-9'!$A$1:$R$55</definedName>
  </definedNames>
  <calcPr calcId="124519"/>
</workbook>
</file>

<file path=xl/calcChain.xml><?xml version="1.0" encoding="utf-8"?>
<calcChain xmlns="http://schemas.openxmlformats.org/spreadsheetml/2006/main">
  <c r="R10" i="4"/>
  <c r="Q10"/>
  <c r="P10"/>
  <c r="O10"/>
  <c r="N10"/>
  <c r="M10"/>
  <c r="L10"/>
  <c r="K10"/>
  <c r="J10"/>
  <c r="I10"/>
  <c r="H10"/>
  <c r="G10"/>
  <c r="F10"/>
  <c r="E10"/>
  <c r="D10"/>
  <c r="C10"/>
  <c r="B10"/>
  <c r="P16"/>
  <c r="O16"/>
  <c r="N16"/>
  <c r="L16"/>
  <c r="K16"/>
  <c r="J16"/>
  <c r="H16"/>
  <c r="G16"/>
  <c r="F16"/>
  <c r="D16"/>
  <c r="C16"/>
  <c r="B16"/>
  <c r="Q9"/>
  <c r="M9"/>
  <c r="I9"/>
  <c r="E9"/>
  <c r="Q8"/>
  <c r="M8"/>
  <c r="I8"/>
  <c r="E8"/>
  <c r="Q7"/>
  <c r="M7"/>
  <c r="I7"/>
  <c r="E7"/>
  <c r="P6"/>
  <c r="O6"/>
  <c r="N6"/>
  <c r="Q6" s="1"/>
  <c r="L6"/>
  <c r="K6"/>
  <c r="J6"/>
  <c r="M6" s="1"/>
  <c r="H6"/>
  <c r="G6"/>
  <c r="F6"/>
  <c r="I6" s="1"/>
  <c r="D6"/>
  <c r="C6"/>
  <c r="B6"/>
  <c r="Q5"/>
  <c r="M5"/>
  <c r="I5"/>
  <c r="E5"/>
  <c r="Q4"/>
  <c r="M4"/>
  <c r="I4"/>
  <c r="E4"/>
  <c r="Q3"/>
  <c r="M3"/>
  <c r="I3"/>
  <c r="E3"/>
  <c r="P18"/>
  <c r="O18"/>
  <c r="N18"/>
  <c r="L18"/>
  <c r="K18"/>
  <c r="J18"/>
  <c r="H18"/>
  <c r="G18"/>
  <c r="F18"/>
  <c r="C18"/>
  <c r="D18"/>
  <c r="B18"/>
  <c r="Q17"/>
  <c r="M17"/>
  <c r="I17"/>
  <c r="E17"/>
  <c r="Q31"/>
  <c r="M31"/>
  <c r="I31"/>
  <c r="E31"/>
  <c r="Q30"/>
  <c r="M30"/>
  <c r="I30"/>
  <c r="E30"/>
  <c r="Q29"/>
  <c r="M29"/>
  <c r="I29"/>
  <c r="E29"/>
  <c r="Q28"/>
  <c r="M28"/>
  <c r="I28"/>
  <c r="E28"/>
  <c r="P27"/>
  <c r="O27"/>
  <c r="N27"/>
  <c r="L27"/>
  <c r="K27"/>
  <c r="M27" s="1"/>
  <c r="J27"/>
  <c r="H27"/>
  <c r="G27"/>
  <c r="F27"/>
  <c r="D27"/>
  <c r="C27"/>
  <c r="E27" s="1"/>
  <c r="B27"/>
  <c r="Q26"/>
  <c r="M26"/>
  <c r="I26"/>
  <c r="E26"/>
  <c r="Q25"/>
  <c r="M25"/>
  <c r="I25"/>
  <c r="E25"/>
  <c r="Q24"/>
  <c r="M24"/>
  <c r="I24"/>
  <c r="E24"/>
  <c r="Q23"/>
  <c r="M23"/>
  <c r="I23"/>
  <c r="E23"/>
  <c r="P22"/>
  <c r="O22"/>
  <c r="N22"/>
  <c r="L22"/>
  <c r="K22"/>
  <c r="M22" s="1"/>
  <c r="J22"/>
  <c r="H22"/>
  <c r="G22"/>
  <c r="F22"/>
  <c r="D22"/>
  <c r="C22"/>
  <c r="B22"/>
  <c r="Q21"/>
  <c r="M21"/>
  <c r="I21"/>
  <c r="E21"/>
  <c r="Q20"/>
  <c r="M20"/>
  <c r="I20"/>
  <c r="E20"/>
  <c r="Q19"/>
  <c r="M19"/>
  <c r="I19"/>
  <c r="E19"/>
  <c r="Q15"/>
  <c r="M15"/>
  <c r="I15"/>
  <c r="E15"/>
  <c r="Q14"/>
  <c r="M14"/>
  <c r="I14"/>
  <c r="E14"/>
  <c r="R14" s="1"/>
  <c r="Q13"/>
  <c r="Q16" s="1"/>
  <c r="M13"/>
  <c r="M16" s="1"/>
  <c r="I13"/>
  <c r="I16" s="1"/>
  <c r="E13"/>
  <c r="E16" s="1"/>
  <c r="Q12"/>
  <c r="M12"/>
  <c r="I12"/>
  <c r="E12"/>
  <c r="R8"/>
  <c r="R5"/>
  <c r="R3"/>
  <c r="E6" l="1"/>
  <c r="R6" s="1"/>
  <c r="E22"/>
  <c r="M18"/>
  <c r="R19"/>
  <c r="R24"/>
  <c r="R26"/>
  <c r="R29"/>
  <c r="R17"/>
  <c r="R4"/>
  <c r="R7"/>
  <c r="R9"/>
  <c r="R13"/>
  <c r="R16" s="1"/>
  <c r="R15"/>
  <c r="I18"/>
  <c r="Q18"/>
  <c r="R20"/>
  <c r="R21"/>
  <c r="I22"/>
  <c r="Q22"/>
  <c r="R23"/>
  <c r="R25"/>
  <c r="I27"/>
  <c r="R27" s="1"/>
  <c r="Q27"/>
  <c r="R28"/>
  <c r="R30"/>
  <c r="R31"/>
  <c r="E18"/>
  <c r="R18" l="1"/>
  <c r="R22"/>
  <c r="AN164" i="1"/>
  <c r="AL195"/>
  <c r="AM193"/>
</calcChain>
</file>

<file path=xl/sharedStrings.xml><?xml version="1.0" encoding="utf-8"?>
<sst xmlns="http://schemas.openxmlformats.org/spreadsheetml/2006/main" count="1288" uniqueCount="480">
  <si>
    <t>PRODN. PERFORMANCE - 2024-25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</si>
  <si>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</si>
  <si>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</si>
  <si>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</si>
  <si>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</si>
  <si>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</si>
  <si>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</si>
  <si>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</si>
  <si>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</si>
  <si>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</si>
  <si>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</si>
  <si>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</si>
  <si>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</si>
  <si>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</si>
  <si>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</si>
  <si>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</si>
  <si>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</si>
  <si>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</si>
  <si>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</si>
  <si>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</si>
  <si>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</si>
  <si>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</si>
  <si>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</si>
  <si>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</si>
  <si>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</si>
  <si>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</si>
  <si>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</si>
  <si>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</si>
  <si>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 xml:space="preserve"> Hot Metal</t>
  </si>
  <si>
    <t>BF#5 -Prodn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</si>
  <si>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</si>
  <si>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</si>
  <si>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</si>
  <si>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</si>
  <si>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</si>
  <si>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New  SMS</t>
  </si>
  <si>
    <t>SMS-II Total</t>
  </si>
  <si>
    <t xml:space="preserve"> Total Crude Steel</t>
  </si>
  <si>
    <t>Total Slabs</t>
  </si>
  <si>
    <t xml:space="preserve"> H R Coils (Total)hsm1+hsm2</t>
  </si>
  <si>
    <t>hrp2</t>
  </si>
  <si>
    <t xml:space="preserve"> Plates (PM)</t>
  </si>
  <si>
    <t>New Plate Mill</t>
  </si>
  <si>
    <t xml:space="preserve"> H R Coils for Sale hsm1+hsm2</t>
  </si>
  <si>
    <t xml:space="preserve"> H R Plates/Sheets</t>
  </si>
  <si>
    <t xml:space="preserve"> ERW Pipes</t>
  </si>
  <si>
    <t xml:space="preserve"> SW Pipes</t>
  </si>
  <si>
    <t xml:space="preserve"> Galvanised Sheets</t>
  </si>
  <si>
    <t xml:space="preserve"> CRNO Sheets/Coils</t>
  </si>
  <si>
    <t>Saleable Steel Total</t>
  </si>
  <si>
    <t xml:space="preserve"> Gr.Slag - S G P</t>
  </si>
  <si>
    <t xml:space="preserve">       - Cast House</t>
  </si>
  <si>
    <t xml:space="preserve">        - Total</t>
  </si>
  <si>
    <t>Avg.Power Gen. CPP-I</t>
  </si>
  <si>
    <t>Avg.Power Gen. CPP-I I</t>
  </si>
  <si>
    <t>Avg.Power Gen. CPP-I I I</t>
  </si>
  <si>
    <t>Avg.Power Gen. Solar</t>
  </si>
  <si>
    <t>Avg.Power Gen. Total</t>
  </si>
  <si>
    <t>Net drawal from GRIDCO.</t>
  </si>
  <si>
    <t>RMHP-Despatch</t>
  </si>
  <si>
    <t>With Sinter</t>
  </si>
  <si>
    <t>Without Sinter</t>
  </si>
  <si>
    <t>Sized Ore</t>
  </si>
  <si>
    <t>HSM 1 HR COIL TOTAL</t>
  </si>
  <si>
    <t>HSM 1 HR COIL SALE</t>
  </si>
  <si>
    <t>HSM 2 HR COIL TOTAL</t>
  </si>
  <si>
    <t>HSM 2 HR COIL SALE</t>
  </si>
  <si>
    <t>BF-1</t>
  </si>
  <si>
    <t>BF-4</t>
  </si>
  <si>
    <t>BF-5</t>
  </si>
  <si>
    <t>DESP.PERFORMANCE  - 2024-25</t>
  </si>
  <si>
    <t>Page:-10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</si>
  <si>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</si>
  <si>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</si>
  <si>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</si>
  <si>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</si>
  <si>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</si>
  <si>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</si>
  <si>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</si>
  <si>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</si>
  <si>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</si>
  <si>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</si>
  <si>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</si>
  <si>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</si>
  <si>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</si>
  <si>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 xml:space="preserve"> SALEABLE STEEL</t>
  </si>
  <si>
    <t xml:space="preserve"> Slabs &amp; Billet</t>
  </si>
  <si>
    <t>PM  Plates</t>
  </si>
  <si>
    <t>NPM Pkates</t>
  </si>
  <si>
    <t xml:space="preserve"> H R Coils ( HSM-1 + HSM-2)</t>
  </si>
  <si>
    <t>HR Plates (NDL + SSL)</t>
  </si>
  <si>
    <t xml:space="preserve"> E R W Pipes</t>
  </si>
  <si>
    <t xml:space="preserve"> S W Pipes</t>
  </si>
  <si>
    <t>Galvanised sheets</t>
  </si>
  <si>
    <t>TOT. SAL.STEEL</t>
  </si>
  <si>
    <t xml:space="preserve"> Sal.Steel - Road</t>
  </si>
  <si>
    <t>Sal.Steel-Rail</t>
  </si>
  <si>
    <t>Gross Desp. - Road</t>
  </si>
  <si>
    <t>Gross Desp. - Rail</t>
  </si>
  <si>
    <t>Gross Despatches</t>
  </si>
  <si>
    <t>Sinter</t>
  </si>
  <si>
    <t>Sinter-BSL&amp;BSP</t>
  </si>
  <si>
    <t>Sinter-DSP</t>
  </si>
  <si>
    <t>Export</t>
  </si>
  <si>
    <t xml:space="preserve">HR Coil sale   </t>
  </si>
  <si>
    <t xml:space="preserve">  PM Plates</t>
  </si>
  <si>
    <t xml:space="preserve">NEW  PM Plates </t>
  </si>
  <si>
    <t xml:space="preserve">HR Plate NDL </t>
  </si>
  <si>
    <t xml:space="preserve">HR Plate SSL </t>
  </si>
  <si>
    <t xml:space="preserve">  </t>
  </si>
  <si>
    <t>***PPC (Statistics)***</t>
  </si>
  <si>
    <t>TECHNOLOGICAL PARAMETERS  -</t>
  </si>
  <si>
    <t xml:space="preserve">TECHNO ECONOMIC PARAMETERS </t>
  </si>
  <si>
    <t>24-25</t>
  </si>
  <si>
    <t>-</t>
  </si>
  <si>
    <t xml:space="preserve">                    </t>
  </si>
  <si>
    <t>A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</si>
  <si>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</si>
  <si>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</si>
  <si>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</si>
  <si>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</si>
  <si>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</si>
  <si>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</si>
  <si>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</si>
  <si>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</si>
  <si>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</si>
  <si>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</si>
  <si>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</si>
  <si>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</si>
  <si>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</si>
  <si>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</si>
  <si>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</si>
  <si>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</si>
  <si>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</si>
  <si>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</si>
  <si>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</si>
  <si>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Norm</t>
  </si>
  <si>
    <t>1st Qr</t>
  </si>
  <si>
    <t>2nd Qr.</t>
  </si>
  <si>
    <t>3rd Qr.</t>
  </si>
  <si>
    <t>4th Qr.</t>
  </si>
  <si>
    <t>Cum.</t>
  </si>
  <si>
    <t>BATTERY - (1-5)</t>
  </si>
  <si>
    <t>2024-25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</si>
  <si>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</si>
  <si>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</si>
  <si>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</si>
  <si>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</si>
  <si>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</si>
  <si>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</si>
  <si>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</si>
  <si>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</si>
  <si>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</si>
  <si>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</si>
  <si>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</si>
  <si>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</si>
  <si>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</si>
  <si>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</si>
  <si>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</si>
  <si>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</si>
  <si>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</si>
  <si>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</si>
  <si>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>B</t>
  </si>
  <si>
    <t xml:space="preserve">COAL CHEMICALS </t>
  </si>
  <si>
    <t>1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</si>
  <si>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</si>
  <si>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</si>
  <si>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</si>
  <si>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</si>
  <si>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</si>
  <si>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</si>
  <si>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Page: 2</t>
  </si>
  <si>
    <t>C</t>
  </si>
  <si>
    <t>SINTER PLANT-I</t>
  </si>
  <si>
    <t>July</t>
  </si>
  <si>
    <t>FeO in Sinter</t>
  </si>
  <si>
    <t>Fe in Sinter</t>
  </si>
  <si>
    <t>CaO in Sinter</t>
  </si>
  <si>
    <t>Basicity  (CaO/ SiO2)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</si>
  <si>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</si>
  <si>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</si>
  <si>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</si>
  <si>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</si>
  <si>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</si>
  <si>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</si>
  <si>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</si>
  <si>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</si>
  <si>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</si>
  <si>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</t>
  </si>
  <si>
    <t>N/Coke thro Sinter-Dry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</si>
  <si>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</si>
  <si>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</si>
  <si>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</si>
  <si>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</si>
  <si>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</si>
  <si>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</si>
  <si>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</si>
  <si>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</si>
  <si>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</si>
  <si>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D</t>
  </si>
  <si>
    <t>SINTER PLANT - II</t>
  </si>
  <si>
    <t>Limestone Consumption</t>
  </si>
  <si>
    <t>Dolomite Consumption</t>
  </si>
  <si>
    <t>Coke Breeze Cons.</t>
  </si>
  <si>
    <t>calcined lime</t>
  </si>
  <si>
    <t>Flux (-3mm)</t>
  </si>
  <si>
    <t>Coke Breeze (-3mm)</t>
  </si>
  <si>
    <t>Page: 3</t>
  </si>
  <si>
    <t>E</t>
  </si>
  <si>
    <t>SINTER PLANT - III</t>
  </si>
  <si>
    <t>Coke Breeze Con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</si>
  <si>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</si>
  <si>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</si>
  <si>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</si>
  <si>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</si>
  <si>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</si>
  <si>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</si>
  <si>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</si>
  <si>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</si>
  <si>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</si>
  <si>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</si>
  <si>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</si>
  <si>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</si>
  <si>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</si>
  <si>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</si>
  <si>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</si>
  <si>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</si>
  <si>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</si>
  <si>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</si>
  <si>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</si>
  <si>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</si>
  <si>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</si>
  <si>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</si>
  <si>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</si>
  <si>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</si>
  <si>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</si>
  <si>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</si>
  <si>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N/C --BF- 1</t>
  </si>
  <si>
    <t>N/C --BF- 4</t>
  </si>
  <si>
    <t>N/C --BF- 5</t>
  </si>
  <si>
    <t>N/C -SHOP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</si>
  <si>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</si>
  <si>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</si>
  <si>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</si>
  <si>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</si>
  <si>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</si>
  <si>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</si>
  <si>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</si>
  <si>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</si>
  <si>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</si>
  <si>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</si>
  <si>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</si>
  <si>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</si>
  <si>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</si>
  <si>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</si>
  <si>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</si>
  <si>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</si>
  <si>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</si>
  <si>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</si>
  <si>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</si>
  <si>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</si>
  <si>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</si>
  <si>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 xml:space="preserve"> </t>
  </si>
  <si>
    <t>Page: 4</t>
  </si>
  <si>
    <t>F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</si>
  <si>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</si>
  <si>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</si>
  <si>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</si>
  <si>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</si>
  <si>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</si>
  <si>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</si>
  <si>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</si>
  <si>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</si>
  <si>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</si>
  <si>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</si>
  <si>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</si>
  <si>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</si>
  <si>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</si>
  <si>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</si>
  <si>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</si>
  <si>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</si>
  <si>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</si>
  <si>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</si>
  <si>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</si>
  <si>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</si>
  <si>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</si>
  <si>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</si>
  <si>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</si>
  <si>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</si>
  <si>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</si>
  <si>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</si>
  <si>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</si>
  <si>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</si>
  <si>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</si>
  <si>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</si>
  <si>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</si>
  <si>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</si>
  <si>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</si>
  <si>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</si>
  <si>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 xml:space="preserve">   </t>
  </si>
  <si>
    <t>Page: 5</t>
  </si>
  <si>
    <t>G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</si>
  <si>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</si>
  <si>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</si>
  <si>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</si>
  <si>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</si>
  <si>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</si>
  <si>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</si>
  <si>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CONSP</t>
  </si>
  <si>
    <t>Refractory Consmn.</t>
  </si>
  <si>
    <t xml:space="preserve">Mettalic Yield </t>
  </si>
  <si>
    <t>Blow Weight</t>
  </si>
  <si>
    <t>Oxygen Cons.(BOF II)</t>
  </si>
  <si>
    <t>Oxygen Cons.(CCM II)</t>
  </si>
  <si>
    <t>H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</si>
  <si>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</si>
  <si>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</si>
  <si>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</si>
  <si>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</si>
  <si>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</si>
  <si>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</si>
  <si>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</si>
  <si>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</si>
  <si>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</si>
  <si>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</si>
  <si>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</si>
  <si>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</t>
  </si>
  <si>
    <t>T/Hr.</t>
  </si>
  <si>
    <t>Page: 6</t>
  </si>
  <si>
    <t>NEW PLATE MILL</t>
  </si>
  <si>
    <t>Normalising  Production</t>
  </si>
  <si>
    <t>I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</si>
  <si>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</si>
  <si>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</si>
  <si>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</si>
  <si>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</si>
  <si>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</si>
  <si>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</si>
  <si>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</si>
  <si>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J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</si>
  <si>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</si>
  <si>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</si>
  <si>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</si>
  <si>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</si>
  <si>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</si>
  <si>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</si>
  <si>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</si>
  <si>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K</t>
  </si>
  <si>
    <t>SW PIPE PLANT</t>
  </si>
  <si>
    <t>Utili. on Avail. Time</t>
  </si>
  <si>
    <t>Page: 7</t>
  </si>
  <si>
    <t>L</t>
  </si>
  <si>
    <t>COLD ROLLING MILL</t>
  </si>
  <si>
    <t>Acid Cons.in Pick Input</t>
  </si>
  <si>
    <t>Kg/T</t>
  </si>
  <si>
    <t>S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</si>
  <si>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</si>
  <si>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</si>
  <si>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</si>
  <si>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</si>
  <si>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</si>
  <si>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</si>
  <si>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M</t>
  </si>
  <si>
    <t>SILICON STEEL MILL</t>
  </si>
  <si>
    <t>Yield from HRC-CRNO</t>
  </si>
  <si>
    <t>Acid cons. in AP line</t>
  </si>
  <si>
    <t>REV. MILL Availability</t>
  </si>
  <si>
    <t>Util.on Time REV.MILL</t>
  </si>
  <si>
    <t>Rolling Rate(Rev Mill)</t>
  </si>
  <si>
    <t>T/Hr</t>
  </si>
  <si>
    <t>N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</si>
  <si>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</si>
  <si>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</si>
  <si>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</si>
  <si>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</si>
  <si>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</si>
  <si>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</si>
  <si>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</si>
  <si>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</si>
  <si>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>O</t>
  </si>
  <si>
    <t xml:space="preserve"> C P P - II</t>
  </si>
  <si>
    <t>P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</si>
  <si>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</si>
  <si>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</si>
  <si>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</si>
  <si>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</si>
  <si>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</si>
  <si>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</si>
  <si>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</si>
  <si>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</si>
  <si>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</si>
  <si>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</si>
  <si>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</si>
  <si>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</si>
  <si>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</si>
  <si>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</si>
  <si>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</si>
  <si>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</si>
  <si>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</si>
  <si>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</si>
  <si>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</si>
  <si>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 xml:space="preserve"> HM Prod.(Incl.GCP)</t>
  </si>
  <si>
    <t>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</si>
  <si>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</si>
  <si>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</si>
  <si>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</si>
  <si>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</si>
  <si>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</si>
  <si>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</si>
  <si>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</si>
  <si>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</si>
  <si>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Tandem Mill</t>
  </si>
  <si>
    <t>Saleable Steel</t>
  </si>
  <si>
    <t>KWH/TSS</t>
  </si>
  <si>
    <t>Q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</si>
  <si>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</si>
  <si>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</si>
  <si>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</si>
  <si>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</si>
  <si>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</si>
  <si>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</si>
  <si>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</si>
  <si>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R</t>
  </si>
  <si>
    <t>GENERAL</t>
  </si>
  <si>
    <t xml:space="preserve">**Energy consumption. </t>
  </si>
  <si>
    <t>G.Cal/TCS</t>
  </si>
  <si>
    <t>Coal to H M Ratio **</t>
  </si>
  <si>
    <t>H M to Slab Ratio-Total</t>
  </si>
  <si>
    <t>coke screen loss</t>
  </si>
  <si>
    <t>BF Fuel Rate</t>
  </si>
  <si>
    <t>BF#1</t>
  </si>
  <si>
    <t xml:space="preserve">BF#4 </t>
  </si>
  <si>
    <t>BF#5</t>
  </si>
  <si>
    <t>SHOP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</si>
  <si>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</si>
  <si>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</si>
  <si>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</si>
  <si>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</si>
  <si>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</si>
  <si>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</si>
  <si>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</si>
  <si>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>De Sulphurised. Heats</t>
  </si>
  <si>
    <t>Nos.</t>
  </si>
  <si>
    <t xml:space="preserve">Sp. CO2 Emmission </t>
  </si>
  <si>
    <t>T/TCS</t>
  </si>
  <si>
    <t>Labour Productivity</t>
  </si>
  <si>
    <t>TCS/M/Yr</t>
  </si>
  <si>
    <t>**  Current Month data is provisional</t>
  </si>
  <si>
    <t>Slabs Rolled -  HSM2</t>
  </si>
  <si>
    <t>H.R.Coil2 Production</t>
  </si>
  <si>
    <t>HOT STRIP MILL 2</t>
  </si>
  <si>
    <t>Blow</t>
  </si>
  <si>
    <t xml:space="preserve">RHOB </t>
  </si>
  <si>
    <t>page-11</t>
  </si>
  <si>
    <t>External Consumption  - 2024-25</t>
  </si>
  <si>
    <t>JACKAL CC SLAB-ASP</t>
  </si>
  <si>
    <t>SPADE  M1//CC SLAB - ASP</t>
  </si>
  <si>
    <t>SPADE M2 FRG SLAB - ASP</t>
  </si>
  <si>
    <t xml:space="preserve"> SLABS - TOTAL-OPM</t>
  </si>
  <si>
    <t>BSP SLAB HSM-I</t>
  </si>
  <si>
    <t>BSP SLAB HSM-2</t>
  </si>
  <si>
    <t>BSL SLAB HSM-2</t>
  </si>
  <si>
    <t>page-12</t>
  </si>
  <si>
    <t>External Receipt - 2024-25</t>
  </si>
  <si>
    <t>HSM2 SLAB BSL</t>
  </si>
  <si>
    <t>HSM2 SLAB BSP</t>
  </si>
  <si>
    <t>HSM1 SLAB BSP</t>
  </si>
  <si>
    <t xml:space="preserve"> HARD COKE</t>
  </si>
  <si>
    <t xml:space="preserve"> -BSL</t>
  </si>
  <si>
    <t xml:space="preserve">   -DSP</t>
  </si>
  <si>
    <t xml:space="preserve">  -BSP</t>
  </si>
  <si>
    <t xml:space="preserve">  -HDCG</t>
  </si>
  <si>
    <t xml:space="preserve">BREEZE COKE </t>
  </si>
  <si>
    <t>BRMP</t>
  </si>
  <si>
    <t xml:space="preserve"> GIMB</t>
  </si>
  <si>
    <t>MELG</t>
  </si>
  <si>
    <t xml:space="preserve">PELLET </t>
  </si>
  <si>
    <t>TOTAL IPT SLAB (HSM)</t>
  </si>
  <si>
    <t>PM IPT SLAB BSP</t>
  </si>
  <si>
    <t xml:space="preserve"> SLABS - TOTAL-HSM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</si>
</sst>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Arial"/>
      <family val="2"/>
    </font>
    <font>
      <sz val="14"/>
      <color rgb="FFFF0000"/>
      <name val="Times New Roman"/>
      <family val="1"/>
    </font>
    <font>
      <sz val="14"/>
      <name val="Arial"/>
      <family val="2"/>
    </font>
    <font>
      <sz val="12"/>
      <name val="Verdana"/>
      <family val="2"/>
    </font>
    <font>
      <sz val="10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1" fillId="0" borderId="0"/>
  </cellStyleXfs>
  <cellXfs count="168">
    <xf numFmtId="0" fontId="0" fillId="0" borderId="0" xfId="0"/>
    <xf numFmtId="0" fontId="2" fillId="0" borderId="0" xfId="0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/>
    <xf numFmtId="0" fontId="5" fillId="0" borderId="0" xfId="0" applyFont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 applyProtection="1">
      <alignment horizontal="right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4" fontId="3" fillId="2" borderId="0" xfId="0" applyNumberFormat="1" applyFont="1" applyFill="1" applyBorder="1" applyAlignment="1" applyProtection="1">
      <alignment horizontal="center"/>
    </xf>
    <xf numFmtId="164" fontId="2" fillId="2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3" fillId="2" borderId="0" xfId="0" applyNumberFormat="1" applyFont="1" applyFill="1" applyBorder="1" applyAlignment="1" applyProtection="1">
      <alignment horizontal="center"/>
    </xf>
    <xf numFmtId="1" fontId="2" fillId="2" borderId="0" xfId="0" applyNumberFormat="1" applyFont="1" applyFill="1" applyBorder="1" applyAlignment="1" applyProtection="1">
      <alignment horizontal="center"/>
    </xf>
    <xf numFmtId="1" fontId="3" fillId="2" borderId="0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2" applyFont="1" applyBorder="1" applyAlignment="1" applyProtection="1">
      <alignment horizontal="right"/>
    </xf>
    <xf numFmtId="1" fontId="3" fillId="0" borderId="0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right"/>
    </xf>
    <xf numFmtId="1" fontId="2" fillId="2" borderId="1" xfId="0" applyNumberFormat="1" applyFont="1" applyFill="1" applyBorder="1" applyAlignment="1">
      <alignment horizontal="center"/>
    </xf>
    <xf numFmtId="0" fontId="2" fillId="2" borderId="0" xfId="0" applyFont="1" applyFill="1" applyBorder="1"/>
    <xf numFmtId="0" fontId="7" fillId="0" borderId="0" xfId="0" applyFont="1" applyBorder="1" applyAlignment="1" applyProtection="1">
      <alignment horizontal="right"/>
    </xf>
    <xf numFmtId="1" fontId="7" fillId="0" borderId="0" xfId="0" applyNumberFormat="1" applyFont="1" applyBorder="1" applyAlignment="1" applyProtection="1">
      <alignment horizontal="center"/>
    </xf>
    <xf numFmtId="1" fontId="8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Border="1" applyAlignment="1" applyProtection="1">
      <alignment horizontal="center"/>
    </xf>
    <xf numFmtId="1" fontId="7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0" xfId="0" applyFont="1" applyBorder="1"/>
    <xf numFmtId="1" fontId="4" fillId="0" borderId="0" xfId="0" applyNumberFormat="1" applyFont="1" applyBorder="1" applyAlignment="1">
      <alignment horizontal="center"/>
    </xf>
    <xf numFmtId="0" fontId="3" fillId="0" borderId="0" xfId="0" applyFont="1" applyBorder="1" applyAlignment="1" applyProtection="1">
      <alignment horizontal="right"/>
    </xf>
    <xf numFmtId="2" fontId="3" fillId="0" borderId="0" xfId="0" applyNumberFormat="1" applyFont="1" applyFill="1" applyBorder="1" applyAlignment="1" applyProtection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Fill="1" applyBorder="1" applyAlignment="1" applyProtection="1">
      <alignment horizontal="right"/>
    </xf>
    <xf numFmtId="2" fontId="3" fillId="0" borderId="2" xfId="0" applyNumberFormat="1" applyFont="1" applyBorder="1" applyAlignment="1">
      <alignment horizontal="center"/>
    </xf>
    <xf numFmtId="2" fontId="2" fillId="0" borderId="0" xfId="0" applyNumberFormat="1" applyFont="1" applyFill="1" applyBorder="1" applyAlignment="1" applyProtection="1">
      <alignment horizontal="center"/>
    </xf>
    <xf numFmtId="2" fontId="2" fillId="0" borderId="3" xfId="0" applyNumberFormat="1" applyFont="1" applyFill="1" applyBorder="1" applyAlignment="1" applyProtection="1">
      <alignment horizontal="center"/>
    </xf>
    <xf numFmtId="0" fontId="2" fillId="0" borderId="0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1" fontId="4" fillId="0" borderId="0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quotePrefix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" fontId="10" fillId="0" borderId="0" xfId="0" applyNumberFormat="1" applyFont="1" applyBorder="1" applyAlignment="1">
      <alignment horizontal="center" vertical="center"/>
    </xf>
    <xf numFmtId="1" fontId="10" fillId="3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Border="1" applyAlignment="1" applyProtection="1">
      <alignment horizontal="center" vertical="center"/>
    </xf>
    <xf numFmtId="1" fontId="10" fillId="0" borderId="0" xfId="0" applyNumberFormat="1" applyFont="1" applyFill="1" applyBorder="1" applyAlignment="1" applyProtection="1">
      <alignment horizontal="center" vertical="center"/>
    </xf>
    <xf numFmtId="1" fontId="9" fillId="0" borderId="0" xfId="0" applyNumberFormat="1" applyFont="1" applyBorder="1" applyAlignment="1" applyProtection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6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Border="1" applyAlignment="1" applyProtection="1">
      <alignment horizontal="righ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3" fillId="0" borderId="6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3" fillId="0" borderId="6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quotePrefix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/>
    </xf>
    <xf numFmtId="0" fontId="3" fillId="0" borderId="0" xfId="0" quotePrefix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164" fontId="3" fillId="0" borderId="0" xfId="0" quotePrefix="1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165" fontId="3" fillId="0" borderId="0" xfId="0" applyNumberFormat="1" applyFont="1" applyFill="1" applyBorder="1" applyAlignment="1">
      <alignment horizontal="center" vertical="center"/>
    </xf>
    <xf numFmtId="165" fontId="3" fillId="0" borderId="0" xfId="0" quotePrefix="1" applyNumberFormat="1" applyFont="1" applyFill="1" applyBorder="1" applyAlignment="1">
      <alignment horizontal="center" vertical="center"/>
    </xf>
    <xf numFmtId="165" fontId="3" fillId="0" borderId="6" xfId="0" applyNumberFormat="1" applyFont="1" applyFill="1" applyBorder="1" applyAlignment="1">
      <alignment horizontal="center" vertical="center"/>
    </xf>
    <xf numFmtId="1" fontId="3" fillId="0" borderId="0" xfId="0" quotePrefix="1" applyNumberFormat="1" applyFont="1" applyFill="1" applyBorder="1" applyAlignment="1">
      <alignment horizontal="center" vertical="center"/>
    </xf>
    <xf numFmtId="2" fontId="3" fillId="0" borderId="0" xfId="0" quotePrefix="1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horizontal="center" vertical="center"/>
    </xf>
    <xf numFmtId="165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 applyProtection="1">
      <alignment horizontal="center"/>
    </xf>
    <xf numFmtId="164" fontId="3" fillId="0" borderId="0" xfId="0" quotePrefix="1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12" fillId="0" borderId="0" xfId="0" applyNumberFormat="1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0" fontId="3" fillId="0" borderId="7" xfId="0" applyFont="1" applyFill="1" applyBorder="1" applyAlignment="1" applyProtection="1">
      <alignment horizontal="center"/>
    </xf>
    <xf numFmtId="0" fontId="3" fillId="0" borderId="0" xfId="0" applyFont="1" applyFill="1" applyBorder="1" applyAlignment="1">
      <alignment horizontal="left" vertical="center"/>
    </xf>
    <xf numFmtId="2" fontId="3" fillId="0" borderId="0" xfId="0" quotePrefix="1" applyNumberFormat="1" applyFont="1" applyFill="1" applyAlignment="1">
      <alignment horizontal="center" vertical="center"/>
    </xf>
    <xf numFmtId="0" fontId="13" fillId="0" borderId="0" xfId="3" applyFont="1" applyFill="1"/>
    <xf numFmtId="0" fontId="3" fillId="0" borderId="0" xfId="0" quotePrefix="1" applyFont="1" applyFill="1" applyBorder="1" applyAlignment="1" applyProtection="1">
      <alignment horizontal="center"/>
    </xf>
    <xf numFmtId="0" fontId="3" fillId="0" borderId="0" xfId="0" applyFont="1" applyFill="1" applyAlignment="1">
      <alignment horizontal="left" vertical="center"/>
    </xf>
    <xf numFmtId="2" fontId="4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</xf>
    <xf numFmtId="0" fontId="2" fillId="0" borderId="0" xfId="0" applyFont="1" applyFill="1" applyAlignment="1">
      <alignment horizontal="right" vertical="center"/>
    </xf>
    <xf numFmtId="165" fontId="2" fillId="0" borderId="0" xfId="0" applyNumberFormat="1" applyFont="1" applyFill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14" fillId="0" borderId="8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6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1" fontId="2" fillId="0" borderId="0" xfId="0" applyNumberFormat="1" applyFont="1" applyFill="1"/>
    <xf numFmtId="1" fontId="2" fillId="0" borderId="0" xfId="0" applyNumberFormat="1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  <xf numFmtId="1" fontId="3" fillId="0" borderId="6" xfId="0" applyNumberFormat="1" applyFont="1" applyFill="1" applyBorder="1" applyAlignment="1">
      <alignment horizontal="center"/>
    </xf>
    <xf numFmtId="0" fontId="15" fillId="0" borderId="0" xfId="0" applyFont="1" applyFill="1"/>
    <xf numFmtId="0" fontId="0" fillId="0" borderId="0" xfId="0" applyFill="1"/>
    <xf numFmtId="0" fontId="6" fillId="0" borderId="0" xfId="0" applyFont="1"/>
    <xf numFmtId="0" fontId="16" fillId="0" borderId="0" xfId="0" applyFont="1" applyAlignment="1"/>
    <xf numFmtId="0" fontId="0" fillId="0" borderId="0" xfId="0" applyAlignment="1">
      <alignment horizontal="center"/>
    </xf>
    <xf numFmtId="0" fontId="15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1" fontId="18" fillId="0" borderId="0" xfId="0" applyNumberFormat="1" applyFont="1" applyAlignment="1">
      <alignment horizontal="center"/>
    </xf>
    <xf numFmtId="1" fontId="19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18" fillId="0" borderId="0" xfId="0" applyNumberFormat="1" applyFont="1" applyFill="1" applyAlignment="1">
      <alignment horizontal="center"/>
    </xf>
    <xf numFmtId="0" fontId="2" fillId="0" borderId="6" xfId="0" applyFont="1" applyFill="1" applyBorder="1" applyAlignment="1"/>
    <xf numFmtId="0" fontId="2" fillId="0" borderId="0" xfId="0" applyFont="1" applyFill="1" applyAlignment="1"/>
    <xf numFmtId="1" fontId="9" fillId="0" borderId="0" xfId="0" applyNumberFormat="1" applyFont="1" applyFill="1" applyBorder="1" applyAlignment="1" applyProtection="1">
      <alignment horizontal="center" vertical="center"/>
    </xf>
    <xf numFmtId="0" fontId="2" fillId="0" borderId="8" xfId="0" applyFont="1" applyBorder="1" applyAlignment="1">
      <alignment horizontal="right"/>
    </xf>
    <xf numFmtId="0" fontId="2" fillId="0" borderId="8" xfId="0" applyFont="1" applyFill="1" applyBorder="1" applyAlignment="1"/>
    <xf numFmtId="1" fontId="19" fillId="0" borderId="8" xfId="0" applyNumberFormat="1" applyFont="1" applyFill="1" applyBorder="1" applyAlignment="1">
      <alignment horizontal="center"/>
    </xf>
    <xf numFmtId="1" fontId="2" fillId="0" borderId="8" xfId="0" applyNumberFormat="1" applyFont="1" applyFill="1" applyBorder="1" applyAlignment="1">
      <alignment horizontal="center"/>
    </xf>
    <xf numFmtId="0" fontId="2" fillId="0" borderId="8" xfId="0" applyFont="1" applyFill="1" applyBorder="1" applyAlignment="1">
      <alignment horizontal="right"/>
    </xf>
    <xf numFmtId="1" fontId="20" fillId="0" borderId="8" xfId="0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/>
    </xf>
    <xf numFmtId="1" fontId="18" fillId="0" borderId="8" xfId="0" applyNumberFormat="1" applyFont="1" applyBorder="1" applyAlignment="1">
      <alignment horizontal="center"/>
    </xf>
    <xf numFmtId="1" fontId="18" fillId="0" borderId="8" xfId="0" applyNumberFormat="1" applyFont="1" applyBorder="1" applyAlignment="1">
      <alignment horizontal="center" vertical="center"/>
    </xf>
    <xf numFmtId="1" fontId="18" fillId="0" borderId="8" xfId="0" applyNumberFormat="1" applyFont="1" applyFill="1" applyBorder="1" applyAlignment="1">
      <alignment horizontal="center" vertical="center"/>
    </xf>
    <xf numFmtId="1" fontId="20" fillId="0" borderId="8" xfId="0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right"/>
    </xf>
    <xf numFmtId="1" fontId="18" fillId="0" borderId="8" xfId="0" applyNumberFormat="1" applyFont="1" applyFill="1" applyBorder="1" applyAlignment="1">
      <alignment horizontal="center"/>
    </xf>
    <xf numFmtId="1" fontId="10" fillId="0" borderId="8" xfId="0" applyNumberFormat="1" applyFont="1" applyFill="1" applyBorder="1" applyAlignment="1">
      <alignment horizontal="center"/>
    </xf>
  </cellXfs>
  <cellStyles count="4">
    <cellStyle name="Normal" xfId="0" builtinId="0"/>
    <cellStyle name="Normal 2" xfId="2"/>
    <cellStyle name="Normal 5" xfId="3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42</xdr:row>
      <xdr:rowOff>0</xdr:rowOff>
    </xdr:from>
    <xdr:to>
      <xdr:col>16</xdr:col>
      <xdr:colOff>0</xdr:colOff>
      <xdr:row>42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9050" y="10582275"/>
          <a:ext cx="122586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- SLABS -EXPORT FOR OCT. 12281 T AND APRIL TO OCTOBER 61460 T</a:t>
          </a:r>
        </a:p>
        <a:p>
          <a:pPr algn="l" rtl="0">
            <a:defRPr sz="1000"/>
          </a:pP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353"/>
  <sheetViews>
    <sheetView topLeftCell="A46" workbookViewId="0">
      <selection activeCell="AN140" sqref="AN140"/>
    </sheetView>
  </sheetViews>
  <sheetFormatPr defaultRowHeight="18.75"/>
  <cols>
    <col min="1" max="1" width="5.7109375" style="64" customWidth="1"/>
    <col min="2" max="2" width="38.28515625" style="65" customWidth="1"/>
    <col min="3" max="3" width="15.42578125" style="64" customWidth="1"/>
    <col min="4" max="15" width="9.140625" style="64" hidden="1" customWidth="1"/>
    <col min="16" max="16" width="10.85546875" style="64" hidden="1" customWidth="1"/>
    <col min="17" max="18" width="9.140625" style="64" hidden="1" customWidth="1"/>
    <col min="19" max="19" width="11.28515625" style="64" customWidth="1"/>
    <col min="20" max="20" width="10.7109375" style="64" customWidth="1"/>
    <col min="21" max="21" width="9.140625" style="7"/>
    <col min="22" max="22" width="11.28515625" style="66" customWidth="1"/>
    <col min="23" max="23" width="10.5703125" style="64" customWidth="1"/>
    <col min="24" max="24" width="10.42578125" style="64" customWidth="1"/>
    <col min="25" max="25" width="0" style="64" hidden="1" customWidth="1"/>
    <col min="26" max="26" width="11.42578125" style="64" customWidth="1"/>
    <col min="27" max="27" width="9.85546875" style="64" customWidth="1"/>
    <col min="28" max="28" width="10.140625" style="64" customWidth="1"/>
    <col min="29" max="29" width="0" style="64" hidden="1" customWidth="1"/>
    <col min="30" max="30" width="10.28515625" style="64" customWidth="1"/>
    <col min="31" max="31" width="10.7109375" style="64" customWidth="1"/>
    <col min="32" max="32" width="11.140625" style="64" customWidth="1"/>
    <col min="33" max="33" width="0" style="64" hidden="1" customWidth="1"/>
    <col min="34" max="34" width="10.28515625" style="64" customWidth="1"/>
    <col min="35" max="35" width="13" style="64" customWidth="1"/>
    <col min="36" max="37" width="0" style="64" hidden="1" customWidth="1"/>
    <col min="38" max="38" width="11.28515625" style="64" customWidth="1"/>
    <col min="39" max="16384" width="9.140625" style="67"/>
  </cols>
  <sheetData>
    <row r="1" spans="1:38">
      <c r="A1" s="64" t="s">
        <v>109</v>
      </c>
    </row>
    <row r="2" spans="1:38" ht="33" customHeight="1">
      <c r="B2" s="68" t="s">
        <v>110</v>
      </c>
      <c r="C2" s="53"/>
      <c r="D2" s="53"/>
      <c r="E2" s="53"/>
      <c r="F2" s="53"/>
      <c r="G2" s="53"/>
      <c r="H2" s="53"/>
      <c r="I2" s="69" t="s">
        <v>111</v>
      </c>
      <c r="J2" s="53"/>
      <c r="K2" s="70" t="s">
        <v>112</v>
      </c>
      <c r="L2" s="53"/>
      <c r="M2" s="53"/>
      <c r="N2" s="53"/>
      <c r="O2" s="53"/>
      <c r="P2" s="53"/>
      <c r="Q2" s="53"/>
      <c r="R2" s="53"/>
      <c r="S2" s="53"/>
      <c r="T2" s="53"/>
      <c r="U2" s="135"/>
      <c r="V2" s="71"/>
      <c r="W2" s="53" t="s">
        <v>113</v>
      </c>
      <c r="X2" s="54" t="s">
        <v>114</v>
      </c>
      <c r="Y2" s="53"/>
      <c r="Z2" s="53" t="s">
        <v>115</v>
      </c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</row>
    <row r="3" spans="1:38" s="64" customFormat="1">
      <c r="A3" s="72" t="s">
        <v>116</v>
      </c>
      <c r="B3" s="73" t="s">
        <v>117</v>
      </c>
      <c r="C3" s="74" t="s">
        <v>118</v>
      </c>
      <c r="D3" s="53" t="s">
        <v>119</v>
      </c>
      <c r="E3" s="54" t="s">
        <v>120</v>
      </c>
      <c r="F3" s="54" t="s">
        <v>121</v>
      </c>
      <c r="G3" s="54" t="s">
        <v>122</v>
      </c>
      <c r="H3" s="54" t="s">
        <v>123</v>
      </c>
      <c r="I3" s="54" t="s">
        <v>124</v>
      </c>
      <c r="J3" s="53" t="s">
        <v>125</v>
      </c>
      <c r="K3" s="53" t="s">
        <v>126</v>
      </c>
      <c r="L3" s="53" t="s">
        <v>127</v>
      </c>
      <c r="M3" s="53" t="s">
        <v>128</v>
      </c>
      <c r="N3" s="53" t="s">
        <v>129</v>
      </c>
      <c r="O3" s="53" t="s">
        <v>130</v>
      </c>
      <c r="P3" s="53" t="s">
        <v>131</v>
      </c>
      <c r="Q3" s="53" t="s">
        <v>132</v>
      </c>
      <c r="R3" s="53" t="s">
        <v>133</v>
      </c>
      <c r="S3" s="53" t="s">
        <v>134</v>
      </c>
      <c r="T3" s="53" t="s">
        <v>135</v>
      </c>
      <c r="U3" s="75" t="s">
        <v>136</v>
      </c>
      <c r="V3" s="71" t="s">
        <v>4</v>
      </c>
      <c r="W3" s="53" t="s">
        <v>5</v>
      </c>
      <c r="X3" s="53" t="s">
        <v>6</v>
      </c>
      <c r="Y3" s="53" t="s">
        <v>137</v>
      </c>
      <c r="Z3" s="53" t="s">
        <v>8</v>
      </c>
      <c r="AA3" s="53" t="s">
        <v>9</v>
      </c>
      <c r="AB3" s="53" t="s">
        <v>10</v>
      </c>
      <c r="AC3" s="53" t="s">
        <v>138</v>
      </c>
      <c r="AD3" s="53" t="s">
        <v>12</v>
      </c>
      <c r="AE3" s="53" t="s">
        <v>13</v>
      </c>
      <c r="AF3" s="53" t="s">
        <v>14</v>
      </c>
      <c r="AG3" s="53" t="s">
        <v>139</v>
      </c>
      <c r="AH3" s="53" t="s">
        <v>16</v>
      </c>
      <c r="AI3" s="53" t="s">
        <v>17</v>
      </c>
      <c r="AJ3" s="53" t="s">
        <v>18</v>
      </c>
      <c r="AK3" s="53" t="s">
        <v>140</v>
      </c>
      <c r="AL3" s="53" t="s">
        <v>141</v>
      </c>
    </row>
    <row r="4" spans="1:38">
      <c r="B4" s="73" t="s">
        <v>142</v>
      </c>
      <c r="C4" s="75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135" t="s">
        <v>143</v>
      </c>
      <c r="V4" s="71">
        <v>2024</v>
      </c>
      <c r="W4" s="53">
        <v>2024</v>
      </c>
      <c r="X4" s="53">
        <v>2024</v>
      </c>
      <c r="Y4" s="53">
        <v>2023</v>
      </c>
      <c r="Z4" s="53">
        <v>2024</v>
      </c>
      <c r="AA4" s="53">
        <v>2024</v>
      </c>
      <c r="AB4" s="53">
        <v>2024</v>
      </c>
      <c r="AC4" s="53">
        <v>2023</v>
      </c>
      <c r="AD4" s="53">
        <v>2024</v>
      </c>
      <c r="AE4" s="53">
        <v>2024</v>
      </c>
      <c r="AF4" s="53">
        <v>2024</v>
      </c>
      <c r="AG4" s="53">
        <v>2023</v>
      </c>
      <c r="AH4" s="53">
        <v>2025</v>
      </c>
      <c r="AI4" s="53">
        <v>2025</v>
      </c>
      <c r="AJ4" s="53">
        <v>2025</v>
      </c>
      <c r="AK4" s="53">
        <v>2024</v>
      </c>
      <c r="AL4" s="75" t="s">
        <v>144</v>
      </c>
    </row>
    <row r="5" spans="1:38">
      <c r="A5" s="7">
        <v>1</v>
      </c>
      <c r="B5" s="68" t="s">
        <v>145</v>
      </c>
      <c r="C5" s="75" t="s">
        <v>146</v>
      </c>
      <c r="D5" s="76">
        <v>77.03893350791256</v>
      </c>
      <c r="E5" s="76">
        <v>75.5</v>
      </c>
      <c r="F5" s="53">
        <v>74.709999999999994</v>
      </c>
      <c r="G5" s="76">
        <v>74.333516538718385</v>
      </c>
      <c r="H5" s="76">
        <v>72.648362439426691</v>
      </c>
      <c r="I5" s="76">
        <v>72.73582333696838</v>
      </c>
      <c r="J5" s="76">
        <v>72.492790983727275</v>
      </c>
      <c r="K5" s="76">
        <v>73.751619183543667</v>
      </c>
      <c r="L5" s="76">
        <v>74.302602620496856</v>
      </c>
      <c r="M5" s="76">
        <v>75.195495049252898</v>
      </c>
      <c r="N5" s="76">
        <v>76.788311418479722</v>
      </c>
      <c r="O5" s="76">
        <v>77.526701737605606</v>
      </c>
      <c r="P5" s="76">
        <v>77.681894898791001</v>
      </c>
      <c r="Q5" s="77">
        <v>77.306846440572102</v>
      </c>
      <c r="R5" s="77">
        <v>77.257597045323436</v>
      </c>
      <c r="S5" s="77">
        <v>77.414250419552815</v>
      </c>
      <c r="T5" s="77">
        <v>77.401978849211602</v>
      </c>
      <c r="U5" s="77">
        <v>77.3</v>
      </c>
      <c r="V5" s="78">
        <v>77.423261535339961</v>
      </c>
      <c r="W5" s="76">
        <v>77.511691763732344</v>
      </c>
      <c r="X5" s="76">
        <v>77.595080194394868</v>
      </c>
      <c r="Y5" s="76">
        <v>77.509256957854561</v>
      </c>
      <c r="Z5" s="76">
        <v>77.512282410071265</v>
      </c>
      <c r="AA5" s="76">
        <v>77.595256976700284</v>
      </c>
      <c r="AB5" s="76">
        <v>77.237767431047516</v>
      </c>
      <c r="AC5" s="76">
        <v>77.450136895730381</v>
      </c>
      <c r="AD5" s="76">
        <v>77.505241746205598</v>
      </c>
      <c r="AE5" s="76">
        <v>77.11038020635543</v>
      </c>
      <c r="AF5" s="76">
        <v>77.400587233117051</v>
      </c>
      <c r="AG5" s="76">
        <v>77.341572005159577</v>
      </c>
      <c r="AH5" s="76">
        <v>77.426086112560199</v>
      </c>
      <c r="AI5" s="76">
        <v>76.574225122349105</v>
      </c>
      <c r="AJ5" s="76" t="e">
        <v>#DIV/0!</v>
      </c>
      <c r="AK5" s="76"/>
      <c r="AL5" s="77">
        <v>77.3595550619996</v>
      </c>
    </row>
    <row r="6" spans="1:38">
      <c r="A6" s="7">
        <v>2</v>
      </c>
      <c r="B6" s="68" t="s">
        <v>147</v>
      </c>
      <c r="C6" s="74" t="s">
        <v>148</v>
      </c>
      <c r="D6" s="76">
        <v>11.285878876361014</v>
      </c>
      <c r="E6" s="76">
        <v>10.79</v>
      </c>
      <c r="F6" s="53">
        <v>10.58</v>
      </c>
      <c r="G6" s="76">
        <v>10.531531116637499</v>
      </c>
      <c r="H6" s="76">
        <v>10.374253197337634</v>
      </c>
      <c r="I6" s="76">
        <v>10.431599857460213</v>
      </c>
      <c r="J6" s="76">
        <v>10.216721829337017</v>
      </c>
      <c r="K6" s="76">
        <v>10.331218356484486</v>
      </c>
      <c r="L6" s="76">
        <v>10.261403202542926</v>
      </c>
      <c r="M6" s="76">
        <v>10.419584785298358</v>
      </c>
      <c r="N6" s="76">
        <v>10.834750388378049</v>
      </c>
      <c r="O6" s="76">
        <v>10.863095021967249</v>
      </c>
      <c r="P6" s="76">
        <v>10.906473029783225</v>
      </c>
      <c r="Q6" s="77">
        <v>10.876820096558887</v>
      </c>
      <c r="R6" s="77">
        <v>10.944045503021686</v>
      </c>
      <c r="S6" s="77">
        <v>11.195826479446286</v>
      </c>
      <c r="T6" s="77">
        <v>11.008953798078091</v>
      </c>
      <c r="U6" s="77">
        <v>11.06</v>
      </c>
      <c r="V6" s="78">
        <v>11.190062613613412</v>
      </c>
      <c r="W6" s="76">
        <v>11.080291242768801</v>
      </c>
      <c r="X6" s="76">
        <v>11.042050750906267</v>
      </c>
      <c r="Y6" s="76">
        <v>11.104553290741304</v>
      </c>
      <c r="Z6" s="76">
        <v>11.160329913498289</v>
      </c>
      <c r="AA6" s="76">
        <v>11.302804115392375</v>
      </c>
      <c r="AB6" s="76">
        <v>11.134953464322647</v>
      </c>
      <c r="AC6" s="76">
        <v>11.199857752489331</v>
      </c>
      <c r="AD6" s="76">
        <v>11.069528837533619</v>
      </c>
      <c r="AE6" s="76">
        <v>11.169210146421943</v>
      </c>
      <c r="AF6" s="76">
        <v>11.111068111455108</v>
      </c>
      <c r="AG6" s="76">
        <v>11.115951185448742</v>
      </c>
      <c r="AH6" s="76">
        <v>11.009415833973867</v>
      </c>
      <c r="AI6" s="76">
        <v>10.952727272727273</v>
      </c>
      <c r="AJ6" s="76" t="e">
        <v>#DIV/0!</v>
      </c>
      <c r="AK6" s="76"/>
      <c r="AL6" s="77">
        <v>11.11140995043143</v>
      </c>
    </row>
    <row r="7" spans="1:38">
      <c r="A7" s="7">
        <v>3</v>
      </c>
      <c r="B7" s="68" t="s">
        <v>147</v>
      </c>
      <c r="C7" s="75" t="s">
        <v>149</v>
      </c>
      <c r="D7" s="76">
        <v>71.436476483297227</v>
      </c>
      <c r="E7" s="76">
        <v>68.77</v>
      </c>
      <c r="F7" s="76">
        <v>68.05</v>
      </c>
      <c r="G7" s="76">
        <v>67.573730317733293</v>
      </c>
      <c r="H7" s="76">
        <v>66.504069934231566</v>
      </c>
      <c r="I7" s="76">
        <v>66.981568390715069</v>
      </c>
      <c r="J7" s="76">
        <v>65.371989302520689</v>
      </c>
      <c r="K7" s="76">
        <v>65.843022579369077</v>
      </c>
      <c r="L7" s="76">
        <v>65.466352902562178</v>
      </c>
      <c r="M7" s="76">
        <v>66.767987326552927</v>
      </c>
      <c r="N7" s="76">
        <v>69.630478600975181</v>
      </c>
      <c r="O7" s="76">
        <v>70.137306476871004</v>
      </c>
      <c r="P7" s="76">
        <v>70.445595141049637</v>
      </c>
      <c r="Q7" s="77">
        <v>68.312191456551588</v>
      </c>
      <c r="R7" s="77">
        <v>68.366967750340876</v>
      </c>
      <c r="S7" s="77">
        <v>69.603231730000161</v>
      </c>
      <c r="T7" s="77">
        <v>70.384910808930698</v>
      </c>
      <c r="U7" s="77">
        <v>70</v>
      </c>
      <c r="V7" s="78">
        <v>70.257623120771541</v>
      </c>
      <c r="W7" s="76">
        <v>69.643416878769258</v>
      </c>
      <c r="X7" s="76">
        <v>69.452515276673921</v>
      </c>
      <c r="Y7" s="76">
        <v>69.786946574128947</v>
      </c>
      <c r="Z7" s="76">
        <v>70.157379246678857</v>
      </c>
      <c r="AA7" s="76">
        <v>70.52603753634682</v>
      </c>
      <c r="AB7" s="76">
        <v>69.533686786823637</v>
      </c>
      <c r="AC7" s="76">
        <v>70.076839615844307</v>
      </c>
      <c r="AD7" s="76">
        <v>69.552182757002029</v>
      </c>
      <c r="AE7" s="76">
        <v>69.719946190534415</v>
      </c>
      <c r="AF7" s="76">
        <v>69.382921907661824</v>
      </c>
      <c r="AG7" s="76">
        <v>69.54812133316689</v>
      </c>
      <c r="AH7" s="76">
        <v>69.507564268989526</v>
      </c>
      <c r="AI7" s="76">
        <v>69.608482871125616</v>
      </c>
      <c r="AJ7" s="76" t="e">
        <v>#DIV/0!</v>
      </c>
      <c r="AK7" s="76"/>
      <c r="AL7" s="77">
        <v>69.7579546037379</v>
      </c>
    </row>
    <row r="8" spans="1:38">
      <c r="A8" s="7">
        <v>4</v>
      </c>
      <c r="B8" s="68" t="s">
        <v>150</v>
      </c>
      <c r="C8" s="74" t="s">
        <v>148</v>
      </c>
      <c r="D8" s="76">
        <v>10.847320187859493</v>
      </c>
      <c r="E8" s="76">
        <v>10.6</v>
      </c>
      <c r="F8" s="76">
        <v>10.32</v>
      </c>
      <c r="G8" s="76">
        <v>10.226351662521875</v>
      </c>
      <c r="H8" s="76">
        <v>10.119549003127295</v>
      </c>
      <c r="I8" s="76">
        <v>10.147938101339722</v>
      </c>
      <c r="J8" s="76">
        <v>10.088839679024693</v>
      </c>
      <c r="K8" s="76">
        <v>10.191078151369597</v>
      </c>
      <c r="L8" s="76">
        <v>10.154017877649263</v>
      </c>
      <c r="M8" s="76">
        <v>10.202987548099298</v>
      </c>
      <c r="N8" s="76">
        <v>10.66773733047823</v>
      </c>
      <c r="O8" s="76">
        <v>10.69811372136088</v>
      </c>
      <c r="P8" s="76">
        <v>10.756899202758792</v>
      </c>
      <c r="Q8" s="77">
        <v>10.553847929369674</v>
      </c>
      <c r="R8" s="77">
        <v>10.575747521428289</v>
      </c>
      <c r="S8" s="77">
        <v>10.876510835101438</v>
      </c>
      <c r="T8" s="77">
        <v>10.786638925544231</v>
      </c>
      <c r="U8" s="77">
        <v>10.82</v>
      </c>
      <c r="V8" s="78">
        <v>10.91001817814583</v>
      </c>
      <c r="W8" s="76">
        <v>10.900957510472772</v>
      </c>
      <c r="X8" s="76">
        <v>10.891040911444847</v>
      </c>
      <c r="Y8" s="76">
        <v>10.900753811310549</v>
      </c>
      <c r="Z8" s="76">
        <v>10.950311808489237</v>
      </c>
      <c r="AA8" s="76">
        <v>10.991325398426468</v>
      </c>
      <c r="AB8" s="76">
        <v>10.995346432264736</v>
      </c>
      <c r="AC8" s="76">
        <v>10.978832215674322</v>
      </c>
      <c r="AD8" s="76">
        <v>10.909951190357605</v>
      </c>
      <c r="AE8" s="76">
        <v>10.982573726541554</v>
      </c>
      <c r="AF8" s="76">
        <v>10.976199690402476</v>
      </c>
      <c r="AG8" s="76">
        <v>10.956140059189305</v>
      </c>
      <c r="AH8" s="76">
        <v>10.852132974634896</v>
      </c>
      <c r="AI8" s="76">
        <v>10.78288770053476</v>
      </c>
      <c r="AJ8" s="76" t="e">
        <v>#DIV/0!</v>
      </c>
      <c r="AK8" s="76"/>
      <c r="AL8" s="77">
        <v>10.922443546906553</v>
      </c>
    </row>
    <row r="9" spans="1:38">
      <c r="A9" s="7">
        <v>5</v>
      </c>
      <c r="B9" s="68" t="s">
        <v>150</v>
      </c>
      <c r="C9" s="75" t="s">
        <v>149</v>
      </c>
      <c r="D9" s="76">
        <v>68.660521878352341</v>
      </c>
      <c r="E9" s="76">
        <v>67.55</v>
      </c>
      <c r="F9" s="76">
        <v>66.34</v>
      </c>
      <c r="G9" s="76">
        <v>65.615599643044987</v>
      </c>
      <c r="H9" s="76">
        <v>64.871290665970264</v>
      </c>
      <c r="I9" s="76">
        <v>65.160169029443836</v>
      </c>
      <c r="J9" s="76">
        <v>64.553731675284993</v>
      </c>
      <c r="K9" s="76">
        <v>64.949879643921832</v>
      </c>
      <c r="L9" s="76">
        <v>64.781249175783103</v>
      </c>
      <c r="M9" s="76">
        <v>65.380047030824613</v>
      </c>
      <c r="N9" s="76">
        <v>68.557154459917811</v>
      </c>
      <c r="O9" s="76">
        <v>69.072108757419755</v>
      </c>
      <c r="P9" s="76">
        <v>69.479488386511591</v>
      </c>
      <c r="Q9" s="77">
        <v>66.283755174227949</v>
      </c>
      <c r="R9" s="77">
        <v>66.06622656435448</v>
      </c>
      <c r="S9" s="77">
        <v>67.618081207245012</v>
      </c>
      <c r="T9" s="77">
        <v>68.963557539419639</v>
      </c>
      <c r="U9" s="136">
        <v>68.5</v>
      </c>
      <c r="V9" s="78">
        <v>68.499343736327845</v>
      </c>
      <c r="W9" s="76">
        <v>68.516243088380961</v>
      </c>
      <c r="X9" s="76">
        <v>68.502690518690315</v>
      </c>
      <c r="Y9" s="76">
        <v>68.506161745555289</v>
      </c>
      <c r="Z9" s="76">
        <v>68.837138720100157</v>
      </c>
      <c r="AA9" s="76">
        <v>68.582505695907756</v>
      </c>
      <c r="AB9" s="76">
        <v>68.661892246194782</v>
      </c>
      <c r="AC9" s="76">
        <v>68.693896060963098</v>
      </c>
      <c r="AD9" s="76">
        <v>68.54952276639024</v>
      </c>
      <c r="AE9" s="76">
        <v>68.554932641619942</v>
      </c>
      <c r="AF9" s="76">
        <v>68.540737787121955</v>
      </c>
      <c r="AG9" s="76">
        <v>68.548246161527899</v>
      </c>
      <c r="AH9" s="76">
        <v>68.514564402440953</v>
      </c>
      <c r="AI9" s="76">
        <v>68.529091897770527</v>
      </c>
      <c r="AJ9" s="76" t="e">
        <v>#DIV/0!</v>
      </c>
      <c r="AK9" s="76"/>
      <c r="AL9" s="77">
        <v>68.571614629105966</v>
      </c>
    </row>
    <row r="10" spans="1:38">
      <c r="A10" s="7">
        <v>6</v>
      </c>
      <c r="B10" s="68" t="s">
        <v>151</v>
      </c>
      <c r="C10" s="74" t="s">
        <v>152</v>
      </c>
      <c r="D10" s="79">
        <v>320.0005121584752</v>
      </c>
      <c r="E10" s="79">
        <v>319</v>
      </c>
      <c r="F10" s="79">
        <v>318</v>
      </c>
      <c r="G10" s="79">
        <v>324.61384047735834</v>
      </c>
      <c r="H10" s="79">
        <v>318.45093483008407</v>
      </c>
      <c r="I10" s="79">
        <v>309.01522822869606</v>
      </c>
      <c r="J10" s="79">
        <v>314.76865634500086</v>
      </c>
      <c r="K10" s="79">
        <v>312.49092194233282</v>
      </c>
      <c r="L10" s="79">
        <v>309.50467548267613</v>
      </c>
      <c r="M10" s="79">
        <v>302.41027250374725</v>
      </c>
      <c r="N10" s="79">
        <v>298.90326273055075</v>
      </c>
      <c r="O10" s="79">
        <v>299.81391706443918</v>
      </c>
      <c r="P10" s="79">
        <v>304.92819268604052</v>
      </c>
      <c r="Q10" s="80">
        <v>316.71280371863617</v>
      </c>
      <c r="R10" s="80">
        <v>318.99158586192118</v>
      </c>
      <c r="S10" s="80">
        <v>319.72036067804009</v>
      </c>
      <c r="T10" s="80">
        <v>320.08010572180882</v>
      </c>
      <c r="U10" s="75">
        <v>318</v>
      </c>
      <c r="V10" s="81">
        <v>321.01274028272957</v>
      </c>
      <c r="W10" s="79">
        <v>320.11736414142047</v>
      </c>
      <c r="X10" s="79">
        <v>320.97618357570281</v>
      </c>
      <c r="Y10" s="79">
        <v>320.70037289277832</v>
      </c>
      <c r="Z10" s="79">
        <v>319.89777562742688</v>
      </c>
      <c r="AA10" s="79">
        <v>320.72459343723961</v>
      </c>
      <c r="AB10" s="79">
        <v>320.81082928830244</v>
      </c>
      <c r="AC10" s="79">
        <v>320.47431886624594</v>
      </c>
      <c r="AD10" s="79">
        <v>320.89356002399484</v>
      </c>
      <c r="AE10" s="79">
        <v>320.52341626320401</v>
      </c>
      <c r="AF10" s="79">
        <v>319.95404112867413</v>
      </c>
      <c r="AG10" s="79">
        <v>320.45298455711207</v>
      </c>
      <c r="AH10" s="79">
        <v>320.7728299451436</v>
      </c>
      <c r="AI10" s="79">
        <v>320.1674808094906</v>
      </c>
      <c r="AJ10" s="79" t="e">
        <v>#DIV/0!</v>
      </c>
      <c r="AK10" s="79"/>
      <c r="AL10" s="80">
        <v>320.53214208430654</v>
      </c>
    </row>
    <row r="11" spans="1:38">
      <c r="A11" s="7">
        <v>7</v>
      </c>
      <c r="B11" s="68" t="s">
        <v>153</v>
      </c>
      <c r="C11" s="74" t="s">
        <v>148</v>
      </c>
      <c r="D11" s="76">
        <v>15.79848199679865</v>
      </c>
      <c r="E11" s="76">
        <v>15.69</v>
      </c>
      <c r="F11" s="76">
        <v>15.55</v>
      </c>
      <c r="G11" s="76">
        <v>15.585244542691351</v>
      </c>
      <c r="H11" s="76">
        <v>15.599426031515261</v>
      </c>
      <c r="I11" s="76">
        <v>15.573836367358389</v>
      </c>
      <c r="J11" s="76">
        <v>15.628592518513226</v>
      </c>
      <c r="K11" s="76">
        <v>15.690680578995197</v>
      </c>
      <c r="L11" s="76">
        <v>15.67431626719093</v>
      </c>
      <c r="M11" s="76">
        <v>15.605659542106039</v>
      </c>
      <c r="N11" s="76">
        <v>15.560356048200864</v>
      </c>
      <c r="O11" s="76">
        <v>15.488326495043752</v>
      </c>
      <c r="P11" s="76">
        <v>15.482122065894607</v>
      </c>
      <c r="Q11" s="77">
        <v>15.922223931985613</v>
      </c>
      <c r="R11" s="77">
        <v>16.007797132361656</v>
      </c>
      <c r="S11" s="77">
        <v>16.085210702394292</v>
      </c>
      <c r="T11" s="77">
        <v>15.64107089367972</v>
      </c>
      <c r="U11" s="77">
        <v>15.8</v>
      </c>
      <c r="V11" s="78">
        <v>15.927186426984447</v>
      </c>
      <c r="W11" s="76">
        <v>15.910033911829244</v>
      </c>
      <c r="X11" s="76">
        <v>15.898705334023822</v>
      </c>
      <c r="Y11" s="76">
        <v>15.91207788256769</v>
      </c>
      <c r="Z11" s="76">
        <v>15.907563870448602</v>
      </c>
      <c r="AA11" s="76">
        <v>16.026427274561225</v>
      </c>
      <c r="AB11" s="76">
        <v>16.013753877973112</v>
      </c>
      <c r="AC11" s="76">
        <v>15.982252929621351</v>
      </c>
      <c r="AD11" s="76">
        <v>15.915429823687619</v>
      </c>
      <c r="AE11" s="76">
        <v>16.020107238605899</v>
      </c>
      <c r="AF11" s="76">
        <v>16.014125386996906</v>
      </c>
      <c r="AG11" s="76">
        <v>15.983107771090348</v>
      </c>
      <c r="AH11" s="76">
        <v>15.839162182936203</v>
      </c>
      <c r="AI11" s="76">
        <v>15.73475935828877</v>
      </c>
      <c r="AJ11" s="76" t="e">
        <v>#DIV/0!</v>
      </c>
      <c r="AK11" s="76"/>
      <c r="AL11" s="77">
        <v>15.928520286396182</v>
      </c>
    </row>
    <row r="12" spans="1:38">
      <c r="A12" s="7">
        <v>8</v>
      </c>
      <c r="B12" s="68" t="s">
        <v>154</v>
      </c>
      <c r="C12" s="74" t="s">
        <v>146</v>
      </c>
      <c r="D12" s="76">
        <v>68.546313909760997</v>
      </c>
      <c r="E12" s="76">
        <v>74.28</v>
      </c>
      <c r="F12" s="76">
        <v>76.430000000000007</v>
      </c>
      <c r="G12" s="76">
        <v>74.429621673338417</v>
      </c>
      <c r="H12" s="76">
        <v>75.851588209790108</v>
      </c>
      <c r="I12" s="76">
        <v>74.250801395957126</v>
      </c>
      <c r="J12" s="76">
        <v>78.358787061054045</v>
      </c>
      <c r="K12" s="76">
        <v>84.696346907986836</v>
      </c>
      <c r="L12" s="76">
        <v>88.700791018880182</v>
      </c>
      <c r="M12" s="76">
        <v>80.694406531215151</v>
      </c>
      <c r="N12" s="76">
        <v>81.240174683186154</v>
      </c>
      <c r="O12" s="76">
        <v>87.659131101486793</v>
      </c>
      <c r="P12" s="76">
        <v>89.180622034881026</v>
      </c>
      <c r="Q12" s="77">
        <v>90.82</v>
      </c>
      <c r="R12" s="77">
        <v>90.82</v>
      </c>
      <c r="S12" s="77">
        <v>88.628518012150437</v>
      </c>
      <c r="T12" s="77">
        <v>88.18</v>
      </c>
      <c r="U12" s="77">
        <v>90</v>
      </c>
      <c r="V12" s="78">
        <v>89.999708122938614</v>
      </c>
      <c r="W12" s="76">
        <v>88.983799195442771</v>
      </c>
      <c r="X12" s="76">
        <v>88.299982079923538</v>
      </c>
      <c r="Y12" s="76">
        <v>89.100117583177408</v>
      </c>
      <c r="Z12" s="76">
        <v>87.99988585452158</v>
      </c>
      <c r="AA12" s="76">
        <v>88.540274158830854</v>
      </c>
      <c r="AB12" s="76">
        <v>86.303628447024678</v>
      </c>
      <c r="AC12" s="76">
        <v>87.624354729439602</v>
      </c>
      <c r="AD12" s="76">
        <v>86.878875803606988</v>
      </c>
      <c r="AE12" s="76">
        <v>91.517599198160482</v>
      </c>
      <c r="AF12" s="76">
        <v>91.481940098840226</v>
      </c>
      <c r="AG12" s="76">
        <v>89.956068845743118</v>
      </c>
      <c r="AH12" s="76">
        <v>88.999955548640898</v>
      </c>
      <c r="AI12" s="76">
        <v>90.500273713546335</v>
      </c>
      <c r="AJ12" s="76" t="e">
        <v>#DIV/0!</v>
      </c>
      <c r="AK12" s="76"/>
      <c r="AL12" s="76">
        <v>89.039272511344024</v>
      </c>
    </row>
    <row r="13" spans="1:38">
      <c r="A13" s="7">
        <v>9</v>
      </c>
      <c r="B13" s="68" t="s">
        <v>155</v>
      </c>
      <c r="C13" s="74" t="s">
        <v>146</v>
      </c>
      <c r="D13" s="76">
        <v>8.6308333333333334</v>
      </c>
      <c r="E13" s="76">
        <v>8.7200000000000006</v>
      </c>
      <c r="F13" s="76">
        <v>8.4</v>
      </c>
      <c r="G13" s="76">
        <v>8.4</v>
      </c>
      <c r="H13" s="76">
        <v>8.1958333333333329</v>
      </c>
      <c r="I13" s="76">
        <v>8.1091666666666669</v>
      </c>
      <c r="J13" s="76">
        <v>8.2008333333333336</v>
      </c>
      <c r="K13" s="76">
        <v>7.9666666666666668</v>
      </c>
      <c r="L13" s="76">
        <v>8.2916666666666661</v>
      </c>
      <c r="M13" s="76">
        <v>9.0250000000000004</v>
      </c>
      <c r="N13" s="76">
        <v>8.9833333333333343</v>
      </c>
      <c r="O13" s="76">
        <v>9.1166666666666654</v>
      </c>
      <c r="P13" s="76">
        <v>8.9499999999999993</v>
      </c>
      <c r="Q13" s="77">
        <v>8.35</v>
      </c>
      <c r="R13" s="77">
        <v>8.2750000000000004</v>
      </c>
      <c r="S13" s="77">
        <v>8.4583333333333321</v>
      </c>
      <c r="T13" s="77">
        <v>8.2583333333333329</v>
      </c>
      <c r="U13" s="77">
        <v>8.4</v>
      </c>
      <c r="V13" s="78">
        <v>7.9</v>
      </c>
      <c r="W13" s="76">
        <v>7.8</v>
      </c>
      <c r="X13" s="76">
        <v>7.9</v>
      </c>
      <c r="Y13" s="76">
        <v>7.8666666666666671</v>
      </c>
      <c r="Z13" s="76">
        <v>7.9</v>
      </c>
      <c r="AA13" s="76">
        <v>7.8</v>
      </c>
      <c r="AB13" s="76">
        <v>7.9</v>
      </c>
      <c r="AC13" s="76">
        <v>7.8666666666666671</v>
      </c>
      <c r="AD13" s="76">
        <v>7.9</v>
      </c>
      <c r="AE13" s="76">
        <v>7.9</v>
      </c>
      <c r="AF13" s="76">
        <v>7.87</v>
      </c>
      <c r="AG13" s="76">
        <v>7.8900000000000006</v>
      </c>
      <c r="AH13" s="76">
        <v>8</v>
      </c>
      <c r="AI13" s="76">
        <v>7.9</v>
      </c>
      <c r="AJ13" s="76" t="e">
        <v>#DIV/0!</v>
      </c>
      <c r="AK13" s="76"/>
      <c r="AL13" s="77">
        <v>7.8881818181818177</v>
      </c>
    </row>
    <row r="14" spans="1:38">
      <c r="A14" s="7">
        <v>10</v>
      </c>
      <c r="B14" s="68" t="s">
        <v>156</v>
      </c>
      <c r="C14" s="74" t="s">
        <v>157</v>
      </c>
      <c r="D14" s="79">
        <v>4450.5</v>
      </c>
      <c r="E14" s="79">
        <v>4386</v>
      </c>
      <c r="F14" s="79">
        <v>4378</v>
      </c>
      <c r="G14" s="79">
        <v>4343.166666666667</v>
      </c>
      <c r="H14" s="79">
        <v>4370.25</v>
      </c>
      <c r="I14" s="79">
        <v>4373.5</v>
      </c>
      <c r="J14" s="79">
        <v>4373.166666666667</v>
      </c>
      <c r="K14" s="79">
        <v>4362.583333333333</v>
      </c>
      <c r="L14" s="79">
        <v>4327.5</v>
      </c>
      <c r="M14" s="79">
        <v>4388.916666666667</v>
      </c>
      <c r="N14" s="79">
        <v>4411.416666666667</v>
      </c>
      <c r="O14" s="79">
        <v>4339.583333333333</v>
      </c>
      <c r="P14" s="79">
        <v>4281.583333333333</v>
      </c>
      <c r="Q14" s="80">
        <v>4284.416666666667</v>
      </c>
      <c r="R14" s="80">
        <v>4282.416666666667</v>
      </c>
      <c r="S14" s="80">
        <v>4269.4254345837144</v>
      </c>
      <c r="T14" s="80">
        <v>4254.1110326428125</v>
      </c>
      <c r="U14" s="75">
        <v>4200</v>
      </c>
      <c r="V14" s="81">
        <v>4251</v>
      </c>
      <c r="W14" s="79">
        <v>4251</v>
      </c>
      <c r="X14" s="79">
        <v>4253</v>
      </c>
      <c r="Y14" s="79">
        <v>4251.666666666667</v>
      </c>
      <c r="Z14" s="79">
        <v>4256</v>
      </c>
      <c r="AA14" s="79">
        <v>4244</v>
      </c>
      <c r="AB14" s="79">
        <v>4248</v>
      </c>
      <c r="AC14" s="79">
        <v>4249.333333333333</v>
      </c>
      <c r="AD14" s="79">
        <v>4243</v>
      </c>
      <c r="AE14" s="79">
        <v>4228.9026036644163</v>
      </c>
      <c r="AF14" s="79">
        <v>4250.2580645161297</v>
      </c>
      <c r="AG14" s="79">
        <v>4240.720222726849</v>
      </c>
      <c r="AH14" s="79">
        <v>4247</v>
      </c>
      <c r="AI14" s="79">
        <v>4245</v>
      </c>
      <c r="AJ14" s="79" t="e">
        <v>#DIV/0!</v>
      </c>
      <c r="AK14" s="79"/>
      <c r="AL14" s="80">
        <v>4247.0146061982314</v>
      </c>
    </row>
    <row r="15" spans="1:38">
      <c r="A15" s="7">
        <v>11</v>
      </c>
      <c r="B15" s="68" t="s">
        <v>158</v>
      </c>
      <c r="C15" s="74" t="s">
        <v>146</v>
      </c>
      <c r="D15" s="76">
        <v>4.3250000000000002</v>
      </c>
      <c r="E15" s="76">
        <v>4.88</v>
      </c>
      <c r="F15" s="76">
        <v>5.2</v>
      </c>
      <c r="G15" s="82">
        <v>5.5</v>
      </c>
      <c r="H15" s="82">
        <v>5.2750000000000004</v>
      </c>
      <c r="I15" s="82">
        <v>5.2166666666666659</v>
      </c>
      <c r="J15" s="82">
        <v>5.0333333333333323</v>
      </c>
      <c r="K15" s="82">
        <v>5.1833333333333336</v>
      </c>
      <c r="L15" s="82">
        <v>6.4083333333333323</v>
      </c>
      <c r="M15" s="82">
        <v>4.7666666666666666</v>
      </c>
      <c r="N15" s="76">
        <v>4.5749999999999993</v>
      </c>
      <c r="O15" s="76">
        <v>4.3999999999999995</v>
      </c>
      <c r="P15" s="76">
        <v>4.7</v>
      </c>
      <c r="Q15" s="77">
        <v>4.9083333333333332</v>
      </c>
      <c r="R15" s="77">
        <v>4.8416666666666668</v>
      </c>
      <c r="S15" s="77">
        <v>5.0668344007319313</v>
      </c>
      <c r="T15" s="77">
        <v>5.1583333333333332</v>
      </c>
      <c r="U15" s="77">
        <v>5.5</v>
      </c>
      <c r="V15" s="78">
        <v>5.2</v>
      </c>
      <c r="W15" s="76">
        <v>5.2</v>
      </c>
      <c r="X15" s="76">
        <v>5.0999999999999996</v>
      </c>
      <c r="Y15" s="76">
        <v>5.166666666666667</v>
      </c>
      <c r="Z15" s="76">
        <v>5.0999999999999996</v>
      </c>
      <c r="AA15" s="76">
        <v>5.2</v>
      </c>
      <c r="AB15" s="76">
        <v>5.0999999999999996</v>
      </c>
      <c r="AC15" s="76">
        <v>5.1333333333333337</v>
      </c>
      <c r="AD15" s="76">
        <v>5.0999999999999996</v>
      </c>
      <c r="AE15" s="76">
        <v>5.4174541947926711</v>
      </c>
      <c r="AF15" s="76">
        <v>5.1337760910815939</v>
      </c>
      <c r="AG15" s="76">
        <v>5.2170767619580873</v>
      </c>
      <c r="AH15" s="76">
        <v>5.2</v>
      </c>
      <c r="AI15" s="76">
        <v>5.2</v>
      </c>
      <c r="AJ15" s="76" t="e">
        <v>#DIV/0!</v>
      </c>
      <c r="AK15" s="76"/>
      <c r="AL15" s="77">
        <v>5.177384571443115</v>
      </c>
    </row>
    <row r="16" spans="1:38">
      <c r="A16" s="7"/>
      <c r="B16" s="73" t="s">
        <v>159</v>
      </c>
      <c r="C16" s="74"/>
      <c r="D16" s="76"/>
      <c r="E16" s="76"/>
      <c r="F16" s="76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3"/>
      <c r="R16" s="83"/>
      <c r="S16" s="83"/>
      <c r="T16" s="83"/>
      <c r="U16" s="77"/>
      <c r="V16" s="84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3"/>
    </row>
    <row r="17" spans="1:38">
      <c r="A17" s="7">
        <v>1</v>
      </c>
      <c r="B17" s="68" t="s">
        <v>153</v>
      </c>
      <c r="C17" s="74" t="s">
        <v>148</v>
      </c>
      <c r="D17" s="76"/>
      <c r="E17" s="76"/>
      <c r="F17" s="76"/>
      <c r="G17" s="82"/>
      <c r="H17" s="82"/>
      <c r="I17" s="82"/>
      <c r="J17" s="82">
        <v>30.012472017908539</v>
      </c>
      <c r="K17" s="76">
        <v>29.953559499376233</v>
      </c>
      <c r="L17" s="76">
        <v>29.274853161139688</v>
      </c>
      <c r="M17" s="76">
        <v>29.954111852359873</v>
      </c>
      <c r="N17" s="76">
        <v>30.562756052141527</v>
      </c>
      <c r="O17" s="76">
        <v>30.159059987631416</v>
      </c>
      <c r="P17" s="76">
        <v>30.353610650960182</v>
      </c>
      <c r="Q17" s="77">
        <v>30.650552310817673</v>
      </c>
      <c r="R17" s="77">
        <v>30.598272799657011</v>
      </c>
      <c r="S17" s="77">
        <v>30.788719975676496</v>
      </c>
      <c r="T17" s="77">
        <v>30.77809262644729</v>
      </c>
      <c r="U17" s="77">
        <v>30.5</v>
      </c>
      <c r="V17" s="78">
        <v>30.561164333087692</v>
      </c>
      <c r="W17" s="76">
        <v>30.120973782771536</v>
      </c>
      <c r="X17" s="76">
        <v>30.05779918488329</v>
      </c>
      <c r="Y17" s="76">
        <v>30.247680316714092</v>
      </c>
      <c r="Z17" s="76">
        <v>30.042369838420107</v>
      </c>
      <c r="AA17" s="76">
        <v>30.148736462093861</v>
      </c>
      <c r="AB17" s="76">
        <v>30.037556904400606</v>
      </c>
      <c r="AC17" s="76">
        <v>30.076791600537174</v>
      </c>
      <c r="AD17" s="76">
        <v>30.228127259580621</v>
      </c>
      <c r="AE17" s="76">
        <v>30.327077747989275</v>
      </c>
      <c r="AF17" s="76">
        <v>30.220146520146521</v>
      </c>
      <c r="AG17" s="76">
        <v>30.257308498828174</v>
      </c>
      <c r="AH17" s="76">
        <v>30.161946259985477</v>
      </c>
      <c r="AI17" s="76">
        <v>30.313257881972515</v>
      </c>
      <c r="AJ17" s="76" t="e">
        <v>#DIV/0!</v>
      </c>
      <c r="AK17" s="76"/>
      <c r="AL17" s="77">
        <v>30.200547130939917</v>
      </c>
    </row>
    <row r="18" spans="1:38">
      <c r="A18" s="7">
        <v>2</v>
      </c>
      <c r="B18" s="68" t="s">
        <v>145</v>
      </c>
      <c r="C18" s="75" t="s">
        <v>146</v>
      </c>
      <c r="D18" s="76"/>
      <c r="E18" s="76"/>
      <c r="F18" s="76"/>
      <c r="G18" s="82"/>
      <c r="H18" s="82"/>
      <c r="I18" s="82"/>
      <c r="J18" s="82">
        <v>75.510000000000005</v>
      </c>
      <c r="K18" s="76">
        <v>75.384782807302273</v>
      </c>
      <c r="L18" s="76">
        <v>75.702377584730812</v>
      </c>
      <c r="M18" s="76">
        <v>74.942447870050827</v>
      </c>
      <c r="N18" s="76">
        <v>75.436768582720987</v>
      </c>
      <c r="O18" s="76">
        <v>75.993598156137736</v>
      </c>
      <c r="P18" s="76">
        <v>76.761124928875844</v>
      </c>
      <c r="Q18" s="77">
        <v>76.691434992207036</v>
      </c>
      <c r="R18" s="77">
        <v>77.10257457293956</v>
      </c>
      <c r="S18" s="77">
        <v>77.373521317031404</v>
      </c>
      <c r="T18" s="77">
        <v>77.408410938318269</v>
      </c>
      <c r="U18" s="77">
        <v>77.5</v>
      </c>
      <c r="V18" s="78">
        <v>77.407376149886062</v>
      </c>
      <c r="W18" s="76">
        <v>77.50767815177251</v>
      </c>
      <c r="X18" s="76">
        <v>77.411680595616701</v>
      </c>
      <c r="Y18" s="76">
        <v>77.441797686631872</v>
      </c>
      <c r="Z18" s="76">
        <v>77.523067361476322</v>
      </c>
      <c r="AA18" s="76">
        <v>77.619982756969065</v>
      </c>
      <c r="AB18" s="76">
        <v>77.261647659101527</v>
      </c>
      <c r="AC18" s="76">
        <v>77.471900762708074</v>
      </c>
      <c r="AD18" s="76">
        <v>77.496980062431973</v>
      </c>
      <c r="AE18" s="76">
        <v>77.098908870478894</v>
      </c>
      <c r="AF18" s="76">
        <v>77.220882171125197</v>
      </c>
      <c r="AG18" s="76">
        <v>77.275618028830479</v>
      </c>
      <c r="AH18" s="76">
        <v>77.794765608070691</v>
      </c>
      <c r="AI18" s="76">
        <v>77.145143009533967</v>
      </c>
      <c r="AJ18" s="76" t="e">
        <v>#DIV/0!</v>
      </c>
      <c r="AK18" s="76"/>
      <c r="AL18" s="77">
        <v>77.412414113942177</v>
      </c>
    </row>
    <row r="19" spans="1:38">
      <c r="A19" s="7">
        <v>3</v>
      </c>
      <c r="B19" s="68" t="s">
        <v>145</v>
      </c>
      <c r="C19" s="74" t="s">
        <v>148</v>
      </c>
      <c r="D19" s="76"/>
      <c r="E19" s="76"/>
      <c r="F19" s="76"/>
      <c r="G19" s="82"/>
      <c r="H19" s="82"/>
      <c r="I19" s="82"/>
      <c r="J19" s="82">
        <v>22.66</v>
      </c>
      <c r="K19" s="76">
        <v>22.580425771660831</v>
      </c>
      <c r="L19" s="76">
        <v>22.161759877421474</v>
      </c>
      <c r="M19" s="76">
        <v>22.448344659891514</v>
      </c>
      <c r="N19" s="76">
        <v>23.055555555555557</v>
      </c>
      <c r="O19" s="76">
        <v>22.918954854669142</v>
      </c>
      <c r="P19" s="76">
        <v>23.299772992208112</v>
      </c>
      <c r="Q19" s="77">
        <v>23.506348400203148</v>
      </c>
      <c r="R19" s="77">
        <v>23.592056103387026</v>
      </c>
      <c r="S19" s="77">
        <v>23.82231681362116</v>
      </c>
      <c r="T19" s="77">
        <v>23.824832419256552</v>
      </c>
      <c r="U19" s="77">
        <v>23.63</v>
      </c>
      <c r="V19" s="78">
        <v>23.656595431098012</v>
      </c>
      <c r="W19" s="76">
        <v>23.346067415730339</v>
      </c>
      <c r="X19" s="76">
        <v>23.26824749907373</v>
      </c>
      <c r="Y19" s="76">
        <v>23.424347395768898</v>
      </c>
      <c r="Z19" s="76">
        <v>23.289766606822262</v>
      </c>
      <c r="AA19" s="76">
        <v>23.401444043321298</v>
      </c>
      <c r="AB19" s="76">
        <v>23.207511380880121</v>
      </c>
      <c r="AC19" s="76">
        <v>23.301062141374679</v>
      </c>
      <c r="AD19" s="76">
        <v>23.425885755603758</v>
      </c>
      <c r="AE19" s="76">
        <v>23.381846036001534</v>
      </c>
      <c r="AF19" s="76">
        <v>23.336263736263735</v>
      </c>
      <c r="AG19" s="76">
        <v>23.381522141359319</v>
      </c>
      <c r="AH19" s="76">
        <v>23.464415395787945</v>
      </c>
      <c r="AI19" s="76">
        <v>23.385206143896525</v>
      </c>
      <c r="AJ19" s="76" t="e">
        <v>#DIV/0!</v>
      </c>
      <c r="AK19" s="76"/>
      <c r="AL19" s="77">
        <v>23.37897260967949</v>
      </c>
    </row>
    <row r="20" spans="1:38">
      <c r="A20" s="7">
        <v>4</v>
      </c>
      <c r="B20" s="68" t="s">
        <v>160</v>
      </c>
      <c r="C20" s="74" t="s">
        <v>148</v>
      </c>
      <c r="D20" s="76"/>
      <c r="E20" s="76"/>
      <c r="F20" s="76"/>
      <c r="G20" s="82"/>
      <c r="H20" s="82"/>
      <c r="I20" s="82"/>
      <c r="J20" s="82">
        <v>18.88</v>
      </c>
      <c r="K20" s="76">
        <v>19.160730814117269</v>
      </c>
      <c r="L20" s="76">
        <v>18.906497391558133</v>
      </c>
      <c r="M20" s="76">
        <v>19.191096701789387</v>
      </c>
      <c r="N20" s="76">
        <v>19.678957169459963</v>
      </c>
      <c r="O20" s="76">
        <v>19.619264069264069</v>
      </c>
      <c r="P20" s="76">
        <v>19.78541628320756</v>
      </c>
      <c r="Q20" s="77">
        <v>19.489366429659725</v>
      </c>
      <c r="R20" s="77">
        <v>19.608348134991118</v>
      </c>
      <c r="S20" s="77">
        <v>20.073882639100031</v>
      </c>
      <c r="T20" s="77">
        <v>20.738543570993297</v>
      </c>
      <c r="U20" s="77">
        <v>20.37</v>
      </c>
      <c r="V20" s="78">
        <v>20.416728076639647</v>
      </c>
      <c r="W20" s="76">
        <v>20.120224719101124</v>
      </c>
      <c r="X20" s="76">
        <v>20.08188217858466</v>
      </c>
      <c r="Y20" s="76">
        <v>20.206977607324013</v>
      </c>
      <c r="Z20" s="76">
        <v>20.140754039497306</v>
      </c>
      <c r="AA20" s="76">
        <v>20.220938628158844</v>
      </c>
      <c r="AB20" s="76">
        <v>20.089529590288315</v>
      </c>
      <c r="AC20" s="76">
        <v>20.151385667195704</v>
      </c>
      <c r="AD20" s="76">
        <v>20.193781634128705</v>
      </c>
      <c r="AE20" s="76">
        <v>20.260436614324014</v>
      </c>
      <c r="AF20" s="76">
        <v>20.195238095238096</v>
      </c>
      <c r="AG20" s="76">
        <v>20.215739484396202</v>
      </c>
      <c r="AH20" s="76">
        <v>20.17356572258533</v>
      </c>
      <c r="AI20" s="76">
        <v>20.226354082457558</v>
      </c>
      <c r="AJ20" s="76" t="e">
        <v>#DIV/0!</v>
      </c>
      <c r="AK20" s="76"/>
      <c r="AL20" s="77">
        <v>20.192509034415213</v>
      </c>
    </row>
    <row r="21" spans="1:38">
      <c r="A21" s="7">
        <v>5</v>
      </c>
      <c r="B21" s="68" t="s">
        <v>150</v>
      </c>
      <c r="C21" s="75" t="s">
        <v>149</v>
      </c>
      <c r="D21" s="76"/>
      <c r="E21" s="76"/>
      <c r="F21" s="76"/>
      <c r="G21" s="82"/>
      <c r="H21" s="82"/>
      <c r="I21" s="82"/>
      <c r="J21" s="76">
        <v>62.91</v>
      </c>
      <c r="K21" s="76">
        <v>63.968126440920258</v>
      </c>
      <c r="L21" s="76">
        <v>64.582723224911618</v>
      </c>
      <c r="M21" s="76">
        <v>64.06832155925683</v>
      </c>
      <c r="N21" s="76">
        <v>64.388686464946815</v>
      </c>
      <c r="O21" s="76">
        <v>65.052637838547227</v>
      </c>
      <c r="P21" s="76">
        <v>65.183073311186732</v>
      </c>
      <c r="Q21" s="77">
        <v>63.585694091330389</v>
      </c>
      <c r="R21" s="77">
        <v>64.08318620916053</v>
      </c>
      <c r="S21" s="77">
        <v>65.198821694954091</v>
      </c>
      <c r="T21" s="77">
        <v>67.380860219950364</v>
      </c>
      <c r="U21" s="77">
        <v>66.8</v>
      </c>
      <c r="V21" s="78">
        <v>66.806119865449759</v>
      </c>
      <c r="W21" s="76">
        <v>66.798055282692758</v>
      </c>
      <c r="X21" s="76">
        <v>66.810886768730128</v>
      </c>
      <c r="Y21" s="76">
        <v>66.805048835953727</v>
      </c>
      <c r="Z21" s="76">
        <v>67.041162690634408</v>
      </c>
      <c r="AA21" s="76">
        <v>67.070600632244464</v>
      </c>
      <c r="AB21" s="76">
        <v>66.881370060243256</v>
      </c>
      <c r="AC21" s="76">
        <v>66.99978486680007</v>
      </c>
      <c r="AD21" s="76">
        <v>66.804607049311699</v>
      </c>
      <c r="AE21" s="76">
        <v>66.806425540513231</v>
      </c>
      <c r="AF21" s="76">
        <v>66.827068762802881</v>
      </c>
      <c r="AG21" s="76">
        <v>66.812748679146821</v>
      </c>
      <c r="AH21" s="76">
        <v>66.884164399393256</v>
      </c>
      <c r="AI21" s="76">
        <v>66.724448296553106</v>
      </c>
      <c r="AJ21" s="76" t="e">
        <v>#DIV/0!</v>
      </c>
      <c r="AK21" s="76"/>
      <c r="AL21" s="77">
        <v>66.861401374176921</v>
      </c>
    </row>
    <row r="22" spans="1:38">
      <c r="A22" s="7">
        <v>6</v>
      </c>
      <c r="B22" s="68" t="s">
        <v>161</v>
      </c>
      <c r="C22" s="74" t="s">
        <v>148</v>
      </c>
      <c r="D22" s="76"/>
      <c r="E22" s="76"/>
      <c r="F22" s="76"/>
      <c r="G22" s="82"/>
      <c r="H22" s="82"/>
      <c r="I22" s="82"/>
      <c r="J22" s="82">
        <v>3.78</v>
      </c>
      <c r="K22" s="76">
        <v>3.4196949575435633</v>
      </c>
      <c r="L22" s="76">
        <v>3.2552624858633394</v>
      </c>
      <c r="M22" s="76">
        <v>3.2572479581021261</v>
      </c>
      <c r="N22" s="76">
        <v>3.3759776536312849</v>
      </c>
      <c r="O22" s="76">
        <v>3.2996907854050712</v>
      </c>
      <c r="P22" s="76">
        <v>3.5143873857291856</v>
      </c>
      <c r="Q22" s="77">
        <v>4.017013712544439</v>
      </c>
      <c r="R22" s="77">
        <v>3.9837079683959087</v>
      </c>
      <c r="S22" s="77">
        <v>3.7484341745211309</v>
      </c>
      <c r="T22" s="77">
        <v>3.086288848263254</v>
      </c>
      <c r="U22" s="77">
        <v>3.26</v>
      </c>
      <c r="V22" s="78">
        <v>3.2398673544583638</v>
      </c>
      <c r="W22" s="76">
        <v>3.2258426966292135</v>
      </c>
      <c r="X22" s="76">
        <v>3.1863653204890698</v>
      </c>
      <c r="Y22" s="76">
        <v>3.2173697884448842</v>
      </c>
      <c r="Z22" s="76">
        <v>3.1490125673249549</v>
      </c>
      <c r="AA22" s="76">
        <v>3.1805054151624548</v>
      </c>
      <c r="AB22" s="76">
        <v>3.1183611532625188</v>
      </c>
      <c r="AC22" s="76">
        <v>3.1497985593944575</v>
      </c>
      <c r="AD22" s="76">
        <v>3.2321041214750541</v>
      </c>
      <c r="AE22" s="76">
        <v>3.1214094216775181</v>
      </c>
      <c r="AF22" s="76">
        <v>3.141025641025641</v>
      </c>
      <c r="AG22" s="76">
        <v>3.1657826569631182</v>
      </c>
      <c r="AH22" s="76">
        <v>3.2908496732026142</v>
      </c>
      <c r="AI22" s="76">
        <v>3.158852061438965</v>
      </c>
      <c r="AJ22" s="76" t="e">
        <v>#DIV/0!</v>
      </c>
      <c r="AK22" s="76"/>
      <c r="AL22" s="77">
        <v>3.1864973487790875</v>
      </c>
    </row>
    <row r="23" spans="1:38">
      <c r="A23" s="7">
        <v>7</v>
      </c>
      <c r="B23" s="68" t="s">
        <v>161</v>
      </c>
      <c r="C23" s="75" t="s">
        <v>149</v>
      </c>
      <c r="D23" s="76"/>
      <c r="E23" s="76"/>
      <c r="F23" s="76"/>
      <c r="G23" s="82"/>
      <c r="H23" s="82"/>
      <c r="I23" s="82"/>
      <c r="J23" s="82">
        <v>12.6</v>
      </c>
      <c r="K23" s="76">
        <v>11.416656366382021</v>
      </c>
      <c r="L23" s="76">
        <v>11.119654359819204</v>
      </c>
      <c r="M23" s="76">
        <v>10.87412631079399</v>
      </c>
      <c r="N23" s="76">
        <v>11.046051108321858</v>
      </c>
      <c r="O23" s="76">
        <v>10.940960317590513</v>
      </c>
      <c r="P23" s="76">
        <v>11.57815268220163</v>
      </c>
      <c r="Q23" s="77">
        <v>13.105844461819668</v>
      </c>
      <c r="R23" s="77">
        <v>13.019388363779031</v>
      </c>
      <c r="S23" s="77">
        <v>12.17469962207732</v>
      </c>
      <c r="T23" s="77">
        <v>10.027550718367904</v>
      </c>
      <c r="U23" s="77">
        <v>10.7</v>
      </c>
      <c r="V23" s="78">
        <v>10.6012562844363</v>
      </c>
      <c r="W23" s="76">
        <v>10.709622869079741</v>
      </c>
      <c r="X23" s="76">
        <v>10.600793826886571</v>
      </c>
      <c r="Y23" s="76">
        <v>10.63674885067814</v>
      </c>
      <c r="Z23" s="76">
        <v>10.481904670841899</v>
      </c>
      <c r="AA23" s="76">
        <v>10.549382124724591</v>
      </c>
      <c r="AB23" s="76">
        <v>10.381540559996969</v>
      </c>
      <c r="AC23" s="76">
        <v>10.472521807605974</v>
      </c>
      <c r="AD23" s="76">
        <v>10.692373013120283</v>
      </c>
      <c r="AE23" s="76">
        <v>10.29248332996565</v>
      </c>
      <c r="AF23" s="76">
        <v>10.393813408322323</v>
      </c>
      <c r="AG23" s="76">
        <v>10.462869349683647</v>
      </c>
      <c r="AH23" s="76">
        <v>10.910601208677436</v>
      </c>
      <c r="AI23" s="76">
        <v>10.420694712980866</v>
      </c>
      <c r="AJ23" s="76" t="e">
        <v>#DIV/0!</v>
      </c>
      <c r="AK23" s="76"/>
      <c r="AL23" s="77">
        <v>10.551124570569712</v>
      </c>
    </row>
    <row r="24" spans="1:38">
      <c r="A24" s="7">
        <v>8</v>
      </c>
      <c r="B24" s="68" t="s">
        <v>154</v>
      </c>
      <c r="C24" s="74" t="s">
        <v>146</v>
      </c>
      <c r="D24" s="76"/>
      <c r="E24" s="76"/>
      <c r="F24" s="76"/>
      <c r="G24" s="82"/>
      <c r="H24" s="82"/>
      <c r="I24" s="82"/>
      <c r="J24" s="82">
        <v>98.36</v>
      </c>
      <c r="K24" s="76">
        <v>93.648935544289401</v>
      </c>
      <c r="L24" s="76">
        <v>95.782955919384023</v>
      </c>
      <c r="M24" s="76">
        <v>93.389879276437298</v>
      </c>
      <c r="N24" s="76">
        <v>92.587636229579957</v>
      </c>
      <c r="O24" s="76">
        <v>92.166045340427786</v>
      </c>
      <c r="P24" s="76">
        <v>92.344960157358884</v>
      </c>
      <c r="Q24" s="77">
        <v>94.212169624331295</v>
      </c>
      <c r="R24" s="77">
        <v>91.017744940479133</v>
      </c>
      <c r="S24" s="77">
        <v>91.537451099253857</v>
      </c>
      <c r="T24" s="77">
        <v>91.601959512585736</v>
      </c>
      <c r="U24" s="77">
        <v>90</v>
      </c>
      <c r="V24" s="78">
        <v>92.099561147834891</v>
      </c>
      <c r="W24" s="76">
        <v>90.523473963576464</v>
      </c>
      <c r="X24" s="76">
        <v>89.500140567894292</v>
      </c>
      <c r="Y24" s="76">
        <v>90.71914989149144</v>
      </c>
      <c r="Z24" s="76">
        <v>89.999674997562479</v>
      </c>
      <c r="AA24" s="76">
        <v>89.000378030998533</v>
      </c>
      <c r="AB24" s="76">
        <v>88.567697984672151</v>
      </c>
      <c r="AC24" s="76">
        <v>89.198694347668393</v>
      </c>
      <c r="AD24" s="76">
        <v>87.107307124880677</v>
      </c>
      <c r="AE24" s="76">
        <v>92.668019769055235</v>
      </c>
      <c r="AF24" s="76">
        <v>91.92699697110389</v>
      </c>
      <c r="AG24" s="76">
        <v>90.52002386484493</v>
      </c>
      <c r="AH24" s="76">
        <v>90.000109913058765</v>
      </c>
      <c r="AI24" s="76">
        <v>89.999265551937725</v>
      </c>
      <c r="AJ24" s="76" t="e">
        <v>#DIV/0!</v>
      </c>
      <c r="AK24" s="76"/>
      <c r="AL24" s="77">
        <v>90.115746040467869</v>
      </c>
    </row>
    <row r="25" spans="1:38">
      <c r="A25" s="7">
        <v>9</v>
      </c>
      <c r="B25" s="68" t="s">
        <v>155</v>
      </c>
      <c r="C25" s="74" t="s">
        <v>146</v>
      </c>
      <c r="D25" s="76"/>
      <c r="E25" s="76"/>
      <c r="F25" s="76"/>
      <c r="G25" s="82"/>
      <c r="H25" s="82"/>
      <c r="I25" s="82"/>
      <c r="J25" s="82"/>
      <c r="K25" s="76">
        <v>6.625</v>
      </c>
      <c r="L25" s="76">
        <v>6.7416666666666671</v>
      </c>
      <c r="M25" s="76">
        <v>6.3500000000000005</v>
      </c>
      <c r="N25" s="76">
        <v>6.1499999999999995</v>
      </c>
      <c r="O25" s="76">
        <v>6.4916666666666671</v>
      </c>
      <c r="P25" s="76">
        <v>6.8416666666666677</v>
      </c>
      <c r="Q25" s="77">
        <v>6.966666666666665</v>
      </c>
      <c r="R25" s="77">
        <v>7.0249999999999995</v>
      </c>
      <c r="S25" s="77">
        <v>6.92</v>
      </c>
      <c r="T25" s="77">
        <v>6.9416666666666664</v>
      </c>
      <c r="U25" s="77">
        <v>6.9</v>
      </c>
      <c r="V25" s="78">
        <v>6.7</v>
      </c>
      <c r="W25" s="76">
        <v>6.3</v>
      </c>
      <c r="X25" s="76">
        <v>6.7</v>
      </c>
      <c r="Y25" s="76">
        <v>6.5666666666666664</v>
      </c>
      <c r="Z25" s="76">
        <v>6.5</v>
      </c>
      <c r="AA25" s="76">
        <v>6.7</v>
      </c>
      <c r="AB25" s="76">
        <v>6.7</v>
      </c>
      <c r="AC25" s="76">
        <v>6.6333333333333329</v>
      </c>
      <c r="AD25" s="76">
        <v>6.7</v>
      </c>
      <c r="AE25" s="76">
        <v>6.8</v>
      </c>
      <c r="AF25" s="76">
        <v>6.7</v>
      </c>
      <c r="AG25" s="76">
        <v>6.7333333333333334</v>
      </c>
      <c r="AH25" s="76">
        <v>6.7</v>
      </c>
      <c r="AI25" s="76">
        <v>6.7</v>
      </c>
      <c r="AJ25" s="76">
        <v>0</v>
      </c>
      <c r="AK25" s="76"/>
      <c r="AL25" s="77">
        <v>6.6545454545454552</v>
      </c>
    </row>
    <row r="26" spans="1:38">
      <c r="A26" s="72" t="s">
        <v>162</v>
      </c>
      <c r="B26" s="73" t="s">
        <v>163</v>
      </c>
      <c r="C26" s="75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75"/>
      <c r="R26" s="75"/>
      <c r="S26" s="75"/>
      <c r="T26" s="75"/>
      <c r="U26" s="75"/>
      <c r="V26" s="71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75"/>
    </row>
    <row r="27" spans="1:38">
      <c r="A27" s="72" t="s">
        <v>164</v>
      </c>
      <c r="B27" s="68" t="s">
        <v>165</v>
      </c>
      <c r="C27" s="75" t="s">
        <v>149</v>
      </c>
      <c r="D27" s="76">
        <v>3.1521127372142703</v>
      </c>
      <c r="E27" s="76">
        <v>3.2</v>
      </c>
      <c r="F27" s="76">
        <v>3.18</v>
      </c>
      <c r="G27" s="76">
        <v>3.1504923890967187</v>
      </c>
      <c r="H27" s="76">
        <v>3.1775048577573886</v>
      </c>
      <c r="I27" s="76">
        <v>3.1863900140208754</v>
      </c>
      <c r="J27" s="76">
        <v>3.1924337577993991</v>
      </c>
      <c r="K27" s="76">
        <v>3.0741990492729898</v>
      </c>
      <c r="L27" s="76">
        <v>2.8455109546371746</v>
      </c>
      <c r="M27" s="76">
        <v>2.8298694102138491</v>
      </c>
      <c r="N27" s="76">
        <v>2.8466089263015899</v>
      </c>
      <c r="O27" s="76">
        <v>2.8691885441527445</v>
      </c>
      <c r="P27" s="76">
        <v>3.2091519132813238</v>
      </c>
      <c r="Q27" s="77">
        <v>3.1774287571685376</v>
      </c>
      <c r="R27" s="77">
        <v>3.0602845212845597</v>
      </c>
      <c r="S27" s="77">
        <v>3.1549120461535423</v>
      </c>
      <c r="T27" s="77">
        <v>3.1206229145912419</v>
      </c>
      <c r="U27" s="75">
        <v>3.2</v>
      </c>
      <c r="V27" s="76">
        <v>3.0055598494103566</v>
      </c>
      <c r="W27" s="76">
        <v>3.0274613752776771</v>
      </c>
      <c r="X27" s="76">
        <v>3.0218047291883323</v>
      </c>
      <c r="Y27" s="76">
        <v>3.0182363723558798</v>
      </c>
      <c r="Z27" s="76">
        <v>3.0241376886209221</v>
      </c>
      <c r="AA27" s="76">
        <v>3.0070380118647844</v>
      </c>
      <c r="AB27" s="76">
        <v>3.1059855062555548</v>
      </c>
      <c r="AC27" s="76">
        <v>3.0450357883246943</v>
      </c>
      <c r="AD27" s="76">
        <v>3.1616444659922922</v>
      </c>
      <c r="AE27" s="76">
        <v>3.1661031690876453</v>
      </c>
      <c r="AF27" s="76">
        <v>3.1819629631122921</v>
      </c>
      <c r="AG27" s="76">
        <v>3.1700268335822006</v>
      </c>
      <c r="AH27" s="76">
        <v>3.2115198451113263</v>
      </c>
      <c r="AI27" s="76">
        <v>3.216351889786822</v>
      </c>
      <c r="AJ27" s="76" t="e">
        <v>#DIV/0!</v>
      </c>
      <c r="AK27" s="76"/>
      <c r="AL27" s="77">
        <v>3.102422891991933</v>
      </c>
    </row>
    <row r="28" spans="1:38">
      <c r="A28" s="72">
        <v>2</v>
      </c>
      <c r="B28" s="68" t="s">
        <v>166</v>
      </c>
      <c r="C28" s="75" t="s">
        <v>149</v>
      </c>
      <c r="D28" s="76">
        <v>0.79334461195366746</v>
      </c>
      <c r="E28" s="76">
        <v>0.82</v>
      </c>
      <c r="F28" s="76">
        <v>0.65</v>
      </c>
      <c r="G28" s="76">
        <v>0.52814369606029621</v>
      </c>
      <c r="H28" s="76">
        <v>0.56089319632426859</v>
      </c>
      <c r="I28" s="76">
        <v>0.46955327932699797</v>
      </c>
      <c r="J28" s="76">
        <v>0.34336145839998944</v>
      </c>
      <c r="K28" s="76">
        <v>0.41983716378510172</v>
      </c>
      <c r="L28" s="76">
        <v>0.30917291117799273</v>
      </c>
      <c r="M28" s="76">
        <v>0.44237778422699903</v>
      </c>
      <c r="N28" s="76">
        <v>0.25600308687780116</v>
      </c>
      <c r="O28" s="76">
        <v>0.42643073489558425</v>
      </c>
      <c r="P28" s="76">
        <v>0.18195750395309085</v>
      </c>
      <c r="Q28" s="77">
        <v>0.10716563862937856</v>
      </c>
      <c r="R28" s="77">
        <v>0.18469656119990627</v>
      </c>
      <c r="S28" s="77">
        <v>0.26224800943091786</v>
      </c>
      <c r="T28" s="77">
        <v>0.27262200097954942</v>
      </c>
      <c r="U28" s="75">
        <v>0.53</v>
      </c>
      <c r="V28" s="76">
        <v>0.36941002435031206</v>
      </c>
      <c r="W28" s="76">
        <v>0.28090707143958621</v>
      </c>
      <c r="X28" s="76">
        <v>0.27106739178614658</v>
      </c>
      <c r="Y28" s="76">
        <v>0.46714974921769947</v>
      </c>
      <c r="Z28" s="76">
        <v>0.23529800968484954</v>
      </c>
      <c r="AA28" s="76">
        <v>0.17945692621226247</v>
      </c>
      <c r="AB28" s="76">
        <v>0.20851849319751145</v>
      </c>
      <c r="AC28" s="76">
        <v>0.31617403982267128</v>
      </c>
      <c r="AD28" s="76">
        <v>9.2856614595745027E-2</v>
      </c>
      <c r="AE28" s="76">
        <v>0.18503754045031487</v>
      </c>
      <c r="AF28" s="76">
        <v>0.24715449776835213</v>
      </c>
      <c r="AG28" s="76">
        <v>0.26484417259601378</v>
      </c>
      <c r="AH28" s="76">
        <v>0.23555985801871571</v>
      </c>
      <c r="AI28" s="76">
        <v>0.14902190306823043</v>
      </c>
      <c r="AJ28" s="76" t="e">
        <v>#DIV/0!</v>
      </c>
      <c r="AK28" s="76"/>
      <c r="AL28" s="76">
        <v>0.22358194321954197</v>
      </c>
    </row>
    <row r="29" spans="1:38">
      <c r="A29" s="72">
        <v>3</v>
      </c>
      <c r="B29" s="68" t="s">
        <v>167</v>
      </c>
      <c r="C29" s="74" t="s">
        <v>168</v>
      </c>
      <c r="D29" s="79">
        <v>312.27171127950714</v>
      </c>
      <c r="E29" s="79">
        <v>325</v>
      </c>
      <c r="F29" s="79">
        <v>361</v>
      </c>
      <c r="G29" s="79">
        <v>365.30253577705247</v>
      </c>
      <c r="H29" s="79">
        <v>370.4286964129484</v>
      </c>
      <c r="I29" s="79">
        <v>395.5208113247412</v>
      </c>
      <c r="J29" s="79">
        <v>346.19354838709677</v>
      </c>
      <c r="K29" s="79">
        <v>365.20509193776519</v>
      </c>
      <c r="L29" s="79">
        <v>377.51761087409466</v>
      </c>
      <c r="M29" s="79">
        <v>251.05117423853963</v>
      </c>
      <c r="N29" s="79">
        <v>360.23054755043228</v>
      </c>
      <c r="O29" s="79" t="s">
        <v>169</v>
      </c>
      <c r="P29" s="79" t="s">
        <v>169</v>
      </c>
      <c r="Q29" s="80" t="s">
        <v>169</v>
      </c>
      <c r="R29" s="80" t="s">
        <v>169</v>
      </c>
      <c r="S29" s="80">
        <v>309.22124470511568</v>
      </c>
      <c r="T29" s="80">
        <v>253</v>
      </c>
      <c r="U29" s="75">
        <v>370</v>
      </c>
      <c r="V29" s="79" t="s">
        <v>114</v>
      </c>
      <c r="W29" s="79">
        <v>631.65467625899282</v>
      </c>
      <c r="X29" s="79">
        <v>365.75342465753425</v>
      </c>
      <c r="Y29" s="79">
        <v>429.80935875216636</v>
      </c>
      <c r="Z29" s="79">
        <v>369.79670861568246</v>
      </c>
      <c r="AA29" s="79">
        <v>368.79432624113474</v>
      </c>
      <c r="AB29" s="79" t="s">
        <v>114</v>
      </c>
      <c r="AC29" s="76" t="s">
        <v>169</v>
      </c>
      <c r="AD29" s="79">
        <v>302.79329608938548</v>
      </c>
      <c r="AE29" s="79">
        <v>370.0787401574803</v>
      </c>
      <c r="AF29" s="79" t="s">
        <v>114</v>
      </c>
      <c r="AG29" s="76" t="s">
        <v>169</v>
      </c>
      <c r="AH29" s="79" t="s">
        <v>114</v>
      </c>
      <c r="AI29" s="79" t="s">
        <v>114</v>
      </c>
      <c r="AJ29" s="79" t="s">
        <v>114</v>
      </c>
      <c r="AK29" s="85"/>
      <c r="AL29" s="80">
        <v>386.27108784176846</v>
      </c>
    </row>
    <row r="30" spans="1:38">
      <c r="A30" s="72">
        <v>4</v>
      </c>
      <c r="B30" s="68" t="s">
        <v>170</v>
      </c>
      <c r="C30" s="74" t="s">
        <v>168</v>
      </c>
      <c r="D30" s="79">
        <v>788.43589923514139</v>
      </c>
      <c r="E30" s="79">
        <v>783</v>
      </c>
      <c r="F30" s="79">
        <v>786</v>
      </c>
      <c r="G30" s="79">
        <v>774.8974263334577</v>
      </c>
      <c r="H30" s="79">
        <v>795.58632626568578</v>
      </c>
      <c r="I30" s="79">
        <v>784.44790046656294</v>
      </c>
      <c r="J30" s="79">
        <v>784.49933441798544</v>
      </c>
      <c r="K30" s="79">
        <v>790.61460771030909</v>
      </c>
      <c r="L30" s="79">
        <v>795.07109004739345</v>
      </c>
      <c r="M30" s="79">
        <v>796.11969746793818</v>
      </c>
      <c r="N30" s="79">
        <v>797.62845849802363</v>
      </c>
      <c r="O30" s="79">
        <v>1115.035733919736</v>
      </c>
      <c r="P30" s="79">
        <v>1025.553319919517</v>
      </c>
      <c r="Q30" s="80">
        <v>3609.4695621217516</v>
      </c>
      <c r="R30" s="80">
        <v>1842.8775948460986</v>
      </c>
      <c r="S30" s="80">
        <v>1599.3219487694626</v>
      </c>
      <c r="T30" s="80">
        <v>1559.4065577858123</v>
      </c>
      <c r="U30" s="75">
        <v>785</v>
      </c>
      <c r="V30" s="81">
        <v>1509.5613048368955</v>
      </c>
      <c r="W30" s="79">
        <v>1433.2344213649853</v>
      </c>
      <c r="X30" s="79">
        <v>1378.9308176100631</v>
      </c>
      <c r="Y30" s="79">
        <v>1448.3856298317417</v>
      </c>
      <c r="Z30" s="79">
        <v>1646.7486818980667</v>
      </c>
      <c r="AA30" s="79">
        <v>2333.3333333333335</v>
      </c>
      <c r="AB30" s="79">
        <v>2641.3934426229507</v>
      </c>
      <c r="AC30" s="79">
        <v>2172.2520107238606</v>
      </c>
      <c r="AD30" s="79">
        <v>4535.3982300884954</v>
      </c>
      <c r="AE30" s="79">
        <v>2520.7373271889401</v>
      </c>
      <c r="AF30" s="79">
        <v>1551.3866231647635</v>
      </c>
      <c r="AG30" s="79">
        <v>2411.6260801256876</v>
      </c>
      <c r="AH30" s="79">
        <v>1772.2602739726028</v>
      </c>
      <c r="AI30" s="79">
        <v>2181.2688821752263</v>
      </c>
      <c r="AJ30" s="79" t="e">
        <v>#DIV/0!</v>
      </c>
      <c r="AK30" s="79"/>
      <c r="AL30" s="80">
        <v>1914.101037591427</v>
      </c>
    </row>
    <row r="31" spans="1:38">
      <c r="A31" s="64">
        <v>2</v>
      </c>
      <c r="B31" s="99" t="s">
        <v>426</v>
      </c>
      <c r="C31" s="54" t="s">
        <v>169</v>
      </c>
      <c r="D31" s="53">
        <v>1.006</v>
      </c>
      <c r="E31" s="53">
        <v>0.98299999999999998</v>
      </c>
      <c r="F31" s="102">
        <v>0.97</v>
      </c>
      <c r="G31" s="102">
        <v>0.96599999999999997</v>
      </c>
      <c r="H31" s="102">
        <v>0.96599999999999997</v>
      </c>
      <c r="I31" s="102">
        <v>0.95599999999999996</v>
      </c>
      <c r="J31" s="102">
        <v>0.96</v>
      </c>
      <c r="K31" s="102">
        <v>0.96399999999999997</v>
      </c>
      <c r="L31" s="102">
        <v>0.995</v>
      </c>
      <c r="M31" s="102">
        <v>0.99358333333333315</v>
      </c>
      <c r="N31" s="102">
        <v>0.94599999999999995</v>
      </c>
      <c r="O31" s="102">
        <v>0.94199999999999995</v>
      </c>
      <c r="P31" s="102">
        <v>0.95799999999999996</v>
      </c>
      <c r="Q31" s="102">
        <v>0.93799999999999994</v>
      </c>
      <c r="R31" s="102">
        <v>0.96899999999999997</v>
      </c>
      <c r="S31" s="102">
        <v>0.96699999999999997</v>
      </c>
      <c r="T31" s="102">
        <v>0.97099999999999997</v>
      </c>
      <c r="U31" s="93">
        <v>0.88</v>
      </c>
      <c r="V31" s="95">
        <v>0.92</v>
      </c>
      <c r="W31" s="102">
        <v>0.95599999999999996</v>
      </c>
      <c r="X31" s="102">
        <v>0.89200000000000002</v>
      </c>
      <c r="Y31" s="102">
        <v>0.98899999999999999</v>
      </c>
      <c r="Z31" s="102">
        <v>0.89300000000000002</v>
      </c>
      <c r="AA31" s="102">
        <v>0.88500000000000001</v>
      </c>
      <c r="AB31" s="102">
        <v>0.88</v>
      </c>
      <c r="AC31" s="102">
        <v>0.97899999999999998</v>
      </c>
      <c r="AD31" s="102">
        <v>0.88600000000000001</v>
      </c>
      <c r="AE31" s="102">
        <v>0.89400000000000002</v>
      </c>
      <c r="AF31" s="102">
        <v>0.88200000000000001</v>
      </c>
      <c r="AG31" s="102">
        <v>0.98099999999999998</v>
      </c>
      <c r="AH31" s="102">
        <v>0.88900000000000001</v>
      </c>
      <c r="AI31" s="102">
        <v>0.88700000000000001</v>
      </c>
      <c r="AJ31" s="102">
        <v>0</v>
      </c>
      <c r="AK31" s="102"/>
      <c r="AL31" s="102">
        <v>0.89600000000000002</v>
      </c>
    </row>
    <row r="32" spans="1:38">
      <c r="A32" s="64">
        <v>4</v>
      </c>
      <c r="B32" s="99" t="s">
        <v>428</v>
      </c>
      <c r="C32" s="54"/>
      <c r="D32" s="53"/>
      <c r="E32" s="53"/>
      <c r="F32" s="53"/>
      <c r="G32" s="53"/>
      <c r="H32" s="53"/>
      <c r="I32" s="53"/>
      <c r="J32" s="53"/>
      <c r="K32" s="102"/>
      <c r="L32" s="102"/>
      <c r="M32" s="102"/>
      <c r="N32" s="102"/>
      <c r="O32" s="102"/>
      <c r="P32" s="102"/>
      <c r="Q32" s="102"/>
      <c r="R32" s="102"/>
      <c r="S32" s="102">
        <v>14.78</v>
      </c>
      <c r="T32" s="102">
        <v>14.79</v>
      </c>
      <c r="U32" s="93">
        <v>14.17</v>
      </c>
      <c r="V32" s="78">
        <v>14.8</v>
      </c>
      <c r="W32" s="76">
        <v>15.25</v>
      </c>
      <c r="X32" s="76">
        <v>14.82</v>
      </c>
      <c r="Y32" s="76"/>
      <c r="Z32" s="76">
        <v>13.89</v>
      </c>
      <c r="AA32" s="76">
        <v>12.6</v>
      </c>
      <c r="AB32" s="76">
        <v>12.4</v>
      </c>
      <c r="AC32" s="76"/>
      <c r="AD32" s="76">
        <v>12.07</v>
      </c>
      <c r="AE32" s="76">
        <v>12.2</v>
      </c>
      <c r="AF32" s="76">
        <v>12.6</v>
      </c>
      <c r="AG32" s="76"/>
      <c r="AH32" s="76">
        <v>13.37</v>
      </c>
      <c r="AI32" s="76">
        <v>12.7</v>
      </c>
      <c r="AJ32" s="76"/>
      <c r="AK32" s="76"/>
      <c r="AL32" s="76">
        <v>13.32</v>
      </c>
    </row>
    <row r="33" spans="1:38">
      <c r="A33" s="7"/>
      <c r="B33" s="86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 t="s">
        <v>143</v>
      </c>
      <c r="V33" s="71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 t="s">
        <v>171</v>
      </c>
    </row>
    <row r="34" spans="1:38" s="64" customFormat="1">
      <c r="A34" s="72" t="s">
        <v>172</v>
      </c>
      <c r="B34" s="75" t="s">
        <v>173</v>
      </c>
      <c r="C34" s="74" t="s">
        <v>118</v>
      </c>
      <c r="D34" s="75" t="s">
        <v>119</v>
      </c>
      <c r="E34" s="87" t="s">
        <v>120</v>
      </c>
      <c r="F34" s="87" t="s">
        <v>121</v>
      </c>
      <c r="G34" s="87" t="s">
        <v>122</v>
      </c>
      <c r="H34" s="87" t="s">
        <v>123</v>
      </c>
      <c r="I34" s="75" t="s">
        <v>124</v>
      </c>
      <c r="J34" s="75" t="s">
        <v>125</v>
      </c>
      <c r="K34" s="75" t="s">
        <v>126</v>
      </c>
      <c r="L34" s="75" t="s">
        <v>127</v>
      </c>
      <c r="M34" s="75" t="s">
        <v>128</v>
      </c>
      <c r="N34" s="75" t="s">
        <v>129</v>
      </c>
      <c r="O34" s="75" t="s">
        <v>130</v>
      </c>
      <c r="P34" s="75" t="s">
        <v>131</v>
      </c>
      <c r="Q34" s="75" t="s">
        <v>132</v>
      </c>
      <c r="R34" s="75" t="s">
        <v>133</v>
      </c>
      <c r="S34" s="53" t="s">
        <v>134</v>
      </c>
      <c r="T34" s="53" t="s">
        <v>135</v>
      </c>
      <c r="U34" s="75" t="s">
        <v>136</v>
      </c>
      <c r="V34" s="71" t="s">
        <v>4</v>
      </c>
      <c r="W34" s="75" t="s">
        <v>5</v>
      </c>
      <c r="X34" s="75" t="s">
        <v>6</v>
      </c>
      <c r="Y34" s="75" t="s">
        <v>137</v>
      </c>
      <c r="Z34" s="75" t="s">
        <v>174</v>
      </c>
      <c r="AA34" s="75" t="s">
        <v>9</v>
      </c>
      <c r="AB34" s="75" t="s">
        <v>10</v>
      </c>
      <c r="AC34" s="75" t="s">
        <v>138</v>
      </c>
      <c r="AD34" s="75" t="s">
        <v>12</v>
      </c>
      <c r="AE34" s="75" t="s">
        <v>13</v>
      </c>
      <c r="AF34" s="75" t="s">
        <v>14</v>
      </c>
      <c r="AG34" s="75" t="s">
        <v>139</v>
      </c>
      <c r="AH34" s="75" t="s">
        <v>16</v>
      </c>
      <c r="AI34" s="75" t="s">
        <v>17</v>
      </c>
      <c r="AJ34" s="75" t="s">
        <v>18</v>
      </c>
      <c r="AK34" s="75" t="s">
        <v>140</v>
      </c>
      <c r="AL34" s="75" t="s">
        <v>141</v>
      </c>
    </row>
    <row r="35" spans="1:38">
      <c r="A35" s="72">
        <v>1</v>
      </c>
      <c r="B35" s="68" t="s">
        <v>175</v>
      </c>
      <c r="C35" s="74" t="s">
        <v>146</v>
      </c>
      <c r="D35" s="77">
        <v>9.4</v>
      </c>
      <c r="E35" s="77">
        <v>9.4</v>
      </c>
      <c r="F35" s="77">
        <v>9.4</v>
      </c>
      <c r="G35" s="77">
        <v>9.2941666666666674</v>
      </c>
      <c r="H35" s="77">
        <v>9.3975000000000009</v>
      </c>
      <c r="I35" s="77">
        <v>9.3000000000000007</v>
      </c>
      <c r="J35" s="77">
        <v>9.3591666666666669</v>
      </c>
      <c r="K35" s="77">
        <v>9.4</v>
      </c>
      <c r="L35" s="77">
        <v>9.5550000000000015</v>
      </c>
      <c r="M35" s="77">
        <v>9.6690000000000005</v>
      </c>
      <c r="N35" s="77">
        <v>9.8125000000000018</v>
      </c>
      <c r="O35" s="77">
        <v>9.7766666666666655</v>
      </c>
      <c r="P35" s="77">
        <v>9.7233333333333345</v>
      </c>
      <c r="Q35" s="77">
        <v>9.76</v>
      </c>
      <c r="R35" s="77">
        <v>9.7211111111111101</v>
      </c>
      <c r="S35" s="77">
        <v>9.7391666666666676</v>
      </c>
      <c r="T35" s="77">
        <v>9.7791666666666668</v>
      </c>
      <c r="U35" s="97">
        <v>9.5</v>
      </c>
      <c r="V35" s="78">
        <v>9.76</v>
      </c>
      <c r="W35" s="77">
        <v>9.7899999999999991</v>
      </c>
      <c r="X35" s="77">
        <v>9.82</v>
      </c>
      <c r="Y35" s="77">
        <v>9.7899999999999991</v>
      </c>
      <c r="Z35" s="77">
        <v>9.91</v>
      </c>
      <c r="AA35" s="77">
        <v>10.27</v>
      </c>
      <c r="AB35" s="77">
        <v>10.14</v>
      </c>
      <c r="AC35" s="77">
        <v>10.106666666666667</v>
      </c>
      <c r="AD35" s="77">
        <v>10.34</v>
      </c>
      <c r="AE35" s="77">
        <v>10.1</v>
      </c>
      <c r="AF35" s="77">
        <v>9.94</v>
      </c>
      <c r="AG35" s="77">
        <v>10.126666666666665</v>
      </c>
      <c r="AH35" s="77">
        <v>10.11</v>
      </c>
      <c r="AI35" s="77">
        <v>10.18</v>
      </c>
      <c r="AJ35" s="77">
        <v>0</v>
      </c>
      <c r="AK35" s="77">
        <v>10.145</v>
      </c>
      <c r="AL35" s="77">
        <v>10.032727272727271</v>
      </c>
    </row>
    <row r="36" spans="1:38">
      <c r="A36" s="72">
        <v>2</v>
      </c>
      <c r="B36" s="68" t="s">
        <v>176</v>
      </c>
      <c r="C36" s="74" t="s">
        <v>146</v>
      </c>
      <c r="D36" s="77">
        <v>53</v>
      </c>
      <c r="E36" s="77">
        <v>53.4</v>
      </c>
      <c r="F36" s="77">
        <v>53.2</v>
      </c>
      <c r="G36" s="77">
        <v>53.08</v>
      </c>
      <c r="H36" s="77">
        <v>53.747500000000002</v>
      </c>
      <c r="I36" s="77">
        <v>53.166666666666664</v>
      </c>
      <c r="J36" s="77">
        <v>53.954166666666673</v>
      </c>
      <c r="K36" s="77">
        <v>54.141666666666666</v>
      </c>
      <c r="L36" s="77">
        <v>54.307500000000012</v>
      </c>
      <c r="M36" s="77">
        <v>54.846000000000004</v>
      </c>
      <c r="N36" s="77">
        <v>54.439166666666672</v>
      </c>
      <c r="O36" s="77">
        <v>54.180833333333332</v>
      </c>
      <c r="P36" s="77">
        <v>53.014166666666661</v>
      </c>
      <c r="Q36" s="77">
        <v>54.12</v>
      </c>
      <c r="R36" s="77">
        <v>53.070833333333333</v>
      </c>
      <c r="S36" s="77">
        <v>53.065000000000005</v>
      </c>
      <c r="T36" s="77">
        <v>53.045833333333327</v>
      </c>
      <c r="U36" s="83">
        <v>54</v>
      </c>
      <c r="V36" s="78">
        <v>53.42</v>
      </c>
      <c r="W36" s="77">
        <v>52.93</v>
      </c>
      <c r="X36" s="77">
        <v>53.77</v>
      </c>
      <c r="Y36" s="77">
        <v>53.373333333333335</v>
      </c>
      <c r="Z36" s="77">
        <v>54.03</v>
      </c>
      <c r="AA36" s="77">
        <v>54.25</v>
      </c>
      <c r="AB36" s="77">
        <v>53.88</v>
      </c>
      <c r="AC36" s="77">
        <v>54.053333333333335</v>
      </c>
      <c r="AD36" s="77">
        <v>53.71</v>
      </c>
      <c r="AE36" s="77">
        <v>53.42</v>
      </c>
      <c r="AF36" s="77">
        <v>54.42</v>
      </c>
      <c r="AG36" s="77">
        <v>53.85</v>
      </c>
      <c r="AH36" s="77">
        <v>53.6</v>
      </c>
      <c r="AI36" s="77">
        <v>53.74</v>
      </c>
      <c r="AJ36" s="77">
        <v>0</v>
      </c>
      <c r="AK36" s="77">
        <v>53.67</v>
      </c>
      <c r="AL36" s="77">
        <v>53.742727272727272</v>
      </c>
    </row>
    <row r="37" spans="1:38">
      <c r="A37" s="72">
        <v>3</v>
      </c>
      <c r="B37" s="68" t="s">
        <v>177</v>
      </c>
      <c r="C37" s="74" t="s">
        <v>146</v>
      </c>
      <c r="D37" s="77">
        <v>10.7</v>
      </c>
      <c r="E37" s="77">
        <v>10.5</v>
      </c>
      <c r="F37" s="77">
        <v>10.8</v>
      </c>
      <c r="G37" s="77">
        <v>10.949166666666668</v>
      </c>
      <c r="H37" s="77">
        <v>10.828333333333333</v>
      </c>
      <c r="I37" s="77">
        <v>11.172499999999999</v>
      </c>
      <c r="J37" s="77">
        <v>10.946666666666665</v>
      </c>
      <c r="K37" s="77">
        <v>10.954166666666666</v>
      </c>
      <c r="L37" s="77">
        <v>10.9825</v>
      </c>
      <c r="M37" s="77">
        <v>10.224</v>
      </c>
      <c r="N37" s="77">
        <v>10.68</v>
      </c>
      <c r="O37" s="77">
        <v>11.066666666666665</v>
      </c>
      <c r="P37" s="77">
        <v>11.823333333333332</v>
      </c>
      <c r="Q37" s="77">
        <v>10.6</v>
      </c>
      <c r="R37" s="77">
        <v>11.327500000000001</v>
      </c>
      <c r="S37" s="77">
        <v>10.967500000000001</v>
      </c>
      <c r="T37" s="77">
        <v>10.993333333333334</v>
      </c>
      <c r="U37" s="87">
        <v>9.6999999999999993</v>
      </c>
      <c r="V37" s="78">
        <v>10.58</v>
      </c>
      <c r="W37" s="77">
        <v>10.99</v>
      </c>
      <c r="X37" s="77">
        <v>10.31</v>
      </c>
      <c r="Y37" s="77">
        <v>10.626666666666667</v>
      </c>
      <c r="Z37" s="77">
        <v>10.09</v>
      </c>
      <c r="AA37" s="77">
        <v>9.99</v>
      </c>
      <c r="AB37" s="77">
        <v>10.24</v>
      </c>
      <c r="AC37" s="77">
        <v>10.106666666666667</v>
      </c>
      <c r="AD37" s="77">
        <v>10.43</v>
      </c>
      <c r="AE37" s="77">
        <v>10.64</v>
      </c>
      <c r="AF37" s="77">
        <v>9.9700000000000006</v>
      </c>
      <c r="AG37" s="77">
        <v>10.346666666666666</v>
      </c>
      <c r="AH37" s="77">
        <v>10.37</v>
      </c>
      <c r="AI37" s="77">
        <v>10.32</v>
      </c>
      <c r="AJ37" s="77">
        <v>0</v>
      </c>
      <c r="AK37" s="77">
        <v>10.344999999999999</v>
      </c>
      <c r="AL37" s="77">
        <v>10.357272727272727</v>
      </c>
    </row>
    <row r="38" spans="1:38">
      <c r="A38" s="72">
        <v>4</v>
      </c>
      <c r="B38" s="68" t="s">
        <v>178</v>
      </c>
      <c r="C38" s="74"/>
      <c r="D38" s="77">
        <v>1.8166666666666664</v>
      </c>
      <c r="E38" s="77">
        <v>1.9</v>
      </c>
      <c r="F38" s="77">
        <v>1.8</v>
      </c>
      <c r="G38" s="77">
        <v>1.8033333333333335</v>
      </c>
      <c r="H38" s="77">
        <v>1.8266666666666669</v>
      </c>
      <c r="I38" s="77">
        <v>1.7658333333333331</v>
      </c>
      <c r="J38" s="77">
        <v>1.780833333333333</v>
      </c>
      <c r="K38" s="77">
        <v>1.8041666666666667</v>
      </c>
      <c r="L38" s="77">
        <v>1.8199999999999996</v>
      </c>
      <c r="M38" s="77">
        <v>1.7039999999999995</v>
      </c>
      <c r="N38" s="77">
        <v>1.7150000000000001</v>
      </c>
      <c r="O38" s="77">
        <v>1.718333333333333</v>
      </c>
      <c r="P38" s="77">
        <v>1.7008333333333334</v>
      </c>
      <c r="Q38" s="77">
        <v>1.75</v>
      </c>
      <c r="R38" s="77">
        <v>1.6691666666666665</v>
      </c>
      <c r="S38" s="77">
        <v>1.7075000000000002</v>
      </c>
      <c r="T38" s="77">
        <v>1.668333333333333</v>
      </c>
      <c r="U38" s="75">
        <v>1.76</v>
      </c>
      <c r="V38" s="78">
        <v>1.65</v>
      </c>
      <c r="W38" s="77">
        <v>1.62</v>
      </c>
      <c r="X38" s="77">
        <v>1.63</v>
      </c>
      <c r="Y38" s="77">
        <v>1.6333333333333335</v>
      </c>
      <c r="Z38" s="77">
        <v>1.62</v>
      </c>
      <c r="AA38" s="77">
        <v>1.62</v>
      </c>
      <c r="AB38" s="77">
        <v>1.61</v>
      </c>
      <c r="AC38" s="77">
        <v>1.6166666666666669</v>
      </c>
      <c r="AD38" s="77">
        <v>1.62</v>
      </c>
      <c r="AE38" s="77">
        <v>1.62</v>
      </c>
      <c r="AF38" s="77">
        <v>1.66</v>
      </c>
      <c r="AG38" s="77">
        <v>1.6333333333333335</v>
      </c>
      <c r="AH38" s="77">
        <v>1.61</v>
      </c>
      <c r="AI38" s="77">
        <v>1.62</v>
      </c>
      <c r="AJ38" s="77">
        <v>0</v>
      </c>
      <c r="AK38" s="77">
        <v>1.6150000000000002</v>
      </c>
      <c r="AL38" s="77">
        <v>1.6254545454545457</v>
      </c>
    </row>
    <row r="39" spans="1:38">
      <c r="A39" s="72">
        <v>5</v>
      </c>
      <c r="B39" s="68" t="s">
        <v>179</v>
      </c>
      <c r="C39" s="74" t="s">
        <v>180</v>
      </c>
      <c r="D39" s="77">
        <v>0.89431578452688565</v>
      </c>
      <c r="E39" s="77">
        <v>0.92</v>
      </c>
      <c r="F39" s="77">
        <v>0.91</v>
      </c>
      <c r="G39" s="77">
        <v>0.91695526429142826</v>
      </c>
      <c r="H39" s="77">
        <v>0.87436281859070464</v>
      </c>
      <c r="I39" s="77">
        <v>0.8407718402853116</v>
      </c>
      <c r="J39" s="77">
        <v>0.80919005063344429</v>
      </c>
      <c r="K39" s="77">
        <v>0.88286785409959811</v>
      </c>
      <c r="L39" s="77">
        <v>0.84495247325699796</v>
      </c>
      <c r="M39" s="77">
        <v>0.82726684234272529</v>
      </c>
      <c r="N39" s="77">
        <v>0.80943352198303098</v>
      </c>
      <c r="O39" s="77">
        <v>0.75680786062257455</v>
      </c>
      <c r="P39" s="77">
        <v>0.67485386601375263</v>
      </c>
      <c r="Q39" s="77">
        <v>0.77659422523247168</v>
      </c>
      <c r="R39" s="77">
        <v>0.74102680740154925</v>
      </c>
      <c r="S39" s="77">
        <v>0.71869473014452911</v>
      </c>
      <c r="T39" s="77">
        <v>0.71352948988831877</v>
      </c>
      <c r="U39" s="77">
        <v>0.7</v>
      </c>
      <c r="V39" s="78">
        <v>0.72025244657479526</v>
      </c>
      <c r="W39" s="77">
        <v>0.72306813130992442</v>
      </c>
      <c r="X39" s="77">
        <v>0.72007659600753604</v>
      </c>
      <c r="Y39" s="77">
        <v>0.72122193511340804</v>
      </c>
      <c r="Z39" s="77">
        <v>0.69201243523316069</v>
      </c>
      <c r="AA39" s="77">
        <v>0.70643485375332382</v>
      </c>
      <c r="AB39" s="77">
        <v>0.70280553532410783</v>
      </c>
      <c r="AC39" s="77">
        <v>0.70112604451934557</v>
      </c>
      <c r="AD39" s="77">
        <v>0.70689107764631587</v>
      </c>
      <c r="AE39" s="77">
        <v>0.73429753527352437</v>
      </c>
      <c r="AF39" s="77">
        <v>0.74858636115335209</v>
      </c>
      <c r="AG39" s="77">
        <v>0.7252463198885476</v>
      </c>
      <c r="AH39" s="77">
        <v>0.75241827908192027</v>
      </c>
      <c r="AI39" s="77">
        <v>0.75209967840663694</v>
      </c>
      <c r="AJ39" s="77" t="e">
        <v>#DIV/0!</v>
      </c>
      <c r="AK39" s="77">
        <v>0.75226868197601471</v>
      </c>
      <c r="AL39" s="77">
        <v>0.71942555317736034</v>
      </c>
    </row>
    <row r="40" spans="1:38">
      <c r="A40" s="72">
        <v>6</v>
      </c>
      <c r="B40" s="68" t="s">
        <v>181</v>
      </c>
      <c r="C40" s="74" t="s">
        <v>182</v>
      </c>
      <c r="D40" s="80">
        <v>843.57616024539959</v>
      </c>
      <c r="E40" s="80">
        <v>817</v>
      </c>
      <c r="F40" s="80">
        <v>811</v>
      </c>
      <c r="G40" s="80">
        <v>801.08374313712864</v>
      </c>
      <c r="H40" s="80">
        <v>799.1801113176615</v>
      </c>
      <c r="I40" s="80">
        <v>798.44631325284217</v>
      </c>
      <c r="J40" s="80">
        <v>797.80276820845052</v>
      </c>
      <c r="K40" s="80">
        <v>796.54254884996487</v>
      </c>
      <c r="L40" s="80">
        <v>830.36755040797595</v>
      </c>
      <c r="M40" s="80">
        <v>832.85329016633409</v>
      </c>
      <c r="N40" s="80">
        <v>943.78176920451301</v>
      </c>
      <c r="O40" s="80">
        <v>895.83507594134176</v>
      </c>
      <c r="P40" s="80">
        <v>891.84129143878249</v>
      </c>
      <c r="Q40" s="80">
        <v>846</v>
      </c>
      <c r="R40" s="80">
        <v>847.50887149891344</v>
      </c>
      <c r="S40" s="88">
        <v>853.58083950861646</v>
      </c>
      <c r="T40" s="88">
        <v>860.55181488129563</v>
      </c>
      <c r="U40" s="80">
        <v>848</v>
      </c>
      <c r="V40" s="137">
        <v>876.21675821006772</v>
      </c>
      <c r="W40" s="88">
        <v>843.40861990234998</v>
      </c>
      <c r="X40" s="88">
        <v>885.4613457777167</v>
      </c>
      <c r="Y40" s="88">
        <v>866.89256756326392</v>
      </c>
      <c r="Z40" s="80">
        <v>892.80494525241397</v>
      </c>
      <c r="AA40" s="80">
        <v>909.41350875567491</v>
      </c>
      <c r="AB40" s="80">
        <v>873.70978038285841</v>
      </c>
      <c r="AC40" s="88">
        <v>891.1682792614647</v>
      </c>
      <c r="AD40" s="80">
        <v>867.99606936186694</v>
      </c>
      <c r="AE40" s="80">
        <v>879.24026737040822</v>
      </c>
      <c r="AF40" s="80">
        <v>844.33575260334487</v>
      </c>
      <c r="AG40" s="88">
        <v>863.75671172005184</v>
      </c>
      <c r="AH40" s="80">
        <v>846.0638671189613</v>
      </c>
      <c r="AI40" s="80">
        <v>839.5220861633037</v>
      </c>
      <c r="AJ40" s="80" t="e">
        <v>#DIV/0!</v>
      </c>
      <c r="AK40" s="88">
        <v>842.99290174935027</v>
      </c>
      <c r="AL40" s="88">
        <v>870.8229914415482</v>
      </c>
    </row>
    <row r="41" spans="1:38">
      <c r="A41" s="72">
        <v>7</v>
      </c>
      <c r="B41" s="68" t="s">
        <v>183</v>
      </c>
      <c r="C41" s="74" t="s">
        <v>182</v>
      </c>
      <c r="D41" s="80">
        <v>77.220731535093918</v>
      </c>
      <c r="E41" s="80">
        <v>82</v>
      </c>
      <c r="F41" s="80">
        <v>75</v>
      </c>
      <c r="G41" s="80">
        <v>64.62802700052255</v>
      </c>
      <c r="H41" s="80">
        <v>66.089972283809942</v>
      </c>
      <c r="I41" s="80">
        <v>93.250094242903586</v>
      </c>
      <c r="J41" s="80">
        <v>90.554400707110034</v>
      </c>
      <c r="K41" s="80">
        <v>89.139555004162645</v>
      </c>
      <c r="L41" s="80">
        <v>87.544331737804129</v>
      </c>
      <c r="M41" s="80">
        <v>80.185651820633524</v>
      </c>
      <c r="N41" s="80">
        <v>93.657075557277594</v>
      </c>
      <c r="O41" s="80">
        <v>112.80825978012227</v>
      </c>
      <c r="P41" s="80">
        <v>115.00100360765867</v>
      </c>
      <c r="Q41" s="80">
        <v>129</v>
      </c>
      <c r="R41" s="80">
        <v>152.56947043752518</v>
      </c>
      <c r="S41" s="88">
        <v>135.53329085893137</v>
      </c>
      <c r="T41" s="88">
        <v>150.27560963063436</v>
      </c>
      <c r="U41" s="80">
        <v>150</v>
      </c>
      <c r="V41" s="81">
        <v>141.60092992714979</v>
      </c>
      <c r="W41" s="80">
        <v>180.70532860304189</v>
      </c>
      <c r="X41" s="80">
        <v>121.88175548159077</v>
      </c>
      <c r="Y41" s="80">
        <v>150.29203635645632</v>
      </c>
      <c r="Z41" s="80">
        <v>122.5052112034885</v>
      </c>
      <c r="AA41" s="80">
        <v>111.76688594459372</v>
      </c>
      <c r="AB41" s="80">
        <v>125.88398179391305</v>
      </c>
      <c r="AC41" s="80">
        <v>120.09691593247935</v>
      </c>
      <c r="AD41" s="80">
        <v>116.99603958430524</v>
      </c>
      <c r="AE41" s="80">
        <v>116.46408414077399</v>
      </c>
      <c r="AF41" s="80">
        <v>118.1918586304828</v>
      </c>
      <c r="AG41" s="80">
        <v>117.21903351231254</v>
      </c>
      <c r="AH41" s="80">
        <v>118.84430927593871</v>
      </c>
      <c r="AI41" s="80">
        <v>124.46912233734899</v>
      </c>
      <c r="AJ41" s="80" t="e">
        <v>#DIV/0!</v>
      </c>
      <c r="AK41" s="80">
        <v>121.48481439820021</v>
      </c>
      <c r="AL41" s="88">
        <v>129.40564590049124</v>
      </c>
    </row>
    <row r="42" spans="1:38">
      <c r="A42" s="72">
        <v>8</v>
      </c>
      <c r="B42" s="68" t="s">
        <v>184</v>
      </c>
      <c r="C42" s="74" t="s">
        <v>182</v>
      </c>
      <c r="D42" s="80">
        <v>143.49963708975542</v>
      </c>
      <c r="E42" s="80">
        <v>123</v>
      </c>
      <c r="F42" s="80">
        <v>127</v>
      </c>
      <c r="G42" s="80">
        <v>143.71049598785979</v>
      </c>
      <c r="H42" s="80">
        <v>151.85576327258281</v>
      </c>
      <c r="I42" s="80">
        <v>139.85576431875594</v>
      </c>
      <c r="J42" s="80">
        <v>141.92026403997815</v>
      </c>
      <c r="K42" s="80">
        <v>142.60924925317096</v>
      </c>
      <c r="L42" s="80">
        <v>141.55774906376331</v>
      </c>
      <c r="M42" s="80">
        <v>144.46506539863609</v>
      </c>
      <c r="N42" s="80">
        <v>142.95027321900264</v>
      </c>
      <c r="O42" s="80">
        <v>135.29184289737219</v>
      </c>
      <c r="P42" s="80">
        <v>131.83674411912557</v>
      </c>
      <c r="Q42" s="80">
        <v>107.0054040898506</v>
      </c>
      <c r="R42" s="80">
        <v>96.638405538484747</v>
      </c>
      <c r="S42" s="80">
        <v>94.348069476575162</v>
      </c>
      <c r="T42" s="80">
        <v>98.316561214848264</v>
      </c>
      <c r="U42" s="80">
        <v>94</v>
      </c>
      <c r="V42" s="81">
        <v>86.453055538301825</v>
      </c>
      <c r="W42" s="80">
        <v>81.702904914117113</v>
      </c>
      <c r="X42" s="80">
        <v>105.90307563851812</v>
      </c>
      <c r="Y42" s="80">
        <v>90.145922637435433</v>
      </c>
      <c r="Z42" s="80">
        <v>103.10995040371853</v>
      </c>
      <c r="AA42" s="80">
        <v>106.17066617251923</v>
      </c>
      <c r="AB42" s="80">
        <v>110.32258599391473</v>
      </c>
      <c r="AC42" s="80">
        <v>106.95685894950053</v>
      </c>
      <c r="AD42" s="80">
        <v>104.45968614450058</v>
      </c>
      <c r="AE42" s="80">
        <v>106.27395835339895</v>
      </c>
      <c r="AF42" s="80">
        <v>100.03155569580309</v>
      </c>
      <c r="AG42" s="80">
        <v>103.59655619329753</v>
      </c>
      <c r="AH42" s="80">
        <v>104.90993098608024</v>
      </c>
      <c r="AI42" s="80">
        <v>102.09376497612084</v>
      </c>
      <c r="AJ42" s="80" t="e">
        <v>#DIV/0!</v>
      </c>
      <c r="AK42" s="80">
        <v>103.58791357976804</v>
      </c>
      <c r="AL42" s="80">
        <v>100.32544774812816</v>
      </c>
    </row>
    <row r="43" spans="1:38">
      <c r="A43" s="72">
        <v>9</v>
      </c>
      <c r="B43" s="68" t="s">
        <v>185</v>
      </c>
      <c r="C43" s="74" t="s">
        <v>182</v>
      </c>
      <c r="D43" s="80">
        <v>10.11287986521415</v>
      </c>
      <c r="E43" s="80">
        <v>10</v>
      </c>
      <c r="F43" s="80">
        <v>10</v>
      </c>
      <c r="G43" s="80">
        <v>10.586180485465388</v>
      </c>
      <c r="H43" s="80">
        <v>12.802697645118856</v>
      </c>
      <c r="I43" s="80">
        <v>10.111294703724973</v>
      </c>
      <c r="J43" s="80">
        <v>12.695171427662007</v>
      </c>
      <c r="K43" s="80">
        <v>12.295336195497804</v>
      </c>
      <c r="L43" s="80">
        <v>8.0789166935343868</v>
      </c>
      <c r="M43" s="80">
        <v>5.653022058800282</v>
      </c>
      <c r="N43" s="80">
        <v>4.6310390317253853</v>
      </c>
      <c r="O43" s="80">
        <v>12.689823048006275</v>
      </c>
      <c r="P43" s="80">
        <v>10.025418806364115</v>
      </c>
      <c r="Q43" s="80">
        <v>6.7282854598454556</v>
      </c>
      <c r="R43" s="80">
        <v>9.3074572818829928</v>
      </c>
      <c r="S43" s="80">
        <v>5.6428067744609249</v>
      </c>
      <c r="T43" s="80">
        <v>4.9727503837688127</v>
      </c>
      <c r="U43" s="75">
        <v>5</v>
      </c>
      <c r="V43" s="81">
        <v>6.82360666211168</v>
      </c>
      <c r="W43" s="80">
        <v>1.5191963188029083</v>
      </c>
      <c r="X43" s="80">
        <v>3.5228585480790127</v>
      </c>
      <c r="Y43" s="80">
        <v>3.9808663639085107</v>
      </c>
      <c r="Z43" s="80">
        <v>4.6721134724584905</v>
      </c>
      <c r="AA43" s="80">
        <v>3.4652089317150003</v>
      </c>
      <c r="AB43" s="80">
        <v>2.7939213556736502</v>
      </c>
      <c r="AC43" s="80">
        <v>3.5285860337218731</v>
      </c>
      <c r="AD43" s="80">
        <v>3.8214537405580313</v>
      </c>
      <c r="AE43" s="80">
        <v>3.3324986034326662</v>
      </c>
      <c r="AF43" s="80">
        <v>4.7806879141685066</v>
      </c>
      <c r="AG43" s="80">
        <v>3.9853730790594337</v>
      </c>
      <c r="AH43" s="80">
        <v>5.9363668265294187</v>
      </c>
      <c r="AI43" s="80">
        <v>9.0063292185150292</v>
      </c>
      <c r="AJ43" s="80" t="e">
        <v>#DIV/0!</v>
      </c>
      <c r="AK43" s="80">
        <v>7.3775260851014313</v>
      </c>
      <c r="AL43" s="80">
        <v>4.2874651122073804</v>
      </c>
    </row>
    <row r="44" spans="1:38">
      <c r="A44" s="72">
        <v>10</v>
      </c>
      <c r="B44" s="68" t="s">
        <v>186</v>
      </c>
      <c r="C44" s="74" t="s">
        <v>182</v>
      </c>
      <c r="D44" s="83">
        <v>37.713763986823565</v>
      </c>
      <c r="E44" s="83">
        <v>35</v>
      </c>
      <c r="F44" s="83">
        <v>38</v>
      </c>
      <c r="G44" s="83">
        <v>39.148610246168602</v>
      </c>
      <c r="H44" s="83">
        <v>33.87702081493422</v>
      </c>
      <c r="I44" s="83">
        <v>34.008476576674965</v>
      </c>
      <c r="J44" s="83">
        <v>24.145310131897567</v>
      </c>
      <c r="K44" s="80">
        <v>19.135147488532297</v>
      </c>
      <c r="L44" s="80">
        <v>24.007341087770641</v>
      </c>
      <c r="M44" s="80">
        <v>24.290921967428726</v>
      </c>
      <c r="N44" s="80">
        <v>12.463214605300788</v>
      </c>
      <c r="O44" s="80">
        <v>13.217151384449027</v>
      </c>
      <c r="P44" s="80">
        <v>15.633187617790677</v>
      </c>
      <c r="Q44" s="80">
        <v>3.5311882913230339</v>
      </c>
      <c r="R44" s="80">
        <v>7.2836239238864566</v>
      </c>
      <c r="S44" s="80">
        <v>5.9745091732337032</v>
      </c>
      <c r="T44" s="80">
        <v>3.8099376494126376</v>
      </c>
      <c r="U44" s="80">
        <v>4</v>
      </c>
      <c r="V44" s="81">
        <v>7.1874140394154233</v>
      </c>
      <c r="W44" s="80">
        <v>4.3380519161192881</v>
      </c>
      <c r="X44" s="80">
        <v>9.4133525489254133</v>
      </c>
      <c r="Y44" s="80">
        <v>6.7738422048267211</v>
      </c>
      <c r="Z44" s="80">
        <v>0</v>
      </c>
      <c r="AA44" s="80">
        <v>0</v>
      </c>
      <c r="AB44" s="80">
        <v>0</v>
      </c>
      <c r="AC44" s="80">
        <v>0</v>
      </c>
      <c r="AD44" s="80">
        <v>1.1513990491031991</v>
      </c>
      <c r="AE44" s="80">
        <v>6.6264712114499265</v>
      </c>
      <c r="AF44" s="80">
        <v>5.8535815714736508</v>
      </c>
      <c r="AG44" s="80">
        <v>3.8465099055730421</v>
      </c>
      <c r="AH44" s="80">
        <v>6.7259328576441684</v>
      </c>
      <c r="AI44" s="80">
        <v>8.7088724736833409</v>
      </c>
      <c r="AJ44" s="80" t="e">
        <v>#DIV/0!</v>
      </c>
      <c r="AK44" s="80">
        <v>7.6568015204995925</v>
      </c>
      <c r="AL44" s="80">
        <v>4.062947361916434</v>
      </c>
    </row>
    <row r="45" spans="1:38">
      <c r="A45" s="72">
        <v>11</v>
      </c>
      <c r="B45" s="68" t="s">
        <v>187</v>
      </c>
      <c r="C45" s="74" t="s">
        <v>182</v>
      </c>
      <c r="D45" s="80">
        <v>111.73431685841246</v>
      </c>
      <c r="E45" s="80">
        <v>141</v>
      </c>
      <c r="F45" s="80">
        <v>139</v>
      </c>
      <c r="G45" s="80">
        <v>135.33403483153305</v>
      </c>
      <c r="H45" s="80">
        <v>137.14950753840569</v>
      </c>
      <c r="I45" s="80">
        <v>123.58186449455857</v>
      </c>
      <c r="J45" s="80">
        <v>135.15521897640437</v>
      </c>
      <c r="K45" s="80">
        <v>146.44052302518816</v>
      </c>
      <c r="L45" s="80">
        <v>118.92686193298778</v>
      </c>
      <c r="M45" s="80">
        <v>116.27267294991005</v>
      </c>
      <c r="N45" s="80">
        <v>21.725292668751557</v>
      </c>
      <c r="O45" s="80">
        <v>103.69335917848306</v>
      </c>
      <c r="P45" s="80">
        <v>52.571278347475619</v>
      </c>
      <c r="Q45" s="80">
        <v>119</v>
      </c>
      <c r="R45" s="80">
        <v>91.289392211650906</v>
      </c>
      <c r="S45" s="80">
        <v>92.540330063216757</v>
      </c>
      <c r="T45" s="80">
        <v>81.935656792911033</v>
      </c>
      <c r="U45" s="80">
        <v>115</v>
      </c>
      <c r="V45" s="81">
        <v>82.468921089292536</v>
      </c>
      <c r="W45" s="80">
        <v>90.089219853173631</v>
      </c>
      <c r="X45" s="80">
        <v>80.190783378512847</v>
      </c>
      <c r="Y45" s="80">
        <v>84.598187272692527</v>
      </c>
      <c r="Z45" s="80">
        <v>80.564007954572673</v>
      </c>
      <c r="AA45" s="80">
        <v>83.248401741869728</v>
      </c>
      <c r="AB45" s="80">
        <v>95.615118679478357</v>
      </c>
      <c r="AC45" s="80">
        <v>87.310871313973649</v>
      </c>
      <c r="AD45" s="80">
        <v>111.83459557108401</v>
      </c>
      <c r="AE45" s="80">
        <v>84.603085932232773</v>
      </c>
      <c r="AF45" s="80">
        <v>129.31524140107288</v>
      </c>
      <c r="AG45" s="80">
        <v>110.41936678392889</v>
      </c>
      <c r="AH45" s="80">
        <v>123.23078722657621</v>
      </c>
      <c r="AI45" s="80">
        <v>122.43650124766579</v>
      </c>
      <c r="AJ45" s="80" t="e">
        <v>#DIV/0!</v>
      </c>
      <c r="AK45" s="80">
        <v>122.85791862224119</v>
      </c>
      <c r="AL45" s="80">
        <v>96.294427222262286</v>
      </c>
    </row>
    <row r="46" spans="1:38">
      <c r="A46" s="72">
        <v>12</v>
      </c>
      <c r="B46" s="68" t="s">
        <v>188</v>
      </c>
      <c r="C46" s="74" t="s">
        <v>182</v>
      </c>
      <c r="D46" s="80">
        <v>72.333102340688967</v>
      </c>
      <c r="E46" s="80">
        <v>68</v>
      </c>
      <c r="F46" s="80">
        <v>67</v>
      </c>
      <c r="G46" s="80">
        <v>68.690274228530939</v>
      </c>
      <c r="H46" s="80">
        <v>69.011185977076323</v>
      </c>
      <c r="I46" s="80">
        <v>68.574307446774782</v>
      </c>
      <c r="J46" s="80">
        <v>68.725316644753107</v>
      </c>
      <c r="K46" s="80">
        <v>69.206157462576925</v>
      </c>
      <c r="L46" s="80">
        <v>69.244314377123587</v>
      </c>
      <c r="M46" s="80">
        <v>67.969053814367143</v>
      </c>
      <c r="N46" s="80">
        <v>68.254012183384233</v>
      </c>
      <c r="O46" s="80">
        <v>72.628265041283143</v>
      </c>
      <c r="P46" s="80">
        <v>63.154179004527784</v>
      </c>
      <c r="Q46" s="80">
        <v>69</v>
      </c>
      <c r="R46" s="80">
        <v>70.05074816549299</v>
      </c>
      <c r="S46" s="80">
        <v>70.287660980045288</v>
      </c>
      <c r="T46" s="80">
        <v>72.053779073702572</v>
      </c>
      <c r="U46" s="80">
        <v>72</v>
      </c>
      <c r="V46" s="81">
        <v>73.001055928729244</v>
      </c>
      <c r="W46" s="80">
        <v>74.001545540763644</v>
      </c>
      <c r="X46" s="80">
        <v>70.994750025735172</v>
      </c>
      <c r="Y46" s="80">
        <v>72.805268756249959</v>
      </c>
      <c r="Z46" s="80">
        <v>69.997843639935795</v>
      </c>
      <c r="AA46" s="80">
        <v>68.303530065783377</v>
      </c>
      <c r="AB46" s="80">
        <v>67.999237267760464</v>
      </c>
      <c r="AC46" s="80">
        <v>68.639170830355454</v>
      </c>
      <c r="AD46" s="80">
        <v>66.999513633160305</v>
      </c>
      <c r="AE46" s="80">
        <v>66.99670602739198</v>
      </c>
      <c r="AF46" s="80">
        <v>67.103187125276122</v>
      </c>
      <c r="AG46" s="80">
        <v>67.029253841881129</v>
      </c>
      <c r="AH46" s="80">
        <v>68.00502982805007</v>
      </c>
      <c r="AI46" s="80">
        <v>66.101498851486454</v>
      </c>
      <c r="AJ46" s="80" t="e">
        <v>#DIV/0!</v>
      </c>
      <c r="AK46" s="80">
        <v>67.111438656374858</v>
      </c>
      <c r="AL46" s="80">
        <v>68.975419940883853</v>
      </c>
    </row>
    <row r="47" spans="1:38">
      <c r="A47" s="72">
        <v>13</v>
      </c>
      <c r="B47" s="68" t="s">
        <v>189</v>
      </c>
      <c r="C47" s="74" t="s">
        <v>182</v>
      </c>
      <c r="D47" s="80">
        <v>19.306825011577001</v>
      </c>
      <c r="E47" s="80">
        <v>23</v>
      </c>
      <c r="F47" s="80">
        <v>19.5</v>
      </c>
      <c r="G47" s="80">
        <v>18.960494198323563</v>
      </c>
      <c r="H47" s="80">
        <v>18.076253490256786</v>
      </c>
      <c r="I47" s="80">
        <v>16.118883459401566</v>
      </c>
      <c r="J47" s="80">
        <v>15.246447922864284</v>
      </c>
      <c r="K47" s="80">
        <v>12.427561664408495</v>
      </c>
      <c r="L47" s="80">
        <v>5.5864189876243149</v>
      </c>
      <c r="M47" s="80">
        <v>5.396928777613021</v>
      </c>
      <c r="N47" s="80">
        <v>14.428177381710164</v>
      </c>
      <c r="O47" s="80">
        <v>2.1856850358765105</v>
      </c>
      <c r="P47" s="80">
        <v>0</v>
      </c>
      <c r="Q47" s="80">
        <v>7</v>
      </c>
      <c r="R47" s="80">
        <v>0</v>
      </c>
      <c r="S47" s="80">
        <v>0</v>
      </c>
      <c r="T47" s="80">
        <v>0</v>
      </c>
      <c r="U47" s="80"/>
      <c r="V47" s="81">
        <v>0</v>
      </c>
      <c r="W47" s="80">
        <v>0</v>
      </c>
      <c r="X47" s="80">
        <v>0</v>
      </c>
      <c r="Y47" s="80">
        <v>0</v>
      </c>
      <c r="Z47" s="80">
        <v>0</v>
      </c>
      <c r="AA47" s="80">
        <v>0</v>
      </c>
      <c r="AB47" s="80">
        <v>0</v>
      </c>
      <c r="AC47" s="80">
        <v>0</v>
      </c>
      <c r="AD47" s="80">
        <v>0</v>
      </c>
      <c r="AE47" s="80">
        <v>0</v>
      </c>
      <c r="AF47" s="80">
        <v>0</v>
      </c>
      <c r="AG47" s="80">
        <v>0</v>
      </c>
      <c r="AH47" s="80">
        <v>0</v>
      </c>
      <c r="AI47" s="80">
        <v>0</v>
      </c>
      <c r="AJ47" s="80" t="e">
        <v>#DIV/0!</v>
      </c>
      <c r="AK47" s="80">
        <v>0</v>
      </c>
      <c r="AL47" s="80">
        <v>0</v>
      </c>
    </row>
    <row r="48" spans="1:38">
      <c r="A48" s="72">
        <v>14</v>
      </c>
      <c r="B48" s="68" t="s">
        <v>190</v>
      </c>
      <c r="C48" s="74" t="s">
        <v>191</v>
      </c>
      <c r="D48" s="83">
        <v>86.062879170879683</v>
      </c>
      <c r="E48" s="83">
        <v>70.7</v>
      </c>
      <c r="F48" s="83">
        <v>76.13</v>
      </c>
      <c r="G48" s="77">
        <v>73.401084010840108</v>
      </c>
      <c r="H48" s="77">
        <v>82.438494169845185</v>
      </c>
      <c r="I48" s="77">
        <v>80.360806950726015</v>
      </c>
      <c r="J48" s="77">
        <v>50.104077285838109</v>
      </c>
      <c r="K48" s="77">
        <v>32.048504821498888</v>
      </c>
      <c r="L48" s="77">
        <v>17.416001368613141</v>
      </c>
      <c r="M48" s="77">
        <v>19.164536340852127</v>
      </c>
      <c r="N48" s="77">
        <v>18.345148401826485</v>
      </c>
      <c r="O48" s="77">
        <v>50.840805017893565</v>
      </c>
      <c r="P48" s="77">
        <v>38.717299842431252</v>
      </c>
      <c r="Q48" s="77">
        <v>92.91</v>
      </c>
      <c r="R48" s="77">
        <v>90.145701782280156</v>
      </c>
      <c r="S48" s="77">
        <v>88.419174548581253</v>
      </c>
      <c r="T48" s="77">
        <v>97.011756782477562</v>
      </c>
      <c r="U48" s="83">
        <v>90</v>
      </c>
      <c r="V48" s="78">
        <v>88.089373680506682</v>
      </c>
      <c r="W48" s="77">
        <v>96.397857689364969</v>
      </c>
      <c r="X48" s="77">
        <v>68.548341566690198</v>
      </c>
      <c r="Y48" s="77">
        <v>84.028950542822685</v>
      </c>
      <c r="Z48" s="77">
        <v>65.35726379952591</v>
      </c>
      <c r="AA48" s="77">
        <v>83.259536784741144</v>
      </c>
      <c r="AB48" s="77">
        <v>98.528884104772146</v>
      </c>
      <c r="AC48" s="77">
        <v>82.071230982019358</v>
      </c>
      <c r="AD48" s="77">
        <v>81.440714285714293</v>
      </c>
      <c r="AE48" s="77">
        <v>49.352530541012221</v>
      </c>
      <c r="AF48" s="77">
        <v>47.531929824561409</v>
      </c>
      <c r="AG48" s="77">
        <v>60.012087635356338</v>
      </c>
      <c r="AH48" s="77">
        <v>49.383361629881151</v>
      </c>
      <c r="AI48" s="77">
        <v>48.698316625685642</v>
      </c>
      <c r="AJ48" s="77" t="e">
        <v>#DIV/0!</v>
      </c>
      <c r="AK48" s="77">
        <v>49.059318242820069</v>
      </c>
      <c r="AL48" s="77">
        <v>70.809240404636597</v>
      </c>
    </row>
    <row r="49" spans="1:38">
      <c r="A49" s="72">
        <v>15</v>
      </c>
      <c r="B49" s="68" t="s">
        <v>192</v>
      </c>
      <c r="C49" s="89" t="s">
        <v>193</v>
      </c>
      <c r="D49" s="77">
        <v>85.783333333333317</v>
      </c>
      <c r="E49" s="77">
        <v>85.5</v>
      </c>
      <c r="F49" s="77">
        <v>85</v>
      </c>
      <c r="G49" s="77">
        <v>83.922499999999999</v>
      </c>
      <c r="H49" s="77">
        <v>84.683333333333337</v>
      </c>
      <c r="I49" s="77">
        <v>85.56583333333333</v>
      </c>
      <c r="J49" s="77">
        <v>85.506666666666661</v>
      </c>
      <c r="K49" s="77">
        <v>85.446666666666673</v>
      </c>
      <c r="L49" s="77">
        <v>86.097499999999982</v>
      </c>
      <c r="M49" s="77">
        <v>85.921428571428578</v>
      </c>
      <c r="N49" s="77">
        <v>84.477500000000006</v>
      </c>
      <c r="O49" s="77">
        <v>83.634166666666673</v>
      </c>
      <c r="P49" s="77">
        <v>83.878333333333345</v>
      </c>
      <c r="Q49" s="77">
        <v>85.89</v>
      </c>
      <c r="R49" s="77">
        <v>85.231666666666669</v>
      </c>
      <c r="S49" s="77">
        <v>86.015000000000001</v>
      </c>
      <c r="T49" s="77">
        <v>85.363333333333344</v>
      </c>
      <c r="U49" s="75" t="s">
        <v>194</v>
      </c>
      <c r="V49" s="78">
        <v>85.93</v>
      </c>
      <c r="W49" s="77">
        <v>87.23</v>
      </c>
      <c r="X49" s="77">
        <v>81.25</v>
      </c>
      <c r="Y49" s="77">
        <v>84.803333333333342</v>
      </c>
      <c r="Z49" s="77">
        <v>81.180000000000007</v>
      </c>
      <c r="AA49" s="77">
        <v>81.87</v>
      </c>
      <c r="AB49" s="77">
        <v>83.1</v>
      </c>
      <c r="AC49" s="77">
        <v>82.05</v>
      </c>
      <c r="AD49" s="77">
        <v>82.14</v>
      </c>
      <c r="AE49" s="77">
        <v>82.04</v>
      </c>
      <c r="AF49" s="77">
        <v>82.5</v>
      </c>
      <c r="AG49" s="77">
        <v>82.226666666666674</v>
      </c>
      <c r="AH49" s="77">
        <v>82.83</v>
      </c>
      <c r="AI49" s="77">
        <v>89.12</v>
      </c>
      <c r="AJ49" s="77">
        <v>0</v>
      </c>
      <c r="AK49" s="77">
        <v>85.974999999999994</v>
      </c>
      <c r="AL49" s="77">
        <v>83.562727272727273</v>
      </c>
    </row>
    <row r="50" spans="1:38">
      <c r="A50" s="72">
        <v>16</v>
      </c>
      <c r="B50" s="68" t="s">
        <v>195</v>
      </c>
      <c r="C50" s="89" t="s">
        <v>193</v>
      </c>
      <c r="D50" s="77">
        <v>66.61666666666666</v>
      </c>
      <c r="E50" s="77">
        <v>81</v>
      </c>
      <c r="F50" s="77">
        <v>81.2</v>
      </c>
      <c r="G50" s="77">
        <v>81.310833333333335</v>
      </c>
      <c r="H50" s="77">
        <v>81.717500000000001</v>
      </c>
      <c r="I50" s="77">
        <v>81.27</v>
      </c>
      <c r="J50" s="77">
        <v>82.791666666666671</v>
      </c>
      <c r="K50" s="77">
        <v>82.72</v>
      </c>
      <c r="L50" s="77">
        <v>82.171666666666667</v>
      </c>
      <c r="M50" s="77">
        <v>82.31</v>
      </c>
      <c r="N50" s="77">
        <v>82.31</v>
      </c>
      <c r="O50" s="77">
        <v>82.31</v>
      </c>
      <c r="P50" s="77">
        <v>75.715833333333322</v>
      </c>
      <c r="Q50" s="77">
        <v>78.95</v>
      </c>
      <c r="R50" s="77">
        <v>80.41</v>
      </c>
      <c r="S50" s="77">
        <v>80.318333333333314</v>
      </c>
      <c r="T50" s="77">
        <v>74.706666666666678</v>
      </c>
      <c r="U50" s="75" t="s">
        <v>196</v>
      </c>
      <c r="V50" s="78">
        <v>75.11</v>
      </c>
      <c r="W50" s="77">
        <v>69.2</v>
      </c>
      <c r="X50" s="77">
        <v>68.64</v>
      </c>
      <c r="Y50" s="77">
        <v>70.983333333333334</v>
      </c>
      <c r="Z50" s="77">
        <v>76.040000000000006</v>
      </c>
      <c r="AA50" s="77">
        <v>75.7</v>
      </c>
      <c r="AB50" s="77">
        <v>73.239999999999995</v>
      </c>
      <c r="AC50" s="77">
        <v>74.993333333333339</v>
      </c>
      <c r="AD50" s="77">
        <v>76.400000000000006</v>
      </c>
      <c r="AE50" s="77">
        <v>76.48</v>
      </c>
      <c r="AF50" s="77">
        <v>80.12</v>
      </c>
      <c r="AG50" s="77">
        <v>77.666666666666671</v>
      </c>
      <c r="AH50" s="77">
        <v>84.33</v>
      </c>
      <c r="AI50" s="77">
        <v>82.38</v>
      </c>
      <c r="AJ50" s="77">
        <v>0</v>
      </c>
      <c r="AK50" s="77">
        <v>83.35499999999999</v>
      </c>
      <c r="AL50" s="77">
        <v>76.149090909090916</v>
      </c>
    </row>
    <row r="51" spans="1:38">
      <c r="A51" s="72">
        <v>17</v>
      </c>
      <c r="B51" s="68" t="s">
        <v>197</v>
      </c>
      <c r="C51" s="74" t="s">
        <v>146</v>
      </c>
      <c r="D51" s="77">
        <v>70.474999999999994</v>
      </c>
      <c r="E51" s="77">
        <v>70.2</v>
      </c>
      <c r="F51" s="77">
        <v>70.3</v>
      </c>
      <c r="G51" s="77">
        <v>70.196666666666673</v>
      </c>
      <c r="H51" s="77">
        <v>70.053333333333327</v>
      </c>
      <c r="I51" s="77">
        <v>70.076666666666668</v>
      </c>
      <c r="J51" s="77">
        <v>70.240000000000009</v>
      </c>
      <c r="K51" s="77">
        <v>70.164166666666659</v>
      </c>
      <c r="L51" s="77">
        <v>70.207499999999996</v>
      </c>
      <c r="M51" s="77">
        <v>71</v>
      </c>
      <c r="N51" s="77">
        <v>70.19916666666667</v>
      </c>
      <c r="O51" s="77">
        <v>71.005833333333342</v>
      </c>
      <c r="P51" s="77">
        <v>70.852500000000006</v>
      </c>
      <c r="Q51" s="77">
        <v>70.989999999999995</v>
      </c>
      <c r="R51" s="77">
        <v>70.276363636363655</v>
      </c>
      <c r="S51" s="77">
        <v>71.53416666666665</v>
      </c>
      <c r="T51" s="77">
        <v>72.396666666666675</v>
      </c>
      <c r="U51" s="83">
        <v>72</v>
      </c>
      <c r="V51" s="78">
        <v>72.150000000000006</v>
      </c>
      <c r="W51" s="77">
        <v>72.27</v>
      </c>
      <c r="X51" s="77">
        <v>72.48</v>
      </c>
      <c r="Y51" s="77">
        <v>72.300000000000011</v>
      </c>
      <c r="Z51" s="77">
        <v>72.55</v>
      </c>
      <c r="AA51" s="77">
        <v>72.760000000000005</v>
      </c>
      <c r="AB51" s="77">
        <v>72.569999999999993</v>
      </c>
      <c r="AC51" s="77">
        <v>72.626666666666665</v>
      </c>
      <c r="AD51" s="77">
        <v>72.599999999999994</v>
      </c>
      <c r="AE51" s="77">
        <v>72.650000000000006</v>
      </c>
      <c r="AF51" s="77">
        <v>72.900000000000006</v>
      </c>
      <c r="AG51" s="77">
        <v>72.716666666666669</v>
      </c>
      <c r="AH51" s="77">
        <v>72.650000000000006</v>
      </c>
      <c r="AI51" s="77">
        <v>72.86</v>
      </c>
      <c r="AJ51" s="77">
        <v>0</v>
      </c>
      <c r="AK51" s="77">
        <v>72.754999999999995</v>
      </c>
      <c r="AL51" s="77">
        <v>72.585454545454539</v>
      </c>
    </row>
    <row r="52" spans="1:38">
      <c r="A52" s="72">
        <v>18</v>
      </c>
      <c r="B52" s="68" t="s">
        <v>198</v>
      </c>
      <c r="C52" s="74" t="s">
        <v>146</v>
      </c>
      <c r="D52" s="77">
        <v>24.868082706497642</v>
      </c>
      <c r="E52" s="77">
        <v>23.3</v>
      </c>
      <c r="F52" s="77">
        <v>20.84</v>
      </c>
      <c r="G52" s="77">
        <v>21.006409611208269</v>
      </c>
      <c r="H52" s="77">
        <v>20.452765645676305</v>
      </c>
      <c r="I52" s="77">
        <v>20.525307826105117</v>
      </c>
      <c r="J52" s="77">
        <v>20.489155828030071</v>
      </c>
      <c r="K52" s="77">
        <v>20.980099383152837</v>
      </c>
      <c r="L52" s="77">
        <v>20.966245939745441</v>
      </c>
      <c r="M52" s="77">
        <v>19.474781424409983</v>
      </c>
      <c r="N52" s="77">
        <v>19.407706127441614</v>
      </c>
      <c r="O52" s="77">
        <v>18.419598817626433</v>
      </c>
      <c r="P52" s="77">
        <v>19.137755916687365</v>
      </c>
      <c r="Q52" s="77">
        <v>19.059999999999999</v>
      </c>
      <c r="R52" s="77">
        <v>18.572548525519604</v>
      </c>
      <c r="S52" s="77">
        <v>18.72360765292267</v>
      </c>
      <c r="T52" s="77">
        <v>18.694957327453785</v>
      </c>
      <c r="U52" s="75">
        <v>19</v>
      </c>
      <c r="V52" s="78">
        <v>18.576857940675037</v>
      </c>
      <c r="W52" s="77">
        <v>18.568778130902935</v>
      </c>
      <c r="X52" s="77">
        <v>18.489111862435017</v>
      </c>
      <c r="Y52" s="77">
        <v>18.549426897735003</v>
      </c>
      <c r="Z52" s="77">
        <v>19.744997477086677</v>
      </c>
      <c r="AA52" s="77">
        <v>18.549730178253014</v>
      </c>
      <c r="AB52" s="77">
        <v>18.587545245581126</v>
      </c>
      <c r="AC52" s="77">
        <v>18.886890061082823</v>
      </c>
      <c r="AD52" s="77">
        <v>18.580880213538439</v>
      </c>
      <c r="AE52" s="77">
        <v>18.59836951183577</v>
      </c>
      <c r="AF52" s="77">
        <v>18.524728419108051</v>
      </c>
      <c r="AG52" s="77">
        <v>18.568589524337455</v>
      </c>
      <c r="AH52" s="77">
        <v>18.561854230661826</v>
      </c>
      <c r="AI52" s="77">
        <v>18.598016716845276</v>
      </c>
      <c r="AJ52" s="77" t="e">
        <v>#DIV/0!</v>
      </c>
      <c r="AK52" s="77">
        <v>18.578824645298976</v>
      </c>
      <c r="AL52" s="77">
        <v>18.666375714111592</v>
      </c>
    </row>
    <row r="53" spans="1:38">
      <c r="A53" s="72" t="s">
        <v>199</v>
      </c>
      <c r="B53" s="75" t="s">
        <v>200</v>
      </c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1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</row>
    <row r="54" spans="1:38">
      <c r="A54" s="72">
        <v>1</v>
      </c>
      <c r="B54" s="68" t="s">
        <v>175</v>
      </c>
      <c r="C54" s="74" t="s">
        <v>146</v>
      </c>
      <c r="D54" s="77">
        <v>9.7583333333333346</v>
      </c>
      <c r="E54" s="77">
        <v>9.6999999999999993</v>
      </c>
      <c r="F54" s="77">
        <v>9.6999999999999993</v>
      </c>
      <c r="G54" s="77">
        <v>9.7433333333333341</v>
      </c>
      <c r="H54" s="77">
        <v>9.6816666666666666</v>
      </c>
      <c r="I54" s="77">
        <v>9.4133333333333322</v>
      </c>
      <c r="J54" s="77">
        <v>9.8441666666666663</v>
      </c>
      <c r="K54" s="77">
        <v>10.015833333333333</v>
      </c>
      <c r="L54" s="77">
        <v>9.9599999999999991</v>
      </c>
      <c r="M54" s="77">
        <v>10.048333333333332</v>
      </c>
      <c r="N54" s="77">
        <v>10.361666666666666</v>
      </c>
      <c r="O54" s="77">
        <v>9.7583333333333329</v>
      </c>
      <c r="P54" s="77">
        <v>10.220000000000001</v>
      </c>
      <c r="Q54" s="77">
        <v>9.8241666666666667</v>
      </c>
      <c r="R54" s="77">
        <v>9.8708333333333318</v>
      </c>
      <c r="S54" s="77">
        <v>10.112500000000001</v>
      </c>
      <c r="T54" s="77">
        <v>10.213333333333333</v>
      </c>
      <c r="U54" s="87">
        <v>9.5</v>
      </c>
      <c r="V54" s="78">
        <v>9.9600000000000009</v>
      </c>
      <c r="W54" s="77">
        <v>9.82</v>
      </c>
      <c r="X54" s="77">
        <v>9.98</v>
      </c>
      <c r="Y54" s="77">
        <v>9.92</v>
      </c>
      <c r="Z54" s="77">
        <v>10.09</v>
      </c>
      <c r="AA54" s="77">
        <v>10.25</v>
      </c>
      <c r="AB54" s="77">
        <v>10.119999999999999</v>
      </c>
      <c r="AC54" s="77">
        <v>10.153333333333334</v>
      </c>
      <c r="AD54" s="77">
        <v>10.41</v>
      </c>
      <c r="AE54" s="77">
        <v>10.029999999999999</v>
      </c>
      <c r="AF54" s="77">
        <v>10.16</v>
      </c>
      <c r="AG54" s="77">
        <v>10.199999999999999</v>
      </c>
      <c r="AH54" s="77">
        <v>10.31</v>
      </c>
      <c r="AI54" s="77">
        <v>10.34</v>
      </c>
      <c r="AJ54" s="77">
        <v>0</v>
      </c>
      <c r="AK54" s="77">
        <v>10.324999999999999</v>
      </c>
      <c r="AL54" s="77">
        <v>10.133636363636363</v>
      </c>
    </row>
    <row r="55" spans="1:38">
      <c r="A55" s="72">
        <v>2</v>
      </c>
      <c r="B55" s="68" t="s">
        <v>176</v>
      </c>
      <c r="C55" s="74" t="s">
        <v>146</v>
      </c>
      <c r="D55" s="77">
        <v>53.291666666666664</v>
      </c>
      <c r="E55" s="77">
        <v>53.5</v>
      </c>
      <c r="F55" s="77">
        <v>53.3</v>
      </c>
      <c r="G55" s="77">
        <v>53.093333333333334</v>
      </c>
      <c r="H55" s="77">
        <v>53.81583333333333</v>
      </c>
      <c r="I55" s="77">
        <v>53.32</v>
      </c>
      <c r="J55" s="77">
        <v>54.111666666666672</v>
      </c>
      <c r="K55" s="77">
        <v>54.379166666666663</v>
      </c>
      <c r="L55" s="77">
        <v>54.732499999999995</v>
      </c>
      <c r="M55" s="77">
        <v>54.985833333333339</v>
      </c>
      <c r="N55" s="77">
        <v>55.085833333333333</v>
      </c>
      <c r="O55" s="77">
        <v>54.508333333333347</v>
      </c>
      <c r="P55" s="77">
        <v>52.896666666666668</v>
      </c>
      <c r="Q55" s="77">
        <v>54.552499999999988</v>
      </c>
      <c r="R55" s="77">
        <v>53.510833333333331</v>
      </c>
      <c r="S55" s="77">
        <v>53.347499999999989</v>
      </c>
      <c r="T55" s="77">
        <v>53.179166666666667</v>
      </c>
      <c r="U55" s="83">
        <v>54</v>
      </c>
      <c r="V55" s="78">
        <v>53.72</v>
      </c>
      <c r="W55" s="77">
        <v>53.78</v>
      </c>
      <c r="X55" s="77">
        <v>54.13</v>
      </c>
      <c r="Y55" s="77">
        <v>53.876666666666665</v>
      </c>
      <c r="Z55" s="77">
        <v>54.14</v>
      </c>
      <c r="AA55" s="77">
        <v>54.18</v>
      </c>
      <c r="AB55" s="77">
        <v>54.09</v>
      </c>
      <c r="AC55" s="77">
        <v>54.136666666666663</v>
      </c>
      <c r="AD55" s="77">
        <v>54.2</v>
      </c>
      <c r="AE55" s="77">
        <v>54.13</v>
      </c>
      <c r="AF55" s="77">
        <v>54.09</v>
      </c>
      <c r="AG55" s="77">
        <v>54.140000000000008</v>
      </c>
      <c r="AH55" s="77">
        <v>53.97</v>
      </c>
      <c r="AI55" s="77">
        <v>53.72</v>
      </c>
      <c r="AJ55" s="77">
        <v>0</v>
      </c>
      <c r="AK55" s="77">
        <v>53.844999999999999</v>
      </c>
      <c r="AL55" s="77">
        <v>54.013636363636358</v>
      </c>
    </row>
    <row r="56" spans="1:38">
      <c r="A56" s="72">
        <v>3</v>
      </c>
      <c r="B56" s="68" t="s">
        <v>177</v>
      </c>
      <c r="C56" s="74" t="s">
        <v>146</v>
      </c>
      <c r="D56" s="77">
        <v>10.333333333333334</v>
      </c>
      <c r="E56" s="77">
        <v>10.4</v>
      </c>
      <c r="F56" s="77">
        <v>10.6</v>
      </c>
      <c r="G56" s="77">
        <v>10.751666666666667</v>
      </c>
      <c r="H56" s="77">
        <v>10.76</v>
      </c>
      <c r="I56" s="77">
        <v>11.0625</v>
      </c>
      <c r="J56" s="77">
        <v>10.789166666666667</v>
      </c>
      <c r="K56" s="77">
        <v>10.706666666666665</v>
      </c>
      <c r="L56" s="77">
        <v>10.452499999999999</v>
      </c>
      <c r="M56" s="77">
        <v>10.155000000000001</v>
      </c>
      <c r="N56" s="77">
        <v>10.265833333333333</v>
      </c>
      <c r="O56" s="77">
        <v>10.643333333333333</v>
      </c>
      <c r="P56" s="77">
        <v>11.673333333333332</v>
      </c>
      <c r="Q56" s="77">
        <v>10.202500000000001</v>
      </c>
      <c r="R56" s="77">
        <v>11.000833333333333</v>
      </c>
      <c r="S56" s="77">
        <v>10.828333333333333</v>
      </c>
      <c r="T56" s="77">
        <v>10.899999999999999</v>
      </c>
      <c r="U56" s="87">
        <v>9.6999999999999993</v>
      </c>
      <c r="V56" s="78">
        <v>10.41</v>
      </c>
      <c r="W56" s="77">
        <v>10.44</v>
      </c>
      <c r="X56" s="77">
        <v>10.17</v>
      </c>
      <c r="Y56" s="77">
        <v>10.340000000000002</v>
      </c>
      <c r="Z56" s="77">
        <v>10.07</v>
      </c>
      <c r="AA56" s="77">
        <v>10</v>
      </c>
      <c r="AB56" s="77">
        <v>10.09</v>
      </c>
      <c r="AC56" s="77">
        <v>10.053333333333333</v>
      </c>
      <c r="AD56" s="77">
        <v>10.02</v>
      </c>
      <c r="AE56" s="77">
        <v>10.15</v>
      </c>
      <c r="AF56" s="77">
        <v>10.14</v>
      </c>
      <c r="AG56" s="77">
        <v>10.103333333333333</v>
      </c>
      <c r="AH56" s="77">
        <v>10.24</v>
      </c>
      <c r="AI56" s="77">
        <v>10.41</v>
      </c>
      <c r="AJ56" s="77">
        <v>0</v>
      </c>
      <c r="AK56" s="77">
        <v>10.324999999999999</v>
      </c>
      <c r="AL56" s="77">
        <v>10.194545454545455</v>
      </c>
    </row>
    <row r="57" spans="1:38">
      <c r="A57" s="72">
        <v>4</v>
      </c>
      <c r="B57" s="68" t="s">
        <v>178</v>
      </c>
      <c r="C57" s="74"/>
      <c r="D57" s="77">
        <v>1.8916666666666666</v>
      </c>
      <c r="E57" s="77">
        <v>1.9</v>
      </c>
      <c r="F57" s="77">
        <v>1.8</v>
      </c>
      <c r="G57" s="77">
        <v>1.8525</v>
      </c>
      <c r="H57" s="77">
        <v>1.8174999999999999</v>
      </c>
      <c r="I57" s="77">
        <v>1.7775000000000001</v>
      </c>
      <c r="J57" s="77">
        <v>1.7849999999999999</v>
      </c>
      <c r="K57" s="77">
        <v>1.8058333333333334</v>
      </c>
      <c r="L57" s="77">
        <v>1.7841666666666665</v>
      </c>
      <c r="M57" s="77">
        <v>1.7233333333333334</v>
      </c>
      <c r="N57" s="77">
        <v>1.7958333333333334</v>
      </c>
      <c r="O57" s="77">
        <v>1.8066666666666669</v>
      </c>
      <c r="P57" s="77">
        <v>1.7249999999999999</v>
      </c>
      <c r="Q57" s="77">
        <v>1.781666666666667</v>
      </c>
      <c r="R57" s="77">
        <v>1.7041666666666666</v>
      </c>
      <c r="S57" s="77">
        <v>1.7483333333333331</v>
      </c>
      <c r="T57" s="77">
        <v>1.6841666666666668</v>
      </c>
      <c r="U57" s="75">
        <v>1.8</v>
      </c>
      <c r="V57" s="78">
        <v>1.66</v>
      </c>
      <c r="W57" s="77">
        <v>1.67</v>
      </c>
      <c r="X57" s="77">
        <v>1.64</v>
      </c>
      <c r="Y57" s="77">
        <v>1.6566666666666665</v>
      </c>
      <c r="Z57" s="77">
        <v>1.62</v>
      </c>
      <c r="AA57" s="77">
        <v>1.6</v>
      </c>
      <c r="AB57" s="77">
        <v>1.59</v>
      </c>
      <c r="AC57" s="77">
        <v>1.6033333333333335</v>
      </c>
      <c r="AD57" s="77">
        <v>1.61</v>
      </c>
      <c r="AE57" s="77">
        <v>1.65</v>
      </c>
      <c r="AF57" s="77">
        <v>1.64</v>
      </c>
      <c r="AG57" s="77">
        <v>1.6333333333333331</v>
      </c>
      <c r="AH57" s="77">
        <v>1.67</v>
      </c>
      <c r="AI57" s="77">
        <v>1.65</v>
      </c>
      <c r="AJ57" s="77">
        <v>0</v>
      </c>
      <c r="AK57" s="77">
        <v>1.66</v>
      </c>
      <c r="AL57" s="77">
        <v>1.6363636363636365</v>
      </c>
    </row>
    <row r="58" spans="1:38">
      <c r="A58" s="72">
        <v>5</v>
      </c>
      <c r="B58" s="68" t="s">
        <v>179</v>
      </c>
      <c r="C58" s="74" t="s">
        <v>180</v>
      </c>
      <c r="D58" s="77">
        <v>1.3028575395482431</v>
      </c>
      <c r="E58" s="77">
        <v>1.3</v>
      </c>
      <c r="F58" s="77">
        <v>1.3</v>
      </c>
      <c r="G58" s="77">
        <v>1.2915793123518844</v>
      </c>
      <c r="H58" s="77">
        <v>1.2874985646284802</v>
      </c>
      <c r="I58" s="77">
        <v>1.2727068742968466</v>
      </c>
      <c r="J58" s="77">
        <v>1.2656430424887184</v>
      </c>
      <c r="K58" s="77">
        <v>1.2894302877745143</v>
      </c>
      <c r="L58" s="77">
        <v>1.2896221748475523</v>
      </c>
      <c r="M58" s="77">
        <v>1.2813115168431419</v>
      </c>
      <c r="N58" s="77">
        <v>1.2803303372868791</v>
      </c>
      <c r="O58" s="77">
        <v>1.3027246600021014</v>
      </c>
      <c r="P58" s="77">
        <v>1.3001395033562784</v>
      </c>
      <c r="Q58" s="77">
        <v>1.3012590436355416</v>
      </c>
      <c r="R58" s="77">
        <v>1.3044019859492437</v>
      </c>
      <c r="S58" s="77">
        <v>1.3089795964944313</v>
      </c>
      <c r="T58" s="77">
        <v>1.3067854636899072</v>
      </c>
      <c r="U58" s="77">
        <v>1.24</v>
      </c>
      <c r="V58" s="78">
        <v>1.3065736862147754</v>
      </c>
      <c r="W58" s="77">
        <v>1.3044709799588845</v>
      </c>
      <c r="X58" s="77">
        <v>1.3066955800575748</v>
      </c>
      <c r="Y58" s="77">
        <v>1.3059528573680719</v>
      </c>
      <c r="Z58" s="77">
        <v>1.3063435360478046</v>
      </c>
      <c r="AA58" s="77">
        <v>1.3010236203784049</v>
      </c>
      <c r="AB58" s="77">
        <v>1.3021418758586236</v>
      </c>
      <c r="AC58" s="77">
        <v>1.3028745624801126</v>
      </c>
      <c r="AD58" s="77">
        <v>1.3042927196240051</v>
      </c>
      <c r="AE58" s="77">
        <v>1.296366667844981</v>
      </c>
      <c r="AF58" s="77">
        <v>1.3018844520186306</v>
      </c>
      <c r="AG58" s="77">
        <v>1.3010956424910092</v>
      </c>
      <c r="AH58" s="77">
        <v>1.2894067658152215</v>
      </c>
      <c r="AI58" s="77">
        <v>1.3033663442982819</v>
      </c>
      <c r="AJ58" s="77" t="e">
        <v>#DIV/0!</v>
      </c>
      <c r="AK58" s="77">
        <v>1.2957969160129901</v>
      </c>
      <c r="AL58" s="77">
        <v>1.301898688880234</v>
      </c>
    </row>
    <row r="59" spans="1:38">
      <c r="A59" s="72">
        <v>6</v>
      </c>
      <c r="B59" s="68" t="s">
        <v>181</v>
      </c>
      <c r="C59" s="74" t="s">
        <v>182</v>
      </c>
      <c r="D59" s="80">
        <v>792.89538097775414</v>
      </c>
      <c r="E59" s="80">
        <v>797</v>
      </c>
      <c r="F59" s="80">
        <v>794</v>
      </c>
      <c r="G59" s="80">
        <v>778.03574037897079</v>
      </c>
      <c r="H59" s="80">
        <v>794.87658919174169</v>
      </c>
      <c r="I59" s="80">
        <v>780.05065335679706</v>
      </c>
      <c r="J59" s="80">
        <v>786.10023016276773</v>
      </c>
      <c r="K59" s="80">
        <v>789.34372208781008</v>
      </c>
      <c r="L59" s="80">
        <v>792.21177962585807</v>
      </c>
      <c r="M59" s="80">
        <v>801.92329005654585</v>
      </c>
      <c r="N59" s="80">
        <v>818.97243738084853</v>
      </c>
      <c r="O59" s="80">
        <v>766.63357369282755</v>
      </c>
      <c r="P59" s="80">
        <v>756.86469535834556</v>
      </c>
      <c r="Q59" s="80">
        <v>805.29086165030242</v>
      </c>
      <c r="R59" s="80">
        <v>764.73319146896313</v>
      </c>
      <c r="S59" s="80">
        <v>781.19997888367277</v>
      </c>
      <c r="T59" s="80">
        <v>761.70225381132013</v>
      </c>
      <c r="U59" s="80">
        <v>752</v>
      </c>
      <c r="V59" s="81">
        <v>732.11650909885782</v>
      </c>
      <c r="W59" s="80">
        <v>762.19853439818803</v>
      </c>
      <c r="X59" s="80">
        <v>775.66645365871295</v>
      </c>
      <c r="Y59" s="80">
        <v>756.56023811695263</v>
      </c>
      <c r="Z59" s="80">
        <v>825.22715982115665</v>
      </c>
      <c r="AA59" s="80">
        <v>781.9295797423473</v>
      </c>
      <c r="AB59" s="80">
        <v>773.19865723534349</v>
      </c>
      <c r="AC59" s="80">
        <v>790.53666556910184</v>
      </c>
      <c r="AD59" s="80">
        <v>776.268039497004</v>
      </c>
      <c r="AE59" s="80">
        <v>754.67249900585136</v>
      </c>
      <c r="AF59" s="80">
        <v>768.08133844056056</v>
      </c>
      <c r="AG59" s="80">
        <v>766.98458795374108</v>
      </c>
      <c r="AH59" s="80">
        <v>773.65908293830819</v>
      </c>
      <c r="AI59" s="80">
        <v>777.66214137985889</v>
      </c>
      <c r="AJ59" s="80" t="e">
        <v>#DIV/0!</v>
      </c>
      <c r="AK59" s="80">
        <v>775.50223112093215</v>
      </c>
      <c r="AL59" s="80">
        <v>771.87132947594193</v>
      </c>
    </row>
    <row r="60" spans="1:38">
      <c r="A60" s="72">
        <v>7</v>
      </c>
      <c r="B60" s="42" t="s">
        <v>201</v>
      </c>
      <c r="C60" s="74" t="s">
        <v>182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>
        <v>101.3205937949963</v>
      </c>
      <c r="T60" s="80">
        <v>104.11704106665086</v>
      </c>
      <c r="U60" s="80">
        <v>105</v>
      </c>
      <c r="V60" s="80">
        <v>91.431832947762771</v>
      </c>
      <c r="W60" s="80">
        <v>89.81913709895116</v>
      </c>
      <c r="X60" s="80">
        <v>69.539058826366372</v>
      </c>
      <c r="Y60" s="80">
        <v>83.396897515193217</v>
      </c>
      <c r="Z60" s="80">
        <v>79.598083364048648</v>
      </c>
      <c r="AA60" s="80">
        <v>71.204834430343354</v>
      </c>
      <c r="AB60" s="80">
        <v>75.914158973744151</v>
      </c>
      <c r="AC60" s="80">
        <v>75.202086390705446</v>
      </c>
      <c r="AD60" s="80">
        <v>77.179508819309646</v>
      </c>
      <c r="AE60" s="80">
        <v>77.706924955973406</v>
      </c>
      <c r="AF60" s="80">
        <v>77.977628534086207</v>
      </c>
      <c r="AG60" s="80">
        <v>77.624919071760843</v>
      </c>
      <c r="AH60" s="80">
        <v>66.251088911767042</v>
      </c>
      <c r="AI60" s="80">
        <v>84.139841968499766</v>
      </c>
      <c r="AJ60" s="80" t="e">
        <v>#DIV/0!</v>
      </c>
      <c r="AK60" s="80">
        <v>74.487696787307954</v>
      </c>
      <c r="AL60" s="80">
        <v>77.993463970221455</v>
      </c>
    </row>
    <row r="61" spans="1:38">
      <c r="A61" s="72">
        <v>8</v>
      </c>
      <c r="B61" s="42" t="s">
        <v>202</v>
      </c>
      <c r="C61" s="74" t="s">
        <v>182</v>
      </c>
      <c r="D61" s="80">
        <v>176.02217097375782</v>
      </c>
      <c r="E61" s="80">
        <v>173</v>
      </c>
      <c r="F61" s="80">
        <v>174</v>
      </c>
      <c r="G61" s="80">
        <v>170.69215608706034</v>
      </c>
      <c r="H61" s="80">
        <v>176.33925214624225</v>
      </c>
      <c r="I61" s="80">
        <v>172.23666064301477</v>
      </c>
      <c r="J61" s="80">
        <v>181.22816195165564</v>
      </c>
      <c r="K61" s="80">
        <v>190.15247101468128</v>
      </c>
      <c r="L61" s="80">
        <v>188.67803330316059</v>
      </c>
      <c r="M61" s="80">
        <v>189.9850208919139</v>
      </c>
      <c r="N61" s="80">
        <v>191.03854520803895</v>
      </c>
      <c r="O61" s="80">
        <v>178.78812095430709</v>
      </c>
      <c r="P61" s="80">
        <v>174.44013914377737</v>
      </c>
      <c r="Q61" s="80">
        <v>187.26995761881059</v>
      </c>
      <c r="R61" s="80">
        <v>199.72603225087067</v>
      </c>
      <c r="S61" s="80">
        <v>79.973730514013056</v>
      </c>
      <c r="T61" s="80">
        <v>80.900042245065848</v>
      </c>
      <c r="U61" s="80">
        <v>79</v>
      </c>
      <c r="V61" s="80">
        <v>85.712030408461914</v>
      </c>
      <c r="W61" s="80">
        <v>84.044955656656782</v>
      </c>
      <c r="X61" s="80">
        <v>98.572444808835414</v>
      </c>
      <c r="Y61" s="80">
        <v>89.608914461956829</v>
      </c>
      <c r="Z61" s="80">
        <v>107.12168074229579</v>
      </c>
      <c r="AA61" s="80">
        <v>102.98917763177596</v>
      </c>
      <c r="AB61" s="80">
        <v>103.89641529792591</v>
      </c>
      <c r="AC61" s="80">
        <v>104.4438290328419</v>
      </c>
      <c r="AD61" s="80">
        <v>102.07612456747404</v>
      </c>
      <c r="AE61" s="80">
        <v>102.07777083451684</v>
      </c>
      <c r="AF61" s="80">
        <v>90.92863649479753</v>
      </c>
      <c r="AG61" s="80">
        <v>98.001253482758415</v>
      </c>
      <c r="AH61" s="80">
        <v>87.701236551232583</v>
      </c>
      <c r="AI61" s="80">
        <v>86.254441321525164</v>
      </c>
      <c r="AJ61" s="80" t="e">
        <v>#DIV/0!</v>
      </c>
      <c r="AK61" s="80">
        <v>87.035081400814306</v>
      </c>
      <c r="AL61" s="80">
        <v>95.326042414564185</v>
      </c>
    </row>
    <row r="62" spans="1:38">
      <c r="A62" s="72">
        <v>9</v>
      </c>
      <c r="B62" s="68" t="s">
        <v>187</v>
      </c>
      <c r="C62" s="74" t="s">
        <v>182</v>
      </c>
      <c r="D62" s="80">
        <v>147.07262804715597</v>
      </c>
      <c r="E62" s="80">
        <v>142</v>
      </c>
      <c r="F62" s="80">
        <v>138</v>
      </c>
      <c r="G62" s="80">
        <v>151.93963267822713</v>
      </c>
      <c r="H62" s="80">
        <v>144.12782309931114</v>
      </c>
      <c r="I62" s="80">
        <v>160.19478986533272</v>
      </c>
      <c r="J62" s="80">
        <v>144.42488969744471</v>
      </c>
      <c r="K62" s="80">
        <v>147.18233217999079</v>
      </c>
      <c r="L62" s="80">
        <v>140.73873708229615</v>
      </c>
      <c r="M62" s="80">
        <v>120.35501971506559</v>
      </c>
      <c r="N62" s="80">
        <v>122.58342334713846</v>
      </c>
      <c r="O62" s="80">
        <v>187.71656431409434</v>
      </c>
      <c r="P62" s="80">
        <v>230.29102178864105</v>
      </c>
      <c r="Q62" s="80">
        <v>244.95000226234106</v>
      </c>
      <c r="R62" s="80">
        <v>265.20317798420598</v>
      </c>
      <c r="S62" s="80">
        <v>263.58939786017987</v>
      </c>
      <c r="T62" s="80">
        <v>255.51347518781759</v>
      </c>
      <c r="U62" s="80">
        <v>276</v>
      </c>
      <c r="V62" s="81">
        <v>270.88304764680521</v>
      </c>
      <c r="W62" s="80">
        <v>256.31571670298848</v>
      </c>
      <c r="X62" s="80">
        <v>236.99345301968916</v>
      </c>
      <c r="Y62" s="80">
        <v>254.64502168091335</v>
      </c>
      <c r="Z62" s="80">
        <v>191.80782359257063</v>
      </c>
      <c r="AA62" s="80">
        <v>245.93187957045919</v>
      </c>
      <c r="AB62" s="80">
        <v>245.70794868720776</v>
      </c>
      <c r="AC62" s="80">
        <v>231.12097707979441</v>
      </c>
      <c r="AD62" s="80">
        <v>247.22399720289837</v>
      </c>
      <c r="AE62" s="80">
        <v>240.12952337669716</v>
      </c>
      <c r="AF62" s="80">
        <v>232.57498175316701</v>
      </c>
      <c r="AG62" s="80">
        <v>239.80200764086683</v>
      </c>
      <c r="AH62" s="80">
        <v>277.53391182360195</v>
      </c>
      <c r="AI62" s="80">
        <v>232.89096887097631</v>
      </c>
      <c r="AJ62" s="80" t="e">
        <v>#DIV/0!</v>
      </c>
      <c r="AK62" s="80">
        <v>256.97873872993978</v>
      </c>
      <c r="AL62" s="80">
        <v>244.82887724340719</v>
      </c>
    </row>
    <row r="63" spans="1:38">
      <c r="A63" s="72">
        <v>10</v>
      </c>
      <c r="B63" s="68" t="s">
        <v>203</v>
      </c>
      <c r="C63" s="74" t="s">
        <v>182</v>
      </c>
      <c r="D63" s="80">
        <v>65.925969095510851</v>
      </c>
      <c r="E63" s="80">
        <v>66</v>
      </c>
      <c r="F63" s="80">
        <v>66</v>
      </c>
      <c r="G63" s="80">
        <v>66.813501694661554</v>
      </c>
      <c r="H63" s="80">
        <v>66.254044098848951</v>
      </c>
      <c r="I63" s="80">
        <v>65.825703870822906</v>
      </c>
      <c r="J63" s="80">
        <v>65.331231247966372</v>
      </c>
      <c r="K63" s="80">
        <v>65.785508641397186</v>
      </c>
      <c r="L63" s="80">
        <v>65.950417703854569</v>
      </c>
      <c r="M63" s="80">
        <v>64.219926669782069</v>
      </c>
      <c r="N63" s="80">
        <v>65.062038660401583</v>
      </c>
      <c r="O63" s="80">
        <v>72.799419694725003</v>
      </c>
      <c r="P63" s="80">
        <v>62.737000862574043</v>
      </c>
      <c r="Q63" s="80">
        <v>66.945387086557176</v>
      </c>
      <c r="R63" s="80">
        <v>69.991517316554166</v>
      </c>
      <c r="S63" s="80">
        <v>70.38711167873349</v>
      </c>
      <c r="T63" s="80">
        <v>72.038954397563117</v>
      </c>
      <c r="U63" s="80">
        <v>72</v>
      </c>
      <c r="V63" s="81">
        <v>73.003382091310399</v>
      </c>
      <c r="W63" s="80">
        <v>73.997748266757966</v>
      </c>
      <c r="X63" s="80">
        <v>70.997962357877469</v>
      </c>
      <c r="Y63" s="80">
        <v>72.626914180063508</v>
      </c>
      <c r="Z63" s="80">
        <v>69.998878223105393</v>
      </c>
      <c r="AA63" s="80">
        <v>68.300103612047749</v>
      </c>
      <c r="AB63" s="80">
        <v>68.001438676417692</v>
      </c>
      <c r="AC63" s="80">
        <v>68.653767736392567</v>
      </c>
      <c r="AD63" s="80">
        <v>66.997817778474371</v>
      </c>
      <c r="AE63" s="80">
        <v>66.998522979037659</v>
      </c>
      <c r="AF63" s="80">
        <v>67.097423943239619</v>
      </c>
      <c r="AG63" s="80">
        <v>67.03443768060184</v>
      </c>
      <c r="AH63" s="80">
        <v>67.999004423527282</v>
      </c>
      <c r="AI63" s="80">
        <v>66.102773505859901</v>
      </c>
      <c r="AJ63" s="80" t="e">
        <v>#DIV/0!</v>
      </c>
      <c r="AK63" s="80">
        <v>67.125913355593681</v>
      </c>
      <c r="AL63" s="80">
        <v>69.015269380081662</v>
      </c>
    </row>
    <row r="64" spans="1:38">
      <c r="A64" s="72">
        <v>11</v>
      </c>
      <c r="B64" s="68" t="s">
        <v>204</v>
      </c>
      <c r="C64" s="74" t="s">
        <v>182</v>
      </c>
      <c r="D64" s="80">
        <v>14.539034401225523</v>
      </c>
      <c r="E64" s="80">
        <v>13</v>
      </c>
      <c r="F64" s="80">
        <v>13</v>
      </c>
      <c r="G64" s="80">
        <v>11.113436168766601</v>
      </c>
      <c r="H64" s="80">
        <v>11.528501435172606</v>
      </c>
      <c r="I64" s="80">
        <v>14.202288496998078</v>
      </c>
      <c r="J64" s="80">
        <v>12.75333034918706</v>
      </c>
      <c r="K64" s="80">
        <v>11.727997606597466</v>
      </c>
      <c r="L64" s="80">
        <v>10.553386889944935</v>
      </c>
      <c r="M64" s="80">
        <v>11.814757220764175</v>
      </c>
      <c r="N64" s="80">
        <v>14.218261011688828</v>
      </c>
      <c r="O64" s="80">
        <v>14.221782348638065</v>
      </c>
      <c r="P64" s="80">
        <v>14.233519647927256</v>
      </c>
      <c r="Q64" s="80">
        <v>15.345911949685535</v>
      </c>
      <c r="R64" s="80">
        <v>14.309578346022622</v>
      </c>
      <c r="S64" s="80">
        <v>12.064397048944837</v>
      </c>
      <c r="T64" s="80">
        <v>11.925955022592463</v>
      </c>
      <c r="U64" s="80">
        <v>12</v>
      </c>
      <c r="V64" s="81">
        <v>12.751152157677105</v>
      </c>
      <c r="W64" s="80">
        <v>13.319463007709881</v>
      </c>
      <c r="X64" s="80">
        <v>13.063817986713126</v>
      </c>
      <c r="Y64" s="80">
        <v>13.037566431479194</v>
      </c>
      <c r="Z64" s="80">
        <v>12.836332751077707</v>
      </c>
      <c r="AA64" s="80">
        <v>9.7143781180937765</v>
      </c>
      <c r="AB64" s="80">
        <v>9.9208727970267354</v>
      </c>
      <c r="AC64" s="80">
        <v>10.63910979500252</v>
      </c>
      <c r="AD64" s="80">
        <v>13.051131499945745</v>
      </c>
      <c r="AE64" s="80">
        <v>12.419757995796171</v>
      </c>
      <c r="AF64" s="80">
        <v>15.695105322417295</v>
      </c>
      <c r="AG64" s="80">
        <v>13.833816317201466</v>
      </c>
      <c r="AH64" s="80">
        <v>17.699765813261529</v>
      </c>
      <c r="AI64" s="80">
        <v>17.698997719679696</v>
      </c>
      <c r="AJ64" s="80" t="e">
        <v>#DIV/0!</v>
      </c>
      <c r="AK64" s="80">
        <v>17.699412156099111</v>
      </c>
      <c r="AL64" s="80">
        <v>13.501250475134892</v>
      </c>
    </row>
    <row r="65" spans="1:38">
      <c r="A65" s="72">
        <v>12</v>
      </c>
      <c r="B65" s="68" t="s">
        <v>185</v>
      </c>
      <c r="C65" s="74" t="s">
        <v>182</v>
      </c>
      <c r="D65" s="83">
        <v>9.6155046956174228</v>
      </c>
      <c r="E65" s="83">
        <v>10.4</v>
      </c>
      <c r="F65" s="83">
        <v>10</v>
      </c>
      <c r="G65" s="83">
        <v>10.194444402016385</v>
      </c>
      <c r="H65" s="83">
        <v>12.591722217153695</v>
      </c>
      <c r="I65" s="83">
        <v>9.7331839425599131</v>
      </c>
      <c r="J65" s="83">
        <v>13.565881021249158</v>
      </c>
      <c r="K65" s="80">
        <v>10.573571112672026</v>
      </c>
      <c r="L65" s="80">
        <v>7.0799860451082441</v>
      </c>
      <c r="M65" s="80">
        <v>5.5220464820804853</v>
      </c>
      <c r="N65" s="80">
        <v>7.5774435355613337</v>
      </c>
      <c r="O65" s="80">
        <v>17.139189252877451</v>
      </c>
      <c r="P65" s="80">
        <v>12.173508391493321</v>
      </c>
      <c r="Q65" s="80">
        <v>9.5428562810129254</v>
      </c>
      <c r="R65" s="80">
        <v>9.4226564763308112</v>
      </c>
      <c r="S65" s="80">
        <v>5.6481332149656636</v>
      </c>
      <c r="T65" s="80">
        <v>5.4538132965727142</v>
      </c>
      <c r="U65" s="80">
        <v>3</v>
      </c>
      <c r="V65" s="81">
        <v>6.6245271447741523</v>
      </c>
      <c r="W65" s="80">
        <v>1.6262517859141576</v>
      </c>
      <c r="X65" s="80">
        <v>3.5688879779114773</v>
      </c>
      <c r="Y65" s="80">
        <v>4.0003979670516445</v>
      </c>
      <c r="Z65" s="80">
        <v>5.0479960257047161</v>
      </c>
      <c r="AA65" s="80">
        <v>3.8689816672555986</v>
      </c>
      <c r="AB65" s="80">
        <v>3.0152259920872799</v>
      </c>
      <c r="AC65" s="80">
        <v>3.8792736883192216</v>
      </c>
      <c r="AD65" s="80">
        <v>4.1896241997516368</v>
      </c>
      <c r="AE65" s="80">
        <v>3.4582173493154578</v>
      </c>
      <c r="AF65" s="80">
        <v>5.0751656359799258</v>
      </c>
      <c r="AG65" s="80">
        <v>4.3003146117616398</v>
      </c>
      <c r="AH65" s="80">
        <v>6.5278139177065535</v>
      </c>
      <c r="AI65" s="80">
        <v>9.9101129554011766</v>
      </c>
      <c r="AJ65" s="80" t="e">
        <v>#DIV/0!</v>
      </c>
      <c r="AK65" s="80">
        <v>8.0851427490095791</v>
      </c>
      <c r="AL65" s="80">
        <v>4.8152709781329515</v>
      </c>
    </row>
    <row r="66" spans="1:38">
      <c r="A66" s="72">
        <v>13</v>
      </c>
      <c r="B66" s="68" t="s">
        <v>186</v>
      </c>
      <c r="C66" s="74" t="s">
        <v>182</v>
      </c>
      <c r="D66" s="80">
        <v>35.760893998934328</v>
      </c>
      <c r="E66" s="80">
        <v>36</v>
      </c>
      <c r="F66" s="80">
        <v>38</v>
      </c>
      <c r="G66" s="80">
        <v>38.469860888575937</v>
      </c>
      <c r="H66" s="80">
        <v>32.771361915140844</v>
      </c>
      <c r="I66" s="80">
        <v>32.342646771965782</v>
      </c>
      <c r="J66" s="80">
        <v>21.753707262441285</v>
      </c>
      <c r="K66" s="80">
        <v>16.34136770814364</v>
      </c>
      <c r="L66" s="80">
        <v>20.203948857207514</v>
      </c>
      <c r="M66" s="80">
        <v>31.172198044146665</v>
      </c>
      <c r="N66" s="80">
        <v>30.613740358571576</v>
      </c>
      <c r="O66" s="80">
        <v>15.91229030017274</v>
      </c>
      <c r="P66" s="80">
        <v>13.700044333999566</v>
      </c>
      <c r="Q66" s="80">
        <v>4.5427808696439076</v>
      </c>
      <c r="R66" s="80">
        <v>8.7046504696738864</v>
      </c>
      <c r="S66" s="80">
        <v>6.3101978783902961</v>
      </c>
      <c r="T66" s="80">
        <v>3.7664811342429609</v>
      </c>
      <c r="U66" s="80">
        <v>5</v>
      </c>
      <c r="V66" s="81">
        <v>6.976701823414758</v>
      </c>
      <c r="W66" s="80">
        <v>4.6417308059493161</v>
      </c>
      <c r="X66" s="80">
        <v>9.543158224719372</v>
      </c>
      <c r="Y66" s="80">
        <v>7.1240247734489648</v>
      </c>
      <c r="Z66" s="80">
        <v>0</v>
      </c>
      <c r="AA66" s="80">
        <v>0</v>
      </c>
      <c r="AB66" s="80">
        <v>0</v>
      </c>
      <c r="AC66" s="80">
        <v>0</v>
      </c>
      <c r="AD66" s="80">
        <v>1.2659296143134442</v>
      </c>
      <c r="AE66" s="80">
        <v>6.9093336363119917</v>
      </c>
      <c r="AF66" s="80">
        <v>6.2067521768896086</v>
      </c>
      <c r="AG66" s="80">
        <v>4.7160737445005001</v>
      </c>
      <c r="AH66" s="80">
        <v>7.398943331334638</v>
      </c>
      <c r="AI66" s="80">
        <v>9.5786710505382615</v>
      </c>
      <c r="AJ66" s="80" t="e">
        <v>#DIV/0!</v>
      </c>
      <c r="AK66" s="80">
        <v>8.4025662468944393</v>
      </c>
      <c r="AL66" s="80">
        <v>4.8341051540578519</v>
      </c>
    </row>
    <row r="67" spans="1:38">
      <c r="A67" s="72">
        <v>14</v>
      </c>
      <c r="B67" s="68" t="s">
        <v>189</v>
      </c>
      <c r="C67" s="74" t="s">
        <v>182</v>
      </c>
      <c r="D67" s="80">
        <v>21.120391800985747</v>
      </c>
      <c r="E67" s="80">
        <v>24</v>
      </c>
      <c r="F67" s="80">
        <v>18</v>
      </c>
      <c r="G67" s="80">
        <v>20.479515138925589</v>
      </c>
      <c r="H67" s="80">
        <v>21.392242749195191</v>
      </c>
      <c r="I67" s="80">
        <v>20.139362453317574</v>
      </c>
      <c r="J67" s="80">
        <v>18.558633380851969</v>
      </c>
      <c r="K67" s="80">
        <v>23.11725504478958</v>
      </c>
      <c r="L67" s="80">
        <v>15.063975635513314</v>
      </c>
      <c r="M67" s="80">
        <v>0.12853925703166866</v>
      </c>
      <c r="N67" s="80">
        <v>3.9370560751327286</v>
      </c>
      <c r="O67" s="80">
        <v>0.52354518983892029</v>
      </c>
      <c r="P67" s="80">
        <v>0</v>
      </c>
      <c r="Q67" s="80">
        <v>7</v>
      </c>
      <c r="R67" s="80">
        <v>0</v>
      </c>
      <c r="S67" s="80">
        <v>0</v>
      </c>
      <c r="T67" s="80">
        <v>0</v>
      </c>
      <c r="U67" s="80"/>
      <c r="V67" s="81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0">
        <v>0</v>
      </c>
      <c r="AH67" s="80">
        <v>0</v>
      </c>
      <c r="AI67" s="80">
        <v>0</v>
      </c>
      <c r="AJ67" s="80" t="e">
        <v>#DIV/0!</v>
      </c>
      <c r="AK67" s="80">
        <v>0</v>
      </c>
      <c r="AL67" s="80">
        <v>0</v>
      </c>
    </row>
    <row r="68" spans="1:38">
      <c r="A68" s="72">
        <v>15</v>
      </c>
      <c r="B68" s="68" t="s">
        <v>190</v>
      </c>
      <c r="C68" s="74" t="s">
        <v>191</v>
      </c>
      <c r="D68" s="83">
        <v>95.024762394803119</v>
      </c>
      <c r="E68" s="83">
        <v>95.2</v>
      </c>
      <c r="F68" s="83">
        <v>96.13</v>
      </c>
      <c r="G68" s="83">
        <v>96.262216102101746</v>
      </c>
      <c r="H68" s="83">
        <v>97.179128076616934</v>
      </c>
      <c r="I68" s="83">
        <v>92.872126155623107</v>
      </c>
      <c r="J68" s="83">
        <v>82.398994049968749</v>
      </c>
      <c r="K68" s="77">
        <v>89.539035636793528</v>
      </c>
      <c r="L68" s="77">
        <v>81.502787057397796</v>
      </c>
      <c r="M68" s="77">
        <v>83.114040211007335</v>
      </c>
      <c r="N68" s="77">
        <v>80.572524828760976</v>
      </c>
      <c r="O68" s="77">
        <v>92.292209903917211</v>
      </c>
      <c r="P68" s="77">
        <v>91.357118784642623</v>
      </c>
      <c r="Q68" s="77">
        <v>77.1445415106121</v>
      </c>
      <c r="R68" s="77">
        <v>92.587598635683193</v>
      </c>
      <c r="S68" s="77">
        <v>97.510459630278035</v>
      </c>
      <c r="T68" s="77">
        <v>96.615315699454314</v>
      </c>
      <c r="U68" s="83">
        <v>95</v>
      </c>
      <c r="V68" s="78">
        <v>94.256999282124909</v>
      </c>
      <c r="W68" s="77">
        <v>87.601300108342357</v>
      </c>
      <c r="X68" s="77">
        <v>94.217313858211611</v>
      </c>
      <c r="Y68" s="77">
        <v>92.039703420234403</v>
      </c>
      <c r="Z68" s="77">
        <v>89.897018970189706</v>
      </c>
      <c r="AA68" s="77">
        <v>90.602507624534041</v>
      </c>
      <c r="AB68" s="77">
        <v>95.185449358059913</v>
      </c>
      <c r="AC68" s="77">
        <v>92.019073911406707</v>
      </c>
      <c r="AD68" s="77">
        <v>92.710986703988794</v>
      </c>
      <c r="AE68" s="77">
        <v>81.878437047756876</v>
      </c>
      <c r="AF68" s="77">
        <v>95.037634408602159</v>
      </c>
      <c r="AG68" s="77">
        <v>90.033961386368915</v>
      </c>
      <c r="AH68" s="77">
        <v>97.286103542234343</v>
      </c>
      <c r="AI68" s="77">
        <v>92.116683475443921</v>
      </c>
      <c r="AJ68" s="77" t="e">
        <v>#DIV/0!</v>
      </c>
      <c r="AK68" s="77">
        <v>94.849541205110839</v>
      </c>
      <c r="AL68" s="77">
        <v>91.980495153313285</v>
      </c>
    </row>
    <row r="69" spans="1:38">
      <c r="A69" s="72">
        <v>16</v>
      </c>
      <c r="B69" s="68" t="s">
        <v>205</v>
      </c>
      <c r="C69" s="74" t="s">
        <v>146</v>
      </c>
      <c r="D69" s="77">
        <v>90.1</v>
      </c>
      <c r="E69" s="77">
        <v>90</v>
      </c>
      <c r="F69" s="77">
        <v>90.3</v>
      </c>
      <c r="G69" s="77">
        <v>90.34333333333332</v>
      </c>
      <c r="H69" s="77">
        <v>90.431666666666658</v>
      </c>
      <c r="I69" s="77">
        <v>88.419166666666669</v>
      </c>
      <c r="J69" s="77">
        <v>88.081666666666663</v>
      </c>
      <c r="K69" s="77">
        <v>87.554166666666674</v>
      </c>
      <c r="L69" s="77">
        <v>87.509166666666673</v>
      </c>
      <c r="M69" s="77">
        <v>89.951666666666654</v>
      </c>
      <c r="N69" s="77">
        <v>88.788333333333313</v>
      </c>
      <c r="O69" s="77">
        <v>88.172499999999999</v>
      </c>
      <c r="P69" s="77">
        <v>89.311666666666667</v>
      </c>
      <c r="Q69" s="77">
        <v>90.115833333333342</v>
      </c>
      <c r="R69" s="77">
        <v>89.30083333333333</v>
      </c>
      <c r="S69" s="77">
        <v>89.259166666666658</v>
      </c>
      <c r="T69" s="77">
        <v>87.492500000000007</v>
      </c>
      <c r="U69" s="83">
        <v>90</v>
      </c>
      <c r="V69" s="78">
        <v>90.11</v>
      </c>
      <c r="W69" s="77">
        <v>88.83</v>
      </c>
      <c r="X69" s="77">
        <v>87</v>
      </c>
      <c r="Y69" s="77">
        <v>88.646666666666661</v>
      </c>
      <c r="Z69" s="77">
        <v>89.5</v>
      </c>
      <c r="AA69" s="77">
        <v>88</v>
      </c>
      <c r="AB69" s="77">
        <v>86.48</v>
      </c>
      <c r="AC69" s="77">
        <v>87.993333333333339</v>
      </c>
      <c r="AD69" s="77">
        <v>87.33</v>
      </c>
      <c r="AE69" s="77">
        <v>86.48</v>
      </c>
      <c r="AF69" s="77">
        <v>86.43</v>
      </c>
      <c r="AG69" s="77">
        <v>86.74666666666667</v>
      </c>
      <c r="AH69" s="77">
        <v>89.23</v>
      </c>
      <c r="AI69" s="77">
        <v>85.27</v>
      </c>
      <c r="AJ69" s="77">
        <v>0</v>
      </c>
      <c r="AK69" s="77">
        <v>87.25</v>
      </c>
      <c r="AL69" s="77">
        <v>87.696363636363643</v>
      </c>
    </row>
    <row r="70" spans="1:38">
      <c r="A70" s="72">
        <v>17</v>
      </c>
      <c r="B70" s="68" t="s">
        <v>206</v>
      </c>
      <c r="C70" s="74" t="s">
        <v>146</v>
      </c>
      <c r="D70" s="77">
        <v>80.625</v>
      </c>
      <c r="E70" s="77">
        <v>80.7</v>
      </c>
      <c r="F70" s="77">
        <v>80.8</v>
      </c>
      <c r="G70" s="77">
        <v>80.652500000000003</v>
      </c>
      <c r="H70" s="77">
        <v>80.534999999999997</v>
      </c>
      <c r="I70" s="77">
        <v>77.520833333333329</v>
      </c>
      <c r="J70" s="77">
        <v>73.970000000000013</v>
      </c>
      <c r="K70" s="77">
        <v>75.969166666666666</v>
      </c>
      <c r="L70" s="77">
        <v>78.39500000000001</v>
      </c>
      <c r="M70" s="77">
        <v>81.952500000000001</v>
      </c>
      <c r="N70" s="77">
        <v>80.37166666666667</v>
      </c>
      <c r="O70" s="77">
        <v>79.303333333333327</v>
      </c>
      <c r="P70" s="77">
        <v>82.099166666666648</v>
      </c>
      <c r="Q70" s="77">
        <v>82.782500000000013</v>
      </c>
      <c r="R70" s="77">
        <v>78.71916666666668</v>
      </c>
      <c r="S70" s="77">
        <v>75.716666666666683</v>
      </c>
      <c r="T70" s="77">
        <v>74.643333333333317</v>
      </c>
      <c r="U70" s="83">
        <v>81</v>
      </c>
      <c r="V70" s="78">
        <v>78.61</v>
      </c>
      <c r="W70" s="77">
        <v>77.73</v>
      </c>
      <c r="X70" s="77">
        <v>80.209999999999994</v>
      </c>
      <c r="Y70" s="77">
        <v>78.850000000000009</v>
      </c>
      <c r="Z70" s="77">
        <v>76.09</v>
      </c>
      <c r="AA70" s="77">
        <v>76.819999999999993</v>
      </c>
      <c r="AB70" s="77">
        <v>76.83</v>
      </c>
      <c r="AC70" s="77">
        <v>76.58</v>
      </c>
      <c r="AD70" s="77">
        <v>75.59</v>
      </c>
      <c r="AE70" s="77">
        <v>78.3</v>
      </c>
      <c r="AF70" s="77">
        <v>77.61</v>
      </c>
      <c r="AG70" s="77">
        <v>77.166666666666671</v>
      </c>
      <c r="AH70" s="77">
        <v>76.58</v>
      </c>
      <c r="AI70" s="77">
        <v>78.88</v>
      </c>
      <c r="AJ70" s="77">
        <v>0</v>
      </c>
      <c r="AK70" s="77">
        <v>77.72999999999999</v>
      </c>
      <c r="AL70" s="77">
        <v>77.568181818181813</v>
      </c>
    </row>
    <row r="71" spans="1:38">
      <c r="A71" s="72">
        <v>18</v>
      </c>
      <c r="B71" s="68" t="s">
        <v>197</v>
      </c>
      <c r="C71" s="74" t="s">
        <v>146</v>
      </c>
      <c r="D71" s="77">
        <v>73.733333333333334</v>
      </c>
      <c r="E71" s="77">
        <v>73.900000000000006</v>
      </c>
      <c r="F71" s="77">
        <v>73.900000000000006</v>
      </c>
      <c r="G71" s="77">
        <v>73.735833333333332</v>
      </c>
      <c r="H71" s="77">
        <v>73.44916666666667</v>
      </c>
      <c r="I71" s="77">
        <v>72.485833333333332</v>
      </c>
      <c r="J71" s="77">
        <v>72.80083333333333</v>
      </c>
      <c r="K71" s="77">
        <v>72.995833333333337</v>
      </c>
      <c r="L71" s="77">
        <v>73.26166666666667</v>
      </c>
      <c r="M71" s="77">
        <v>73.597500000000011</v>
      </c>
      <c r="N71" s="77">
        <v>74.710000000000022</v>
      </c>
      <c r="O71" s="77">
        <v>74.447499999999991</v>
      </c>
      <c r="P71" s="77">
        <v>74.283333333333331</v>
      </c>
      <c r="Q71" s="77">
        <v>73.726666666666659</v>
      </c>
      <c r="R71" s="77">
        <v>73.782727272727271</v>
      </c>
      <c r="S71" s="77">
        <v>73.910833333333329</v>
      </c>
      <c r="T71" s="77">
        <v>74.247500000000002</v>
      </c>
      <c r="U71" s="83">
        <v>74</v>
      </c>
      <c r="V71" s="78">
        <v>74.44</v>
      </c>
      <c r="W71" s="77">
        <v>74.42</v>
      </c>
      <c r="X71" s="77">
        <v>74.42</v>
      </c>
      <c r="Y71" s="77">
        <v>74.426666666666677</v>
      </c>
      <c r="Z71" s="77">
        <v>74.13</v>
      </c>
      <c r="AA71" s="77">
        <v>74.06</v>
      </c>
      <c r="AB71" s="77">
        <v>74.17</v>
      </c>
      <c r="AC71" s="77">
        <v>74.12</v>
      </c>
      <c r="AD71" s="77">
        <v>74.239999999999995</v>
      </c>
      <c r="AE71" s="77">
        <v>74.12</v>
      </c>
      <c r="AF71" s="77">
        <v>74.41</v>
      </c>
      <c r="AG71" s="77">
        <v>74.256666666666675</v>
      </c>
      <c r="AH71" s="77">
        <v>74.62</v>
      </c>
      <c r="AI71" s="77">
        <v>74.25</v>
      </c>
      <c r="AJ71" s="77">
        <v>0</v>
      </c>
      <c r="AK71" s="77">
        <v>74.435000000000002</v>
      </c>
      <c r="AL71" s="77">
        <v>74.298181818181817</v>
      </c>
    </row>
    <row r="72" spans="1:38">
      <c r="A72" s="72">
        <v>19</v>
      </c>
      <c r="B72" s="68" t="s">
        <v>198</v>
      </c>
      <c r="C72" s="74" t="s">
        <v>146</v>
      </c>
      <c r="D72" s="77">
        <v>18.410779110560757</v>
      </c>
      <c r="E72" s="77">
        <v>17.8</v>
      </c>
      <c r="F72" s="77">
        <v>16.920000000000002</v>
      </c>
      <c r="G72" s="77">
        <v>17.993230683830369</v>
      </c>
      <c r="H72" s="77">
        <v>18.174514204572372</v>
      </c>
      <c r="I72" s="77">
        <v>17.151905554840972</v>
      </c>
      <c r="J72" s="77">
        <v>16.568831180335248</v>
      </c>
      <c r="K72" s="77">
        <v>16.412519713908271</v>
      </c>
      <c r="L72" s="77">
        <v>16.435793578404422</v>
      </c>
      <c r="M72" s="77">
        <v>16.019595940596599</v>
      </c>
      <c r="N72" s="77">
        <v>14.524949043090194</v>
      </c>
      <c r="O72" s="77">
        <v>8.9923213053780859</v>
      </c>
      <c r="P72" s="77">
        <v>10.786850233736169</v>
      </c>
      <c r="Q72" s="77">
        <v>10.361671937079381</v>
      </c>
      <c r="R72" s="77">
        <v>10.181840572099681</v>
      </c>
      <c r="S72" s="77">
        <v>10.300831795246369</v>
      </c>
      <c r="T72" s="77">
        <v>11.415754352056981</v>
      </c>
      <c r="U72" s="75">
        <v>20</v>
      </c>
      <c r="V72" s="78">
        <v>11.822839186320557</v>
      </c>
      <c r="W72" s="77">
        <v>10.450279447432246</v>
      </c>
      <c r="X72" s="77">
        <v>7.197243905629934</v>
      </c>
      <c r="Y72" s="77">
        <v>9.8423390954484109</v>
      </c>
      <c r="Z72" s="77">
        <v>6.9193728616355825</v>
      </c>
      <c r="AA72" s="77">
        <v>8.2666872060830894</v>
      </c>
      <c r="AB72" s="77">
        <v>9.409993851894253</v>
      </c>
      <c r="AC72" s="77">
        <v>8.3222421931848576</v>
      </c>
      <c r="AD72" s="77">
        <v>6.7976519967152287</v>
      </c>
      <c r="AE72" s="77">
        <v>8.3127940846963924</v>
      </c>
      <c r="AF72" s="77">
        <v>9.4403009065775088</v>
      </c>
      <c r="AG72" s="77">
        <v>8.2119066056830814</v>
      </c>
      <c r="AH72" s="77">
        <v>10.570959961408587</v>
      </c>
      <c r="AI72" s="77">
        <v>9.5828243086942191</v>
      </c>
      <c r="AJ72" s="77" t="e">
        <v>#DIV/0!</v>
      </c>
      <c r="AK72" s="77">
        <v>10.122553256071804</v>
      </c>
      <c r="AL72" s="77">
        <v>9.0576054317080317</v>
      </c>
    </row>
    <row r="73" spans="1:38">
      <c r="A73" s="7"/>
      <c r="B73" s="86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 t="s">
        <v>143</v>
      </c>
      <c r="V73" s="71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 t="s">
        <v>207</v>
      </c>
    </row>
    <row r="74" spans="1:38" s="64" customFormat="1">
      <c r="A74" s="7"/>
      <c r="B74" s="86"/>
      <c r="C74" s="74" t="s">
        <v>118</v>
      </c>
      <c r="D74" s="75" t="s">
        <v>119</v>
      </c>
      <c r="E74" s="87" t="s">
        <v>120</v>
      </c>
      <c r="F74" s="87" t="s">
        <v>121</v>
      </c>
      <c r="G74" s="87" t="s">
        <v>122</v>
      </c>
      <c r="H74" s="87" t="s">
        <v>123</v>
      </c>
      <c r="I74" s="75" t="s">
        <v>124</v>
      </c>
      <c r="J74" s="75" t="s">
        <v>125</v>
      </c>
      <c r="K74" s="75" t="s">
        <v>126</v>
      </c>
      <c r="L74" s="75" t="s">
        <v>127</v>
      </c>
      <c r="M74" s="75" t="s">
        <v>128</v>
      </c>
      <c r="N74" s="75" t="s">
        <v>129</v>
      </c>
      <c r="O74" s="75" t="s">
        <v>130</v>
      </c>
      <c r="P74" s="75" t="s">
        <v>131</v>
      </c>
      <c r="Q74" s="75" t="s">
        <v>132</v>
      </c>
      <c r="R74" s="75" t="s">
        <v>133</v>
      </c>
      <c r="S74" s="53" t="s">
        <v>134</v>
      </c>
      <c r="T74" s="53" t="s">
        <v>135</v>
      </c>
      <c r="U74" s="75" t="s">
        <v>136</v>
      </c>
      <c r="V74" s="71" t="s">
        <v>4</v>
      </c>
      <c r="W74" s="75" t="s">
        <v>5</v>
      </c>
      <c r="X74" s="75" t="s">
        <v>6</v>
      </c>
      <c r="Y74" s="75" t="s">
        <v>137</v>
      </c>
      <c r="Z74" s="75" t="s">
        <v>174</v>
      </c>
      <c r="AA74" s="75" t="s">
        <v>9</v>
      </c>
      <c r="AB74" s="75" t="s">
        <v>10</v>
      </c>
      <c r="AC74" s="75" t="s">
        <v>138</v>
      </c>
      <c r="AD74" s="75" t="s">
        <v>12</v>
      </c>
      <c r="AE74" s="75" t="s">
        <v>13</v>
      </c>
      <c r="AF74" s="75" t="s">
        <v>14</v>
      </c>
      <c r="AG74" s="75" t="s">
        <v>139</v>
      </c>
      <c r="AH74" s="75" t="s">
        <v>16</v>
      </c>
      <c r="AI74" s="75" t="s">
        <v>17</v>
      </c>
      <c r="AJ74" s="75" t="s">
        <v>18</v>
      </c>
      <c r="AK74" s="75" t="s">
        <v>140</v>
      </c>
      <c r="AL74" s="75" t="s">
        <v>141</v>
      </c>
    </row>
    <row r="75" spans="1:38">
      <c r="A75" s="72" t="s">
        <v>208</v>
      </c>
      <c r="B75" s="90" t="s">
        <v>209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1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</row>
    <row r="76" spans="1:38">
      <c r="A76" s="72">
        <v>1</v>
      </c>
      <c r="B76" s="68" t="s">
        <v>175</v>
      </c>
      <c r="C76" s="74" t="s">
        <v>146</v>
      </c>
      <c r="D76" s="77"/>
      <c r="E76" s="77"/>
      <c r="F76" s="77"/>
      <c r="G76" s="77"/>
      <c r="H76" s="77"/>
      <c r="I76" s="77"/>
      <c r="J76" s="77"/>
      <c r="K76" s="77">
        <v>9.745000000000001</v>
      </c>
      <c r="L76" s="77">
        <v>9.7841666666666676</v>
      </c>
      <c r="M76" s="77">
        <v>10.059166666666664</v>
      </c>
      <c r="N76" s="77">
        <v>10.208333333333334</v>
      </c>
      <c r="O76" s="77">
        <v>9.83</v>
      </c>
      <c r="P76" s="77">
        <v>10.176666666666668</v>
      </c>
      <c r="Q76" s="77">
        <v>9.6958333333333346</v>
      </c>
      <c r="R76" s="77">
        <v>9.894166666666667</v>
      </c>
      <c r="S76" s="77">
        <v>10.106666666666667</v>
      </c>
      <c r="T76" s="77">
        <v>10.290833333333333</v>
      </c>
      <c r="U76" s="87">
        <v>9.5</v>
      </c>
      <c r="V76" s="78">
        <v>10.26</v>
      </c>
      <c r="W76" s="77">
        <v>10.39</v>
      </c>
      <c r="X76" s="77">
        <v>10.29</v>
      </c>
      <c r="Y76" s="77">
        <v>10.313333333333333</v>
      </c>
      <c r="Z76" s="77">
        <v>10.4</v>
      </c>
      <c r="AA76" s="77">
        <v>10.4</v>
      </c>
      <c r="AB76" s="77">
        <v>10.18</v>
      </c>
      <c r="AC76" s="77">
        <v>10.326666666666666</v>
      </c>
      <c r="AD76" s="77">
        <v>10.130000000000001</v>
      </c>
      <c r="AE76" s="77">
        <v>9.98</v>
      </c>
      <c r="AF76" s="77">
        <v>9.94</v>
      </c>
      <c r="AG76" s="77">
        <v>10.016666666666666</v>
      </c>
      <c r="AH76" s="77">
        <v>10.06</v>
      </c>
      <c r="AI76" s="77">
        <v>9.9499999999999993</v>
      </c>
      <c r="AJ76" s="77">
        <v>0</v>
      </c>
      <c r="AK76" s="77">
        <v>10.004999999999999</v>
      </c>
      <c r="AL76" s="77">
        <v>10.18</v>
      </c>
    </row>
    <row r="77" spans="1:38">
      <c r="A77" s="72">
        <v>2</v>
      </c>
      <c r="B77" s="68" t="s">
        <v>176</v>
      </c>
      <c r="C77" s="74" t="s">
        <v>146</v>
      </c>
      <c r="D77" s="77"/>
      <c r="E77" s="77"/>
      <c r="F77" s="77"/>
      <c r="G77" s="77"/>
      <c r="H77" s="77"/>
      <c r="I77" s="77"/>
      <c r="J77" s="77"/>
      <c r="K77" s="77">
        <v>54.06333333333334</v>
      </c>
      <c r="L77" s="77">
        <v>54.52</v>
      </c>
      <c r="M77" s="77">
        <v>54.742500000000014</v>
      </c>
      <c r="N77" s="77">
        <v>55.218333333333327</v>
      </c>
      <c r="O77" s="77">
        <v>54.677500000000002</v>
      </c>
      <c r="P77" s="77">
        <v>53.1</v>
      </c>
      <c r="Q77" s="77">
        <v>54.633333333333326</v>
      </c>
      <c r="R77" s="77">
        <v>53.49583333333333</v>
      </c>
      <c r="S77" s="77">
        <v>53.392499999999991</v>
      </c>
      <c r="T77" s="77">
        <v>53.159166666666664</v>
      </c>
      <c r="U77" s="83">
        <v>54</v>
      </c>
      <c r="V77" s="78">
        <v>53.98</v>
      </c>
      <c r="W77" s="77">
        <v>53.96</v>
      </c>
      <c r="X77" s="77">
        <v>54.3</v>
      </c>
      <c r="Y77" s="77">
        <v>54.080000000000005</v>
      </c>
      <c r="Z77" s="77">
        <v>54.18</v>
      </c>
      <c r="AA77" s="77">
        <v>54.38</v>
      </c>
      <c r="AB77" s="77">
        <v>54.18</v>
      </c>
      <c r="AC77" s="77">
        <v>54.24666666666667</v>
      </c>
      <c r="AD77" s="77">
        <v>54.4</v>
      </c>
      <c r="AE77" s="77">
        <v>54.29</v>
      </c>
      <c r="AF77" s="77">
        <v>54.13</v>
      </c>
      <c r="AG77" s="77">
        <v>54.273333333333333</v>
      </c>
      <c r="AH77" s="77">
        <v>54.29</v>
      </c>
      <c r="AI77" s="77">
        <v>54.09</v>
      </c>
      <c r="AJ77" s="77">
        <v>0</v>
      </c>
      <c r="AK77" s="77">
        <v>54.19</v>
      </c>
      <c r="AL77" s="77">
        <v>54.198181818181823</v>
      </c>
    </row>
    <row r="78" spans="1:38">
      <c r="A78" s="72">
        <v>3</v>
      </c>
      <c r="B78" s="68" t="s">
        <v>177</v>
      </c>
      <c r="C78" s="74" t="s">
        <v>146</v>
      </c>
      <c r="D78" s="77"/>
      <c r="E78" s="77"/>
      <c r="F78" s="77"/>
      <c r="G78" s="77"/>
      <c r="H78" s="77"/>
      <c r="I78" s="77"/>
      <c r="J78" s="77"/>
      <c r="K78" s="77">
        <v>10.864166666666666</v>
      </c>
      <c r="L78" s="77">
        <v>10.620000000000001</v>
      </c>
      <c r="M78" s="77">
        <v>10.341666666666667</v>
      </c>
      <c r="N78" s="77">
        <v>10.260833333333332</v>
      </c>
      <c r="O78" s="77">
        <v>10.626666666666665</v>
      </c>
      <c r="P78" s="77">
        <v>11.569166666666666</v>
      </c>
      <c r="Q78" s="77">
        <v>10.129166666666666</v>
      </c>
      <c r="R78" s="77">
        <v>11.011666666666665</v>
      </c>
      <c r="S78" s="77">
        <v>10.776666666666666</v>
      </c>
      <c r="T78" s="77">
        <v>10.935</v>
      </c>
      <c r="U78" s="87">
        <v>9.6999999999999993</v>
      </c>
      <c r="V78" s="78">
        <v>10.36</v>
      </c>
      <c r="W78" s="77">
        <v>10.5</v>
      </c>
      <c r="X78" s="77">
        <v>10.28</v>
      </c>
      <c r="Y78" s="77">
        <v>10.38</v>
      </c>
      <c r="Z78" s="77">
        <v>10.24</v>
      </c>
      <c r="AA78" s="77">
        <v>9.98</v>
      </c>
      <c r="AB78" s="77">
        <v>10.14</v>
      </c>
      <c r="AC78" s="77">
        <v>10.119999999999999</v>
      </c>
      <c r="AD78" s="77">
        <v>9.94</v>
      </c>
      <c r="AE78" s="77">
        <v>10.050000000000001</v>
      </c>
      <c r="AF78" s="77">
        <v>10.1</v>
      </c>
      <c r="AG78" s="77">
        <v>10.030000000000001</v>
      </c>
      <c r="AH78" s="77">
        <v>10.01</v>
      </c>
      <c r="AI78" s="77">
        <v>10.02</v>
      </c>
      <c r="AJ78" s="77">
        <v>0</v>
      </c>
      <c r="AK78" s="77">
        <v>10.015000000000001</v>
      </c>
      <c r="AL78" s="77">
        <v>10.147272727272727</v>
      </c>
    </row>
    <row r="79" spans="1:38">
      <c r="A79" s="72">
        <v>4</v>
      </c>
      <c r="B79" s="68" t="s">
        <v>178</v>
      </c>
      <c r="C79" s="74"/>
      <c r="D79" s="77"/>
      <c r="E79" s="77"/>
      <c r="F79" s="77"/>
      <c r="G79" s="77"/>
      <c r="H79" s="77"/>
      <c r="I79" s="77"/>
      <c r="J79" s="77"/>
      <c r="K79" s="77">
        <v>1.76</v>
      </c>
      <c r="L79" s="77">
        <v>1.7566666666666666</v>
      </c>
      <c r="M79" s="77">
        <v>1.7141666666666664</v>
      </c>
      <c r="N79" s="77">
        <v>1.8</v>
      </c>
      <c r="O79" s="77">
        <v>1.8250000000000002</v>
      </c>
      <c r="P79" s="77">
        <v>1.7324999999999999</v>
      </c>
      <c r="Q79" s="77">
        <v>1.781666666666667</v>
      </c>
      <c r="R79" s="77">
        <v>1.7008333333333336</v>
      </c>
      <c r="S79" s="77">
        <v>1.7408333333333335</v>
      </c>
      <c r="T79" s="77">
        <v>1.6841666666666664</v>
      </c>
      <c r="U79" s="75">
        <v>1.76</v>
      </c>
      <c r="V79" s="78">
        <v>1.67</v>
      </c>
      <c r="W79" s="77">
        <v>1.69</v>
      </c>
      <c r="X79" s="77">
        <v>1.67</v>
      </c>
      <c r="Y79" s="77">
        <v>1.6766666666666665</v>
      </c>
      <c r="Z79" s="77">
        <v>1.63</v>
      </c>
      <c r="AA79" s="77">
        <v>1.61</v>
      </c>
      <c r="AB79" s="77">
        <v>1.6</v>
      </c>
      <c r="AC79" s="77">
        <v>1.6133333333333333</v>
      </c>
      <c r="AD79" s="77">
        <v>1.64</v>
      </c>
      <c r="AE79" s="77">
        <v>1.66</v>
      </c>
      <c r="AF79" s="77">
        <v>1.65</v>
      </c>
      <c r="AG79" s="77">
        <v>1.6499999999999997</v>
      </c>
      <c r="AH79" s="77">
        <v>1.66</v>
      </c>
      <c r="AI79" s="77">
        <v>1.65</v>
      </c>
      <c r="AJ79" s="77">
        <v>0</v>
      </c>
      <c r="AK79" s="77">
        <v>1.6549999999999998</v>
      </c>
      <c r="AL79" s="77">
        <v>1.6481818181818182</v>
      </c>
    </row>
    <row r="80" spans="1:38">
      <c r="A80" s="72">
        <v>5</v>
      </c>
      <c r="B80" s="68" t="s">
        <v>179</v>
      </c>
      <c r="C80" s="74" t="s">
        <v>180</v>
      </c>
      <c r="D80" s="77"/>
      <c r="E80" s="77"/>
      <c r="F80" s="77"/>
      <c r="G80" s="77"/>
      <c r="H80" s="77"/>
      <c r="I80" s="77"/>
      <c r="J80" s="77"/>
      <c r="K80" s="77">
        <v>1.0295379001739813</v>
      </c>
      <c r="L80" s="77">
        <v>1.2185016975828664</v>
      </c>
      <c r="M80" s="77">
        <v>1.2086609330583493</v>
      </c>
      <c r="N80" s="77">
        <v>1.2904579005960151</v>
      </c>
      <c r="O80" s="77">
        <v>1.2897807952888043</v>
      </c>
      <c r="P80" s="77">
        <v>1.2966026200362766</v>
      </c>
      <c r="Q80" s="77">
        <v>1.2921581008699938</v>
      </c>
      <c r="R80" s="77">
        <v>1.3044931205735391</v>
      </c>
      <c r="S80" s="77">
        <v>1.2761099984200204</v>
      </c>
      <c r="T80" s="77">
        <v>1.2667957891530188</v>
      </c>
      <c r="U80" s="77">
        <v>1.28</v>
      </c>
      <c r="V80" s="78">
        <v>1.2567054118235219</v>
      </c>
      <c r="W80" s="77">
        <v>1.2679216704533161</v>
      </c>
      <c r="X80" s="77">
        <v>1.2715274967399615</v>
      </c>
      <c r="Y80" s="77">
        <v>1.265175818769479</v>
      </c>
      <c r="Z80" s="77">
        <v>1.2769643020984887</v>
      </c>
      <c r="AA80" s="77">
        <v>1.27688218214534</v>
      </c>
      <c r="AB80" s="77">
        <v>1.281137484063249</v>
      </c>
      <c r="AC80" s="77">
        <v>1.2783210027287071</v>
      </c>
      <c r="AD80" s="77">
        <v>1.2943831335785769</v>
      </c>
      <c r="AE80" s="77">
        <v>1.3104007552134331</v>
      </c>
      <c r="AF80" s="77">
        <v>1.3134146454920128</v>
      </c>
      <c r="AG80" s="77">
        <v>1.3060367777532367</v>
      </c>
      <c r="AH80" s="77">
        <v>1.3125339955066808</v>
      </c>
      <c r="AI80" s="77">
        <v>1.312426431246656</v>
      </c>
      <c r="AJ80" s="77" t="e">
        <v>#DIV/0!</v>
      </c>
      <c r="AK80" s="77">
        <v>1.3124835247599322</v>
      </c>
      <c r="AL80" s="77">
        <v>1.2891315558689693</v>
      </c>
    </row>
    <row r="81" spans="1:38">
      <c r="A81" s="72">
        <v>6</v>
      </c>
      <c r="B81" s="68" t="s">
        <v>181</v>
      </c>
      <c r="C81" s="74" t="s">
        <v>182</v>
      </c>
      <c r="D81" s="80"/>
      <c r="E81" s="80"/>
      <c r="F81" s="80"/>
      <c r="G81" s="80"/>
      <c r="H81" s="80"/>
      <c r="I81" s="80"/>
      <c r="J81" s="80"/>
      <c r="K81" s="80">
        <v>758.907714841342</v>
      </c>
      <c r="L81" s="80">
        <v>683.50700547165832</v>
      </c>
      <c r="M81" s="80">
        <v>674.60759952050341</v>
      </c>
      <c r="N81" s="80">
        <v>699.22258019330445</v>
      </c>
      <c r="O81" s="80">
        <v>731.44273024883796</v>
      </c>
      <c r="P81" s="80">
        <v>708.42542662572907</v>
      </c>
      <c r="Q81" s="80">
        <v>759.8941697920219</v>
      </c>
      <c r="R81" s="80">
        <v>746.39467192417283</v>
      </c>
      <c r="S81" s="80">
        <v>780.41512654074177</v>
      </c>
      <c r="T81" s="80">
        <v>757.01522996334677</v>
      </c>
      <c r="U81" s="75">
        <v>748</v>
      </c>
      <c r="V81" s="81">
        <v>764.80455631914128</v>
      </c>
      <c r="W81" s="80">
        <v>774.07546461422942</v>
      </c>
      <c r="X81" s="80">
        <v>782.56171475161841</v>
      </c>
      <c r="Y81" s="80">
        <v>773.83199117694596</v>
      </c>
      <c r="Z81" s="80">
        <v>807.39362640535035</v>
      </c>
      <c r="AA81" s="80">
        <v>788.87444112786488</v>
      </c>
      <c r="AB81" s="80">
        <v>772.68645619771939</v>
      </c>
      <c r="AC81" s="80">
        <v>789.67020222661108</v>
      </c>
      <c r="AD81" s="80">
        <v>775.00129876876724</v>
      </c>
      <c r="AE81" s="80">
        <v>784.09940030272264</v>
      </c>
      <c r="AF81" s="80">
        <v>773.91830470456296</v>
      </c>
      <c r="AG81" s="80">
        <v>777.53620006311212</v>
      </c>
      <c r="AH81" s="80">
        <v>778.0470446212197</v>
      </c>
      <c r="AI81" s="80">
        <v>770.41355388634656</v>
      </c>
      <c r="AJ81" s="80" t="e">
        <v>#DIV/0!</v>
      </c>
      <c r="AK81" s="80">
        <v>774.46545331662833</v>
      </c>
      <c r="AL81" s="80">
        <v>779.39811824372964</v>
      </c>
    </row>
    <row r="82" spans="1:38">
      <c r="A82" s="72">
        <v>7</v>
      </c>
      <c r="B82" s="68" t="s">
        <v>183</v>
      </c>
      <c r="C82" s="74" t="s">
        <v>182</v>
      </c>
      <c r="D82" s="80"/>
      <c r="E82" s="80"/>
      <c r="F82" s="80"/>
      <c r="G82" s="80"/>
      <c r="H82" s="80"/>
      <c r="I82" s="80"/>
      <c r="J82" s="80"/>
      <c r="K82" s="80">
        <v>92.491053243271239</v>
      </c>
      <c r="L82" s="80">
        <v>74.752352161485078</v>
      </c>
      <c r="M82" s="80">
        <v>55.865715998201885</v>
      </c>
      <c r="N82" s="80">
        <v>56.153426298477044</v>
      </c>
      <c r="O82" s="80">
        <v>70.790340850873278</v>
      </c>
      <c r="P82" s="80">
        <v>86.214821254704475</v>
      </c>
      <c r="Q82" s="80">
        <v>74</v>
      </c>
      <c r="R82" s="80">
        <v>90.301226865238846</v>
      </c>
      <c r="S82" s="80">
        <v>85.080360226627704</v>
      </c>
      <c r="T82" s="80">
        <v>84.457665686277451</v>
      </c>
      <c r="U82" s="75">
        <v>84</v>
      </c>
      <c r="V82" s="81">
        <v>75.876769866764789</v>
      </c>
      <c r="W82" s="80">
        <v>76.919466866904443</v>
      </c>
      <c r="X82" s="80">
        <v>69.994138776739774</v>
      </c>
      <c r="Y82" s="80">
        <v>74.032126184884817</v>
      </c>
      <c r="Z82" s="80">
        <v>66.802457057625375</v>
      </c>
      <c r="AA82" s="80">
        <v>63.109314749100044</v>
      </c>
      <c r="AB82" s="80">
        <v>62.966884774205589</v>
      </c>
      <c r="AC82" s="80">
        <v>64.293768869811927</v>
      </c>
      <c r="AD82" s="80">
        <v>56.534640454966336</v>
      </c>
      <c r="AE82" s="80">
        <v>55.990905549275446</v>
      </c>
      <c r="AF82" s="80">
        <v>54.376955315506756</v>
      </c>
      <c r="AG82" s="80">
        <v>55.614162831095648</v>
      </c>
      <c r="AH82" s="80">
        <v>61.494941487013627</v>
      </c>
      <c r="AI82" s="80">
        <v>68.666320141599655</v>
      </c>
      <c r="AJ82" s="80" t="e">
        <v>#DIV/0!</v>
      </c>
      <c r="AK82" s="80">
        <v>64.859712379294621</v>
      </c>
      <c r="AL82" s="80">
        <v>64.308563803196918</v>
      </c>
    </row>
    <row r="83" spans="1:38">
      <c r="A83" s="72">
        <v>8</v>
      </c>
      <c r="B83" s="68" t="s">
        <v>184</v>
      </c>
      <c r="C83" s="74" t="s">
        <v>182</v>
      </c>
      <c r="D83" s="80"/>
      <c r="E83" s="80"/>
      <c r="F83" s="80"/>
      <c r="G83" s="80"/>
      <c r="H83" s="80"/>
      <c r="I83" s="80"/>
      <c r="J83" s="80"/>
      <c r="K83" s="80">
        <v>127.9279360732245</v>
      </c>
      <c r="L83" s="80">
        <v>100.79648551836718</v>
      </c>
      <c r="M83" s="80">
        <v>104.75656810349133</v>
      </c>
      <c r="N83" s="80">
        <v>106.63590235278775</v>
      </c>
      <c r="O83" s="80">
        <v>84.545293465972932</v>
      </c>
      <c r="P83" s="80">
        <v>95.18174657635582</v>
      </c>
      <c r="Q83" s="80">
        <v>77.732833276508686</v>
      </c>
      <c r="R83" s="80">
        <v>97.060492761856196</v>
      </c>
      <c r="S83" s="80">
        <v>83.658600265687113</v>
      </c>
      <c r="T83" s="80">
        <v>95.633720105666697</v>
      </c>
      <c r="U83" s="75">
        <v>95</v>
      </c>
      <c r="V83" s="81">
        <v>100.18664200207527</v>
      </c>
      <c r="W83" s="80">
        <v>100.76027782992303</v>
      </c>
      <c r="X83" s="80">
        <v>95.03040304914586</v>
      </c>
      <c r="Y83" s="80">
        <v>98.47498074710731</v>
      </c>
      <c r="Z83" s="80">
        <v>93.82688328976279</v>
      </c>
      <c r="AA83" s="80">
        <v>93.150693706042873</v>
      </c>
      <c r="AB83" s="80">
        <v>100.47537358828205</v>
      </c>
      <c r="AC83" s="80">
        <v>95.811035483270459</v>
      </c>
      <c r="AD83" s="80">
        <v>106.15677514187138</v>
      </c>
      <c r="AE83" s="80">
        <v>100.61374769285791</v>
      </c>
      <c r="AF83" s="80">
        <v>98.456407532022908</v>
      </c>
      <c r="AG83" s="80">
        <v>101.71964979968566</v>
      </c>
      <c r="AH83" s="80">
        <v>92.083254505214668</v>
      </c>
      <c r="AI83" s="80">
        <v>92.957047878213416</v>
      </c>
      <c r="AJ83" s="80" t="e">
        <v>#DIV/0!</v>
      </c>
      <c r="AK83" s="80">
        <v>92.493233485400594</v>
      </c>
      <c r="AL83" s="80">
        <v>97.568769952679688</v>
      </c>
    </row>
    <row r="84" spans="1:38">
      <c r="A84" s="72">
        <v>9</v>
      </c>
      <c r="B84" s="68" t="s">
        <v>187</v>
      </c>
      <c r="C84" s="74" t="s">
        <v>182</v>
      </c>
      <c r="D84" s="80"/>
      <c r="E84" s="80"/>
      <c r="F84" s="80"/>
      <c r="G84" s="80"/>
      <c r="H84" s="80"/>
      <c r="I84" s="80"/>
      <c r="J84" s="80"/>
      <c r="K84" s="80">
        <v>200.11350915059649</v>
      </c>
      <c r="L84" s="80">
        <v>244.43308921495162</v>
      </c>
      <c r="M84" s="80">
        <v>252.04909844663104</v>
      </c>
      <c r="N84" s="80">
        <v>264.59956479947448</v>
      </c>
      <c r="O84" s="80">
        <v>254.33189300143616</v>
      </c>
      <c r="P84" s="80">
        <v>260.82933984503251</v>
      </c>
      <c r="Q84" s="80">
        <v>265.79120354585751</v>
      </c>
      <c r="R84" s="80">
        <v>230.79219932962482</v>
      </c>
      <c r="S84" s="80">
        <v>195.45874268799386</v>
      </c>
      <c r="T84" s="80">
        <v>227.3798850149108</v>
      </c>
      <c r="U84" s="75">
        <v>255</v>
      </c>
      <c r="V84" s="81">
        <v>214.20070479732934</v>
      </c>
      <c r="W84" s="80">
        <v>195.52622147891529</v>
      </c>
      <c r="X84" s="80">
        <v>198.87883639983366</v>
      </c>
      <c r="Y84" s="80">
        <v>203.43771094990444</v>
      </c>
      <c r="Z84" s="80">
        <v>189.78043656076085</v>
      </c>
      <c r="AA84" s="80">
        <v>218.658322550891</v>
      </c>
      <c r="AB84" s="80">
        <v>232.25395313209077</v>
      </c>
      <c r="AC84" s="80">
        <v>213.54582355294889</v>
      </c>
      <c r="AD84" s="80">
        <v>222.70064449490118</v>
      </c>
      <c r="AE84" s="80">
        <v>215.19488564877793</v>
      </c>
      <c r="AF84" s="80">
        <v>228.5697420459241</v>
      </c>
      <c r="AG84" s="80">
        <v>222.33103999035959</v>
      </c>
      <c r="AH84" s="80">
        <v>231.17809749461716</v>
      </c>
      <c r="AI84" s="80">
        <v>214.99842025337099</v>
      </c>
      <c r="AJ84" s="80" t="e">
        <v>#DIV/0!</v>
      </c>
      <c r="AK84" s="80">
        <v>223.58668311670922</v>
      </c>
      <c r="AL84" s="80">
        <v>215.43676321603124</v>
      </c>
    </row>
    <row r="85" spans="1:38">
      <c r="A85" s="72">
        <v>10</v>
      </c>
      <c r="B85" s="68" t="s">
        <v>210</v>
      </c>
      <c r="C85" s="74" t="s">
        <v>182</v>
      </c>
      <c r="D85" s="80"/>
      <c r="E85" s="80"/>
      <c r="F85" s="80"/>
      <c r="G85" s="80"/>
      <c r="H85" s="80"/>
      <c r="I85" s="80"/>
      <c r="J85" s="80"/>
      <c r="K85" s="80">
        <v>72.887094149306037</v>
      </c>
      <c r="L85" s="80">
        <v>70.365080154393027</v>
      </c>
      <c r="M85" s="80">
        <v>64.990822136756407</v>
      </c>
      <c r="N85" s="80">
        <v>65.222116494631237</v>
      </c>
      <c r="O85" s="80">
        <v>72.881492178561913</v>
      </c>
      <c r="P85" s="80">
        <v>61.071978604953948</v>
      </c>
      <c r="Q85" s="80">
        <v>67.363927719058978</v>
      </c>
      <c r="R85" s="80">
        <v>70.017500467559458</v>
      </c>
      <c r="S85" s="80">
        <v>70.381633762297056</v>
      </c>
      <c r="T85" s="80">
        <v>72.054644560862059</v>
      </c>
      <c r="U85" s="80">
        <v>72</v>
      </c>
      <c r="V85" s="81">
        <v>72.999234204218837</v>
      </c>
      <c r="W85" s="80">
        <v>74.001228731846339</v>
      </c>
      <c r="X85" s="80">
        <v>71.002662108665106</v>
      </c>
      <c r="Y85" s="80">
        <v>72.553694178495704</v>
      </c>
      <c r="Z85" s="80">
        <v>70.000481147054586</v>
      </c>
      <c r="AA85" s="80">
        <v>68.300900600827575</v>
      </c>
      <c r="AB85" s="80">
        <v>68.000630827510506</v>
      </c>
      <c r="AC85" s="80">
        <v>68.767960423411296</v>
      </c>
      <c r="AD85" s="80">
        <v>67.001188755412798</v>
      </c>
      <c r="AE85" s="80">
        <v>67.001322016362337</v>
      </c>
      <c r="AF85" s="80">
        <v>67.100525352694646</v>
      </c>
      <c r="AG85" s="80">
        <v>67.035603153967841</v>
      </c>
      <c r="AH85" s="80">
        <v>67.999387392906371</v>
      </c>
      <c r="AI85" s="80">
        <v>66.10135518479639</v>
      </c>
      <c r="AJ85" s="80" t="e">
        <v>#DIV/0!</v>
      </c>
      <c r="AK85" s="80">
        <v>67.108841260277288</v>
      </c>
      <c r="AL85" s="80">
        <v>68.90047006953931</v>
      </c>
    </row>
    <row r="86" spans="1:38">
      <c r="A86" s="72">
        <v>11</v>
      </c>
      <c r="B86" s="68" t="s">
        <v>204</v>
      </c>
      <c r="C86" s="74" t="s">
        <v>182</v>
      </c>
      <c r="D86" s="80"/>
      <c r="E86" s="80"/>
      <c r="F86" s="80"/>
      <c r="G86" s="80"/>
      <c r="H86" s="80"/>
      <c r="I86" s="80"/>
      <c r="J86" s="80"/>
      <c r="K86" s="83">
        <v>7.8055007142610568</v>
      </c>
      <c r="L86" s="83">
        <v>10.142887272864449</v>
      </c>
      <c r="M86" s="83">
        <v>16.331601818091006</v>
      </c>
      <c r="N86" s="83">
        <v>22.961839048258476</v>
      </c>
      <c r="O86" s="83">
        <v>22.28117776994052</v>
      </c>
      <c r="P86" s="83">
        <v>22.523978542955657</v>
      </c>
      <c r="Q86" s="83">
        <v>26.571019434026592</v>
      </c>
      <c r="R86" s="83">
        <v>25.434695552768464</v>
      </c>
      <c r="S86" s="83">
        <v>23.584247282782719</v>
      </c>
      <c r="T86" s="83">
        <v>24.947321045266328</v>
      </c>
      <c r="U86" s="75">
        <v>25</v>
      </c>
      <c r="V86" s="84">
        <v>26.839318806419424</v>
      </c>
      <c r="W86" s="83">
        <v>27.608068672457634</v>
      </c>
      <c r="X86" s="83">
        <v>24.643333104123485</v>
      </c>
      <c r="Y86" s="83">
        <v>26.25642951539756</v>
      </c>
      <c r="Z86" s="83">
        <v>23.345255088130102</v>
      </c>
      <c r="AA86" s="83">
        <v>18.473206164567827</v>
      </c>
      <c r="AB86" s="83">
        <v>17.569833570966487</v>
      </c>
      <c r="AC86" s="83">
        <v>19.79792317057775</v>
      </c>
      <c r="AD86" s="83">
        <v>21.107284412024459</v>
      </c>
      <c r="AE86" s="83">
        <v>21.918648094572067</v>
      </c>
      <c r="AF86" s="83">
        <v>22.613777226846114</v>
      </c>
      <c r="AG86" s="83">
        <v>21.888030261097967</v>
      </c>
      <c r="AH86" s="83">
        <v>24.94572120971883</v>
      </c>
      <c r="AI86" s="83">
        <v>26.83191156136721</v>
      </c>
      <c r="AJ86" s="83" t="e">
        <v>#DIV/0!</v>
      </c>
      <c r="AK86" s="83">
        <v>25.830711209301288</v>
      </c>
      <c r="AL86" s="83">
        <v>23.128331851771268</v>
      </c>
    </row>
    <row r="87" spans="1:38">
      <c r="A87" s="72"/>
      <c r="B87" s="68" t="s">
        <v>186</v>
      </c>
      <c r="C87" s="74"/>
      <c r="D87" s="80"/>
      <c r="E87" s="80"/>
      <c r="F87" s="80"/>
      <c r="G87" s="80"/>
      <c r="H87" s="80"/>
      <c r="I87" s="80"/>
      <c r="J87" s="80"/>
      <c r="K87" s="91" t="s">
        <v>169</v>
      </c>
      <c r="L87" s="83">
        <v>12</v>
      </c>
      <c r="M87" s="83">
        <v>27.828904650117376</v>
      </c>
      <c r="N87" s="83">
        <v>13.348846308040825</v>
      </c>
      <c r="O87" s="83">
        <v>8.1206187860566512</v>
      </c>
      <c r="P87" s="83">
        <v>11.492510183923562</v>
      </c>
      <c r="Q87" s="83">
        <v>4.8436413228776001</v>
      </c>
      <c r="R87" s="83">
        <v>1.3247967126932019</v>
      </c>
      <c r="S87" s="83">
        <v>7.0042546064201696</v>
      </c>
      <c r="T87" s="83">
        <v>4.2574924899526732</v>
      </c>
      <c r="U87" s="75">
        <v>4</v>
      </c>
      <c r="V87" s="84">
        <v>7.7143150768945166</v>
      </c>
      <c r="W87" s="83">
        <v>4.9277266754270697</v>
      </c>
      <c r="X87" s="83">
        <v>10.163819552909819</v>
      </c>
      <c r="Y87" s="83">
        <v>7.8271327926677374</v>
      </c>
      <c r="Z87" s="83">
        <v>0</v>
      </c>
      <c r="AA87" s="83">
        <v>0</v>
      </c>
      <c r="AB87" s="83">
        <v>0</v>
      </c>
      <c r="AC87" s="83">
        <v>0</v>
      </c>
      <c r="AD87" s="83">
        <v>1.3262721058083995</v>
      </c>
      <c r="AE87" s="83">
        <v>7.4467201859764085</v>
      </c>
      <c r="AF87" s="83">
        <v>6.5964228794049937</v>
      </c>
      <c r="AG87" s="83">
        <v>5.1071730199109284</v>
      </c>
      <c r="AH87" s="83">
        <v>7.5224547526598862</v>
      </c>
      <c r="AI87" s="83">
        <v>9.7162910946455092</v>
      </c>
      <c r="AJ87" s="83" t="e">
        <v>#DIV/0!</v>
      </c>
      <c r="AK87" s="83">
        <v>8.5517905361247397</v>
      </c>
      <c r="AL87" s="83">
        <v>5.0113947741605722</v>
      </c>
    </row>
    <row r="88" spans="1:38">
      <c r="A88" s="72">
        <v>12</v>
      </c>
      <c r="B88" s="68" t="s">
        <v>190</v>
      </c>
      <c r="C88" s="74" t="s">
        <v>191</v>
      </c>
      <c r="D88" s="83"/>
      <c r="E88" s="83"/>
      <c r="F88" s="83"/>
      <c r="G88" s="83"/>
      <c r="H88" s="83"/>
      <c r="I88" s="83"/>
      <c r="J88" s="83"/>
      <c r="K88" s="77">
        <v>77.550220063455768</v>
      </c>
      <c r="L88" s="77">
        <v>79.180767036283967</v>
      </c>
      <c r="M88" s="77">
        <v>87.74875088201081</v>
      </c>
      <c r="N88" s="77">
        <v>83.455780370161861</v>
      </c>
      <c r="O88" s="77">
        <v>90.190481834884139</v>
      </c>
      <c r="P88" s="77">
        <v>91.679047959016316</v>
      </c>
      <c r="Q88" s="77">
        <v>93.52302770539346</v>
      </c>
      <c r="R88" s="77">
        <v>94.028202534658178</v>
      </c>
      <c r="S88" s="77">
        <v>95.042289133879351</v>
      </c>
      <c r="T88" s="77">
        <v>95.521099934527712</v>
      </c>
      <c r="U88" s="83">
        <v>95</v>
      </c>
      <c r="V88" s="78">
        <v>95.591397849462368</v>
      </c>
      <c r="W88" s="77">
        <v>95.504677590343519</v>
      </c>
      <c r="X88" s="77">
        <v>96.937159462404637</v>
      </c>
      <c r="Y88" s="77">
        <v>96.04870491104387</v>
      </c>
      <c r="Z88" s="77">
        <v>93.820123680533456</v>
      </c>
      <c r="AA88" s="77">
        <v>94.53723034098816</v>
      </c>
      <c r="AB88" s="77">
        <v>95.420679886685548</v>
      </c>
      <c r="AC88" s="77">
        <v>94.586300196057422</v>
      </c>
      <c r="AD88" s="77">
        <v>99.328147100424331</v>
      </c>
      <c r="AE88" s="77">
        <v>95.377873563218401</v>
      </c>
      <c r="AF88" s="77">
        <v>97.626702997275203</v>
      </c>
      <c r="AG88" s="77">
        <v>97.457182966775846</v>
      </c>
      <c r="AH88" s="77">
        <v>97.780090183836279</v>
      </c>
      <c r="AI88" s="77">
        <v>97.879025923016499</v>
      </c>
      <c r="AJ88" s="77" t="e">
        <v>#DIV/0!</v>
      </c>
      <c r="AK88" s="77">
        <v>97.826487382575053</v>
      </c>
      <c r="AL88" s="77">
        <v>96.350429610046262</v>
      </c>
    </row>
    <row r="89" spans="1:38">
      <c r="A89" s="72">
        <v>13</v>
      </c>
      <c r="B89" s="68" t="s">
        <v>197</v>
      </c>
      <c r="C89" s="74" t="s">
        <v>146</v>
      </c>
      <c r="D89" s="77"/>
      <c r="E89" s="77"/>
      <c r="F89" s="77"/>
      <c r="G89" s="77"/>
      <c r="H89" s="77"/>
      <c r="I89" s="77"/>
      <c r="J89" s="77"/>
      <c r="K89" s="77">
        <v>72.558333333333337</v>
      </c>
      <c r="L89" s="77">
        <v>73.107500000000002</v>
      </c>
      <c r="M89" s="77">
        <v>74.185833333333335</v>
      </c>
      <c r="N89" s="77">
        <v>74.997499999999988</v>
      </c>
      <c r="O89" s="77">
        <v>74.575000000000003</v>
      </c>
      <c r="P89" s="77">
        <v>74.311666666666667</v>
      </c>
      <c r="Q89" s="77">
        <v>73.740833333333342</v>
      </c>
      <c r="R89" s="77">
        <v>73.444166666666675</v>
      </c>
      <c r="S89" s="77">
        <v>73.686666666666667</v>
      </c>
      <c r="T89" s="77">
        <v>74.415833333333325</v>
      </c>
      <c r="U89" s="83">
        <v>74</v>
      </c>
      <c r="V89" s="78">
        <v>74.52</v>
      </c>
      <c r="W89" s="77">
        <v>74.42</v>
      </c>
      <c r="X89" s="77">
        <v>74.44</v>
      </c>
      <c r="Y89" s="77">
        <v>74.459999999999994</v>
      </c>
      <c r="Z89" s="77">
        <v>74.09</v>
      </c>
      <c r="AA89" s="77">
        <v>73.989999999999995</v>
      </c>
      <c r="AB89" s="77">
        <v>74.180000000000007</v>
      </c>
      <c r="AC89" s="77">
        <v>74.086666666666659</v>
      </c>
      <c r="AD89" s="77">
        <v>74.02</v>
      </c>
      <c r="AE89" s="77">
        <v>74.3</v>
      </c>
      <c r="AF89" s="77">
        <v>74.45</v>
      </c>
      <c r="AG89" s="77">
        <v>74.256666666666661</v>
      </c>
      <c r="AH89" s="77">
        <v>74.47</v>
      </c>
      <c r="AI89" s="77">
        <v>74.45</v>
      </c>
      <c r="AJ89" s="77">
        <v>0</v>
      </c>
      <c r="AK89" s="77">
        <v>74.460000000000008</v>
      </c>
      <c r="AL89" s="77">
        <v>74.302727272727282</v>
      </c>
    </row>
    <row r="90" spans="1:38">
      <c r="A90" s="72">
        <v>14</v>
      </c>
      <c r="B90" s="68" t="s">
        <v>198</v>
      </c>
      <c r="C90" s="74" t="s">
        <v>146</v>
      </c>
      <c r="D90" s="77"/>
      <c r="E90" s="77"/>
      <c r="F90" s="77"/>
      <c r="G90" s="77"/>
      <c r="H90" s="77"/>
      <c r="I90" s="77"/>
      <c r="J90" s="77"/>
      <c r="K90" s="77">
        <v>18.546176674842446</v>
      </c>
      <c r="L90" s="77">
        <v>16.315513684432538</v>
      </c>
      <c r="M90" s="77">
        <v>15.716288656194319</v>
      </c>
      <c r="N90" s="77">
        <v>14.069537693159385</v>
      </c>
      <c r="O90" s="77">
        <v>16.226458920630531</v>
      </c>
      <c r="P90" s="77">
        <v>14.528371125823764</v>
      </c>
      <c r="Q90" s="77">
        <v>16.803756432869925</v>
      </c>
      <c r="R90" s="77">
        <v>15.057107421188057</v>
      </c>
      <c r="S90" s="77">
        <v>14.414357999980442</v>
      </c>
      <c r="T90" s="77">
        <v>15.758764205072467</v>
      </c>
      <c r="U90" s="75">
        <v>20</v>
      </c>
      <c r="V90" s="78">
        <v>15.033630411261449</v>
      </c>
      <c r="W90" s="77">
        <v>18.119432843056675</v>
      </c>
      <c r="X90" s="77">
        <v>16.83443694207957</v>
      </c>
      <c r="Y90" s="77">
        <v>16.56134103327248</v>
      </c>
      <c r="Z90" s="77">
        <v>16.434499809324667</v>
      </c>
      <c r="AA90" s="77">
        <v>16.528356741272791</v>
      </c>
      <c r="AB90" s="77">
        <v>16.553972289391449</v>
      </c>
      <c r="AC90" s="77">
        <v>16.505630957673095</v>
      </c>
      <c r="AD90" s="77">
        <v>15.952372634404071</v>
      </c>
      <c r="AE90" s="77">
        <v>13.839106218897273</v>
      </c>
      <c r="AF90" s="77">
        <v>14.303093008499406</v>
      </c>
      <c r="AG90" s="77">
        <v>14.71473896258842</v>
      </c>
      <c r="AH90" s="77">
        <v>13.9654121621898</v>
      </c>
      <c r="AI90" s="77">
        <v>13.2418217410788</v>
      </c>
      <c r="AJ90" s="77" t="e">
        <v>#DIV/0!</v>
      </c>
      <c r="AK90" s="77">
        <v>13.629363337232789</v>
      </c>
      <c r="AL90" s="77">
        <v>15.483693414592247</v>
      </c>
    </row>
    <row r="91" spans="1:38">
      <c r="A91" s="72"/>
      <c r="B91" s="68"/>
      <c r="C91" s="74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5"/>
      <c r="V91" s="78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>
      <c r="A92" s="72"/>
      <c r="B92" s="68"/>
      <c r="C92" s="74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5" t="s">
        <v>143</v>
      </c>
      <c r="V92" s="78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s="64" customFormat="1">
      <c r="A93" s="72" t="s">
        <v>208</v>
      </c>
      <c r="B93" s="74" t="s">
        <v>211</v>
      </c>
      <c r="C93" s="74" t="s">
        <v>118</v>
      </c>
      <c r="D93" s="75" t="s">
        <v>119</v>
      </c>
      <c r="E93" s="87" t="s">
        <v>120</v>
      </c>
      <c r="F93" s="87" t="s">
        <v>121</v>
      </c>
      <c r="G93" s="87" t="s">
        <v>122</v>
      </c>
      <c r="H93" s="87" t="s">
        <v>123</v>
      </c>
      <c r="I93" s="87" t="s">
        <v>124</v>
      </c>
      <c r="J93" s="75" t="s">
        <v>125</v>
      </c>
      <c r="K93" s="75" t="s">
        <v>126</v>
      </c>
      <c r="L93" s="75" t="s">
        <v>127</v>
      </c>
      <c r="M93" s="75" t="s">
        <v>128</v>
      </c>
      <c r="N93" s="75" t="s">
        <v>129</v>
      </c>
      <c r="O93" s="75" t="s">
        <v>130</v>
      </c>
      <c r="P93" s="75" t="s">
        <v>131</v>
      </c>
      <c r="Q93" s="75" t="s">
        <v>132</v>
      </c>
      <c r="R93" s="75" t="s">
        <v>133</v>
      </c>
      <c r="S93" s="53" t="s">
        <v>134</v>
      </c>
      <c r="T93" s="53" t="s">
        <v>135</v>
      </c>
      <c r="U93" s="75" t="s">
        <v>136</v>
      </c>
      <c r="V93" s="71" t="s">
        <v>4</v>
      </c>
      <c r="W93" s="75" t="s">
        <v>5</v>
      </c>
      <c r="X93" s="75" t="s">
        <v>6</v>
      </c>
      <c r="Y93" s="75" t="s">
        <v>137</v>
      </c>
      <c r="Z93" s="75" t="s">
        <v>8</v>
      </c>
      <c r="AA93" s="75" t="s">
        <v>9</v>
      </c>
      <c r="AB93" s="75" t="s">
        <v>10</v>
      </c>
      <c r="AC93" s="75" t="s">
        <v>138</v>
      </c>
      <c r="AD93" s="75" t="s">
        <v>12</v>
      </c>
      <c r="AE93" s="75" t="s">
        <v>13</v>
      </c>
      <c r="AF93" s="75" t="s">
        <v>14</v>
      </c>
      <c r="AG93" s="75" t="s">
        <v>139</v>
      </c>
      <c r="AH93" s="75" t="s">
        <v>16</v>
      </c>
      <c r="AI93" s="75" t="s">
        <v>17</v>
      </c>
      <c r="AJ93" s="92" t="s">
        <v>18</v>
      </c>
      <c r="AK93" s="75" t="s">
        <v>140</v>
      </c>
      <c r="AL93" s="7" t="s">
        <v>212</v>
      </c>
    </row>
    <row r="94" spans="1:38">
      <c r="A94" s="72">
        <v>1</v>
      </c>
      <c r="B94" s="68" t="s">
        <v>213</v>
      </c>
      <c r="C94" s="74" t="s">
        <v>214</v>
      </c>
      <c r="D94" s="93"/>
      <c r="E94" s="93"/>
      <c r="F94" s="93"/>
      <c r="G94" s="93"/>
      <c r="H94" s="93"/>
      <c r="I94" s="93"/>
      <c r="J94" s="93"/>
      <c r="K94" s="93"/>
      <c r="L94" s="93"/>
      <c r="M94" s="93">
        <v>0.21099999999999999</v>
      </c>
      <c r="N94" s="93" t="s">
        <v>169</v>
      </c>
      <c r="O94" s="94">
        <v>1.284</v>
      </c>
      <c r="P94" s="94">
        <v>1.5680000000000001</v>
      </c>
      <c r="Q94" s="93">
        <v>1.7390000000000001</v>
      </c>
      <c r="R94" s="93">
        <v>1.6439999999999999</v>
      </c>
      <c r="S94" s="93">
        <v>1.5757497144402144</v>
      </c>
      <c r="T94" s="93">
        <v>1.6030860968084153</v>
      </c>
      <c r="U94" s="77">
        <v>2.68</v>
      </c>
      <c r="V94" s="95">
        <v>1.8016430336540719</v>
      </c>
      <c r="W94" s="93">
        <v>1.5214175304039645</v>
      </c>
      <c r="X94" s="93">
        <v>1.4547907161277522</v>
      </c>
      <c r="Y94" s="93">
        <v>1.5894925351835856</v>
      </c>
      <c r="Z94" s="93">
        <v>1.948149273206335</v>
      </c>
      <c r="AA94" s="93">
        <v>2.1123947989009322</v>
      </c>
      <c r="AB94" s="93">
        <v>2.0358022057848522</v>
      </c>
      <c r="AC94" s="93">
        <v>2.0328288593017856</v>
      </c>
      <c r="AD94" s="93">
        <v>2.0037645226195884</v>
      </c>
      <c r="AE94" s="93">
        <v>1.8712730700203239</v>
      </c>
      <c r="AF94" s="93">
        <v>2.1125895155881524</v>
      </c>
      <c r="AG94" s="93">
        <v>2.0023397814120432</v>
      </c>
      <c r="AH94" s="93">
        <v>1.9017025064212323</v>
      </c>
      <c r="AI94" s="93">
        <v>1.9510523457238573</v>
      </c>
      <c r="AJ94" s="93" t="e">
        <v>#DIV/0!</v>
      </c>
      <c r="AK94" s="93">
        <v>1.9251563013498865</v>
      </c>
      <c r="AL94" s="93">
        <v>1.8844065388313902</v>
      </c>
    </row>
    <row r="95" spans="1:38">
      <c r="A95" s="72">
        <v>2</v>
      </c>
      <c r="B95" s="68" t="s">
        <v>215</v>
      </c>
      <c r="C95" s="74" t="s">
        <v>214</v>
      </c>
      <c r="D95" s="93">
        <v>1.4382216150985634</v>
      </c>
      <c r="E95" s="93">
        <v>1.39</v>
      </c>
      <c r="F95" s="93">
        <v>1.42</v>
      </c>
      <c r="G95" s="93">
        <v>1.4527989558202574</v>
      </c>
      <c r="H95" s="93">
        <v>1.4471742239491521</v>
      </c>
      <c r="I95" s="93">
        <v>1.4965778495957578</v>
      </c>
      <c r="J95" s="93">
        <v>1.3845237942450719</v>
      </c>
      <c r="K95" s="93">
        <v>1.3376007941428121</v>
      </c>
      <c r="L95" s="93">
        <v>1.2985505069601075</v>
      </c>
      <c r="M95" s="93">
        <v>1.488</v>
      </c>
      <c r="N95" s="93">
        <v>1.4794316792173188</v>
      </c>
      <c r="O95" s="93">
        <v>1.1299999999999999</v>
      </c>
      <c r="P95" s="93">
        <v>0.93100000000000005</v>
      </c>
      <c r="Q95" s="93">
        <v>1.5629999999999999</v>
      </c>
      <c r="R95" s="93">
        <v>1.55</v>
      </c>
      <c r="S95" s="93">
        <v>1.3544888404326352</v>
      </c>
      <c r="T95" s="93">
        <v>1.4852457715154312</v>
      </c>
      <c r="U95" s="77">
        <v>0</v>
      </c>
      <c r="V95" s="95">
        <v>1.4811407376774941</v>
      </c>
      <c r="W95" s="93">
        <v>1.6370022446256627</v>
      </c>
      <c r="X95" s="93">
        <v>1.4553046965223537</v>
      </c>
      <c r="Y95" s="93">
        <v>1.5262169707882316</v>
      </c>
      <c r="Z95" s="93"/>
      <c r="AA95" s="93"/>
      <c r="AB95" s="93"/>
      <c r="AC95" s="93" t="e">
        <v>#DIV/0!</v>
      </c>
      <c r="AD95" s="93"/>
      <c r="AE95" s="93"/>
      <c r="AF95" s="93"/>
      <c r="AG95" s="93"/>
      <c r="AH95" s="93"/>
      <c r="AI95" s="93"/>
      <c r="AJ95" s="93"/>
      <c r="AK95" s="93"/>
      <c r="AL95" s="93">
        <v>1.5714306849268587</v>
      </c>
    </row>
    <row r="96" spans="1:38">
      <c r="A96" s="72">
        <v>3</v>
      </c>
      <c r="B96" s="68" t="s">
        <v>216</v>
      </c>
      <c r="C96" s="74" t="s">
        <v>214</v>
      </c>
      <c r="D96" s="93"/>
      <c r="E96" s="93"/>
      <c r="F96" s="93"/>
      <c r="G96" s="93"/>
      <c r="H96" s="93"/>
      <c r="I96" s="93"/>
      <c r="J96" s="93" t="s">
        <v>114</v>
      </c>
      <c r="K96" s="93">
        <v>1.4377444630366885</v>
      </c>
      <c r="L96" s="93">
        <v>1.7025336963312232</v>
      </c>
      <c r="M96" s="93">
        <v>2.2427922751217038</v>
      </c>
      <c r="N96" s="93">
        <v>2.0468259311753689</v>
      </c>
      <c r="O96" s="94">
        <v>2.1713204437612759</v>
      </c>
      <c r="P96" s="94">
        <v>2.0732785605677724</v>
      </c>
      <c r="Q96" s="94">
        <v>2.159277545933441</v>
      </c>
      <c r="R96" s="94">
        <v>2.1989999999999998</v>
      </c>
      <c r="S96" s="94">
        <v>2.2358441905225468</v>
      </c>
      <c r="T96" s="94">
        <v>2.3097472528070337</v>
      </c>
      <c r="U96" s="77">
        <v>2.76</v>
      </c>
      <c r="V96" s="95">
        <v>2.3769314397142316</v>
      </c>
      <c r="W96" s="93">
        <v>2.2589859400925683</v>
      </c>
      <c r="X96" s="93">
        <v>2.5022413632684835</v>
      </c>
      <c r="Y96" s="93">
        <v>2.3839982178612531</v>
      </c>
      <c r="Z96" s="93">
        <v>2.5157256155260592</v>
      </c>
      <c r="AA96" s="93">
        <v>2.6536023054755042</v>
      </c>
      <c r="AB96" s="93">
        <v>2.6320845341018249</v>
      </c>
      <c r="AC96" s="93">
        <v>2.6004106111446372</v>
      </c>
      <c r="AD96" s="93">
        <v>2.6297969873571683</v>
      </c>
      <c r="AE96" s="93">
        <v>2.4881315823889323</v>
      </c>
      <c r="AF96" s="93">
        <v>2.6453936971274516</v>
      </c>
      <c r="AG96" s="93">
        <v>2.589121446491395</v>
      </c>
      <c r="AH96" s="93">
        <v>2.7002535546446782</v>
      </c>
      <c r="AI96" s="93">
        <v>2.6715533635754647</v>
      </c>
      <c r="AJ96" s="93" t="e">
        <v>#DIV/0!</v>
      </c>
      <c r="AK96" s="93">
        <v>2.6867678289100807</v>
      </c>
      <c r="AL96" s="93">
        <v>2.5556776421645169</v>
      </c>
    </row>
    <row r="97" spans="1:38">
      <c r="A97" s="72">
        <v>4</v>
      </c>
      <c r="B97" s="68" t="s">
        <v>217</v>
      </c>
      <c r="C97" s="74" t="s">
        <v>214</v>
      </c>
      <c r="D97" s="93"/>
      <c r="E97" s="93"/>
      <c r="F97" s="93">
        <v>1.42</v>
      </c>
      <c r="G97" s="93">
        <v>1.4527989558202574</v>
      </c>
      <c r="H97" s="93">
        <v>1.4471742239491521</v>
      </c>
      <c r="I97" s="93">
        <v>1.4965778495957578</v>
      </c>
      <c r="J97" s="93">
        <v>1.3845237942450719</v>
      </c>
      <c r="K97" s="93">
        <v>1.3919999999999999</v>
      </c>
      <c r="L97" s="93">
        <v>1.5549999999999999</v>
      </c>
      <c r="M97" s="93">
        <v>2.0710000000000002</v>
      </c>
      <c r="N97" s="93">
        <v>1.881</v>
      </c>
      <c r="O97" s="93">
        <v>1.768</v>
      </c>
      <c r="P97" s="93">
        <v>1.8129999999999999</v>
      </c>
      <c r="Q97" s="93">
        <v>1.9830000000000001</v>
      </c>
      <c r="R97" s="93">
        <v>1.919</v>
      </c>
      <c r="S97" s="93">
        <v>1.8819696212979755</v>
      </c>
      <c r="T97" s="93">
        <v>1.9605228144230782</v>
      </c>
      <c r="U97" s="77">
        <v>2.74</v>
      </c>
      <c r="V97" s="95">
        <v>2.0442712958054452</v>
      </c>
      <c r="W97" s="95">
        <v>1.9179326956130192</v>
      </c>
      <c r="X97" s="95">
        <v>2.0185709880921427</v>
      </c>
      <c r="Y97" s="95">
        <v>1.9946935040743066</v>
      </c>
      <c r="Z97" s="95">
        <v>2.3840817945502808</v>
      </c>
      <c r="AA97" s="95">
        <v>2.487669542750726</v>
      </c>
      <c r="AB97" s="95">
        <v>2.4567409168046952</v>
      </c>
      <c r="AC97" s="95">
        <v>2.442886976514957</v>
      </c>
      <c r="AD97" s="95">
        <v>2.4349133560163341</v>
      </c>
      <c r="AE97" s="95">
        <v>2.3152338832392791</v>
      </c>
      <c r="AF97" s="95">
        <v>2.485262466594274</v>
      </c>
      <c r="AG97" s="95">
        <v>2.4144232023502528</v>
      </c>
      <c r="AH97" s="95">
        <v>2.4595210644836829</v>
      </c>
      <c r="AI97" s="95">
        <v>2.4510653044607706</v>
      </c>
      <c r="AJ97" s="95" t="e">
        <v>#DIV/0!</v>
      </c>
      <c r="AK97" s="95">
        <v>2.4555340545919759</v>
      </c>
      <c r="AL97" s="95">
        <v>2.2939587616722887</v>
      </c>
    </row>
    <row r="98" spans="1:38">
      <c r="A98" s="72">
        <v>5</v>
      </c>
      <c r="B98" s="68" t="s">
        <v>218</v>
      </c>
      <c r="C98" s="74" t="s">
        <v>219</v>
      </c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80">
        <v>492</v>
      </c>
      <c r="Q98" s="80">
        <v>444</v>
      </c>
      <c r="R98" s="80">
        <v>455</v>
      </c>
      <c r="S98" s="80">
        <v>447</v>
      </c>
      <c r="T98" s="80">
        <v>454</v>
      </c>
      <c r="U98" s="80">
        <v>422</v>
      </c>
      <c r="V98" s="81">
        <v>424</v>
      </c>
      <c r="W98" s="96">
        <v>452</v>
      </c>
      <c r="X98" s="80">
        <v>463</v>
      </c>
      <c r="Y98" s="80"/>
      <c r="Z98" s="96">
        <v>426</v>
      </c>
      <c r="AA98" s="96">
        <v>418</v>
      </c>
      <c r="AB98" s="96">
        <v>423</v>
      </c>
      <c r="AC98" s="96"/>
      <c r="AD98" s="96">
        <v>422</v>
      </c>
      <c r="AE98" s="96">
        <v>437</v>
      </c>
      <c r="AF98" s="96">
        <v>417</v>
      </c>
      <c r="AG98" s="94"/>
      <c r="AH98" s="96">
        <v>439</v>
      </c>
      <c r="AI98" s="96">
        <v>451</v>
      </c>
      <c r="AJ98" s="7"/>
      <c r="AK98" s="94"/>
      <c r="AL98" s="7">
        <v>432</v>
      </c>
    </row>
    <row r="99" spans="1:38">
      <c r="A99" s="72">
        <v>6</v>
      </c>
      <c r="B99" s="68" t="s">
        <v>220</v>
      </c>
      <c r="C99" s="74" t="s">
        <v>219</v>
      </c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80">
        <v>561</v>
      </c>
      <c r="Q99" s="80">
        <v>462</v>
      </c>
      <c r="R99" s="80">
        <v>479</v>
      </c>
      <c r="S99" s="80">
        <v>478</v>
      </c>
      <c r="T99" s="80">
        <v>486</v>
      </c>
      <c r="U99" s="80">
        <v>0</v>
      </c>
      <c r="V99" s="81">
        <v>471</v>
      </c>
      <c r="W99" s="96">
        <v>474</v>
      </c>
      <c r="X99" s="80">
        <v>493</v>
      </c>
      <c r="Y99" s="80"/>
      <c r="Z99" s="96">
        <v>553</v>
      </c>
      <c r="AA99" s="96">
        <v>0</v>
      </c>
      <c r="AB99" s="96">
        <v>0</v>
      </c>
      <c r="AC99" s="96"/>
      <c r="AD99" s="96">
        <v>0</v>
      </c>
      <c r="AE99" s="96">
        <v>0</v>
      </c>
      <c r="AF99" s="96">
        <v>0</v>
      </c>
      <c r="AG99" s="94"/>
      <c r="AH99" s="96">
        <v>0</v>
      </c>
      <c r="AI99" s="96">
        <v>0</v>
      </c>
      <c r="AJ99" s="7"/>
      <c r="AK99" s="94"/>
      <c r="AL99" s="7">
        <v>481</v>
      </c>
    </row>
    <row r="100" spans="1:38">
      <c r="A100" s="72">
        <v>7</v>
      </c>
      <c r="B100" s="68" t="s">
        <v>221</v>
      </c>
      <c r="C100" s="74" t="s">
        <v>219</v>
      </c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80">
        <v>413</v>
      </c>
      <c r="Q100" s="80">
        <v>399</v>
      </c>
      <c r="R100" s="80">
        <v>397</v>
      </c>
      <c r="S100" s="80">
        <v>389</v>
      </c>
      <c r="T100" s="80">
        <v>385</v>
      </c>
      <c r="U100" s="80">
        <v>363</v>
      </c>
      <c r="V100" s="81">
        <v>378</v>
      </c>
      <c r="W100" s="96">
        <v>388</v>
      </c>
      <c r="X100" s="80">
        <v>362</v>
      </c>
      <c r="Y100" s="80"/>
      <c r="Z100" s="96">
        <v>368</v>
      </c>
      <c r="AA100" s="96">
        <v>364</v>
      </c>
      <c r="AB100" s="96">
        <v>365</v>
      </c>
      <c r="AC100" s="96"/>
      <c r="AD100" s="96">
        <v>368</v>
      </c>
      <c r="AE100" s="96">
        <v>376</v>
      </c>
      <c r="AF100" s="96">
        <v>371</v>
      </c>
      <c r="AG100" s="94"/>
      <c r="AH100" s="96">
        <v>371</v>
      </c>
      <c r="AI100" s="96">
        <v>374</v>
      </c>
      <c r="AJ100" s="7"/>
      <c r="AK100" s="94"/>
      <c r="AL100" s="7">
        <v>371</v>
      </c>
    </row>
    <row r="101" spans="1:38">
      <c r="A101" s="72">
        <v>8</v>
      </c>
      <c r="B101" s="68" t="s">
        <v>222</v>
      </c>
      <c r="C101" s="74" t="s">
        <v>219</v>
      </c>
      <c r="D101" s="80">
        <v>565.90404268756549</v>
      </c>
      <c r="E101" s="80">
        <v>548</v>
      </c>
      <c r="F101" s="80">
        <v>534</v>
      </c>
      <c r="G101" s="80">
        <v>529.07674680816797</v>
      </c>
      <c r="H101" s="80">
        <v>528.71228040391304</v>
      </c>
      <c r="I101" s="80">
        <v>525.34338987177409</v>
      </c>
      <c r="J101" s="80">
        <v>528.90295242289983</v>
      </c>
      <c r="K101" s="80">
        <v>494.80402272069955</v>
      </c>
      <c r="L101" s="80">
        <v>463.92566901925824</v>
      </c>
      <c r="M101" s="80">
        <v>417.99280401609855</v>
      </c>
      <c r="N101" s="80">
        <v>409.82129892227448</v>
      </c>
      <c r="O101" s="80">
        <v>417.68825684146759</v>
      </c>
      <c r="P101" s="80">
        <v>439.51862313038976</v>
      </c>
      <c r="Q101" s="80">
        <v>414.95838410670711</v>
      </c>
      <c r="R101" s="80">
        <v>424</v>
      </c>
      <c r="S101" s="80">
        <v>415.24867538537882</v>
      </c>
      <c r="T101" s="80">
        <v>415.32929351185447</v>
      </c>
      <c r="U101" s="80">
        <v>381</v>
      </c>
      <c r="V101" s="81">
        <v>402.56196190973128</v>
      </c>
      <c r="W101" s="80">
        <v>419.16771826169889</v>
      </c>
      <c r="X101" s="80">
        <v>400.3816915127901</v>
      </c>
      <c r="Y101" s="80">
        <v>406.98488887923594</v>
      </c>
      <c r="Z101" s="80">
        <v>385.28659419070379</v>
      </c>
      <c r="AA101" s="80">
        <v>377.88911761255162</v>
      </c>
      <c r="AB101" s="80">
        <v>378.83785701075692</v>
      </c>
      <c r="AC101" s="80">
        <v>380.61451456750035</v>
      </c>
      <c r="AD101" s="80">
        <v>381.83276629878571</v>
      </c>
      <c r="AE101" s="80">
        <v>389.66388569531455</v>
      </c>
      <c r="AF101" s="80">
        <v>382.83042612588332</v>
      </c>
      <c r="AG101" s="80">
        <v>384.57242759205161</v>
      </c>
      <c r="AH101" s="80">
        <v>386.78238194189788</v>
      </c>
      <c r="AI101" s="80">
        <v>392.99298259549261</v>
      </c>
      <c r="AJ101" s="80" t="e">
        <v>#DIV/0!</v>
      </c>
      <c r="AK101" s="80">
        <v>389.70543830538594</v>
      </c>
      <c r="AL101" s="80">
        <v>390.62954946971951</v>
      </c>
    </row>
    <row r="102" spans="1:38">
      <c r="A102" s="72">
        <v>9</v>
      </c>
      <c r="B102" s="68" t="s">
        <v>223</v>
      </c>
      <c r="C102" s="74" t="s">
        <v>219</v>
      </c>
      <c r="D102" s="80"/>
      <c r="E102" s="80"/>
      <c r="F102" s="80"/>
      <c r="G102" s="80"/>
      <c r="H102" s="80"/>
      <c r="I102" s="80"/>
      <c r="J102" s="80"/>
      <c r="K102" s="96"/>
      <c r="L102" s="96"/>
      <c r="M102" s="96"/>
      <c r="N102" s="96"/>
      <c r="O102" s="77">
        <v>89.06</v>
      </c>
      <c r="P102" s="77">
        <v>97.92</v>
      </c>
      <c r="Q102" s="80">
        <v>95</v>
      </c>
      <c r="R102" s="80">
        <v>91.26</v>
      </c>
      <c r="S102" s="80">
        <v>86.453197008533337</v>
      </c>
      <c r="T102" s="80">
        <v>94.114943121787732</v>
      </c>
      <c r="U102" s="80">
        <v>115</v>
      </c>
      <c r="V102" s="81">
        <v>95.480527597296913</v>
      </c>
      <c r="W102" s="80">
        <v>100.69379336208513</v>
      </c>
      <c r="X102" s="80">
        <v>96.588695476008667</v>
      </c>
      <c r="Y102" s="80">
        <v>97.537315916861232</v>
      </c>
      <c r="Z102" s="80">
        <v>101.47989129193597</v>
      </c>
      <c r="AA102" s="80">
        <v>103.1985825045833</v>
      </c>
      <c r="AB102" s="80">
        <v>105.21188504627374</v>
      </c>
      <c r="AC102" s="80">
        <v>103.29810962009579</v>
      </c>
      <c r="AD102" s="80">
        <v>104.76591517664335</v>
      </c>
      <c r="AE102" s="80">
        <v>93.629147160594343</v>
      </c>
      <c r="AF102" s="80">
        <v>103.06617782602461</v>
      </c>
      <c r="AG102" s="80">
        <v>101.02781892505219</v>
      </c>
      <c r="AH102" s="80">
        <v>80.525806714756854</v>
      </c>
      <c r="AI102" s="80">
        <v>84</v>
      </c>
      <c r="AJ102" s="80" t="e">
        <v>#DIV/0!</v>
      </c>
      <c r="AK102" s="80">
        <v>82.243001945078703</v>
      </c>
      <c r="AL102" s="80">
        <v>97.498937908138899</v>
      </c>
    </row>
    <row r="103" spans="1:38">
      <c r="A103" s="72">
        <v>10</v>
      </c>
      <c r="B103" s="68" t="s">
        <v>224</v>
      </c>
      <c r="C103" s="74" t="s">
        <v>219</v>
      </c>
      <c r="D103" s="80"/>
      <c r="E103" s="80"/>
      <c r="F103" s="80"/>
      <c r="G103" s="80"/>
      <c r="H103" s="80"/>
      <c r="I103" s="80"/>
      <c r="J103" s="80"/>
      <c r="K103" s="96" t="s">
        <v>169</v>
      </c>
      <c r="L103" s="80">
        <v>6.6257448600754998</v>
      </c>
      <c r="M103" s="80">
        <v>44.079053895106028</v>
      </c>
      <c r="N103" s="80">
        <v>71.425953750870377</v>
      </c>
      <c r="O103" s="77">
        <v>78.47</v>
      </c>
      <c r="P103" s="77">
        <v>20.93</v>
      </c>
      <c r="Q103" s="80">
        <v>82</v>
      </c>
      <c r="R103" s="80">
        <v>74.900000000000006</v>
      </c>
      <c r="S103" s="80">
        <v>72.883163405504604</v>
      </c>
      <c r="T103" s="80">
        <v>78.85417116053604</v>
      </c>
      <c r="U103" s="80">
        <v>0</v>
      </c>
      <c r="V103" s="81">
        <v>88.490484636402854</v>
      </c>
      <c r="W103" s="80">
        <v>91.804364017544344</v>
      </c>
      <c r="X103" s="80">
        <v>89.808307227840089</v>
      </c>
      <c r="Y103" s="80">
        <v>90.124762321168916</v>
      </c>
      <c r="Z103" s="80">
        <v>82.031920370688169</v>
      </c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>
        <v>89.891912443647811</v>
      </c>
    </row>
    <row r="104" spans="1:38">
      <c r="A104" s="72">
        <v>11</v>
      </c>
      <c r="B104" s="68" t="s">
        <v>225</v>
      </c>
      <c r="C104" s="74" t="s">
        <v>219</v>
      </c>
      <c r="D104" s="80"/>
      <c r="E104" s="80"/>
      <c r="F104" s="80"/>
      <c r="G104" s="80"/>
      <c r="H104" s="80"/>
      <c r="I104" s="80"/>
      <c r="J104" s="80"/>
      <c r="K104" s="83">
        <v>84.67</v>
      </c>
      <c r="L104" s="83">
        <v>125.22518641055346</v>
      </c>
      <c r="M104" s="83">
        <v>130.92496345917402</v>
      </c>
      <c r="N104" s="83">
        <v>144.1521788302401</v>
      </c>
      <c r="O104" s="77">
        <v>143.22</v>
      </c>
      <c r="P104" s="77">
        <v>129</v>
      </c>
      <c r="Q104" s="80">
        <v>124</v>
      </c>
      <c r="R104" s="80">
        <v>127.6</v>
      </c>
      <c r="S104" s="80">
        <v>137.6574327807472</v>
      </c>
      <c r="T104" s="80">
        <v>149.45038136094058</v>
      </c>
      <c r="U104" s="80">
        <v>155</v>
      </c>
      <c r="V104" s="81">
        <v>147.22281441151873</v>
      </c>
      <c r="W104" s="80">
        <v>129.44663542661476</v>
      </c>
      <c r="X104" s="80">
        <v>139.46447419587801</v>
      </c>
      <c r="Y104" s="80">
        <v>139.27517940004671</v>
      </c>
      <c r="Z104" s="80">
        <v>141.64427604501182</v>
      </c>
      <c r="AA104" s="80">
        <v>145.63558298574935</v>
      </c>
      <c r="AB104" s="80">
        <v>147.18613138686132</v>
      </c>
      <c r="AC104" s="80">
        <v>144.86778748763081</v>
      </c>
      <c r="AD104" s="80">
        <v>147.67546501855611</v>
      </c>
      <c r="AE104" s="80">
        <v>151.01883462964653</v>
      </c>
      <c r="AF104" s="80">
        <v>151.3608490151635</v>
      </c>
      <c r="AG104" s="80">
        <v>150.02297879740152</v>
      </c>
      <c r="AH104" s="80">
        <v>155.96421259926186</v>
      </c>
      <c r="AI104" s="80">
        <v>154.51909173889513</v>
      </c>
      <c r="AJ104" s="80" t="e">
        <v>#DIV/0!</v>
      </c>
      <c r="AK104" s="80">
        <v>155.2890203952235</v>
      </c>
      <c r="AL104" s="80">
        <v>146.89378032639161</v>
      </c>
    </row>
    <row r="105" spans="1:38">
      <c r="A105" s="72">
        <v>12</v>
      </c>
      <c r="B105" s="68" t="s">
        <v>226</v>
      </c>
      <c r="C105" s="74" t="s">
        <v>219</v>
      </c>
      <c r="D105" s="80"/>
      <c r="E105" s="80"/>
      <c r="F105" s="80"/>
      <c r="G105" s="80"/>
      <c r="H105" s="80"/>
      <c r="I105" s="80"/>
      <c r="J105" s="80"/>
      <c r="K105" s="83"/>
      <c r="L105" s="83">
        <v>88.058978816814403</v>
      </c>
      <c r="M105" s="83">
        <v>121.33785053918166</v>
      </c>
      <c r="N105" s="83">
        <v>127.41256095231726</v>
      </c>
      <c r="O105" s="77">
        <v>125.89</v>
      </c>
      <c r="P105" s="77">
        <v>116</v>
      </c>
      <c r="Q105" s="80">
        <v>114</v>
      </c>
      <c r="R105" s="80">
        <v>110.46</v>
      </c>
      <c r="S105" s="80">
        <v>117.07878832589915</v>
      </c>
      <c r="T105" s="80">
        <v>126.9348577674001</v>
      </c>
      <c r="U105" s="80">
        <v>143</v>
      </c>
      <c r="V105" s="81">
        <v>127.26584920427864</v>
      </c>
      <c r="W105" s="80">
        <v>115.71519123522194</v>
      </c>
      <c r="X105" s="80">
        <v>124.08415212603761</v>
      </c>
      <c r="Y105" s="80">
        <v>122.58306229604331</v>
      </c>
      <c r="Z105" s="80">
        <v>130.80452806480201</v>
      </c>
      <c r="AA105" s="80">
        <v>134.58728414945017</v>
      </c>
      <c r="AB105" s="80">
        <v>136.95797989946976</v>
      </c>
      <c r="AC105" s="80">
        <v>134.13948487848759</v>
      </c>
      <c r="AD105" s="80">
        <v>136.68298619754933</v>
      </c>
      <c r="AE105" s="80">
        <v>138.01774329400627</v>
      </c>
      <c r="AF105" s="80">
        <v>139.02268642189784</v>
      </c>
      <c r="AG105" s="80">
        <v>137.92564779658892</v>
      </c>
      <c r="AH105" s="80">
        <v>138.38025777886432</v>
      </c>
      <c r="AI105" s="80">
        <v>137.36332558373991</v>
      </c>
      <c r="AJ105" s="80" t="e">
        <v>#DIV/0!</v>
      </c>
      <c r="AK105" s="80">
        <v>137.90163255563832</v>
      </c>
      <c r="AL105" s="80">
        <v>132.59889175233022</v>
      </c>
    </row>
    <row r="106" spans="1:38">
      <c r="A106" s="72">
        <v>13</v>
      </c>
      <c r="B106" s="68" t="s">
        <v>227</v>
      </c>
      <c r="C106" s="74" t="s">
        <v>219</v>
      </c>
      <c r="D106" s="80">
        <v>464.03659913678132</v>
      </c>
      <c r="E106" s="80">
        <v>452</v>
      </c>
      <c r="F106" s="80">
        <v>445</v>
      </c>
      <c r="G106" s="80">
        <v>441.34259526870352</v>
      </c>
      <c r="H106" s="80">
        <v>442.18851571581268</v>
      </c>
      <c r="I106" s="80">
        <v>440.00573404868658</v>
      </c>
      <c r="J106" s="80">
        <v>441.656002896139</v>
      </c>
      <c r="K106" s="80">
        <v>416.61261703026105</v>
      </c>
      <c r="L106" s="80">
        <v>467.74603518262171</v>
      </c>
      <c r="M106" s="80">
        <v>459.55606425652064</v>
      </c>
      <c r="N106" s="80">
        <v>458.48589110291374</v>
      </c>
      <c r="O106" s="80">
        <v>460.72633263198344</v>
      </c>
      <c r="P106" s="80">
        <v>432.13230627425384</v>
      </c>
      <c r="Q106" s="80">
        <v>455</v>
      </c>
      <c r="R106" s="80">
        <v>457</v>
      </c>
      <c r="S106" s="80">
        <v>465</v>
      </c>
      <c r="T106" s="80">
        <v>463</v>
      </c>
      <c r="U106" s="80">
        <v>440</v>
      </c>
      <c r="V106" s="81">
        <v>457</v>
      </c>
      <c r="W106" s="80">
        <v>464</v>
      </c>
      <c r="X106" s="80">
        <v>448</v>
      </c>
      <c r="Y106" s="80"/>
      <c r="Z106" s="80">
        <v>445</v>
      </c>
      <c r="AA106" s="80">
        <v>440</v>
      </c>
      <c r="AB106" s="80">
        <v>444</v>
      </c>
      <c r="AC106" s="80"/>
      <c r="AD106" s="80">
        <v>443</v>
      </c>
      <c r="AE106" s="80">
        <v>453</v>
      </c>
      <c r="AF106" s="80">
        <v>446</v>
      </c>
      <c r="AG106" s="80"/>
      <c r="AH106" s="80">
        <v>449</v>
      </c>
      <c r="AI106" s="80">
        <v>454</v>
      </c>
      <c r="AJ106" s="80"/>
      <c r="AK106" s="80"/>
      <c r="AL106" s="81">
        <v>449</v>
      </c>
    </row>
    <row r="107" spans="1:38">
      <c r="A107" s="72">
        <v>14</v>
      </c>
      <c r="B107" s="68" t="s">
        <v>228</v>
      </c>
      <c r="C107" s="74" t="s">
        <v>219</v>
      </c>
      <c r="D107" s="80">
        <v>1206.6436471027287</v>
      </c>
      <c r="E107" s="80">
        <v>1212</v>
      </c>
      <c r="F107" s="80">
        <v>1209</v>
      </c>
      <c r="G107" s="80">
        <v>1188.0297017194018</v>
      </c>
      <c r="H107" s="80">
        <v>1203.4974266049721</v>
      </c>
      <c r="I107" s="80">
        <v>1218.4418621165396</v>
      </c>
      <c r="J107" s="80">
        <v>1223.7218130717852</v>
      </c>
      <c r="K107" s="80">
        <v>1252.8870500185474</v>
      </c>
      <c r="L107" s="80">
        <v>1283.017391821712</v>
      </c>
      <c r="M107" s="80">
        <v>1281.0984541433793</v>
      </c>
      <c r="N107" s="80">
        <v>1240.7626322604278</v>
      </c>
      <c r="O107" s="80">
        <v>1281.1610091801708</v>
      </c>
      <c r="P107" s="80">
        <v>1270.6143373522561</v>
      </c>
      <c r="Q107" s="80">
        <v>1281.059469325573</v>
      </c>
      <c r="R107" s="80">
        <v>1247.4671525306801</v>
      </c>
      <c r="S107" s="80">
        <v>1229.0405356781198</v>
      </c>
      <c r="T107" s="80">
        <v>1221.0611851834051</v>
      </c>
      <c r="U107" s="80">
        <v>1174</v>
      </c>
      <c r="V107" s="81">
        <v>1178.6955387424994</v>
      </c>
      <c r="W107" s="80">
        <v>1141.8693773588197</v>
      </c>
      <c r="X107" s="80">
        <v>1171.0279730645434</v>
      </c>
      <c r="Y107" s="80">
        <v>1164.6123940511161</v>
      </c>
      <c r="Z107" s="80">
        <v>1183.9358037988175</v>
      </c>
      <c r="AA107" s="80">
        <v>1278.3525496762909</v>
      </c>
      <c r="AB107" s="80">
        <v>1288.2336541726129</v>
      </c>
      <c r="AC107" s="80">
        <v>1250.8504450837829</v>
      </c>
      <c r="AD107" s="80">
        <v>1262.8827483196415</v>
      </c>
      <c r="AE107" s="80">
        <v>1215.9105580591813</v>
      </c>
      <c r="AF107" s="80">
        <v>1219.5384224943814</v>
      </c>
      <c r="AG107" s="80">
        <v>1233.0926516794866</v>
      </c>
      <c r="AH107" s="80">
        <v>1222.0538103193035</v>
      </c>
      <c r="AI107" s="80">
        <v>1174.8638220261571</v>
      </c>
      <c r="AJ107" s="80" t="e">
        <v>#DIV/0!</v>
      </c>
      <c r="AK107" s="80">
        <v>1199.8435599317875</v>
      </c>
      <c r="AL107" s="80">
        <v>1213.0664428842699</v>
      </c>
    </row>
    <row r="108" spans="1:38">
      <c r="A108" s="72">
        <v>15</v>
      </c>
      <c r="B108" s="68" t="s">
        <v>229</v>
      </c>
      <c r="C108" s="74" t="s">
        <v>219</v>
      </c>
      <c r="D108" s="80">
        <v>490.38623706383038</v>
      </c>
      <c r="E108" s="80">
        <v>483</v>
      </c>
      <c r="F108" s="80">
        <v>487</v>
      </c>
      <c r="G108" s="80">
        <v>508.09295007469711</v>
      </c>
      <c r="H108" s="80">
        <v>492.77396566150372</v>
      </c>
      <c r="I108" s="80">
        <v>477.38462370827244</v>
      </c>
      <c r="J108" s="80">
        <v>472.53500540908522</v>
      </c>
      <c r="K108" s="80">
        <v>440.10378966595277</v>
      </c>
      <c r="L108" s="80">
        <v>412.94540061278485</v>
      </c>
      <c r="M108" s="80">
        <v>406.84167930424172</v>
      </c>
      <c r="N108" s="80">
        <v>452.18801722481004</v>
      </c>
      <c r="O108" s="80">
        <v>434.37516372681728</v>
      </c>
      <c r="P108" s="80">
        <v>464.07412945562731</v>
      </c>
      <c r="Q108" s="80">
        <v>415.2726830373598</v>
      </c>
      <c r="R108" s="80">
        <v>477.97333466143544</v>
      </c>
      <c r="S108" s="80">
        <v>436.90185289452569</v>
      </c>
      <c r="T108" s="80">
        <v>415.41584840033659</v>
      </c>
      <c r="U108" s="80">
        <v>293</v>
      </c>
      <c r="V108" s="81">
        <v>359.60866162274982</v>
      </c>
      <c r="W108" s="80">
        <v>422.40391716726469</v>
      </c>
      <c r="X108" s="80">
        <v>360.11614856852447</v>
      </c>
      <c r="Y108" s="80">
        <v>379.3264157739178</v>
      </c>
      <c r="Z108" s="80">
        <v>254.29975429975431</v>
      </c>
      <c r="AA108" s="80">
        <v>163.63578186162101</v>
      </c>
      <c r="AB108" s="80">
        <v>178.08098178475706</v>
      </c>
      <c r="AC108" s="80">
        <v>197.97154791518679</v>
      </c>
      <c r="AD108" s="80">
        <v>208.56637070229303</v>
      </c>
      <c r="AE108" s="80">
        <v>223.43885449392263</v>
      </c>
      <c r="AF108" s="80">
        <v>212.51089058138044</v>
      </c>
      <c r="AG108" s="80">
        <v>214.50226229529665</v>
      </c>
      <c r="AH108" s="80">
        <v>208.23588531692675</v>
      </c>
      <c r="AI108" s="80">
        <v>239.89625117236787</v>
      </c>
      <c r="AJ108" s="80" t="e">
        <v>#DIV/0!</v>
      </c>
      <c r="AK108" s="80">
        <v>223.13702597077676</v>
      </c>
      <c r="AL108" s="80">
        <v>257.40921750003912</v>
      </c>
    </row>
    <row r="109" spans="1:38">
      <c r="A109" s="72">
        <v>16</v>
      </c>
      <c r="B109" s="68" t="s">
        <v>230</v>
      </c>
      <c r="C109" s="74" t="s">
        <v>219</v>
      </c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>
        <v>1199.3162615630906</v>
      </c>
      <c r="O109" s="80">
        <v>1491.8449284347705</v>
      </c>
      <c r="P109" s="80">
        <v>1230.5057596713204</v>
      </c>
      <c r="Q109" s="80">
        <v>1275.4211449043373</v>
      </c>
      <c r="R109" s="80">
        <v>1246.4148160855298</v>
      </c>
      <c r="S109" s="80">
        <v>1291.850665085411</v>
      </c>
      <c r="T109" s="80">
        <v>1242.3145266693634</v>
      </c>
      <c r="U109" s="80">
        <v>1084</v>
      </c>
      <c r="V109" s="81">
        <v>1174.0699191234021</v>
      </c>
      <c r="W109" s="80">
        <v>1143.4075168206746</v>
      </c>
      <c r="X109" s="80">
        <v>1178.0900601389123</v>
      </c>
      <c r="Y109" s="80">
        <v>1165.9010655068626</v>
      </c>
      <c r="Z109" s="80">
        <v>1203.8891319713239</v>
      </c>
      <c r="AA109" s="80">
        <v>1266.6414241070001</v>
      </c>
      <c r="AB109" s="80">
        <v>1309.6177255651032</v>
      </c>
      <c r="AC109" s="80">
        <v>1260.4213234305964</v>
      </c>
      <c r="AD109" s="80">
        <v>1299.5491383840897</v>
      </c>
      <c r="AE109" s="80">
        <v>1221.8249893946006</v>
      </c>
      <c r="AF109" s="80">
        <v>1181.2480540853089</v>
      </c>
      <c r="AG109" s="80">
        <v>1233.6024515292593</v>
      </c>
      <c r="AH109" s="80">
        <v>1232.4627524480843</v>
      </c>
      <c r="AI109" s="80">
        <v>1206.3978443706485</v>
      </c>
      <c r="AJ109" s="80" t="e">
        <v>#DIV/0!</v>
      </c>
      <c r="AK109" s="80">
        <v>1220.195147482149</v>
      </c>
      <c r="AL109" s="80">
        <v>1219.7758778253074</v>
      </c>
    </row>
    <row r="110" spans="1:38">
      <c r="A110" s="72">
        <v>17</v>
      </c>
      <c r="B110" s="68" t="s">
        <v>231</v>
      </c>
      <c r="C110" s="74" t="s">
        <v>219</v>
      </c>
      <c r="D110" s="80"/>
      <c r="E110" s="80"/>
      <c r="F110" s="80"/>
      <c r="G110" s="80"/>
      <c r="H110" s="80"/>
      <c r="I110" s="80"/>
      <c r="J110" s="80"/>
      <c r="K110" s="80"/>
      <c r="L110" s="80"/>
      <c r="M110" s="80">
        <v>1644.1449565409632</v>
      </c>
      <c r="N110" s="80">
        <v>1651.5042787879006</v>
      </c>
      <c r="O110" s="80">
        <v>1690.6728953886968</v>
      </c>
      <c r="P110" s="80">
        <v>1694.5798891269478</v>
      </c>
      <c r="Q110" s="80">
        <v>1715</v>
      </c>
      <c r="R110" s="80">
        <v>1745.3009165748986</v>
      </c>
      <c r="S110" s="80">
        <v>1743.6913916463036</v>
      </c>
      <c r="T110" s="80">
        <v>1741.7402383218764</v>
      </c>
      <c r="U110" s="80">
        <v>1726</v>
      </c>
      <c r="V110" s="81">
        <v>1718.2815027393688</v>
      </c>
      <c r="W110" s="81">
        <v>1726.7432731840361</v>
      </c>
      <c r="X110" s="81">
        <v>1724.0253896323902</v>
      </c>
      <c r="Y110" s="81">
        <v>1722.5320222187229</v>
      </c>
      <c r="Z110" s="81">
        <v>1727.1156586225079</v>
      </c>
      <c r="AA110" s="81">
        <v>1727.3883550028268</v>
      </c>
      <c r="AB110" s="81">
        <v>1740.5314688403139</v>
      </c>
      <c r="AC110" s="81">
        <v>1731.6524643937546</v>
      </c>
      <c r="AD110" s="81">
        <v>1723.3203330290708</v>
      </c>
      <c r="AE110" s="81">
        <v>1720.2357165253638</v>
      </c>
      <c r="AF110" s="81">
        <v>1720.7798833628544</v>
      </c>
      <c r="AG110" s="81">
        <v>1721.4734244612257</v>
      </c>
      <c r="AH110" s="81">
        <v>1720.0532398918904</v>
      </c>
      <c r="AI110" s="81">
        <v>1718.8975006797441</v>
      </c>
      <c r="AJ110" s="81" t="e">
        <v>#DIV/0!</v>
      </c>
      <c r="AK110" s="81">
        <v>1719.5092843154453</v>
      </c>
      <c r="AL110" s="81">
        <v>1724.2331912153636</v>
      </c>
    </row>
    <row r="111" spans="1:38">
      <c r="A111" s="72">
        <v>18</v>
      </c>
      <c r="B111" s="68" t="s">
        <v>232</v>
      </c>
      <c r="C111" s="74" t="s">
        <v>219</v>
      </c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>
        <v>1715</v>
      </c>
      <c r="T111" s="80">
        <v>1713</v>
      </c>
      <c r="U111" s="80">
        <v>1700</v>
      </c>
      <c r="V111" s="81">
        <v>1691</v>
      </c>
      <c r="W111" s="81">
        <v>1701</v>
      </c>
      <c r="X111" s="81">
        <v>1698</v>
      </c>
      <c r="Y111" s="81"/>
      <c r="Z111" s="81">
        <v>1694</v>
      </c>
      <c r="AA111" s="81">
        <v>1693</v>
      </c>
      <c r="AB111" s="81">
        <v>1706</v>
      </c>
      <c r="AC111" s="81"/>
      <c r="AD111" s="81">
        <v>1696</v>
      </c>
      <c r="AE111" s="81">
        <v>1695</v>
      </c>
      <c r="AF111" s="81">
        <v>1697</v>
      </c>
      <c r="AG111" s="81"/>
      <c r="AH111" s="81">
        <v>1699</v>
      </c>
      <c r="AI111" s="81">
        <v>1697</v>
      </c>
      <c r="AJ111" s="81"/>
      <c r="AK111" s="81"/>
      <c r="AL111" s="81">
        <v>1697</v>
      </c>
    </row>
    <row r="112" spans="1:38">
      <c r="A112" s="72">
        <v>19</v>
      </c>
      <c r="B112" s="42" t="s">
        <v>233</v>
      </c>
      <c r="C112" s="74" t="s">
        <v>219</v>
      </c>
      <c r="D112" s="80"/>
      <c r="E112" s="80"/>
      <c r="F112" s="80"/>
      <c r="G112" s="80"/>
      <c r="H112" s="80"/>
      <c r="I112" s="80"/>
      <c r="J112" s="80"/>
      <c r="K112" s="77">
        <v>20.11</v>
      </c>
      <c r="L112" s="77">
        <v>3.182449426837402</v>
      </c>
      <c r="M112" s="77">
        <v>2.9096521851752044</v>
      </c>
      <c r="N112" s="77">
        <v>6.7006125809559443</v>
      </c>
      <c r="O112" s="77">
        <v>5.152733000041124</v>
      </c>
      <c r="P112" s="77">
        <v>8.1198724789512848</v>
      </c>
      <c r="Q112" s="77">
        <v>3</v>
      </c>
      <c r="R112" s="77">
        <v>6.1083473060740374</v>
      </c>
      <c r="S112" s="77">
        <v>2.8240349899164809</v>
      </c>
      <c r="T112" s="77">
        <v>0.51621424493208889</v>
      </c>
      <c r="U112" s="80">
        <v>0</v>
      </c>
      <c r="V112" s="78">
        <v>11.768849465170884</v>
      </c>
      <c r="W112" s="77">
        <v>6.2630480167014611</v>
      </c>
      <c r="X112" s="77">
        <v>4.1239623920040653</v>
      </c>
      <c r="Y112" s="77">
        <v>7.4415346773887023</v>
      </c>
      <c r="Z112" s="77">
        <v>7.6234391302884452</v>
      </c>
      <c r="AA112" s="77">
        <v>13.801636144501211</v>
      </c>
      <c r="AB112" s="77">
        <v>5.7883564876793852</v>
      </c>
      <c r="AC112" s="77">
        <v>9.1338853341305253</v>
      </c>
      <c r="AD112" s="77">
        <v>9.1334052499101048</v>
      </c>
      <c r="AE112" s="77">
        <v>5.8099143575587293</v>
      </c>
      <c r="AF112" s="77">
        <v>5.2405608420479783</v>
      </c>
      <c r="AG112" s="77">
        <v>6.7302934295685786</v>
      </c>
      <c r="AH112" s="77">
        <v>3.6969129011666597</v>
      </c>
      <c r="AI112" s="77">
        <v>5.5937604061968234</v>
      </c>
      <c r="AJ112" s="77" t="e">
        <v>#DIV/0!</v>
      </c>
      <c r="AK112" s="77">
        <v>4.5896755306452865</v>
      </c>
      <c r="AL112" s="77">
        <v>7.2163262916898585</v>
      </c>
    </row>
    <row r="113" spans="1:38">
      <c r="A113" s="72">
        <v>20</v>
      </c>
      <c r="B113" s="42" t="s">
        <v>234</v>
      </c>
      <c r="C113" s="74" t="s">
        <v>219</v>
      </c>
      <c r="D113" s="80"/>
      <c r="E113" s="80"/>
      <c r="F113" s="80"/>
      <c r="G113" s="80"/>
      <c r="H113" s="80"/>
      <c r="I113" s="80"/>
      <c r="J113" s="80"/>
      <c r="K113" s="77">
        <v>20.11</v>
      </c>
      <c r="L113" s="77">
        <v>3.182449426837402</v>
      </c>
      <c r="M113" s="77">
        <v>2.9096521851752044</v>
      </c>
      <c r="N113" s="77">
        <v>6.7006125809559443</v>
      </c>
      <c r="O113" s="77">
        <v>5.152733000041124</v>
      </c>
      <c r="P113" s="77">
        <v>8.1198724789512848</v>
      </c>
      <c r="Q113" s="77">
        <v>19.012213802630715</v>
      </c>
      <c r="R113" s="77">
        <v>19.860429382783003</v>
      </c>
      <c r="S113" s="77">
        <v>77.749003073658059</v>
      </c>
      <c r="T113" s="77">
        <v>105.26320473813475</v>
      </c>
      <c r="U113" s="80">
        <v>259</v>
      </c>
      <c r="V113" s="78">
        <v>178.97730237411949</v>
      </c>
      <c r="W113" s="77">
        <v>162.46997865795151</v>
      </c>
      <c r="X113" s="77">
        <v>192.88126799932238</v>
      </c>
      <c r="Y113" s="77">
        <v>178.59321239368913</v>
      </c>
      <c r="Z113" s="77">
        <v>288.88010052393616</v>
      </c>
      <c r="AA113" s="77">
        <v>285.40002346491463</v>
      </c>
      <c r="AB113" s="77">
        <v>274.21683288294383</v>
      </c>
      <c r="AC113" s="77">
        <v>282.83047139478481</v>
      </c>
      <c r="AD113" s="77">
        <v>251.87121400713633</v>
      </c>
      <c r="AE113" s="77">
        <v>280.88630397225995</v>
      </c>
      <c r="AF113" s="77">
        <v>288.73057028709275</v>
      </c>
      <c r="AG113" s="77">
        <v>273.87851048644262</v>
      </c>
      <c r="AH113" s="77">
        <v>289.76354425566012</v>
      </c>
      <c r="AI113" s="77">
        <v>304.13742748121922</v>
      </c>
      <c r="AJ113" s="77" t="e">
        <v>#DIV/0!</v>
      </c>
      <c r="AK113" s="77">
        <v>296.528698412881</v>
      </c>
      <c r="AL113" s="77">
        <v>253.75753083105454</v>
      </c>
    </row>
    <row r="114" spans="1:38">
      <c r="A114" s="72">
        <v>21</v>
      </c>
      <c r="B114" s="68" t="s">
        <v>235</v>
      </c>
      <c r="C114" s="74" t="s">
        <v>219</v>
      </c>
      <c r="D114" s="80">
        <v>5.4395606367250862</v>
      </c>
      <c r="E114" s="80">
        <v>7</v>
      </c>
      <c r="F114" s="80">
        <v>3</v>
      </c>
      <c r="G114" s="80">
        <v>2.5619751825749217</v>
      </c>
      <c r="H114" s="80">
        <v>0.51450577129958619</v>
      </c>
      <c r="I114" s="80">
        <v>0.75914353730455009</v>
      </c>
      <c r="J114" s="80">
        <v>0.28089422854941176</v>
      </c>
      <c r="K114" s="80">
        <v>1.6070228768718902</v>
      </c>
      <c r="L114" s="80">
        <v>0.16369856191799492</v>
      </c>
      <c r="M114" s="80">
        <v>6.6581597363627315E-2</v>
      </c>
      <c r="N114" s="80">
        <v>0.36874156096979033</v>
      </c>
      <c r="O114" s="77">
        <v>0.50646162139139583</v>
      </c>
      <c r="P114" s="77">
        <v>0.39120630035263743</v>
      </c>
      <c r="Q114" s="77">
        <v>0.40984162884115583</v>
      </c>
      <c r="R114" s="77">
        <v>0.8335224034220764</v>
      </c>
      <c r="S114" s="77">
        <v>9.5812572975889798E-2</v>
      </c>
      <c r="T114" s="77">
        <v>4.2276166610817623E-2</v>
      </c>
      <c r="U114" s="80">
        <v>0</v>
      </c>
      <c r="V114" s="78">
        <v>0.20871380120010435</v>
      </c>
      <c r="W114" s="77">
        <v>0.31983996371270229</v>
      </c>
      <c r="X114" s="77">
        <v>0</v>
      </c>
      <c r="Y114" s="77">
        <v>0.17194352288749282</v>
      </c>
      <c r="Z114" s="77">
        <v>3.9267162554833784E-2</v>
      </c>
      <c r="AA114" s="77">
        <v>0</v>
      </c>
      <c r="AB114" s="77">
        <v>0</v>
      </c>
      <c r="AC114" s="77">
        <v>1.2798958530460151E-2</v>
      </c>
      <c r="AD114" s="77">
        <v>0</v>
      </c>
      <c r="AE114" s="77">
        <v>0.18751575439739815</v>
      </c>
      <c r="AF114" s="77">
        <v>0.12035237081088718</v>
      </c>
      <c r="AG114" s="77">
        <v>0.10008914481776759</v>
      </c>
      <c r="AH114" s="77">
        <v>0</v>
      </c>
      <c r="AI114" s="77">
        <v>0.15886157352388575</v>
      </c>
      <c r="AJ114" s="77" t="e">
        <v>#DIV/0!</v>
      </c>
      <c r="AK114" s="77">
        <v>7.4769150248607419E-2</v>
      </c>
      <c r="AL114" s="78">
        <v>9.1588631302521539E-2</v>
      </c>
    </row>
    <row r="115" spans="1:38">
      <c r="A115" s="72">
        <v>22</v>
      </c>
      <c r="B115" s="68" t="s">
        <v>236</v>
      </c>
      <c r="C115" s="74" t="s">
        <v>219</v>
      </c>
      <c r="D115" s="80">
        <v>1.0653052290114686</v>
      </c>
      <c r="E115" s="80">
        <v>2</v>
      </c>
      <c r="F115" s="80">
        <v>5</v>
      </c>
      <c r="G115" s="80">
        <v>10.587847615227016</v>
      </c>
      <c r="H115" s="80">
        <v>7.6651832038984642</v>
      </c>
      <c r="I115" s="80">
        <v>8.0711836552507705</v>
      </c>
      <c r="J115" s="80">
        <v>20.713290118432571</v>
      </c>
      <c r="K115" s="80">
        <v>23.326382133124088</v>
      </c>
      <c r="L115" s="80">
        <v>17.230752845741716</v>
      </c>
      <c r="M115" s="80">
        <v>7.1442700394447485</v>
      </c>
      <c r="N115" s="80">
        <v>4.7017561618100627</v>
      </c>
      <c r="O115" s="83">
        <v>4.9131729807547186</v>
      </c>
      <c r="P115" s="83">
        <v>2.3563420390069649</v>
      </c>
      <c r="Q115" s="80">
        <v>2.7644731525018091</v>
      </c>
      <c r="R115" s="80">
        <v>3.3029622210293899</v>
      </c>
      <c r="S115" s="80">
        <v>3.9816735834992656</v>
      </c>
      <c r="T115" s="80">
        <v>4.4608030958614302</v>
      </c>
      <c r="U115" s="83">
        <v>5</v>
      </c>
      <c r="V115" s="81">
        <v>3.8690320897469346</v>
      </c>
      <c r="W115" s="80">
        <v>2.6197800664104069</v>
      </c>
      <c r="X115" s="80">
        <v>3.1657631712688463</v>
      </c>
      <c r="Y115" s="80">
        <v>3.2397779575643386</v>
      </c>
      <c r="Z115" s="80">
        <v>2.3083481987591576</v>
      </c>
      <c r="AA115" s="80">
        <v>8.3647087684119583</v>
      </c>
      <c r="AB115" s="80">
        <v>8.43548756621278</v>
      </c>
      <c r="AC115" s="80">
        <v>6.4141066464077436</v>
      </c>
      <c r="AD115" s="80">
        <v>8.5829668353940196</v>
      </c>
      <c r="AE115" s="80">
        <v>8.5796142708711187</v>
      </c>
      <c r="AF115" s="80">
        <v>1.7948201386145348</v>
      </c>
      <c r="AG115" s="80">
        <v>6.155014700008512</v>
      </c>
      <c r="AH115" s="80">
        <v>3.2568688967662198</v>
      </c>
      <c r="AI115" s="80">
        <v>2.9817095338329325</v>
      </c>
      <c r="AJ115" s="80" t="e">
        <v>#DIV/0!</v>
      </c>
      <c r="AK115" s="80">
        <v>3.1273634959754069</v>
      </c>
      <c r="AL115" s="80">
        <v>4.8824562102895159</v>
      </c>
    </row>
    <row r="116" spans="1:38">
      <c r="A116" s="72">
        <v>23</v>
      </c>
      <c r="B116" s="68" t="s">
        <v>237</v>
      </c>
      <c r="C116" s="74" t="s">
        <v>219</v>
      </c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3">
        <v>22.06</v>
      </c>
      <c r="P116" s="83">
        <v>6.86</v>
      </c>
      <c r="Q116" s="80">
        <v>15</v>
      </c>
      <c r="R116" s="80">
        <v>4.68</v>
      </c>
      <c r="S116" s="80">
        <v>30.51</v>
      </c>
      <c r="T116" s="80">
        <v>14.12</v>
      </c>
      <c r="U116" s="83">
        <v>20</v>
      </c>
      <c r="V116" s="96">
        <v>0</v>
      </c>
      <c r="W116" s="96">
        <v>0</v>
      </c>
      <c r="X116" s="96">
        <v>0</v>
      </c>
      <c r="Y116" s="96"/>
      <c r="Z116" s="96">
        <v>0</v>
      </c>
      <c r="AA116" s="96">
        <v>0</v>
      </c>
      <c r="AB116" s="96">
        <v>0</v>
      </c>
      <c r="AC116" s="96"/>
      <c r="AD116" s="96">
        <v>0</v>
      </c>
      <c r="AE116" s="96">
        <v>0</v>
      </c>
      <c r="AF116" s="96">
        <v>0</v>
      </c>
      <c r="AG116" s="96"/>
      <c r="AH116" s="96">
        <v>0</v>
      </c>
      <c r="AI116" s="96">
        <v>0</v>
      </c>
      <c r="AJ116" s="96"/>
      <c r="AK116" s="96"/>
      <c r="AL116" s="96">
        <v>0</v>
      </c>
    </row>
    <row r="117" spans="1:38">
      <c r="A117" s="72">
        <v>24</v>
      </c>
      <c r="B117" s="68" t="s">
        <v>238</v>
      </c>
      <c r="C117" s="74" t="s">
        <v>219</v>
      </c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3">
        <v>24.16</v>
      </c>
      <c r="P117" s="83">
        <v>4.49</v>
      </c>
      <c r="Q117" s="80">
        <v>10</v>
      </c>
      <c r="R117" s="80">
        <v>4.7300000000000004</v>
      </c>
      <c r="S117" s="80">
        <v>27.64</v>
      </c>
      <c r="T117" s="80">
        <v>15.39</v>
      </c>
      <c r="U117" s="83">
        <v>0</v>
      </c>
      <c r="V117" s="96">
        <v>11</v>
      </c>
      <c r="W117" s="96">
        <v>10.98</v>
      </c>
      <c r="X117" s="96">
        <v>6.02</v>
      </c>
      <c r="Y117" s="96"/>
      <c r="Z117" s="96">
        <v>0</v>
      </c>
      <c r="AA117" s="96">
        <v>0</v>
      </c>
      <c r="AB117" s="96">
        <v>0</v>
      </c>
      <c r="AC117" s="96"/>
      <c r="AD117" s="96">
        <v>0</v>
      </c>
      <c r="AE117" s="96">
        <v>0</v>
      </c>
      <c r="AF117" s="96">
        <v>0</v>
      </c>
      <c r="AG117" s="96"/>
      <c r="AH117" s="96">
        <v>0</v>
      </c>
      <c r="AI117" s="96">
        <v>0</v>
      </c>
      <c r="AJ117" s="96"/>
      <c r="AK117" s="96"/>
      <c r="AL117" s="96">
        <v>9.1</v>
      </c>
    </row>
    <row r="118" spans="1:38">
      <c r="A118" s="72">
        <v>25</v>
      </c>
      <c r="B118" s="68" t="s">
        <v>239</v>
      </c>
      <c r="C118" s="74" t="s">
        <v>219</v>
      </c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3">
        <v>36.299999999999997</v>
      </c>
      <c r="P118" s="83">
        <v>39.03</v>
      </c>
      <c r="Q118" s="80">
        <v>37.65</v>
      </c>
      <c r="R118" s="80">
        <v>37.979999999999997</v>
      </c>
      <c r="S118" s="80">
        <v>40.78</v>
      </c>
      <c r="T118" s="80">
        <v>38.299999999999997</v>
      </c>
      <c r="U118" s="83">
        <v>25</v>
      </c>
      <c r="V118" s="96">
        <v>35</v>
      </c>
      <c r="W118" s="96">
        <v>42.24</v>
      </c>
      <c r="X118" s="96">
        <v>35.81</v>
      </c>
      <c r="Y118" s="96"/>
      <c r="Z118" s="96">
        <v>35.19</v>
      </c>
      <c r="AA118" s="96">
        <v>33.99</v>
      </c>
      <c r="AB118" s="96">
        <v>36.78</v>
      </c>
      <c r="AC118" s="96"/>
      <c r="AD118" s="96">
        <v>35.229999999999997</v>
      </c>
      <c r="AE118" s="96">
        <v>33.39</v>
      </c>
      <c r="AF118" s="96">
        <v>32</v>
      </c>
      <c r="AG118" s="96"/>
      <c r="AH118" s="96">
        <v>32</v>
      </c>
      <c r="AI118" s="96">
        <v>31</v>
      </c>
      <c r="AJ118" s="96"/>
      <c r="AK118" s="96"/>
      <c r="AL118" s="96">
        <v>35</v>
      </c>
    </row>
    <row r="119" spans="1:38">
      <c r="A119" s="72">
        <v>26</v>
      </c>
      <c r="B119" s="68" t="s">
        <v>240</v>
      </c>
      <c r="C119" s="74" t="s">
        <v>219</v>
      </c>
      <c r="D119" s="77">
        <v>20.855881270019662</v>
      </c>
      <c r="E119" s="77">
        <v>24.77</v>
      </c>
      <c r="F119" s="77">
        <v>24.75</v>
      </c>
      <c r="G119" s="77">
        <v>25.891329270468773</v>
      </c>
      <c r="H119" s="77">
        <v>26.53384479667783</v>
      </c>
      <c r="I119" s="77">
        <v>24.487461803301233</v>
      </c>
      <c r="J119" s="77">
        <v>26.160232442272232</v>
      </c>
      <c r="K119" s="83">
        <v>28.090382708818204</v>
      </c>
      <c r="L119" s="83">
        <v>26.933875724522274</v>
      </c>
      <c r="M119" s="83">
        <v>30.654370079910844</v>
      </c>
      <c r="N119" s="83">
        <v>30.781680425687629</v>
      </c>
      <c r="O119" s="83">
        <v>32.409999999999997</v>
      </c>
      <c r="P119" s="83">
        <v>29.61</v>
      </c>
      <c r="Q119" s="80">
        <v>30</v>
      </c>
      <c r="R119" s="80">
        <v>25.06</v>
      </c>
      <c r="S119" s="80">
        <v>36.630000000000003</v>
      </c>
      <c r="T119" s="80">
        <v>29.81</v>
      </c>
      <c r="U119" s="80">
        <v>24</v>
      </c>
      <c r="V119" s="96">
        <v>24</v>
      </c>
      <c r="W119" s="96">
        <v>27.13</v>
      </c>
      <c r="X119" s="96">
        <v>24.87</v>
      </c>
      <c r="Y119" s="96"/>
      <c r="Z119" s="96">
        <v>26.22</v>
      </c>
      <c r="AA119" s="96">
        <v>25.14</v>
      </c>
      <c r="AB119" s="96">
        <v>27.82</v>
      </c>
      <c r="AC119" s="96"/>
      <c r="AD119" s="96">
        <v>26.2</v>
      </c>
      <c r="AE119" s="96">
        <v>25.83</v>
      </c>
      <c r="AF119" s="96">
        <v>24</v>
      </c>
      <c r="AG119" s="96"/>
      <c r="AH119" s="96">
        <v>24</v>
      </c>
      <c r="AI119" s="96">
        <v>24</v>
      </c>
      <c r="AJ119" s="96"/>
      <c r="AK119" s="96"/>
      <c r="AL119" s="96">
        <v>25</v>
      </c>
    </row>
    <row r="120" spans="1:38">
      <c r="A120" s="72">
        <v>27</v>
      </c>
      <c r="B120" s="68" t="s">
        <v>241</v>
      </c>
      <c r="C120" s="74" t="s">
        <v>146</v>
      </c>
      <c r="D120" s="83">
        <v>71.103264495270352</v>
      </c>
      <c r="E120" s="83">
        <v>71.5</v>
      </c>
      <c r="F120" s="83">
        <v>71.3</v>
      </c>
      <c r="G120" s="83">
        <v>70.043855641143978</v>
      </c>
      <c r="H120" s="83">
        <v>70.949579889861667</v>
      </c>
      <c r="I120" s="83">
        <v>71.849441691195011</v>
      </c>
      <c r="J120" s="83">
        <v>72.142484542389226</v>
      </c>
      <c r="K120" s="83">
        <v>74.004360841788781</v>
      </c>
      <c r="L120" s="83">
        <v>75.65127003641301</v>
      </c>
      <c r="M120" s="83">
        <v>75.766896555151732</v>
      </c>
      <c r="N120" s="83">
        <v>73.001012616675581</v>
      </c>
      <c r="O120" s="83">
        <v>74.491062341955129</v>
      </c>
      <c r="P120" s="83">
        <v>73.517595670555608</v>
      </c>
      <c r="Q120" s="77">
        <v>76.099999999999994</v>
      </c>
      <c r="R120" s="77">
        <v>72.209999999999994</v>
      </c>
      <c r="S120" s="77">
        <v>71.260000000000005</v>
      </c>
      <c r="T120" s="77">
        <v>70.92</v>
      </c>
      <c r="U120" s="80">
        <v>68</v>
      </c>
      <c r="V120" s="97">
        <v>69.400000000000006</v>
      </c>
      <c r="W120" s="97">
        <v>66.819999999999993</v>
      </c>
      <c r="X120" s="97">
        <v>68.61</v>
      </c>
      <c r="Y120" s="97"/>
      <c r="Z120" s="97">
        <v>69.44</v>
      </c>
      <c r="AA120" s="97">
        <v>75.02</v>
      </c>
      <c r="AB120" s="97">
        <v>75.010000000000005</v>
      </c>
      <c r="AC120" s="97"/>
      <c r="AD120" s="97">
        <v>74.05</v>
      </c>
      <c r="AE120" s="97">
        <v>71.45</v>
      </c>
      <c r="AF120" s="97">
        <v>71.47</v>
      </c>
      <c r="AG120" s="97"/>
      <c r="AH120" s="97">
        <v>71.62</v>
      </c>
      <c r="AI120" s="97">
        <v>68.92</v>
      </c>
      <c r="AJ120" s="97"/>
      <c r="AK120" s="97"/>
      <c r="AL120" s="97">
        <v>71.11</v>
      </c>
    </row>
    <row r="121" spans="1:38">
      <c r="A121" s="72"/>
      <c r="B121" s="68" t="s">
        <v>242</v>
      </c>
      <c r="C121" s="74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77">
        <v>1.1200000000000001</v>
      </c>
      <c r="R121" s="77">
        <v>1.1499999999999999</v>
      </c>
      <c r="S121" s="77">
        <v>4.3899999999999997</v>
      </c>
      <c r="T121" s="77">
        <v>6.01</v>
      </c>
      <c r="U121" s="80"/>
      <c r="V121" s="97">
        <v>10.210000000000001</v>
      </c>
      <c r="W121" s="97">
        <v>9.26</v>
      </c>
      <c r="X121" s="97">
        <v>11.03</v>
      </c>
      <c r="Y121" s="97"/>
      <c r="Z121" s="97">
        <v>16.39</v>
      </c>
      <c r="AA121" s="97">
        <v>16.02</v>
      </c>
      <c r="AB121" s="97">
        <v>15.24</v>
      </c>
      <c r="AC121" s="97"/>
      <c r="AD121" s="97">
        <v>14.33</v>
      </c>
      <c r="AE121" s="97">
        <v>16.18</v>
      </c>
      <c r="AF121" s="97">
        <v>16.68</v>
      </c>
      <c r="AG121" s="97"/>
      <c r="AH121" s="97">
        <v>16.73</v>
      </c>
      <c r="AI121" s="97">
        <v>17.579999999999998</v>
      </c>
      <c r="AJ121" s="97"/>
      <c r="AK121" s="97"/>
      <c r="AL121" s="97">
        <v>14.48</v>
      </c>
    </row>
    <row r="122" spans="1:38">
      <c r="A122" s="72">
        <v>28</v>
      </c>
      <c r="B122" s="68" t="s">
        <v>243</v>
      </c>
      <c r="C122" s="74" t="s">
        <v>146</v>
      </c>
      <c r="D122" s="77">
        <v>20.027400473687358</v>
      </c>
      <c r="E122" s="77">
        <v>17</v>
      </c>
      <c r="F122" s="83">
        <v>18</v>
      </c>
      <c r="G122" s="83">
        <v>17.761397183789406</v>
      </c>
      <c r="H122" s="83">
        <v>18.702476439899325</v>
      </c>
      <c r="I122" s="83">
        <v>16.95</v>
      </c>
      <c r="J122" s="83">
        <v>15.562034938104105</v>
      </c>
      <c r="K122" s="77">
        <v>17.982362913385419</v>
      </c>
      <c r="L122" s="77">
        <v>20.217404465515187</v>
      </c>
      <c r="M122" s="77">
        <v>23.545300528436496</v>
      </c>
      <c r="N122" s="77">
        <v>20.866743634337194</v>
      </c>
      <c r="O122" s="83">
        <v>21.4</v>
      </c>
      <c r="P122" s="83">
        <v>19.7</v>
      </c>
      <c r="Q122" s="98">
        <v>21.7</v>
      </c>
      <c r="R122" s="98">
        <v>22.59</v>
      </c>
      <c r="S122" s="98">
        <v>23.08</v>
      </c>
      <c r="T122" s="98">
        <v>23</v>
      </c>
      <c r="U122" s="83">
        <v>22.7</v>
      </c>
      <c r="V122" s="97">
        <v>21.18</v>
      </c>
      <c r="W122" s="97">
        <v>20.51</v>
      </c>
      <c r="X122" s="97">
        <v>19.55</v>
      </c>
      <c r="Y122" s="97"/>
      <c r="Z122" s="97">
        <v>16.600000000000001</v>
      </c>
      <c r="AA122" s="97">
        <v>19.07</v>
      </c>
      <c r="AB122" s="97">
        <v>20.78</v>
      </c>
      <c r="AC122" s="97"/>
      <c r="AD122" s="97">
        <v>22.07</v>
      </c>
      <c r="AE122" s="97">
        <v>21.62</v>
      </c>
      <c r="AF122" s="97">
        <v>20.329999999999998</v>
      </c>
      <c r="AG122" s="97"/>
      <c r="AH122" s="97">
        <v>22.19</v>
      </c>
      <c r="AI122" s="97">
        <v>23.32</v>
      </c>
      <c r="AJ122" s="97"/>
      <c r="AK122" s="97"/>
      <c r="AL122" s="97">
        <v>20.67</v>
      </c>
    </row>
    <row r="123" spans="1:38">
      <c r="A123" s="72">
        <v>29</v>
      </c>
      <c r="B123" s="68" t="s">
        <v>244</v>
      </c>
      <c r="C123" s="74" t="s">
        <v>245</v>
      </c>
      <c r="D123" s="80">
        <v>963.66666666666663</v>
      </c>
      <c r="E123" s="80">
        <v>978</v>
      </c>
      <c r="F123" s="80">
        <v>962</v>
      </c>
      <c r="G123" s="80">
        <v>964.08333333333337</v>
      </c>
      <c r="H123" s="80">
        <v>958.08333333333337</v>
      </c>
      <c r="I123" s="80">
        <v>891.91666666666663</v>
      </c>
      <c r="J123" s="80">
        <v>871.58333333333337</v>
      </c>
      <c r="K123" s="80">
        <v>962.58333333333337</v>
      </c>
      <c r="L123" s="80">
        <v>953.16666666666663</v>
      </c>
      <c r="M123" s="80">
        <v>1074.5</v>
      </c>
      <c r="N123" s="80">
        <v>1060.75</v>
      </c>
      <c r="O123" s="80">
        <v>1040.5</v>
      </c>
      <c r="P123" s="80">
        <v>1107.75</v>
      </c>
      <c r="Q123" s="80">
        <v>1112</v>
      </c>
      <c r="R123" s="80">
        <v>1094.1666666666667</v>
      </c>
      <c r="S123" s="80">
        <v>1087.8333333333333</v>
      </c>
      <c r="T123" s="80">
        <v>1097</v>
      </c>
      <c r="U123" s="75">
        <v>1120</v>
      </c>
      <c r="V123" s="96">
        <v>1092</v>
      </c>
      <c r="W123" s="96">
        <v>1059</v>
      </c>
      <c r="X123" s="96">
        <v>1067</v>
      </c>
      <c r="Y123" s="96">
        <v>1072.6666666666667</v>
      </c>
      <c r="Z123" s="96">
        <v>1060</v>
      </c>
      <c r="AA123" s="96">
        <v>1104</v>
      </c>
      <c r="AB123" s="96">
        <v>1126</v>
      </c>
      <c r="AC123" s="96">
        <v>1096.6666666666667</v>
      </c>
      <c r="AD123" s="96">
        <v>1122</v>
      </c>
      <c r="AE123" s="96">
        <v>1130</v>
      </c>
      <c r="AF123" s="96">
        <v>1134</v>
      </c>
      <c r="AG123" s="96">
        <v>1128.6666666666667</v>
      </c>
      <c r="AH123" s="96">
        <v>1137</v>
      </c>
      <c r="AI123" s="96">
        <v>1131</v>
      </c>
      <c r="AJ123" s="96" t="e">
        <v>#DIV/0!</v>
      </c>
      <c r="AK123" s="96">
        <v>1134</v>
      </c>
      <c r="AL123" s="96">
        <v>1109</v>
      </c>
    </row>
    <row r="124" spans="1:38">
      <c r="A124" s="72">
        <v>30</v>
      </c>
      <c r="B124" s="68" t="s">
        <v>246</v>
      </c>
      <c r="C124" s="74" t="s">
        <v>247</v>
      </c>
      <c r="D124" s="80">
        <v>403.26086566478637</v>
      </c>
      <c r="E124" s="80">
        <v>400</v>
      </c>
      <c r="F124" s="80">
        <v>393</v>
      </c>
      <c r="G124" s="80">
        <v>398.35349352950396</v>
      </c>
      <c r="H124" s="80">
        <v>397.69347235960663</v>
      </c>
      <c r="I124" s="80">
        <v>395.46221527890492</v>
      </c>
      <c r="J124" s="80">
        <v>404.43686813572117</v>
      </c>
      <c r="K124" s="80">
        <v>389.1988929186773</v>
      </c>
      <c r="L124" s="80">
        <v>375.32661643290317</v>
      </c>
      <c r="M124" s="80">
        <v>368.02977942744997</v>
      </c>
      <c r="N124" s="80">
        <v>378.81447178072648</v>
      </c>
      <c r="O124" s="80">
        <v>382.48356997315989</v>
      </c>
      <c r="P124" s="80">
        <v>389.88232359989252</v>
      </c>
      <c r="Q124" s="80">
        <v>364.62147862506225</v>
      </c>
      <c r="R124" s="80">
        <v>389.97688733451758</v>
      </c>
      <c r="S124" s="80">
        <v>387.89940561406002</v>
      </c>
      <c r="T124" s="80">
        <v>390.07462410925228</v>
      </c>
      <c r="U124" s="80">
        <v>390</v>
      </c>
      <c r="V124" s="81">
        <v>377.58152882859378</v>
      </c>
      <c r="W124" s="80">
        <v>379.98441507085909</v>
      </c>
      <c r="X124" s="80">
        <v>370.18782822293747</v>
      </c>
      <c r="Y124" s="80">
        <v>375.8015735547242</v>
      </c>
      <c r="Z124" s="80">
        <v>369.50680443831129</v>
      </c>
      <c r="AA124" s="80">
        <v>369.30309203579463</v>
      </c>
      <c r="AB124" s="80">
        <v>367.97606264784878</v>
      </c>
      <c r="AC124" s="80">
        <v>368.92997964051381</v>
      </c>
      <c r="AD124" s="80">
        <v>367.02624955052141</v>
      </c>
      <c r="AE124" s="80">
        <v>369.67962472256892</v>
      </c>
      <c r="AF124" s="80">
        <v>368.51111035527498</v>
      </c>
      <c r="AG124" s="80">
        <v>368.36453401955197</v>
      </c>
      <c r="AH124" s="80">
        <v>365.77435521329909</v>
      </c>
      <c r="AI124" s="80">
        <v>363.46000507135022</v>
      </c>
      <c r="AJ124" s="80" t="e">
        <v>#DIV/0!</v>
      </c>
      <c r="AK124" s="80">
        <v>364.6850924693087</v>
      </c>
      <c r="AL124" s="80">
        <v>369.94843282516359</v>
      </c>
    </row>
    <row r="125" spans="1:38">
      <c r="A125" s="72">
        <v>31</v>
      </c>
      <c r="B125" s="68" t="s">
        <v>248</v>
      </c>
      <c r="C125" s="74" t="s">
        <v>249</v>
      </c>
      <c r="D125" s="77">
        <v>0.94499999999999995</v>
      </c>
      <c r="E125" s="77">
        <v>0.94</v>
      </c>
      <c r="F125" s="77">
        <v>0.94</v>
      </c>
      <c r="G125" s="77">
        <v>0.93916666666666659</v>
      </c>
      <c r="H125" s="77">
        <v>0.94</v>
      </c>
      <c r="I125" s="77">
        <v>0.94166666666666676</v>
      </c>
      <c r="J125" s="77">
        <v>0.94583333333333341</v>
      </c>
      <c r="K125" s="77">
        <v>0.95916666666666661</v>
      </c>
      <c r="L125" s="77">
        <v>0.97166666666666679</v>
      </c>
      <c r="M125" s="77">
        <v>0.97500000000000009</v>
      </c>
      <c r="N125" s="77">
        <v>1.0691666666666666</v>
      </c>
      <c r="O125" s="77">
        <v>0.99583333333333324</v>
      </c>
      <c r="P125" s="77">
        <v>0.99583333333333346</v>
      </c>
      <c r="Q125" s="77">
        <v>0.99416666666666664</v>
      </c>
      <c r="R125" s="77">
        <v>0.99583333333333346</v>
      </c>
      <c r="S125" s="77">
        <v>1.0016666666666667</v>
      </c>
      <c r="T125" s="77">
        <v>0.99750000000000005</v>
      </c>
      <c r="U125" s="75">
        <v>0.98</v>
      </c>
      <c r="V125" s="84">
        <v>1</v>
      </c>
      <c r="W125" s="77">
        <v>1</v>
      </c>
      <c r="X125" s="77">
        <v>1</v>
      </c>
      <c r="Y125" s="77">
        <v>1</v>
      </c>
      <c r="Z125" s="77">
        <v>1</v>
      </c>
      <c r="AA125" s="77">
        <v>1</v>
      </c>
      <c r="AB125" s="77">
        <v>1</v>
      </c>
      <c r="AC125" s="77">
        <v>1</v>
      </c>
      <c r="AD125" s="77">
        <v>1</v>
      </c>
      <c r="AE125" s="77">
        <v>1</v>
      </c>
      <c r="AF125" s="77">
        <v>1</v>
      </c>
      <c r="AG125" s="77">
        <v>1</v>
      </c>
      <c r="AH125" s="77">
        <v>0.99</v>
      </c>
      <c r="AI125" s="77">
        <v>1</v>
      </c>
      <c r="AJ125" s="77">
        <v>0</v>
      </c>
      <c r="AK125" s="77">
        <v>0.995</v>
      </c>
      <c r="AL125" s="83">
        <v>0.99909090909090914</v>
      </c>
    </row>
    <row r="126" spans="1:38">
      <c r="A126" s="72">
        <v>32</v>
      </c>
      <c r="B126" s="68" t="s">
        <v>250</v>
      </c>
      <c r="C126" s="89" t="s">
        <v>251</v>
      </c>
      <c r="D126" s="83">
        <v>10.79749478079332</v>
      </c>
      <c r="E126" s="83">
        <v>10.3</v>
      </c>
      <c r="F126" s="83">
        <v>0.55000000000000004</v>
      </c>
      <c r="G126" s="83">
        <v>0.16636167027116952</v>
      </c>
      <c r="H126" s="83">
        <v>0.3482345319080013</v>
      </c>
      <c r="I126" s="83">
        <v>0.50819672131147542</v>
      </c>
      <c r="J126" s="83">
        <v>0.54036171151301282</v>
      </c>
      <c r="K126" s="77">
        <v>6.2971175166297115</v>
      </c>
      <c r="L126" s="77">
        <v>8.6915382535820491</v>
      </c>
      <c r="M126" s="77">
        <v>1.4276116896204232</v>
      </c>
      <c r="N126" s="77">
        <v>2.1018593371059016</v>
      </c>
      <c r="O126" s="77">
        <v>4.6332046332046328</v>
      </c>
      <c r="P126" s="77">
        <v>9.0511638898735676</v>
      </c>
      <c r="Q126" s="77">
        <v>8.4577694820345322</v>
      </c>
      <c r="R126" s="77">
        <v>5.2607248520710064</v>
      </c>
      <c r="S126" s="77">
        <v>2.5006844939308204</v>
      </c>
      <c r="T126" s="77">
        <v>1.9986675549633577</v>
      </c>
      <c r="U126" s="75">
        <v>0</v>
      </c>
      <c r="V126" s="78">
        <v>1.2</v>
      </c>
      <c r="W126" s="77">
        <v>1.7057569296375266</v>
      </c>
      <c r="X126" s="77">
        <v>2.3206751054852321</v>
      </c>
      <c r="Y126" s="77">
        <v>1.7325017325017324</v>
      </c>
      <c r="Z126" s="77">
        <v>0.92272202998846597</v>
      </c>
      <c r="AA126" s="77">
        <v>0.22197558268590456</v>
      </c>
      <c r="AB126" s="77">
        <v>0.33707865168539325</v>
      </c>
      <c r="AC126" s="77">
        <v>0.48908954100827695</v>
      </c>
      <c r="AD126" s="77">
        <v>0.22883295194508008</v>
      </c>
      <c r="AE126" s="77">
        <v>1.0335917312661498</v>
      </c>
      <c r="AF126" s="77">
        <v>0.32085561497326204</v>
      </c>
      <c r="AG126" s="77">
        <v>0.50329074719318623</v>
      </c>
      <c r="AH126" s="77">
        <v>0.78387458006718924</v>
      </c>
      <c r="AI126" s="77">
        <v>1.6372795969773299</v>
      </c>
      <c r="AJ126" s="77" t="e">
        <v>#DIV/0!</v>
      </c>
      <c r="AK126" s="77">
        <v>1.1855364552459988</v>
      </c>
      <c r="AL126" s="77">
        <v>0.97819441614020786</v>
      </c>
    </row>
    <row r="127" spans="1:38">
      <c r="A127" s="72">
        <v>33</v>
      </c>
      <c r="B127" s="68" t="s">
        <v>252</v>
      </c>
      <c r="C127" s="89" t="s">
        <v>253</v>
      </c>
      <c r="D127" s="83">
        <v>47.181628392484342</v>
      </c>
      <c r="E127" s="83">
        <v>49.8</v>
      </c>
      <c r="F127" s="83">
        <v>61.12</v>
      </c>
      <c r="G127" s="77">
        <v>70.944934287140242</v>
      </c>
      <c r="H127" s="77">
        <v>71.266601878846785</v>
      </c>
      <c r="I127" s="77">
        <v>69.393442622950815</v>
      </c>
      <c r="J127" s="77">
        <v>62.891486546096168</v>
      </c>
      <c r="K127" s="77">
        <v>30.820399113082043</v>
      </c>
      <c r="L127" s="77">
        <v>22.992700729927009</v>
      </c>
      <c r="M127" s="77">
        <v>7.5075579442391671</v>
      </c>
      <c r="N127" s="77">
        <v>11.479385610347617</v>
      </c>
      <c r="O127" s="77">
        <v>14.624984431436044</v>
      </c>
      <c r="P127" s="77">
        <v>17.523336878175588</v>
      </c>
      <c r="Q127" s="77">
        <v>8.0377974801679901</v>
      </c>
      <c r="R127" s="77">
        <v>6.3239644970414206</v>
      </c>
      <c r="S127" s="77">
        <v>4.4720270146938033</v>
      </c>
      <c r="T127" s="77">
        <v>4.9217188540972687</v>
      </c>
      <c r="U127" s="75">
        <v>0</v>
      </c>
      <c r="V127" s="78">
        <v>2.5</v>
      </c>
      <c r="W127" s="77">
        <v>7.0362473347547976</v>
      </c>
      <c r="X127" s="77">
        <v>8.4388185654008439</v>
      </c>
      <c r="Y127" s="77">
        <v>5.9251559251559254</v>
      </c>
      <c r="Z127" s="77">
        <v>4.1522491349480966</v>
      </c>
      <c r="AA127" s="77">
        <v>4.328523862375139</v>
      </c>
      <c r="AB127" s="77">
        <v>5.6179775280898872</v>
      </c>
      <c r="AC127" s="77">
        <v>4.7027840481565084</v>
      </c>
      <c r="AD127" s="77">
        <v>3.2036613272311212</v>
      </c>
      <c r="AE127" s="77">
        <v>3.4883720930232558</v>
      </c>
      <c r="AF127" s="77">
        <v>5.8823529411764701</v>
      </c>
      <c r="AG127" s="77">
        <v>4.2586140147115756</v>
      </c>
      <c r="AH127" s="77">
        <v>8.846584546472565</v>
      </c>
      <c r="AI127" s="77">
        <v>9.1939546599496236</v>
      </c>
      <c r="AJ127" s="77" t="e">
        <v>#DIV/0!</v>
      </c>
      <c r="AK127" s="77">
        <v>9.010077059869591</v>
      </c>
      <c r="AL127" s="77">
        <v>5.6857550438149582</v>
      </c>
    </row>
    <row r="128" spans="1:38">
      <c r="A128" s="72">
        <v>34</v>
      </c>
      <c r="B128" s="68" t="s">
        <v>254</v>
      </c>
      <c r="C128" s="74" t="s">
        <v>255</v>
      </c>
      <c r="D128" s="83"/>
      <c r="E128" s="83"/>
      <c r="F128" s="80">
        <v>1560</v>
      </c>
      <c r="G128" s="80">
        <v>1555</v>
      </c>
      <c r="H128" s="80">
        <v>1541</v>
      </c>
      <c r="I128" s="80">
        <v>1563</v>
      </c>
      <c r="J128" s="80">
        <v>1584</v>
      </c>
      <c r="K128" s="80">
        <v>1610.5318444270076</v>
      </c>
      <c r="L128" s="80">
        <v>1642</v>
      </c>
      <c r="M128" s="80">
        <v>1636.6584053772074</v>
      </c>
      <c r="N128" s="80">
        <v>1630.3531543972731</v>
      </c>
      <c r="O128" s="80">
        <v>1625.2017179553548</v>
      </c>
      <c r="P128" s="80">
        <v>1660.7289569358559</v>
      </c>
      <c r="Q128" s="80">
        <v>1688.2110230169146</v>
      </c>
      <c r="R128" s="80">
        <v>1693.1691113587672</v>
      </c>
      <c r="S128" s="80">
        <v>1697.5249833540026</v>
      </c>
      <c r="T128" s="80">
        <v>1700.3678214455078</v>
      </c>
      <c r="U128" s="80">
        <v>1700</v>
      </c>
      <c r="V128" s="81">
        <v>1699.9243412470651</v>
      </c>
      <c r="W128" s="80">
        <v>1695.7943952407813</v>
      </c>
      <c r="X128" s="80">
        <v>1695.3588217855329</v>
      </c>
      <c r="Y128" s="80">
        <v>1697.0780460700046</v>
      </c>
      <c r="Z128" s="80">
        <v>1685.183938608596</v>
      </c>
      <c r="AA128" s="80">
        <v>1679.9998933412971</v>
      </c>
      <c r="AB128" s="80">
        <v>1679.5992939438102</v>
      </c>
      <c r="AC128" s="80">
        <v>1681.5569316971416</v>
      </c>
      <c r="AD128" s="80">
        <v>1675.4321909661717</v>
      </c>
      <c r="AE128" s="80">
        <v>1669.5123605248232</v>
      </c>
      <c r="AF128" s="80">
        <v>1667.0960090091805</v>
      </c>
      <c r="AG128" s="80">
        <v>1670.6504210313449</v>
      </c>
      <c r="AH128" s="80">
        <v>1656.5116865738642</v>
      </c>
      <c r="AI128" s="80">
        <v>1656.2174448337912</v>
      </c>
      <c r="AJ128" s="80" t="e">
        <v>#DIV/0!</v>
      </c>
      <c r="AK128" s="80">
        <v>1656.3731999380784</v>
      </c>
      <c r="AL128" s="80">
        <v>1678.5233662320793</v>
      </c>
    </row>
    <row r="129" spans="1:38">
      <c r="A129" s="72">
        <v>35</v>
      </c>
      <c r="B129" s="68" t="s">
        <v>256</v>
      </c>
      <c r="C129" s="74" t="s">
        <v>257</v>
      </c>
      <c r="D129" s="80">
        <v>2895.1175105874854</v>
      </c>
      <c r="E129" s="80">
        <v>2875</v>
      </c>
      <c r="F129" s="80">
        <v>2919</v>
      </c>
      <c r="G129" s="80">
        <v>2938.7661319374406</v>
      </c>
      <c r="H129" s="80">
        <v>2915.0141341395788</v>
      </c>
      <c r="I129" s="80">
        <v>2975.9918575554966</v>
      </c>
      <c r="J129" s="80">
        <v>2994.429158169004</v>
      </c>
      <c r="K129" s="80">
        <v>3254.88834058267</v>
      </c>
      <c r="L129" s="80">
        <v>3540</v>
      </c>
      <c r="M129" s="80">
        <v>3915.5181372791603</v>
      </c>
      <c r="N129" s="80">
        <v>3978.2050339615985</v>
      </c>
      <c r="O129" s="80">
        <v>3890.9442421125941</v>
      </c>
      <c r="P129" s="80">
        <v>3778.5178364175385</v>
      </c>
      <c r="Q129" s="80">
        <v>4068.3863434912287</v>
      </c>
      <c r="R129" s="80">
        <v>3994.3894414224269</v>
      </c>
      <c r="S129" s="80">
        <v>4087.9720610272507</v>
      </c>
      <c r="T129" s="80">
        <v>4094.0233400536085</v>
      </c>
      <c r="U129" s="80">
        <v>4224</v>
      </c>
      <c r="V129" s="81">
        <v>4222.7644489377972</v>
      </c>
      <c r="W129" s="81">
        <v>4045.6226025069195</v>
      </c>
      <c r="X129" s="81">
        <v>4234.3565096092188</v>
      </c>
      <c r="Y129" s="81">
        <v>4169.879748467949</v>
      </c>
      <c r="Z129" s="81">
        <v>4373.8452466749659</v>
      </c>
      <c r="AA129" s="81">
        <v>4445.7482765190271</v>
      </c>
      <c r="AB129" s="81">
        <v>4433.5571613586626</v>
      </c>
      <c r="AC129" s="81">
        <v>4418.0052713121759</v>
      </c>
      <c r="AD129" s="81">
        <v>4387.8690852192049</v>
      </c>
      <c r="AE129" s="81">
        <v>4284.4934360436109</v>
      </c>
      <c r="AF129" s="81">
        <v>4354.6591264431045</v>
      </c>
      <c r="AG129" s="81">
        <v>4344.1762881751483</v>
      </c>
      <c r="AH129" s="81">
        <v>4282.8002616280073</v>
      </c>
      <c r="AI129" s="81">
        <v>4214.3690044932291</v>
      </c>
      <c r="AJ129" s="81" t="e">
        <v>#DIV/0!</v>
      </c>
      <c r="AK129" s="81">
        <v>4250.3209786877296</v>
      </c>
      <c r="AL129" s="80">
        <v>4296.9697722834298</v>
      </c>
    </row>
    <row r="130" spans="1:38">
      <c r="A130" s="72">
        <v>36</v>
      </c>
      <c r="B130" s="68" t="s">
        <v>258</v>
      </c>
      <c r="C130" s="74" t="s">
        <v>259</v>
      </c>
      <c r="D130" s="80">
        <v>309</v>
      </c>
      <c r="E130" s="80">
        <v>443</v>
      </c>
      <c r="F130" s="80">
        <v>311</v>
      </c>
      <c r="G130" s="80">
        <v>593.88888888888891</v>
      </c>
      <c r="H130" s="80">
        <v>665.8</v>
      </c>
      <c r="I130" s="80">
        <v>556.5</v>
      </c>
      <c r="J130" s="80">
        <v>559.27272727272725</v>
      </c>
      <c r="K130" s="80">
        <v>483.30769230769232</v>
      </c>
      <c r="L130" s="80">
        <v>380.86363636363637</v>
      </c>
      <c r="M130" s="80">
        <v>49.333333333333336</v>
      </c>
      <c r="N130" s="80">
        <v>297.21739130434781</v>
      </c>
      <c r="O130" s="80">
        <v>315.05263157894734</v>
      </c>
      <c r="P130" s="80">
        <v>336.68421052631578</v>
      </c>
      <c r="Q130" s="80">
        <v>357.85714285714283</v>
      </c>
      <c r="R130" s="80">
        <v>489.23076923076923</v>
      </c>
      <c r="S130" s="80">
        <v>562.28571428571433</v>
      </c>
      <c r="T130" s="80">
        <v>540.47058823529414</v>
      </c>
      <c r="U130" s="75">
        <v>600</v>
      </c>
      <c r="V130" s="81">
        <v>730</v>
      </c>
      <c r="W130" s="80">
        <v>777</v>
      </c>
      <c r="X130" s="80">
        <v>400</v>
      </c>
      <c r="Y130" s="80">
        <v>635.66666666666663</v>
      </c>
      <c r="Z130" s="80">
        <v>670.66666666666663</v>
      </c>
      <c r="AA130" s="80">
        <v>727</v>
      </c>
      <c r="AB130" s="80">
        <v>311</v>
      </c>
      <c r="AC130" s="80">
        <v>629.5</v>
      </c>
      <c r="AD130" s="80">
        <v>574.5</v>
      </c>
      <c r="AE130" s="80" t="s">
        <v>169</v>
      </c>
      <c r="AF130" s="80">
        <v>512</v>
      </c>
      <c r="AG130" s="80">
        <v>553.66666666666663</v>
      </c>
      <c r="AH130" s="80">
        <v>391</v>
      </c>
      <c r="AI130" s="80">
        <v>416</v>
      </c>
      <c r="AJ130" s="80" t="s">
        <v>169</v>
      </c>
      <c r="AK130" s="80">
        <v>407.66666666666669</v>
      </c>
      <c r="AL130" s="80">
        <v>571.20000000000005</v>
      </c>
    </row>
    <row r="131" spans="1:38">
      <c r="A131" s="72">
        <v>37</v>
      </c>
      <c r="B131" s="68" t="s">
        <v>260</v>
      </c>
      <c r="C131" s="74" t="s">
        <v>259</v>
      </c>
      <c r="D131" s="80">
        <v>1192</v>
      </c>
      <c r="E131" s="80">
        <v>1403</v>
      </c>
      <c r="F131" s="80">
        <v>1411</v>
      </c>
      <c r="G131" s="80">
        <v>1383.1818181818182</v>
      </c>
      <c r="H131" s="80">
        <v>1553.6363636363637</v>
      </c>
      <c r="I131" s="80">
        <v>1553.2142857142858</v>
      </c>
      <c r="J131" s="80">
        <v>1217</v>
      </c>
      <c r="K131" s="80">
        <v>711.66666666666663</v>
      </c>
      <c r="L131" s="80">
        <v>409.68965517241378</v>
      </c>
      <c r="M131" s="80">
        <v>70.3125</v>
      </c>
      <c r="N131" s="80">
        <v>177.05</v>
      </c>
      <c r="O131" s="80">
        <v>184.91176470588235</v>
      </c>
      <c r="P131" s="80">
        <v>285.4736842105263</v>
      </c>
      <c r="Q131" s="80">
        <v>160.125</v>
      </c>
      <c r="R131" s="80">
        <v>351.5</v>
      </c>
      <c r="S131" s="80">
        <v>388</v>
      </c>
      <c r="T131" s="80">
        <v>430.53846153846155</v>
      </c>
      <c r="U131" s="75">
        <v>7000</v>
      </c>
      <c r="V131" s="81" t="s">
        <v>169</v>
      </c>
      <c r="W131" s="80" t="s">
        <v>169</v>
      </c>
      <c r="X131" s="80">
        <v>699.66666666666663</v>
      </c>
      <c r="Y131" s="80">
        <v>699.66666666666663</v>
      </c>
      <c r="Z131" s="80" t="s">
        <v>169</v>
      </c>
      <c r="AA131" s="80" t="s">
        <v>169</v>
      </c>
      <c r="AB131" s="80" t="s">
        <v>169</v>
      </c>
      <c r="AC131" s="80" t="s">
        <v>169</v>
      </c>
      <c r="AD131" s="80" t="s">
        <v>169</v>
      </c>
      <c r="AE131" s="80">
        <v>774</v>
      </c>
      <c r="AF131" s="80">
        <v>734</v>
      </c>
      <c r="AG131" s="80">
        <v>754</v>
      </c>
      <c r="AH131" s="80">
        <v>429</v>
      </c>
      <c r="AI131" s="80">
        <v>665</v>
      </c>
      <c r="AJ131" s="80" t="s">
        <v>169</v>
      </c>
      <c r="AK131" s="80">
        <v>547</v>
      </c>
      <c r="AL131" s="80">
        <v>671.57142857142856</v>
      </c>
    </row>
    <row r="132" spans="1:38">
      <c r="A132" s="72">
        <v>38</v>
      </c>
      <c r="B132" s="68" t="s">
        <v>261</v>
      </c>
      <c r="C132" s="74" t="s">
        <v>259</v>
      </c>
      <c r="D132" s="80"/>
      <c r="E132" s="80"/>
      <c r="F132" s="80"/>
      <c r="G132" s="80"/>
      <c r="H132" s="80"/>
      <c r="I132" s="80"/>
      <c r="J132" s="80"/>
      <c r="K132" s="80"/>
      <c r="L132" s="80"/>
      <c r="M132" s="80">
        <v>2021</v>
      </c>
      <c r="N132" s="80">
        <v>2076.5</v>
      </c>
      <c r="O132" s="80">
        <v>2076.5</v>
      </c>
      <c r="P132" s="80">
        <v>2132</v>
      </c>
      <c r="Q132" s="80">
        <v>2007</v>
      </c>
      <c r="R132" s="80">
        <v>2141.75</v>
      </c>
      <c r="S132" s="80">
        <v>1856</v>
      </c>
      <c r="T132" s="80">
        <v>2466.4</v>
      </c>
      <c r="U132" s="75">
        <v>2600</v>
      </c>
      <c r="V132" s="81" t="s">
        <v>169</v>
      </c>
      <c r="W132" s="80" t="s">
        <v>169</v>
      </c>
      <c r="X132" s="80" t="s">
        <v>169</v>
      </c>
      <c r="Y132" s="80" t="s">
        <v>169</v>
      </c>
      <c r="Z132" s="80">
        <v>2659.5</v>
      </c>
      <c r="AA132" s="80">
        <v>2799</v>
      </c>
      <c r="AB132" s="80" t="s">
        <v>169</v>
      </c>
      <c r="AC132" s="80">
        <v>2706</v>
      </c>
      <c r="AD132" s="80" t="s">
        <v>169</v>
      </c>
      <c r="AE132" s="80" t="s">
        <v>169</v>
      </c>
      <c r="AF132" s="80" t="s">
        <v>169</v>
      </c>
      <c r="AG132" s="80" t="s">
        <v>169</v>
      </c>
      <c r="AH132" s="80">
        <v>2483</v>
      </c>
      <c r="AI132" s="80" t="s">
        <v>169</v>
      </c>
      <c r="AJ132" s="80" t="s">
        <v>169</v>
      </c>
      <c r="AK132" s="80">
        <v>2483</v>
      </c>
      <c r="AL132" s="80">
        <v>2650.25</v>
      </c>
    </row>
    <row r="133" spans="1:38">
      <c r="A133" s="64">
        <v>5</v>
      </c>
      <c r="B133" s="99" t="s">
        <v>429</v>
      </c>
      <c r="C133" s="54"/>
      <c r="D133" s="53"/>
      <c r="E133" s="53"/>
      <c r="F133" s="53"/>
      <c r="G133" s="53"/>
      <c r="H133" s="53"/>
      <c r="I133" s="53"/>
      <c r="J133" s="53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93"/>
      <c r="V133" s="78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</row>
    <row r="134" spans="1:38">
      <c r="A134" s="64">
        <v>6</v>
      </c>
      <c r="B134" s="68" t="s">
        <v>430</v>
      </c>
      <c r="C134" s="54"/>
      <c r="D134" s="53"/>
      <c r="E134" s="53"/>
      <c r="F134" s="53"/>
      <c r="G134" s="53"/>
      <c r="H134" s="53"/>
      <c r="I134" s="53"/>
      <c r="J134" s="53"/>
      <c r="K134" s="102"/>
      <c r="L134" s="102"/>
      <c r="M134" s="102"/>
      <c r="N134" s="102"/>
      <c r="O134" s="102"/>
      <c r="P134" s="79">
        <v>597</v>
      </c>
      <c r="Q134" s="79">
        <v>554</v>
      </c>
      <c r="R134" s="79">
        <v>551</v>
      </c>
      <c r="S134" s="79">
        <v>563.96319700853337</v>
      </c>
      <c r="T134" s="79">
        <v>562.23494312178775</v>
      </c>
      <c r="U134" s="93"/>
      <c r="V134" s="80">
        <v>519.48052759729694</v>
      </c>
      <c r="W134" s="80">
        <v>552.6937933620851</v>
      </c>
      <c r="X134" s="80">
        <v>559.58869547600864</v>
      </c>
      <c r="Y134" s="80">
        <v>97.537315916861232</v>
      </c>
      <c r="Z134" s="80">
        <v>527.47989129193593</v>
      </c>
      <c r="AA134" s="80">
        <v>521.19858250458333</v>
      </c>
      <c r="AB134" s="80">
        <v>528.21188504627378</v>
      </c>
      <c r="AC134" s="80">
        <v>103.29810962009579</v>
      </c>
      <c r="AD134" s="80">
        <v>526.76591517664338</v>
      </c>
      <c r="AE134" s="80">
        <v>530.62914716059436</v>
      </c>
      <c r="AF134" s="80">
        <v>520.06617782602461</v>
      </c>
      <c r="AG134" s="80">
        <v>101.02781892505219</v>
      </c>
      <c r="AH134" s="80">
        <v>519.52580671475687</v>
      </c>
      <c r="AI134" s="80">
        <v>535</v>
      </c>
      <c r="AJ134" s="80" t="e">
        <v>#DIV/0!</v>
      </c>
      <c r="AK134" s="80">
        <v>82.243001945078703</v>
      </c>
      <c r="AL134" s="80">
        <v>529.49893790813894</v>
      </c>
    </row>
    <row r="135" spans="1:38">
      <c r="A135" s="64">
        <v>7</v>
      </c>
      <c r="B135" s="68" t="s">
        <v>431</v>
      </c>
      <c r="C135" s="54"/>
      <c r="D135" s="53"/>
      <c r="E135" s="53"/>
      <c r="F135" s="53"/>
      <c r="G135" s="53"/>
      <c r="H135" s="53"/>
      <c r="I135" s="53"/>
      <c r="J135" s="53"/>
      <c r="K135" s="102"/>
      <c r="L135" s="102"/>
      <c r="M135" s="102"/>
      <c r="N135" s="102"/>
      <c r="O135" s="102"/>
      <c r="P135" s="79">
        <v>586</v>
      </c>
      <c r="Q135" s="79">
        <v>554</v>
      </c>
      <c r="R135" s="79">
        <v>559</v>
      </c>
      <c r="S135" s="79">
        <v>578.52316340550453</v>
      </c>
      <c r="T135" s="79">
        <v>580.24417116053598</v>
      </c>
      <c r="U135" s="93"/>
      <c r="V135" s="80">
        <v>570.49048463640281</v>
      </c>
      <c r="W135" s="80">
        <v>576.78436401754436</v>
      </c>
      <c r="X135" s="80">
        <v>588.82830722784001</v>
      </c>
      <c r="Y135" s="80">
        <v>90.124762321168916</v>
      </c>
      <c r="Z135" s="80">
        <v>635.03192037068811</v>
      </c>
      <c r="AA135" s="80">
        <v>0</v>
      </c>
      <c r="AB135" s="80">
        <v>0</v>
      </c>
      <c r="AC135" s="80">
        <v>0</v>
      </c>
      <c r="AD135" s="80">
        <v>0</v>
      </c>
      <c r="AE135" s="80">
        <v>0</v>
      </c>
      <c r="AF135" s="80">
        <v>0</v>
      </c>
      <c r="AG135" s="80">
        <v>0</v>
      </c>
      <c r="AH135" s="80">
        <v>0</v>
      </c>
      <c r="AI135" s="80">
        <v>0</v>
      </c>
      <c r="AJ135" s="80">
        <v>0</v>
      </c>
      <c r="AK135" s="80">
        <v>0</v>
      </c>
      <c r="AL135" s="80">
        <v>580.99191244364783</v>
      </c>
    </row>
    <row r="136" spans="1:38">
      <c r="A136" s="64">
        <v>8</v>
      </c>
      <c r="B136" s="68" t="s">
        <v>432</v>
      </c>
      <c r="C136" s="54"/>
      <c r="D136" s="53"/>
      <c r="E136" s="53"/>
      <c r="F136" s="53"/>
      <c r="G136" s="53"/>
      <c r="H136" s="53"/>
      <c r="I136" s="53"/>
      <c r="J136" s="53"/>
      <c r="K136" s="102"/>
      <c r="L136" s="102"/>
      <c r="M136" s="102"/>
      <c r="N136" s="102"/>
      <c r="O136" s="102"/>
      <c r="P136" s="79">
        <v>581</v>
      </c>
      <c r="Q136" s="79">
        <v>561</v>
      </c>
      <c r="R136" s="79">
        <v>563</v>
      </c>
      <c r="S136" s="79">
        <v>568.43743278074714</v>
      </c>
      <c r="T136" s="79">
        <v>573.75038136094054</v>
      </c>
      <c r="U136" s="93"/>
      <c r="V136" s="80">
        <v>560.2228144115187</v>
      </c>
      <c r="W136" s="80">
        <v>559.68663542661477</v>
      </c>
      <c r="X136" s="80">
        <v>537.27447419587793</v>
      </c>
      <c r="Y136" s="80">
        <v>139.27517940004671</v>
      </c>
      <c r="Z136" s="80">
        <v>544.83427604501185</v>
      </c>
      <c r="AA136" s="80">
        <v>543.62558298574936</v>
      </c>
      <c r="AB136" s="80">
        <v>548.96613138686132</v>
      </c>
      <c r="AC136" s="80">
        <v>144.86778748763081</v>
      </c>
      <c r="AD136" s="80">
        <v>550.90546501855613</v>
      </c>
      <c r="AE136" s="80">
        <v>560.40883462964655</v>
      </c>
      <c r="AF136" s="80">
        <v>554.36084901516347</v>
      </c>
      <c r="AG136" s="80">
        <v>150.02297879740152</v>
      </c>
      <c r="AH136" s="80">
        <v>558.96421259926183</v>
      </c>
      <c r="AI136" s="80">
        <v>559.5190917388951</v>
      </c>
      <c r="AJ136" s="80" t="e">
        <v>#DIV/0!</v>
      </c>
      <c r="AK136" s="80">
        <v>155.2890203952235</v>
      </c>
      <c r="AL136" s="80">
        <v>552.89378032639161</v>
      </c>
    </row>
    <row r="137" spans="1:38">
      <c r="A137" s="64">
        <v>9</v>
      </c>
      <c r="B137" s="99" t="s">
        <v>433</v>
      </c>
      <c r="C137" s="54"/>
      <c r="D137" s="53"/>
      <c r="E137" s="53"/>
      <c r="F137" s="53"/>
      <c r="G137" s="53"/>
      <c r="H137" s="53"/>
      <c r="I137" s="53"/>
      <c r="J137" s="53"/>
      <c r="K137" s="102"/>
      <c r="L137" s="102"/>
      <c r="M137" s="102"/>
      <c r="N137" s="102"/>
      <c r="O137" s="102"/>
      <c r="P137" s="79">
        <v>586</v>
      </c>
      <c r="Q137" s="79">
        <v>559</v>
      </c>
      <c r="R137" s="79">
        <v>560</v>
      </c>
      <c r="S137" s="79">
        <v>568.95746371127791</v>
      </c>
      <c r="T137" s="79">
        <v>572.07415127925447</v>
      </c>
      <c r="U137" s="80">
        <v>548</v>
      </c>
      <c r="V137" s="80">
        <v>553.82781111400993</v>
      </c>
      <c r="W137" s="80">
        <v>562.01290949692077</v>
      </c>
      <c r="X137" s="80">
        <v>549.33584363882767</v>
      </c>
      <c r="Y137" s="80">
        <v>529.56795117527929</v>
      </c>
      <c r="Z137" s="80">
        <v>542.31112225550578</v>
      </c>
      <c r="AA137" s="80">
        <v>537.61640176200183</v>
      </c>
      <c r="AB137" s="80">
        <v>543.61583691022668</v>
      </c>
      <c r="AC137" s="80">
        <v>514.75399944598792</v>
      </c>
      <c r="AD137" s="80">
        <v>544.71575249633509</v>
      </c>
      <c r="AE137" s="80">
        <v>553.51162898932091</v>
      </c>
      <c r="AF137" s="80">
        <v>545.85311254778117</v>
      </c>
      <c r="AG137" s="80">
        <v>522.49807538864047</v>
      </c>
      <c r="AH137" s="80">
        <v>549.16263972076217</v>
      </c>
      <c r="AI137" s="80">
        <v>554.35630817923254</v>
      </c>
      <c r="AJ137" s="80" t="e">
        <v>#DIV/0!</v>
      </c>
      <c r="AK137" s="80">
        <v>527.60707086102423</v>
      </c>
      <c r="AL137" s="80">
        <v>548.2284412220497</v>
      </c>
    </row>
    <row r="138" spans="1:38">
      <c r="A138" s="72"/>
      <c r="B138" s="68" t="s">
        <v>262</v>
      </c>
      <c r="C138" s="74"/>
      <c r="D138" s="75"/>
      <c r="E138" s="75"/>
      <c r="F138" s="75"/>
      <c r="G138" s="75"/>
      <c r="H138" s="75"/>
      <c r="I138" s="75"/>
      <c r="J138" s="75"/>
      <c r="K138" s="77"/>
      <c r="L138" s="75"/>
      <c r="M138" s="75"/>
      <c r="N138" s="75"/>
      <c r="O138" s="75"/>
      <c r="P138" s="75"/>
      <c r="Q138" s="77"/>
      <c r="R138" s="77"/>
      <c r="S138" s="77"/>
      <c r="T138" s="77"/>
      <c r="U138" s="75" t="s">
        <v>143</v>
      </c>
      <c r="V138" s="71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 t="s">
        <v>263</v>
      </c>
    </row>
    <row r="139" spans="1:38" s="64" customFormat="1">
      <c r="B139" s="99"/>
      <c r="C139" s="74" t="s">
        <v>118</v>
      </c>
      <c r="D139" s="53" t="s">
        <v>119</v>
      </c>
      <c r="E139" s="54" t="s">
        <v>120</v>
      </c>
      <c r="F139" s="54" t="s">
        <v>121</v>
      </c>
      <c r="G139" s="54" t="s">
        <v>122</v>
      </c>
      <c r="H139" s="54" t="s">
        <v>123</v>
      </c>
      <c r="I139" s="53" t="s">
        <v>124</v>
      </c>
      <c r="J139" s="53" t="s">
        <v>125</v>
      </c>
      <c r="K139" s="53" t="s">
        <v>126</v>
      </c>
      <c r="L139" s="53" t="s">
        <v>127</v>
      </c>
      <c r="M139" s="53" t="s">
        <v>128</v>
      </c>
      <c r="N139" s="53" t="s">
        <v>129</v>
      </c>
      <c r="O139" s="53" t="s">
        <v>130</v>
      </c>
      <c r="P139" s="53" t="s">
        <v>131</v>
      </c>
      <c r="Q139" s="53" t="s">
        <v>132</v>
      </c>
      <c r="R139" s="75" t="s">
        <v>133</v>
      </c>
      <c r="S139" s="53" t="s">
        <v>134</v>
      </c>
      <c r="T139" s="53" t="s">
        <v>135</v>
      </c>
      <c r="U139" s="75" t="s">
        <v>136</v>
      </c>
      <c r="V139" s="71" t="s">
        <v>4</v>
      </c>
      <c r="W139" s="53" t="s">
        <v>5</v>
      </c>
      <c r="X139" s="53" t="s">
        <v>6</v>
      </c>
      <c r="Y139" s="53" t="s">
        <v>137</v>
      </c>
      <c r="Z139" s="53" t="s">
        <v>174</v>
      </c>
      <c r="AA139" s="53" t="s">
        <v>9</v>
      </c>
      <c r="AB139" s="53" t="s">
        <v>10</v>
      </c>
      <c r="AC139" s="53" t="s">
        <v>138</v>
      </c>
      <c r="AD139" s="53" t="s">
        <v>12</v>
      </c>
      <c r="AE139" s="53" t="s">
        <v>13</v>
      </c>
      <c r="AF139" s="53" t="s">
        <v>14</v>
      </c>
      <c r="AG139" s="53" t="s">
        <v>139</v>
      </c>
      <c r="AH139" s="53" t="s">
        <v>16</v>
      </c>
      <c r="AI139" s="53" t="s">
        <v>17</v>
      </c>
      <c r="AJ139" s="53" t="s">
        <v>18</v>
      </c>
      <c r="AK139" s="53"/>
      <c r="AL139" s="53" t="s">
        <v>141</v>
      </c>
    </row>
    <row r="140" spans="1:38">
      <c r="A140" s="64" t="s">
        <v>264</v>
      </c>
      <c r="B140" s="99" t="s">
        <v>265</v>
      </c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75"/>
      <c r="V140" s="71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</row>
    <row r="141" spans="1:38">
      <c r="A141" s="72">
        <v>1</v>
      </c>
      <c r="B141" s="68" t="s">
        <v>266</v>
      </c>
      <c r="C141" s="74" t="s">
        <v>267</v>
      </c>
      <c r="D141" s="76">
        <v>55.384790528233154</v>
      </c>
      <c r="E141" s="76">
        <v>55.84</v>
      </c>
      <c r="F141" s="76">
        <v>59.12</v>
      </c>
      <c r="G141" s="76">
        <v>57.237442922374427</v>
      </c>
      <c r="H141" s="76">
        <v>49.857695810564664</v>
      </c>
      <c r="I141" s="76">
        <v>53.436073059360737</v>
      </c>
      <c r="J141" s="76">
        <v>56.706621004566216</v>
      </c>
      <c r="K141" s="76">
        <v>59.131449771689489</v>
      </c>
      <c r="L141" s="76">
        <v>53.31194747789911</v>
      </c>
      <c r="M141" s="76">
        <v>31.677226027397264</v>
      </c>
      <c r="N141" s="76">
        <v>44.497260273972607</v>
      </c>
      <c r="O141" s="76">
        <v>51.434132420091331</v>
      </c>
      <c r="P141" s="76">
        <v>44.228426684881605</v>
      </c>
      <c r="Q141" s="76">
        <v>41.184360730593603</v>
      </c>
      <c r="R141" s="76">
        <v>58.652968036529685</v>
      </c>
      <c r="S141" s="76">
        <v>60.166952054794521</v>
      </c>
      <c r="T141" s="76">
        <v>46.913479052823313</v>
      </c>
      <c r="U141" s="136">
        <v>51</v>
      </c>
      <c r="V141" s="78">
        <v>50.833333333333329</v>
      </c>
      <c r="W141" s="76">
        <v>42.06989247311828</v>
      </c>
      <c r="X141" s="76">
        <v>50.486111111111107</v>
      </c>
      <c r="Y141" s="76">
        <v>47.733516483516489</v>
      </c>
      <c r="Z141" s="76">
        <v>47.11021505376344</v>
      </c>
      <c r="AA141" s="76">
        <v>44.892473118279568</v>
      </c>
      <c r="AB141" s="76">
        <v>44.236111111111107</v>
      </c>
      <c r="AC141" s="76">
        <v>45.425724637681157</v>
      </c>
      <c r="AD141" s="76">
        <v>27.83266129032258</v>
      </c>
      <c r="AE141" s="76">
        <v>34.201388888888893</v>
      </c>
      <c r="AF141" s="76">
        <v>46.63978494623656</v>
      </c>
      <c r="AG141" s="76">
        <v>36.24660326086957</v>
      </c>
      <c r="AH141" s="76">
        <v>34.13978494623656</v>
      </c>
      <c r="AI141" s="76">
        <v>37.157738095238088</v>
      </c>
      <c r="AJ141" s="76" t="e">
        <v>#DIV/0!</v>
      </c>
      <c r="AK141" s="76"/>
      <c r="AL141" s="76">
        <v>41.785491516966061</v>
      </c>
    </row>
    <row r="142" spans="1:38">
      <c r="A142" s="72">
        <v>2</v>
      </c>
      <c r="B142" s="68" t="s">
        <v>268</v>
      </c>
      <c r="C142" s="74" t="s">
        <v>269</v>
      </c>
      <c r="D142" s="82">
        <v>91.294964028776988</v>
      </c>
      <c r="E142" s="82">
        <v>84.3</v>
      </c>
      <c r="F142" s="82">
        <v>90.03</v>
      </c>
      <c r="G142" s="76">
        <v>90.626246509772628</v>
      </c>
      <c r="H142" s="76">
        <v>82.977508848042021</v>
      </c>
      <c r="I142" s="76">
        <v>95.428327280495623</v>
      </c>
      <c r="J142" s="76">
        <v>93.054856567689981</v>
      </c>
      <c r="K142" s="76">
        <v>92.577841528287621</v>
      </c>
      <c r="L142" s="76">
        <v>86.503826734345253</v>
      </c>
      <c r="M142" s="76">
        <v>77.721019487013152</v>
      </c>
      <c r="N142" s="76">
        <v>89.241808535746898</v>
      </c>
      <c r="O142" s="76">
        <v>92.060488766276876</v>
      </c>
      <c r="P142" s="76">
        <v>78.601810799158315</v>
      </c>
      <c r="Q142" s="76">
        <v>94.574041992931882</v>
      </c>
      <c r="R142" s="76">
        <v>98.017127286882072</v>
      </c>
      <c r="S142" s="76">
        <v>96.784347207399492</v>
      </c>
      <c r="T142" s="76">
        <v>96.869600667818517</v>
      </c>
      <c r="U142" s="83">
        <v>95</v>
      </c>
      <c r="V142" s="78">
        <v>94.877049180327873</v>
      </c>
      <c r="W142" s="76">
        <v>97.196485623003198</v>
      </c>
      <c r="X142" s="76">
        <v>97.599724896836307</v>
      </c>
      <c r="Y142" s="76">
        <v>96.522781774580338</v>
      </c>
      <c r="Z142" s="76">
        <v>97.496433666191166</v>
      </c>
      <c r="AA142" s="76">
        <v>94.461077844311376</v>
      </c>
      <c r="AB142" s="76">
        <v>97.645211930926209</v>
      </c>
      <c r="AC142" s="76">
        <v>96.532901296111675</v>
      </c>
      <c r="AD142" s="76">
        <v>92.031872509960152</v>
      </c>
      <c r="AE142" s="76">
        <v>95.126903553299485</v>
      </c>
      <c r="AF142" s="76">
        <v>90.345821325648416</v>
      </c>
      <c r="AG142" s="76">
        <v>92.253147158966669</v>
      </c>
      <c r="AH142" s="76">
        <v>92.214566929133852</v>
      </c>
      <c r="AI142" s="76">
        <v>85.582699239086907</v>
      </c>
      <c r="AJ142" s="76" t="e">
        <v>#DIV/0!</v>
      </c>
      <c r="AK142" s="76"/>
      <c r="AL142" s="76">
        <v>94.363379882222134</v>
      </c>
    </row>
    <row r="143" spans="1:38">
      <c r="A143" s="72">
        <v>3</v>
      </c>
      <c r="B143" s="68" t="s">
        <v>270</v>
      </c>
      <c r="C143" s="74" t="s">
        <v>271</v>
      </c>
      <c r="D143" s="79">
        <v>1130.0279763755052</v>
      </c>
      <c r="E143" s="79">
        <v>1153</v>
      </c>
      <c r="F143" s="79">
        <v>1151</v>
      </c>
      <c r="G143" s="79">
        <v>1149.9893950169055</v>
      </c>
      <c r="H143" s="79">
        <v>1149.9543021282152</v>
      </c>
      <c r="I143" s="79">
        <v>1149.5034861609972</v>
      </c>
      <c r="J143" s="79">
        <v>1149.1758552623307</v>
      </c>
      <c r="K143" s="79">
        <v>1149.8883766076194</v>
      </c>
      <c r="L143" s="79">
        <v>1149.2985204098836</v>
      </c>
      <c r="M143" s="79">
        <v>1149.3131466147941</v>
      </c>
      <c r="N143" s="79">
        <v>1148.6795615806843</v>
      </c>
      <c r="O143" s="79">
        <v>1147.6681401999456</v>
      </c>
      <c r="P143" s="79">
        <v>1148.456121575955</v>
      </c>
      <c r="Q143" s="79">
        <v>1145.0457968186686</v>
      </c>
      <c r="R143" s="79">
        <v>1135</v>
      </c>
      <c r="S143" s="79">
        <v>1131.5784593893516</v>
      </c>
      <c r="T143" s="79">
        <v>1130.5359860339274</v>
      </c>
      <c r="U143" s="75">
        <v>1130</v>
      </c>
      <c r="V143" s="78">
        <v>1130.4253940833514</v>
      </c>
      <c r="W143" s="76">
        <v>1130.4494657988457</v>
      </c>
      <c r="X143" s="76">
        <v>1130.4685542470559</v>
      </c>
      <c r="Y143" s="79">
        <v>1130.4473506714203</v>
      </c>
      <c r="Z143" s="76">
        <v>1130.489625701488</v>
      </c>
      <c r="AA143" s="76">
        <v>1129.8126753798317</v>
      </c>
      <c r="AB143" s="76">
        <v>1129.4185821904578</v>
      </c>
      <c r="AC143" s="79">
        <v>1129.9410770565935</v>
      </c>
      <c r="AD143" s="76">
        <v>1129.3443210318883</v>
      </c>
      <c r="AE143" s="76">
        <v>1129.3300372375379</v>
      </c>
      <c r="AF143" s="76">
        <v>1129.3933180557231</v>
      </c>
      <c r="AG143" s="79">
        <v>1129.3612626278928</v>
      </c>
      <c r="AH143" s="76">
        <v>1129.4611419396638</v>
      </c>
      <c r="AI143" s="76">
        <v>1129.4751293695217</v>
      </c>
      <c r="AJ143" s="76" t="e">
        <v>#DIV/0!</v>
      </c>
      <c r="AK143" s="79"/>
      <c r="AL143" s="76">
        <v>1129.871768252458</v>
      </c>
    </row>
    <row r="144" spans="1:38">
      <c r="A144" s="72">
        <v>4</v>
      </c>
      <c r="B144" s="100" t="s">
        <v>272</v>
      </c>
      <c r="C144" s="101" t="s">
        <v>271</v>
      </c>
      <c r="D144" s="79">
        <v>1036.7863433841053</v>
      </c>
      <c r="E144" s="79">
        <v>1073</v>
      </c>
      <c r="F144" s="79">
        <v>1069</v>
      </c>
      <c r="G144" s="79">
        <v>1069.3690658881362</v>
      </c>
      <c r="H144" s="79">
        <v>1072.2452130769711</v>
      </c>
      <c r="I144" s="79">
        <v>1067.2881893091062</v>
      </c>
      <c r="J144" s="79">
        <v>1068.498937601368</v>
      </c>
      <c r="K144" s="79">
        <v>1072.8245571463237</v>
      </c>
      <c r="L144" s="79">
        <v>1070.1724809112338</v>
      </c>
      <c r="M144" s="79">
        <v>1069.8645229037199</v>
      </c>
      <c r="N144" s="79">
        <v>1070.0207800976723</v>
      </c>
      <c r="O144" s="79">
        <v>1068.7957502982781</v>
      </c>
      <c r="P144" s="79">
        <v>1076.25966801821</v>
      </c>
      <c r="Q144" s="79">
        <v>1072.7826277102151</v>
      </c>
      <c r="R144" s="79">
        <v>1069.2870312923267</v>
      </c>
      <c r="S144" s="79">
        <v>1073.0293209272427</v>
      </c>
      <c r="T144" s="79">
        <v>1071.9460714421409</v>
      </c>
      <c r="U144" s="75">
        <v>1072</v>
      </c>
      <c r="V144" s="78">
        <v>1072.4105664723243</v>
      </c>
      <c r="W144" s="76">
        <v>1072.3934667812846</v>
      </c>
      <c r="X144" s="76">
        <v>1072.9892257579554</v>
      </c>
      <c r="Y144" s="79">
        <v>1072.6079834619529</v>
      </c>
      <c r="Z144" s="76">
        <v>1074.113164804613</v>
      </c>
      <c r="AA144" s="76">
        <v>1074.60120838284</v>
      </c>
      <c r="AB144" s="76">
        <v>1111.7764471057885</v>
      </c>
      <c r="AC144" s="79">
        <v>1084.9769332663409</v>
      </c>
      <c r="AD144" s="76">
        <v>1101.192608895941</v>
      </c>
      <c r="AE144" s="76">
        <v>1075.1009168570267</v>
      </c>
      <c r="AF144" s="76">
        <v>1069.7623929562176</v>
      </c>
      <c r="AG144" s="76">
        <v>1078.2041764838782</v>
      </c>
      <c r="AH144" s="76">
        <v>1071.3219345933917</v>
      </c>
      <c r="AI144" s="76">
        <v>1083.5709508219804</v>
      </c>
      <c r="AJ144" s="76" t="e">
        <v>#DIV/0!</v>
      </c>
      <c r="AK144" s="76"/>
      <c r="AL144" s="76">
        <v>1078.2321417776877</v>
      </c>
    </row>
    <row r="145" spans="1:38">
      <c r="A145" s="72">
        <v>5</v>
      </c>
      <c r="B145" s="68" t="s">
        <v>273</v>
      </c>
      <c r="C145" s="74" t="s">
        <v>271</v>
      </c>
      <c r="D145" s="79">
        <v>93.241632991399854</v>
      </c>
      <c r="E145" s="79">
        <v>80</v>
      </c>
      <c r="F145" s="79">
        <v>82</v>
      </c>
      <c r="G145" s="79">
        <v>80.620329128769441</v>
      </c>
      <c r="H145" s="79">
        <v>77.709089051244064</v>
      </c>
      <c r="I145" s="79">
        <v>83</v>
      </c>
      <c r="J145" s="79">
        <v>80.676917660962829</v>
      </c>
      <c r="K145" s="79">
        <v>77.063819461295807</v>
      </c>
      <c r="L145" s="79">
        <v>79.12603949864976</v>
      </c>
      <c r="M145" s="79">
        <v>79.448623711074006</v>
      </c>
      <c r="N145" s="79">
        <v>78.65878148301212</v>
      </c>
      <c r="O145" s="79">
        <v>78.872389901667447</v>
      </c>
      <c r="P145" s="79">
        <v>72.19645355774486</v>
      </c>
      <c r="Q145" s="79">
        <v>72.263169108453454</v>
      </c>
      <c r="R145" s="79">
        <v>66</v>
      </c>
      <c r="S145" s="79">
        <v>58.549138462109021</v>
      </c>
      <c r="T145" s="79">
        <v>58.589914591786332</v>
      </c>
      <c r="U145" s="75">
        <v>58</v>
      </c>
      <c r="V145" s="78">
        <v>58.014827611027137</v>
      </c>
      <c r="W145" s="76">
        <v>58.055999017561092</v>
      </c>
      <c r="X145" s="76">
        <v>57.479328489100475</v>
      </c>
      <c r="Y145" s="79">
        <v>57.839367209467333</v>
      </c>
      <c r="Z145" s="76">
        <v>56.376460896874839</v>
      </c>
      <c r="AA145" s="76">
        <v>55.211466996991682</v>
      </c>
      <c r="AB145" s="76">
        <v>17.64213508466937</v>
      </c>
      <c r="AC145" s="79">
        <v>44.964143790252592</v>
      </c>
      <c r="AD145" s="76">
        <v>28.151712135947179</v>
      </c>
      <c r="AE145" s="76">
        <v>54.229120380511311</v>
      </c>
      <c r="AF145" s="76">
        <v>59.63092509950549</v>
      </c>
      <c r="AG145" s="76">
        <v>51.157086144014457</v>
      </c>
      <c r="AH145" s="76">
        <v>58.139207346271938</v>
      </c>
      <c r="AI145" s="76">
        <v>45.9041785475411</v>
      </c>
      <c r="AJ145" s="76" t="e">
        <v>#DIV/0!</v>
      </c>
      <c r="AK145" s="76"/>
      <c r="AL145" s="76">
        <v>51.639626474770225</v>
      </c>
    </row>
    <row r="146" spans="1:38">
      <c r="A146" s="72">
        <v>6</v>
      </c>
      <c r="B146" s="68" t="s">
        <v>274</v>
      </c>
      <c r="C146" s="74" t="s">
        <v>271</v>
      </c>
      <c r="D146" s="82">
        <v>84.198528649880842</v>
      </c>
      <c r="E146" s="82">
        <v>81.3</v>
      </c>
      <c r="F146" s="82">
        <v>78.25</v>
      </c>
      <c r="G146" s="76">
        <v>75.90672605457199</v>
      </c>
      <c r="H146" s="76">
        <v>80.138739874089595</v>
      </c>
      <c r="I146" s="76">
        <v>76.581977604056618</v>
      </c>
      <c r="J146" s="76">
        <v>76.631001923633022</v>
      </c>
      <c r="K146" s="76">
        <v>76.597913127881583</v>
      </c>
      <c r="L146" s="76">
        <v>76.462348155799887</v>
      </c>
      <c r="M146" s="76">
        <v>75.648551410717673</v>
      </c>
      <c r="N146" s="76">
        <v>74.785068597605346</v>
      </c>
      <c r="O146" s="76">
        <v>75.782467334915324</v>
      </c>
      <c r="P146" s="76">
        <v>75.281062845337459</v>
      </c>
      <c r="Q146" s="76">
        <v>66.323526938150749</v>
      </c>
      <c r="R146" s="76">
        <v>63.556804180466109</v>
      </c>
      <c r="S146" s="76">
        <v>68.87358273256784</v>
      </c>
      <c r="T146" s="76">
        <v>69.694382175259818</v>
      </c>
      <c r="U146" s="75">
        <v>67</v>
      </c>
      <c r="V146" s="78">
        <v>67.587993953789677</v>
      </c>
      <c r="W146" s="76">
        <v>67.29706496377257</v>
      </c>
      <c r="X146" s="76">
        <v>69.28088198446504</v>
      </c>
      <c r="Y146" s="76">
        <v>68.096810644615942</v>
      </c>
      <c r="Z146" s="76">
        <v>67.445811666580852</v>
      </c>
      <c r="AA146" s="76">
        <v>64.565058017544303</v>
      </c>
      <c r="AB146" s="76">
        <v>65.546326701435845</v>
      </c>
      <c r="AC146" s="76">
        <v>65.865801854474029</v>
      </c>
      <c r="AD146" s="76">
        <v>63.213389977990481</v>
      </c>
      <c r="AE146" s="76">
        <v>64.586788497042903</v>
      </c>
      <c r="AF146" s="76">
        <v>64.141840549993972</v>
      </c>
      <c r="AG146" s="76">
        <v>64.099667559629481</v>
      </c>
      <c r="AH146" s="76">
        <v>69.5755049153545</v>
      </c>
      <c r="AI146" s="76">
        <v>65.054388002957012</v>
      </c>
      <c r="AJ146" s="76" t="e">
        <v>#DIV/0!</v>
      </c>
      <c r="AK146" s="76"/>
      <c r="AL146" s="76">
        <v>66.389299916159203</v>
      </c>
    </row>
    <row r="147" spans="1:38">
      <c r="A147" s="72">
        <v>7</v>
      </c>
      <c r="B147" s="99" t="s">
        <v>275</v>
      </c>
      <c r="C147" s="101" t="s">
        <v>271</v>
      </c>
      <c r="D147" s="82"/>
      <c r="E147" s="82"/>
      <c r="F147" s="82"/>
      <c r="G147" s="76"/>
      <c r="H147" s="76">
        <v>20.97</v>
      </c>
      <c r="I147" s="76">
        <v>23.9224593281217</v>
      </c>
      <c r="J147" s="76">
        <v>23.025761595232407</v>
      </c>
      <c r="K147" s="76">
        <v>20.368842513952924</v>
      </c>
      <c r="L147" s="76">
        <v>22.983150389744942</v>
      </c>
      <c r="M147" s="76">
        <v>22.701451171437917</v>
      </c>
      <c r="N147" s="76">
        <v>22.668932880866596</v>
      </c>
      <c r="O147" s="76">
        <v>22.915162048978448</v>
      </c>
      <c r="P147" s="82">
        <v>22.60520720963039</v>
      </c>
      <c r="Q147" s="82">
        <v>25.612128755894211</v>
      </c>
      <c r="R147" s="82">
        <v>25.4</v>
      </c>
      <c r="S147" s="82">
        <v>25</v>
      </c>
      <c r="T147" s="76">
        <v>25.598467411497214</v>
      </c>
      <c r="U147" s="75">
        <v>25</v>
      </c>
      <c r="V147" s="78">
        <v>23.465054343914201</v>
      </c>
      <c r="W147" s="76">
        <v>24.745179909124403</v>
      </c>
      <c r="X147" s="76">
        <v>24.429967426710096</v>
      </c>
      <c r="Y147" s="76">
        <v>24.167622918509824</v>
      </c>
      <c r="Z147" s="76">
        <v>24.043659578849816</v>
      </c>
      <c r="AA147" s="76">
        <v>22.878378036757084</v>
      </c>
      <c r="AB147" s="76">
        <v>21.859506792865883</v>
      </c>
      <c r="AC147" s="76">
        <v>23.002786278719224</v>
      </c>
      <c r="AD147" s="76">
        <v>21.548856016788658</v>
      </c>
      <c r="AE147" s="76">
        <v>23.562912663892106</v>
      </c>
      <c r="AF147" s="76">
        <v>23.037028102762029</v>
      </c>
      <c r="AG147" s="76">
        <v>22.905033943345277</v>
      </c>
      <c r="AH147" s="76">
        <v>25.6330807582885</v>
      </c>
      <c r="AI147" s="76">
        <v>23.550533319252295</v>
      </c>
      <c r="AJ147" s="76" t="e">
        <v>#DIV/0!</v>
      </c>
      <c r="AK147" s="76"/>
      <c r="AL147" s="76">
        <v>23.614721288467553</v>
      </c>
    </row>
    <row r="148" spans="1:38">
      <c r="A148" s="72">
        <v>8</v>
      </c>
      <c r="B148" s="68" t="s">
        <v>276</v>
      </c>
      <c r="C148" s="74" t="s">
        <v>271</v>
      </c>
      <c r="D148" s="82">
        <v>8.6130970883846238</v>
      </c>
      <c r="E148" s="82">
        <v>8.8000000000000007</v>
      </c>
      <c r="F148" s="82">
        <v>20.53</v>
      </c>
      <c r="G148" s="76">
        <v>24.820651021197488</v>
      </c>
      <c r="H148" s="76">
        <v>4.6095244582957244</v>
      </c>
      <c r="I148" s="76">
        <v>0.17166701880414115</v>
      </c>
      <c r="J148" s="76">
        <v>0</v>
      </c>
      <c r="K148" s="76">
        <v>0</v>
      </c>
      <c r="L148" s="76">
        <v>0</v>
      </c>
      <c r="M148" s="76">
        <v>0</v>
      </c>
      <c r="N148" s="76">
        <v>0</v>
      </c>
      <c r="O148" s="76">
        <v>0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5">
        <v>0</v>
      </c>
      <c r="V148" s="78">
        <v>0</v>
      </c>
      <c r="W148" s="76">
        <v>0</v>
      </c>
      <c r="X148" s="76">
        <v>0</v>
      </c>
      <c r="Y148" s="76">
        <v>0</v>
      </c>
      <c r="Z148" s="76">
        <v>0</v>
      </c>
      <c r="AA148" s="76">
        <v>0</v>
      </c>
      <c r="AB148" s="76">
        <v>0</v>
      </c>
      <c r="AC148" s="76">
        <v>0</v>
      </c>
      <c r="AD148" s="76">
        <v>0</v>
      </c>
      <c r="AE148" s="76">
        <v>0</v>
      </c>
      <c r="AF148" s="76">
        <v>0</v>
      </c>
      <c r="AG148" s="76">
        <v>0</v>
      </c>
      <c r="AH148" s="76">
        <v>0</v>
      </c>
      <c r="AI148" s="76">
        <v>0</v>
      </c>
      <c r="AJ148" s="76" t="e">
        <v>#DIV/0!</v>
      </c>
      <c r="AK148" s="76"/>
      <c r="AL148" s="76">
        <v>0</v>
      </c>
    </row>
    <row r="149" spans="1:38">
      <c r="A149" s="72">
        <v>9</v>
      </c>
      <c r="B149" s="68" t="s">
        <v>277</v>
      </c>
      <c r="C149" s="74" t="s">
        <v>278</v>
      </c>
      <c r="D149" s="104">
        <v>0.21927779504714537</v>
      </c>
      <c r="E149" s="104">
        <v>0.1</v>
      </c>
      <c r="F149" s="110">
        <v>7.0000000000000007E-2</v>
      </c>
      <c r="G149" s="110">
        <v>0.14472682811193871</v>
      </c>
      <c r="H149" s="110">
        <v>0.12205021656817498</v>
      </c>
      <c r="I149" s="110">
        <v>0.10035918022395944</v>
      </c>
      <c r="J149" s="110">
        <v>0.1533877314960333</v>
      </c>
      <c r="K149" s="110">
        <v>7.6437757825770447E-2</v>
      </c>
      <c r="L149" s="110">
        <v>6.7435223869617058E-3</v>
      </c>
      <c r="M149" s="110">
        <v>0</v>
      </c>
      <c r="N149" s="110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2.2610879698601594E-2</v>
      </c>
      <c r="U149" s="75">
        <v>2.1</v>
      </c>
      <c r="V149" s="78">
        <v>0</v>
      </c>
      <c r="W149" s="76">
        <v>0.67542674689917725</v>
      </c>
      <c r="X149" s="76">
        <v>2.4054121773991479</v>
      </c>
      <c r="Y149" s="76">
        <v>1.0336279464966145</v>
      </c>
      <c r="Z149" s="76">
        <v>2.110899449106729</v>
      </c>
      <c r="AA149" s="76">
        <v>0.1516798543873398</v>
      </c>
      <c r="AB149" s="76">
        <v>0.94971347627325997</v>
      </c>
      <c r="AC149" s="76">
        <v>1.0734024574064769</v>
      </c>
      <c r="AD149" s="76">
        <v>0.70737574857961816</v>
      </c>
      <c r="AE149" s="76">
        <v>0.34846825421660355</v>
      </c>
      <c r="AF149" s="76">
        <v>0.91400313593052707</v>
      </c>
      <c r="AG149" s="76">
        <v>0.67613422414442326</v>
      </c>
      <c r="AH149" s="76">
        <v>0.53435114503816794</v>
      </c>
      <c r="AI149" s="76">
        <v>1.0623437885028337</v>
      </c>
      <c r="AJ149" s="76" t="e">
        <v>#DIV/0!</v>
      </c>
      <c r="AK149" s="76"/>
      <c r="AL149" s="76">
        <v>0.91329704612295426</v>
      </c>
    </row>
    <row r="150" spans="1:38">
      <c r="A150" s="72" t="s">
        <v>279</v>
      </c>
      <c r="B150" s="68" t="s">
        <v>280</v>
      </c>
      <c r="C150" s="74" t="s">
        <v>278</v>
      </c>
      <c r="D150" s="82">
        <v>11.345974510413429</v>
      </c>
      <c r="E150" s="82">
        <v>10.1</v>
      </c>
      <c r="F150" s="82">
        <v>9.69</v>
      </c>
      <c r="G150" s="76">
        <v>9.7865279285348912</v>
      </c>
      <c r="H150" s="76">
        <v>9.0430695345629175</v>
      </c>
      <c r="I150" s="76">
        <v>8.1792731882526937</v>
      </c>
      <c r="J150" s="76">
        <v>7.5009115254535628</v>
      </c>
      <c r="K150" s="76">
        <v>7.9568066003397231</v>
      </c>
      <c r="L150" s="76">
        <v>10.000030652374486</v>
      </c>
      <c r="M150" s="76">
        <v>9.5539756588800326</v>
      </c>
      <c r="N150" s="76">
        <v>6.6676755976460864</v>
      </c>
      <c r="O150" s="76">
        <v>6.1322264638111337</v>
      </c>
      <c r="P150" s="76">
        <v>5.56</v>
      </c>
      <c r="Q150" s="76">
        <v>5.79</v>
      </c>
      <c r="R150" s="76">
        <v>6.48</v>
      </c>
      <c r="S150" s="76">
        <v>6.1419214468644467</v>
      </c>
      <c r="T150" s="76">
        <v>6.16</v>
      </c>
      <c r="U150" s="77">
        <v>6.15</v>
      </c>
      <c r="V150" s="78">
        <v>5.3984020729863964</v>
      </c>
      <c r="W150" s="76">
        <v>6.2323468009333167</v>
      </c>
      <c r="X150" s="76">
        <v>8.3688298672012031</v>
      </c>
      <c r="Y150" s="76">
        <v>6.6747838578849166</v>
      </c>
      <c r="Z150" s="76">
        <v>7.3366627194563145</v>
      </c>
      <c r="AA150" s="76">
        <v>6.6233536415805041</v>
      </c>
      <c r="AB150" s="76">
        <v>9.4572146030519608</v>
      </c>
      <c r="AC150" s="76">
        <v>7.6806285113963364</v>
      </c>
      <c r="AD150" s="76">
        <v>6.7564109126273229</v>
      </c>
      <c r="AE150" s="76">
        <v>4.5060550114215978</v>
      </c>
      <c r="AF150" s="76">
        <v>5.4999396936437099</v>
      </c>
      <c r="AG150" s="76">
        <v>5.4223283736242456</v>
      </c>
      <c r="AH150" s="76">
        <v>6.6477000647869078</v>
      </c>
      <c r="AI150" s="76">
        <v>7.8360967367198224</v>
      </c>
      <c r="AJ150" s="76" t="e">
        <v>#DIV/0!</v>
      </c>
      <c r="AK150" s="76"/>
      <c r="AL150" s="76">
        <v>6.7423774518178208</v>
      </c>
    </row>
    <row r="151" spans="1:38">
      <c r="A151" s="72">
        <v>11</v>
      </c>
      <c r="B151" s="86" t="s">
        <v>281</v>
      </c>
      <c r="C151" s="74" t="s">
        <v>278</v>
      </c>
      <c r="D151" s="76">
        <v>17.195109315096882</v>
      </c>
      <c r="E151" s="76">
        <v>14.04</v>
      </c>
      <c r="F151" s="76">
        <v>13.67</v>
      </c>
      <c r="G151" s="76">
        <v>13.95116717196292</v>
      </c>
      <c r="H151" s="76">
        <v>16.204295032272348</v>
      </c>
      <c r="I151" s="76">
        <v>12.230614832030424</v>
      </c>
      <c r="J151" s="76">
        <v>12.190552824471629</v>
      </c>
      <c r="K151" s="76">
        <v>13.168793982043196</v>
      </c>
      <c r="L151" s="76">
        <v>13.559997425200542</v>
      </c>
      <c r="M151" s="76">
        <v>12.243721058339501</v>
      </c>
      <c r="N151" s="76">
        <v>11.414501830627652</v>
      </c>
      <c r="O151" s="76">
        <v>10.349124213299895</v>
      </c>
      <c r="P151" s="82">
        <v>10.441316595941936</v>
      </c>
      <c r="Q151" s="76">
        <v>11.1</v>
      </c>
      <c r="R151" s="76">
        <v>12.2</v>
      </c>
      <c r="S151" s="76">
        <v>12.2</v>
      </c>
      <c r="T151" s="76">
        <v>12.580263923578546</v>
      </c>
      <c r="U151" s="83">
        <v>9.6199999999999992</v>
      </c>
      <c r="V151" s="78">
        <v>13.10012236378032</v>
      </c>
      <c r="W151" s="76">
        <v>17.008473535552007</v>
      </c>
      <c r="X151" s="76">
        <v>11.375595088950138</v>
      </c>
      <c r="Y151" s="76">
        <v>13.612354481828294</v>
      </c>
      <c r="Z151" s="76">
        <v>12.485197961180043</v>
      </c>
      <c r="AA151" s="76">
        <v>22.878378036757084</v>
      </c>
      <c r="AB151" s="76">
        <v>13.29598866782564</v>
      </c>
      <c r="AC151" s="76">
        <v>16.471018133650023</v>
      </c>
      <c r="AD151" s="76">
        <v>15.355479346880278</v>
      </c>
      <c r="AE151" s="76">
        <v>17.899051850924678</v>
      </c>
      <c r="AF151" s="76">
        <v>16.328549029067663</v>
      </c>
      <c r="AG151" s="76">
        <v>16.663977019655942</v>
      </c>
      <c r="AH151" s="76">
        <v>15.83053998478916</v>
      </c>
      <c r="AI151" s="76">
        <v>14.994684408772486</v>
      </c>
      <c r="AJ151" s="76" t="e">
        <v>#DIV/0!</v>
      </c>
      <c r="AK151" s="76"/>
      <c r="AL151" s="76">
        <v>15.490452924309363</v>
      </c>
    </row>
    <row r="152" spans="1:38">
      <c r="A152" s="72">
        <v>12</v>
      </c>
      <c r="B152" s="68" t="s">
        <v>282</v>
      </c>
      <c r="C152" s="74" t="s">
        <v>278</v>
      </c>
      <c r="D152" s="76">
        <v>4.2715780748109005</v>
      </c>
      <c r="E152" s="76">
        <v>3.78</v>
      </c>
      <c r="F152" s="76">
        <v>3.9</v>
      </c>
      <c r="G152" s="76">
        <v>4.0698182181133111</v>
      </c>
      <c r="H152" s="76">
        <v>4.075909557951146</v>
      </c>
      <c r="I152" s="76">
        <v>4.0354954574265793</v>
      </c>
      <c r="J152" s="76">
        <v>3.4725976589511798</v>
      </c>
      <c r="K152" s="76">
        <v>3.5957049259888376</v>
      </c>
      <c r="L152" s="76">
        <v>4.1054564291822873</v>
      </c>
      <c r="M152" s="76">
        <v>4.5402902342875837</v>
      </c>
      <c r="N152" s="76">
        <v>4.5954865860686036</v>
      </c>
      <c r="O152" s="76">
        <v>5.9232334134914275</v>
      </c>
      <c r="P152" s="82">
        <v>5.4080812185065108</v>
      </c>
      <c r="Q152" s="82">
        <v>4.5779998093668173</v>
      </c>
      <c r="R152" s="76">
        <v>6</v>
      </c>
      <c r="S152" s="76">
        <v>5.9</v>
      </c>
      <c r="T152" s="76">
        <v>6.291131823808314</v>
      </c>
      <c r="U152" s="77">
        <v>6.73</v>
      </c>
      <c r="V152" s="78">
        <v>7.3178339211593366</v>
      </c>
      <c r="W152" s="76">
        <v>6.7849686847599164</v>
      </c>
      <c r="X152" s="76">
        <v>7.3665747932848911</v>
      </c>
      <c r="Y152" s="76">
        <v>7.1828382722646085</v>
      </c>
      <c r="Z152" s="76">
        <v>6.8990372239097972</v>
      </c>
      <c r="AA152" s="76">
        <v>6.5980736658492809</v>
      </c>
      <c r="AB152" s="76">
        <v>6.5031227866846955</v>
      </c>
      <c r="AC152" s="76">
        <v>6.6779335860777413</v>
      </c>
      <c r="AD152" s="76">
        <v>6.8587807749398575</v>
      </c>
      <c r="AE152" s="76">
        <v>7.4112088118409112</v>
      </c>
      <c r="AF152" s="76">
        <v>7.8398263176938849</v>
      </c>
      <c r="AG152" s="76">
        <v>7.4862559037751888</v>
      </c>
      <c r="AH152" s="76">
        <v>8.42229796343765</v>
      </c>
      <c r="AI152" s="76">
        <v>8.6805716900763894</v>
      </c>
      <c r="AJ152" s="76" t="e">
        <v>#DIV/0!</v>
      </c>
      <c r="AK152" s="76"/>
      <c r="AL152" s="76">
        <v>7.3391688984790386</v>
      </c>
    </row>
    <row r="153" spans="1:38">
      <c r="A153" s="72">
        <v>13</v>
      </c>
      <c r="B153" s="68" t="s">
        <v>283</v>
      </c>
      <c r="C153" s="74" t="s">
        <v>278</v>
      </c>
      <c r="D153" s="76">
        <v>19.194902082685733</v>
      </c>
      <c r="E153" s="76">
        <v>17.2</v>
      </c>
      <c r="F153" s="76">
        <v>16.899999999999999</v>
      </c>
      <c r="G153" s="76">
        <v>14.130828062032913</v>
      </c>
      <c r="H153" s="76">
        <v>14.135118104872358</v>
      </c>
      <c r="I153" s="76">
        <v>15.27</v>
      </c>
      <c r="J153" s="76">
        <v>17.34</v>
      </c>
      <c r="K153" s="76">
        <v>18.66</v>
      </c>
      <c r="L153" s="76">
        <v>21.88</v>
      </c>
      <c r="M153" s="76">
        <v>18.309999999999999</v>
      </c>
      <c r="N153" s="76">
        <v>17.899999999999999</v>
      </c>
      <c r="O153" s="76">
        <v>18.12</v>
      </c>
      <c r="P153" s="76">
        <v>21.49</v>
      </c>
      <c r="Q153" s="76">
        <v>17.27</v>
      </c>
      <c r="R153" s="76">
        <v>17.53</v>
      </c>
      <c r="S153" s="76">
        <v>16.66</v>
      </c>
      <c r="T153" s="76">
        <v>14.9</v>
      </c>
      <c r="U153" s="83">
        <v>13.84</v>
      </c>
      <c r="V153" s="78">
        <v>15.748698385277958</v>
      </c>
      <c r="W153" s="78">
        <v>24.683777477588112</v>
      </c>
      <c r="X153" s="76">
        <v>9.2458030568779748</v>
      </c>
      <c r="Y153" s="76">
        <v>16.024649398656283</v>
      </c>
      <c r="Z153" s="76">
        <v>9.6792462544406117</v>
      </c>
      <c r="AA153" s="76">
        <v>12.108349975984023</v>
      </c>
      <c r="AB153" s="76">
        <v>17.094842572918679</v>
      </c>
      <c r="AC153" s="76">
        <v>12.66130726716302</v>
      </c>
      <c r="AD153" s="76">
        <v>45.656958591390698</v>
      </c>
      <c r="AE153" s="76">
        <v>14.794254779860438</v>
      </c>
      <c r="AF153" s="76">
        <v>9.4992160173682301</v>
      </c>
      <c r="AG153" s="76">
        <v>18.919730174611885</v>
      </c>
      <c r="AH153" s="76">
        <v>17.337145432523027</v>
      </c>
      <c r="AI153" s="76">
        <v>9.82</v>
      </c>
      <c r="AJ153" s="76" t="e">
        <v>#DIV/0!</v>
      </c>
      <c r="AK153" s="76"/>
      <c r="AL153" s="76">
        <v>15.42</v>
      </c>
    </row>
    <row r="154" spans="1:38">
      <c r="A154" s="72">
        <v>14</v>
      </c>
      <c r="B154" s="68" t="s">
        <v>284</v>
      </c>
      <c r="C154" s="74" t="s">
        <v>146</v>
      </c>
      <c r="D154" s="82">
        <v>88.49338431491212</v>
      </c>
      <c r="E154" s="82">
        <v>86.7</v>
      </c>
      <c r="F154" s="82">
        <v>86.9</v>
      </c>
      <c r="G154" s="82">
        <v>86.957323635606159</v>
      </c>
      <c r="H154" s="82">
        <v>86.959977292080609</v>
      </c>
      <c r="I154" s="82">
        <v>86.994081535124806</v>
      </c>
      <c r="J154" s="82">
        <v>87.01888361305005</v>
      </c>
      <c r="K154" s="82">
        <v>86.964962890587898</v>
      </c>
      <c r="L154" s="82">
        <v>87.009596048497656</v>
      </c>
      <c r="M154" s="82">
        <v>87.00848876091051</v>
      </c>
      <c r="N154" s="82">
        <v>87.056480627540012</v>
      </c>
      <c r="O154" s="82">
        <v>87.133202096712481</v>
      </c>
      <c r="P154" s="82">
        <v>87.073418062133896</v>
      </c>
      <c r="Q154" s="82">
        <v>87.409088235870698</v>
      </c>
      <c r="R154" s="82">
        <v>88.083852730467044</v>
      </c>
      <c r="S154" s="82">
        <v>88.372131132616545</v>
      </c>
      <c r="T154" s="82">
        <v>88.453619553335486</v>
      </c>
      <c r="U154" s="83">
        <v>88</v>
      </c>
      <c r="V154" s="84">
        <v>88.462273161413563</v>
      </c>
      <c r="W154" s="82">
        <v>88.460389451671588</v>
      </c>
      <c r="X154" s="82">
        <v>88.458895759913119</v>
      </c>
      <c r="Y154" s="82">
        <v>88.460554965789257</v>
      </c>
      <c r="Z154" s="82">
        <v>88.457246954343617</v>
      </c>
      <c r="AA154" s="82">
        <v>88.510247919090673</v>
      </c>
      <c r="AB154" s="82">
        <v>88.541132204549342</v>
      </c>
      <c r="AC154" s="82">
        <v>88.500189992642845</v>
      </c>
      <c r="AD154" s="82">
        <v>88.546954314720821</v>
      </c>
      <c r="AE154" s="82">
        <v>88.548074258797442</v>
      </c>
      <c r="AF154" s="82">
        <v>88.54311283880476</v>
      </c>
      <c r="AG154" s="82">
        <v>88.545626018118952</v>
      </c>
      <c r="AH154" s="82">
        <v>88.537795845075692</v>
      </c>
      <c r="AI154" s="82">
        <v>88.536699392239356</v>
      </c>
      <c r="AJ154" s="82" t="e">
        <v>#DIV/0!</v>
      </c>
      <c r="AK154" s="82"/>
      <c r="AL154" s="82">
        <v>88.505618787756134</v>
      </c>
    </row>
    <row r="155" spans="1:38">
      <c r="A155" s="72">
        <v>15</v>
      </c>
      <c r="B155" s="68" t="s">
        <v>285</v>
      </c>
      <c r="C155" s="74" t="s">
        <v>286</v>
      </c>
      <c r="D155" s="82">
        <v>65.630737844270655</v>
      </c>
      <c r="E155" s="82">
        <v>65.599999999999994</v>
      </c>
      <c r="F155" s="82">
        <v>65.8</v>
      </c>
      <c r="G155" s="82">
        <v>66.548488874128196</v>
      </c>
      <c r="H155" s="82">
        <v>66.76407049459921</v>
      </c>
      <c r="I155" s="82">
        <v>67.602213890376717</v>
      </c>
      <c r="J155" s="82">
        <v>66.871531864805789</v>
      </c>
      <c r="K155" s="82">
        <v>66.446307642695899</v>
      </c>
      <c r="L155" s="82">
        <v>66.606574111882395</v>
      </c>
      <c r="M155" s="82">
        <v>66.694603903559127</v>
      </c>
      <c r="N155" s="82">
        <v>67.122094159015433</v>
      </c>
      <c r="O155" s="82">
        <v>66.049799056438928</v>
      </c>
      <c r="P155" s="82">
        <v>67.194193424341478</v>
      </c>
      <c r="Q155" s="82">
        <v>68.650115473441105</v>
      </c>
      <c r="R155" s="82">
        <v>68.259469132120486</v>
      </c>
      <c r="S155" s="82">
        <v>68.543002400790854</v>
      </c>
      <c r="T155" s="82">
        <v>68.530766068247232</v>
      </c>
      <c r="U155" s="83">
        <v>68</v>
      </c>
      <c r="V155" s="84">
        <v>67.991843393148457</v>
      </c>
      <c r="W155" s="82">
        <v>67.02057613168725</v>
      </c>
      <c r="X155" s="82">
        <v>66.405990016638938</v>
      </c>
      <c r="Y155" s="82">
        <v>67.153529411764708</v>
      </c>
      <c r="Z155" s="82">
        <v>67.324090121317155</v>
      </c>
      <c r="AA155" s="82">
        <v>68.437716262975783</v>
      </c>
      <c r="AB155" s="82">
        <v>66.656652360515025</v>
      </c>
      <c r="AC155" s="82">
        <v>67.529302899444787</v>
      </c>
      <c r="AD155" s="82">
        <v>67.836805555555557</v>
      </c>
      <c r="AE155" s="82">
        <v>68.872844827586206</v>
      </c>
      <c r="AF155" s="82">
        <v>68.407590759075902</v>
      </c>
      <c r="AG155" s="82">
        <v>68.445508100147279</v>
      </c>
      <c r="AH155" s="82">
        <v>67.109640831758028</v>
      </c>
      <c r="AI155" s="82">
        <v>66.84</v>
      </c>
      <c r="AJ155" s="82" t="e">
        <v>#DIV/0!</v>
      </c>
      <c r="AK155" s="82"/>
      <c r="AL155" s="82">
        <v>67.545357713474175</v>
      </c>
    </row>
    <row r="156" spans="1:38">
      <c r="A156" s="72">
        <v>16</v>
      </c>
      <c r="B156" s="68" t="s">
        <v>287</v>
      </c>
      <c r="C156" s="74" t="s">
        <v>288</v>
      </c>
      <c r="D156" s="82">
        <v>1.6541992519551174</v>
      </c>
      <c r="E156" s="82">
        <v>1.7</v>
      </c>
      <c r="F156" s="76">
        <v>1.65</v>
      </c>
      <c r="G156" s="76">
        <v>1.6652274991697111</v>
      </c>
      <c r="H156" s="76">
        <v>1.6598446086791738</v>
      </c>
      <c r="I156" s="76">
        <v>1.6714872344224245</v>
      </c>
      <c r="J156" s="76">
        <v>1.6705902135530519</v>
      </c>
      <c r="K156" s="76">
        <v>1.6704014833924541</v>
      </c>
      <c r="L156" s="76">
        <v>1.6744610044916293</v>
      </c>
      <c r="M156" s="76">
        <v>1.2380597014925372</v>
      </c>
      <c r="N156" s="76">
        <v>1.3590974799765578</v>
      </c>
      <c r="O156" s="76">
        <v>1.449556176830334</v>
      </c>
      <c r="P156" s="76">
        <v>1.1742741780426842</v>
      </c>
      <c r="Q156" s="76">
        <v>1.313316012317167</v>
      </c>
      <c r="R156" s="76">
        <v>1.5019743513271699</v>
      </c>
      <c r="S156" s="76">
        <v>1.3</v>
      </c>
      <c r="T156" s="76">
        <v>1.31</v>
      </c>
      <c r="U156" s="77">
        <v>1.3</v>
      </c>
      <c r="V156" s="78">
        <v>1.07</v>
      </c>
      <c r="W156" s="76">
        <v>1.18</v>
      </c>
      <c r="X156" s="76">
        <v>1.1299999999999999</v>
      </c>
      <c r="Y156" s="76"/>
      <c r="Z156" s="76">
        <v>1.1200000000000001</v>
      </c>
      <c r="AA156" s="76">
        <v>1.0900000000000001</v>
      </c>
      <c r="AB156" s="76">
        <v>1.02</v>
      </c>
      <c r="AC156" s="76"/>
      <c r="AD156" s="76">
        <v>1.26</v>
      </c>
      <c r="AE156" s="76">
        <v>1.3</v>
      </c>
      <c r="AF156" s="76">
        <v>1.8</v>
      </c>
      <c r="AG156" s="76"/>
      <c r="AH156" s="76">
        <v>0.56999999999999995</v>
      </c>
      <c r="AI156" s="76">
        <v>1.1000000000000001</v>
      </c>
      <c r="AJ156" s="76"/>
      <c r="AK156" s="76"/>
      <c r="AL156" s="76">
        <v>1.1100000000000001</v>
      </c>
    </row>
    <row r="157" spans="1:38">
      <c r="A157" s="72">
        <v>17</v>
      </c>
      <c r="B157" s="68" t="s">
        <v>289</v>
      </c>
      <c r="C157" s="74" t="s">
        <v>290</v>
      </c>
      <c r="D157" s="79">
        <v>1541</v>
      </c>
      <c r="E157" s="79">
        <v>1778</v>
      </c>
      <c r="F157" s="79">
        <v>1701</v>
      </c>
      <c r="G157" s="79">
        <v>1814.75</v>
      </c>
      <c r="H157" s="79">
        <v>1557.3333333333333</v>
      </c>
      <c r="I157" s="79">
        <v>1674.3333333333333</v>
      </c>
      <c r="J157" s="79">
        <v>1726.25</v>
      </c>
      <c r="K157" s="79">
        <v>1802</v>
      </c>
      <c r="L157" s="79">
        <v>1646.6666666666667</v>
      </c>
      <c r="M157" s="79">
        <v>1287</v>
      </c>
      <c r="N157" s="79">
        <v>1657</v>
      </c>
      <c r="O157" s="79">
        <v>1672.75</v>
      </c>
      <c r="P157" s="79">
        <v>1369</v>
      </c>
      <c r="Q157" s="79">
        <v>1631</v>
      </c>
      <c r="R157" s="79">
        <v>1671.25</v>
      </c>
      <c r="S157" s="79" t="s">
        <v>114</v>
      </c>
      <c r="T157" s="79">
        <v>1877.25</v>
      </c>
      <c r="U157" s="80">
        <v>1600</v>
      </c>
      <c r="V157" s="81" t="s">
        <v>114</v>
      </c>
      <c r="W157" s="79">
        <v>1632</v>
      </c>
      <c r="X157" s="79" t="s">
        <v>114</v>
      </c>
      <c r="Y157" s="79">
        <v>1632</v>
      </c>
      <c r="Z157" s="79" t="s">
        <v>114</v>
      </c>
      <c r="AA157" s="79" t="s">
        <v>114</v>
      </c>
      <c r="AB157" s="79">
        <v>1833</v>
      </c>
      <c r="AC157" s="79">
        <v>1833</v>
      </c>
      <c r="AD157" s="79">
        <v>1304</v>
      </c>
      <c r="AE157" s="79" t="s">
        <v>114</v>
      </c>
      <c r="AF157" s="79" t="s">
        <v>114</v>
      </c>
      <c r="AG157" s="79">
        <v>1304</v>
      </c>
      <c r="AH157" s="79" t="s">
        <v>114</v>
      </c>
      <c r="AI157" s="79" t="s">
        <v>114</v>
      </c>
      <c r="AJ157" s="79" t="s">
        <v>114</v>
      </c>
      <c r="AK157" s="79"/>
      <c r="AL157" s="79">
        <v>1589.6666666666667</v>
      </c>
    </row>
    <row r="158" spans="1:38">
      <c r="A158" s="72">
        <v>18</v>
      </c>
      <c r="B158" s="68" t="s">
        <v>291</v>
      </c>
      <c r="C158" s="74" t="s">
        <v>292</v>
      </c>
      <c r="D158" s="79">
        <v>64.233084654439949</v>
      </c>
      <c r="E158" s="79">
        <v>65</v>
      </c>
      <c r="F158" s="79">
        <v>61.29</v>
      </c>
      <c r="G158" s="79">
        <v>62.503374879914162</v>
      </c>
      <c r="H158" s="79">
        <v>61.86294044517107</v>
      </c>
      <c r="I158" s="79">
        <v>61.16646418761885</v>
      </c>
      <c r="J158" s="79">
        <v>61.352402026729699</v>
      </c>
      <c r="K158" s="76">
        <v>61.328099975734048</v>
      </c>
      <c r="L158" s="76">
        <v>59.36</v>
      </c>
      <c r="M158" s="76">
        <v>59.353087913790432</v>
      </c>
      <c r="N158" s="76">
        <v>54.989924097346318</v>
      </c>
      <c r="O158" s="76">
        <v>60.806263680446982</v>
      </c>
      <c r="P158" s="76">
        <v>60.400913364828014</v>
      </c>
      <c r="Q158" s="76">
        <v>59.059012183703103</v>
      </c>
      <c r="R158" s="76">
        <v>60.44504836722389</v>
      </c>
      <c r="S158" s="76">
        <v>59.127191961314757</v>
      </c>
      <c r="T158" s="76">
        <v>57.61976847195087</v>
      </c>
      <c r="U158" s="83">
        <v>64.25</v>
      </c>
      <c r="V158" s="78">
        <v>59.884834089109624</v>
      </c>
      <c r="W158" s="76">
        <v>59.792459781407345</v>
      </c>
      <c r="X158" s="76">
        <v>64.436231520922078</v>
      </c>
      <c r="Y158" s="76">
        <v>61.449619397167162</v>
      </c>
      <c r="Z158" s="76">
        <v>58.424290789270451</v>
      </c>
      <c r="AA158" s="76">
        <v>58.012235508253909</v>
      </c>
      <c r="AB158" s="76">
        <v>59.128195222458309</v>
      </c>
      <c r="AC158" s="76">
        <v>58.475129036678389</v>
      </c>
      <c r="AD158" s="76">
        <v>58.814045145109283</v>
      </c>
      <c r="AE158" s="76">
        <v>59.117564226929936</v>
      </c>
      <c r="AF158" s="76">
        <v>59.030273790857557</v>
      </c>
      <c r="AG158" s="76">
        <v>59.014836092911167</v>
      </c>
      <c r="AH158" s="76">
        <v>59.040308723697926</v>
      </c>
      <c r="AI158" s="76">
        <v>59.641637624529167</v>
      </c>
      <c r="AJ158" s="76" t="e">
        <v>#DIV/0!</v>
      </c>
      <c r="AK158" s="76"/>
      <c r="AL158" s="76">
        <v>59.639274290835594</v>
      </c>
    </row>
    <row r="159" spans="1:38">
      <c r="A159" s="72">
        <v>19</v>
      </c>
      <c r="B159" s="68" t="s">
        <v>293</v>
      </c>
      <c r="C159" s="74" t="s">
        <v>292</v>
      </c>
      <c r="D159" s="76">
        <v>3.4179852396031682</v>
      </c>
      <c r="E159" s="76">
        <v>4</v>
      </c>
      <c r="F159" s="76">
        <v>4.07</v>
      </c>
      <c r="G159" s="76">
        <v>4.0355107134907193</v>
      </c>
      <c r="H159" s="76">
        <v>4.0234112569886475</v>
      </c>
      <c r="I159" s="76">
        <v>4.0059722670789366</v>
      </c>
      <c r="J159" s="76">
        <v>4.0492624989604673</v>
      </c>
      <c r="K159" s="76">
        <v>4.0337186546572825</v>
      </c>
      <c r="L159" s="76">
        <v>3.9873693781138844</v>
      </c>
      <c r="M159" s="76">
        <v>3.9913778237627175</v>
      </c>
      <c r="N159" s="76">
        <v>3.9832140370503084</v>
      </c>
      <c r="O159" s="76">
        <v>3.9984749155378569</v>
      </c>
      <c r="P159" s="76">
        <v>3.9855422515235648</v>
      </c>
      <c r="Q159" s="76">
        <v>3.978040303426746</v>
      </c>
      <c r="R159" s="76">
        <v>3.9903293993691378</v>
      </c>
      <c r="S159" s="76">
        <v>3.9830179804764536</v>
      </c>
      <c r="T159" s="76">
        <v>3.9777797808625284</v>
      </c>
      <c r="U159" s="77">
        <v>3.89</v>
      </c>
      <c r="V159" s="78">
        <v>4.0115356885364095</v>
      </c>
      <c r="W159" s="76">
        <v>3.9489877545997167</v>
      </c>
      <c r="X159" s="76">
        <v>3.9866967871485945</v>
      </c>
      <c r="Y159" s="76">
        <v>3.9850112327997755</v>
      </c>
      <c r="Z159" s="76">
        <v>4.0062928766699333</v>
      </c>
      <c r="AA159" s="76">
        <v>3.9836904219216938</v>
      </c>
      <c r="AB159" s="76">
        <v>4.0209745079057759</v>
      </c>
      <c r="AC159" s="76">
        <v>4.0022883295194509</v>
      </c>
      <c r="AD159" s="76">
        <v>3.9969175443103007</v>
      </c>
      <c r="AE159" s="76">
        <v>3.995922847734044</v>
      </c>
      <c r="AF159" s="76">
        <v>3.992219027136747</v>
      </c>
      <c r="AG159" s="76">
        <v>3.9944787723895483</v>
      </c>
      <c r="AH159" s="76">
        <v>4.0063785950156641</v>
      </c>
      <c r="AI159" s="76">
        <v>4.0547790484258082</v>
      </c>
      <c r="AJ159" s="76" t="e">
        <v>#DIV/0!</v>
      </c>
      <c r="AK159" s="76"/>
      <c r="AL159" s="76">
        <v>3.9994943349714775</v>
      </c>
    </row>
    <row r="160" spans="1:38">
      <c r="A160" s="72">
        <v>20</v>
      </c>
      <c r="B160" s="68" t="s">
        <v>294</v>
      </c>
      <c r="C160" s="74" t="s">
        <v>295</v>
      </c>
      <c r="D160" s="79">
        <v>2667.5450527031621</v>
      </c>
      <c r="E160" s="79">
        <v>2876</v>
      </c>
      <c r="F160" s="79">
        <v>2492</v>
      </c>
      <c r="G160" s="79">
        <v>2445.8817668548654</v>
      </c>
      <c r="H160" s="79">
        <v>2247.5080538184575</v>
      </c>
      <c r="I160" s="79">
        <v>2412.5870380289234</v>
      </c>
      <c r="J160" s="79">
        <v>2412.6618463090635</v>
      </c>
      <c r="K160" s="79">
        <v>2888.68107062238</v>
      </c>
      <c r="L160" s="79">
        <v>2935.5042874642713</v>
      </c>
      <c r="M160" s="79">
        <v>2978.4730195177958</v>
      </c>
      <c r="N160" s="79">
        <v>3803.6921273686266</v>
      </c>
      <c r="O160" s="79">
        <v>2812.7031277302112</v>
      </c>
      <c r="P160" s="79">
        <v>3013.4589502018844</v>
      </c>
      <c r="Q160" s="79">
        <v>3665.5119322555811</v>
      </c>
      <c r="R160" s="79">
        <v>3655.7560393677304</v>
      </c>
      <c r="S160" s="79">
        <v>3666.4736619121595</v>
      </c>
      <c r="T160" s="79">
        <v>3633.1780183637111</v>
      </c>
      <c r="U160" s="79">
        <v>3650</v>
      </c>
      <c r="V160" s="81">
        <v>3667.6998368678628</v>
      </c>
      <c r="W160" s="79">
        <v>3477.7777777777778</v>
      </c>
      <c r="X160" s="79">
        <v>3515.8069883527455</v>
      </c>
      <c r="Y160" s="79">
        <v>3559.705882352941</v>
      </c>
      <c r="Z160" s="79">
        <v>3724.6100519930674</v>
      </c>
      <c r="AA160" s="79">
        <v>3607.9584775086505</v>
      </c>
      <c r="AB160" s="79">
        <v>3660.7296137339054</v>
      </c>
      <c r="AC160" s="79">
        <v>3664.6514497223934</v>
      </c>
      <c r="AD160" s="79">
        <v>3804.8611111111113</v>
      </c>
      <c r="AE160" s="79">
        <v>3763.3620689655172</v>
      </c>
      <c r="AF160" s="79">
        <v>3648.3498349834986</v>
      </c>
      <c r="AG160" s="79">
        <v>3720.8394698085422</v>
      </c>
      <c r="AH160" s="79">
        <v>3681.663516068053</v>
      </c>
      <c r="AI160" s="79">
        <v>3724.4705882352941</v>
      </c>
      <c r="AJ160" s="79" t="e">
        <v>#DIV/0!</v>
      </c>
      <c r="AK160" s="79"/>
      <c r="AL160" s="79">
        <v>3652.6362506657197</v>
      </c>
    </row>
    <row r="161" spans="1:40">
      <c r="A161" s="72">
        <v>21</v>
      </c>
      <c r="B161" s="68" t="s">
        <v>296</v>
      </c>
      <c r="C161" s="75" t="s">
        <v>146</v>
      </c>
      <c r="D161" s="76">
        <v>90.483458810317757</v>
      </c>
      <c r="E161" s="76">
        <v>88.65</v>
      </c>
      <c r="F161" s="76">
        <v>88.71</v>
      </c>
      <c r="G161" s="76">
        <v>88.561267532287175</v>
      </c>
      <c r="H161" s="76">
        <v>88.674672031001251</v>
      </c>
      <c r="I161" s="76">
        <v>88.676340844759778</v>
      </c>
      <c r="J161" s="76">
        <v>88.668081661232804</v>
      </c>
      <c r="K161" s="76">
        <v>88.515813442111636</v>
      </c>
      <c r="L161" s="76">
        <v>88.475940535437104</v>
      </c>
      <c r="M161" s="76">
        <v>88.604476130921398</v>
      </c>
      <c r="N161" s="76">
        <v>88.570856685348275</v>
      </c>
      <c r="O161" s="76">
        <v>88.756677390009727</v>
      </c>
      <c r="P161" s="76">
        <v>88.642621316887798</v>
      </c>
      <c r="Q161" s="76">
        <v>89.77006031445832</v>
      </c>
      <c r="R161" s="76">
        <v>89.806394244371688</v>
      </c>
      <c r="S161" s="76">
        <v>89.970230237702907</v>
      </c>
      <c r="T161" s="76">
        <v>90.084302356433057</v>
      </c>
      <c r="U161" s="77">
        <v>89.31</v>
      </c>
      <c r="V161" s="78">
        <v>90.149633874562241</v>
      </c>
      <c r="W161" s="76">
        <v>90.203959696912079</v>
      </c>
      <c r="X161" s="76">
        <v>90.232063302081258</v>
      </c>
      <c r="Y161" s="76">
        <v>90.193951322324935</v>
      </c>
      <c r="Z161" s="76">
        <v>90.267562336331551</v>
      </c>
      <c r="AA161" s="76">
        <v>90.318177749932872</v>
      </c>
      <c r="AB161" s="76">
        <v>90.396784675902182</v>
      </c>
      <c r="AC161" s="76">
        <v>90.322502405226018</v>
      </c>
      <c r="AD161" s="76">
        <v>90.323604060913709</v>
      </c>
      <c r="AE161" s="76">
        <v>90.218897201440839</v>
      </c>
      <c r="AF161" s="76">
        <v>90.093765351673454</v>
      </c>
      <c r="AG161" s="76">
        <v>90.185095214960043</v>
      </c>
      <c r="AH161" s="76">
        <v>90.216225652791977</v>
      </c>
      <c r="AI161" s="76">
        <v>89.658719027582976</v>
      </c>
      <c r="AJ161" s="76" t="e">
        <v>#DIV/0!</v>
      </c>
      <c r="AK161" s="76"/>
      <c r="AL161" s="76">
        <v>90.190906193809212</v>
      </c>
    </row>
    <row r="162" spans="1:40">
      <c r="A162" s="72">
        <v>22</v>
      </c>
      <c r="B162" s="68" t="s">
        <v>297</v>
      </c>
      <c r="C162" s="74" t="s">
        <v>146</v>
      </c>
      <c r="D162" s="76">
        <v>98.459480474305067</v>
      </c>
      <c r="E162" s="76">
        <v>98.54</v>
      </c>
      <c r="F162" s="76">
        <v>98.64</v>
      </c>
      <c r="G162" s="76">
        <v>98.763672473247894</v>
      </c>
      <c r="H162" s="76">
        <v>98.837696777007153</v>
      </c>
      <c r="I162" s="76">
        <v>98.909172793732594</v>
      </c>
      <c r="J162" s="76">
        <v>98.952158896799375</v>
      </c>
      <c r="K162" s="76">
        <v>98.986897041306207</v>
      </c>
      <c r="L162" s="76">
        <v>99.056468862863937</v>
      </c>
      <c r="M162" s="76">
        <v>99.054972178688402</v>
      </c>
      <c r="N162" s="76">
        <v>99.150787254876477</v>
      </c>
      <c r="O162" s="76">
        <v>99.05608170309192</v>
      </c>
      <c r="P162" s="76">
        <v>98.934170878486967</v>
      </c>
      <c r="Q162" s="76">
        <v>98.815154701236438</v>
      </c>
      <c r="R162" s="76">
        <v>96.779509701877757</v>
      </c>
      <c r="S162" s="76">
        <v>98.875295250294741</v>
      </c>
      <c r="T162" s="76">
        <v>98.206153646412204</v>
      </c>
      <c r="U162" s="77">
        <v>99</v>
      </c>
      <c r="V162" s="78">
        <v>98.845496009122002</v>
      </c>
      <c r="W162" s="76">
        <v>98.778264040846096</v>
      </c>
      <c r="X162" s="76">
        <v>98.777675848560733</v>
      </c>
      <c r="Y162" s="76">
        <v>98.802597695369059</v>
      </c>
      <c r="Z162" s="76">
        <v>98.734435079320619</v>
      </c>
      <c r="AA162" s="76">
        <v>98.754501800720291</v>
      </c>
      <c r="AB162" s="76">
        <v>98.493516399694897</v>
      </c>
      <c r="AC162" s="76">
        <v>98.673217785565257</v>
      </c>
      <c r="AD162" s="76">
        <v>98.54199362122209</v>
      </c>
      <c r="AE162" s="76">
        <v>98.718226570482059</v>
      </c>
      <c r="AF162" s="76">
        <v>98.782612847015017</v>
      </c>
      <c r="AG162" s="76">
        <v>98.709883442439732</v>
      </c>
      <c r="AH162" s="76">
        <v>98.652373660030619</v>
      </c>
      <c r="AI162" s="76">
        <v>98.952221290863378</v>
      </c>
      <c r="AJ162" s="76" t="e">
        <v>#DIV/0!</v>
      </c>
      <c r="AK162" s="76"/>
      <c r="AL162" s="76">
        <v>98.739806108013653</v>
      </c>
    </row>
    <row r="163" spans="1:40">
      <c r="A163" s="72">
        <v>23</v>
      </c>
      <c r="B163" s="99" t="s">
        <v>298</v>
      </c>
      <c r="C163" s="53"/>
      <c r="D163" s="102">
        <v>1.0369999999999999</v>
      </c>
      <c r="E163" s="102">
        <v>1.073</v>
      </c>
      <c r="F163" s="102">
        <v>1.069</v>
      </c>
      <c r="G163" s="102">
        <v>1.069</v>
      </c>
      <c r="H163" s="102">
        <v>1.0720000000000001</v>
      </c>
      <c r="I163" s="102">
        <v>1.0669999999999999</v>
      </c>
      <c r="J163" s="102">
        <v>1.0680000000000001</v>
      </c>
      <c r="K163" s="102">
        <v>1.0727500000000001</v>
      </c>
      <c r="L163" s="102">
        <v>1.0705833333333332</v>
      </c>
      <c r="M163" s="102">
        <v>1.07</v>
      </c>
      <c r="N163" s="102">
        <v>1.07</v>
      </c>
      <c r="O163" s="102">
        <v>1.069</v>
      </c>
      <c r="P163" s="102">
        <v>1.075</v>
      </c>
      <c r="Q163" s="102">
        <v>1.073</v>
      </c>
      <c r="R163" s="102">
        <v>1.0629999999999999</v>
      </c>
      <c r="S163" s="102">
        <v>1.0740000000000001</v>
      </c>
      <c r="T163" s="102">
        <v>1.0719460714421409</v>
      </c>
      <c r="U163" s="93">
        <v>1.0720000000000001</v>
      </c>
      <c r="V163" s="95">
        <v>1.0724105664723242</v>
      </c>
      <c r="W163" s="102">
        <v>1.0723934667812844</v>
      </c>
      <c r="X163" s="102">
        <v>1.0729892257579554</v>
      </c>
      <c r="Y163" s="102">
        <v>1.0725977530038546</v>
      </c>
      <c r="Z163" s="102">
        <v>1.0741131648046132</v>
      </c>
      <c r="AA163" s="102">
        <v>1.07460120838284</v>
      </c>
      <c r="AB163" s="102">
        <v>1.1117764471057885</v>
      </c>
      <c r="AC163" s="102">
        <v>1.0868302734310806</v>
      </c>
      <c r="AD163" s="102">
        <v>1.1011926088959409</v>
      </c>
      <c r="AE163" s="102">
        <v>1.0751009168570267</v>
      </c>
      <c r="AF163" s="102">
        <v>1.0697623929562177</v>
      </c>
      <c r="AG163" s="102">
        <v>1.0820186395697284</v>
      </c>
      <c r="AH163" s="102">
        <v>1.0713219345933918</v>
      </c>
      <c r="AI163" s="102">
        <v>1.0835709508219804</v>
      </c>
      <c r="AJ163" s="102" t="e">
        <v>#DIV/0!</v>
      </c>
      <c r="AK163" s="102"/>
      <c r="AL163" s="102">
        <v>1.0782321417776879</v>
      </c>
    </row>
    <row r="164" spans="1:40" s="126" customFormat="1" ht="15.75">
      <c r="A164" s="120"/>
      <c r="B164" s="121" t="s">
        <v>451</v>
      </c>
      <c r="C164" s="118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5">
        <v>5209</v>
      </c>
      <c r="Q164" s="125">
        <v>5198</v>
      </c>
      <c r="R164" s="125">
        <v>6704</v>
      </c>
      <c r="S164" s="125">
        <v>7081</v>
      </c>
      <c r="T164" s="125">
        <v>7297</v>
      </c>
      <c r="U164" s="123"/>
      <c r="V164" s="124">
        <v>613</v>
      </c>
      <c r="W164" s="125">
        <v>485</v>
      </c>
      <c r="X164" s="125">
        <v>601</v>
      </c>
      <c r="Y164" s="125"/>
      <c r="Z164" s="125">
        <v>577</v>
      </c>
      <c r="AA164" s="125">
        <v>578</v>
      </c>
      <c r="AB164" s="125">
        <v>466</v>
      </c>
      <c r="AC164" s="125"/>
      <c r="AD164" s="125">
        <v>288</v>
      </c>
      <c r="AE164" s="125">
        <v>464</v>
      </c>
      <c r="AF164" s="125">
        <v>606</v>
      </c>
      <c r="AG164" s="125"/>
      <c r="AH164" s="125">
        <v>529</v>
      </c>
      <c r="AI164" s="125">
        <v>425</v>
      </c>
      <c r="AJ164" s="122"/>
      <c r="AK164" s="122"/>
      <c r="AL164" s="125">
        <v>5632</v>
      </c>
      <c r="AN164" s="133">
        <f>V164+W164+X164+Z164+AA164+AB164+AD164+AE164+AF164+AH164+AI164</f>
        <v>5632</v>
      </c>
    </row>
    <row r="165" spans="1:40">
      <c r="A165" s="72" t="s">
        <v>299</v>
      </c>
      <c r="B165" s="68"/>
      <c r="C165" s="53"/>
      <c r="D165" s="102"/>
      <c r="E165" s="102"/>
      <c r="F165" s="102"/>
      <c r="G165" s="102"/>
      <c r="H165" s="102"/>
      <c r="I165" s="102"/>
      <c r="J165" s="102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135" t="s">
        <v>143</v>
      </c>
      <c r="V165" s="71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 t="s">
        <v>300</v>
      </c>
    </row>
    <row r="166" spans="1:40" s="64" customFormat="1">
      <c r="B166" s="99"/>
      <c r="C166" s="74" t="s">
        <v>118</v>
      </c>
      <c r="D166" s="53" t="s">
        <v>119</v>
      </c>
      <c r="E166" s="54" t="s">
        <v>120</v>
      </c>
      <c r="F166" s="54" t="s">
        <v>121</v>
      </c>
      <c r="G166" s="54" t="s">
        <v>122</v>
      </c>
      <c r="H166" s="54" t="s">
        <v>123</v>
      </c>
      <c r="I166" s="53" t="s">
        <v>124</v>
      </c>
      <c r="J166" s="53" t="s">
        <v>125</v>
      </c>
      <c r="K166" s="53" t="s">
        <v>126</v>
      </c>
      <c r="L166" s="53" t="s">
        <v>127</v>
      </c>
      <c r="M166" s="53" t="s">
        <v>128</v>
      </c>
      <c r="N166" s="53" t="s">
        <v>129</v>
      </c>
      <c r="O166" s="53" t="s">
        <v>130</v>
      </c>
      <c r="P166" s="53" t="s">
        <v>131</v>
      </c>
      <c r="Q166" s="53" t="s">
        <v>132</v>
      </c>
      <c r="R166" s="75" t="s">
        <v>133</v>
      </c>
      <c r="S166" s="53" t="s">
        <v>134</v>
      </c>
      <c r="T166" s="53" t="s">
        <v>135</v>
      </c>
      <c r="U166" s="75" t="s">
        <v>136</v>
      </c>
      <c r="V166" s="71" t="s">
        <v>4</v>
      </c>
      <c r="W166" s="53" t="s">
        <v>5</v>
      </c>
      <c r="X166" s="53" t="s">
        <v>6</v>
      </c>
      <c r="Y166" s="53" t="s">
        <v>137</v>
      </c>
      <c r="Z166" s="53" t="s">
        <v>8</v>
      </c>
      <c r="AA166" s="53" t="s">
        <v>9</v>
      </c>
      <c r="AB166" s="53" t="s">
        <v>10</v>
      </c>
      <c r="AC166" s="53" t="s">
        <v>138</v>
      </c>
      <c r="AD166" s="53" t="s">
        <v>12</v>
      </c>
      <c r="AE166" s="53" t="s">
        <v>13</v>
      </c>
      <c r="AF166" s="53" t="s">
        <v>14</v>
      </c>
      <c r="AG166" s="53" t="s">
        <v>139</v>
      </c>
      <c r="AH166" s="53" t="s">
        <v>16</v>
      </c>
      <c r="AI166" s="53" t="s">
        <v>17</v>
      </c>
      <c r="AJ166" s="53" t="s">
        <v>18</v>
      </c>
      <c r="AK166" s="53"/>
      <c r="AL166" s="53" t="s">
        <v>141</v>
      </c>
    </row>
    <row r="167" spans="1:40">
      <c r="A167" s="72" t="s">
        <v>301</v>
      </c>
      <c r="B167" s="99" t="s">
        <v>302</v>
      </c>
      <c r="C167" s="7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3"/>
      <c r="R167" s="53"/>
      <c r="S167" s="53"/>
      <c r="T167" s="53"/>
      <c r="U167" s="75"/>
      <c r="V167" s="71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</row>
    <row r="168" spans="1:40">
      <c r="A168" s="72"/>
      <c r="B168" s="68" t="s">
        <v>266</v>
      </c>
      <c r="C168" s="74" t="s">
        <v>267</v>
      </c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3"/>
      <c r="R168" s="53"/>
      <c r="S168" s="118">
        <v>90.58</v>
      </c>
      <c r="T168" s="118">
        <v>90.28</v>
      </c>
      <c r="U168" s="119">
        <v>94.8</v>
      </c>
      <c r="V168" s="78">
        <v>94.445833333333326</v>
      </c>
      <c r="W168" s="76">
        <v>82.516577060931894</v>
      </c>
      <c r="X168" s="76">
        <v>94.506018518518516</v>
      </c>
      <c r="Y168" s="76"/>
      <c r="Z168" s="76">
        <v>81.436379928315418</v>
      </c>
      <c r="AA168" s="76">
        <v>95.23431899641578</v>
      </c>
      <c r="AB168" s="76">
        <v>94.334259259259255</v>
      </c>
      <c r="AC168" s="76"/>
      <c r="AD168" s="76">
        <v>93.88933691756273</v>
      </c>
      <c r="AE168" s="76">
        <v>89.13287037037037</v>
      </c>
      <c r="AF168" s="76">
        <v>91.749103942652326</v>
      </c>
      <c r="AG168" s="76"/>
      <c r="AH168" s="76">
        <v>96.797491039426518</v>
      </c>
      <c r="AI168" s="76">
        <v>97.106150793650798</v>
      </c>
      <c r="AJ168" s="53"/>
      <c r="AK168" s="53"/>
      <c r="AL168" s="53">
        <v>91.92</v>
      </c>
    </row>
    <row r="169" spans="1:40">
      <c r="A169" s="72"/>
      <c r="B169" s="68" t="s">
        <v>268</v>
      </c>
      <c r="C169" s="74" t="s">
        <v>269</v>
      </c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3"/>
      <c r="R169" s="53"/>
      <c r="S169" s="118">
        <v>90.33</v>
      </c>
      <c r="T169" s="118">
        <v>91.56</v>
      </c>
      <c r="U169" s="119">
        <v>95</v>
      </c>
      <c r="V169" s="78">
        <v>91.922177615035068</v>
      </c>
      <c r="W169" s="76">
        <v>92.558245600699323</v>
      </c>
      <c r="X169" s="76">
        <v>91.095511259815908</v>
      </c>
      <c r="Y169" s="76"/>
      <c r="Z169" s="76">
        <v>93.568654203756481</v>
      </c>
      <c r="AA169" s="76">
        <v>92.977140894699446</v>
      </c>
      <c r="AB169" s="76">
        <v>93.569949254522427</v>
      </c>
      <c r="AC169" s="76"/>
      <c r="AD169" s="76">
        <v>93.714479316284994</v>
      </c>
      <c r="AE169" s="76">
        <v>88.489926088288911</v>
      </c>
      <c r="AF169" s="76">
        <v>94.959078834283929</v>
      </c>
      <c r="AG169" s="76"/>
      <c r="AH169" s="76">
        <v>93.427508192472189</v>
      </c>
      <c r="AI169" s="76">
        <v>94.171102234300136</v>
      </c>
      <c r="AJ169" s="53"/>
      <c r="AK169" s="53"/>
      <c r="AL169" s="53">
        <v>92.77</v>
      </c>
    </row>
    <row r="170" spans="1:40">
      <c r="A170" s="103">
        <v>1</v>
      </c>
      <c r="B170" s="100" t="s">
        <v>303</v>
      </c>
      <c r="C170" s="101" t="s">
        <v>271</v>
      </c>
      <c r="D170" s="79">
        <v>1110.7481169351627</v>
      </c>
      <c r="E170" s="79">
        <v>1136</v>
      </c>
      <c r="F170" s="79">
        <v>1136</v>
      </c>
      <c r="G170" s="79">
        <v>1135.3811252474877</v>
      </c>
      <c r="H170" s="79">
        <v>1135.2166816931872</v>
      </c>
      <c r="I170" s="79">
        <v>1135.623047048028</v>
      </c>
      <c r="J170" s="79">
        <v>1135.2263215844491</v>
      </c>
      <c r="K170" s="79">
        <v>1135.2481304377427</v>
      </c>
      <c r="L170" s="79">
        <v>1135.6149025828913</v>
      </c>
      <c r="M170" s="79">
        <v>1135.8303556614283</v>
      </c>
      <c r="N170" s="79">
        <v>1133.7175696289171</v>
      </c>
      <c r="O170" s="79">
        <v>1129.4127183313963</v>
      </c>
      <c r="P170" s="79">
        <v>1126.3916885356052</v>
      </c>
      <c r="Q170" s="79">
        <v>1123.9030059474844</v>
      </c>
      <c r="R170" s="79">
        <v>1119.2897508963576</v>
      </c>
      <c r="S170" s="79">
        <v>1116.3243494528404</v>
      </c>
      <c r="T170" s="79">
        <v>1113.3191775748312</v>
      </c>
      <c r="U170" s="75">
        <v>1104</v>
      </c>
      <c r="V170" s="78">
        <v>1108.4497449184007</v>
      </c>
      <c r="W170" s="78">
        <v>1104.1189106584202</v>
      </c>
      <c r="X170" s="78">
        <v>1104.1391689984689</v>
      </c>
      <c r="Y170" s="76">
        <v>1105.5998727301653</v>
      </c>
      <c r="Z170" s="78">
        <v>1103.172316099756</v>
      </c>
      <c r="AA170" s="78">
        <v>1103.2497684627194</v>
      </c>
      <c r="AB170" s="78">
        <v>1103.0487883020851</v>
      </c>
      <c r="AC170" s="76">
        <v>1103.1568736474951</v>
      </c>
      <c r="AD170" s="78">
        <v>1101.9998050197967</v>
      </c>
      <c r="AE170" s="78">
        <v>1101.0012403156513</v>
      </c>
      <c r="AF170" s="78">
        <v>1100.1520979460493</v>
      </c>
      <c r="AG170" s="76">
        <v>1101.0529861585035</v>
      </c>
      <c r="AH170" s="78">
        <v>1099.2786170358588</v>
      </c>
      <c r="AI170" s="78">
        <v>1099.4099880592821</v>
      </c>
      <c r="AJ170" s="78" t="e">
        <v>#DIV/0!</v>
      </c>
      <c r="AK170" s="76"/>
      <c r="AL170" s="78">
        <v>1102.5349989087872</v>
      </c>
    </row>
    <row r="171" spans="1:40">
      <c r="A171" s="103">
        <v>2</v>
      </c>
      <c r="B171" s="100" t="s">
        <v>272</v>
      </c>
      <c r="C171" s="101" t="s">
        <v>271</v>
      </c>
      <c r="D171" s="79">
        <v>1024.9180919526223</v>
      </c>
      <c r="E171" s="79">
        <v>1047</v>
      </c>
      <c r="F171" s="79">
        <v>1049</v>
      </c>
      <c r="G171" s="79">
        <v>1049.7174492693007</v>
      </c>
      <c r="H171" s="79">
        <v>1049.423042119548</v>
      </c>
      <c r="I171" s="79">
        <v>1048.4835194641707</v>
      </c>
      <c r="J171" s="79">
        <v>1045.5104018419406</v>
      </c>
      <c r="K171" s="79">
        <v>1046.2437705773725</v>
      </c>
      <c r="L171" s="79">
        <v>1037.9460217081723</v>
      </c>
      <c r="M171" s="79">
        <v>1024.0506263481002</v>
      </c>
      <c r="N171" s="79">
        <v>1005.4693156990854</v>
      </c>
      <c r="O171" s="79">
        <v>991.13296769801502</v>
      </c>
      <c r="P171" s="79">
        <v>1009.044549246314</v>
      </c>
      <c r="Q171" s="79">
        <v>1034.399874997494</v>
      </c>
      <c r="R171" s="79">
        <v>1022.0959332904182</v>
      </c>
      <c r="S171" s="79">
        <v>1021.3477846840296</v>
      </c>
      <c r="T171" s="79">
        <v>1027.646611522212</v>
      </c>
      <c r="U171" s="75">
        <v>1020</v>
      </c>
      <c r="V171" s="78">
        <v>1031.0838964715938</v>
      </c>
      <c r="W171" s="78">
        <v>1023.012989634243</v>
      </c>
      <c r="X171" s="78">
        <v>1029.2850166305898</v>
      </c>
      <c r="Y171" s="76">
        <v>1027.9198200040908</v>
      </c>
      <c r="Z171" s="78">
        <v>1020.7240393996312</v>
      </c>
      <c r="AA171" s="78">
        <v>1024.0418162672383</v>
      </c>
      <c r="AB171" s="78">
        <v>1022.1033948046289</v>
      </c>
      <c r="AC171" s="76">
        <v>1022.3370193930509</v>
      </c>
      <c r="AD171" s="78">
        <v>1022.5548067337356</v>
      </c>
      <c r="AE171" s="78">
        <v>1019.5933921734285</v>
      </c>
      <c r="AF171" s="78">
        <v>1012.1175553711944</v>
      </c>
      <c r="AG171" s="76">
        <v>1018.0215059408193</v>
      </c>
      <c r="AH171" s="78">
        <v>1018.8872914827082</v>
      </c>
      <c r="AI171" s="78">
        <v>1013.1277656809721</v>
      </c>
      <c r="AJ171" s="78" t="e">
        <v>#DIV/0!</v>
      </c>
      <c r="AK171" s="76"/>
      <c r="AL171" s="78">
        <v>1021.5095854419533</v>
      </c>
    </row>
    <row r="172" spans="1:40">
      <c r="A172" s="103">
        <v>3</v>
      </c>
      <c r="B172" s="100" t="s">
        <v>273</v>
      </c>
      <c r="C172" s="101" t="s">
        <v>271</v>
      </c>
      <c r="D172" s="79">
        <v>85.830024982540351</v>
      </c>
      <c r="E172" s="79">
        <v>89</v>
      </c>
      <c r="F172" s="79">
        <v>87</v>
      </c>
      <c r="G172" s="79">
        <v>85</v>
      </c>
      <c r="H172" s="79">
        <v>85.793639573639211</v>
      </c>
      <c r="I172" s="79">
        <v>88</v>
      </c>
      <c r="J172" s="79">
        <v>89</v>
      </c>
      <c r="K172" s="79">
        <v>89.004359860370158</v>
      </c>
      <c r="L172" s="79">
        <v>97.668880874718994</v>
      </c>
      <c r="M172" s="79">
        <v>111.77972931332812</v>
      </c>
      <c r="N172" s="79">
        <v>128.24825392983166</v>
      </c>
      <c r="O172" s="79">
        <v>138.27975063338121</v>
      </c>
      <c r="P172" s="79">
        <v>117.34713928929119</v>
      </c>
      <c r="Q172" s="79">
        <v>89.503130949990407</v>
      </c>
      <c r="R172" s="79">
        <v>97.193817605939415</v>
      </c>
      <c r="S172" s="79">
        <v>94.976564768810661</v>
      </c>
      <c r="T172" s="79">
        <v>85.672566052619217</v>
      </c>
      <c r="U172" s="75">
        <v>84</v>
      </c>
      <c r="V172" s="76">
        <v>77.365848446806808</v>
      </c>
      <c r="W172" s="76">
        <v>81.10592102417715</v>
      </c>
      <c r="X172" s="76">
        <v>74.854152367879209</v>
      </c>
      <c r="Y172" s="102">
        <v>77.680052726074408</v>
      </c>
      <c r="Z172" s="76">
        <v>82.448276700124637</v>
      </c>
      <c r="AA172" s="76">
        <v>79.2079521954809</v>
      </c>
      <c r="AB172" s="76">
        <v>80.945393497456138</v>
      </c>
      <c r="AC172" s="102">
        <v>80.819854254444081</v>
      </c>
      <c r="AD172" s="76">
        <v>79.444998286061121</v>
      </c>
      <c r="AE172" s="76">
        <v>81.407848142222861</v>
      </c>
      <c r="AF172" s="76">
        <v>88.034542574854811</v>
      </c>
      <c r="AG172" s="76">
        <v>83.031480217684219</v>
      </c>
      <c r="AH172" s="76">
        <v>80.391325553150594</v>
      </c>
      <c r="AI172" s="76">
        <v>86.282222378310038</v>
      </c>
      <c r="AJ172" s="76" t="e">
        <v>#DIV/0!</v>
      </c>
      <c r="AK172" s="76"/>
      <c r="AL172" s="76">
        <v>81.025413466834081</v>
      </c>
    </row>
    <row r="173" spans="1:40">
      <c r="A173" s="103">
        <v>4</v>
      </c>
      <c r="B173" s="99" t="s">
        <v>304</v>
      </c>
      <c r="C173" s="101" t="s">
        <v>271</v>
      </c>
      <c r="D173" s="76">
        <v>4.9865478628913191</v>
      </c>
      <c r="E173" s="76">
        <v>4.49</v>
      </c>
      <c r="F173" s="76">
        <v>2.66</v>
      </c>
      <c r="G173" s="76">
        <v>0.66887009258480501</v>
      </c>
      <c r="H173" s="76">
        <v>4.3456807508896265E-2</v>
      </c>
      <c r="I173" s="76">
        <v>0</v>
      </c>
      <c r="J173" s="76">
        <v>0.17109769202943514</v>
      </c>
      <c r="K173" s="76">
        <v>0.12570216278325014</v>
      </c>
      <c r="L173" s="76">
        <v>0</v>
      </c>
      <c r="M173" s="76">
        <v>0</v>
      </c>
      <c r="N173" s="76">
        <v>0</v>
      </c>
      <c r="O173" s="76">
        <v>0</v>
      </c>
      <c r="P173" s="76">
        <v>0</v>
      </c>
      <c r="Q173" s="76">
        <v>0</v>
      </c>
      <c r="R173" s="76">
        <v>0</v>
      </c>
      <c r="S173" s="76">
        <v>0</v>
      </c>
      <c r="T173" s="76">
        <v>0</v>
      </c>
      <c r="U173" s="75">
        <v>0</v>
      </c>
      <c r="V173" s="78">
        <v>0</v>
      </c>
      <c r="W173" s="78">
        <v>0</v>
      </c>
      <c r="X173" s="78">
        <v>0</v>
      </c>
      <c r="Y173" s="76">
        <v>0</v>
      </c>
      <c r="Z173" s="78">
        <v>0</v>
      </c>
      <c r="AA173" s="78">
        <v>0</v>
      </c>
      <c r="AB173" s="78">
        <v>0</v>
      </c>
      <c r="AC173" s="76">
        <v>0</v>
      </c>
      <c r="AD173" s="78">
        <v>0</v>
      </c>
      <c r="AE173" s="78">
        <v>0</v>
      </c>
      <c r="AF173" s="78">
        <v>0</v>
      </c>
      <c r="AG173" s="76">
        <v>0</v>
      </c>
      <c r="AH173" s="78">
        <v>0</v>
      </c>
      <c r="AI173" s="78">
        <v>0</v>
      </c>
      <c r="AJ173" s="78" t="e">
        <v>#DIV/0!</v>
      </c>
      <c r="AK173" s="76"/>
      <c r="AL173" s="78">
        <v>0</v>
      </c>
    </row>
    <row r="174" spans="1:40">
      <c r="A174" s="103">
        <v>5</v>
      </c>
      <c r="B174" s="99" t="s">
        <v>275</v>
      </c>
      <c r="C174" s="101" t="s">
        <v>271</v>
      </c>
      <c r="D174" s="104">
        <v>30.96569470679497</v>
      </c>
      <c r="E174" s="104">
        <v>31.7</v>
      </c>
      <c r="F174" s="104">
        <v>32</v>
      </c>
      <c r="G174" s="104">
        <v>29.071128679922076</v>
      </c>
      <c r="H174" s="104">
        <v>28.69359485163351</v>
      </c>
      <c r="I174" s="104">
        <v>29.436051452389258</v>
      </c>
      <c r="J174" s="104">
        <v>32.701838508070374</v>
      </c>
      <c r="K174" s="104">
        <v>32.958678408394604</v>
      </c>
      <c r="L174" s="104">
        <v>32.617606741002575</v>
      </c>
      <c r="M174" s="104">
        <v>28.705275664272676</v>
      </c>
      <c r="N174" s="104">
        <v>31.845217600582057</v>
      </c>
      <c r="O174" s="76">
        <v>28.991703422178368</v>
      </c>
      <c r="P174" s="76">
        <v>30.242840299699541</v>
      </c>
      <c r="Q174" s="82">
        <v>27.1091229234802</v>
      </c>
      <c r="R174" s="82">
        <v>25.8</v>
      </c>
      <c r="S174" s="82">
        <v>27.638264487182663</v>
      </c>
      <c r="T174" s="82">
        <v>28.332184338785503</v>
      </c>
      <c r="U174" s="83">
        <v>27</v>
      </c>
      <c r="V174" s="78">
        <v>29.254253585832956</v>
      </c>
      <c r="W174" s="78">
        <v>26.714530801724262</v>
      </c>
      <c r="X174" s="78">
        <v>27.414075286415713</v>
      </c>
      <c r="Y174" s="82">
        <v>27.819822276766438</v>
      </c>
      <c r="Z174" s="78">
        <v>27.782503480624811</v>
      </c>
      <c r="AA174" s="78">
        <v>26.706080866774084</v>
      </c>
      <c r="AB174" s="78">
        <v>25.710935397470237</v>
      </c>
      <c r="AC174" s="82">
        <v>26.70545349676819</v>
      </c>
      <c r="AD174" s="78">
        <v>26.026712287841097</v>
      </c>
      <c r="AE174" s="78">
        <v>26.258740630224157</v>
      </c>
      <c r="AF174" s="78">
        <v>24.970460316263168</v>
      </c>
      <c r="AG174" s="82">
        <v>25.729697096960471</v>
      </c>
      <c r="AH174" s="78">
        <v>24.33511952388087</v>
      </c>
      <c r="AI174" s="78">
        <v>24.517103322329142</v>
      </c>
      <c r="AJ174" s="78" t="e">
        <v>#DIV/0!</v>
      </c>
      <c r="AK174" s="76"/>
      <c r="AL174" s="78">
        <v>26.319082680066717</v>
      </c>
    </row>
    <row r="175" spans="1:40">
      <c r="A175" s="103">
        <v>6</v>
      </c>
      <c r="B175" s="100" t="s">
        <v>274</v>
      </c>
      <c r="C175" s="101" t="s">
        <v>271</v>
      </c>
      <c r="D175" s="104">
        <v>75.808300015467609</v>
      </c>
      <c r="E175" s="104">
        <v>74.5</v>
      </c>
      <c r="F175" s="104">
        <v>65</v>
      </c>
      <c r="G175" s="104">
        <v>59.172555981642155</v>
      </c>
      <c r="H175" s="104">
        <v>71.429789476521492</v>
      </c>
      <c r="I175" s="104">
        <v>70.426578849222537</v>
      </c>
      <c r="J175" s="104">
        <v>75.488407339246066</v>
      </c>
      <c r="K175" s="104">
        <v>81.948900452796764</v>
      </c>
      <c r="L175" s="104">
        <v>77.563727493439359</v>
      </c>
      <c r="M175" s="104">
        <v>63.615886249970373</v>
      </c>
      <c r="N175" s="104">
        <v>66.518995838367573</v>
      </c>
      <c r="O175" s="76">
        <v>69.271213928353106</v>
      </c>
      <c r="P175" s="76">
        <v>74.141723399130314</v>
      </c>
      <c r="Q175" s="82">
        <v>64.53</v>
      </c>
      <c r="R175" s="82">
        <v>63.82</v>
      </c>
      <c r="S175" s="82">
        <v>63.15</v>
      </c>
      <c r="T175" s="82">
        <v>64.596801242880701</v>
      </c>
      <c r="U175" s="83">
        <v>63</v>
      </c>
      <c r="V175" s="78">
        <v>68.648334624322231</v>
      </c>
      <c r="W175" s="78">
        <v>63.978634142121884</v>
      </c>
      <c r="X175" s="78">
        <v>67.667361807718706</v>
      </c>
      <c r="Y175" s="82">
        <v>66.838253676052815</v>
      </c>
      <c r="Z175" s="78">
        <v>67.501553695364606</v>
      </c>
      <c r="AA175" s="78">
        <v>65.994468479212387</v>
      </c>
      <c r="AB175" s="78">
        <v>65.172815932129538</v>
      </c>
      <c r="AC175" s="82">
        <v>66.188494818287779</v>
      </c>
      <c r="AD175" s="78">
        <v>67.198983587069662</v>
      </c>
      <c r="AE175" s="78">
        <v>67.397673958764003</v>
      </c>
      <c r="AF175" s="78">
        <v>65.304698695225881</v>
      </c>
      <c r="AG175" s="82">
        <v>66.600171487567152</v>
      </c>
      <c r="AH175" s="78">
        <v>63.110649244667727</v>
      </c>
      <c r="AI175" s="78">
        <v>65.687996066587061</v>
      </c>
      <c r="AJ175" s="78" t="e">
        <v>#DIV/0!</v>
      </c>
      <c r="AK175" s="82"/>
      <c r="AL175" s="78">
        <v>66.140184254738003</v>
      </c>
    </row>
    <row r="176" spans="1:40">
      <c r="A176" s="103"/>
      <c r="B176" s="100" t="s">
        <v>305</v>
      </c>
      <c r="C176" s="101" t="s">
        <v>278</v>
      </c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76"/>
      <c r="P176" s="76">
        <v>4.1000000000000002E-2</v>
      </c>
      <c r="Q176" s="82">
        <v>0</v>
      </c>
      <c r="R176" s="82">
        <v>0</v>
      </c>
      <c r="S176" s="76">
        <v>5.8000000000000003E-2</v>
      </c>
      <c r="T176" s="76">
        <v>1.956</v>
      </c>
      <c r="U176" s="75">
        <v>5.0999999999999996</v>
      </c>
      <c r="V176" s="78">
        <v>1.5792355565052485</v>
      </c>
      <c r="W176" s="78">
        <v>1.5354007179620259</v>
      </c>
      <c r="X176" s="78">
        <v>2.9961459268254051</v>
      </c>
      <c r="Y176" s="78">
        <v>2.0533624235812824</v>
      </c>
      <c r="Z176" s="78">
        <v>5.7460688903316752</v>
      </c>
      <c r="AA176" s="78">
        <v>3.7458291572042985</v>
      </c>
      <c r="AB176" s="95">
        <v>2.3581333059937717</v>
      </c>
      <c r="AC176" s="78">
        <v>3.9020199228560095</v>
      </c>
      <c r="AD176" s="78">
        <v>2.1483988037021078</v>
      </c>
      <c r="AE176" s="78">
        <v>1.7420143445201417</v>
      </c>
      <c r="AF176" s="78">
        <v>2.2966161349523593</v>
      </c>
      <c r="AG176" s="78">
        <v>2.0763557142107198</v>
      </c>
      <c r="AH176" s="78">
        <v>2.4418000465408363</v>
      </c>
      <c r="AI176" s="78">
        <v>2.9289878485636018</v>
      </c>
      <c r="AJ176" s="78" t="e">
        <v>#DIV/0!</v>
      </c>
      <c r="AK176" s="78">
        <v>2.67360467078736</v>
      </c>
      <c r="AL176" s="78">
        <v>2.6834612661815354</v>
      </c>
    </row>
    <row r="177" spans="1:38">
      <c r="A177" s="103">
        <v>7</v>
      </c>
      <c r="B177" s="100" t="s">
        <v>306</v>
      </c>
      <c r="C177" s="101" t="s">
        <v>278</v>
      </c>
      <c r="D177" s="76">
        <v>2.3435778934984461E-3</v>
      </c>
      <c r="E177" s="76">
        <v>0.33</v>
      </c>
      <c r="F177" s="76">
        <v>0.19</v>
      </c>
      <c r="G177" s="76">
        <v>3.4097031057849021E-3</v>
      </c>
      <c r="H177" s="76">
        <v>1.0451637248975052E-2</v>
      </c>
      <c r="I177" s="76">
        <v>3.8279772640024672E-3</v>
      </c>
      <c r="J177" s="76">
        <v>0.11248089013046199</v>
      </c>
      <c r="K177" s="76">
        <v>0</v>
      </c>
      <c r="L177" s="76">
        <v>1.4981485380983334E-2</v>
      </c>
      <c r="M177" s="76">
        <v>3.1480362179715095E-2</v>
      </c>
      <c r="N177" s="76">
        <v>9.0424906636283903E-3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5.0000000000000001E-3</v>
      </c>
      <c r="U177" s="75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  <c r="AF177" s="78">
        <v>0</v>
      </c>
      <c r="AG177" s="78">
        <v>0</v>
      </c>
      <c r="AH177" s="78">
        <v>0</v>
      </c>
      <c r="AI177" s="78">
        <v>0</v>
      </c>
      <c r="AJ177" s="78" t="e">
        <v>#DIV/0!</v>
      </c>
      <c r="AK177" s="78">
        <v>0</v>
      </c>
      <c r="AL177" s="78">
        <v>0</v>
      </c>
    </row>
    <row r="178" spans="1:38">
      <c r="A178" s="103">
        <v>8</v>
      </c>
      <c r="B178" s="100" t="s">
        <v>280</v>
      </c>
      <c r="C178" s="101" t="s">
        <v>278</v>
      </c>
      <c r="D178" s="76">
        <v>0.41657097056934883</v>
      </c>
      <c r="E178" s="76">
        <v>0.36</v>
      </c>
      <c r="F178" s="76">
        <v>0.38</v>
      </c>
      <c r="G178" s="76">
        <v>0.38870615405947884</v>
      </c>
      <c r="H178" s="76">
        <v>0.37130816542411371</v>
      </c>
      <c r="I178" s="76">
        <v>0.32647177522992471</v>
      </c>
      <c r="J178" s="76">
        <v>0.32212837079615875</v>
      </c>
      <c r="K178" s="76">
        <v>0.51440804830056219</v>
      </c>
      <c r="L178" s="76">
        <v>0.34332570664753476</v>
      </c>
      <c r="M178" s="76">
        <v>0.40368935030458175</v>
      </c>
      <c r="N178" s="76">
        <v>0.46707942158665106</v>
      </c>
      <c r="O178" s="76">
        <v>0.25475424443121242</v>
      </c>
      <c r="P178" s="76">
        <v>0.17495150800593315</v>
      </c>
      <c r="Q178" s="76">
        <v>0.51</v>
      </c>
      <c r="R178" s="76">
        <v>5.3573114120087112E-2</v>
      </c>
      <c r="S178" s="76">
        <v>0.22</v>
      </c>
      <c r="T178" s="76">
        <v>0.31465334051500449</v>
      </c>
      <c r="U178" s="77">
        <v>0.34</v>
      </c>
      <c r="V178" s="78">
        <v>0.13355057560298084</v>
      </c>
      <c r="W178" s="78">
        <v>0.23067053039805083</v>
      </c>
      <c r="X178" s="78">
        <v>0.40586558259859562</v>
      </c>
      <c r="Y178" s="76">
        <v>0.25794868298447765</v>
      </c>
      <c r="Z178" s="78">
        <v>1.1526857230151759</v>
      </c>
      <c r="AA178" s="78">
        <v>0.35840702350896336</v>
      </c>
      <c r="AB178" s="78">
        <v>7.0484807320167625E-2</v>
      </c>
      <c r="AC178" s="76">
        <v>0.51014221716328156</v>
      </c>
      <c r="AD178" s="78">
        <v>0.11950399552174501</v>
      </c>
      <c r="AE178" s="78">
        <v>0.23008754111916019</v>
      </c>
      <c r="AF178" s="78">
        <v>0.26397164190361266</v>
      </c>
      <c r="AG178" s="76">
        <v>0.20342275185049083</v>
      </c>
      <c r="AH178" s="78">
        <v>9.2444127088360653E-2</v>
      </c>
      <c r="AI178" s="78">
        <v>0.39158530589309548</v>
      </c>
      <c r="AJ178" s="78" t="e">
        <v>#DIV/0!</v>
      </c>
      <c r="AK178" s="76"/>
      <c r="AL178" s="78">
        <v>0.30847161909966792</v>
      </c>
    </row>
    <row r="179" spans="1:38">
      <c r="A179" s="103">
        <v>9</v>
      </c>
      <c r="B179" s="99" t="s">
        <v>307</v>
      </c>
      <c r="C179" s="101" t="s">
        <v>278</v>
      </c>
      <c r="D179" s="76">
        <v>11.838583729007402</v>
      </c>
      <c r="E179" s="76">
        <v>11.46</v>
      </c>
      <c r="F179" s="76">
        <v>11.8</v>
      </c>
      <c r="G179" s="76">
        <v>12.052732195098665</v>
      </c>
      <c r="H179" s="76">
        <v>12.703139946872678</v>
      </c>
      <c r="I179" s="76">
        <v>10.573420057069672</v>
      </c>
      <c r="J179" s="76">
        <v>10.427981865756962</v>
      </c>
      <c r="K179" s="76">
        <v>10.405415741726815</v>
      </c>
      <c r="L179" s="76">
        <v>11.568203628349298</v>
      </c>
      <c r="M179" s="76">
        <v>14.326898006589396</v>
      </c>
      <c r="N179" s="76">
        <v>14.671093313634616</v>
      </c>
      <c r="O179" s="76">
        <v>14.925978046034945</v>
      </c>
      <c r="P179" s="76">
        <v>14.681664321302248</v>
      </c>
      <c r="Q179" s="76">
        <v>12.773614033122481</v>
      </c>
      <c r="R179" s="76">
        <v>14.474661759482796</v>
      </c>
      <c r="S179" s="76">
        <v>15.09</v>
      </c>
      <c r="T179" s="76">
        <v>13.528099745108943</v>
      </c>
      <c r="U179" s="83">
        <v>9.1</v>
      </c>
      <c r="V179" s="78">
        <v>13.759048051497102</v>
      </c>
      <c r="W179" s="78">
        <v>12.805818664129291</v>
      </c>
      <c r="X179" s="78">
        <v>12.439945092656142</v>
      </c>
      <c r="Y179" s="76">
        <v>13.004249903411287</v>
      </c>
      <c r="Z179" s="78">
        <v>11.124111616086216</v>
      </c>
      <c r="AA179" s="78">
        <v>14.643940066733485</v>
      </c>
      <c r="AB179" s="78">
        <v>16.442183234868192</v>
      </c>
      <c r="AC179" s="76">
        <v>14.149619141147722</v>
      </c>
      <c r="AD179" s="78">
        <v>13.802711482761548</v>
      </c>
      <c r="AE179" s="78">
        <v>15.994139957937122</v>
      </c>
      <c r="AF179" s="78">
        <v>13.437413580712471</v>
      </c>
      <c r="AG179" s="76">
        <v>14.342233625562146</v>
      </c>
      <c r="AH179" s="78">
        <v>15.613494292372085</v>
      </c>
      <c r="AI179" s="78">
        <v>12.91321907705275</v>
      </c>
      <c r="AJ179" s="78" t="e">
        <v>#DIV/0!</v>
      </c>
      <c r="AK179" s="76"/>
      <c r="AL179" s="78">
        <v>13.930572273041362</v>
      </c>
    </row>
    <row r="180" spans="1:38">
      <c r="A180" s="103">
        <v>10</v>
      </c>
      <c r="B180" s="100" t="s">
        <v>282</v>
      </c>
      <c r="C180" s="101" t="s">
        <v>278</v>
      </c>
      <c r="D180" s="76">
        <v>2.058833179438385</v>
      </c>
      <c r="E180" s="76">
        <v>1.94</v>
      </c>
      <c r="F180" s="76">
        <v>1.82</v>
      </c>
      <c r="G180" s="76">
        <v>1.8935217914125491</v>
      </c>
      <c r="H180" s="76">
        <v>1.9082489271944449</v>
      </c>
      <c r="I180" s="76">
        <v>2.0780448004584824</v>
      </c>
      <c r="J180" s="76">
        <v>2.3209085076215046</v>
      </c>
      <c r="K180" s="76">
        <v>2.0655786207980551</v>
      </c>
      <c r="L180" s="76">
        <v>2.0244689271508629</v>
      </c>
      <c r="M180" s="76">
        <v>1.9717817440565075</v>
      </c>
      <c r="N180" s="76">
        <v>1.7253767762407861</v>
      </c>
      <c r="O180" s="76">
        <v>1.7195911499106837</v>
      </c>
      <c r="P180" s="76">
        <v>1.974860228958278</v>
      </c>
      <c r="Q180" s="76">
        <v>1.791660156119474</v>
      </c>
      <c r="R180" s="76">
        <v>1.8949008883215996</v>
      </c>
      <c r="S180" s="76">
        <v>1.9405542060724488</v>
      </c>
      <c r="T180" s="76">
        <v>2.5104944536885996</v>
      </c>
      <c r="U180" s="77">
        <v>2.5</v>
      </c>
      <c r="V180" s="78">
        <v>2.7277705066908839</v>
      </c>
      <c r="W180" s="76">
        <v>2.9086112192379221</v>
      </c>
      <c r="X180" s="76">
        <v>2.7948629956179718</v>
      </c>
      <c r="Y180" s="76">
        <v>2.8078907297561417</v>
      </c>
      <c r="Z180" s="76">
        <v>2.7949156838169174</v>
      </c>
      <c r="AA180" s="76">
        <v>2.9782672130523591</v>
      </c>
      <c r="AB180" s="76">
        <v>2.6752188232881804</v>
      </c>
      <c r="AC180" s="76">
        <v>2.8172522014220625</v>
      </c>
      <c r="AD180" s="76">
        <v>3.3020840867850594</v>
      </c>
      <c r="AE180" s="76">
        <v>2.8851539609210692</v>
      </c>
      <c r="AF180" s="76">
        <v>2.649143977675541</v>
      </c>
      <c r="AG180" s="76">
        <v>2.9480112691829841</v>
      </c>
      <c r="AH180" s="76">
        <v>2.6369209092676833</v>
      </c>
      <c r="AI180" s="76">
        <v>2.7256795673245766</v>
      </c>
      <c r="AJ180" s="76" t="e">
        <v>#DIV/0!</v>
      </c>
      <c r="AK180" s="76"/>
      <c r="AL180" s="76">
        <v>2.8259204424338455</v>
      </c>
    </row>
    <row r="181" spans="1:38">
      <c r="A181" s="103"/>
      <c r="B181" s="100" t="s">
        <v>308</v>
      </c>
      <c r="C181" s="101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>
        <v>10.3</v>
      </c>
      <c r="T181" s="76">
        <v>13.81</v>
      </c>
      <c r="U181" s="77">
        <v>15</v>
      </c>
      <c r="V181" s="78">
        <v>11.28</v>
      </c>
      <c r="W181" s="76">
        <v>9.74</v>
      </c>
      <c r="X181" s="76">
        <v>10.23</v>
      </c>
      <c r="Y181" s="76"/>
      <c r="Z181" s="76">
        <v>5.58</v>
      </c>
      <c r="AA181" s="76">
        <v>5.05</v>
      </c>
      <c r="AB181" s="76">
        <v>5.36</v>
      </c>
      <c r="AC181" s="76"/>
      <c r="AD181" s="76">
        <v>7.32</v>
      </c>
      <c r="AE181" s="76">
        <v>9.2200000000000006</v>
      </c>
      <c r="AF181" s="76">
        <v>14.06</v>
      </c>
      <c r="AG181" s="76"/>
      <c r="AH181" s="76">
        <v>10.01</v>
      </c>
      <c r="AI181" s="76">
        <v>12.43</v>
      </c>
      <c r="AJ181" s="76"/>
      <c r="AK181" s="76"/>
      <c r="AL181" s="76">
        <v>9.1199999999999992</v>
      </c>
    </row>
    <row r="182" spans="1:38">
      <c r="A182" s="103">
        <v>11</v>
      </c>
      <c r="B182" s="100" t="s">
        <v>309</v>
      </c>
      <c r="C182" s="101" t="s">
        <v>278</v>
      </c>
      <c r="D182" s="76">
        <v>8.4280919994937875</v>
      </c>
      <c r="E182" s="76">
        <v>7.9</v>
      </c>
      <c r="F182" s="76">
        <v>7.17</v>
      </c>
      <c r="G182" s="76">
        <v>7.3160862973124718</v>
      </c>
      <c r="H182" s="76">
        <v>7.2270321145807488</v>
      </c>
      <c r="I182" s="76">
        <v>9.81</v>
      </c>
      <c r="J182" s="76">
        <v>11.91</v>
      </c>
      <c r="K182" s="76">
        <v>10.6</v>
      </c>
      <c r="L182" s="76">
        <v>9.93</v>
      </c>
      <c r="M182" s="76">
        <v>11.47</v>
      </c>
      <c r="N182" s="76">
        <v>12.7</v>
      </c>
      <c r="O182" s="76">
        <v>10.7</v>
      </c>
      <c r="P182" s="76">
        <v>8.64</v>
      </c>
      <c r="Q182" s="76">
        <v>8.77</v>
      </c>
      <c r="R182" s="76">
        <v>8.98</v>
      </c>
      <c r="S182" s="76">
        <v>9.32</v>
      </c>
      <c r="T182" s="76">
        <v>8.67</v>
      </c>
      <c r="U182" s="77">
        <v>8.75</v>
      </c>
      <c r="V182" s="78">
        <v>8.3419028286011905</v>
      </c>
      <c r="W182" s="76">
        <v>9.1619451292475809</v>
      </c>
      <c r="X182" s="76">
        <v>7.7345441106594164</v>
      </c>
      <c r="Y182" s="76">
        <v>8.3912865616690535</v>
      </c>
      <c r="Z182" s="76">
        <v>11.22132607465376</v>
      </c>
      <c r="AA182" s="76">
        <v>7.8762956572487024</v>
      </c>
      <c r="AB182" s="76">
        <v>7.5290589637451779</v>
      </c>
      <c r="AC182" s="76">
        <v>8.8103527191017132</v>
      </c>
      <c r="AD182" s="76">
        <v>5.8399715706284336</v>
      </c>
      <c r="AE182" s="76">
        <v>13.32332692203987</v>
      </c>
      <c r="AF182" s="76">
        <v>6.0707506850692612</v>
      </c>
      <c r="AG182" s="76">
        <v>8.1967994820375516</v>
      </c>
      <c r="AH182" s="76">
        <v>8.8291696285977501</v>
      </c>
      <c r="AI182" s="76">
        <v>8.16</v>
      </c>
      <c r="AJ182" s="76" t="e">
        <v>#DIV/0!</v>
      </c>
      <c r="AK182" s="76"/>
      <c r="AL182" s="76">
        <v>8.4700000000000006</v>
      </c>
    </row>
    <row r="183" spans="1:38">
      <c r="A183" s="103">
        <v>12</v>
      </c>
      <c r="B183" s="100" t="s">
        <v>310</v>
      </c>
      <c r="C183" s="101" t="s">
        <v>146</v>
      </c>
      <c r="D183" s="76">
        <v>90.029412137042826</v>
      </c>
      <c r="E183" s="76">
        <v>88.03</v>
      </c>
      <c r="F183" s="76">
        <v>88.1</v>
      </c>
      <c r="G183" s="76">
        <v>88.076151502168258</v>
      </c>
      <c r="H183" s="76">
        <v>88.088909908237952</v>
      </c>
      <c r="I183" s="76">
        <v>88.057388637843289</v>
      </c>
      <c r="J183" s="76">
        <v>88.088161892184445</v>
      </c>
      <c r="K183" s="82">
        <v>88.08646966143057</v>
      </c>
      <c r="L183" s="82">
        <v>88.058020172644532</v>
      </c>
      <c r="M183" s="82">
        <v>88.04131664694502</v>
      </c>
      <c r="N183" s="82">
        <v>88.205389665727338</v>
      </c>
      <c r="O183" s="76">
        <v>88.541591906049049</v>
      </c>
      <c r="P183" s="76">
        <v>88.779064172612649</v>
      </c>
      <c r="Q183" s="76">
        <v>88.975649563012752</v>
      </c>
      <c r="R183" s="76">
        <v>89.342370838218869</v>
      </c>
      <c r="S183" s="76">
        <v>89.579699707360504</v>
      </c>
      <c r="T183" s="76">
        <v>89.821501339653835</v>
      </c>
      <c r="U183" s="77">
        <v>89.68</v>
      </c>
      <c r="V183" s="78">
        <v>90.216088242558598</v>
      </c>
      <c r="W183" s="76">
        <v>90.569954952014101</v>
      </c>
      <c r="X183" s="76">
        <v>90.56829320773663</v>
      </c>
      <c r="Y183" s="76">
        <v>90.448635592784825</v>
      </c>
      <c r="Z183" s="76">
        <v>90.647669942940595</v>
      </c>
      <c r="AA183" s="76">
        <v>90.641306129020208</v>
      </c>
      <c r="AB183" s="76">
        <v>90.65782135886235</v>
      </c>
      <c r="AC183" s="76">
        <v>90.648938867015758</v>
      </c>
      <c r="AD183" s="76">
        <v>90.74411768902587</v>
      </c>
      <c r="AE183" s="76">
        <v>90.826419025041716</v>
      </c>
      <c r="AF183" s="76">
        <v>90.896522568740252</v>
      </c>
      <c r="AG183" s="76">
        <v>90.822150484231429</v>
      </c>
      <c r="AH183" s="76">
        <v>90.968748459461736</v>
      </c>
      <c r="AI183" s="76">
        <v>90.957878394868487</v>
      </c>
      <c r="AJ183" s="76" t="e">
        <v>#DIV/0!</v>
      </c>
      <c r="AK183" s="76"/>
      <c r="AL183" s="76">
        <v>90.700068568320333</v>
      </c>
    </row>
    <row r="184" spans="1:38">
      <c r="A184" s="103">
        <v>13</v>
      </c>
      <c r="B184" s="100" t="s">
        <v>311</v>
      </c>
      <c r="C184" s="101" t="s">
        <v>286</v>
      </c>
      <c r="D184" s="82">
        <v>149.62672043482073</v>
      </c>
      <c r="E184" s="82">
        <v>149.6</v>
      </c>
      <c r="F184" s="82">
        <v>151</v>
      </c>
      <c r="G184" s="82">
        <v>150.98103818103817</v>
      </c>
      <c r="H184" s="82">
        <v>151.11363258520365</v>
      </c>
      <c r="I184" s="82">
        <v>154.18566610455312</v>
      </c>
      <c r="J184" s="82">
        <v>152.96082390953151</v>
      </c>
      <c r="K184" s="79">
        <v>149.26503983438931</v>
      </c>
      <c r="L184" s="79">
        <v>147.85663302978094</v>
      </c>
      <c r="M184" s="79">
        <v>150.28084822173986</v>
      </c>
      <c r="N184" s="79">
        <v>154.37098679265543</v>
      </c>
      <c r="O184" s="79">
        <v>155.02617157974302</v>
      </c>
      <c r="P184" s="79">
        <v>155.73346495557749</v>
      </c>
      <c r="Q184" s="82">
        <v>155.75400247831476</v>
      </c>
      <c r="R184" s="82">
        <v>156.4265951314681</v>
      </c>
      <c r="S184" s="82">
        <v>156.60940460975718</v>
      </c>
      <c r="T184" s="82">
        <v>158.30000000000001</v>
      </c>
      <c r="U184" s="83">
        <v>158</v>
      </c>
      <c r="V184" s="84">
        <v>156.97693920335431</v>
      </c>
      <c r="W184" s="82">
        <v>157.64318181818183</v>
      </c>
      <c r="X184" s="82">
        <v>156.13395157135497</v>
      </c>
      <c r="Y184" s="79">
        <v>156.89427705473346</v>
      </c>
      <c r="Z184" s="82">
        <v>156.87527233115469</v>
      </c>
      <c r="AA184" s="76">
        <v>157.642</v>
      </c>
      <c r="AB184" s="79">
        <v>158.76093591047814</v>
      </c>
      <c r="AC184" s="79">
        <v>157.77852464667356</v>
      </c>
      <c r="AD184" s="79">
        <v>157.65047099652949</v>
      </c>
      <c r="AE184" s="79">
        <v>158.49287749287748</v>
      </c>
      <c r="AF184" s="79">
        <v>158.47410358565736</v>
      </c>
      <c r="AG184" s="79">
        <v>158.19238754325261</v>
      </c>
      <c r="AH184" s="79">
        <v>159.07860040567951</v>
      </c>
      <c r="AI184" s="79">
        <v>158.10105496946142</v>
      </c>
      <c r="AJ184" s="79" t="e">
        <v>#DIV/0!</v>
      </c>
      <c r="AK184" s="79"/>
      <c r="AL184" s="82">
        <v>157.80604846403358</v>
      </c>
    </row>
    <row r="185" spans="1:38">
      <c r="A185" s="103">
        <v>14</v>
      </c>
      <c r="B185" s="100" t="s">
        <v>287</v>
      </c>
      <c r="C185" s="101" t="s">
        <v>288</v>
      </c>
      <c r="D185" s="76">
        <v>2.1800000000000002</v>
      </c>
      <c r="E185" s="76">
        <v>2.1800000000000002</v>
      </c>
      <c r="F185" s="76">
        <v>2.1800000000000002</v>
      </c>
      <c r="G185" s="76">
        <v>2.14</v>
      </c>
      <c r="H185" s="76">
        <v>2.11</v>
      </c>
      <c r="I185" s="76">
        <v>2.12</v>
      </c>
      <c r="J185" s="76">
        <v>2.0699999999999998</v>
      </c>
      <c r="K185" s="76">
        <v>1.38</v>
      </c>
      <c r="L185" s="76">
        <v>1.36</v>
      </c>
      <c r="M185" s="76">
        <v>1.27</v>
      </c>
      <c r="N185" s="76">
        <v>1.24</v>
      </c>
      <c r="O185" s="76">
        <v>1.1399999999999999</v>
      </c>
      <c r="P185" s="76">
        <v>1.07</v>
      </c>
      <c r="Q185" s="76">
        <v>1.02</v>
      </c>
      <c r="R185" s="76">
        <v>1</v>
      </c>
      <c r="S185" s="76">
        <v>1.02</v>
      </c>
      <c r="T185" s="76">
        <v>1.01</v>
      </c>
      <c r="U185" s="97">
        <v>1</v>
      </c>
      <c r="V185" s="105">
        <v>4.1666666666666664E-2</v>
      </c>
      <c r="W185" s="105">
        <v>4.3055555555555562E-2</v>
      </c>
      <c r="X185" s="105">
        <v>4.3055555555555562E-2</v>
      </c>
      <c r="Y185" s="76"/>
      <c r="Z185" s="105">
        <v>4.1666666666666664E-2</v>
      </c>
      <c r="AA185" s="105">
        <v>4.2361111111111106E-2</v>
      </c>
      <c r="AB185" s="105">
        <v>4.1666666666666664E-2</v>
      </c>
      <c r="AC185" s="76"/>
      <c r="AD185" s="105">
        <v>4.2361111111111106E-2</v>
      </c>
      <c r="AE185" s="105">
        <v>4.027777777777778E-2</v>
      </c>
      <c r="AF185" s="105">
        <v>4.5138888888888888E-2</v>
      </c>
      <c r="AG185" s="76"/>
      <c r="AH185" s="105">
        <v>4.2361111111111106E-2</v>
      </c>
      <c r="AI185" s="105">
        <v>4.3055555555555562E-2</v>
      </c>
      <c r="AJ185" s="106">
        <v>4.0972222222222222E-2</v>
      </c>
      <c r="AK185" s="107"/>
      <c r="AL185" s="105">
        <v>4.2361111111111106E-2</v>
      </c>
    </row>
    <row r="186" spans="1:38">
      <c r="A186" s="103">
        <v>15</v>
      </c>
      <c r="B186" s="68" t="s">
        <v>289</v>
      </c>
      <c r="C186" s="101" t="s">
        <v>290</v>
      </c>
      <c r="D186" s="79">
        <v>4000.6666666666665</v>
      </c>
      <c r="E186" s="79">
        <v>4647</v>
      </c>
      <c r="F186" s="79">
        <v>5360</v>
      </c>
      <c r="G186" s="79">
        <v>3525.3333333333335</v>
      </c>
      <c r="H186" s="79">
        <v>5781</v>
      </c>
      <c r="I186" s="79">
        <v>5933.5</v>
      </c>
      <c r="J186" s="79">
        <v>5628</v>
      </c>
      <c r="K186" s="79">
        <v>4635</v>
      </c>
      <c r="L186" s="79">
        <v>5257.5</v>
      </c>
      <c r="M186" s="79">
        <v>5756</v>
      </c>
      <c r="N186" s="79">
        <v>6336.5</v>
      </c>
      <c r="O186" s="79">
        <v>6861</v>
      </c>
      <c r="P186" s="79">
        <v>7583.5</v>
      </c>
      <c r="Q186" s="79">
        <v>5436.75</v>
      </c>
      <c r="R186" s="79">
        <v>5586.333333333333</v>
      </c>
      <c r="S186" s="79" t="s">
        <v>114</v>
      </c>
      <c r="T186" s="79">
        <v>5646.5</v>
      </c>
      <c r="U186" s="75">
        <v>6500</v>
      </c>
      <c r="V186" s="81" t="s">
        <v>114</v>
      </c>
      <c r="W186" s="79">
        <v>6027</v>
      </c>
      <c r="X186" s="79" t="s">
        <v>114</v>
      </c>
      <c r="Y186" s="79">
        <v>6027</v>
      </c>
      <c r="Z186" s="79">
        <v>6764</v>
      </c>
      <c r="AA186" s="79" t="s">
        <v>114</v>
      </c>
      <c r="AB186" s="79" t="s">
        <v>114</v>
      </c>
      <c r="AC186" s="79">
        <v>6764</v>
      </c>
      <c r="AD186" s="79" t="s">
        <v>114</v>
      </c>
      <c r="AE186" s="79">
        <v>6259</v>
      </c>
      <c r="AF186" s="79" t="s">
        <v>114</v>
      </c>
      <c r="AG186" s="79">
        <v>6259</v>
      </c>
      <c r="AH186" s="79" t="s">
        <v>114</v>
      </c>
      <c r="AI186" s="79" t="s">
        <v>114</v>
      </c>
      <c r="AJ186" s="79" t="s">
        <v>114</v>
      </c>
      <c r="AK186" s="79"/>
      <c r="AL186" s="79">
        <v>6350</v>
      </c>
    </row>
    <row r="187" spans="1:38">
      <c r="A187" s="103">
        <v>16</v>
      </c>
      <c r="B187" s="100" t="s">
        <v>312</v>
      </c>
      <c r="C187" s="101" t="s">
        <v>292</v>
      </c>
      <c r="D187" s="79">
        <v>56.433502149060928</v>
      </c>
      <c r="E187" s="79">
        <v>57</v>
      </c>
      <c r="F187" s="76">
        <v>57.28</v>
      </c>
      <c r="G187" s="76">
        <v>56.902620015866482</v>
      </c>
      <c r="H187" s="76">
        <v>56.691605740039179</v>
      </c>
      <c r="I187" s="76">
        <v>56.196401482630279</v>
      </c>
      <c r="J187" s="76">
        <v>56.879954373948792</v>
      </c>
      <c r="K187" s="76">
        <v>57.945952692951352</v>
      </c>
      <c r="L187" s="76">
        <v>57.3</v>
      </c>
      <c r="M187" s="76">
        <v>56.670070249354097</v>
      </c>
      <c r="N187" s="76">
        <v>56.644554299113068</v>
      </c>
      <c r="O187" s="76">
        <v>56.353132044975702</v>
      </c>
      <c r="P187" s="76">
        <v>56.355623803547203</v>
      </c>
      <c r="Q187" s="76">
        <v>56.411864799988031</v>
      </c>
      <c r="R187" s="76">
        <v>56.364273365743649</v>
      </c>
      <c r="S187" s="76">
        <v>56.180907152810768</v>
      </c>
      <c r="T187" s="76">
        <v>55.835431932725371</v>
      </c>
      <c r="U187" s="83">
        <v>55.87</v>
      </c>
      <c r="V187" s="81">
        <v>55.735229306338312</v>
      </c>
      <c r="W187" s="79">
        <v>55.829693064025491</v>
      </c>
      <c r="X187" s="79">
        <v>56.696386146454778</v>
      </c>
      <c r="Y187" s="79">
        <v>56.09600918160951</v>
      </c>
      <c r="Z187" s="79">
        <v>56.333383097877601</v>
      </c>
      <c r="AA187" s="79">
        <v>56.218679032237603</v>
      </c>
      <c r="AB187" s="79">
        <v>56.256423729030772</v>
      </c>
      <c r="AC187" s="79">
        <v>56.267637866753475</v>
      </c>
      <c r="AD187" s="79">
        <v>56.289149351690824</v>
      </c>
      <c r="AE187" s="79">
        <v>56.290054106523343</v>
      </c>
      <c r="AF187" s="79">
        <v>56.306439651054632</v>
      </c>
      <c r="AG187" s="79">
        <v>56.295442017953697</v>
      </c>
      <c r="AH187" s="79">
        <v>56.265034124633807</v>
      </c>
      <c r="AI187" s="79">
        <v>56.263854744679357</v>
      </c>
      <c r="AJ187" s="79" t="e">
        <v>#DIV/0!</v>
      </c>
      <c r="AK187" s="79"/>
      <c r="AL187" s="79">
        <v>56.22909541793446</v>
      </c>
    </row>
    <row r="188" spans="1:38">
      <c r="A188" s="103">
        <v>17</v>
      </c>
      <c r="B188" s="100" t="s">
        <v>313</v>
      </c>
      <c r="C188" s="101" t="s">
        <v>292</v>
      </c>
      <c r="D188" s="82">
        <v>3.3348586119456853</v>
      </c>
      <c r="E188" s="82">
        <v>4</v>
      </c>
      <c r="F188" s="76">
        <v>4.04</v>
      </c>
      <c r="G188" s="76">
        <v>4.0111633679683401</v>
      </c>
      <c r="H188" s="76">
        <v>3.8381162409091383</v>
      </c>
      <c r="I188" s="76">
        <v>3.9659047533634251</v>
      </c>
      <c r="J188" s="76">
        <v>4.0034958849420832</v>
      </c>
      <c r="K188" s="76">
        <v>4.0862112586438624</v>
      </c>
      <c r="L188" s="76">
        <v>4.0116755709402465</v>
      </c>
      <c r="M188" s="76">
        <v>3.9657256630875346</v>
      </c>
      <c r="N188" s="76">
        <v>3.9720740065258959</v>
      </c>
      <c r="O188" s="76">
        <v>3.9730722325796548</v>
      </c>
      <c r="P188" s="76">
        <v>3.9714093738510883</v>
      </c>
      <c r="Q188" s="76">
        <v>3.9661436695045755</v>
      </c>
      <c r="R188" s="76">
        <v>3.9709214207136334</v>
      </c>
      <c r="S188" s="76">
        <v>3.963210514111791</v>
      </c>
      <c r="T188" s="76">
        <v>3.9612566686296082</v>
      </c>
      <c r="U188" s="83">
        <v>4.9000000000000004</v>
      </c>
      <c r="V188" s="81">
        <v>3.9351678730735329</v>
      </c>
      <c r="W188" s="79">
        <v>3.9457275492697836</v>
      </c>
      <c r="X188" s="79">
        <v>3.9615450609788292</v>
      </c>
      <c r="Y188" s="79">
        <v>3.9475807368014362</v>
      </c>
      <c r="Z188" s="79">
        <v>3.9738840300948186</v>
      </c>
      <c r="AA188" s="79">
        <v>3.9685489907511959</v>
      </c>
      <c r="AB188" s="79">
        <v>3.9665004933936512</v>
      </c>
      <c r="AC188" s="79">
        <v>3.9695291070544911</v>
      </c>
      <c r="AD188" s="79">
        <v>3.9656771945493601</v>
      </c>
      <c r="AE188" s="79">
        <v>3.9701964731894086</v>
      </c>
      <c r="AF188" s="79">
        <v>3.9705105965759109</v>
      </c>
      <c r="AG188" s="79">
        <v>3.9687341417747213</v>
      </c>
      <c r="AH188" s="79">
        <v>3.9604020363209789</v>
      </c>
      <c r="AI188" s="79">
        <v>3.9493924281800941</v>
      </c>
      <c r="AJ188" s="79" t="e">
        <v>#DIV/0!</v>
      </c>
      <c r="AK188" s="79"/>
      <c r="AL188" s="79">
        <v>3.9608723172339664</v>
      </c>
    </row>
    <row r="189" spans="1:38">
      <c r="A189" s="103">
        <v>18</v>
      </c>
      <c r="B189" s="100" t="s">
        <v>294</v>
      </c>
      <c r="C189" s="101" t="s">
        <v>295</v>
      </c>
      <c r="D189" s="79">
        <v>3652.9457973291437</v>
      </c>
      <c r="E189" s="79">
        <v>3841</v>
      </c>
      <c r="F189" s="79">
        <v>5097</v>
      </c>
      <c r="G189" s="79">
        <v>5043.8312799452433</v>
      </c>
      <c r="H189" s="79">
        <v>4606.5764344432455</v>
      </c>
      <c r="I189" s="79">
        <v>4677.0649153826726</v>
      </c>
      <c r="J189" s="79">
        <v>4307.5862624959691</v>
      </c>
      <c r="K189" s="79">
        <v>4531.4650319029151</v>
      </c>
      <c r="L189" s="79">
        <v>5392.3199607410133</v>
      </c>
      <c r="M189" s="79">
        <v>5330.3757481711373</v>
      </c>
      <c r="N189" s="79">
        <v>5512.0451023352753</v>
      </c>
      <c r="O189" s="79">
        <v>4794.3940177773593</v>
      </c>
      <c r="P189" s="79">
        <v>5462.3289020187103</v>
      </c>
      <c r="Q189" s="79">
        <v>7369.4169471391806</v>
      </c>
      <c r="R189" s="79">
        <v>6958.7045072168603</v>
      </c>
      <c r="S189" s="79">
        <v>7548.0781931052697</v>
      </c>
      <c r="T189" s="79">
        <v>7489.884967998616</v>
      </c>
      <c r="U189" s="75">
        <v>7480</v>
      </c>
      <c r="V189" s="81">
        <v>7613.0890052356017</v>
      </c>
      <c r="W189" s="79">
        <v>7294.6892655367228</v>
      </c>
      <c r="X189" s="79">
        <v>7589.2949047864131</v>
      </c>
      <c r="Y189" s="79">
        <v>7504.6416503645742</v>
      </c>
      <c r="Z189" s="79">
        <v>7580.5328983143008</v>
      </c>
      <c r="AA189" s="79">
        <v>7321.8781218781223</v>
      </c>
      <c r="AB189" s="79">
        <v>7612.7097102186071</v>
      </c>
      <c r="AC189" s="79">
        <v>7502.272727272727</v>
      </c>
      <c r="AD189" s="79">
        <v>7603.7567968363819</v>
      </c>
      <c r="AE189" s="79">
        <v>7606.2571103526734</v>
      </c>
      <c r="AF189" s="79">
        <v>7604.626865671642</v>
      </c>
      <c r="AG189" s="79">
        <v>7604.817820756346</v>
      </c>
      <c r="AH189" s="79">
        <v>7642.8571428571431</v>
      </c>
      <c r="AI189" s="79">
        <v>7604.1065482796894</v>
      </c>
      <c r="AJ189" s="79" t="e">
        <v>#DIV/0!</v>
      </c>
      <c r="AK189" s="79"/>
      <c r="AL189" s="79">
        <v>7553.1431564910945</v>
      </c>
    </row>
    <row r="190" spans="1:38">
      <c r="A190" s="103">
        <v>19</v>
      </c>
      <c r="B190" s="100" t="s">
        <v>296</v>
      </c>
      <c r="C190" s="53" t="s">
        <v>146</v>
      </c>
      <c r="D190" s="76">
        <v>91.581009336795944</v>
      </c>
      <c r="E190" s="76">
        <v>89.69</v>
      </c>
      <c r="F190" s="76">
        <v>89.58</v>
      </c>
      <c r="G190" s="76">
        <v>89.669811320754718</v>
      </c>
      <c r="H190" s="76">
        <v>89.545289481026444</v>
      </c>
      <c r="I190" s="76">
        <v>89.499419483070824</v>
      </c>
      <c r="J190" s="76">
        <v>89.540989949629846</v>
      </c>
      <c r="K190" s="76">
        <v>89.5684824022225</v>
      </c>
      <c r="L190" s="76">
        <v>89.646691089826973</v>
      </c>
      <c r="M190" s="76">
        <v>89.586619740235491</v>
      </c>
      <c r="N190" s="76">
        <v>89.56</v>
      </c>
      <c r="O190" s="76">
        <v>89.56</v>
      </c>
      <c r="P190" s="76">
        <v>90.148273094172922</v>
      </c>
      <c r="Q190" s="76">
        <v>90.375563364834278</v>
      </c>
      <c r="R190" s="76">
        <v>91.465090432217096</v>
      </c>
      <c r="S190" s="76">
        <v>90.93767694536632</v>
      </c>
      <c r="T190" s="76">
        <v>91.16</v>
      </c>
      <c r="U190" s="77">
        <v>91.9</v>
      </c>
      <c r="V190" s="78">
        <v>91.420328837361495</v>
      </c>
      <c r="W190" s="76">
        <v>92.007447022815441</v>
      </c>
      <c r="X190" s="76">
        <v>91.925645545682585</v>
      </c>
      <c r="Y190" s="76">
        <v>91.77899617475255</v>
      </c>
      <c r="Z190" s="76">
        <v>92.036632245420975</v>
      </c>
      <c r="AA190" s="76">
        <v>91.991232700649519</v>
      </c>
      <c r="AB190" s="76">
        <v>91.992084356157548</v>
      </c>
      <c r="AC190" s="76">
        <v>92.005812516681331</v>
      </c>
      <c r="AD190" s="76">
        <v>92.097530976676396</v>
      </c>
      <c r="AE190" s="76">
        <v>92.155967640431854</v>
      </c>
      <c r="AF190" s="76">
        <v>92.248630031533509</v>
      </c>
      <c r="AG190" s="76">
        <v>92.16784034882302</v>
      </c>
      <c r="AH190" s="76">
        <v>92.311236020165737</v>
      </c>
      <c r="AI190" s="76">
        <v>92.298040668030993</v>
      </c>
      <c r="AJ190" s="76" t="e">
        <v>#DIV/0!</v>
      </c>
      <c r="AK190" s="76"/>
      <c r="AL190" s="76">
        <v>92.043836483012313</v>
      </c>
    </row>
    <row r="191" spans="1:38">
      <c r="A191" s="103">
        <v>20</v>
      </c>
      <c r="B191" s="68" t="s">
        <v>297</v>
      </c>
      <c r="C191" s="74" t="s">
        <v>146</v>
      </c>
      <c r="D191" s="76">
        <v>98.457711672381407</v>
      </c>
      <c r="E191" s="76">
        <v>98.34</v>
      </c>
      <c r="F191" s="76">
        <v>98.4</v>
      </c>
      <c r="G191" s="76">
        <v>98.394539017085705</v>
      </c>
      <c r="H191" s="76">
        <v>98.397992090908005</v>
      </c>
      <c r="I191" s="76">
        <v>98.412339631556875</v>
      </c>
      <c r="J191" s="76">
        <v>98.408035383458511</v>
      </c>
      <c r="K191" s="76">
        <v>98.395279211327249</v>
      </c>
      <c r="L191" s="76">
        <v>98.399662250562741</v>
      </c>
      <c r="M191" s="76">
        <v>98.403765450208553</v>
      </c>
      <c r="N191" s="76">
        <v>98.38</v>
      </c>
      <c r="O191" s="76">
        <v>98.38</v>
      </c>
      <c r="P191" s="76">
        <v>98.547043598062146</v>
      </c>
      <c r="Q191" s="76">
        <v>98.536905827698064</v>
      </c>
      <c r="R191" s="76">
        <v>98.542348565979367</v>
      </c>
      <c r="S191" s="76">
        <v>98.539989729016867</v>
      </c>
      <c r="T191" s="76">
        <v>98.543238154709115</v>
      </c>
      <c r="U191" s="77">
        <v>98.55</v>
      </c>
      <c r="V191" s="78">
        <v>98.441757353255355</v>
      </c>
      <c r="W191" s="76">
        <v>98.477679854902206</v>
      </c>
      <c r="X191" s="76">
        <v>98.540055796531249</v>
      </c>
      <c r="Y191" s="76">
        <v>98.48691720572107</v>
      </c>
      <c r="Z191" s="76">
        <v>98.508805231494307</v>
      </c>
      <c r="AA191" s="76">
        <v>98.55057967435711</v>
      </c>
      <c r="AB191" s="76">
        <v>98.558211500205246</v>
      </c>
      <c r="AC191" s="76">
        <v>98.54003362777371</v>
      </c>
      <c r="AD191" s="76">
        <v>98.550172163181557</v>
      </c>
      <c r="AE191" s="76">
        <v>98.569064434624536</v>
      </c>
      <c r="AF191" s="76">
        <v>98.549701299787245</v>
      </c>
      <c r="AG191" s="76">
        <v>98.555754722980623</v>
      </c>
      <c r="AH191" s="76">
        <v>98.552668782004957</v>
      </c>
      <c r="AI191" s="76">
        <v>98.552550515364018</v>
      </c>
      <c r="AJ191" s="76" t="e">
        <v>#DIV/0!</v>
      </c>
      <c r="AK191" s="76"/>
      <c r="AL191" s="76">
        <v>98.532516737815484</v>
      </c>
    </row>
    <row r="192" spans="1:38">
      <c r="A192" s="64">
        <v>21</v>
      </c>
      <c r="B192" s="99" t="s">
        <v>298</v>
      </c>
      <c r="C192" s="53"/>
      <c r="D192" s="102">
        <v>1.0249999999999999</v>
      </c>
      <c r="E192" s="102">
        <v>1.0469999999999999</v>
      </c>
      <c r="F192" s="102">
        <v>1.0489999999999999</v>
      </c>
      <c r="G192" s="102">
        <v>1.05</v>
      </c>
      <c r="H192" s="102">
        <v>1.0489999999999999</v>
      </c>
      <c r="I192" s="102">
        <v>1.048</v>
      </c>
      <c r="J192" s="102">
        <v>1.046</v>
      </c>
      <c r="K192" s="102">
        <v>1.0462499999999999</v>
      </c>
      <c r="L192" s="102">
        <v>1.0386666666666666</v>
      </c>
      <c r="M192" s="102">
        <v>1.0249999999999999</v>
      </c>
      <c r="N192" s="102">
        <v>1.0054693156990855</v>
      </c>
      <c r="O192" s="102">
        <v>0.99099999999999999</v>
      </c>
      <c r="P192" s="102">
        <v>1.0089999999999999</v>
      </c>
      <c r="Q192" s="102">
        <v>1.0349999999999999</v>
      </c>
      <c r="R192" s="102">
        <v>1.0289999999999999</v>
      </c>
      <c r="S192" s="102">
        <v>1.0209999999999999</v>
      </c>
      <c r="T192" s="102">
        <v>1.027646611522212</v>
      </c>
      <c r="U192" s="93">
        <v>1.0289999999999999</v>
      </c>
      <c r="V192" s="78">
        <v>1.0310838964715938</v>
      </c>
      <c r="W192" s="76">
        <v>1.023012989634243</v>
      </c>
      <c r="X192" s="76">
        <v>1.0292850166305898</v>
      </c>
      <c r="Y192" s="76">
        <v>1.027793967578809</v>
      </c>
      <c r="Z192" s="76">
        <v>1.0207240393996313</v>
      </c>
      <c r="AA192" s="76">
        <v>1.0240418162672384</v>
      </c>
      <c r="AB192" s="76">
        <v>1.022103394804629</v>
      </c>
      <c r="AC192" s="76">
        <v>1.0222897501571662</v>
      </c>
      <c r="AD192" s="76">
        <v>1.0225548067337356</v>
      </c>
      <c r="AE192" s="76">
        <v>1.0195933921734286</v>
      </c>
      <c r="AF192" s="76">
        <v>1.0121175553711943</v>
      </c>
      <c r="AG192" s="76">
        <v>1.0180885847594527</v>
      </c>
      <c r="AH192" s="76">
        <v>1.0188872914827081</v>
      </c>
      <c r="AI192" s="76">
        <v>1.0131277656809721</v>
      </c>
      <c r="AJ192" s="76" t="e">
        <v>#DIV/0!</v>
      </c>
      <c r="AK192" s="76"/>
      <c r="AL192" s="76">
        <v>1.0215095854419531</v>
      </c>
    </row>
    <row r="193" spans="1:44" s="126" customFormat="1" ht="15.75">
      <c r="A193" s="128"/>
      <c r="B193" s="129" t="s">
        <v>452</v>
      </c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>
        <v>2965</v>
      </c>
      <c r="Q193" s="128">
        <v>2344</v>
      </c>
      <c r="R193" s="128">
        <v>2919</v>
      </c>
      <c r="S193" s="128">
        <v>2851</v>
      </c>
      <c r="T193" s="128">
        <v>2991</v>
      </c>
      <c r="U193" s="9"/>
      <c r="V193" s="130">
        <v>284</v>
      </c>
      <c r="W193" s="128">
        <v>253</v>
      </c>
      <c r="X193" s="128">
        <v>304</v>
      </c>
      <c r="Y193" s="128"/>
      <c r="Z193" s="128">
        <v>274</v>
      </c>
      <c r="AA193" s="128">
        <v>293</v>
      </c>
      <c r="AB193" s="128">
        <v>311</v>
      </c>
      <c r="AC193" s="128"/>
      <c r="AD193" s="128">
        <v>288</v>
      </c>
      <c r="AE193" s="128">
        <v>336</v>
      </c>
      <c r="AF193" s="128">
        <v>355</v>
      </c>
      <c r="AG193" s="128"/>
      <c r="AH193" s="128">
        <v>321</v>
      </c>
      <c r="AI193" s="128">
        <v>216</v>
      </c>
      <c r="AJ193" s="128"/>
      <c r="AK193" s="128"/>
      <c r="AL193" s="118">
        <v>3235</v>
      </c>
      <c r="AM193" s="126">
        <f>V193+W193+X193+Z193+AA193+AB193+AD193+AE193+AF193+AH193+AI193</f>
        <v>3235</v>
      </c>
    </row>
    <row r="194" spans="1:44" s="126" customFormat="1" ht="15.75">
      <c r="A194" s="128">
        <v>14</v>
      </c>
      <c r="B194" s="121" t="s">
        <v>441</v>
      </c>
      <c r="C194" s="118" t="s">
        <v>442</v>
      </c>
      <c r="D194" s="122"/>
      <c r="E194" s="122">
        <v>278</v>
      </c>
      <c r="F194" s="122">
        <v>763</v>
      </c>
      <c r="G194" s="122">
        <v>1136</v>
      </c>
      <c r="H194" s="122">
        <v>741</v>
      </c>
      <c r="I194" s="122">
        <v>994</v>
      </c>
      <c r="J194" s="122">
        <v>388</v>
      </c>
      <c r="K194" s="122">
        <v>119</v>
      </c>
      <c r="L194" s="122">
        <v>257</v>
      </c>
      <c r="M194" s="122">
        <v>48</v>
      </c>
      <c r="N194" s="122">
        <v>90</v>
      </c>
      <c r="O194" s="122">
        <v>0</v>
      </c>
      <c r="P194" s="125">
        <v>214</v>
      </c>
      <c r="Q194" s="125">
        <v>1939</v>
      </c>
      <c r="R194" s="125">
        <v>2054</v>
      </c>
      <c r="S194" s="125">
        <v>2815</v>
      </c>
      <c r="T194" s="125">
        <v>2882</v>
      </c>
      <c r="U194" s="131">
        <v>3000</v>
      </c>
      <c r="V194" s="124">
        <v>506</v>
      </c>
      <c r="W194" s="125">
        <v>417</v>
      </c>
      <c r="X194" s="125">
        <v>505</v>
      </c>
      <c r="Y194" s="125">
        <v>1428</v>
      </c>
      <c r="Z194" s="125">
        <v>502</v>
      </c>
      <c r="AA194" s="125">
        <v>521</v>
      </c>
      <c r="AB194" s="125">
        <v>519</v>
      </c>
      <c r="AC194" s="125">
        <v>1542</v>
      </c>
      <c r="AD194" s="125">
        <v>502</v>
      </c>
      <c r="AE194" s="125">
        <v>529</v>
      </c>
      <c r="AF194" s="125">
        <v>540</v>
      </c>
      <c r="AG194" s="125">
        <v>0</v>
      </c>
      <c r="AH194" s="125">
        <v>562</v>
      </c>
      <c r="AI194" s="125">
        <v>455</v>
      </c>
      <c r="AJ194" s="125">
        <v>0</v>
      </c>
      <c r="AK194" s="125"/>
      <c r="AL194" s="125">
        <v>5558</v>
      </c>
    </row>
    <row r="195" spans="1:44" s="126" customFormat="1" ht="15.75">
      <c r="A195" s="128"/>
      <c r="B195" s="121" t="s">
        <v>451</v>
      </c>
      <c r="C195" s="118"/>
      <c r="D195" s="122">
        <v>1770</v>
      </c>
      <c r="E195" s="122">
        <v>1943</v>
      </c>
      <c r="F195" s="122">
        <v>5623</v>
      </c>
      <c r="G195" s="122">
        <v>1839</v>
      </c>
      <c r="H195" s="122">
        <v>2002</v>
      </c>
      <c r="I195" s="122">
        <v>1967</v>
      </c>
      <c r="J195" s="122">
        <v>5808</v>
      </c>
      <c r="K195" s="122">
        <v>2023</v>
      </c>
      <c r="L195" s="122">
        <v>1758</v>
      </c>
      <c r="M195" s="122">
        <v>2010</v>
      </c>
      <c r="N195" s="122">
        <v>5791</v>
      </c>
      <c r="O195" s="122">
        <v>1974</v>
      </c>
      <c r="P195" s="125">
        <v>20310</v>
      </c>
      <c r="Q195" s="125">
        <v>20204</v>
      </c>
      <c r="R195" s="125">
        <v>22586</v>
      </c>
      <c r="S195" s="125">
        <v>22713</v>
      </c>
      <c r="T195" s="125">
        <v>23124</v>
      </c>
      <c r="U195" s="131"/>
      <c r="V195" s="124">
        <v>1910</v>
      </c>
      <c r="W195" s="125">
        <v>1770</v>
      </c>
      <c r="X195" s="125">
        <v>1943</v>
      </c>
      <c r="Y195" s="125"/>
      <c r="Z195" s="132">
        <v>1839</v>
      </c>
      <c r="AA195" s="132">
        <v>2002</v>
      </c>
      <c r="AB195" s="132">
        <v>1967</v>
      </c>
      <c r="AC195" s="125"/>
      <c r="AD195" s="132">
        <v>2023</v>
      </c>
      <c r="AE195" s="127">
        <v>1758</v>
      </c>
      <c r="AF195" s="132">
        <v>2010</v>
      </c>
      <c r="AG195" s="125"/>
      <c r="AH195" s="132">
        <v>1974</v>
      </c>
      <c r="AI195" s="132">
        <v>1802</v>
      </c>
      <c r="AJ195" s="125"/>
      <c r="AK195" s="125"/>
      <c r="AL195" s="125">
        <f>V195+W195+X195+Z195+AA195+AB195+AD195+AE195+AF195+AH195+AI195</f>
        <v>20998</v>
      </c>
    </row>
    <row r="196" spans="1:44">
      <c r="A196" s="108" t="s">
        <v>314</v>
      </c>
      <c r="B196" s="73" t="s">
        <v>315</v>
      </c>
      <c r="C196" s="7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79"/>
      <c r="T196" s="53"/>
      <c r="U196" s="75"/>
      <c r="V196" s="71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</row>
    <row r="197" spans="1:44">
      <c r="A197" s="103">
        <v>1</v>
      </c>
      <c r="B197" s="68" t="s">
        <v>316</v>
      </c>
      <c r="C197" s="74" t="s">
        <v>317</v>
      </c>
      <c r="D197" s="53">
        <v>13239</v>
      </c>
      <c r="E197" s="53">
        <v>17738</v>
      </c>
      <c r="F197" s="53">
        <v>16483</v>
      </c>
      <c r="G197" s="53">
        <v>9763</v>
      </c>
      <c r="H197" s="53">
        <v>12660</v>
      </c>
      <c r="I197" s="53">
        <v>3264</v>
      </c>
      <c r="J197" s="53">
        <v>3273</v>
      </c>
      <c r="K197" s="53">
        <v>1168</v>
      </c>
      <c r="L197" s="53">
        <v>849</v>
      </c>
      <c r="M197" s="53">
        <v>1400</v>
      </c>
      <c r="N197" s="53">
        <v>0</v>
      </c>
      <c r="O197" s="53">
        <v>60</v>
      </c>
      <c r="P197" s="53">
        <v>48</v>
      </c>
      <c r="Q197" s="53">
        <v>0</v>
      </c>
      <c r="R197" s="53">
        <v>34</v>
      </c>
      <c r="S197" s="53">
        <v>0</v>
      </c>
      <c r="T197" s="53">
        <v>24</v>
      </c>
      <c r="U197" s="75">
        <v>0</v>
      </c>
      <c r="V197" s="71">
        <v>0</v>
      </c>
      <c r="W197" s="53">
        <v>0</v>
      </c>
      <c r="X197" s="53">
        <v>0</v>
      </c>
      <c r="Y197" s="53">
        <v>0</v>
      </c>
      <c r="Z197" s="53">
        <v>0</v>
      </c>
      <c r="AA197" s="53">
        <v>0</v>
      </c>
      <c r="AB197" s="53">
        <v>0</v>
      </c>
      <c r="AC197" s="53">
        <v>0</v>
      </c>
      <c r="AD197" s="53">
        <v>0</v>
      </c>
      <c r="AE197" s="53">
        <v>0</v>
      </c>
      <c r="AF197" s="53">
        <v>0</v>
      </c>
      <c r="AG197" s="53">
        <v>0</v>
      </c>
      <c r="AH197" s="53">
        <v>0</v>
      </c>
      <c r="AI197" s="53">
        <v>0</v>
      </c>
      <c r="AJ197" s="53">
        <v>0</v>
      </c>
      <c r="AK197" s="53"/>
      <c r="AL197" s="53">
        <v>0</v>
      </c>
    </row>
    <row r="198" spans="1:44">
      <c r="A198" s="103">
        <v>2</v>
      </c>
      <c r="B198" s="68" t="s">
        <v>318</v>
      </c>
      <c r="C198" s="74" t="s">
        <v>317</v>
      </c>
      <c r="D198" s="53">
        <v>120083</v>
      </c>
      <c r="E198" s="53">
        <v>120044</v>
      </c>
      <c r="F198" s="53">
        <v>114767</v>
      </c>
      <c r="G198" s="53">
        <v>124808</v>
      </c>
      <c r="H198" s="53">
        <v>115429</v>
      </c>
      <c r="I198" s="53">
        <v>117336</v>
      </c>
      <c r="J198" s="53">
        <v>119527</v>
      </c>
      <c r="K198" s="53">
        <v>128847</v>
      </c>
      <c r="L198" s="53">
        <v>102308</v>
      </c>
      <c r="M198" s="53">
        <v>94182</v>
      </c>
      <c r="N198" s="53">
        <v>96485</v>
      </c>
      <c r="O198" s="53">
        <v>160078</v>
      </c>
      <c r="P198" s="53">
        <v>167340</v>
      </c>
      <c r="Q198" s="53">
        <v>118881</v>
      </c>
      <c r="R198" s="53">
        <v>143595</v>
      </c>
      <c r="S198" s="53">
        <v>134590</v>
      </c>
      <c r="T198" s="53">
        <v>206675</v>
      </c>
      <c r="U198" s="75">
        <v>200000</v>
      </c>
      <c r="V198" s="71">
        <v>15334</v>
      </c>
      <c r="W198" s="53">
        <v>19668</v>
      </c>
      <c r="X198" s="53">
        <v>15718</v>
      </c>
      <c r="Y198" s="53">
        <v>50720</v>
      </c>
      <c r="Z198" s="53">
        <v>16898</v>
      </c>
      <c r="AA198" s="53">
        <v>20024</v>
      </c>
      <c r="AB198" s="53">
        <v>12998</v>
      </c>
      <c r="AC198" s="53">
        <v>49920</v>
      </c>
      <c r="AD198" s="53">
        <v>21573</v>
      </c>
      <c r="AE198" s="53">
        <v>17520</v>
      </c>
      <c r="AF198" s="53">
        <v>23670</v>
      </c>
      <c r="AG198" s="53">
        <v>62763</v>
      </c>
      <c r="AH198" s="53">
        <v>19495</v>
      </c>
      <c r="AI198" s="53">
        <v>19456</v>
      </c>
      <c r="AJ198" s="53">
        <v>0</v>
      </c>
      <c r="AK198" s="53"/>
      <c r="AL198" s="53">
        <v>202354</v>
      </c>
    </row>
    <row r="199" spans="1:44">
      <c r="A199" s="103">
        <v>3</v>
      </c>
      <c r="B199" s="68" t="s">
        <v>319</v>
      </c>
      <c r="C199" s="74" t="s">
        <v>317</v>
      </c>
      <c r="D199" s="53">
        <v>39936</v>
      </c>
      <c r="E199" s="53">
        <v>40841</v>
      </c>
      <c r="F199" s="53">
        <v>31017</v>
      </c>
      <c r="G199" s="53">
        <v>28158</v>
      </c>
      <c r="H199" s="53">
        <v>29078</v>
      </c>
      <c r="I199" s="53">
        <v>11303</v>
      </c>
      <c r="J199" s="53">
        <v>19088</v>
      </c>
      <c r="K199" s="53">
        <v>8285</v>
      </c>
      <c r="L199" s="53">
        <v>12608</v>
      </c>
      <c r="M199" s="53">
        <v>10432</v>
      </c>
      <c r="N199" s="53">
        <v>4348</v>
      </c>
      <c r="O199" s="53">
        <v>11356</v>
      </c>
      <c r="P199" s="53">
        <v>1621</v>
      </c>
      <c r="Q199" s="53">
        <v>0</v>
      </c>
      <c r="R199" s="53">
        <v>0</v>
      </c>
      <c r="S199" s="53">
        <v>0</v>
      </c>
      <c r="T199" s="53">
        <v>0</v>
      </c>
      <c r="U199" s="75">
        <v>12000</v>
      </c>
      <c r="V199" s="71">
        <v>0</v>
      </c>
      <c r="W199" s="53">
        <v>0</v>
      </c>
      <c r="X199" s="53">
        <v>0</v>
      </c>
      <c r="Y199" s="53">
        <v>0</v>
      </c>
      <c r="Z199" s="53">
        <v>0</v>
      </c>
      <c r="AA199" s="53">
        <v>0</v>
      </c>
      <c r="AB199" s="53">
        <v>0</v>
      </c>
      <c r="AC199" s="53">
        <v>0</v>
      </c>
      <c r="AD199" s="53">
        <v>0</v>
      </c>
      <c r="AE199" s="53">
        <v>0</v>
      </c>
      <c r="AF199" s="53">
        <v>0</v>
      </c>
      <c r="AG199" s="53">
        <v>0</v>
      </c>
      <c r="AH199" s="53">
        <v>0</v>
      </c>
      <c r="AI199" s="53">
        <v>0</v>
      </c>
      <c r="AJ199" s="53">
        <v>0</v>
      </c>
      <c r="AK199" s="53"/>
      <c r="AL199" s="53">
        <v>0</v>
      </c>
    </row>
    <row r="200" spans="1:44">
      <c r="A200" s="103">
        <v>4</v>
      </c>
      <c r="B200" s="68" t="s">
        <v>320</v>
      </c>
      <c r="C200" s="74" t="s">
        <v>317</v>
      </c>
      <c r="D200" s="53"/>
      <c r="E200" s="53"/>
      <c r="F200" s="53"/>
      <c r="G200" s="53"/>
      <c r="H200" s="53"/>
      <c r="I200" s="53">
        <v>320</v>
      </c>
      <c r="J200" s="53">
        <v>0</v>
      </c>
      <c r="K200" s="53">
        <v>13414</v>
      </c>
      <c r="L200" s="53">
        <v>9595</v>
      </c>
      <c r="M200" s="53">
        <v>11354</v>
      </c>
      <c r="N200" s="53">
        <v>11430</v>
      </c>
      <c r="O200" s="53">
        <v>12030</v>
      </c>
      <c r="P200" s="53">
        <v>10986</v>
      </c>
      <c r="Q200" s="53">
        <v>12493</v>
      </c>
      <c r="R200" s="53">
        <v>22126</v>
      </c>
      <c r="S200" s="53">
        <v>18528</v>
      </c>
      <c r="T200" s="53">
        <v>11809</v>
      </c>
      <c r="U200" s="75">
        <v>12000</v>
      </c>
      <c r="V200" s="71">
        <v>268</v>
      </c>
      <c r="W200" s="53">
        <v>451</v>
      </c>
      <c r="X200" s="53">
        <v>156</v>
      </c>
      <c r="Y200" s="53">
        <v>875</v>
      </c>
      <c r="Z200" s="53">
        <v>1266</v>
      </c>
      <c r="AA200" s="53">
        <v>2901</v>
      </c>
      <c r="AB200" s="53">
        <v>0</v>
      </c>
      <c r="AC200" s="53">
        <v>4167</v>
      </c>
      <c r="AD200" s="53">
        <v>811</v>
      </c>
      <c r="AE200" s="53">
        <v>816</v>
      </c>
      <c r="AF200" s="53">
        <v>1247</v>
      </c>
      <c r="AG200" s="53">
        <v>2874</v>
      </c>
      <c r="AH200" s="53">
        <v>2197</v>
      </c>
      <c r="AI200" s="53">
        <v>864</v>
      </c>
      <c r="AJ200" s="53">
        <v>0</v>
      </c>
      <c r="AK200" s="53"/>
      <c r="AL200" s="53">
        <v>10977</v>
      </c>
    </row>
    <row r="201" spans="1:44">
      <c r="A201" s="103">
        <v>5</v>
      </c>
      <c r="B201" s="68" t="s">
        <v>321</v>
      </c>
      <c r="C201" s="74" t="s">
        <v>146</v>
      </c>
      <c r="D201" s="76">
        <v>89.351072051833725</v>
      </c>
      <c r="E201" s="76">
        <v>89.57</v>
      </c>
      <c r="F201" s="76">
        <v>89.91</v>
      </c>
      <c r="G201" s="76">
        <v>89.46945257233601</v>
      </c>
      <c r="H201" s="76">
        <v>90.136780487804884</v>
      </c>
      <c r="I201" s="76">
        <v>90.411530789958633</v>
      </c>
      <c r="J201" s="76">
        <v>90.398324885601028</v>
      </c>
      <c r="K201" s="76">
        <v>90.423837677362513</v>
      </c>
      <c r="L201" s="76">
        <v>90.435477571858229</v>
      </c>
      <c r="M201" s="76">
        <v>90.158884992036519</v>
      </c>
      <c r="N201" s="76">
        <v>92.294291840213702</v>
      </c>
      <c r="O201" s="76">
        <v>92.37571156768108</v>
      </c>
      <c r="P201" s="76">
        <v>92.0134194582144</v>
      </c>
      <c r="Q201" s="76">
        <v>92.11</v>
      </c>
      <c r="R201" s="76">
        <v>93.42</v>
      </c>
      <c r="S201" s="76">
        <v>92.442454902965537</v>
      </c>
      <c r="T201" s="76">
        <v>92.613460156757142</v>
      </c>
      <c r="U201" s="83">
        <v>90</v>
      </c>
      <c r="V201" s="78">
        <v>92.553971027563279</v>
      </c>
      <c r="W201" s="78">
        <v>92.508505330006813</v>
      </c>
      <c r="X201" s="78">
        <v>93.995178060173785</v>
      </c>
      <c r="Y201" s="76">
        <v>93.017840690175063</v>
      </c>
      <c r="Z201" s="76">
        <v>92.533345452066612</v>
      </c>
      <c r="AA201" s="76">
        <v>92.896093383887873</v>
      </c>
      <c r="AB201" s="76">
        <v>92.6982445520581</v>
      </c>
      <c r="AC201" s="76">
        <v>92.71554771823115</v>
      </c>
      <c r="AD201" s="76">
        <v>92.66603714195783</v>
      </c>
      <c r="AE201" s="76">
        <v>91.281298425903273</v>
      </c>
      <c r="AF201" s="76">
        <v>91.700782295002227</v>
      </c>
      <c r="AG201" s="76">
        <v>91.911364976302224</v>
      </c>
      <c r="AH201" s="76">
        <v>91.328589404260867</v>
      </c>
      <c r="AI201" s="76">
        <v>91.797121060121782</v>
      </c>
      <c r="AJ201" s="76" t="e">
        <v>#DIV/0!</v>
      </c>
      <c r="AK201" s="76"/>
      <c r="AL201" s="76">
        <v>92.338118539588066</v>
      </c>
    </row>
    <row r="202" spans="1:44">
      <c r="A202" s="103">
        <v>6</v>
      </c>
      <c r="B202" s="68" t="s">
        <v>322</v>
      </c>
      <c r="C202" s="74" t="s">
        <v>146</v>
      </c>
      <c r="D202" s="76">
        <v>92.493643267180275</v>
      </c>
      <c r="E202" s="76">
        <v>92.53</v>
      </c>
      <c r="F202" s="76">
        <v>92.67</v>
      </c>
      <c r="G202" s="76">
        <v>91.845085831201629</v>
      </c>
      <c r="H202" s="76">
        <v>92.608780487804879</v>
      </c>
      <c r="I202" s="76">
        <v>92.727682920143877</v>
      </c>
      <c r="J202" s="76">
        <v>92.716350281051945</v>
      </c>
      <c r="K202" s="76">
        <v>92.740588261667085</v>
      </c>
      <c r="L202" s="76">
        <v>92.674064202342464</v>
      </c>
      <c r="M202" s="76">
        <v>92.561284355768009</v>
      </c>
      <c r="N202" s="76">
        <v>93.732315776524132</v>
      </c>
      <c r="O202" s="76">
        <v>93.548708496276191</v>
      </c>
      <c r="P202" s="76">
        <v>93.60626479824316</v>
      </c>
      <c r="Q202" s="76">
        <v>93.92</v>
      </c>
      <c r="R202" s="76">
        <v>93.92</v>
      </c>
      <c r="S202" s="76">
        <v>94.633072206014219</v>
      </c>
      <c r="T202" s="76">
        <v>95.270703673525986</v>
      </c>
      <c r="U202" s="83">
        <v>94.2</v>
      </c>
      <c r="V202" s="78">
        <v>94.37348693547041</v>
      </c>
      <c r="W202" s="78">
        <v>94.934182495010432</v>
      </c>
      <c r="X202" s="78">
        <v>95.867297638809745</v>
      </c>
      <c r="Y202" s="78">
        <v>95.773515369796471</v>
      </c>
      <c r="Z202" s="78">
        <v>95.081411892233689</v>
      </c>
      <c r="AA202" s="78">
        <v>95.059700549624111</v>
      </c>
      <c r="AB202" s="78">
        <v>95.450816615705875</v>
      </c>
      <c r="AC202" s="78">
        <v>95.404942625674053</v>
      </c>
      <c r="AD202" s="78">
        <v>95.177106263758262</v>
      </c>
      <c r="AE202" s="78">
        <v>94.009291270527228</v>
      </c>
      <c r="AF202" s="78">
        <v>93.992698973042366</v>
      </c>
      <c r="AG202" s="78">
        <v>94.644839705060363</v>
      </c>
      <c r="AH202" s="78">
        <v>93.796296296296305</v>
      </c>
      <c r="AI202" s="78">
        <v>94.43556049966395</v>
      </c>
      <c r="AJ202" s="78" t="e">
        <v>#DIV/0!</v>
      </c>
      <c r="AK202" s="78">
        <v>94.105017030700225</v>
      </c>
      <c r="AL202" s="78">
        <v>94.715557397286716</v>
      </c>
    </row>
    <row r="203" spans="1:44">
      <c r="A203" s="103">
        <v>7</v>
      </c>
      <c r="B203" s="86" t="s">
        <v>323</v>
      </c>
      <c r="C203" s="74" t="s">
        <v>317</v>
      </c>
      <c r="D203" s="76">
        <v>4.9816660883591384</v>
      </c>
      <c r="E203" s="76">
        <v>4.82</v>
      </c>
      <c r="F203" s="76">
        <v>4.82</v>
      </c>
      <c r="G203" s="76">
        <v>4.8356694520389691</v>
      </c>
      <c r="H203" s="76">
        <v>4.9344596784958332</v>
      </c>
      <c r="I203" s="76">
        <v>4.7889728910255132</v>
      </c>
      <c r="J203" s="76">
        <v>4.8704635139650172</v>
      </c>
      <c r="K203" s="76">
        <v>4.9265203186794295</v>
      </c>
      <c r="L203" s="76">
        <v>4.8762151083349599</v>
      </c>
      <c r="M203" s="76">
        <v>4.8016257967464782</v>
      </c>
      <c r="N203" s="76">
        <v>4.7814688771634044</v>
      </c>
      <c r="O203" s="76">
        <v>5.0219900097605787</v>
      </c>
      <c r="P203" s="76">
        <v>4.9795735149020901</v>
      </c>
      <c r="Q203" s="76">
        <v>4.74</v>
      </c>
      <c r="R203" s="76">
        <v>5</v>
      </c>
      <c r="S203" s="76">
        <v>5.0999999999999996</v>
      </c>
      <c r="T203" s="76">
        <v>5.2564721987357572</v>
      </c>
      <c r="U203" s="83">
        <v>5.2</v>
      </c>
      <c r="V203" s="76">
        <v>5.2052433371958289</v>
      </c>
      <c r="W203" s="76">
        <v>5.2234977158252311</v>
      </c>
      <c r="X203" s="76">
        <v>5.2731904886333947</v>
      </c>
      <c r="Y203" s="76">
        <v>5.2345096341199397</v>
      </c>
      <c r="Z203" s="76">
        <v>5.0950408468530668</v>
      </c>
      <c r="AA203" s="76">
        <v>4.9270595559244654</v>
      </c>
      <c r="AB203" s="76">
        <v>5.0343532945372633</v>
      </c>
      <c r="AC203" s="76">
        <v>5.0129354075076087</v>
      </c>
      <c r="AD203" s="76">
        <v>5.098401541775309</v>
      </c>
      <c r="AE203" s="76">
        <v>5.1223021582733814</v>
      </c>
      <c r="AF203" s="76">
        <v>4.9598089932351774</v>
      </c>
      <c r="AG203" s="76">
        <v>5.0516455308225741</v>
      </c>
      <c r="AH203" s="76">
        <v>4.9557144381602818</v>
      </c>
      <c r="AI203" s="76">
        <v>5.3178456987922109</v>
      </c>
      <c r="AJ203" s="76" t="e">
        <v>#DIV/0!</v>
      </c>
      <c r="AK203" s="76"/>
      <c r="AL203" s="76">
        <v>5.1022172531742251</v>
      </c>
      <c r="AR203" s="76">
        <v>4.9598089932351774</v>
      </c>
    </row>
    <row r="204" spans="1:44">
      <c r="A204" s="103">
        <v>8</v>
      </c>
      <c r="B204" s="68" t="s">
        <v>324</v>
      </c>
      <c r="C204" s="74" t="s">
        <v>146</v>
      </c>
      <c r="D204" s="76">
        <v>83.999316939890718</v>
      </c>
      <c r="E204" s="76">
        <v>85.21</v>
      </c>
      <c r="F204" s="76">
        <v>85.35</v>
      </c>
      <c r="G204" s="76">
        <v>90.456621004566202</v>
      </c>
      <c r="H204" s="76">
        <v>89.651639344262293</v>
      </c>
      <c r="I204" s="76">
        <v>86.912100456621005</v>
      </c>
      <c r="J204" s="76">
        <v>90.045662100456624</v>
      </c>
      <c r="K204" s="76">
        <v>89.029680365296798</v>
      </c>
      <c r="L204" s="76">
        <v>89.89071038251366</v>
      </c>
      <c r="M204" s="76">
        <v>87.340182648401836</v>
      </c>
      <c r="N204" s="76">
        <v>89.041095890410958</v>
      </c>
      <c r="O204" s="76">
        <v>87.248858447488587</v>
      </c>
      <c r="P204" s="76">
        <v>87.522768670309659</v>
      </c>
      <c r="Q204" s="76">
        <v>91.232876712328775</v>
      </c>
      <c r="R204" s="76">
        <v>91.11</v>
      </c>
      <c r="S204" s="76">
        <v>74.984931506849321</v>
      </c>
      <c r="T204" s="76">
        <v>85.006830601092901</v>
      </c>
      <c r="U204" s="83">
        <v>90</v>
      </c>
      <c r="V204" s="78">
        <v>72.5</v>
      </c>
      <c r="W204" s="76">
        <v>82.123655913978496</v>
      </c>
      <c r="X204" s="76">
        <v>79.444444444444443</v>
      </c>
      <c r="Y204" s="76">
        <v>78.067765567765562</v>
      </c>
      <c r="Z204" s="76">
        <v>82.930107526881727</v>
      </c>
      <c r="AA204" s="76">
        <v>88.575268817204304</v>
      </c>
      <c r="AB204" s="76">
        <v>53.055555555555557</v>
      </c>
      <c r="AC204" s="76">
        <v>75.090579710144922</v>
      </c>
      <c r="AD204" s="76">
        <v>85.215053763440864</v>
      </c>
      <c r="AE204" s="76">
        <v>82.222222222222214</v>
      </c>
      <c r="AF204" s="76">
        <v>90.86021505376344</v>
      </c>
      <c r="AG204" s="76">
        <v>86.141304347826093</v>
      </c>
      <c r="AH204" s="76">
        <v>88.44086021505376</v>
      </c>
      <c r="AI204" s="76">
        <v>84.672619047619051</v>
      </c>
      <c r="AJ204" s="76" t="e">
        <v>#DIV/0!</v>
      </c>
      <c r="AK204" s="76"/>
      <c r="AL204" s="76">
        <v>80.988023952095816</v>
      </c>
    </row>
    <row r="205" spans="1:44">
      <c r="A205" s="103">
        <v>9</v>
      </c>
      <c r="B205" s="86" t="s">
        <v>325</v>
      </c>
      <c r="C205" s="74" t="s">
        <v>146</v>
      </c>
      <c r="D205" s="76">
        <v>86.608931354611357</v>
      </c>
      <c r="E205" s="76">
        <v>85.99</v>
      </c>
      <c r="F205" s="76">
        <v>83.82</v>
      </c>
      <c r="G205" s="76">
        <v>84.457849570923784</v>
      </c>
      <c r="H205" s="76">
        <v>87.397714285714272</v>
      </c>
      <c r="I205" s="76">
        <v>85.803769619754391</v>
      </c>
      <c r="J205" s="76">
        <v>86.936992900608516</v>
      </c>
      <c r="K205" s="76">
        <v>85.942941402743941</v>
      </c>
      <c r="L205" s="76">
        <v>83.881332320162116</v>
      </c>
      <c r="M205" s="76">
        <v>86.40047052672854</v>
      </c>
      <c r="N205" s="76">
        <v>83.131923076923087</v>
      </c>
      <c r="O205" s="76">
        <v>85.847834619913641</v>
      </c>
      <c r="P205" s="76">
        <v>86.526404786680544</v>
      </c>
      <c r="Q205" s="76">
        <v>66.817942942942949</v>
      </c>
      <c r="R205" s="76">
        <v>89.337744907227204</v>
      </c>
      <c r="S205" s="76">
        <v>81.60132629386726</v>
      </c>
      <c r="T205" s="76">
        <v>89.454131511986063</v>
      </c>
      <c r="U205" s="83">
        <v>89</v>
      </c>
      <c r="V205" s="78">
        <v>90.473180076628353</v>
      </c>
      <c r="W205" s="76">
        <v>91.222585924713584</v>
      </c>
      <c r="X205" s="76">
        <v>89.16083916083916</v>
      </c>
      <c r="Y205" s="76">
        <v>90.30146627565982</v>
      </c>
      <c r="Z205" s="76">
        <v>90.029173419773102</v>
      </c>
      <c r="AA205" s="76">
        <v>90.456752655538693</v>
      </c>
      <c r="AB205" s="76">
        <v>89.282722513089013</v>
      </c>
      <c r="AC205" s="76">
        <v>90.027141133896265</v>
      </c>
      <c r="AD205" s="76">
        <v>90.337539432176655</v>
      </c>
      <c r="AE205" s="76">
        <v>79.594594594594597</v>
      </c>
      <c r="AF205" s="76">
        <v>91.633136094674555</v>
      </c>
      <c r="AG205" s="76">
        <v>87.454258675078862</v>
      </c>
      <c r="AH205" s="76">
        <v>89.720364741641333</v>
      </c>
      <c r="AI205" s="76">
        <v>91.950790861159931</v>
      </c>
      <c r="AJ205" s="76" t="e">
        <v>#DIV/0!</v>
      </c>
      <c r="AK205" s="76"/>
      <c r="AL205" s="76">
        <v>89.482902033271714</v>
      </c>
    </row>
    <row r="206" spans="1:44">
      <c r="A206" s="103">
        <v>10</v>
      </c>
      <c r="B206" s="68" t="s">
        <v>326</v>
      </c>
      <c r="C206" s="74" t="s">
        <v>327</v>
      </c>
      <c r="D206" s="79">
        <v>76.648869248439865</v>
      </c>
      <c r="E206" s="79">
        <v>73.099999999999994</v>
      </c>
      <c r="F206" s="79">
        <v>73</v>
      </c>
      <c r="G206" s="79">
        <v>68.91208587600336</v>
      </c>
      <c r="H206" s="79">
        <v>69.428280424318245</v>
      </c>
      <c r="I206" s="79">
        <v>67.786831418087857</v>
      </c>
      <c r="J206" s="79">
        <v>72.941951910219188</v>
      </c>
      <c r="K206" s="79">
        <v>71.244082599672666</v>
      </c>
      <c r="L206" s="79">
        <v>69.823214212918998</v>
      </c>
      <c r="M206" s="79">
        <v>69.590348687693819</v>
      </c>
      <c r="N206" s="79">
        <v>66.332474334121386</v>
      </c>
      <c r="O206" s="76">
        <v>74.706577152567689</v>
      </c>
      <c r="P206" s="76">
        <v>78.771224341002522</v>
      </c>
      <c r="Q206" s="76">
        <v>78.312537803669969</v>
      </c>
      <c r="R206" s="76">
        <v>79.468894420835227</v>
      </c>
      <c r="S206" s="76">
        <v>73.207366239251655</v>
      </c>
      <c r="T206" s="76">
        <v>74.37982256263156</v>
      </c>
      <c r="U206" s="83">
        <v>73.5</v>
      </c>
      <c r="V206" s="78">
        <v>76.094183412031256</v>
      </c>
      <c r="W206" s="78">
        <v>80.006100077148034</v>
      </c>
      <c r="X206" s="78">
        <v>79.139215686274511</v>
      </c>
      <c r="Y206" s="76">
        <v>74.655114182536181</v>
      </c>
      <c r="Z206" s="78">
        <v>79.716641463239</v>
      </c>
      <c r="AA206" s="78">
        <v>79.661471875996043</v>
      </c>
      <c r="AB206" s="78">
        <v>78.631325866416461</v>
      </c>
      <c r="AC206" s="76">
        <v>75.598432318359954</v>
      </c>
      <c r="AD206" s="78">
        <v>78.522540768935286</v>
      </c>
      <c r="AE206" s="78">
        <v>78.573853989813244</v>
      </c>
      <c r="AF206" s="78">
        <v>80.485599896680867</v>
      </c>
      <c r="AG206" s="76">
        <v>74.8301650855487</v>
      </c>
      <c r="AH206" s="78">
        <v>78.66386611559048</v>
      </c>
      <c r="AI206" s="78">
        <v>82.471330275229349</v>
      </c>
      <c r="AJ206" s="78" t="e">
        <v>#DIV/0!</v>
      </c>
      <c r="AK206" s="76"/>
      <c r="AL206" s="78">
        <v>79.342529044296754</v>
      </c>
    </row>
    <row r="207" spans="1:44">
      <c r="A207" s="72"/>
      <c r="B207" s="68"/>
      <c r="C207" s="53"/>
      <c r="D207" s="102"/>
      <c r="E207" s="102"/>
      <c r="F207" s="102"/>
      <c r="G207" s="102"/>
      <c r="H207" s="102"/>
      <c r="I207" s="102"/>
      <c r="J207" s="102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135" t="s">
        <v>143</v>
      </c>
      <c r="V207" s="71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 t="s">
        <v>328</v>
      </c>
    </row>
    <row r="208" spans="1:44">
      <c r="A208" s="103"/>
      <c r="B208" s="68"/>
      <c r="C208" s="74" t="s">
        <v>118</v>
      </c>
      <c r="D208" s="53" t="s">
        <v>119</v>
      </c>
      <c r="E208" s="54" t="s">
        <v>120</v>
      </c>
      <c r="F208" s="54" t="s">
        <v>121</v>
      </c>
      <c r="G208" s="54" t="s">
        <v>122</v>
      </c>
      <c r="H208" s="54" t="s">
        <v>123</v>
      </c>
      <c r="I208" s="53" t="s">
        <v>124</v>
      </c>
      <c r="J208" s="53" t="s">
        <v>125</v>
      </c>
      <c r="K208" s="53" t="s">
        <v>126</v>
      </c>
      <c r="L208" s="53" t="s">
        <v>127</v>
      </c>
      <c r="M208" s="53" t="s">
        <v>128</v>
      </c>
      <c r="N208" s="53" t="s">
        <v>129</v>
      </c>
      <c r="O208" s="53" t="s">
        <v>130</v>
      </c>
      <c r="P208" s="53" t="s">
        <v>131</v>
      </c>
      <c r="Q208" s="53" t="s">
        <v>132</v>
      </c>
      <c r="R208" s="75" t="s">
        <v>133</v>
      </c>
      <c r="S208" s="53" t="s">
        <v>134</v>
      </c>
      <c r="T208" s="53" t="s">
        <v>135</v>
      </c>
      <c r="U208" s="75" t="s">
        <v>136</v>
      </c>
      <c r="V208" s="71" t="s">
        <v>4</v>
      </c>
      <c r="W208" s="53" t="s">
        <v>5</v>
      </c>
      <c r="X208" s="53" t="s">
        <v>6</v>
      </c>
      <c r="Y208" s="53" t="s">
        <v>137</v>
      </c>
      <c r="Z208" s="53" t="s">
        <v>8</v>
      </c>
      <c r="AA208" s="53" t="s">
        <v>9</v>
      </c>
      <c r="AB208" s="53" t="s">
        <v>10</v>
      </c>
      <c r="AC208" s="53" t="s">
        <v>138</v>
      </c>
      <c r="AD208" s="53" t="s">
        <v>12</v>
      </c>
      <c r="AE208" s="53" t="s">
        <v>13</v>
      </c>
      <c r="AF208" s="53" t="s">
        <v>14</v>
      </c>
      <c r="AG208" s="53" t="s">
        <v>139</v>
      </c>
      <c r="AH208" s="53" t="s">
        <v>16</v>
      </c>
      <c r="AI208" s="53" t="s">
        <v>17</v>
      </c>
      <c r="AJ208" s="53" t="s">
        <v>18</v>
      </c>
      <c r="AK208" s="53"/>
      <c r="AL208" s="53" t="s">
        <v>141</v>
      </c>
    </row>
    <row r="209" spans="1:38">
      <c r="A209" s="103"/>
      <c r="B209" s="73" t="s">
        <v>329</v>
      </c>
      <c r="C209" s="74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53"/>
      <c r="R209" s="53"/>
      <c r="S209" s="53"/>
      <c r="T209" s="53"/>
      <c r="U209" s="75"/>
      <c r="V209" s="81"/>
      <c r="W209" s="79"/>
      <c r="X209" s="79"/>
      <c r="Y209" s="79"/>
      <c r="Z209" s="53"/>
      <c r="AA209" s="53"/>
      <c r="AB209" s="53"/>
      <c r="AC209" s="79"/>
      <c r="AD209" s="53"/>
      <c r="AE209" s="53"/>
      <c r="AF209" s="53"/>
      <c r="AG209" s="79"/>
      <c r="AH209" s="53"/>
      <c r="AI209" s="53"/>
      <c r="AJ209" s="53"/>
      <c r="AK209" s="53"/>
      <c r="AL209" s="53"/>
    </row>
    <row r="210" spans="1:38">
      <c r="A210" s="103"/>
      <c r="B210" s="68" t="s">
        <v>316</v>
      </c>
      <c r="C210" s="74" t="s">
        <v>317</v>
      </c>
      <c r="D210" s="79"/>
      <c r="E210" s="79"/>
      <c r="F210" s="79"/>
      <c r="G210" s="79"/>
      <c r="H210" s="79"/>
      <c r="I210" s="79"/>
      <c r="J210" s="79"/>
      <c r="K210" s="79"/>
      <c r="L210" s="79"/>
      <c r="M210" s="79">
        <v>0</v>
      </c>
      <c r="N210" s="79">
        <v>0</v>
      </c>
      <c r="O210" s="53">
        <v>0</v>
      </c>
      <c r="P210" s="53">
        <v>0</v>
      </c>
      <c r="Q210" s="53">
        <v>0</v>
      </c>
      <c r="R210" s="53">
        <v>791</v>
      </c>
      <c r="S210" s="53">
        <v>1207</v>
      </c>
      <c r="T210" s="53">
        <v>1649</v>
      </c>
      <c r="U210" s="75">
        <v>6000</v>
      </c>
      <c r="V210" s="71">
        <v>211</v>
      </c>
      <c r="W210" s="53">
        <v>0</v>
      </c>
      <c r="X210" s="53">
        <v>305</v>
      </c>
      <c r="Y210" s="79">
        <v>0</v>
      </c>
      <c r="Z210" s="53">
        <v>1424</v>
      </c>
      <c r="AA210" s="53">
        <v>648</v>
      </c>
      <c r="AB210" s="53">
        <v>573</v>
      </c>
      <c r="AC210" s="79"/>
      <c r="AD210" s="53">
        <v>358</v>
      </c>
      <c r="AE210" s="53">
        <v>1199</v>
      </c>
      <c r="AF210" s="53">
        <v>866</v>
      </c>
      <c r="AG210" s="79"/>
      <c r="AH210" s="53">
        <v>209</v>
      </c>
      <c r="AI210" s="53">
        <v>942</v>
      </c>
      <c r="AJ210" s="53">
        <v>0</v>
      </c>
      <c r="AK210" s="53"/>
      <c r="AL210" s="53">
        <v>6735</v>
      </c>
    </row>
    <row r="211" spans="1:38">
      <c r="A211" s="103"/>
      <c r="B211" s="68" t="s">
        <v>318</v>
      </c>
      <c r="C211" s="74" t="s">
        <v>317</v>
      </c>
      <c r="D211" s="79"/>
      <c r="E211" s="79"/>
      <c r="F211" s="79"/>
      <c r="G211" s="79"/>
      <c r="H211" s="79"/>
      <c r="I211" s="79"/>
      <c r="J211" s="79"/>
      <c r="K211" s="79"/>
      <c r="L211" s="79"/>
      <c r="M211" s="79">
        <v>307448</v>
      </c>
      <c r="N211" s="79">
        <v>421314</v>
      </c>
      <c r="O211" s="53">
        <v>507332</v>
      </c>
      <c r="P211" s="53">
        <v>463824</v>
      </c>
      <c r="Q211" s="53">
        <v>36700</v>
      </c>
      <c r="R211" s="53">
        <v>383512</v>
      </c>
      <c r="S211" s="53">
        <v>448853</v>
      </c>
      <c r="T211" s="53">
        <v>552952</v>
      </c>
      <c r="U211" s="75">
        <v>458000</v>
      </c>
      <c r="V211" s="71">
        <v>50535</v>
      </c>
      <c r="W211" s="53">
        <v>40825</v>
      </c>
      <c r="X211" s="53">
        <v>52778</v>
      </c>
      <c r="Y211" s="53">
        <v>144138</v>
      </c>
      <c r="Z211" s="53">
        <v>48007</v>
      </c>
      <c r="AA211" s="53">
        <v>49969</v>
      </c>
      <c r="AB211" s="53">
        <v>47257</v>
      </c>
      <c r="AC211" s="53">
        <v>145233</v>
      </c>
      <c r="AD211" s="53">
        <v>49734</v>
      </c>
      <c r="AE211" s="53">
        <v>56132</v>
      </c>
      <c r="AF211" s="53">
        <v>42179</v>
      </c>
      <c r="AG211" s="53">
        <v>148045</v>
      </c>
      <c r="AH211" s="53">
        <v>51727</v>
      </c>
      <c r="AI211" s="53">
        <v>40855</v>
      </c>
      <c r="AJ211" s="53">
        <v>0</v>
      </c>
      <c r="AK211" s="53"/>
      <c r="AL211" s="53">
        <v>529998</v>
      </c>
    </row>
    <row r="212" spans="1:38">
      <c r="A212" s="103"/>
      <c r="B212" s="68" t="s">
        <v>330</v>
      </c>
      <c r="C212" s="74" t="s">
        <v>317</v>
      </c>
      <c r="D212" s="79"/>
      <c r="E212" s="79"/>
      <c r="F212" s="79"/>
      <c r="G212" s="79"/>
      <c r="H212" s="79"/>
      <c r="I212" s="79"/>
      <c r="J212" s="79"/>
      <c r="K212" s="79"/>
      <c r="L212" s="79"/>
      <c r="M212" s="79">
        <v>546</v>
      </c>
      <c r="N212" s="79">
        <v>934</v>
      </c>
      <c r="O212" s="53">
        <v>6071</v>
      </c>
      <c r="P212" s="53">
        <v>9259</v>
      </c>
      <c r="Q212" s="53">
        <v>7943</v>
      </c>
      <c r="R212" s="53">
        <v>7463</v>
      </c>
      <c r="S212" s="53">
        <v>1434</v>
      </c>
      <c r="T212" s="53">
        <v>3831</v>
      </c>
      <c r="U212" s="75">
        <v>0</v>
      </c>
      <c r="V212" s="71">
        <v>252</v>
      </c>
      <c r="W212" s="53">
        <v>0</v>
      </c>
      <c r="X212" s="53">
        <v>297</v>
      </c>
      <c r="Y212" s="53">
        <v>549</v>
      </c>
      <c r="Z212" s="53">
        <v>339</v>
      </c>
      <c r="AA212" s="53">
        <v>164</v>
      </c>
      <c r="AB212" s="53">
        <v>505</v>
      </c>
      <c r="AC212" s="53">
        <v>1008</v>
      </c>
      <c r="AD212" s="53">
        <v>105</v>
      </c>
      <c r="AE212" s="53">
        <v>116</v>
      </c>
      <c r="AF212" s="53">
        <v>64</v>
      </c>
      <c r="AG212" s="53">
        <v>285</v>
      </c>
      <c r="AH212" s="53">
        <v>359</v>
      </c>
      <c r="AI212" s="53">
        <v>519</v>
      </c>
      <c r="AJ212" s="53">
        <v>0</v>
      </c>
      <c r="AK212" s="53"/>
      <c r="AL212" s="53">
        <v>2720</v>
      </c>
    </row>
    <row r="213" spans="1:38">
      <c r="A213" s="103"/>
      <c r="B213" s="68" t="s">
        <v>320</v>
      </c>
      <c r="C213" s="74" t="s">
        <v>317</v>
      </c>
      <c r="D213" s="79"/>
      <c r="E213" s="79"/>
      <c r="F213" s="79"/>
      <c r="G213" s="79"/>
      <c r="H213" s="79"/>
      <c r="I213" s="79"/>
      <c r="J213" s="79"/>
      <c r="K213" s="79"/>
      <c r="L213" s="79"/>
      <c r="M213" s="79">
        <v>117033</v>
      </c>
      <c r="N213" s="79">
        <v>231472</v>
      </c>
      <c r="O213" s="53">
        <v>351502</v>
      </c>
      <c r="P213" s="53">
        <v>350099</v>
      </c>
      <c r="Q213" s="53">
        <v>210999</v>
      </c>
      <c r="R213" s="53">
        <v>416064</v>
      </c>
      <c r="S213" s="53">
        <v>275374</v>
      </c>
      <c r="T213" s="53">
        <v>47281</v>
      </c>
      <c r="U213" s="75">
        <v>30000</v>
      </c>
      <c r="V213" s="71">
        <v>3801</v>
      </c>
      <c r="W213" s="53">
        <v>3381</v>
      </c>
      <c r="X213" s="53">
        <v>3196</v>
      </c>
      <c r="Y213" s="53">
        <v>10378</v>
      </c>
      <c r="Z213" s="53">
        <v>3078</v>
      </c>
      <c r="AA213" s="53">
        <v>7765</v>
      </c>
      <c r="AB213" s="53">
        <v>8460</v>
      </c>
      <c r="AC213" s="53">
        <v>19303</v>
      </c>
      <c r="AD213" s="53">
        <v>5002</v>
      </c>
      <c r="AE213" s="53">
        <v>3182</v>
      </c>
      <c r="AF213" s="53">
        <v>3714</v>
      </c>
      <c r="AG213" s="53">
        <v>11898</v>
      </c>
      <c r="AH213" s="53">
        <v>6635</v>
      </c>
      <c r="AI213" s="53">
        <v>5887</v>
      </c>
      <c r="AJ213" s="53">
        <v>0</v>
      </c>
      <c r="AK213" s="53"/>
      <c r="AL213" s="53">
        <v>54101</v>
      </c>
    </row>
    <row r="214" spans="1:38">
      <c r="A214" s="103"/>
      <c r="B214" s="68" t="s">
        <v>321</v>
      </c>
      <c r="C214" s="74" t="s">
        <v>146</v>
      </c>
      <c r="D214" s="79"/>
      <c r="E214" s="79"/>
      <c r="F214" s="79"/>
      <c r="G214" s="79"/>
      <c r="H214" s="79"/>
      <c r="I214" s="79"/>
      <c r="J214" s="79"/>
      <c r="K214" s="79"/>
      <c r="L214" s="79"/>
      <c r="M214" s="79">
        <v>89.287106922395679</v>
      </c>
      <c r="N214" s="79">
        <v>90.461043904914987</v>
      </c>
      <c r="O214" s="76">
        <v>90.57322120270409</v>
      </c>
      <c r="P214" s="76">
        <v>89.999011932967889</v>
      </c>
      <c r="Q214" s="76">
        <v>90.32585870453272</v>
      </c>
      <c r="R214" s="76">
        <v>90.620584824952005</v>
      </c>
      <c r="S214" s="76">
        <v>90.253844017243594</v>
      </c>
      <c r="T214" s="76">
        <v>89.796755597783914</v>
      </c>
      <c r="U214" s="83">
        <v>91</v>
      </c>
      <c r="V214" s="78">
        <v>89.781848116896484</v>
      </c>
      <c r="W214" s="76">
        <v>89.884258625879013</v>
      </c>
      <c r="X214" s="76">
        <v>89.899262154240091</v>
      </c>
      <c r="Y214" s="76">
        <v>89.851031748786241</v>
      </c>
      <c r="Z214" s="76">
        <v>89.920990028226655</v>
      </c>
      <c r="AA214" s="76">
        <v>90.305847638228613</v>
      </c>
      <c r="AB214" s="76">
        <v>89.582186123348023</v>
      </c>
      <c r="AC214" s="76">
        <v>89.934134545268208</v>
      </c>
      <c r="AD214" s="76">
        <v>89.934424072287044</v>
      </c>
      <c r="AE214" s="76">
        <v>89.437162683114877</v>
      </c>
      <c r="AF214" s="76">
        <v>89.878336199757953</v>
      </c>
      <c r="AG214" s="76">
        <v>89.74573655374644</v>
      </c>
      <c r="AH214" s="76">
        <v>89.999550086608323</v>
      </c>
      <c r="AI214" s="76">
        <v>89.23255192084855</v>
      </c>
      <c r="AJ214" s="76" t="e">
        <v>#DIV/0!</v>
      </c>
      <c r="AK214" s="76"/>
      <c r="AL214" s="76">
        <v>89.806786677805732</v>
      </c>
    </row>
    <row r="215" spans="1:38">
      <c r="A215" s="103"/>
      <c r="B215" s="68" t="s">
        <v>322</v>
      </c>
      <c r="C215" s="74"/>
      <c r="D215" s="79"/>
      <c r="E215" s="79"/>
      <c r="F215" s="79"/>
      <c r="G215" s="79"/>
      <c r="H215" s="79"/>
      <c r="I215" s="79"/>
      <c r="J215" s="79"/>
      <c r="K215" s="79"/>
      <c r="L215" s="79"/>
      <c r="M215" s="79">
        <v>89.287106922395679</v>
      </c>
      <c r="N215" s="79">
        <v>90.461043904914987</v>
      </c>
      <c r="O215" s="76">
        <v>90.57322120270409</v>
      </c>
      <c r="P215" s="76">
        <v>89.999011932967889</v>
      </c>
      <c r="Q215" s="76">
        <v>90.32585870453272</v>
      </c>
      <c r="R215" s="76">
        <v>90.620584824952005</v>
      </c>
      <c r="S215" s="76">
        <v>90.376351249122123</v>
      </c>
      <c r="T215" s="76">
        <v>90.037289532806852</v>
      </c>
      <c r="U215" s="83">
        <v>91</v>
      </c>
      <c r="V215" s="78">
        <v>89.781848116896484</v>
      </c>
      <c r="W215" s="76">
        <v>89.884258625879013</v>
      </c>
      <c r="X215" s="76">
        <v>89.899262154240091</v>
      </c>
      <c r="Y215" s="76">
        <v>89.851031748786241</v>
      </c>
      <c r="Z215" s="76">
        <v>89.920990028226655</v>
      </c>
      <c r="AA215" s="76">
        <v>90.305847638228613</v>
      </c>
      <c r="AB215" s="76">
        <v>89.582186123348023</v>
      </c>
      <c r="AC215" s="76">
        <v>89.934134545268208</v>
      </c>
      <c r="AD215" s="76">
        <v>89.934424072287044</v>
      </c>
      <c r="AE215" s="76">
        <v>89.437162683114877</v>
      </c>
      <c r="AF215" s="76">
        <v>89.878336199757953</v>
      </c>
      <c r="AG215" s="76">
        <v>89.74573655374644</v>
      </c>
      <c r="AH215" s="76">
        <v>89.999550086608323</v>
      </c>
      <c r="AI215" s="76">
        <v>89.23255192084855</v>
      </c>
      <c r="AJ215" s="76" t="e">
        <v>#DIV/0!</v>
      </c>
      <c r="AK215" s="76"/>
      <c r="AL215" s="76">
        <v>89.806786677805732</v>
      </c>
    </row>
    <row r="216" spans="1:38">
      <c r="A216" s="103"/>
      <c r="B216" s="86" t="s">
        <v>323</v>
      </c>
      <c r="C216" s="74" t="s">
        <v>317</v>
      </c>
      <c r="D216" s="79"/>
      <c r="E216" s="79"/>
      <c r="F216" s="79"/>
      <c r="G216" s="79"/>
      <c r="H216" s="79"/>
      <c r="I216" s="79"/>
      <c r="J216" s="79"/>
      <c r="K216" s="79"/>
      <c r="L216" s="79"/>
      <c r="M216" s="79">
        <v>9.620932487640486</v>
      </c>
      <c r="N216" s="79">
        <v>11.72284074681335</v>
      </c>
      <c r="O216" s="76">
        <v>12.185703663820732</v>
      </c>
      <c r="P216" s="76">
        <v>12.021256325550896</v>
      </c>
      <c r="Q216" s="76">
        <v>11.343230616048405</v>
      </c>
      <c r="R216" s="76">
        <v>12.227345295112826</v>
      </c>
      <c r="S216" s="76">
        <v>12.42702998498646</v>
      </c>
      <c r="T216" s="76">
        <v>12.458070659707573</v>
      </c>
      <c r="U216" s="83">
        <v>13.7</v>
      </c>
      <c r="V216" s="78">
        <v>12.049597024178549</v>
      </c>
      <c r="W216" s="76">
        <v>12.585055096418733</v>
      </c>
      <c r="X216" s="76">
        <v>12.332825484764543</v>
      </c>
      <c r="Y216" s="76">
        <v>12.293983786090172</v>
      </c>
      <c r="Z216" s="76">
        <v>11.608098440406353</v>
      </c>
      <c r="AA216" s="76">
        <v>12.081199603904372</v>
      </c>
      <c r="AB216" s="76">
        <v>11.338189386056191</v>
      </c>
      <c r="AC216" s="76">
        <v>11.666467396302769</v>
      </c>
      <c r="AD216" s="76">
        <v>12.395269811064292</v>
      </c>
      <c r="AE216" s="76">
        <v>11.764558958853687</v>
      </c>
      <c r="AF216" s="76">
        <v>12.759265279583875</v>
      </c>
      <c r="AG216" s="76">
        <v>12.274104944118204</v>
      </c>
      <c r="AH216" s="76">
        <v>12.104288631722261</v>
      </c>
      <c r="AI216" s="76">
        <v>11.836171816126601</v>
      </c>
      <c r="AJ216" s="76" t="e">
        <v>#DIV/0!</v>
      </c>
      <c r="AK216" s="76"/>
      <c r="AL216" s="76">
        <v>12.056649772246102</v>
      </c>
    </row>
    <row r="217" spans="1:38">
      <c r="A217" s="103"/>
      <c r="B217" s="68" t="s">
        <v>324</v>
      </c>
      <c r="C217" s="74" t="s">
        <v>146</v>
      </c>
      <c r="D217" s="79"/>
      <c r="E217" s="79"/>
      <c r="F217" s="79"/>
      <c r="G217" s="79"/>
      <c r="H217" s="79"/>
      <c r="I217" s="79"/>
      <c r="J217" s="79"/>
      <c r="K217" s="79"/>
      <c r="L217" s="79"/>
      <c r="M217" s="79">
        <v>87.534246575342465</v>
      </c>
      <c r="N217" s="79">
        <v>88.458904109589042</v>
      </c>
      <c r="O217" s="76">
        <v>87.694063926940629</v>
      </c>
      <c r="P217" s="76">
        <v>88.410746812386151</v>
      </c>
      <c r="Q217" s="76">
        <v>84.335616438356155</v>
      </c>
      <c r="R217" s="76">
        <v>92.44</v>
      </c>
      <c r="S217" s="76">
        <v>83.703995433789956</v>
      </c>
      <c r="T217" s="76">
        <v>87.347677595628426</v>
      </c>
      <c r="U217" s="83">
        <v>90</v>
      </c>
      <c r="V217" s="78">
        <v>95.277777777777771</v>
      </c>
      <c r="W217" s="76">
        <v>68.145161290322577</v>
      </c>
      <c r="X217" s="76">
        <v>94.177777777777777</v>
      </c>
      <c r="Y217" s="76">
        <v>85.672161172161168</v>
      </c>
      <c r="Z217" s="76">
        <v>89.079301075268816</v>
      </c>
      <c r="AA217" s="76">
        <v>91.555107526881713</v>
      </c>
      <c r="AB217" s="76">
        <v>95.266666666666666</v>
      </c>
      <c r="AC217" s="76">
        <v>91.931159420289859</v>
      </c>
      <c r="AD217" s="76">
        <v>92.345430107526866</v>
      </c>
      <c r="AE217" s="76">
        <v>95.879166666666677</v>
      </c>
      <c r="AF217" s="76">
        <v>75.739247311827967</v>
      </c>
      <c r="AG217" s="76">
        <v>87.902173913043484</v>
      </c>
      <c r="AH217" s="76">
        <v>88.817204301075265</v>
      </c>
      <c r="AI217" s="76">
        <v>94.94047619047619</v>
      </c>
      <c r="AJ217" s="76" t="e">
        <v>#DIV/0!</v>
      </c>
      <c r="AK217" s="76"/>
      <c r="AL217" s="76">
        <v>89.079341317365277</v>
      </c>
    </row>
    <row r="218" spans="1:38">
      <c r="A218" s="103"/>
      <c r="B218" s="86" t="s">
        <v>325</v>
      </c>
      <c r="C218" s="74" t="s">
        <v>146</v>
      </c>
      <c r="D218" s="79"/>
      <c r="E218" s="79"/>
      <c r="F218" s="79"/>
      <c r="G218" s="79"/>
      <c r="H218" s="79"/>
      <c r="I218" s="79"/>
      <c r="J218" s="79"/>
      <c r="K218" s="79"/>
      <c r="L218" s="79"/>
      <c r="M218" s="79">
        <v>75.516171100678136</v>
      </c>
      <c r="N218" s="79">
        <v>81.924764485740084</v>
      </c>
      <c r="O218" s="76">
        <v>89.906014058838835</v>
      </c>
      <c r="P218" s="76">
        <v>91.953901622456868</v>
      </c>
      <c r="Q218" s="76">
        <v>89.673515796312842</v>
      </c>
      <c r="R218" s="76">
        <v>94.519327536997011</v>
      </c>
      <c r="S218" s="76">
        <v>91.438355697329811</v>
      </c>
      <c r="T218" s="76">
        <v>93.35937398176894</v>
      </c>
      <c r="U218" s="77">
        <v>94</v>
      </c>
      <c r="V218" s="78">
        <v>93.240524781341108</v>
      </c>
      <c r="W218" s="76">
        <v>94.230769230769226</v>
      </c>
      <c r="X218" s="76">
        <v>87.494100991033491</v>
      </c>
      <c r="Y218" s="76">
        <v>91.426342005686564</v>
      </c>
      <c r="Z218" s="76">
        <v>87.488494907582051</v>
      </c>
      <c r="AA218" s="76">
        <v>87.646255707092209</v>
      </c>
      <c r="AB218" s="76">
        <v>93.439468159552135</v>
      </c>
      <c r="AC218" s="76">
        <v>89.552378512592128</v>
      </c>
      <c r="AD218" s="76">
        <v>89.884287897532928</v>
      </c>
      <c r="AE218" s="76">
        <v>92.190691408456814</v>
      </c>
      <c r="AF218" s="76">
        <v>94.688553682342516</v>
      </c>
      <c r="AG218" s="76">
        <v>92.099460038745306</v>
      </c>
      <c r="AH218" s="76">
        <v>93.586561743341406</v>
      </c>
      <c r="AI218" s="76">
        <v>88.153605015673975</v>
      </c>
      <c r="AJ218" s="76" t="e">
        <v>#DIV/0!</v>
      </c>
      <c r="AK218" s="76"/>
      <c r="AL218" s="76">
        <v>90.984090972747396</v>
      </c>
    </row>
    <row r="219" spans="1:38">
      <c r="A219" s="103"/>
      <c r="B219" s="68" t="s">
        <v>326</v>
      </c>
      <c r="C219" s="74" t="s">
        <v>327</v>
      </c>
      <c r="D219" s="79"/>
      <c r="E219" s="79"/>
      <c r="F219" s="79"/>
      <c r="G219" s="79"/>
      <c r="H219" s="79"/>
      <c r="I219" s="79"/>
      <c r="J219" s="79"/>
      <c r="K219" s="79"/>
      <c r="L219" s="79"/>
      <c r="M219" s="79">
        <v>93.321739791178089</v>
      </c>
      <c r="N219" s="79">
        <v>126.33282663999309</v>
      </c>
      <c r="O219" s="79">
        <v>124.65663179171169</v>
      </c>
      <c r="P219" s="79">
        <v>122.44893672438853</v>
      </c>
      <c r="Q219" s="79">
        <v>121.15518724810941</v>
      </c>
      <c r="R219" s="79">
        <v>124.87261390230444</v>
      </c>
      <c r="S219" s="79">
        <v>119.38344651281417</v>
      </c>
      <c r="T219" s="79">
        <v>129.91089066062088</v>
      </c>
      <c r="U219" s="80">
        <v>130</v>
      </c>
      <c r="V219" s="81">
        <v>136.40698528836984</v>
      </c>
      <c r="W219" s="81">
        <v>137.51962323390896</v>
      </c>
      <c r="X219" s="81">
        <v>134.92617313915858</v>
      </c>
      <c r="Y219" s="79">
        <v>136.20415512141511</v>
      </c>
      <c r="Z219" s="79">
        <v>125.81618750323369</v>
      </c>
      <c r="AA219" s="79">
        <v>129.17992697062076</v>
      </c>
      <c r="AB219" s="79">
        <v>121.83579853959934</v>
      </c>
      <c r="AC219" s="79">
        <v>125.51752972048169</v>
      </c>
      <c r="AD219" s="79">
        <v>132.8038215529107</v>
      </c>
      <c r="AE219" s="79">
        <v>125.76600358253984</v>
      </c>
      <c r="AF219" s="79">
        <v>132.22257623179712</v>
      </c>
      <c r="AG219" s="79">
        <v>130.12464056748379</v>
      </c>
      <c r="AH219" s="79">
        <v>129.38617767860032</v>
      </c>
      <c r="AI219" s="79">
        <v>124.59905408769248</v>
      </c>
      <c r="AJ219" s="79" t="e">
        <v>#DIV/0!</v>
      </c>
      <c r="AK219" s="79"/>
      <c r="AL219" s="79">
        <v>129.88774490865515</v>
      </c>
    </row>
    <row r="220" spans="1:38">
      <c r="A220" s="72"/>
      <c r="B220" s="68"/>
      <c r="C220" s="74"/>
      <c r="D220" s="79"/>
      <c r="E220" s="79"/>
      <c r="F220" s="79"/>
      <c r="G220" s="79"/>
      <c r="H220" s="79"/>
      <c r="I220" s="79"/>
      <c r="J220" s="79"/>
      <c r="K220" s="79"/>
      <c r="L220" s="53"/>
      <c r="M220" s="53"/>
      <c r="N220" s="53"/>
      <c r="O220" s="53"/>
      <c r="P220" s="53"/>
      <c r="Q220" s="79"/>
      <c r="R220" s="79"/>
      <c r="S220" s="79"/>
      <c r="T220" s="79"/>
      <c r="U220" s="135" t="s">
        <v>143</v>
      </c>
      <c r="V220" s="71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</row>
    <row r="221" spans="1:38" s="64" customFormat="1">
      <c r="B221" s="99"/>
      <c r="C221" s="74" t="s">
        <v>118</v>
      </c>
      <c r="D221" s="53" t="s">
        <v>119</v>
      </c>
      <c r="E221" s="54" t="s">
        <v>120</v>
      </c>
      <c r="F221" s="54" t="s">
        <v>121</v>
      </c>
      <c r="G221" s="54" t="s">
        <v>122</v>
      </c>
      <c r="H221" s="54" t="s">
        <v>123</v>
      </c>
      <c r="I221" s="53" t="s">
        <v>124</v>
      </c>
      <c r="J221" s="53" t="s">
        <v>125</v>
      </c>
      <c r="K221" s="53" t="s">
        <v>126</v>
      </c>
      <c r="L221" s="53" t="s">
        <v>127</v>
      </c>
      <c r="M221" s="53" t="s">
        <v>128</v>
      </c>
      <c r="N221" s="53" t="s">
        <v>129</v>
      </c>
      <c r="O221" s="53" t="s">
        <v>130</v>
      </c>
      <c r="P221" s="53" t="s">
        <v>131</v>
      </c>
      <c r="Q221" s="53" t="s">
        <v>132</v>
      </c>
      <c r="R221" s="75" t="s">
        <v>133</v>
      </c>
      <c r="S221" s="53" t="s">
        <v>134</v>
      </c>
      <c r="T221" s="53" t="s">
        <v>135</v>
      </c>
      <c r="U221" s="75" t="s">
        <v>136</v>
      </c>
      <c r="V221" s="71" t="s">
        <v>4</v>
      </c>
      <c r="W221" s="53" t="s">
        <v>5</v>
      </c>
      <c r="X221" s="53" t="s">
        <v>6</v>
      </c>
      <c r="Y221" s="53" t="s">
        <v>137</v>
      </c>
      <c r="Z221" s="53" t="s">
        <v>174</v>
      </c>
      <c r="AA221" s="53" t="s">
        <v>9</v>
      </c>
      <c r="AB221" s="53" t="s">
        <v>10</v>
      </c>
      <c r="AC221" s="53" t="s">
        <v>138</v>
      </c>
      <c r="AD221" s="53" t="s">
        <v>12</v>
      </c>
      <c r="AE221" s="53" t="s">
        <v>13</v>
      </c>
      <c r="AF221" s="53" t="s">
        <v>14</v>
      </c>
      <c r="AG221" s="53" t="s">
        <v>139</v>
      </c>
      <c r="AH221" s="53" t="s">
        <v>16</v>
      </c>
      <c r="AI221" s="53" t="s">
        <v>17</v>
      </c>
      <c r="AJ221" s="53" t="s">
        <v>18</v>
      </c>
      <c r="AK221" s="53"/>
      <c r="AL221" s="53" t="s">
        <v>212</v>
      </c>
    </row>
    <row r="222" spans="1:38">
      <c r="A222" s="108" t="s">
        <v>331</v>
      </c>
      <c r="B222" s="73" t="s">
        <v>332</v>
      </c>
      <c r="C222" s="7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3"/>
      <c r="R222" s="53"/>
      <c r="S222" s="53"/>
      <c r="T222" s="53"/>
      <c r="U222" s="75"/>
      <c r="V222" s="71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</row>
    <row r="223" spans="1:38">
      <c r="A223" s="103">
        <v>1</v>
      </c>
      <c r="B223" s="68" t="s">
        <v>333</v>
      </c>
      <c r="C223" s="74" t="s">
        <v>146</v>
      </c>
      <c r="D223" s="76">
        <v>0.32829453769822869</v>
      </c>
      <c r="E223" s="76">
        <v>0.36</v>
      </c>
      <c r="F223" s="76">
        <v>0.33</v>
      </c>
      <c r="G223" s="76">
        <v>0.44416182520642439</v>
      </c>
      <c r="H223" s="76">
        <v>0.43892912669219974</v>
      </c>
      <c r="I223" s="76">
        <v>0.48993859919218996</v>
      </c>
      <c r="J223" s="76">
        <v>0.34470550969833613</v>
      </c>
      <c r="K223" s="76">
        <v>0.30115780485341509</v>
      </c>
      <c r="L223" s="76">
        <v>0.46058920656991398</v>
      </c>
      <c r="M223" s="76">
        <v>0.46632174273299232</v>
      </c>
      <c r="N223" s="76">
        <v>0.25410088076248349</v>
      </c>
      <c r="O223" s="76">
        <v>0.21293287011094922</v>
      </c>
      <c r="P223" s="76">
        <v>0.296951536791488</v>
      </c>
      <c r="Q223" s="76">
        <v>0.27906546474935501</v>
      </c>
      <c r="R223" s="76">
        <v>0.33578828029667068</v>
      </c>
      <c r="S223" s="76">
        <v>0.13485570439629596</v>
      </c>
      <c r="T223" s="76">
        <v>5.7367958083145293E-2</v>
      </c>
      <c r="U223" s="77">
        <v>0.3</v>
      </c>
      <c r="V223" s="78">
        <v>5.5586436909394105E-2</v>
      </c>
      <c r="W223" s="78">
        <v>0</v>
      </c>
      <c r="X223" s="76">
        <v>6.6489361702127658E-2</v>
      </c>
      <c r="Y223" s="76">
        <v>3.9308176100628936E-2</v>
      </c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>
        <v>3.9308176100628936E-2</v>
      </c>
    </row>
    <row r="224" spans="1:38" s="92" customFormat="1">
      <c r="A224" s="72">
        <v>2</v>
      </c>
      <c r="B224" s="68" t="s">
        <v>334</v>
      </c>
      <c r="C224" s="74" t="s">
        <v>146</v>
      </c>
      <c r="D224" s="77">
        <v>97.669735258140307</v>
      </c>
      <c r="E224" s="77">
        <v>97.68</v>
      </c>
      <c r="F224" s="77">
        <v>97.69</v>
      </c>
      <c r="G224" s="77">
        <v>97.577224045694777</v>
      </c>
      <c r="H224" s="77">
        <v>97.604438073135768</v>
      </c>
      <c r="I224" s="77">
        <v>97.524612173139801</v>
      </c>
      <c r="J224" s="77">
        <v>97.667573078307811</v>
      </c>
      <c r="K224" s="77">
        <v>97.719112913433705</v>
      </c>
      <c r="L224" s="77">
        <v>96.85716411004465</v>
      </c>
      <c r="M224" s="77">
        <v>96.662469449458825</v>
      </c>
      <c r="N224" s="77">
        <v>97.75524750542715</v>
      </c>
      <c r="O224" s="77">
        <v>97.235131909624499</v>
      </c>
      <c r="P224" s="77">
        <v>97.171422858285482</v>
      </c>
      <c r="Q224" s="77">
        <v>97.193071798745379</v>
      </c>
      <c r="R224" s="77">
        <v>97.252128887398399</v>
      </c>
      <c r="S224" s="77">
        <v>97.641360692369645</v>
      </c>
      <c r="T224" s="77">
        <v>97.672056350223968</v>
      </c>
      <c r="U224" s="77">
        <v>97.5</v>
      </c>
      <c r="V224" s="78">
        <v>97.646776734945533</v>
      </c>
      <c r="W224" s="77">
        <v>97.699488105992174</v>
      </c>
      <c r="X224" s="77">
        <v>97.649920876733034</v>
      </c>
      <c r="Y224" s="77">
        <v>97.66951247651383</v>
      </c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>
        <v>97.66951247651383</v>
      </c>
    </row>
    <row r="225" spans="1:38">
      <c r="A225" s="103">
        <v>3</v>
      </c>
      <c r="B225" s="86" t="s">
        <v>323</v>
      </c>
      <c r="C225" s="74" t="s">
        <v>317</v>
      </c>
      <c r="D225" s="76">
        <v>15.284206621533896</v>
      </c>
      <c r="E225" s="76">
        <v>15.44</v>
      </c>
      <c r="F225" s="76">
        <v>15.37</v>
      </c>
      <c r="G225" s="76">
        <v>15.537117861857</v>
      </c>
      <c r="H225" s="76">
        <v>15.547296272420462</v>
      </c>
      <c r="I225" s="76">
        <v>15.56172682979841</v>
      </c>
      <c r="J225" s="76">
        <v>15.448275540814995</v>
      </c>
      <c r="K225" s="76">
        <v>15.523013781642229</v>
      </c>
      <c r="L225" s="76">
        <v>15.317613433369061</v>
      </c>
      <c r="M225" s="76">
        <v>15.56354597219412</v>
      </c>
      <c r="N225" s="76">
        <v>15.566500280324815</v>
      </c>
      <c r="O225" s="76">
        <v>10.69995766247027</v>
      </c>
      <c r="P225" s="76">
        <v>15.702994635135378</v>
      </c>
      <c r="Q225" s="76">
        <v>15.662623729301361</v>
      </c>
      <c r="R225" s="76">
        <v>15.664203065366209</v>
      </c>
      <c r="S225" s="76">
        <v>15.852018340375798</v>
      </c>
      <c r="T225" s="76">
        <v>16.077217271579915</v>
      </c>
      <c r="U225" s="83">
        <v>15.6</v>
      </c>
      <c r="V225" s="78">
        <v>16.227904391328515</v>
      </c>
      <c r="W225" s="76">
        <v>17.633628318584069</v>
      </c>
      <c r="X225" s="76">
        <v>14.075465425531915</v>
      </c>
      <c r="Y225" s="76">
        <v>15.899895178197065</v>
      </c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>
        <v>15.899895178197065</v>
      </c>
    </row>
    <row r="226" spans="1:38">
      <c r="A226" s="103">
        <v>4</v>
      </c>
      <c r="B226" s="68" t="s">
        <v>324</v>
      </c>
      <c r="C226" s="74" t="s">
        <v>146</v>
      </c>
      <c r="D226" s="76">
        <v>85.501024590163937</v>
      </c>
      <c r="E226" s="76">
        <v>85.78</v>
      </c>
      <c r="F226" s="76">
        <v>86.39</v>
      </c>
      <c r="G226" s="76">
        <v>87.69269406392695</v>
      </c>
      <c r="H226" s="76">
        <v>86.955373406193075</v>
      </c>
      <c r="I226" s="76">
        <v>90.12465753424658</v>
      </c>
      <c r="J226" s="76">
        <v>90.726940639269401</v>
      </c>
      <c r="K226" s="76">
        <v>92.770091324200905</v>
      </c>
      <c r="L226" s="76">
        <v>90.468465391621137</v>
      </c>
      <c r="M226" s="76">
        <v>90.997488584474894</v>
      </c>
      <c r="N226" s="76">
        <v>91.460159817351595</v>
      </c>
      <c r="O226" s="76">
        <v>87.678082191780831</v>
      </c>
      <c r="P226" s="76">
        <v>89.94398907103826</v>
      </c>
      <c r="Q226" s="76">
        <v>91.875913242009133</v>
      </c>
      <c r="R226" s="76">
        <v>90</v>
      </c>
      <c r="S226" s="76">
        <v>94.889726027397259</v>
      </c>
      <c r="T226" s="76">
        <v>98.127276867030972</v>
      </c>
      <c r="U226" s="83">
        <v>64.8</v>
      </c>
      <c r="V226" s="78">
        <v>100</v>
      </c>
      <c r="W226" s="76">
        <v>100</v>
      </c>
      <c r="X226" s="76">
        <v>96.666666666666671</v>
      </c>
      <c r="Y226" s="76">
        <v>98.901098901098905</v>
      </c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>
        <v>26.946107784431138</v>
      </c>
    </row>
    <row r="227" spans="1:38">
      <c r="A227" s="103">
        <v>5</v>
      </c>
      <c r="B227" s="86" t="s">
        <v>335</v>
      </c>
      <c r="C227" s="74" t="s">
        <v>146</v>
      </c>
      <c r="D227" s="76">
        <v>75.667107388278396</v>
      </c>
      <c r="E227" s="76">
        <v>74.599999999999994</v>
      </c>
      <c r="F227" s="76">
        <v>76.12</v>
      </c>
      <c r="G227" s="76">
        <v>74.320869370518665</v>
      </c>
      <c r="H227" s="76">
        <v>75.074756224012063</v>
      </c>
      <c r="I227" s="76">
        <v>74.596069371190595</v>
      </c>
      <c r="J227" s="76">
        <v>73.884328508445236</v>
      </c>
      <c r="K227" s="76">
        <v>72.688779892354304</v>
      </c>
      <c r="L227" s="76">
        <v>71.570893761600658</v>
      </c>
      <c r="M227" s="76">
        <v>74.452227845115885</v>
      </c>
      <c r="N227" s="76">
        <v>76.120550530397864</v>
      </c>
      <c r="O227" s="76">
        <v>79.37452803166417</v>
      </c>
      <c r="P227" s="76">
        <v>78.670570128140866</v>
      </c>
      <c r="Q227" s="76">
        <v>69.120923222581581</v>
      </c>
      <c r="R227" s="76">
        <v>78.73526487714814</v>
      </c>
      <c r="S227" s="76">
        <v>60.876961240757709</v>
      </c>
      <c r="T227" s="76">
        <v>33.041011659609026</v>
      </c>
      <c r="U227" s="83">
        <v>90</v>
      </c>
      <c r="V227" s="78">
        <v>28.148611111111109</v>
      </c>
      <c r="W227" s="76">
        <v>37.073924731182792</v>
      </c>
      <c r="X227" s="76">
        <v>44.863505747126439</v>
      </c>
      <c r="Y227" s="76">
        <v>36.608796296296298</v>
      </c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>
        <v>36.608796296296298</v>
      </c>
    </row>
    <row r="228" spans="1:38">
      <c r="A228" s="103">
        <v>6</v>
      </c>
      <c r="B228" s="68" t="s">
        <v>336</v>
      </c>
      <c r="C228" s="74" t="s">
        <v>327</v>
      </c>
      <c r="D228" s="79">
        <v>283.25118645201138</v>
      </c>
      <c r="E228" s="79">
        <v>270</v>
      </c>
      <c r="F228" s="79">
        <v>272</v>
      </c>
      <c r="G228" s="79">
        <v>275.61339162480471</v>
      </c>
      <c r="H228" s="79">
        <v>279.1440325199282</v>
      </c>
      <c r="I228" s="79">
        <v>284.55351230197135</v>
      </c>
      <c r="J228" s="79">
        <v>275.79805486632529</v>
      </c>
      <c r="K228" s="79">
        <v>279.67639326445658</v>
      </c>
      <c r="L228" s="79">
        <v>270.14783140749284</v>
      </c>
      <c r="M228" s="79">
        <v>263.09641154734646</v>
      </c>
      <c r="N228" s="79">
        <v>275.92638443211763</v>
      </c>
      <c r="O228" s="79">
        <v>274.10209892986734</v>
      </c>
      <c r="P228" s="79">
        <v>273.64447969675859</v>
      </c>
      <c r="Q228" s="79">
        <v>266.22464534035106</v>
      </c>
      <c r="R228" s="79">
        <v>283.49927524561122</v>
      </c>
      <c r="S228" s="79">
        <v>170.11165345928109</v>
      </c>
      <c r="T228" s="79">
        <v>144.16760008005701</v>
      </c>
      <c r="U228" s="75">
        <v>265</v>
      </c>
      <c r="V228" s="81">
        <v>140.65722603246658</v>
      </c>
      <c r="W228" s="79">
        <v>176.44563680527861</v>
      </c>
      <c r="X228" s="79">
        <v>132.40672538030424</v>
      </c>
      <c r="Y228" s="79">
        <v>149.88302244704394</v>
      </c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>
        <v>149.88302244704394</v>
      </c>
    </row>
    <row r="229" spans="1:38">
      <c r="A229" s="103">
        <v>7</v>
      </c>
      <c r="B229" s="86" t="s">
        <v>337</v>
      </c>
      <c r="C229" s="75" t="s">
        <v>338</v>
      </c>
      <c r="D229" s="76">
        <v>1.8511759011824922</v>
      </c>
      <c r="E229" s="76">
        <v>1.82</v>
      </c>
      <c r="F229" s="76">
        <v>1.85</v>
      </c>
      <c r="G229" s="76">
        <v>1.8894346175675745</v>
      </c>
      <c r="H229" s="76">
        <v>1.8940739654576495</v>
      </c>
      <c r="I229" s="76">
        <v>1.8918849082701281</v>
      </c>
      <c r="J229" s="76">
        <v>1.8364151551144483</v>
      </c>
      <c r="K229" s="76">
        <v>1.9012927820285332</v>
      </c>
      <c r="L229" s="76">
        <v>1.887454619813131</v>
      </c>
      <c r="M229" s="76">
        <v>1.8460392052568062</v>
      </c>
      <c r="N229" s="76">
        <v>1.8232344097724513</v>
      </c>
      <c r="O229" s="76">
        <v>1.8911439210478349</v>
      </c>
      <c r="P229" s="76">
        <v>1.8832480242206999</v>
      </c>
      <c r="Q229" s="76">
        <v>1.5835372058551278</v>
      </c>
      <c r="R229" s="76">
        <v>1.8827657394444783</v>
      </c>
      <c r="S229" s="76">
        <v>1.1405825555740019</v>
      </c>
      <c r="T229" s="76">
        <v>1</v>
      </c>
      <c r="U229" s="77">
        <v>1.89</v>
      </c>
      <c r="V229" s="78">
        <v>1</v>
      </c>
      <c r="W229" s="76">
        <v>1.092741935483871</v>
      </c>
      <c r="X229" s="76">
        <v>1</v>
      </c>
      <c r="Y229" s="76">
        <v>1.0319444444444446</v>
      </c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>
        <v>1.0319444444444446</v>
      </c>
    </row>
    <row r="230" spans="1:38">
      <c r="A230" s="103"/>
      <c r="B230" s="73" t="s">
        <v>450</v>
      </c>
      <c r="C230" s="74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7"/>
      <c r="V230" s="78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</row>
    <row r="231" spans="1:38" ht="20.25">
      <c r="A231" s="103"/>
      <c r="B231" s="68" t="s">
        <v>333</v>
      </c>
      <c r="C231" s="74" t="s">
        <v>146</v>
      </c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114">
        <v>8.3132429960927748E-2</v>
      </c>
      <c r="T231" s="114">
        <v>3.076199265331234E-2</v>
      </c>
      <c r="U231" s="115">
        <v>0</v>
      </c>
      <c r="V231" s="78">
        <v>5.2432885906040269E-2</v>
      </c>
      <c r="W231" s="76">
        <v>2.6609898882384245E-2</v>
      </c>
      <c r="X231" s="76">
        <v>1.9193857965451058E-2</v>
      </c>
      <c r="Y231" s="76"/>
      <c r="Z231" s="76">
        <v>7.3046018991964945E-2</v>
      </c>
      <c r="AA231" s="76">
        <v>6.1168314812926908E-2</v>
      </c>
      <c r="AB231" s="76">
        <v>4.0064102564102561E-2</v>
      </c>
      <c r="AC231" s="76"/>
      <c r="AD231" s="76">
        <v>4.8823357094033785E-2</v>
      </c>
      <c r="AE231" s="76">
        <v>7.9040969569226724E-2</v>
      </c>
      <c r="AF231" s="76">
        <v>0.10407030527289547</v>
      </c>
      <c r="AG231" s="76"/>
      <c r="AH231" s="76">
        <v>4.5901037363444412E-2</v>
      </c>
      <c r="AI231" s="76">
        <v>7.1927661323468978E-2</v>
      </c>
      <c r="AJ231" s="76"/>
      <c r="AK231" s="76"/>
      <c r="AL231" s="76">
        <v>5.5794445566746516E-2</v>
      </c>
    </row>
    <row r="232" spans="1:38" ht="20.25">
      <c r="A232" s="103"/>
      <c r="B232" s="68" t="s">
        <v>334</v>
      </c>
      <c r="C232" s="74" t="s">
        <v>146</v>
      </c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114">
        <v>97.442500075558385</v>
      </c>
      <c r="T232" s="114">
        <v>97.133815651360365</v>
      </c>
      <c r="U232" s="115">
        <v>97.5</v>
      </c>
      <c r="V232" s="78">
        <v>97.449620395538474</v>
      </c>
      <c r="W232" s="76">
        <v>97.182649372740798</v>
      </c>
      <c r="X232" s="76">
        <v>97.443208139956027</v>
      </c>
      <c r="Y232" s="76"/>
      <c r="Z232" s="76">
        <v>97.547890273222052</v>
      </c>
      <c r="AA232" s="76">
        <v>97.402511682757037</v>
      </c>
      <c r="AB232" s="76">
        <v>97.466649397746409</v>
      </c>
      <c r="AC232" s="76"/>
      <c r="AD232" s="76">
        <v>97.331606217616581</v>
      </c>
      <c r="AE232" s="76">
        <v>97.253075701248505</v>
      </c>
      <c r="AF232" s="76">
        <v>97.505483257786224</v>
      </c>
      <c r="AG232" s="76"/>
      <c r="AH232" s="76">
        <v>97.561100599180079</v>
      </c>
      <c r="AI232" s="76">
        <v>97.700940193499648</v>
      </c>
      <c r="AJ232" s="76"/>
      <c r="AK232" s="76"/>
      <c r="AL232" s="76">
        <v>97.449727901850665</v>
      </c>
    </row>
    <row r="233" spans="1:38" ht="20.25">
      <c r="A233" s="103"/>
      <c r="B233" s="86" t="s">
        <v>323</v>
      </c>
      <c r="C233" s="74" t="s">
        <v>317</v>
      </c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116">
        <v>21.611878436635273</v>
      </c>
      <c r="T233" s="116">
        <v>22.126477028029605</v>
      </c>
      <c r="U233" s="117">
        <v>23.8</v>
      </c>
      <c r="V233" s="78">
        <v>22.376258389261746</v>
      </c>
      <c r="W233" s="76">
        <v>22.52634379989356</v>
      </c>
      <c r="X233" s="76">
        <v>22.787523992322456</v>
      </c>
      <c r="Y233" s="76"/>
      <c r="Z233" s="76">
        <v>22.873734738599602</v>
      </c>
      <c r="AA233" s="76">
        <v>23.168314812926905</v>
      </c>
      <c r="AB233" s="76">
        <v>23.200120192307693</v>
      </c>
      <c r="AC233" s="76"/>
      <c r="AD233" s="76">
        <v>23.368811639488332</v>
      </c>
      <c r="AE233" s="76">
        <v>23.139375576340402</v>
      </c>
      <c r="AF233" s="76">
        <v>23.724560592044405</v>
      </c>
      <c r="AG233" s="76"/>
      <c r="AH233" s="76">
        <v>23.288350316717157</v>
      </c>
      <c r="AI233" s="76">
        <v>22.579325935059597</v>
      </c>
      <c r="AJ233" s="76"/>
      <c r="AK233" s="76"/>
      <c r="AL233" s="76">
        <v>23.008321068175039</v>
      </c>
    </row>
    <row r="234" spans="1:38" ht="20.25">
      <c r="A234" s="103"/>
      <c r="B234" s="68" t="s">
        <v>324</v>
      </c>
      <c r="C234" s="74" t="s">
        <v>146</v>
      </c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114">
        <v>88.847716894977154</v>
      </c>
      <c r="T234" s="114">
        <v>91.133424408014577</v>
      </c>
      <c r="U234" s="115">
        <v>90.5</v>
      </c>
      <c r="V234" s="78">
        <v>95.718055555555551</v>
      </c>
      <c r="W234" s="76">
        <v>92.954301075268816</v>
      </c>
      <c r="X234" s="76">
        <v>95.544444444444437</v>
      </c>
      <c r="Y234" s="76"/>
      <c r="Z234" s="76">
        <v>92.383064516129039</v>
      </c>
      <c r="AA234" s="76">
        <v>92.775537634408607</v>
      </c>
      <c r="AB234" s="76">
        <v>95.347222222222229</v>
      </c>
      <c r="AC234" s="76"/>
      <c r="AD234" s="76">
        <v>92.215053763440864</v>
      </c>
      <c r="AE234" s="76">
        <v>77.245833333333323</v>
      </c>
      <c r="AF234" s="76">
        <v>85.864247311827953</v>
      </c>
      <c r="AG234" s="76"/>
      <c r="AH234" s="76">
        <v>95.138440860215056</v>
      </c>
      <c r="AI234" s="76">
        <v>94.196428571428569</v>
      </c>
      <c r="AJ234" s="76"/>
      <c r="AK234" s="76"/>
      <c r="AL234" s="76">
        <v>91.749750499001991</v>
      </c>
    </row>
    <row r="235" spans="1:38" ht="20.25">
      <c r="A235" s="103"/>
      <c r="B235" s="86" t="s">
        <v>335</v>
      </c>
      <c r="C235" s="74" t="s">
        <v>146</v>
      </c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116">
        <v>78.507039647645016</v>
      </c>
      <c r="T235" s="116">
        <v>82.337392381913659</v>
      </c>
      <c r="U235" s="117">
        <v>90</v>
      </c>
      <c r="V235" s="78">
        <v>80.688364264259917</v>
      </c>
      <c r="W235" s="76">
        <v>87.878481159084984</v>
      </c>
      <c r="X235" s="76">
        <v>81.4048145133155</v>
      </c>
      <c r="Y235" s="76"/>
      <c r="Z235" s="76">
        <v>75.932957967788397</v>
      </c>
      <c r="AA235" s="76">
        <v>78.85983339369794</v>
      </c>
      <c r="AB235" s="76">
        <v>79.813546977421694</v>
      </c>
      <c r="AC235" s="76"/>
      <c r="AD235" s="76">
        <v>82.741079757462671</v>
      </c>
      <c r="AE235" s="76">
        <v>75.816746678173956</v>
      </c>
      <c r="AF235" s="76">
        <v>82.768498661615766</v>
      </c>
      <c r="AG235" s="76"/>
      <c r="AH235" s="76">
        <v>84.978031448229089</v>
      </c>
      <c r="AI235" s="76">
        <v>82.38546603475514</v>
      </c>
      <c r="AJ235" s="76"/>
      <c r="AK235" s="76"/>
      <c r="AL235" s="76">
        <v>81.296484133868859</v>
      </c>
    </row>
    <row r="236" spans="1:38" ht="20.25">
      <c r="A236" s="103"/>
      <c r="B236" s="68" t="s">
        <v>336</v>
      </c>
      <c r="C236" s="74" t="s">
        <v>327</v>
      </c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114">
        <v>290.20809295855327</v>
      </c>
      <c r="T236" s="114">
        <v>360.39607114897956</v>
      </c>
      <c r="U236" s="115">
        <v>425</v>
      </c>
      <c r="V236" s="78">
        <v>373.93540497770101</v>
      </c>
      <c r="W236" s="76">
        <v>270.73303167420812</v>
      </c>
      <c r="X236" s="76">
        <v>413.16964285714283</v>
      </c>
      <c r="Y236" s="76"/>
      <c r="Z236" s="76">
        <v>409.69515816903299</v>
      </c>
      <c r="AA236" s="76">
        <v>406.6558888909301</v>
      </c>
      <c r="AB236" s="76">
        <v>412.03460359176523</v>
      </c>
      <c r="AC236" s="76"/>
      <c r="AD236" s="76">
        <v>410.33346838832421</v>
      </c>
      <c r="AE236" s="76">
        <v>405.11774610477386</v>
      </c>
      <c r="AF236" s="76">
        <v>378.34893617021277</v>
      </c>
      <c r="AG236" s="76"/>
      <c r="AH236" s="76">
        <v>411.4596841230258</v>
      </c>
      <c r="AI236" s="76">
        <v>411.67785234899327</v>
      </c>
      <c r="AJ236" s="76"/>
      <c r="AK236" s="76"/>
      <c r="AL236" s="76">
        <v>389.82368524923567</v>
      </c>
    </row>
    <row r="237" spans="1:38" ht="20.25">
      <c r="A237" s="103"/>
      <c r="B237" s="86" t="s">
        <v>337</v>
      </c>
      <c r="C237" s="75" t="s">
        <v>338</v>
      </c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117">
        <v>1.75</v>
      </c>
      <c r="T237" s="117">
        <v>1.87</v>
      </c>
      <c r="U237" s="117"/>
      <c r="V237" s="78">
        <v>1.91</v>
      </c>
      <c r="W237" s="76">
        <v>1.53</v>
      </c>
      <c r="X237" s="76">
        <v>2</v>
      </c>
      <c r="Y237" s="76"/>
      <c r="Z237" s="76">
        <v>2</v>
      </c>
      <c r="AA237" s="76">
        <v>1.94</v>
      </c>
      <c r="AB237" s="76">
        <v>2</v>
      </c>
      <c r="AC237" s="76"/>
      <c r="AD237" s="76">
        <v>2</v>
      </c>
      <c r="AE237" s="76">
        <v>1.6</v>
      </c>
      <c r="AF237" s="76">
        <v>1.64</v>
      </c>
      <c r="AG237" s="76"/>
      <c r="AH237" s="76">
        <v>1.98</v>
      </c>
      <c r="AI237" s="76">
        <v>2</v>
      </c>
      <c r="AJ237" s="76"/>
      <c r="AK237" s="76"/>
      <c r="AL237" s="76">
        <v>1.87</v>
      </c>
    </row>
    <row r="238" spans="1:38">
      <c r="A238" s="72" t="s">
        <v>339</v>
      </c>
      <c r="B238" s="109" t="s">
        <v>340</v>
      </c>
      <c r="C238" s="75"/>
      <c r="D238" s="76"/>
      <c r="E238" s="76"/>
      <c r="F238" s="76"/>
      <c r="G238" s="76"/>
      <c r="H238" s="76"/>
      <c r="I238" s="76"/>
      <c r="J238" s="76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75"/>
      <c r="V238" s="71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</row>
    <row r="239" spans="1:38">
      <c r="A239" s="72">
        <v>1</v>
      </c>
      <c r="B239" s="68" t="s">
        <v>341</v>
      </c>
      <c r="C239" s="74" t="s">
        <v>146</v>
      </c>
      <c r="D239" s="76">
        <v>2.1029804831307684</v>
      </c>
      <c r="E239" s="76">
        <v>1.38</v>
      </c>
      <c r="F239" s="76">
        <v>1.24</v>
      </c>
      <c r="G239" s="76">
        <v>0.91677701945604562</v>
      </c>
      <c r="H239" s="76">
        <v>0.95016030311862432</v>
      </c>
      <c r="I239" s="76">
        <v>0.93430442139336412</v>
      </c>
      <c r="J239" s="76">
        <v>0.91706325864927019</v>
      </c>
      <c r="K239" s="76">
        <v>0.93640265314085047</v>
      </c>
      <c r="L239" s="76">
        <v>0.92565134505401392</v>
      </c>
      <c r="M239" s="76">
        <v>1.0258328213074026</v>
      </c>
      <c r="N239" s="76">
        <v>1.3036860565151214</v>
      </c>
      <c r="O239" s="76">
        <v>1.5464654260640884</v>
      </c>
      <c r="P239" s="76">
        <v>2.4122065971770943</v>
      </c>
      <c r="Q239" s="76">
        <v>2.1837230584745493</v>
      </c>
      <c r="R239" s="76">
        <v>2.6857125073911559</v>
      </c>
      <c r="S239" s="76">
        <v>1.7150624710782043</v>
      </c>
      <c r="T239" s="76">
        <v>2.397850982609925</v>
      </c>
      <c r="U239" s="75" t="s">
        <v>342</v>
      </c>
      <c r="V239" s="78">
        <v>1.9261637239165328</v>
      </c>
      <c r="W239" s="78">
        <v>1.6107966913365259</v>
      </c>
      <c r="X239" s="78">
        <v>1.6560509554140128</v>
      </c>
      <c r="Y239" s="78">
        <v>1.7547683923705721</v>
      </c>
      <c r="Z239" s="78">
        <v>1.6333938294010888</v>
      </c>
      <c r="AA239" s="78">
        <v>0.99560761346998528</v>
      </c>
      <c r="AB239" s="78">
        <v>1.1558887847547641</v>
      </c>
      <c r="AC239" s="76">
        <v>1.2921911551743346</v>
      </c>
      <c r="AD239" s="78">
        <v>0.71875</v>
      </c>
      <c r="AE239" s="78">
        <v>1.3157894736842104</v>
      </c>
      <c r="AF239" s="78">
        <v>1.2318840579710146</v>
      </c>
      <c r="AG239" s="78">
        <v>1.006711409395973</v>
      </c>
      <c r="AH239" s="78">
        <v>1.0367577756833177</v>
      </c>
      <c r="AI239" s="78">
        <v>2.8598365807668134</v>
      </c>
      <c r="AJ239" s="78" t="s">
        <v>114</v>
      </c>
      <c r="AK239" s="76"/>
      <c r="AL239" s="78">
        <v>1.4695031972454502</v>
      </c>
    </row>
    <row r="240" spans="1:38">
      <c r="A240" s="72">
        <v>2</v>
      </c>
      <c r="B240" s="68" t="s">
        <v>343</v>
      </c>
      <c r="C240" s="74" t="s">
        <v>146</v>
      </c>
      <c r="D240" s="76">
        <v>90.564277216636739</v>
      </c>
      <c r="E240" s="76">
        <v>91.54</v>
      </c>
      <c r="F240" s="76">
        <v>91.61</v>
      </c>
      <c r="G240" s="76">
        <v>91.615491843423882</v>
      </c>
      <c r="H240" s="76">
        <v>91.51720794958797</v>
      </c>
      <c r="I240" s="76">
        <v>91.51828190838657</v>
      </c>
      <c r="J240" s="76">
        <v>91.478857594233659</v>
      </c>
      <c r="K240" s="76">
        <v>91.547042253521127</v>
      </c>
      <c r="L240" s="76">
        <v>91.548413614922396</v>
      </c>
      <c r="M240" s="76">
        <v>91.237963897850122</v>
      </c>
      <c r="N240" s="76">
        <v>91.999629612482053</v>
      </c>
      <c r="O240" s="76">
        <v>91.646041250831672</v>
      </c>
      <c r="P240" s="76">
        <v>91.151321367148711</v>
      </c>
      <c r="Q240" s="76">
        <v>91.306677193773965</v>
      </c>
      <c r="R240" s="76">
        <v>91.4</v>
      </c>
      <c r="S240" s="76">
        <v>91.414522392646603</v>
      </c>
      <c r="T240" s="76">
        <v>91.175669788717045</v>
      </c>
      <c r="U240" s="77">
        <v>91</v>
      </c>
      <c r="V240" s="78">
        <v>91.897488998187939</v>
      </c>
      <c r="W240" s="78">
        <v>91.926758218893042</v>
      </c>
      <c r="X240" s="78">
        <v>91.941391941391942</v>
      </c>
      <c r="Y240" s="78">
        <v>91.919932928107315</v>
      </c>
      <c r="Z240" s="78">
        <v>90.431778929188255</v>
      </c>
      <c r="AA240" s="78">
        <v>92.001122649452711</v>
      </c>
      <c r="AB240" s="78">
        <v>92.522522522522522</v>
      </c>
      <c r="AC240" s="78">
        <v>91.714344094809974</v>
      </c>
      <c r="AD240" s="78">
        <v>92.006033182503771</v>
      </c>
      <c r="AE240" s="78">
        <v>92.519685039370074</v>
      </c>
      <c r="AF240" s="78">
        <v>91.597222222222214</v>
      </c>
      <c r="AG240" s="78">
        <v>92.073080889936648</v>
      </c>
      <c r="AH240" s="78">
        <v>92.456653906777746</v>
      </c>
      <c r="AI240" s="78">
        <v>92.350230414746548</v>
      </c>
      <c r="AJ240" s="78" t="e">
        <v>#DIV/0!</v>
      </c>
      <c r="AK240" s="78">
        <v>92.411642411642418</v>
      </c>
      <c r="AL240" s="78">
        <v>92.003075740099959</v>
      </c>
    </row>
    <row r="241" spans="1:38">
      <c r="A241" s="72">
        <v>3</v>
      </c>
      <c r="B241" s="68" t="s">
        <v>344</v>
      </c>
      <c r="C241" s="74" t="s">
        <v>146</v>
      </c>
      <c r="D241" s="76">
        <v>78.940886699507388</v>
      </c>
      <c r="E241" s="76">
        <v>62.95</v>
      </c>
      <c r="F241" s="76">
        <v>81.33</v>
      </c>
      <c r="G241" s="76" t="s">
        <v>114</v>
      </c>
      <c r="H241" s="76">
        <v>78.378378378378372</v>
      </c>
      <c r="I241" s="76">
        <v>94.666666666666671</v>
      </c>
      <c r="J241" s="76">
        <v>67.010309278350505</v>
      </c>
      <c r="K241" s="82">
        <v>60.714285714285708</v>
      </c>
      <c r="L241" s="82">
        <v>53.104144314524191</v>
      </c>
      <c r="M241" s="82">
        <v>65.694682675814747</v>
      </c>
      <c r="N241" s="82">
        <v>90.136054421768705</v>
      </c>
      <c r="O241" s="82">
        <v>91.338582677165363</v>
      </c>
      <c r="P241" s="82" t="s">
        <v>114</v>
      </c>
      <c r="Q241" s="76">
        <v>16.344714519923016</v>
      </c>
      <c r="R241" s="76">
        <v>76.926902038786665</v>
      </c>
      <c r="S241" s="76" t="s">
        <v>114</v>
      </c>
      <c r="T241" s="76" t="s">
        <v>114</v>
      </c>
      <c r="U241" s="83">
        <v>80</v>
      </c>
      <c r="V241" s="84" t="s">
        <v>114</v>
      </c>
      <c r="W241" s="82" t="s">
        <v>114</v>
      </c>
      <c r="X241" s="82" t="s">
        <v>114</v>
      </c>
      <c r="Y241" s="82" t="s">
        <v>114</v>
      </c>
      <c r="Z241" s="82" t="s">
        <v>114</v>
      </c>
      <c r="AA241" s="54" t="s">
        <v>114</v>
      </c>
      <c r="AB241" s="54" t="s">
        <v>114</v>
      </c>
      <c r="AC241" s="54" t="s">
        <v>114</v>
      </c>
      <c r="AD241" s="54" t="s">
        <v>114</v>
      </c>
      <c r="AE241" s="54" t="s">
        <v>114</v>
      </c>
      <c r="AF241" s="54" t="s">
        <v>114</v>
      </c>
      <c r="AG241" s="82" t="s">
        <v>114</v>
      </c>
      <c r="AH241" s="54" t="s">
        <v>114</v>
      </c>
      <c r="AI241" s="82" t="s">
        <v>114</v>
      </c>
      <c r="AJ241" s="82" t="s">
        <v>114</v>
      </c>
      <c r="AK241" s="82"/>
      <c r="AL241" s="82" t="s">
        <v>114</v>
      </c>
    </row>
    <row r="242" spans="1:38">
      <c r="A242" s="72">
        <v>4</v>
      </c>
      <c r="B242" s="68" t="s">
        <v>324</v>
      </c>
      <c r="C242" s="74" t="s">
        <v>146</v>
      </c>
      <c r="D242" s="76">
        <v>52.052026411657558</v>
      </c>
      <c r="E242" s="76">
        <v>57.17</v>
      </c>
      <c r="F242" s="76">
        <v>56.99</v>
      </c>
      <c r="G242" s="76">
        <v>57.351598173515981</v>
      </c>
      <c r="H242" s="76">
        <v>57.012750455373407</v>
      </c>
      <c r="I242" s="76">
        <v>57.168949771689491</v>
      </c>
      <c r="J242" s="76">
        <v>57.351598173515981</v>
      </c>
      <c r="K242" s="76">
        <v>57.168949771689491</v>
      </c>
      <c r="L242" s="76">
        <v>59.289617486338798</v>
      </c>
      <c r="M242" s="76">
        <v>57.351598173515981</v>
      </c>
      <c r="N242" s="76">
        <v>57.168949771689491</v>
      </c>
      <c r="O242" s="76">
        <v>56.758675799086753</v>
      </c>
      <c r="P242" s="76">
        <v>57.19489981785064</v>
      </c>
      <c r="Q242" s="76">
        <v>56.986301369863014</v>
      </c>
      <c r="R242" s="76">
        <v>57.78</v>
      </c>
      <c r="S242" s="76">
        <v>57.168949771689491</v>
      </c>
      <c r="T242" s="76">
        <v>58.469945355191257</v>
      </c>
      <c r="U242" s="77">
        <v>63.8</v>
      </c>
      <c r="V242" s="78">
        <v>57.777777777777771</v>
      </c>
      <c r="W242" s="76">
        <v>55.913978494623649</v>
      </c>
      <c r="X242" s="76">
        <v>57.777777777777771</v>
      </c>
      <c r="Y242" s="76">
        <v>57.142857142857139</v>
      </c>
      <c r="Z242" s="76">
        <v>55.913978494623649</v>
      </c>
      <c r="AA242" s="76">
        <v>58.064516129032263</v>
      </c>
      <c r="AB242" s="76">
        <v>36.805555555555557</v>
      </c>
      <c r="AC242" s="76">
        <v>50.407608695652172</v>
      </c>
      <c r="AD242" s="76">
        <v>32.93010752688172</v>
      </c>
      <c r="AE242" s="76">
        <v>21.25</v>
      </c>
      <c r="AF242" s="76">
        <v>18.817204301075268</v>
      </c>
      <c r="AG242" s="76">
        <v>24.365942028985508</v>
      </c>
      <c r="AH242" s="76">
        <v>39.112903225806448</v>
      </c>
      <c r="AI242" s="76">
        <v>37.202380952380956</v>
      </c>
      <c r="AJ242" s="76" t="e">
        <v>#DIV/0!</v>
      </c>
      <c r="AK242" s="76"/>
      <c r="AL242" s="76">
        <v>42.914171656686626</v>
      </c>
    </row>
    <row r="243" spans="1:38">
      <c r="A243" s="72">
        <v>5</v>
      </c>
      <c r="B243" s="86" t="s">
        <v>345</v>
      </c>
      <c r="C243" s="74" t="s">
        <v>146</v>
      </c>
      <c r="D243" s="76">
        <v>58.490677456394558</v>
      </c>
      <c r="E243" s="76">
        <v>47.94</v>
      </c>
      <c r="F243" s="76">
        <v>44.07</v>
      </c>
      <c r="G243" s="76">
        <v>63.17675159235668</v>
      </c>
      <c r="H243" s="76">
        <v>68.630191693290726</v>
      </c>
      <c r="I243" s="76">
        <v>52.525958466453673</v>
      </c>
      <c r="J243" s="76">
        <v>50.323447452229296</v>
      </c>
      <c r="K243" s="76">
        <v>52.196485623003198</v>
      </c>
      <c r="L243" s="76">
        <v>58.602150537634415</v>
      </c>
      <c r="M243" s="76">
        <v>46.855095541401276</v>
      </c>
      <c r="N243" s="76">
        <v>50.818690095846641</v>
      </c>
      <c r="O243" s="76">
        <v>43.462870520468385</v>
      </c>
      <c r="P243" s="76">
        <v>46.775477707006367</v>
      </c>
      <c r="Q243" s="76">
        <v>40.434695512820511</v>
      </c>
      <c r="R243" s="76">
        <v>41.753194888178911</v>
      </c>
      <c r="S243" s="76">
        <v>39.347044728434504</v>
      </c>
      <c r="T243" s="76">
        <v>44.411993769470406</v>
      </c>
      <c r="U243" s="77">
        <v>78</v>
      </c>
      <c r="V243" s="78">
        <v>50.721153846153847</v>
      </c>
      <c r="W243" s="76">
        <v>31.490384615384613</v>
      </c>
      <c r="X243" s="76">
        <v>43.269230769230774</v>
      </c>
      <c r="Y243" s="76">
        <v>41.82692307692308</v>
      </c>
      <c r="Z243" s="76">
        <v>59.855769230769226</v>
      </c>
      <c r="AA243" s="76">
        <v>45.138888888888893</v>
      </c>
      <c r="AB243" s="76">
        <v>69.056603773584897</v>
      </c>
      <c r="AC243" s="76">
        <v>56.334231805929925</v>
      </c>
      <c r="AD243" s="76">
        <v>74.285714285714292</v>
      </c>
      <c r="AE243" s="76">
        <v>73.202614379084963</v>
      </c>
      <c r="AF243" s="76">
        <v>75</v>
      </c>
      <c r="AG243" s="76">
        <v>74.163568773234203</v>
      </c>
      <c r="AH243" s="76">
        <v>89.690721649484544</v>
      </c>
      <c r="AI243" s="76">
        <v>71.599999999999994</v>
      </c>
      <c r="AJ243" s="76" t="e">
        <v>#DIV/0!</v>
      </c>
      <c r="AK243" s="76"/>
      <c r="AL243" s="76">
        <v>57.790697674418603</v>
      </c>
    </row>
    <row r="244" spans="1:38">
      <c r="A244" s="72">
        <v>6</v>
      </c>
      <c r="B244" s="68" t="s">
        <v>346</v>
      </c>
      <c r="C244" s="74" t="s">
        <v>327</v>
      </c>
      <c r="D244" s="76">
        <v>14.517226680227644</v>
      </c>
      <c r="E244" s="76">
        <v>15.94</v>
      </c>
      <c r="F244" s="79">
        <v>15</v>
      </c>
      <c r="G244" s="79">
        <v>15.322936357908002</v>
      </c>
      <c r="H244" s="79">
        <v>14.831539132964794</v>
      </c>
      <c r="I244" s="79">
        <v>15.357536590001901</v>
      </c>
      <c r="J244" s="79">
        <v>14.657964995550282</v>
      </c>
      <c r="K244" s="79">
        <v>15.540933435348126</v>
      </c>
      <c r="L244" s="79">
        <v>15.325360419397116</v>
      </c>
      <c r="M244" s="79">
        <v>15.738742565845369</v>
      </c>
      <c r="N244" s="79">
        <v>15.615717092337917</v>
      </c>
      <c r="O244" s="76">
        <v>15.935215178158261</v>
      </c>
      <c r="P244" s="76">
        <v>16.01276595744681</v>
      </c>
      <c r="Q244" s="82">
        <v>15.699281644785732</v>
      </c>
      <c r="R244" s="82">
        <v>15.367288378766141</v>
      </c>
      <c r="S244" s="82">
        <v>16.604922608475007</v>
      </c>
      <c r="T244" s="82">
        <v>14.680841736080666</v>
      </c>
      <c r="U244" s="80">
        <v>14</v>
      </c>
      <c r="V244" s="84">
        <v>16.824644549763033</v>
      </c>
      <c r="W244" s="82">
        <v>16.862595419847327</v>
      </c>
      <c r="X244" s="82">
        <v>16.733333333333334</v>
      </c>
      <c r="Y244" s="82">
        <v>16.802681992337163</v>
      </c>
      <c r="Z244" s="82">
        <v>10.514056224899598</v>
      </c>
      <c r="AA244" s="82">
        <v>16.810256410256411</v>
      </c>
      <c r="AB244" s="76">
        <v>16.83606557377049</v>
      </c>
      <c r="AC244" s="82">
        <v>14.317384370015949</v>
      </c>
      <c r="AD244" s="82">
        <v>16.758241758241759</v>
      </c>
      <c r="AE244" s="82">
        <v>16.785714285714285</v>
      </c>
      <c r="AF244" s="82">
        <v>12.561904761904762</v>
      </c>
      <c r="AG244" s="82">
        <v>15.661654135338345</v>
      </c>
      <c r="AH244" s="82">
        <v>15.731800766283525</v>
      </c>
      <c r="AI244" s="82">
        <v>16.793296089385475</v>
      </c>
      <c r="AJ244" s="82" t="e">
        <v>#DIV/0!</v>
      </c>
      <c r="AK244" s="82"/>
      <c r="AL244" s="82">
        <v>15.648390342052314</v>
      </c>
    </row>
    <row r="245" spans="1:38">
      <c r="A245" s="72" t="s">
        <v>347</v>
      </c>
      <c r="B245" s="109" t="s">
        <v>348</v>
      </c>
      <c r="C245" s="74"/>
      <c r="D245" s="85"/>
      <c r="E245" s="85"/>
      <c r="F245" s="85"/>
      <c r="G245" s="85"/>
      <c r="H245" s="85"/>
      <c r="I245" s="85"/>
      <c r="J245" s="85"/>
      <c r="K245" s="54"/>
      <c r="L245" s="54"/>
      <c r="M245" s="54"/>
      <c r="N245" s="54"/>
      <c r="O245" s="53"/>
      <c r="P245" s="53"/>
      <c r="Q245" s="53"/>
      <c r="R245" s="53"/>
      <c r="S245" s="53"/>
      <c r="T245" s="53"/>
      <c r="U245" s="75"/>
      <c r="V245" s="71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</row>
    <row r="246" spans="1:38">
      <c r="A246" s="72">
        <v>1</v>
      </c>
      <c r="B246" s="68" t="s">
        <v>341</v>
      </c>
      <c r="C246" s="74" t="s">
        <v>146</v>
      </c>
      <c r="D246" s="76">
        <v>0.26214307379002555</v>
      </c>
      <c r="E246" s="76">
        <v>0.56000000000000005</v>
      </c>
      <c r="F246" s="76">
        <v>0.66</v>
      </c>
      <c r="G246" s="76">
        <v>0.60914861518317154</v>
      </c>
      <c r="H246" s="76">
        <v>0.39762895327859804</v>
      </c>
      <c r="I246" s="76">
        <v>0.73796415602670729</v>
      </c>
      <c r="J246" s="76">
        <v>0.62206038537399488</v>
      </c>
      <c r="K246" s="76">
        <v>1.2840837032339885</v>
      </c>
      <c r="L246" s="76">
        <v>1.34015092161148</v>
      </c>
      <c r="M246" s="76">
        <v>1.4239125442101879</v>
      </c>
      <c r="N246" s="76">
        <v>0.98595648693880522</v>
      </c>
      <c r="O246" s="76">
        <v>1.743411759958029</v>
      </c>
      <c r="P246" s="76">
        <v>1.7590643274853803</v>
      </c>
      <c r="Q246" s="76">
        <v>3.0184089778318315</v>
      </c>
      <c r="R246" s="76">
        <v>4.9191090269636577</v>
      </c>
      <c r="S246" s="76">
        <v>0.96153846153846156</v>
      </c>
      <c r="T246" s="76">
        <v>1.0709318497913769</v>
      </c>
      <c r="U246" s="75" t="s">
        <v>342</v>
      </c>
      <c r="V246" s="78">
        <v>0.38402457757296465</v>
      </c>
      <c r="W246" s="78">
        <v>0.78364565587734236</v>
      </c>
      <c r="X246" s="78">
        <v>2.9390934844192631</v>
      </c>
      <c r="Y246" s="78">
        <v>1.3870620590697118</v>
      </c>
      <c r="Z246" s="78">
        <v>1.5329768270944741</v>
      </c>
      <c r="AA246" s="78">
        <v>0.42994436014162873</v>
      </c>
      <c r="AB246" s="78">
        <v>0.71098471382865269</v>
      </c>
      <c r="AC246" s="76">
        <v>0.86814975583288123</v>
      </c>
      <c r="AD246" s="78">
        <v>0.44211108040895275</v>
      </c>
      <c r="AE246" s="78">
        <v>0.35201733008394259</v>
      </c>
      <c r="AF246" s="78">
        <v>0.4177377892030848</v>
      </c>
      <c r="AG246" s="78">
        <v>0.40291634689178818</v>
      </c>
      <c r="AH246" s="78">
        <v>1.1286681715575622</v>
      </c>
      <c r="AI246" s="78">
        <v>1.9656699889258027</v>
      </c>
      <c r="AJ246" s="78" t="s">
        <v>114</v>
      </c>
      <c r="AK246" s="76"/>
      <c r="AL246" s="78">
        <v>0.9808394160583942</v>
      </c>
    </row>
    <row r="247" spans="1:38">
      <c r="A247" s="72">
        <v>2</v>
      </c>
      <c r="B247" s="68" t="s">
        <v>343</v>
      </c>
      <c r="C247" s="74" t="s">
        <v>146</v>
      </c>
      <c r="D247" s="76">
        <v>94.609535552815444</v>
      </c>
      <c r="E247" s="76">
        <v>92.86</v>
      </c>
      <c r="F247" s="76">
        <v>93.83</v>
      </c>
      <c r="G247" s="76">
        <v>93.040049028751099</v>
      </c>
      <c r="H247" s="76">
        <v>93.151298119964181</v>
      </c>
      <c r="I247" s="76">
        <v>94.604928968154283</v>
      </c>
      <c r="J247" s="76">
        <v>93.795868685783844</v>
      </c>
      <c r="K247" s="76">
        <v>94.106090373280949</v>
      </c>
      <c r="L247" s="76">
        <v>93.66216480720297</v>
      </c>
      <c r="M247" s="76">
        <v>93.126491646778049</v>
      </c>
      <c r="N247" s="76">
        <v>90.992677789294191</v>
      </c>
      <c r="O247" s="76">
        <v>91.4796686746988</v>
      </c>
      <c r="P247" s="76">
        <v>90.209640003436718</v>
      </c>
      <c r="Q247" s="76">
        <v>89.826943302418968</v>
      </c>
      <c r="R247" s="76">
        <v>88.357157654858085</v>
      </c>
      <c r="S247" s="76">
        <v>91.319509542914986</v>
      </c>
      <c r="T247" s="76">
        <v>92.046853682073802</v>
      </c>
      <c r="U247" s="77">
        <v>91</v>
      </c>
      <c r="V247" s="78">
        <v>91.527272727272731</v>
      </c>
      <c r="W247" s="78">
        <v>92.377850162866451</v>
      </c>
      <c r="X247" s="78">
        <v>91.694915254237287</v>
      </c>
      <c r="Y247" s="82">
        <v>95.359179019384271</v>
      </c>
      <c r="Z247" s="76">
        <v>92.176870748299322</v>
      </c>
      <c r="AA247" s="76">
        <v>93.018128368446838</v>
      </c>
      <c r="AB247" s="76">
        <v>93.026451391274477</v>
      </c>
      <c r="AC247" s="82">
        <v>96.365649854021953</v>
      </c>
      <c r="AD247" s="76">
        <v>93.068783068783063</v>
      </c>
      <c r="AE247" s="76">
        <v>93.324708926261323</v>
      </c>
      <c r="AF247" s="76">
        <v>94.272300469483568</v>
      </c>
      <c r="AG247" s="76">
        <v>96.162361623616235</v>
      </c>
      <c r="AH247" s="76">
        <v>93.831775700934585</v>
      </c>
      <c r="AI247" s="76">
        <v>94.002677376171349</v>
      </c>
      <c r="AJ247" s="76" t="s">
        <v>114</v>
      </c>
      <c r="AK247" s="82"/>
      <c r="AL247" s="78">
        <v>92.997697873273395</v>
      </c>
    </row>
    <row r="248" spans="1:38">
      <c r="A248" s="72">
        <v>3</v>
      </c>
      <c r="B248" s="68" t="s">
        <v>344</v>
      </c>
      <c r="C248" s="74" t="s">
        <v>146</v>
      </c>
      <c r="D248" s="76">
        <v>78.940886699507388</v>
      </c>
      <c r="E248" s="76">
        <v>100</v>
      </c>
      <c r="F248" s="110" t="s">
        <v>114</v>
      </c>
      <c r="G248" s="110">
        <v>81.519861830742656</v>
      </c>
      <c r="H248" s="110">
        <v>100</v>
      </c>
      <c r="I248" s="110">
        <v>73.643410852713174</v>
      </c>
      <c r="J248" s="110">
        <v>62.146892655367239</v>
      </c>
      <c r="K248" s="104" t="s">
        <v>114</v>
      </c>
      <c r="L248" s="104" t="s">
        <v>114</v>
      </c>
      <c r="M248" s="104" t="s">
        <v>114</v>
      </c>
      <c r="N248" s="104" t="s">
        <v>114</v>
      </c>
      <c r="O248" s="82" t="s">
        <v>114</v>
      </c>
      <c r="P248" s="82" t="s">
        <v>114</v>
      </c>
      <c r="Q248" s="82" t="s">
        <v>114</v>
      </c>
      <c r="R248" s="82" t="s">
        <v>114</v>
      </c>
      <c r="S248" s="82" t="s">
        <v>114</v>
      </c>
      <c r="T248" s="82" t="s">
        <v>114</v>
      </c>
      <c r="U248" s="83">
        <v>80</v>
      </c>
      <c r="V248" s="84" t="s">
        <v>114</v>
      </c>
      <c r="W248" s="82" t="s">
        <v>114</v>
      </c>
      <c r="X248" s="82" t="s">
        <v>114</v>
      </c>
      <c r="Y248" s="82" t="s">
        <v>114</v>
      </c>
      <c r="Z248" s="82" t="s">
        <v>114</v>
      </c>
      <c r="AA248" s="82" t="s">
        <v>114</v>
      </c>
      <c r="AB248" s="82" t="s">
        <v>114</v>
      </c>
      <c r="AC248" s="82" t="s">
        <v>114</v>
      </c>
      <c r="AD248" s="82" t="s">
        <v>114</v>
      </c>
      <c r="AE248" s="82" t="s">
        <v>114</v>
      </c>
      <c r="AF248" s="82" t="s">
        <v>114</v>
      </c>
      <c r="AG248" s="82" t="s">
        <v>114</v>
      </c>
      <c r="AH248" s="82" t="s">
        <v>114</v>
      </c>
      <c r="AI248" s="82" t="s">
        <v>114</v>
      </c>
      <c r="AJ248" s="82" t="s">
        <v>114</v>
      </c>
      <c r="AK248" s="82"/>
      <c r="AL248" s="82" t="s">
        <v>114</v>
      </c>
    </row>
    <row r="249" spans="1:38">
      <c r="A249" s="72">
        <v>4</v>
      </c>
      <c r="B249" s="68" t="s">
        <v>324</v>
      </c>
      <c r="C249" s="74" t="s">
        <v>146</v>
      </c>
      <c r="D249" s="82">
        <v>84.972677595628426</v>
      </c>
      <c r="E249" s="82">
        <v>85.8</v>
      </c>
      <c r="F249" s="76">
        <v>85.48</v>
      </c>
      <c r="G249" s="76">
        <v>86.301369863013704</v>
      </c>
      <c r="H249" s="76">
        <v>85.792349726775953</v>
      </c>
      <c r="I249" s="76">
        <v>85.753424657534254</v>
      </c>
      <c r="J249" s="76">
        <v>86.027397260273972</v>
      </c>
      <c r="K249" s="76">
        <v>85.753424657534254</v>
      </c>
      <c r="L249" s="76">
        <v>85.519125683060111</v>
      </c>
      <c r="M249" s="76">
        <v>85.753424657534254</v>
      </c>
      <c r="N249" s="76">
        <v>85.753424657534254</v>
      </c>
      <c r="O249" s="76">
        <v>85.753424657534254</v>
      </c>
      <c r="P249" s="76">
        <v>85.792349726775953</v>
      </c>
      <c r="Q249" s="76">
        <v>85.479452054794521</v>
      </c>
      <c r="R249" s="76">
        <v>75.56</v>
      </c>
      <c r="S249" s="76">
        <v>85.753424657534254</v>
      </c>
      <c r="T249" s="76">
        <v>85.792349726775953</v>
      </c>
      <c r="U249" s="77">
        <v>75.900000000000006</v>
      </c>
      <c r="V249" s="78">
        <v>86.666666666666671</v>
      </c>
      <c r="W249" s="76">
        <v>83.870967741935488</v>
      </c>
      <c r="X249" s="76">
        <v>86.666666666666671</v>
      </c>
      <c r="Y249" s="76">
        <v>85.714285714285708</v>
      </c>
      <c r="Z249" s="76">
        <v>87.096774193548384</v>
      </c>
      <c r="AA249" s="76">
        <v>83.870967741935488</v>
      </c>
      <c r="AB249" s="76">
        <v>86.666666666666671</v>
      </c>
      <c r="AC249" s="76">
        <v>85.869565217391312</v>
      </c>
      <c r="AD249" s="76">
        <v>87.096774193548384</v>
      </c>
      <c r="AE249" s="76">
        <v>83.333333333333343</v>
      </c>
      <c r="AF249" s="76">
        <v>87.096774193548384</v>
      </c>
      <c r="AG249" s="76">
        <v>85.869565217391312</v>
      </c>
      <c r="AH249" s="76">
        <v>83.870967741935488</v>
      </c>
      <c r="AI249" s="76">
        <v>89.285714285714292</v>
      </c>
      <c r="AJ249" s="76" t="e">
        <v>#DIV/0!</v>
      </c>
      <c r="AK249" s="76"/>
      <c r="AL249" s="76">
        <v>85.928143712574851</v>
      </c>
    </row>
    <row r="250" spans="1:38">
      <c r="A250" s="72">
        <v>5</v>
      </c>
      <c r="B250" s="86" t="s">
        <v>349</v>
      </c>
      <c r="C250" s="74" t="s">
        <v>146</v>
      </c>
      <c r="D250" s="82">
        <v>69.022976956055743</v>
      </c>
      <c r="E250" s="82">
        <v>62.8</v>
      </c>
      <c r="F250" s="76">
        <v>58.95</v>
      </c>
      <c r="G250" s="76">
        <v>72.859259259259261</v>
      </c>
      <c r="H250" s="76">
        <v>62.386677282377924</v>
      </c>
      <c r="I250" s="76">
        <v>60.629659211927574</v>
      </c>
      <c r="J250" s="76">
        <v>67.876194267515928</v>
      </c>
      <c r="K250" s="76">
        <v>56.651357827476033</v>
      </c>
      <c r="L250" s="76">
        <v>72.257720979765708</v>
      </c>
      <c r="M250" s="76">
        <v>73.845181043663473</v>
      </c>
      <c r="N250" s="76">
        <v>73.20287539936102</v>
      </c>
      <c r="O250" s="76">
        <v>68.226837060702877</v>
      </c>
      <c r="P250" s="76">
        <v>58.008227176220807</v>
      </c>
      <c r="Q250" s="76">
        <v>58.193108974358978</v>
      </c>
      <c r="R250" s="76">
        <v>71.219355758266829</v>
      </c>
      <c r="S250" s="76">
        <v>72.973242811501592</v>
      </c>
      <c r="T250" s="76">
        <v>71.387340764331213</v>
      </c>
      <c r="U250" s="77">
        <v>85</v>
      </c>
      <c r="V250" s="78">
        <v>80.248397435897431</v>
      </c>
      <c r="W250" s="76">
        <v>83.09294871794873</v>
      </c>
      <c r="X250" s="76">
        <v>79.847756410256409</v>
      </c>
      <c r="Y250" s="76">
        <v>81.063034188034194</v>
      </c>
      <c r="Z250" s="76">
        <v>67.592592592592595</v>
      </c>
      <c r="AA250" s="76">
        <v>86.017628205128204</v>
      </c>
      <c r="AB250" s="76">
        <v>79.246794871794862</v>
      </c>
      <c r="AC250" s="76">
        <v>77.492088607594937</v>
      </c>
      <c r="AD250" s="76">
        <v>86.188271604938265</v>
      </c>
      <c r="AE250" s="76">
        <v>85</v>
      </c>
      <c r="AF250" s="76">
        <v>84.490740740740748</v>
      </c>
      <c r="AG250" s="76">
        <v>85.232067510548532</v>
      </c>
      <c r="AH250" s="76">
        <v>85.697115384615387</v>
      </c>
      <c r="AI250" s="76">
        <v>84.25</v>
      </c>
      <c r="AJ250" s="76" t="e">
        <v>#DIV/0!</v>
      </c>
      <c r="AK250" s="76"/>
      <c r="AL250" s="76">
        <v>81.92508710801394</v>
      </c>
    </row>
    <row r="251" spans="1:38">
      <c r="A251" s="72">
        <v>6</v>
      </c>
      <c r="B251" s="68" t="s">
        <v>346</v>
      </c>
      <c r="C251" s="74" t="s">
        <v>327</v>
      </c>
      <c r="D251" s="82">
        <v>4.4679849569331553</v>
      </c>
      <c r="E251" s="82">
        <v>4.0999999999999996</v>
      </c>
      <c r="F251" s="76">
        <v>3.03</v>
      </c>
      <c r="G251" s="76">
        <v>3.1695702376111079</v>
      </c>
      <c r="H251" s="76">
        <v>2.8770849906199349</v>
      </c>
      <c r="I251" s="76">
        <v>3.7211549017455265</v>
      </c>
      <c r="J251" s="76">
        <v>2.5610197159418591</v>
      </c>
      <c r="K251" s="76">
        <v>2.1948468506573615</v>
      </c>
      <c r="L251" s="76">
        <v>2.2039425202652909</v>
      </c>
      <c r="M251" s="76">
        <v>1.9343819009419081</v>
      </c>
      <c r="N251" s="76">
        <v>2.4745408256046555</v>
      </c>
      <c r="O251" s="76">
        <v>2.3703465230625147</v>
      </c>
      <c r="P251" s="76">
        <v>2.4018071600137252</v>
      </c>
      <c r="Q251" s="76">
        <v>2.0756167527251863</v>
      </c>
      <c r="R251" s="76">
        <v>2.1338870265672689</v>
      </c>
      <c r="S251" s="76">
        <v>2.2213709125735397</v>
      </c>
      <c r="T251" s="76">
        <v>2.5708443700915469</v>
      </c>
      <c r="U251" s="83">
        <v>2</v>
      </c>
      <c r="V251" s="84">
        <v>2.5132301547678484</v>
      </c>
      <c r="W251" s="76">
        <v>2.7348119575699132</v>
      </c>
      <c r="X251" s="76">
        <v>2.71450075263422</v>
      </c>
      <c r="Y251" s="76">
        <v>2.6550247116968699</v>
      </c>
      <c r="Z251" s="76">
        <v>3.0936073059360729</v>
      </c>
      <c r="AA251" s="76">
        <v>3.5370284117373081</v>
      </c>
      <c r="AB251" s="76">
        <v>2.7381193124368051</v>
      </c>
      <c r="AC251" s="76">
        <v>3.1359537178832739</v>
      </c>
      <c r="AD251" s="76">
        <v>3.1495076096687558</v>
      </c>
      <c r="AE251" s="76">
        <v>3.5362745098039214</v>
      </c>
      <c r="AF251" s="76">
        <v>2.7506849315068491</v>
      </c>
      <c r="AG251" s="76">
        <v>3.1364480198019802</v>
      </c>
      <c r="AH251" s="76">
        <v>2.8162692847124826</v>
      </c>
      <c r="AI251" s="76">
        <v>3.4727992087042532</v>
      </c>
      <c r="AJ251" s="76" t="e">
        <v>#DIV/0!</v>
      </c>
      <c r="AK251" s="76"/>
      <c r="AL251" s="76">
        <v>3.0066454013822437</v>
      </c>
    </row>
    <row r="252" spans="1:38">
      <c r="A252" s="72"/>
      <c r="B252" s="68"/>
      <c r="C252" s="74"/>
      <c r="D252" s="82"/>
      <c r="E252" s="82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83"/>
      <c r="V252" s="78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111"/>
    </row>
    <row r="253" spans="1:38">
      <c r="A253" s="72"/>
      <c r="B253" s="68"/>
      <c r="C253" s="74"/>
      <c r="D253" s="82"/>
      <c r="E253" s="82"/>
      <c r="F253" s="82"/>
      <c r="G253" s="82"/>
      <c r="H253" s="82"/>
      <c r="I253" s="82"/>
      <c r="J253" s="82"/>
      <c r="K253" s="76"/>
      <c r="L253" s="53"/>
      <c r="M253" s="53"/>
      <c r="N253" s="53"/>
      <c r="O253" s="53"/>
      <c r="P253" s="53"/>
      <c r="Q253" s="76"/>
      <c r="R253" s="76"/>
      <c r="S253" s="76"/>
      <c r="T253" s="76"/>
      <c r="U253" s="135" t="s">
        <v>143</v>
      </c>
      <c r="V253" s="71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 t="s">
        <v>350</v>
      </c>
    </row>
    <row r="254" spans="1:38" s="64" customFormat="1">
      <c r="B254" s="99"/>
      <c r="C254" s="74" t="s">
        <v>118</v>
      </c>
      <c r="D254" s="53" t="s">
        <v>119</v>
      </c>
      <c r="E254" s="54" t="s">
        <v>120</v>
      </c>
      <c r="F254" s="54" t="s">
        <v>121</v>
      </c>
      <c r="G254" s="54" t="s">
        <v>122</v>
      </c>
      <c r="H254" s="54" t="s">
        <v>123</v>
      </c>
      <c r="I254" s="53" t="s">
        <v>124</v>
      </c>
      <c r="J254" s="53" t="s">
        <v>125</v>
      </c>
      <c r="K254" s="53" t="s">
        <v>126</v>
      </c>
      <c r="L254" s="53" t="s">
        <v>127</v>
      </c>
      <c r="M254" s="53" t="s">
        <v>128</v>
      </c>
      <c r="N254" s="53" t="s">
        <v>129</v>
      </c>
      <c r="O254" s="53" t="s">
        <v>130</v>
      </c>
      <c r="P254" s="53" t="s">
        <v>131</v>
      </c>
      <c r="Q254" s="53" t="s">
        <v>132</v>
      </c>
      <c r="R254" s="75" t="s">
        <v>133</v>
      </c>
      <c r="S254" s="53" t="s">
        <v>134</v>
      </c>
      <c r="T254" s="53" t="s">
        <v>135</v>
      </c>
      <c r="U254" s="75" t="s">
        <v>136</v>
      </c>
      <c r="V254" s="71" t="s">
        <v>4</v>
      </c>
      <c r="W254" s="53" t="s">
        <v>5</v>
      </c>
      <c r="X254" s="53" t="s">
        <v>6</v>
      </c>
      <c r="Y254" s="53" t="s">
        <v>137</v>
      </c>
      <c r="Z254" s="53" t="s">
        <v>174</v>
      </c>
      <c r="AA254" s="53" t="s">
        <v>9</v>
      </c>
      <c r="AB254" s="53" t="s">
        <v>10</v>
      </c>
      <c r="AC254" s="53" t="s">
        <v>138</v>
      </c>
      <c r="AD254" s="53" t="s">
        <v>12</v>
      </c>
      <c r="AE254" s="53" t="s">
        <v>13</v>
      </c>
      <c r="AF254" s="53" t="s">
        <v>14</v>
      </c>
      <c r="AG254" s="53" t="s">
        <v>139</v>
      </c>
      <c r="AH254" s="53" t="s">
        <v>16</v>
      </c>
      <c r="AI254" s="53" t="s">
        <v>17</v>
      </c>
      <c r="AJ254" s="53" t="s">
        <v>18</v>
      </c>
      <c r="AK254" s="53"/>
      <c r="AL254" s="53" t="s">
        <v>141</v>
      </c>
    </row>
    <row r="255" spans="1:38">
      <c r="A255" s="72" t="s">
        <v>351</v>
      </c>
      <c r="B255" s="68" t="s">
        <v>352</v>
      </c>
      <c r="C255" s="7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3"/>
      <c r="R255" s="53"/>
      <c r="S255" s="53"/>
      <c r="T255" s="53"/>
      <c r="U255" s="67"/>
      <c r="V255" s="71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</row>
    <row r="256" spans="1:38">
      <c r="A256" s="72">
        <v>1</v>
      </c>
      <c r="B256" s="68" t="s">
        <v>353</v>
      </c>
      <c r="C256" s="74" t="s">
        <v>354</v>
      </c>
      <c r="D256" s="82">
        <v>16.293963819328358</v>
      </c>
      <c r="E256" s="82">
        <v>16.399999999999999</v>
      </c>
      <c r="F256" s="76">
        <v>15.18</v>
      </c>
      <c r="G256" s="76">
        <v>15.10271944750899</v>
      </c>
      <c r="H256" s="76">
        <v>13.243904261751577</v>
      </c>
      <c r="I256" s="76">
        <v>13.548354776744379</v>
      </c>
      <c r="J256" s="76">
        <v>14.473497433576432</v>
      </c>
      <c r="K256" s="76">
        <v>13.789119969056285</v>
      </c>
      <c r="L256" s="76">
        <v>14.012599192537937</v>
      </c>
      <c r="M256" s="76">
        <v>14.687635873887823</v>
      </c>
      <c r="N256" s="76">
        <v>16.215456015751354</v>
      </c>
      <c r="O256" s="76">
        <v>17.07997907112739</v>
      </c>
      <c r="P256" s="76">
        <v>13.838105622451883</v>
      </c>
      <c r="Q256" s="76">
        <v>18.336936518429845</v>
      </c>
      <c r="R256" s="76">
        <v>19.837499561757181</v>
      </c>
      <c r="S256" s="76">
        <v>21.686493712164427</v>
      </c>
      <c r="T256" s="76">
        <v>24.184780670470751</v>
      </c>
      <c r="U256" s="67"/>
      <c r="V256" s="78"/>
      <c r="W256" s="78"/>
      <c r="X256" s="76"/>
      <c r="Y256" s="76"/>
      <c r="Z256" s="76"/>
      <c r="AA256" s="76"/>
      <c r="AB256" s="76"/>
      <c r="AC256" s="76" t="e">
        <v>#DIV/0!</v>
      </c>
      <c r="AD256" s="76"/>
      <c r="AE256" s="76"/>
      <c r="AF256" s="76"/>
      <c r="AG256" s="76"/>
      <c r="AH256" s="76"/>
      <c r="AI256" s="76"/>
      <c r="AJ256" s="76"/>
      <c r="AK256" s="76"/>
      <c r="AL256" s="76"/>
    </row>
    <row r="257" spans="1:38">
      <c r="A257" s="72" t="s">
        <v>355</v>
      </c>
      <c r="B257" s="68" t="s">
        <v>356</v>
      </c>
      <c r="C257" s="74" t="s">
        <v>357</v>
      </c>
      <c r="D257" s="79">
        <v>126.07586824253248</v>
      </c>
      <c r="E257" s="79">
        <v>127</v>
      </c>
      <c r="F257" s="79">
        <v>129</v>
      </c>
      <c r="G257" s="79">
        <v>125.19822459019366</v>
      </c>
      <c r="H257" s="79">
        <v>127.48591934343386</v>
      </c>
      <c r="I257" s="79">
        <v>126.21754673989277</v>
      </c>
      <c r="J257" s="79">
        <v>133.47942734843403</v>
      </c>
      <c r="K257" s="79">
        <v>129.29523105107666</v>
      </c>
      <c r="L257" s="79">
        <v>120.86311184574136</v>
      </c>
      <c r="M257" s="79">
        <v>124.95078760307211</v>
      </c>
      <c r="N257" s="79">
        <v>75.641839157535273</v>
      </c>
      <c r="O257" s="79">
        <v>125.06714673672958</v>
      </c>
      <c r="P257" s="79">
        <v>125.33980565227462</v>
      </c>
      <c r="Q257" s="79">
        <v>83.470186939720293</v>
      </c>
      <c r="R257" s="79">
        <v>126.37819519542343</v>
      </c>
      <c r="S257" s="79">
        <v>125.8256416154684</v>
      </c>
      <c r="T257" s="79">
        <v>124.43360536984484</v>
      </c>
      <c r="U257" s="67"/>
      <c r="V257" s="79">
        <v>177.23660500149086</v>
      </c>
      <c r="W257" s="79">
        <v>123.90916862416738</v>
      </c>
      <c r="X257" s="79"/>
      <c r="Y257" s="79"/>
      <c r="Z257" s="79"/>
      <c r="AA257" s="79"/>
      <c r="AB257" s="79"/>
      <c r="AC257" s="79" t="e">
        <v>#DIV/0!</v>
      </c>
      <c r="AD257" s="79"/>
      <c r="AE257" s="79"/>
      <c r="AF257" s="79"/>
      <c r="AG257" s="79"/>
      <c r="AH257" s="79"/>
      <c r="AI257" s="79"/>
      <c r="AJ257" s="79"/>
      <c r="AK257" s="79"/>
      <c r="AL257" s="79">
        <v>143.48790424937809</v>
      </c>
    </row>
    <row r="258" spans="1:38">
      <c r="A258" s="72">
        <v>3</v>
      </c>
      <c r="B258" s="68" t="s">
        <v>358</v>
      </c>
      <c r="C258" s="74" t="s">
        <v>357</v>
      </c>
      <c r="D258" s="79">
        <v>153.10044560662502</v>
      </c>
      <c r="E258" s="79">
        <v>147</v>
      </c>
      <c r="F258" s="79">
        <v>146</v>
      </c>
      <c r="G258" s="79">
        <v>139.99211291226104</v>
      </c>
      <c r="H258" s="79">
        <v>138.08869545698613</v>
      </c>
      <c r="I258" s="79">
        <v>136.47732779439301</v>
      </c>
      <c r="J258" s="79">
        <v>147.79375799372619</v>
      </c>
      <c r="K258" s="79">
        <v>141.68143994890085</v>
      </c>
      <c r="L258" s="79">
        <v>132.78512394423987</v>
      </c>
      <c r="M258" s="79">
        <v>138.54226118731069</v>
      </c>
      <c r="N258" s="79">
        <v>84.823052887869338</v>
      </c>
      <c r="O258" s="79">
        <v>142.36280294594437</v>
      </c>
      <c r="P258" s="79">
        <v>144.29936344462291</v>
      </c>
      <c r="Q258" s="79">
        <v>93.060462219086688</v>
      </c>
      <c r="R258" s="79">
        <v>136.62720844122993</v>
      </c>
      <c r="S258" s="79">
        <v>131.47278425809665</v>
      </c>
      <c r="T258" s="79">
        <v>136.27965095668733</v>
      </c>
      <c r="U258" s="67"/>
      <c r="V258" s="79">
        <v>184.66926809875071</v>
      </c>
      <c r="W258" s="79">
        <v>141.58308117715779</v>
      </c>
      <c r="X258" s="82"/>
      <c r="Y258" s="79"/>
      <c r="Z258" s="79"/>
      <c r="AA258" s="79"/>
      <c r="AB258" s="79"/>
      <c r="AC258" s="79" t="e">
        <v>#DIV/0!</v>
      </c>
      <c r="AD258" s="79"/>
      <c r="AE258" s="79"/>
      <c r="AF258" s="79"/>
      <c r="AG258" s="79"/>
      <c r="AH258" s="79"/>
      <c r="AI258" s="79"/>
      <c r="AJ258" s="79"/>
      <c r="AK258" s="79"/>
      <c r="AL258" s="79">
        <v>157.40182515103822</v>
      </c>
    </row>
    <row r="259" spans="1:38">
      <c r="A259" s="72">
        <v>4</v>
      </c>
      <c r="B259" s="68" t="s">
        <v>356</v>
      </c>
      <c r="C259" s="74" t="s">
        <v>354</v>
      </c>
      <c r="D259" s="79">
        <v>29.569322745527565</v>
      </c>
      <c r="E259" s="79">
        <v>31</v>
      </c>
      <c r="F259" s="76">
        <v>30.65</v>
      </c>
      <c r="G259" s="76">
        <v>29.219899197311928</v>
      </c>
      <c r="H259" s="76">
        <v>30.599093686434355</v>
      </c>
      <c r="I259" s="76">
        <v>30.13080670271356</v>
      </c>
      <c r="J259" s="76">
        <v>32.523504370616131</v>
      </c>
      <c r="K259" s="76">
        <v>31.10911872398054</v>
      </c>
      <c r="L259" s="76">
        <v>30.549334891554668</v>
      </c>
      <c r="M259" s="76">
        <v>30.78285206890428</v>
      </c>
      <c r="N259" s="76">
        <v>31.111543838625924</v>
      </c>
      <c r="O259" s="76">
        <v>30.265876544724172</v>
      </c>
      <c r="P259" s="76">
        <v>31.097272002229285</v>
      </c>
      <c r="Q259" s="76">
        <v>30.559561774595942</v>
      </c>
      <c r="R259" s="76">
        <v>31.18234340798114</v>
      </c>
      <c r="S259" s="76">
        <v>31.602712245225479</v>
      </c>
      <c r="T259" s="76">
        <v>29.687437712200808</v>
      </c>
      <c r="U259" s="67"/>
      <c r="V259" s="78">
        <v>29.602670516059185</v>
      </c>
      <c r="W259" s="76">
        <v>26.566245632894383</v>
      </c>
      <c r="X259" s="76"/>
      <c r="Y259" s="76"/>
      <c r="Z259" s="76"/>
      <c r="AA259" s="76"/>
      <c r="AB259" s="76"/>
      <c r="AC259" s="76" t="e">
        <v>#DIV/0!</v>
      </c>
      <c r="AD259" s="76"/>
      <c r="AE259" s="76"/>
      <c r="AF259" s="76"/>
      <c r="AG259" s="76"/>
      <c r="AH259" s="76"/>
      <c r="AI259" s="76"/>
      <c r="AJ259" s="76"/>
      <c r="AK259" s="76"/>
      <c r="AL259" s="76">
        <v>27.862292051756008</v>
      </c>
    </row>
    <row r="260" spans="1:38">
      <c r="A260" s="72">
        <v>5</v>
      </c>
      <c r="B260" s="68" t="s">
        <v>358</v>
      </c>
      <c r="C260" s="74" t="s">
        <v>354</v>
      </c>
      <c r="D260" s="76">
        <v>35.907557502738221</v>
      </c>
      <c r="E260" s="76">
        <v>36.06</v>
      </c>
      <c r="F260" s="76">
        <v>34.58</v>
      </c>
      <c r="G260" s="76">
        <v>32.672631270167201</v>
      </c>
      <c r="H260" s="76">
        <v>33.143965632338272</v>
      </c>
      <c r="I260" s="76">
        <v>32.580034149689467</v>
      </c>
      <c r="J260" s="76">
        <v>36.011324213364844</v>
      </c>
      <c r="K260" s="76">
        <v>34.089306314891907</v>
      </c>
      <c r="L260" s="76">
        <v>33.562740178049701</v>
      </c>
      <c r="M260" s="76">
        <v>34.131244894334934</v>
      </c>
      <c r="N260" s="76">
        <v>34.887783769389522</v>
      </c>
      <c r="O260" s="76">
        <v>34.451373769586951</v>
      </c>
      <c r="P260" s="76">
        <v>35.801208813383425</v>
      </c>
      <c r="Q260" s="76">
        <v>34.070690964312838</v>
      </c>
      <c r="R260" s="76">
        <v>33.71116770500084</v>
      </c>
      <c r="S260" s="76">
        <v>33.021064034665379</v>
      </c>
      <c r="T260" s="76">
        <v>32.513673755510879</v>
      </c>
      <c r="U260" s="67"/>
      <c r="V260" s="78">
        <v>30.844099603031395</v>
      </c>
      <c r="W260" s="76">
        <v>30.35554958344531</v>
      </c>
      <c r="X260" s="76"/>
      <c r="Y260" s="76"/>
      <c r="Z260" s="76"/>
      <c r="AA260" s="76"/>
      <c r="AB260" s="76"/>
      <c r="AC260" s="76" t="e">
        <v>#DIV/0!</v>
      </c>
      <c r="AD260" s="76"/>
      <c r="AE260" s="76"/>
      <c r="AF260" s="76"/>
      <c r="AG260" s="76"/>
      <c r="AH260" s="76"/>
      <c r="AI260" s="76"/>
      <c r="AJ260" s="76"/>
      <c r="AK260" s="76"/>
      <c r="AL260" s="76">
        <v>30.564078866296981</v>
      </c>
    </row>
    <row r="261" spans="1:38">
      <c r="A261" s="72">
        <v>12</v>
      </c>
      <c r="B261" s="86" t="s">
        <v>359</v>
      </c>
      <c r="C261" s="74"/>
      <c r="D261" s="82"/>
      <c r="E261" s="82"/>
      <c r="F261" s="82"/>
      <c r="G261" s="82"/>
      <c r="H261" s="82"/>
      <c r="I261" s="82"/>
      <c r="J261" s="82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67"/>
      <c r="V261" s="71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</row>
    <row r="262" spans="1:38">
      <c r="A262" s="72">
        <v>13</v>
      </c>
      <c r="B262" s="86" t="s">
        <v>360</v>
      </c>
      <c r="C262" s="74" t="s">
        <v>146</v>
      </c>
      <c r="D262" s="76">
        <v>96.724540293616244</v>
      </c>
      <c r="E262" s="76">
        <v>96.7</v>
      </c>
      <c r="F262" s="76">
        <v>96.66</v>
      </c>
      <c r="G262" s="76">
        <v>95.928931605552336</v>
      </c>
      <c r="H262" s="76">
        <v>94.538802796328625</v>
      </c>
      <c r="I262" s="76">
        <v>96.012354721465982</v>
      </c>
      <c r="J262" s="76">
        <v>96.542785726776188</v>
      </c>
      <c r="K262" s="76">
        <v>97.676113248468354</v>
      </c>
      <c r="L262" s="76">
        <v>96.668870945287495</v>
      </c>
      <c r="M262" s="76">
        <v>97.037728312318166</v>
      </c>
      <c r="N262" s="76">
        <v>97.47</v>
      </c>
      <c r="O262" s="76">
        <v>97.51</v>
      </c>
      <c r="P262" s="76">
        <v>97.51</v>
      </c>
      <c r="Q262" s="76">
        <v>95.02</v>
      </c>
      <c r="R262" s="76">
        <v>95.02</v>
      </c>
      <c r="S262" s="76">
        <v>94.979097310321919</v>
      </c>
      <c r="T262" s="76">
        <v>95.964098906324296</v>
      </c>
      <c r="U262" s="67"/>
      <c r="V262" s="78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 t="e">
        <v>#DIV/0!</v>
      </c>
      <c r="AK262" s="76"/>
      <c r="AL262" s="76"/>
    </row>
    <row r="263" spans="1:38">
      <c r="A263" s="72">
        <v>16</v>
      </c>
      <c r="B263" s="86" t="s">
        <v>361</v>
      </c>
      <c r="C263" s="74" t="s">
        <v>146</v>
      </c>
      <c r="D263" s="53">
        <v>86.71</v>
      </c>
      <c r="E263" s="53">
        <v>87.54</v>
      </c>
      <c r="F263" s="53">
        <v>87.67</v>
      </c>
      <c r="G263" s="53">
        <v>87.05</v>
      </c>
      <c r="H263" s="53">
        <v>87.27</v>
      </c>
      <c r="I263" s="53">
        <v>87.6</v>
      </c>
      <c r="J263" s="53">
        <v>87.9</v>
      </c>
      <c r="K263" s="76">
        <v>87.8</v>
      </c>
      <c r="L263" s="76">
        <v>87.58</v>
      </c>
      <c r="M263" s="76">
        <v>87.69</v>
      </c>
      <c r="N263" s="76">
        <v>80</v>
      </c>
      <c r="O263" s="76">
        <v>79</v>
      </c>
      <c r="P263" s="76">
        <v>84.7</v>
      </c>
      <c r="Q263" s="76">
        <v>85.5</v>
      </c>
      <c r="R263" s="76">
        <v>86.96</v>
      </c>
      <c r="S263" s="76">
        <v>86.430833333333339</v>
      </c>
      <c r="T263" s="76">
        <v>86.72</v>
      </c>
      <c r="U263" s="67"/>
      <c r="V263" s="76">
        <v>89.64</v>
      </c>
      <c r="W263" s="76">
        <v>88.31</v>
      </c>
      <c r="X263" s="76">
        <v>0</v>
      </c>
      <c r="Y263" s="76">
        <v>59.316666666666663</v>
      </c>
      <c r="Z263" s="76">
        <v>0</v>
      </c>
      <c r="AA263" s="76">
        <v>0</v>
      </c>
      <c r="AB263" s="76">
        <v>0</v>
      </c>
      <c r="AC263" s="76">
        <v>0</v>
      </c>
      <c r="AD263" s="76">
        <v>0</v>
      </c>
      <c r="AE263" s="76">
        <v>0</v>
      </c>
      <c r="AF263" s="76">
        <v>0</v>
      </c>
      <c r="AG263" s="76">
        <v>0</v>
      </c>
      <c r="AH263" s="76">
        <v>0</v>
      </c>
      <c r="AI263" s="76">
        <v>0</v>
      </c>
      <c r="AJ263" s="76">
        <v>0</v>
      </c>
      <c r="AK263" s="76"/>
      <c r="AL263" s="76">
        <v>88.98</v>
      </c>
    </row>
    <row r="264" spans="1:38">
      <c r="A264" s="7" t="s">
        <v>362</v>
      </c>
      <c r="B264" s="109" t="s">
        <v>363</v>
      </c>
      <c r="C264" s="7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67"/>
      <c r="V264" s="71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</row>
    <row r="265" spans="1:38">
      <c r="A265" s="7">
        <v>1</v>
      </c>
      <c r="B265" s="86" t="s">
        <v>364</v>
      </c>
      <c r="C265" s="74" t="s">
        <v>146</v>
      </c>
      <c r="D265" s="76">
        <v>88.3</v>
      </c>
      <c r="E265" s="76">
        <v>88.32</v>
      </c>
      <c r="F265" s="76">
        <v>88.34</v>
      </c>
      <c r="G265" s="76">
        <v>88.42</v>
      </c>
      <c r="H265" s="76">
        <v>88.41</v>
      </c>
      <c r="I265" s="76">
        <v>88.52</v>
      </c>
      <c r="J265" s="76">
        <v>88.52</v>
      </c>
      <c r="K265" s="76">
        <v>88.4</v>
      </c>
      <c r="L265" s="76">
        <v>88.51</v>
      </c>
      <c r="M265" s="76">
        <v>88.52</v>
      </c>
      <c r="N265" s="76">
        <v>73</v>
      </c>
      <c r="O265" s="76">
        <v>76.3</v>
      </c>
      <c r="P265" s="76">
        <v>77.400000000000006</v>
      </c>
      <c r="Q265" s="76">
        <v>81.78</v>
      </c>
      <c r="R265" s="76">
        <v>80.8</v>
      </c>
      <c r="S265" s="76">
        <v>85.654166666666683</v>
      </c>
      <c r="T265" s="76">
        <v>88.528333333333322</v>
      </c>
      <c r="U265" s="77">
        <v>86</v>
      </c>
      <c r="V265" s="78">
        <v>89.25</v>
      </c>
      <c r="W265" s="76">
        <v>89.06</v>
      </c>
      <c r="X265" s="76">
        <v>89.07</v>
      </c>
      <c r="Y265" s="76">
        <v>89.126666666666665</v>
      </c>
      <c r="Z265" s="76">
        <v>89.11</v>
      </c>
      <c r="AA265" s="76">
        <v>91.04</v>
      </c>
      <c r="AB265" s="76">
        <v>91.18</v>
      </c>
      <c r="AC265" s="76">
        <v>90.443333333333342</v>
      </c>
      <c r="AD265" s="76">
        <v>91.22</v>
      </c>
      <c r="AE265" s="76">
        <v>91.5</v>
      </c>
      <c r="AF265" s="76">
        <v>91.57</v>
      </c>
      <c r="AG265" s="76">
        <v>91.429999999999993</v>
      </c>
      <c r="AH265" s="76">
        <v>91.94</v>
      </c>
      <c r="AI265" s="76">
        <v>90.66</v>
      </c>
      <c r="AJ265" s="76">
        <v>0</v>
      </c>
      <c r="AK265" s="76"/>
      <c r="AL265" s="76">
        <v>90.509090909090915</v>
      </c>
    </row>
    <row r="266" spans="1:38">
      <c r="A266" s="7">
        <v>2</v>
      </c>
      <c r="B266" s="86" t="s">
        <v>365</v>
      </c>
      <c r="C266" s="74" t="s">
        <v>354</v>
      </c>
      <c r="D266" s="76">
        <v>28.251201228038816</v>
      </c>
      <c r="E266" s="76">
        <v>29.29</v>
      </c>
      <c r="F266" s="76">
        <v>29.52</v>
      </c>
      <c r="G266" s="76">
        <v>30.424720936564118</v>
      </c>
      <c r="H266" s="76">
        <v>30.765630592186767</v>
      </c>
      <c r="I266" s="76">
        <v>28.248791833881679</v>
      </c>
      <c r="J266" s="76">
        <v>28.406384719660981</v>
      </c>
      <c r="K266" s="76">
        <v>25.599871599390099</v>
      </c>
      <c r="L266" s="76">
        <v>26.938035360645177</v>
      </c>
      <c r="M266" s="76">
        <v>28.148396639270519</v>
      </c>
      <c r="N266" s="76">
        <v>29.101667563206025</v>
      </c>
      <c r="O266" s="76">
        <v>25.508177469215756</v>
      </c>
      <c r="P266" s="76">
        <v>27.148376318262503</v>
      </c>
      <c r="Q266" s="76">
        <v>26.004775169120574</v>
      </c>
      <c r="R266" s="76">
        <v>27.859171437587342</v>
      </c>
      <c r="S266" s="76">
        <v>27.438553099397126</v>
      </c>
      <c r="T266" s="76">
        <v>21.849498536099173</v>
      </c>
      <c r="U266" s="77">
        <v>25.9</v>
      </c>
      <c r="V266" s="78">
        <v>21.147014041617325</v>
      </c>
      <c r="W266" s="76">
        <v>24.834957560515562</v>
      </c>
      <c r="X266" s="76">
        <v>24.332694292877157</v>
      </c>
      <c r="Y266" s="76">
        <v>23.512123438648054</v>
      </c>
      <c r="Z266" s="76">
        <v>22.044415414761595</v>
      </c>
      <c r="AA266" s="76">
        <v>25.881470367591898</v>
      </c>
      <c r="AB266" s="76">
        <v>25.564971751412429</v>
      </c>
      <c r="AC266" s="76">
        <v>24.492878722485973</v>
      </c>
      <c r="AD266" s="76">
        <v>22.613065326633166</v>
      </c>
      <c r="AE266" s="76">
        <v>20.750199521149241</v>
      </c>
      <c r="AF266" s="76">
        <v>29.016141429669485</v>
      </c>
      <c r="AG266" s="76">
        <v>24.351355268879548</v>
      </c>
      <c r="AH266" s="76">
        <v>22.210281210818557</v>
      </c>
      <c r="AI266" s="76">
        <v>17.792302106027595</v>
      </c>
      <c r="AJ266" s="76" t="e">
        <v>#DIV/0!</v>
      </c>
      <c r="AK266" s="76"/>
      <c r="AL266" s="76">
        <v>23.367851598136973</v>
      </c>
    </row>
    <row r="267" spans="1:38">
      <c r="A267" s="7">
        <v>3</v>
      </c>
      <c r="B267" s="86" t="s">
        <v>366</v>
      </c>
      <c r="C267" s="74" t="s">
        <v>146</v>
      </c>
      <c r="D267" s="76">
        <v>83.788706739526404</v>
      </c>
      <c r="E267" s="76">
        <v>85.48</v>
      </c>
      <c r="F267" s="76">
        <v>83.65</v>
      </c>
      <c r="G267" s="76">
        <v>85.810502283105023</v>
      </c>
      <c r="H267" s="76">
        <v>80.339253187613849</v>
      </c>
      <c r="I267" s="76">
        <v>78.013698630136986</v>
      </c>
      <c r="J267" s="76">
        <v>75.148401826484019</v>
      </c>
      <c r="K267" s="76">
        <v>74.063926940639263</v>
      </c>
      <c r="L267" s="76">
        <v>75.478142076502735</v>
      </c>
      <c r="M267" s="76">
        <v>77.922374429223737</v>
      </c>
      <c r="N267" s="76">
        <v>81.894977168949765</v>
      </c>
      <c r="O267" s="76">
        <v>78.538812785388117</v>
      </c>
      <c r="P267" s="76">
        <v>81.785063752276869</v>
      </c>
      <c r="Q267" s="76">
        <v>82.45433789954339</v>
      </c>
      <c r="R267" s="76">
        <v>83.06</v>
      </c>
      <c r="S267" s="76">
        <v>81.095890410958901</v>
      </c>
      <c r="T267" s="76">
        <v>46.721311475409841</v>
      </c>
      <c r="U267" s="77">
        <v>87</v>
      </c>
      <c r="V267" s="76">
        <v>40.972222222222221</v>
      </c>
      <c r="W267" s="76">
        <v>42.741935483870968</v>
      </c>
      <c r="X267" s="76">
        <v>46.111111111111114</v>
      </c>
      <c r="Y267" s="76">
        <v>40.972222222222221</v>
      </c>
      <c r="Z267" s="76">
        <v>42.741935483870968</v>
      </c>
      <c r="AA267" s="76">
        <v>34.946236559139784</v>
      </c>
      <c r="AB267" s="76">
        <v>47.361111111111107</v>
      </c>
      <c r="AC267" s="76" t="e">
        <v>#DIV/0!</v>
      </c>
      <c r="AD267" s="76">
        <v>24.327956989247312</v>
      </c>
      <c r="AE267" s="76">
        <v>34.722222222222221</v>
      </c>
      <c r="AF267" s="76">
        <v>34.946236559139784</v>
      </c>
      <c r="AG267" s="76" t="e">
        <v>#DIV/0!</v>
      </c>
      <c r="AH267" s="76">
        <v>37.768817204301072</v>
      </c>
      <c r="AI267" s="76">
        <v>41.220238095238095</v>
      </c>
      <c r="AJ267" s="76" t="e">
        <v>#DIV/0!</v>
      </c>
      <c r="AK267" s="76"/>
      <c r="AL267" s="76">
        <v>38.834830339321357</v>
      </c>
    </row>
    <row r="268" spans="1:38">
      <c r="A268" s="7">
        <v>4</v>
      </c>
      <c r="B268" s="86" t="s">
        <v>367</v>
      </c>
      <c r="C268" s="74" t="s">
        <v>146</v>
      </c>
      <c r="D268" s="82">
        <v>55.893478260869564</v>
      </c>
      <c r="E268" s="82">
        <v>51.7</v>
      </c>
      <c r="F268" s="82">
        <v>55.08</v>
      </c>
      <c r="G268" s="82">
        <v>52.880138353066386</v>
      </c>
      <c r="H268" s="82">
        <v>44.452316848519203</v>
      </c>
      <c r="I268" s="82">
        <v>53.575212174422006</v>
      </c>
      <c r="J268" s="82">
        <v>55.415464074130341</v>
      </c>
      <c r="K268" s="76">
        <v>54.076757090012329</v>
      </c>
      <c r="L268" s="76">
        <v>55.023831070889898</v>
      </c>
      <c r="M268" s="76">
        <v>38.550981541166124</v>
      </c>
      <c r="N268" s="76">
        <v>31.745469751881792</v>
      </c>
      <c r="O268" s="76">
        <v>36.320203488372094</v>
      </c>
      <c r="P268" s="76">
        <v>28.826837416481073</v>
      </c>
      <c r="Q268" s="76">
        <v>28.315796760348888</v>
      </c>
      <c r="R268" s="76">
        <v>41.821454283657303</v>
      </c>
      <c r="S268" s="76">
        <v>41.082488738738739</v>
      </c>
      <c r="T268" s="76">
        <v>73.160331384015592</v>
      </c>
      <c r="U268" s="77">
        <v>90</v>
      </c>
      <c r="V268" s="78">
        <v>100</v>
      </c>
      <c r="W268" s="76">
        <v>100</v>
      </c>
      <c r="X268" s="76">
        <v>99.096385542168676</v>
      </c>
      <c r="Y268" s="76">
        <v>99.682539682539684</v>
      </c>
      <c r="Z268" s="76">
        <v>96.226415094339629</v>
      </c>
      <c r="AA268" s="76">
        <v>98.076923076923066</v>
      </c>
      <c r="AB268" s="76">
        <v>98.533724340175951</v>
      </c>
      <c r="AC268" s="76">
        <v>97.606093579978236</v>
      </c>
      <c r="AD268" s="76">
        <v>98.895027624309392</v>
      </c>
      <c r="AE268" s="76">
        <v>99.2</v>
      </c>
      <c r="AF268" s="76">
        <v>99.230769230769226</v>
      </c>
      <c r="AG268" s="76">
        <v>99.131693198263378</v>
      </c>
      <c r="AH268" s="76">
        <v>98.576512455516024</v>
      </c>
      <c r="AI268" s="76">
        <v>98.555956678700369</v>
      </c>
      <c r="AJ268" s="76" t="e">
        <v>#DIV/0!</v>
      </c>
      <c r="AK268" s="76"/>
      <c r="AL268" s="76">
        <v>98.747189206553159</v>
      </c>
    </row>
    <row r="269" spans="1:38">
      <c r="A269" s="7">
        <v>6</v>
      </c>
      <c r="B269" s="86" t="s">
        <v>368</v>
      </c>
      <c r="C269" s="74" t="s">
        <v>369</v>
      </c>
      <c r="D269" s="82">
        <v>14.95530416221985</v>
      </c>
      <c r="E269" s="82">
        <v>14.3</v>
      </c>
      <c r="F269" s="76">
        <v>14.84</v>
      </c>
      <c r="G269" s="76">
        <v>15.474817518248175</v>
      </c>
      <c r="H269" s="76">
        <v>15.261809462157752</v>
      </c>
      <c r="I269" s="76">
        <v>15.525283789528892</v>
      </c>
      <c r="J269" s="76">
        <v>15.48981965444278</v>
      </c>
      <c r="K269" s="76">
        <v>15.41683248268108</v>
      </c>
      <c r="L269" s="76">
        <v>15.130871080139373</v>
      </c>
      <c r="M269" s="76">
        <v>12.926168291679568</v>
      </c>
      <c r="N269" s="76">
        <v>11.935899754128966</v>
      </c>
      <c r="O269" s="76">
        <v>12.491598183568273</v>
      </c>
      <c r="P269" s="76">
        <v>12.660893576490531</v>
      </c>
      <c r="Q269" s="76">
        <v>12.344649954838934</v>
      </c>
      <c r="R269" s="76">
        <v>11.188140357240004</v>
      </c>
      <c r="S269" s="76">
        <v>13.446764862405796</v>
      </c>
      <c r="T269" s="76">
        <v>16.108728244573367</v>
      </c>
      <c r="U269" s="77">
        <v>15.5</v>
      </c>
      <c r="V269" s="78">
        <v>15.709944751381215</v>
      </c>
      <c r="W269" s="76">
        <v>15.554726368159203</v>
      </c>
      <c r="X269" s="76">
        <v>15.239206534422404</v>
      </c>
      <c r="Y269" s="82" t="s">
        <v>114</v>
      </c>
      <c r="Z269" s="76">
        <v>15.615384615384615</v>
      </c>
      <c r="AA269" s="76">
        <v>16.535685645549318</v>
      </c>
      <c r="AB269" s="76">
        <v>16.760391198044008</v>
      </c>
      <c r="AC269" s="82" t="s">
        <v>114</v>
      </c>
      <c r="AD269" s="76">
        <v>16.519047619047619</v>
      </c>
      <c r="AE269" s="76">
        <v>16.06301824212272</v>
      </c>
      <c r="AF269" s="76">
        <v>16.131410256410255</v>
      </c>
      <c r="AG269" s="76">
        <v>16.205221615057681</v>
      </c>
      <c r="AH269" s="76">
        <v>16.020771513353115</v>
      </c>
      <c r="AI269" s="76">
        <v>15.427319211102995</v>
      </c>
      <c r="AJ269" s="76" t="e">
        <v>#DIV/0!</v>
      </c>
      <c r="AK269" s="82"/>
      <c r="AL269" s="76">
        <v>15.921697864487212</v>
      </c>
    </row>
    <row r="270" spans="1:38">
      <c r="A270" s="112" t="s">
        <v>370</v>
      </c>
      <c r="B270" s="73" t="s">
        <v>371</v>
      </c>
      <c r="C270" s="74"/>
      <c r="D270" s="82"/>
      <c r="E270" s="82"/>
      <c r="F270" s="82"/>
      <c r="G270" s="82"/>
      <c r="H270" s="82"/>
      <c r="I270" s="82"/>
      <c r="J270" s="82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75"/>
      <c r="V270" s="71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</row>
    <row r="271" spans="1:38">
      <c r="A271" s="72">
        <v>1</v>
      </c>
      <c r="B271" s="68" t="s">
        <v>372</v>
      </c>
      <c r="C271" s="74" t="s">
        <v>373</v>
      </c>
      <c r="D271" s="79">
        <v>235.83333333333334</v>
      </c>
      <c r="E271" s="79">
        <v>106</v>
      </c>
      <c r="F271" s="79">
        <v>12</v>
      </c>
      <c r="G271" s="79">
        <v>0</v>
      </c>
      <c r="H271" s="79">
        <v>5.083333333333333</v>
      </c>
      <c r="I271" s="79">
        <v>6.25</v>
      </c>
      <c r="J271" s="79">
        <v>48.166666666666664</v>
      </c>
      <c r="K271" s="76">
        <v>67.470416666666665</v>
      </c>
      <c r="L271" s="76">
        <v>61.5</v>
      </c>
      <c r="M271" s="76">
        <v>61.083333333333336</v>
      </c>
      <c r="N271" s="76">
        <v>15.75</v>
      </c>
      <c r="O271" s="82">
        <v>16.916666666666668</v>
      </c>
      <c r="P271" s="82">
        <v>17.583333333333332</v>
      </c>
      <c r="Q271" s="82">
        <v>31.916666666666668</v>
      </c>
      <c r="R271" s="82">
        <v>1.0833333333333333</v>
      </c>
      <c r="S271" s="82">
        <v>0.5</v>
      </c>
      <c r="T271" s="82">
        <v>0</v>
      </c>
      <c r="U271" s="77">
        <v>0.5</v>
      </c>
      <c r="V271" s="81">
        <v>0</v>
      </c>
      <c r="W271" s="79">
        <v>0</v>
      </c>
      <c r="X271" s="79">
        <v>0</v>
      </c>
      <c r="Y271" s="79">
        <v>0</v>
      </c>
      <c r="Z271" s="79">
        <v>0</v>
      </c>
      <c r="AA271" s="79">
        <v>0</v>
      </c>
      <c r="AB271" s="79">
        <v>0</v>
      </c>
      <c r="AC271" s="79">
        <v>0</v>
      </c>
      <c r="AD271" s="79">
        <v>0</v>
      </c>
      <c r="AE271" s="79">
        <v>0</v>
      </c>
      <c r="AF271" s="79">
        <v>0</v>
      </c>
      <c r="AG271" s="79">
        <v>0</v>
      </c>
      <c r="AH271" s="79">
        <v>0</v>
      </c>
      <c r="AI271" s="79">
        <v>21</v>
      </c>
      <c r="AJ271" s="79" t="e">
        <v>#DIV/0!</v>
      </c>
      <c r="AK271" s="79"/>
      <c r="AL271" s="82">
        <v>1.9090909090909092</v>
      </c>
    </row>
    <row r="272" spans="1:38">
      <c r="A272" s="72">
        <v>2</v>
      </c>
      <c r="B272" s="68" t="s">
        <v>374</v>
      </c>
      <c r="C272" s="74" t="s">
        <v>146</v>
      </c>
      <c r="D272" s="82">
        <v>0.42976609696401857</v>
      </c>
      <c r="E272" s="82"/>
      <c r="F272" s="82"/>
      <c r="G272" s="82">
        <v>0.43309391216301735</v>
      </c>
      <c r="H272" s="82">
        <v>0.4720205316034512</v>
      </c>
      <c r="I272" s="82">
        <v>0.504122757344309</v>
      </c>
      <c r="J272" s="82">
        <v>0.57516243742810469</v>
      </c>
      <c r="K272" s="76">
        <v>2.5194353765361512</v>
      </c>
      <c r="L272" s="76">
        <v>4.9258216470843035</v>
      </c>
      <c r="M272" s="76">
        <v>10.162708022286152</v>
      </c>
      <c r="N272" s="76">
        <v>6.1710363398127113</v>
      </c>
      <c r="O272" s="76">
        <v>1.5814526736320209</v>
      </c>
      <c r="P272" s="76">
        <v>0.68784998939898478</v>
      </c>
      <c r="Q272" s="76">
        <v>0.29959534108724378</v>
      </c>
      <c r="R272" s="76">
        <v>0.28281200362619224</v>
      </c>
      <c r="S272" s="76">
        <v>0.323979833364893</v>
      </c>
      <c r="T272" s="76">
        <v>0.30025595589683013</v>
      </c>
      <c r="U272" s="77">
        <v>0</v>
      </c>
      <c r="V272" s="78">
        <v>0.28169014084507044</v>
      </c>
      <c r="W272" s="76">
        <v>0.31847133757961787</v>
      </c>
      <c r="X272" s="76">
        <v>0.32154340836012862</v>
      </c>
      <c r="Y272" s="76">
        <v>0.30625294473985326</v>
      </c>
      <c r="Z272" s="76">
        <v>0.33783783783783783</v>
      </c>
      <c r="AA272" s="76">
        <v>0.34482758620689657</v>
      </c>
      <c r="AB272" s="76">
        <v>0.3436426116838488</v>
      </c>
      <c r="AC272" s="76">
        <v>0.34205829863176679</v>
      </c>
      <c r="AD272" s="76">
        <v>0.34843205574912894</v>
      </c>
      <c r="AE272" s="76">
        <v>0.35971223021582738</v>
      </c>
      <c r="AF272" s="76">
        <v>0.34843205574912894</v>
      </c>
      <c r="AG272" s="76">
        <v>0.35203183592255299</v>
      </c>
      <c r="AH272" s="76">
        <v>0.33112582781456956</v>
      </c>
      <c r="AI272" s="76">
        <v>0.35335689045936397</v>
      </c>
      <c r="AJ272" s="76" t="e">
        <v>#DIV/0!</v>
      </c>
      <c r="AK272" s="76"/>
      <c r="AL272" s="76">
        <v>0.33389983005098473</v>
      </c>
    </row>
    <row r="273" spans="1:38">
      <c r="A273" s="72">
        <v>3</v>
      </c>
      <c r="B273" s="68" t="s">
        <v>375</v>
      </c>
      <c r="C273" s="74" t="s">
        <v>376</v>
      </c>
      <c r="D273" s="82">
        <v>4.5941108663394052</v>
      </c>
      <c r="E273" s="82">
        <v>4.5999999999999996</v>
      </c>
      <c r="F273" s="76">
        <v>4.57</v>
      </c>
      <c r="G273" s="76">
        <v>4.5748097705437738</v>
      </c>
      <c r="H273" s="76">
        <v>4.5725951547674315</v>
      </c>
      <c r="I273" s="76">
        <v>4.5756229807984496</v>
      </c>
      <c r="J273" s="76">
        <v>4.5638005315111734</v>
      </c>
      <c r="K273" s="76">
        <v>4.3996310505298029</v>
      </c>
      <c r="L273" s="76">
        <v>4.3035699256679587</v>
      </c>
      <c r="M273" s="76">
        <v>4.5007273675971096</v>
      </c>
      <c r="N273" s="76">
        <v>4.4351786907379118</v>
      </c>
      <c r="O273" s="76">
        <v>4.3089078763081075</v>
      </c>
      <c r="P273" s="76">
        <v>4.3286049745083641</v>
      </c>
      <c r="Q273" s="76">
        <v>4.320108452503117</v>
      </c>
      <c r="R273" s="76">
        <v>4.1955694555561625</v>
      </c>
      <c r="S273" s="76">
        <v>4.2545676491171358</v>
      </c>
      <c r="T273" s="76">
        <v>4.2379596616888655</v>
      </c>
      <c r="U273" s="77">
        <v>4.2</v>
      </c>
      <c r="V273" s="78">
        <v>4.2892517495065494</v>
      </c>
      <c r="W273" s="76">
        <v>4.2551376502520357</v>
      </c>
      <c r="X273" s="76">
        <v>4.4415835210814283</v>
      </c>
      <c r="Y273" s="76">
        <v>4.3210652526847291</v>
      </c>
      <c r="Z273" s="76">
        <v>4.2725605636521573</v>
      </c>
      <c r="AA273" s="76">
        <v>4.2174171428571432</v>
      </c>
      <c r="AB273" s="76">
        <v>4.2465053638601216</v>
      </c>
      <c r="AC273" s="76">
        <v>4.2450023389989084</v>
      </c>
      <c r="AD273" s="76">
        <v>4.2294044835648474</v>
      </c>
      <c r="AE273" s="76">
        <v>4.1994218187351011</v>
      </c>
      <c r="AF273" s="76">
        <v>4.2646458758379486</v>
      </c>
      <c r="AG273" s="76">
        <v>4.2315667460879647</v>
      </c>
      <c r="AH273" s="76">
        <v>4.2667653316066962</v>
      </c>
      <c r="AI273" s="76">
        <v>4.1889511609287435</v>
      </c>
      <c r="AJ273" s="76" t="e">
        <v>#DIV/0!</v>
      </c>
      <c r="AK273" s="76"/>
      <c r="AL273" s="76">
        <v>4.2611863582989589</v>
      </c>
    </row>
    <row r="274" spans="1:38">
      <c r="A274" s="72">
        <v>4</v>
      </c>
      <c r="B274" s="68" t="s">
        <v>377</v>
      </c>
      <c r="C274" s="74" t="s">
        <v>378</v>
      </c>
      <c r="D274" s="82">
        <v>23.694351124870192</v>
      </c>
      <c r="E274" s="82">
        <v>23.5</v>
      </c>
      <c r="F274" s="82">
        <v>23.56</v>
      </c>
      <c r="G274" s="82">
        <v>22.990334243687514</v>
      </c>
      <c r="H274" s="82">
        <v>23.289912710592947</v>
      </c>
      <c r="I274" s="82">
        <v>23.682444097620262</v>
      </c>
      <c r="J274" s="82">
        <v>26.347598696823738</v>
      </c>
      <c r="K274" s="76">
        <v>25.603054025392517</v>
      </c>
      <c r="L274" s="76">
        <v>25.32956203638529</v>
      </c>
      <c r="M274" s="76">
        <v>27.067449064127313</v>
      </c>
      <c r="N274" s="76">
        <v>26.85447282928823</v>
      </c>
      <c r="O274" s="76">
        <v>26.002451279718915</v>
      </c>
      <c r="P274" s="76">
        <v>25.078431922774719</v>
      </c>
      <c r="Q274" s="76">
        <v>24.712806743220803</v>
      </c>
      <c r="R274" s="76">
        <v>24.826991048160686</v>
      </c>
      <c r="S274" s="76">
        <v>27.407233034699864</v>
      </c>
      <c r="T274" s="76">
        <v>25.124183730393121</v>
      </c>
      <c r="U274" s="77">
        <v>24.5</v>
      </c>
      <c r="V274" s="78">
        <v>23.305946791862286</v>
      </c>
      <c r="W274" s="76">
        <v>24.351927950140404</v>
      </c>
      <c r="X274" s="76">
        <v>25.437656305823509</v>
      </c>
      <c r="Y274" s="76">
        <v>24.317942159700255</v>
      </c>
      <c r="Z274" s="76">
        <v>25.124418773612323</v>
      </c>
      <c r="AA274" s="76">
        <v>24.402113459399335</v>
      </c>
      <c r="AB274" s="76">
        <v>24.794768995799924</v>
      </c>
      <c r="AC274" s="76">
        <v>24.775988994646045</v>
      </c>
      <c r="AD274" s="76">
        <v>25.860777040950133</v>
      </c>
      <c r="AE274" s="76">
        <v>27.797761790567545</v>
      </c>
      <c r="AF274" s="76">
        <v>26.324416469971151</v>
      </c>
      <c r="AG274" s="76">
        <v>26.636756715389915</v>
      </c>
      <c r="AH274" s="76">
        <v>25.021362956633197</v>
      </c>
      <c r="AI274" s="76">
        <v>24.997896685175839</v>
      </c>
      <c r="AJ274" s="76" t="e">
        <v>#DIV/0!</v>
      </c>
      <c r="AK274" s="76"/>
      <c r="AL274" s="76">
        <v>25.166616681662166</v>
      </c>
    </row>
    <row r="275" spans="1:38">
      <c r="A275" s="7" t="s">
        <v>379</v>
      </c>
      <c r="B275" s="73" t="s">
        <v>380</v>
      </c>
      <c r="C275" s="75"/>
      <c r="D275" s="82"/>
      <c r="E275" s="82"/>
      <c r="F275" s="82"/>
      <c r="G275" s="82"/>
      <c r="H275" s="82"/>
      <c r="I275" s="82"/>
      <c r="J275" s="82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75"/>
      <c r="V275" s="71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</row>
    <row r="276" spans="1:38">
      <c r="A276" s="72">
        <v>1</v>
      </c>
      <c r="B276" s="68" t="s">
        <v>372</v>
      </c>
      <c r="C276" s="74" t="s">
        <v>373</v>
      </c>
      <c r="D276" s="79">
        <v>20.833333333333332</v>
      </c>
      <c r="E276" s="79">
        <v>48</v>
      </c>
      <c r="F276" s="79">
        <v>45</v>
      </c>
      <c r="G276" s="79">
        <v>29.916666666666668</v>
      </c>
      <c r="H276" s="79">
        <v>19.75</v>
      </c>
      <c r="I276" s="79">
        <v>25.916666666666668</v>
      </c>
      <c r="J276" s="79">
        <v>31.25</v>
      </c>
      <c r="K276" s="76">
        <v>39.926666666666662</v>
      </c>
      <c r="L276" s="76">
        <v>19.3</v>
      </c>
      <c r="M276" s="76">
        <v>22.166666666666668</v>
      </c>
      <c r="N276" s="76">
        <v>18.25</v>
      </c>
      <c r="O276" s="82">
        <v>4.583333333333333</v>
      </c>
      <c r="P276" s="82">
        <v>7</v>
      </c>
      <c r="Q276" s="82">
        <v>0</v>
      </c>
      <c r="R276" s="82">
        <v>4.666666666666667</v>
      </c>
      <c r="S276" s="82">
        <v>0</v>
      </c>
      <c r="T276" s="82">
        <v>0</v>
      </c>
      <c r="U276" s="75">
        <v>1150</v>
      </c>
      <c r="V276" s="81">
        <v>0</v>
      </c>
      <c r="W276" s="79">
        <v>0</v>
      </c>
      <c r="X276" s="79">
        <v>0</v>
      </c>
      <c r="Y276" s="79">
        <v>0</v>
      </c>
      <c r="Z276" s="79">
        <v>0</v>
      </c>
      <c r="AA276" s="79">
        <v>0</v>
      </c>
      <c r="AB276" s="79">
        <v>0</v>
      </c>
      <c r="AC276" s="79">
        <v>0</v>
      </c>
      <c r="AD276" s="79">
        <v>0</v>
      </c>
      <c r="AE276" s="79">
        <v>0</v>
      </c>
      <c r="AF276" s="79">
        <v>0</v>
      </c>
      <c r="AG276" s="79" t="e">
        <v>#DIV/0!</v>
      </c>
      <c r="AH276" s="79">
        <v>0</v>
      </c>
      <c r="AI276" s="79">
        <v>0</v>
      </c>
      <c r="AJ276" s="79" t="e">
        <v>#DIV/0!</v>
      </c>
      <c r="AK276" s="79"/>
      <c r="AL276" s="82">
        <v>0</v>
      </c>
    </row>
    <row r="277" spans="1:38">
      <c r="A277" s="72">
        <v>2</v>
      </c>
      <c r="B277" s="68" t="s">
        <v>375</v>
      </c>
      <c r="C277" s="74" t="s">
        <v>376</v>
      </c>
      <c r="D277" s="76">
        <v>3.9229653789931844</v>
      </c>
      <c r="E277" s="76">
        <v>4.13</v>
      </c>
      <c r="F277" s="76">
        <v>3.89</v>
      </c>
      <c r="G277" s="76">
        <v>4.0470306113832217</v>
      </c>
      <c r="H277" s="76">
        <v>4.2130372304439669</v>
      </c>
      <c r="I277" s="76">
        <v>4.1673669454502464</v>
      </c>
      <c r="J277" s="76">
        <v>4.1150200470383318</v>
      </c>
      <c r="K277" s="76">
        <v>4.1538862158423173</v>
      </c>
      <c r="L277" s="76">
        <v>4.1643115627472707</v>
      </c>
      <c r="M277" s="76">
        <v>4.2141905992810482</v>
      </c>
      <c r="N277" s="76">
        <v>7.1700143211132144</v>
      </c>
      <c r="O277" s="76">
        <v>4.2404987849060607</v>
      </c>
      <c r="P277" s="76">
        <v>4.1865477663416319</v>
      </c>
      <c r="Q277" s="76">
        <v>3.7098925842535349</v>
      </c>
      <c r="R277" s="76">
        <v>4.2317847035723153</v>
      </c>
      <c r="S277" s="76">
        <v>4.3476027608597958</v>
      </c>
      <c r="T277" s="76">
        <v>4.1144873841335921</v>
      </c>
      <c r="U277" s="75">
        <v>3.7</v>
      </c>
      <c r="V277" s="78">
        <v>4.042362938538993</v>
      </c>
      <c r="W277" s="76">
        <v>3.911632820127759</v>
      </c>
      <c r="X277" s="76">
        <v>4.3918307629884961</v>
      </c>
      <c r="Y277" s="76">
        <v>4.1133171504677062</v>
      </c>
      <c r="Z277" s="76">
        <v>4.2435957722716733</v>
      </c>
      <c r="AA277" s="76">
        <v>4.3394994366614945</v>
      </c>
      <c r="AB277" s="76">
        <v>4.2456655436937849</v>
      </c>
      <c r="AC277" s="76">
        <v>4.27647961111062</v>
      </c>
      <c r="AD277" s="76">
        <v>4.3021479564797209</v>
      </c>
      <c r="AE277" s="76">
        <v>4.3162358564361449</v>
      </c>
      <c r="AF277" s="76">
        <v>4.2529233749501296</v>
      </c>
      <c r="AG277" s="76">
        <v>4.2790523339020101</v>
      </c>
      <c r="AH277" s="76">
        <v>4.3055994334625982</v>
      </c>
      <c r="AI277" s="76">
        <v>4.2336332078177543</v>
      </c>
      <c r="AJ277" s="76" t="e">
        <v>#DIV/0!</v>
      </c>
      <c r="AK277" s="76"/>
      <c r="AL277" s="76">
        <v>4.2355325885938484</v>
      </c>
    </row>
    <row r="278" spans="1:38">
      <c r="A278" s="72">
        <v>3</v>
      </c>
      <c r="B278" s="68" t="s">
        <v>377</v>
      </c>
      <c r="C278" s="74" t="s">
        <v>378</v>
      </c>
      <c r="D278" s="76">
        <v>24.99275881497098</v>
      </c>
      <c r="E278" s="76">
        <v>24.76</v>
      </c>
      <c r="F278" s="76">
        <v>25.33</v>
      </c>
      <c r="G278" s="76">
        <v>26.500084857862511</v>
      </c>
      <c r="H278" s="76">
        <v>25.997688791602084</v>
      </c>
      <c r="I278" s="76">
        <v>26.148952338867076</v>
      </c>
      <c r="J278" s="76">
        <v>27.383539708932119</v>
      </c>
      <c r="K278" s="76">
        <v>26.493671825508081</v>
      </c>
      <c r="L278" s="76">
        <v>26.78598517381872</v>
      </c>
      <c r="M278" s="76">
        <v>25.456736624709212</v>
      </c>
      <c r="N278" s="76">
        <v>24.868493625677594</v>
      </c>
      <c r="O278" s="76">
        <v>24.310988383823826</v>
      </c>
      <c r="P278" s="76">
        <v>22.835478049396617</v>
      </c>
      <c r="Q278" s="76">
        <v>25.47759488242281</v>
      </c>
      <c r="R278" s="76">
        <v>26.121685230336542</v>
      </c>
      <c r="S278" s="76">
        <v>29.80420873110203</v>
      </c>
      <c r="T278" s="76">
        <v>31.728671407175696</v>
      </c>
      <c r="U278" s="75">
        <v>32</v>
      </c>
      <c r="V278" s="78">
        <v>30.642767786145875</v>
      </c>
      <c r="W278" s="76">
        <v>32.08101892255408</v>
      </c>
      <c r="X278" s="76">
        <v>30.345677830177387</v>
      </c>
      <c r="Y278" s="76">
        <v>31.005619678523779</v>
      </c>
      <c r="Z278" s="76">
        <v>34.01865755841385</v>
      </c>
      <c r="AA278" s="76">
        <v>32.0749932881902</v>
      </c>
      <c r="AB278" s="76">
        <v>31.71097651794874</v>
      </c>
      <c r="AC278" s="76">
        <v>32.600532181689886</v>
      </c>
      <c r="AD278" s="76">
        <v>31.016311482418505</v>
      </c>
      <c r="AE278" s="76">
        <v>32.446450585576329</v>
      </c>
      <c r="AF278" s="76">
        <v>26.306781858106316</v>
      </c>
      <c r="AG278" s="76">
        <v>28.829147496761326</v>
      </c>
      <c r="AH278" s="76">
        <v>29.971667012583321</v>
      </c>
      <c r="AI278" s="76">
        <v>30.746255800064318</v>
      </c>
      <c r="AJ278" s="76" t="e">
        <v>#DIV/0!</v>
      </c>
      <c r="AK278" s="76"/>
      <c r="AL278" s="76">
        <v>30.594410716670904</v>
      </c>
    </row>
    <row r="279" spans="1:38" s="92" customFormat="1">
      <c r="A279" s="72"/>
      <c r="B279" s="68"/>
      <c r="C279" s="74"/>
      <c r="D279" s="77"/>
      <c r="E279" s="77"/>
      <c r="F279" s="77"/>
      <c r="G279" s="77"/>
      <c r="H279" s="77"/>
      <c r="I279" s="77"/>
      <c r="J279" s="77"/>
      <c r="K279" s="77"/>
      <c r="L279" s="75"/>
      <c r="M279" s="75"/>
      <c r="N279" s="75"/>
      <c r="O279" s="75"/>
      <c r="P279" s="75"/>
      <c r="Q279" s="7"/>
      <c r="R279" s="7"/>
      <c r="S279" s="7"/>
      <c r="T279" s="7"/>
      <c r="U279" s="75" t="s">
        <v>143</v>
      </c>
      <c r="V279" s="66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s="7" customFormat="1">
      <c r="B280" s="86"/>
      <c r="C280" s="74" t="s">
        <v>118</v>
      </c>
      <c r="D280" s="75" t="s">
        <v>119</v>
      </c>
      <c r="E280" s="87" t="s">
        <v>120</v>
      </c>
      <c r="F280" s="87" t="s">
        <v>121</v>
      </c>
      <c r="G280" s="87" t="s">
        <v>122</v>
      </c>
      <c r="H280" s="87" t="s">
        <v>123</v>
      </c>
      <c r="I280" s="75" t="s">
        <v>124</v>
      </c>
      <c r="J280" s="75" t="s">
        <v>125</v>
      </c>
      <c r="K280" s="75" t="s">
        <v>126</v>
      </c>
      <c r="L280" s="75" t="s">
        <v>127</v>
      </c>
      <c r="M280" s="75" t="s">
        <v>128</v>
      </c>
      <c r="N280" s="75" t="s">
        <v>129</v>
      </c>
      <c r="O280" s="75" t="s">
        <v>130</v>
      </c>
      <c r="P280" s="75" t="s">
        <v>131</v>
      </c>
      <c r="Q280" s="75" t="s">
        <v>132</v>
      </c>
      <c r="R280" s="75" t="s">
        <v>133</v>
      </c>
      <c r="S280" s="53" t="s">
        <v>134</v>
      </c>
      <c r="T280" s="53" t="s">
        <v>135</v>
      </c>
      <c r="U280" s="75" t="s">
        <v>136</v>
      </c>
      <c r="V280" s="71" t="s">
        <v>4</v>
      </c>
      <c r="W280" s="75" t="s">
        <v>5</v>
      </c>
      <c r="X280" s="75" t="s">
        <v>6</v>
      </c>
      <c r="Y280" s="75" t="s">
        <v>137</v>
      </c>
      <c r="Z280" s="75" t="s">
        <v>174</v>
      </c>
      <c r="AA280" s="75" t="s">
        <v>9</v>
      </c>
      <c r="AB280" s="75" t="s">
        <v>10</v>
      </c>
      <c r="AC280" s="75" t="s">
        <v>138</v>
      </c>
      <c r="AD280" s="75" t="s">
        <v>12</v>
      </c>
      <c r="AE280" s="75" t="s">
        <v>13</v>
      </c>
      <c r="AF280" s="75" t="s">
        <v>14</v>
      </c>
      <c r="AG280" s="75" t="s">
        <v>139</v>
      </c>
      <c r="AH280" s="75" t="s">
        <v>16</v>
      </c>
      <c r="AI280" s="75" t="s">
        <v>17</v>
      </c>
      <c r="AJ280" s="75" t="s">
        <v>18</v>
      </c>
      <c r="AK280" s="75"/>
      <c r="AL280" s="75" t="s">
        <v>141</v>
      </c>
    </row>
    <row r="281" spans="1:38" s="92" customFormat="1">
      <c r="A281" s="72" t="s">
        <v>381</v>
      </c>
      <c r="B281" s="68" t="s">
        <v>382</v>
      </c>
      <c r="C281" s="74" t="s">
        <v>262</v>
      </c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1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  <c r="AH281" s="75"/>
      <c r="AI281" s="75"/>
      <c r="AJ281" s="75"/>
      <c r="AK281" s="75"/>
      <c r="AL281" s="75"/>
    </row>
    <row r="282" spans="1:38" s="92" customFormat="1">
      <c r="A282" s="72"/>
      <c r="B282" s="68" t="s">
        <v>383</v>
      </c>
      <c r="C282" s="75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75"/>
      <c r="R282" s="75"/>
      <c r="S282" s="75"/>
      <c r="T282" s="75"/>
      <c r="U282" s="75"/>
      <c r="V282" s="71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  <c r="AH282" s="75"/>
      <c r="AI282" s="75"/>
      <c r="AJ282" s="75"/>
      <c r="AK282" s="75"/>
      <c r="AL282" s="75"/>
    </row>
    <row r="283" spans="1:38" s="92" customFormat="1">
      <c r="A283" s="72">
        <v>1</v>
      </c>
      <c r="B283" s="68" t="s">
        <v>384</v>
      </c>
      <c r="C283" s="74" t="s">
        <v>385</v>
      </c>
      <c r="D283" s="80">
        <v>583.98591786870816</v>
      </c>
      <c r="E283" s="80">
        <v>585</v>
      </c>
      <c r="F283" s="80">
        <v>587</v>
      </c>
      <c r="G283" s="80">
        <v>592.79663020288524</v>
      </c>
      <c r="H283" s="80">
        <v>599.28731857131697</v>
      </c>
      <c r="I283" s="80">
        <v>599.91251557875057</v>
      </c>
      <c r="J283" s="80">
        <v>599.82385287375098</v>
      </c>
      <c r="K283" s="80">
        <v>600.43186948058758</v>
      </c>
      <c r="L283" s="80">
        <v>603.42650893838754</v>
      </c>
      <c r="M283" s="80">
        <v>608.8514439468953</v>
      </c>
      <c r="N283" s="80">
        <v>655.15524883913974</v>
      </c>
      <c r="O283" s="80">
        <v>702.35150656324583</v>
      </c>
      <c r="P283" s="80">
        <v>729.28119903038998</v>
      </c>
      <c r="Q283" s="80">
        <v>730.00645511785547</v>
      </c>
      <c r="R283" s="80">
        <v>719.72650498115524</v>
      </c>
      <c r="S283" s="80">
        <v>714.57735394261101</v>
      </c>
      <c r="T283" s="80">
        <v>713.72191740175356</v>
      </c>
      <c r="U283" s="75">
        <v>670</v>
      </c>
      <c r="V283" s="81">
        <v>713.30125408262484</v>
      </c>
      <c r="W283" s="80">
        <v>714.89641030770576</v>
      </c>
      <c r="X283" s="80">
        <v>712.78449289939817</v>
      </c>
      <c r="Y283" s="80">
        <v>713.66686287696496</v>
      </c>
      <c r="Z283" s="80">
        <v>712.88969940575885</v>
      </c>
      <c r="AA283" s="80">
        <v>712.33756054092851</v>
      </c>
      <c r="AB283" s="80">
        <v>713.41525945169894</v>
      </c>
      <c r="AC283" s="80">
        <v>712.8746079016945</v>
      </c>
      <c r="AD283" s="80">
        <v>713.0081434429261</v>
      </c>
      <c r="AE283" s="80">
        <v>713.27239316640157</v>
      </c>
      <c r="AF283" s="80">
        <v>712.78712054930395</v>
      </c>
      <c r="AG283" s="80">
        <v>713.01800660095103</v>
      </c>
      <c r="AH283" s="80">
        <v>712.91989351403674</v>
      </c>
      <c r="AI283" s="80">
        <v>712.77806541656344</v>
      </c>
      <c r="AJ283" s="80" t="e">
        <v>#DIV/0!</v>
      </c>
      <c r="AK283" s="80"/>
      <c r="AL283" s="80">
        <v>713.12580791272433</v>
      </c>
    </row>
    <row r="284" spans="1:38" s="92" customFormat="1">
      <c r="A284" s="72">
        <v>2</v>
      </c>
      <c r="B284" s="68" t="s">
        <v>386</v>
      </c>
      <c r="C284" s="74" t="s">
        <v>385</v>
      </c>
      <c r="D284" s="80">
        <v>580.52698294793959</v>
      </c>
      <c r="E284" s="80">
        <v>583</v>
      </c>
      <c r="F284" s="80">
        <v>578</v>
      </c>
      <c r="G284" s="80">
        <v>541.62582311213339</v>
      </c>
      <c r="H284" s="80">
        <v>537.66554699585799</v>
      </c>
      <c r="I284" s="80">
        <v>520.61417079207922</v>
      </c>
      <c r="J284" s="80">
        <v>542.87651448476595</v>
      </c>
      <c r="K284" s="80">
        <v>586.80507189471257</v>
      </c>
      <c r="L284" s="80">
        <v>577.7912994543052</v>
      </c>
      <c r="M284" s="80">
        <v>599.49734126106841</v>
      </c>
      <c r="N284" s="80">
        <v>616.73517306451356</v>
      </c>
      <c r="O284" s="80">
        <v>663.0852818290798</v>
      </c>
      <c r="P284" s="80">
        <v>723.34951082659302</v>
      </c>
      <c r="Q284" s="80">
        <v>723.26041806978685</v>
      </c>
      <c r="R284" s="80">
        <v>700.80357093448583</v>
      </c>
      <c r="S284" s="80">
        <v>655.11162396743396</v>
      </c>
      <c r="T284" s="80">
        <v>659.57361593393171</v>
      </c>
      <c r="U284" s="75">
        <v>615</v>
      </c>
      <c r="V284" s="81">
        <v>669.99869553874248</v>
      </c>
      <c r="W284" s="80">
        <v>669.99784834933507</v>
      </c>
      <c r="X284" s="80">
        <v>664.9968765881755</v>
      </c>
      <c r="Y284" s="80">
        <v>668.28836557726868</v>
      </c>
      <c r="Z284" s="80">
        <v>664.99865369728388</v>
      </c>
      <c r="AA284" s="80">
        <v>664.9975468498352</v>
      </c>
      <c r="AB284" s="80">
        <v>665.00266369289966</v>
      </c>
      <c r="AC284" s="80">
        <v>664.99960231807427</v>
      </c>
      <c r="AD284" s="80">
        <v>644.99875529001747</v>
      </c>
      <c r="AE284" s="80">
        <v>605.00021518201322</v>
      </c>
      <c r="AF284" s="80">
        <v>650.0064100719236</v>
      </c>
      <c r="AG284" s="80">
        <v>634.61774833099014</v>
      </c>
      <c r="AH284" s="80">
        <v>659.99755531108667</v>
      </c>
      <c r="AI284" s="80">
        <v>644.99784620366665</v>
      </c>
      <c r="AJ284" s="80" t="e">
        <v>#DIV/0!</v>
      </c>
      <c r="AK284" s="80"/>
      <c r="AL284" s="80">
        <v>655.60504761851894</v>
      </c>
    </row>
    <row r="285" spans="1:38" s="92" customFormat="1">
      <c r="A285" s="72">
        <v>3</v>
      </c>
      <c r="B285" s="68" t="s">
        <v>387</v>
      </c>
      <c r="C285" s="74" t="s">
        <v>385</v>
      </c>
      <c r="D285" s="80">
        <v>44.391903653077513</v>
      </c>
      <c r="E285" s="80">
        <v>45</v>
      </c>
      <c r="F285" s="80">
        <v>44</v>
      </c>
      <c r="G285" s="80">
        <v>40.572365265817709</v>
      </c>
      <c r="H285" s="80">
        <v>40.857191284256672</v>
      </c>
      <c r="I285" s="80">
        <v>39.808202479557217</v>
      </c>
      <c r="J285" s="80">
        <v>44.42453045004811</v>
      </c>
      <c r="K285" s="80">
        <v>43.948647545666759</v>
      </c>
      <c r="L285" s="80">
        <v>45.050528880732124</v>
      </c>
      <c r="M285" s="80">
        <v>56.47457562813991</v>
      </c>
      <c r="N285" s="80">
        <v>56.285882096083299</v>
      </c>
      <c r="O285" s="80">
        <v>53.770518830470607</v>
      </c>
      <c r="P285" s="80">
        <v>63.036588160271705</v>
      </c>
      <c r="Q285" s="80">
        <v>56.94594250756407</v>
      </c>
      <c r="R285" s="80">
        <v>54.290961951932871</v>
      </c>
      <c r="S285" s="80">
        <v>50.632167555330128</v>
      </c>
      <c r="T285" s="80">
        <v>44.500938101542388</v>
      </c>
      <c r="U285" s="75">
        <v>44</v>
      </c>
      <c r="V285" s="81">
        <v>44.366753329724837</v>
      </c>
      <c r="W285" s="80">
        <v>45.312445115739926</v>
      </c>
      <c r="X285" s="80">
        <v>48.359240069084628</v>
      </c>
      <c r="Y285" s="83">
        <v>0</v>
      </c>
      <c r="Z285" s="80">
        <v>54.340273618132592</v>
      </c>
      <c r="AA285" s="80">
        <v>52.330214027610488</v>
      </c>
      <c r="AB285" s="80">
        <v>50.406652351619563</v>
      </c>
      <c r="AC285" s="83">
        <v>0</v>
      </c>
      <c r="AD285" s="80">
        <v>53.281983582637693</v>
      </c>
      <c r="AE285" s="80">
        <v>55.400381407354615</v>
      </c>
      <c r="AF285" s="80">
        <v>52.495424424108549</v>
      </c>
      <c r="AG285" s="80">
        <v>53.560266617293095</v>
      </c>
      <c r="AH285" s="80">
        <v>34.682418996373848</v>
      </c>
      <c r="AI285" s="80">
        <v>36.289722869466068</v>
      </c>
      <c r="AJ285" s="80" t="e">
        <v>#DIV/0!</v>
      </c>
      <c r="AK285" s="83"/>
      <c r="AL285" s="80">
        <v>48.190119159191326</v>
      </c>
    </row>
    <row r="286" spans="1:38" s="92" customFormat="1">
      <c r="A286" s="72">
        <v>4</v>
      </c>
      <c r="B286" s="68" t="s">
        <v>388</v>
      </c>
      <c r="C286" s="74" t="s">
        <v>385</v>
      </c>
      <c r="D286" s="80">
        <v>23.428133741840949</v>
      </c>
      <c r="E286" s="80">
        <v>23</v>
      </c>
      <c r="F286" s="80">
        <v>22</v>
      </c>
      <c r="G286" s="80">
        <v>22.143373916620718</v>
      </c>
      <c r="H286" s="80">
        <v>21.841893405223967</v>
      </c>
      <c r="I286" s="80">
        <v>21.929107383118456</v>
      </c>
      <c r="J286" s="80">
        <v>21.668017921655974</v>
      </c>
      <c r="K286" s="80">
        <v>21.732160045786831</v>
      </c>
      <c r="L286" s="80">
        <v>22.398577756091122</v>
      </c>
      <c r="M286" s="80">
        <v>22.005920803821674</v>
      </c>
      <c r="N286" s="80">
        <v>23.354737621066306</v>
      </c>
      <c r="O286" s="80">
        <v>21.130324843909765</v>
      </c>
      <c r="P286" s="80">
        <v>21.417123195066456</v>
      </c>
      <c r="Q286" s="80">
        <v>21.339607559235631</v>
      </c>
      <c r="R286" s="80">
        <v>20.848226660636389</v>
      </c>
      <c r="S286" s="80">
        <v>20.126378312563293</v>
      </c>
      <c r="T286" s="80">
        <v>19.787490025470564</v>
      </c>
      <c r="U286" s="75">
        <v>22</v>
      </c>
      <c r="V286" s="81">
        <v>20.304691816796304</v>
      </c>
      <c r="W286" s="80">
        <v>22.38565211379812</v>
      </c>
      <c r="X286" s="80">
        <v>21.461556083386586</v>
      </c>
      <c r="Y286" s="80">
        <v>21.357565104922354</v>
      </c>
      <c r="Z286" s="80">
        <v>23.46116248137049</v>
      </c>
      <c r="AA286" s="80">
        <v>21.41714929118579</v>
      </c>
      <c r="AB286" s="80">
        <v>20.405227190984295</v>
      </c>
      <c r="AC286" s="80">
        <v>21.605308433876811</v>
      </c>
      <c r="AD286" s="80">
        <v>21.388182245638571</v>
      </c>
      <c r="AE286" s="80">
        <v>23.632335397375446</v>
      </c>
      <c r="AF286" s="80">
        <v>21.477512546465771</v>
      </c>
      <c r="AG286" s="80">
        <v>22.074534649697075</v>
      </c>
      <c r="AH286" s="80">
        <v>21.359640687400301</v>
      </c>
      <c r="AI286" s="80">
        <v>22.378957416344065</v>
      </c>
      <c r="AJ286" s="80" t="e">
        <v>#DIV/0!</v>
      </c>
      <c r="AK286" s="80"/>
      <c r="AL286" s="80">
        <v>21.708385317561326</v>
      </c>
    </row>
    <row r="287" spans="1:38" s="92" customFormat="1">
      <c r="A287" s="72">
        <v>5</v>
      </c>
      <c r="B287" s="68" t="s">
        <v>389</v>
      </c>
      <c r="C287" s="74" t="s">
        <v>385</v>
      </c>
      <c r="D287" s="80"/>
      <c r="E287" s="80"/>
      <c r="F287" s="80"/>
      <c r="G287" s="80"/>
      <c r="H287" s="80"/>
      <c r="I287" s="80"/>
      <c r="J287" s="80"/>
      <c r="K287" s="80">
        <v>24.873857716567404</v>
      </c>
      <c r="L287" s="80">
        <v>22.926618734642577</v>
      </c>
      <c r="M287" s="80">
        <v>21.678487588032567</v>
      </c>
      <c r="N287" s="80">
        <v>21.09708207949534</v>
      </c>
      <c r="O287" s="80">
        <v>18.171618196752771</v>
      </c>
      <c r="P287" s="80">
        <v>19.176920854956411</v>
      </c>
      <c r="Q287" s="80">
        <v>21.308966928060006</v>
      </c>
      <c r="R287" s="80">
        <v>18.690520912438913</v>
      </c>
      <c r="S287" s="80">
        <v>18.829082832091107</v>
      </c>
      <c r="T287" s="80">
        <v>19.030280937118366</v>
      </c>
      <c r="U287" s="75">
        <v>19</v>
      </c>
      <c r="V287" s="81">
        <v>19.439941388444108</v>
      </c>
      <c r="W287" s="80">
        <v>22.151304674300732</v>
      </c>
      <c r="X287" s="80">
        <v>18.428471792453756</v>
      </c>
      <c r="Y287" s="80">
        <v>19.828102568003118</v>
      </c>
      <c r="Z287" s="80">
        <v>18.488877483921669</v>
      </c>
      <c r="AA287" s="80">
        <v>18.486016987150744</v>
      </c>
      <c r="AB287" s="80">
        <v>18.487108267380748</v>
      </c>
      <c r="AC287" s="80">
        <v>18.487333822620023</v>
      </c>
      <c r="AD287" s="80">
        <v>18.42112500878579</v>
      </c>
      <c r="AE287" s="80">
        <v>18.559321492665045</v>
      </c>
      <c r="AF287" s="80">
        <v>18.44046986600555</v>
      </c>
      <c r="AG287" s="80">
        <v>18.472014713886995</v>
      </c>
      <c r="AH287" s="80">
        <v>19.411236535406587</v>
      </c>
      <c r="AI287" s="80">
        <v>20.45177356285523</v>
      </c>
      <c r="AJ287" s="80" t="e">
        <v>#DIV/0!</v>
      </c>
      <c r="AK287" s="80"/>
      <c r="AL287" s="80">
        <v>19.078301860855749</v>
      </c>
    </row>
    <row r="288" spans="1:38" s="92" customFormat="1">
      <c r="A288" s="72">
        <v>6</v>
      </c>
      <c r="B288" s="68" t="s">
        <v>390</v>
      </c>
      <c r="C288" s="74" t="s">
        <v>385</v>
      </c>
      <c r="D288" s="80">
        <v>365.10607857532801</v>
      </c>
      <c r="E288" s="80">
        <v>364</v>
      </c>
      <c r="F288" s="80">
        <v>365</v>
      </c>
      <c r="G288" s="80">
        <v>365.53522725010453</v>
      </c>
      <c r="H288" s="80">
        <v>360.75558028813452</v>
      </c>
      <c r="I288" s="80">
        <v>361.2939235908629</v>
      </c>
      <c r="J288" s="80">
        <v>359.72263423316525</v>
      </c>
      <c r="K288" s="80">
        <v>359.51502565355486</v>
      </c>
      <c r="L288" s="80">
        <v>364.56467253916497</v>
      </c>
      <c r="M288" s="80">
        <v>371.39190630252858</v>
      </c>
      <c r="N288" s="80">
        <v>366.56168310345055</v>
      </c>
      <c r="O288" s="80">
        <v>359.97164677367721</v>
      </c>
      <c r="P288" s="80">
        <v>356.69247974409461</v>
      </c>
      <c r="Q288" s="80">
        <v>364.95118392997421</v>
      </c>
      <c r="R288" s="80">
        <v>359.90251693561714</v>
      </c>
      <c r="S288" s="80">
        <v>366.32280689906344</v>
      </c>
      <c r="T288" s="80">
        <v>362.61345792960822</v>
      </c>
      <c r="U288" s="75">
        <v>360</v>
      </c>
      <c r="V288" s="81">
        <v>364.97203439352199</v>
      </c>
      <c r="W288" s="80">
        <v>363.01661695781848</v>
      </c>
      <c r="X288" s="80">
        <v>364.0147667302594</v>
      </c>
      <c r="Y288" s="83" t="s">
        <v>114</v>
      </c>
      <c r="Z288" s="80">
        <v>363.04509834917911</v>
      </c>
      <c r="AA288" s="80">
        <v>357.99271379535452</v>
      </c>
      <c r="AB288" s="80">
        <v>364.97874561861437</v>
      </c>
      <c r="AC288" s="83" t="s">
        <v>114</v>
      </c>
      <c r="AD288" s="80">
        <v>358.9709381184266</v>
      </c>
      <c r="AE288" s="80">
        <v>360.95505617977528</v>
      </c>
      <c r="AF288" s="80">
        <v>357.9910141206675</v>
      </c>
      <c r="AG288" s="83" t="s">
        <v>114</v>
      </c>
      <c r="AH288" s="80">
        <v>359.0008613264427</v>
      </c>
      <c r="AI288" s="80">
        <v>358.01524948434496</v>
      </c>
      <c r="AJ288" s="80" t="e">
        <v>#DIV/0!</v>
      </c>
      <c r="AK288" s="83"/>
      <c r="AL288" s="80">
        <v>360.87902646668937</v>
      </c>
    </row>
    <row r="289" spans="1:38" s="92" customFormat="1">
      <c r="A289" s="72"/>
      <c r="B289" s="68" t="s">
        <v>391</v>
      </c>
      <c r="C289" s="74" t="s">
        <v>385</v>
      </c>
      <c r="D289" s="80"/>
      <c r="E289" s="80"/>
      <c r="F289" s="80"/>
      <c r="G289" s="80"/>
      <c r="H289" s="80"/>
      <c r="I289" s="80"/>
      <c r="J289" s="80"/>
      <c r="K289" s="80"/>
      <c r="L289" s="80"/>
      <c r="M289" s="80">
        <v>338.40608250459161</v>
      </c>
      <c r="N289" s="80">
        <v>322.47243606011898</v>
      </c>
      <c r="O289" s="80">
        <v>327.81587236128672</v>
      </c>
      <c r="P289" s="80">
        <v>325.09899814119888</v>
      </c>
      <c r="Q289" s="80">
        <v>333.12851815090153</v>
      </c>
      <c r="R289" s="80">
        <v>319.8433191398143</v>
      </c>
      <c r="S289" s="80">
        <v>329.92721828417615</v>
      </c>
      <c r="T289" s="80">
        <v>317.4506112038888</v>
      </c>
      <c r="U289" s="75">
        <v>330</v>
      </c>
      <c r="V289" s="81">
        <v>308.99362008643755</v>
      </c>
      <c r="W289" s="80">
        <v>307.00194270391552</v>
      </c>
      <c r="X289" s="80">
        <v>305.02116954729735</v>
      </c>
      <c r="Y289" s="80">
        <v>305.02116954729735</v>
      </c>
      <c r="Z289" s="80">
        <v>307.0172194899481</v>
      </c>
      <c r="AA289" s="80">
        <v>305.00456663778368</v>
      </c>
      <c r="AB289" s="80">
        <v>306.99339207048456</v>
      </c>
      <c r="AC289" s="80">
        <v>306.33151884713777</v>
      </c>
      <c r="AD289" s="80">
        <v>304.9828932362488</v>
      </c>
      <c r="AE289" s="80">
        <v>305.00709552702443</v>
      </c>
      <c r="AF289" s="80">
        <v>306.97496655837949</v>
      </c>
      <c r="AG289" s="80">
        <v>305.59456748205878</v>
      </c>
      <c r="AH289" s="80">
        <v>304.9962882145187</v>
      </c>
      <c r="AI289" s="80">
        <v>306.01148561751108</v>
      </c>
      <c r="AJ289" s="80" t="e">
        <v>#DIV/0!</v>
      </c>
      <c r="AK289" s="80"/>
      <c r="AL289" s="80">
        <v>306.17846291379101</v>
      </c>
    </row>
    <row r="290" spans="1:38" s="92" customFormat="1">
      <c r="A290" s="72">
        <v>7</v>
      </c>
      <c r="B290" s="68" t="s">
        <v>392</v>
      </c>
      <c r="C290" s="74" t="s">
        <v>385</v>
      </c>
      <c r="D290" s="80">
        <v>347.03876473215155</v>
      </c>
      <c r="E290" s="80">
        <v>349</v>
      </c>
      <c r="F290" s="80">
        <v>345</v>
      </c>
      <c r="G290" s="80">
        <v>345.47904549944718</v>
      </c>
      <c r="H290" s="80">
        <v>344.1262787417736</v>
      </c>
      <c r="I290" s="80">
        <v>353.40665531085801</v>
      </c>
      <c r="J290" s="80">
        <v>344.32726827553228</v>
      </c>
      <c r="K290" s="80">
        <v>345.55480765477108</v>
      </c>
      <c r="L290" s="80">
        <v>355</v>
      </c>
      <c r="M290" s="80">
        <v>353.91330517854885</v>
      </c>
      <c r="N290" s="80">
        <v>328.1093063527739</v>
      </c>
      <c r="O290" s="80">
        <v>329.05496801688389</v>
      </c>
      <c r="P290" s="80">
        <v>327.12718599137315</v>
      </c>
      <c r="Q290" s="80">
        <v>322.67467996149105</v>
      </c>
      <c r="R290" s="80">
        <v>320.73103725283607</v>
      </c>
      <c r="S290" s="80">
        <v>333.65773981692587</v>
      </c>
      <c r="T290" s="80">
        <v>357.21779095132632</v>
      </c>
      <c r="U290" s="75">
        <v>340</v>
      </c>
      <c r="V290" s="81">
        <v>369.93902856751384</v>
      </c>
      <c r="W290" s="80">
        <v>359.97189601525645</v>
      </c>
      <c r="X290" s="80">
        <v>362.03027941141738</v>
      </c>
      <c r="Y290" s="80">
        <v>363.08797837624024</v>
      </c>
      <c r="Z290" s="80"/>
      <c r="AA290" s="80"/>
      <c r="AB290" s="80"/>
      <c r="AC290" s="80" t="e">
        <v>#DIV/0!</v>
      </c>
      <c r="AD290" s="80"/>
      <c r="AE290" s="80"/>
      <c r="AF290" s="80"/>
      <c r="AG290" s="80" t="e">
        <v>#DIV/0!</v>
      </c>
      <c r="AH290" s="80"/>
      <c r="AI290" s="80"/>
      <c r="AJ290" s="80" t="e">
        <v>#DIV/0!</v>
      </c>
      <c r="AK290" s="80"/>
      <c r="AL290" s="80">
        <v>363.08797837624024</v>
      </c>
    </row>
    <row r="291" spans="1:38">
      <c r="B291" s="68" t="s">
        <v>448</v>
      </c>
      <c r="C291" s="74" t="s">
        <v>385</v>
      </c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79">
        <v>327.17207696752183</v>
      </c>
      <c r="U291" s="75">
        <v>330</v>
      </c>
      <c r="V291" s="81">
        <v>313.00028118849002</v>
      </c>
      <c r="W291" s="81">
        <v>311.99943298603728</v>
      </c>
      <c r="X291" s="81">
        <v>309.00499481987481</v>
      </c>
      <c r="Y291" s="81">
        <v>311.19725736695619</v>
      </c>
      <c r="Z291" s="81">
        <v>311.00506845377942</v>
      </c>
      <c r="AA291" s="81">
        <v>308.00235855283421</v>
      </c>
      <c r="AB291" s="81">
        <v>307.00686439580363</v>
      </c>
      <c r="AC291" s="81">
        <v>308.63296302686825</v>
      </c>
      <c r="AD291" s="81">
        <v>331.00451278622762</v>
      </c>
      <c r="AE291" s="81">
        <v>345.00230570847873</v>
      </c>
      <c r="AF291" s="81">
        <v>321.99639323487838</v>
      </c>
      <c r="AG291" s="81">
        <v>331.98901540133613</v>
      </c>
      <c r="AH291" s="81">
        <v>321.0028382213813</v>
      </c>
      <c r="AI291" s="81">
        <v>337.99637757005945</v>
      </c>
      <c r="AJ291" s="81" t="e">
        <v>#DIV/0!</v>
      </c>
      <c r="AK291" s="81">
        <v>328.89050360988716</v>
      </c>
      <c r="AL291" s="81">
        <v>319.36328698578131</v>
      </c>
    </row>
    <row r="292" spans="1:38" s="92" customFormat="1">
      <c r="A292" s="72">
        <v>8</v>
      </c>
      <c r="B292" s="68" t="s">
        <v>393</v>
      </c>
      <c r="C292" s="74" t="s">
        <v>385</v>
      </c>
      <c r="D292" s="80">
        <v>739.99173620489762</v>
      </c>
      <c r="E292" s="80">
        <v>740</v>
      </c>
      <c r="F292" s="80">
        <v>740</v>
      </c>
      <c r="G292" s="80">
        <v>740.89798233226168</v>
      </c>
      <c r="H292" s="80">
        <v>742.12588023559306</v>
      </c>
      <c r="I292" s="80">
        <v>739.92326830066224</v>
      </c>
      <c r="J292" s="80">
        <v>739.94949530321583</v>
      </c>
      <c r="K292" s="80">
        <v>734.99445279318184</v>
      </c>
      <c r="L292" s="80">
        <v>735.09110306133175</v>
      </c>
      <c r="M292" s="80">
        <v>768.15340622954125</v>
      </c>
      <c r="N292" s="80">
        <v>781.7873068646569</v>
      </c>
      <c r="O292" s="80">
        <v>791.7998857154605</v>
      </c>
      <c r="P292" s="80">
        <v>748.88677988399877</v>
      </c>
      <c r="Q292" s="80">
        <v>740.34509562268374</v>
      </c>
      <c r="R292" s="80">
        <v>727.53578372670972</v>
      </c>
      <c r="S292" s="80">
        <v>725.65168412651258</v>
      </c>
      <c r="T292" s="80">
        <v>735.18200659737886</v>
      </c>
      <c r="U292" s="75">
        <v>750</v>
      </c>
      <c r="V292" s="81">
        <v>714.04888103651354</v>
      </c>
      <c r="W292" s="80">
        <v>807.28510370270396</v>
      </c>
      <c r="X292" s="80">
        <v>802.7266478342749</v>
      </c>
      <c r="Y292" s="80">
        <v>771.43282997519475</v>
      </c>
      <c r="Z292" s="80">
        <v>705.57684382549382</v>
      </c>
      <c r="AA292" s="80">
        <v>694.68245967741939</v>
      </c>
      <c r="AB292" s="80">
        <v>746.75565432098767</v>
      </c>
      <c r="AC292" s="80">
        <v>715.33548389690156</v>
      </c>
      <c r="AD292" s="80">
        <v>743.43289434744008</v>
      </c>
      <c r="AE292" s="80">
        <v>742.28511530398328</v>
      </c>
      <c r="AF292" s="80">
        <v>768.01450228436943</v>
      </c>
      <c r="AG292" s="80">
        <v>751.80284073218297</v>
      </c>
      <c r="AH292" s="80">
        <v>745.57785115570232</v>
      </c>
      <c r="AI292" s="80">
        <v>741.67439209726444</v>
      </c>
      <c r="AJ292" s="80" t="e">
        <v>#DIV/0!</v>
      </c>
      <c r="AK292" s="80"/>
      <c r="AL292" s="80">
        <v>746.44537290618428</v>
      </c>
    </row>
    <row r="293" spans="1:38" s="92" customFormat="1">
      <c r="A293" s="72">
        <v>9</v>
      </c>
      <c r="B293" s="68" t="s">
        <v>394</v>
      </c>
      <c r="C293" s="74" t="s">
        <v>385</v>
      </c>
      <c r="D293" s="80">
        <v>768.66177376510052</v>
      </c>
      <c r="E293" s="80">
        <v>724</v>
      </c>
      <c r="F293" s="80">
        <v>734</v>
      </c>
      <c r="G293" s="80">
        <v>716.86713588610451</v>
      </c>
      <c r="H293" s="80">
        <v>713.71163141040142</v>
      </c>
      <c r="I293" s="80">
        <v>712.31439497667213</v>
      </c>
      <c r="J293" s="80">
        <v>693.23989638475291</v>
      </c>
      <c r="K293" s="80">
        <v>698.50294507982733</v>
      </c>
      <c r="L293" s="80">
        <v>692.0697379467623</v>
      </c>
      <c r="M293" s="80">
        <v>683.14891875587307</v>
      </c>
      <c r="N293" s="80">
        <v>675.36330725043058</v>
      </c>
      <c r="O293" s="80">
        <v>686.96582711209749</v>
      </c>
      <c r="P293" s="80">
        <v>697.25622631303645</v>
      </c>
      <c r="Q293" s="80">
        <v>692.34319291730196</v>
      </c>
      <c r="R293" s="80">
        <v>687.86142031365716</v>
      </c>
      <c r="S293" s="80">
        <v>679.1785346536966</v>
      </c>
      <c r="T293" s="80">
        <v>717.02809072073615</v>
      </c>
      <c r="U293" s="75">
        <v>680</v>
      </c>
      <c r="V293" s="81">
        <v>685.69247833551958</v>
      </c>
      <c r="W293" s="80">
        <v>685.33550314691422</v>
      </c>
      <c r="X293" s="80">
        <v>647.34641993632249</v>
      </c>
      <c r="Y293" s="80">
        <v>672.25268590022995</v>
      </c>
      <c r="Z293" s="80">
        <v>718.78538679303347</v>
      </c>
      <c r="AA293" s="80">
        <v>686.7532440414044</v>
      </c>
      <c r="AB293" s="80">
        <v>711.75002473713539</v>
      </c>
      <c r="AC293" s="80">
        <v>705.53388535140141</v>
      </c>
      <c r="AD293" s="80">
        <v>707.49781457320046</v>
      </c>
      <c r="AE293" s="80">
        <v>700.33655229093893</v>
      </c>
      <c r="AF293" s="80">
        <v>695.57429115065941</v>
      </c>
      <c r="AG293" s="80">
        <v>699.72231137079712</v>
      </c>
      <c r="AH293" s="80">
        <v>704.98105502970861</v>
      </c>
      <c r="AI293" s="80">
        <v>693.52508384251394</v>
      </c>
      <c r="AJ293" s="80" t="e">
        <v>#DIV/0!</v>
      </c>
      <c r="AK293" s="80"/>
      <c r="AL293" s="80">
        <v>694.08491772481875</v>
      </c>
    </row>
    <row r="294" spans="1:38" s="92" customFormat="1">
      <c r="A294" s="72"/>
      <c r="B294" s="68" t="s">
        <v>395</v>
      </c>
      <c r="C294" s="74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75"/>
      <c r="R294" s="75"/>
      <c r="S294" s="75"/>
      <c r="T294" s="75"/>
      <c r="U294" s="75" t="s">
        <v>143</v>
      </c>
      <c r="V294" s="71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  <c r="AH294" s="75"/>
      <c r="AI294" s="75"/>
      <c r="AJ294" s="75"/>
      <c r="AK294" s="75"/>
      <c r="AL294" s="75" t="s">
        <v>396</v>
      </c>
    </row>
    <row r="295" spans="1:38" s="7" customFormat="1">
      <c r="B295" s="86"/>
      <c r="C295" s="74" t="s">
        <v>118</v>
      </c>
      <c r="D295" s="75" t="s">
        <v>119</v>
      </c>
      <c r="E295" s="87" t="s">
        <v>120</v>
      </c>
      <c r="F295" s="87" t="s">
        <v>121</v>
      </c>
      <c r="G295" s="87" t="s">
        <v>122</v>
      </c>
      <c r="H295" s="87" t="s">
        <v>123</v>
      </c>
      <c r="I295" s="75" t="s">
        <v>124</v>
      </c>
      <c r="J295" s="75" t="s">
        <v>125</v>
      </c>
      <c r="K295" s="75" t="s">
        <v>126</v>
      </c>
      <c r="L295" s="75" t="s">
        <v>127</v>
      </c>
      <c r="M295" s="75" t="s">
        <v>128</v>
      </c>
      <c r="N295" s="75" t="s">
        <v>129</v>
      </c>
      <c r="O295" s="75" t="s">
        <v>130</v>
      </c>
      <c r="P295" s="75" t="s">
        <v>131</v>
      </c>
      <c r="Q295" s="75" t="s">
        <v>132</v>
      </c>
      <c r="R295" s="75" t="s">
        <v>133</v>
      </c>
      <c r="S295" s="53" t="s">
        <v>134</v>
      </c>
      <c r="T295" s="53" t="s">
        <v>135</v>
      </c>
      <c r="U295" s="75" t="s">
        <v>136</v>
      </c>
      <c r="V295" s="71" t="s">
        <v>4</v>
      </c>
      <c r="W295" s="75" t="s">
        <v>5</v>
      </c>
      <c r="X295" s="75" t="s">
        <v>6</v>
      </c>
      <c r="Y295" s="75" t="s">
        <v>137</v>
      </c>
      <c r="Z295" s="75" t="s">
        <v>174</v>
      </c>
      <c r="AA295" s="75" t="s">
        <v>9</v>
      </c>
      <c r="AB295" s="75" t="s">
        <v>10</v>
      </c>
      <c r="AC295" s="75" t="s">
        <v>138</v>
      </c>
      <c r="AD295" s="75" t="s">
        <v>12</v>
      </c>
      <c r="AE295" s="75" t="s">
        <v>13</v>
      </c>
      <c r="AF295" s="75" t="s">
        <v>14</v>
      </c>
      <c r="AG295" s="75" t="s">
        <v>139</v>
      </c>
      <c r="AH295" s="75" t="s">
        <v>16</v>
      </c>
      <c r="AI295" s="75" t="s">
        <v>17</v>
      </c>
      <c r="AJ295" s="75" t="s">
        <v>18</v>
      </c>
      <c r="AK295" s="75"/>
      <c r="AL295" s="75" t="s">
        <v>141</v>
      </c>
    </row>
    <row r="296" spans="1:38" s="92" customFormat="1">
      <c r="A296" s="72"/>
      <c r="B296" s="68" t="s">
        <v>397</v>
      </c>
      <c r="C296" s="75"/>
      <c r="D296" s="80"/>
      <c r="E296" s="80"/>
      <c r="F296" s="80"/>
      <c r="G296" s="80"/>
      <c r="H296" s="80"/>
      <c r="I296" s="80"/>
      <c r="J296" s="80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1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  <c r="AH296" s="75"/>
      <c r="AI296" s="75"/>
      <c r="AJ296" s="75"/>
      <c r="AK296" s="75"/>
      <c r="AL296" s="75"/>
    </row>
    <row r="297" spans="1:38" s="92" customFormat="1">
      <c r="A297" s="72">
        <v>1</v>
      </c>
      <c r="B297" s="68" t="s">
        <v>398</v>
      </c>
      <c r="C297" s="74" t="s">
        <v>399</v>
      </c>
      <c r="D297" s="77">
        <v>4.8829478505766515</v>
      </c>
      <c r="E297" s="77">
        <v>4.92</v>
      </c>
      <c r="F297" s="77">
        <v>4.7</v>
      </c>
      <c r="G297" s="77">
        <v>4.5579254058590264</v>
      </c>
      <c r="H297" s="77">
        <v>4.5434203174883638</v>
      </c>
      <c r="I297" s="77">
        <v>4.6267170704159524</v>
      </c>
      <c r="J297" s="77">
        <v>5.1688143897957506</v>
      </c>
      <c r="K297" s="77">
        <v>19.651003225720935</v>
      </c>
      <c r="L297" s="77">
        <v>23.804421797180758</v>
      </c>
      <c r="M297" s="77">
        <v>24.130666309316517</v>
      </c>
      <c r="N297" s="77">
        <v>14.006769387662455</v>
      </c>
      <c r="O297" s="77">
        <v>14.289256786992841</v>
      </c>
      <c r="P297" s="77">
        <v>15.865940520764573</v>
      </c>
      <c r="Q297" s="77">
        <v>17.876563801896552</v>
      </c>
      <c r="R297" s="77">
        <v>16.340282591027012</v>
      </c>
      <c r="S297" s="77">
        <v>16.436889904571228</v>
      </c>
      <c r="T297" s="77">
        <v>16.554299905953737</v>
      </c>
      <c r="U297" s="77">
        <v>17.876563801896552</v>
      </c>
      <c r="V297" s="78">
        <v>16.739430884173959</v>
      </c>
      <c r="W297" s="77">
        <v>16.632153440278074</v>
      </c>
      <c r="X297" s="77">
        <v>16.908399679492643</v>
      </c>
      <c r="Y297" s="77">
        <v>16.75887245724736</v>
      </c>
      <c r="Z297" s="77">
        <v>16.764503496387825</v>
      </c>
      <c r="AA297" s="77">
        <v>16.69993564303336</v>
      </c>
      <c r="AB297" s="77">
        <v>16.82655363369112</v>
      </c>
      <c r="AC297" s="77">
        <v>16.762931064488598</v>
      </c>
      <c r="AD297" s="77">
        <v>16.523304545043676</v>
      </c>
      <c r="AE297" s="77">
        <v>16.782614998273267</v>
      </c>
      <c r="AF297" s="77">
        <v>16.280131278147593</v>
      </c>
      <c r="AG297" s="77">
        <v>16.52400420962152</v>
      </c>
      <c r="AH297" s="77">
        <v>16.30345676024524</v>
      </c>
      <c r="AI297" s="77">
        <v>16.981770704364855</v>
      </c>
      <c r="AJ297" s="77" t="e">
        <v>#DIV/0!</v>
      </c>
      <c r="AK297" s="77"/>
      <c r="AL297" s="77">
        <v>16.67102687585022</v>
      </c>
    </row>
    <row r="298" spans="1:38" s="92" customFormat="1">
      <c r="A298" s="7">
        <v>2</v>
      </c>
      <c r="B298" s="86" t="s">
        <v>400</v>
      </c>
      <c r="C298" s="75" t="s">
        <v>399</v>
      </c>
      <c r="D298" s="77">
        <v>59.84363186580913</v>
      </c>
      <c r="E298" s="77">
        <v>60.84</v>
      </c>
      <c r="F298" s="77">
        <v>56.6</v>
      </c>
      <c r="G298" s="77">
        <v>55.018164826111956</v>
      </c>
      <c r="H298" s="77">
        <v>55.245287275376768</v>
      </c>
      <c r="I298" s="77">
        <v>58.87211181866018</v>
      </c>
      <c r="J298" s="77">
        <v>55.743793220416855</v>
      </c>
      <c r="K298" s="77">
        <v>52.692938242656922</v>
      </c>
      <c r="L298" s="77">
        <v>54.360905715951283</v>
      </c>
      <c r="M298" s="77">
        <v>55.739477275614107</v>
      </c>
      <c r="N298" s="77">
        <v>80.447762853675229</v>
      </c>
      <c r="O298" s="77">
        <v>82.410310049579692</v>
      </c>
      <c r="P298" s="77">
        <v>82.203555178530124</v>
      </c>
      <c r="Q298" s="77">
        <v>78.59163052905464</v>
      </c>
      <c r="R298" s="77">
        <v>69.409896281252912</v>
      </c>
      <c r="S298" s="77">
        <v>70.343774200207193</v>
      </c>
      <c r="T298" s="77">
        <v>70.90471713834576</v>
      </c>
      <c r="U298" s="77">
        <v>78.59163052905464</v>
      </c>
      <c r="V298" s="78">
        <v>71.19916378651962</v>
      </c>
      <c r="W298" s="77">
        <v>71.935019789605263</v>
      </c>
      <c r="X298" s="77">
        <v>72.263537378834158</v>
      </c>
      <c r="Y298" s="77">
        <v>71.795043837276737</v>
      </c>
      <c r="Z298" s="77">
        <v>72.243866180614802</v>
      </c>
      <c r="AA298" s="77">
        <v>74.192699021133734</v>
      </c>
      <c r="AB298" s="77">
        <v>76.617061800745873</v>
      </c>
      <c r="AC298" s="77">
        <v>74.328519730125407</v>
      </c>
      <c r="AD298" s="77">
        <v>67.630107168922308</v>
      </c>
      <c r="AE298" s="77">
        <v>66.215380359978582</v>
      </c>
      <c r="AF298" s="77">
        <v>75.821310880078471</v>
      </c>
      <c r="AG298" s="77">
        <v>2.0444850156569709E-2</v>
      </c>
      <c r="AH298" s="77">
        <v>68.916090335236277</v>
      </c>
      <c r="AI298" s="77">
        <v>74.374075428185719</v>
      </c>
      <c r="AJ298" s="77" t="e">
        <v>#DIV/0!</v>
      </c>
      <c r="AK298" s="77"/>
      <c r="AL298" s="77">
        <v>71.928365808860804</v>
      </c>
    </row>
    <row r="299" spans="1:38" s="92" customFormat="1">
      <c r="A299" s="72">
        <v>3</v>
      </c>
      <c r="B299" s="68" t="s">
        <v>401</v>
      </c>
      <c r="C299" s="74" t="s">
        <v>399</v>
      </c>
      <c r="D299" s="77">
        <v>22.685109679340883</v>
      </c>
      <c r="E299" s="77">
        <v>22.59</v>
      </c>
      <c r="F299" s="77">
        <v>21.3</v>
      </c>
      <c r="G299" s="77">
        <v>20.799621065592383</v>
      </c>
      <c r="H299" s="77">
        <v>20.911214406854533</v>
      </c>
      <c r="I299" s="77">
        <v>20.625318705026242</v>
      </c>
      <c r="J299" s="77">
        <v>15.270685909825467</v>
      </c>
      <c r="K299" s="77">
        <v>35.150683816269101</v>
      </c>
      <c r="L299" s="77">
        <v>41.62241677588122</v>
      </c>
      <c r="M299" s="77">
        <v>40.05256487827203</v>
      </c>
      <c r="N299" s="77">
        <v>40.119367728726715</v>
      </c>
      <c r="O299" s="77">
        <v>38.843266940724178</v>
      </c>
      <c r="P299" s="77">
        <v>40.433226216008777</v>
      </c>
      <c r="Q299" s="77">
        <v>42.280883263529731</v>
      </c>
      <c r="R299" s="77">
        <v>41.05</v>
      </c>
      <c r="S299" s="77">
        <v>39.297445741664717</v>
      </c>
      <c r="T299" s="77">
        <v>38.369351810910779</v>
      </c>
      <c r="U299" s="77">
        <v>35</v>
      </c>
      <c r="V299" s="78">
        <v>38.581639446908426</v>
      </c>
      <c r="W299" s="77">
        <v>40.072347218264547</v>
      </c>
      <c r="X299" s="77">
        <v>38.590241720311766</v>
      </c>
      <c r="Y299" s="77">
        <v>38.880000000000003</v>
      </c>
      <c r="Z299" s="77">
        <v>40.989465742205475</v>
      </c>
      <c r="AA299" s="77">
        <v>40.887692652281963</v>
      </c>
      <c r="AB299" s="77">
        <v>41.070101181685878</v>
      </c>
      <c r="AC299" s="77">
        <v>11.503492548720603</v>
      </c>
      <c r="AD299" s="77">
        <v>41.118461425054676</v>
      </c>
      <c r="AE299" s="77">
        <v>41.950715326493061</v>
      </c>
      <c r="AF299" s="77">
        <v>40.691333844394833</v>
      </c>
      <c r="AG299" s="77">
        <v>11.345634157338271</v>
      </c>
      <c r="AH299" s="77">
        <v>40.016942780697818</v>
      </c>
      <c r="AI299" s="77">
        <v>41.114874795694767</v>
      </c>
      <c r="AJ299" s="77" t="e">
        <v>#DIV/0!</v>
      </c>
      <c r="AK299" s="77"/>
      <c r="AL299" s="77">
        <v>40.428001545400491</v>
      </c>
    </row>
    <row r="300" spans="1:38" s="92" customFormat="1">
      <c r="A300" s="72"/>
      <c r="B300" s="68" t="s">
        <v>402</v>
      </c>
      <c r="C300" s="74" t="s">
        <v>399</v>
      </c>
      <c r="D300" s="77"/>
      <c r="E300" s="77"/>
      <c r="F300" s="77"/>
      <c r="G300" s="77"/>
      <c r="H300" s="77"/>
      <c r="I300" s="77"/>
      <c r="J300" s="77"/>
      <c r="K300" s="77"/>
      <c r="L300" s="77"/>
      <c r="M300" s="77">
        <v>40.946826297788689</v>
      </c>
      <c r="N300" s="77">
        <v>42.950277103596278</v>
      </c>
      <c r="O300" s="77">
        <v>43.183387445488151</v>
      </c>
      <c r="P300" s="77">
        <v>44.138903283663602</v>
      </c>
      <c r="Q300" s="77">
        <v>45.644845390244477</v>
      </c>
      <c r="R300" s="77">
        <v>45.25</v>
      </c>
      <c r="S300" s="77">
        <v>40.945760389252158</v>
      </c>
      <c r="T300" s="77">
        <v>40.014676799210214</v>
      </c>
      <c r="U300" s="77">
        <v>40</v>
      </c>
      <c r="V300" s="78">
        <v>40.703280637596563</v>
      </c>
      <c r="W300" s="77">
        <v>43.868201948626975</v>
      </c>
      <c r="X300" s="77">
        <v>39.844107867023297</v>
      </c>
      <c r="Y300" s="77">
        <v>41.309392124305695</v>
      </c>
      <c r="Z300" s="77">
        <v>39.63402715757551</v>
      </c>
      <c r="AA300" s="77">
        <v>39.559682902473405</v>
      </c>
      <c r="AB300" s="77">
        <v>39.567558394160514</v>
      </c>
      <c r="AC300" s="77">
        <v>39.586349048890007</v>
      </c>
      <c r="AD300" s="77">
        <v>39.595091367500437</v>
      </c>
      <c r="AE300" s="77">
        <v>40.024672212264733</v>
      </c>
      <c r="AF300" s="77">
        <v>39.420567532901089</v>
      </c>
      <c r="AG300" s="77">
        <v>39.667659516327561</v>
      </c>
      <c r="AH300" s="77">
        <v>38.203309555349335</v>
      </c>
      <c r="AI300" s="77">
        <v>40.673439582542379</v>
      </c>
      <c r="AJ300" s="77" t="e">
        <v>#DIV/0!</v>
      </c>
      <c r="AK300" s="77"/>
      <c r="AL300" s="77">
        <v>39.989100918294682</v>
      </c>
    </row>
    <row r="301" spans="1:38" s="92" customFormat="1">
      <c r="A301" s="7">
        <v>4</v>
      </c>
      <c r="B301" s="68" t="s">
        <v>403</v>
      </c>
      <c r="C301" s="74" t="s">
        <v>399</v>
      </c>
      <c r="D301" s="83">
        <v>37.345546385184065</v>
      </c>
      <c r="E301" s="83">
        <v>41</v>
      </c>
      <c r="F301" s="83">
        <v>41.2</v>
      </c>
      <c r="G301" s="83">
        <v>39.845083428178754</v>
      </c>
      <c r="H301" s="83">
        <v>39.707659042141096</v>
      </c>
      <c r="I301" s="83">
        <v>40.554946607431624</v>
      </c>
      <c r="J301" s="83">
        <v>48.044026658635779</v>
      </c>
      <c r="K301" s="77">
        <v>47.801540998057426</v>
      </c>
      <c r="L301" s="77">
        <v>56.91447694749634</v>
      </c>
      <c r="M301" s="77">
        <v>50.830314488872588</v>
      </c>
      <c r="N301" s="77">
        <v>55.788995593440283</v>
      </c>
      <c r="O301" s="77">
        <v>48.097039324146913</v>
      </c>
      <c r="P301" s="77">
        <v>56.154434791258488</v>
      </c>
      <c r="Q301" s="77">
        <v>37.716429650034016</v>
      </c>
      <c r="R301" s="77">
        <v>34.862755597821518</v>
      </c>
      <c r="S301" s="77">
        <v>34.72764801349696</v>
      </c>
      <c r="T301" s="77">
        <v>33.073888897913456</v>
      </c>
      <c r="U301" s="83">
        <v>33</v>
      </c>
      <c r="V301" s="78">
        <v>34.671324879987942</v>
      </c>
      <c r="W301" s="77">
        <v>34.51439372650951</v>
      </c>
      <c r="X301" s="77">
        <v>39.602459138270561</v>
      </c>
      <c r="Y301" s="77">
        <v>35.987410271271699</v>
      </c>
      <c r="Z301" s="77">
        <v>41.177299518412944</v>
      </c>
      <c r="AA301" s="77">
        <v>35.497322338552777</v>
      </c>
      <c r="AB301" s="77">
        <v>32.93494391430869</v>
      </c>
      <c r="AC301" s="77">
        <v>36.026318252180133</v>
      </c>
      <c r="AD301" s="77">
        <v>37.107248851082488</v>
      </c>
      <c r="AE301" s="77">
        <v>43.109619941055215</v>
      </c>
      <c r="AF301" s="77">
        <v>42.549971599873793</v>
      </c>
      <c r="AG301" s="77">
        <v>40.146319663025402</v>
      </c>
      <c r="AH301" s="77">
        <v>41.273862440051467</v>
      </c>
      <c r="AI301" s="77">
        <v>42.693153537256407</v>
      </c>
      <c r="AJ301" s="77" t="e">
        <v>#DIV/0!</v>
      </c>
      <c r="AK301" s="77"/>
      <c r="AL301" s="77">
        <v>37.7155446615239</v>
      </c>
    </row>
    <row r="302" spans="1:38" s="92" customFormat="1">
      <c r="A302" s="72" t="s">
        <v>172</v>
      </c>
      <c r="B302" s="68" t="s">
        <v>404</v>
      </c>
      <c r="C302" s="74" t="s">
        <v>399</v>
      </c>
      <c r="D302" s="83">
        <v>44.237867573597974</v>
      </c>
      <c r="E302" s="83">
        <v>44.1</v>
      </c>
      <c r="F302" s="83">
        <v>42.6</v>
      </c>
      <c r="G302" s="83">
        <v>42.065272344864773</v>
      </c>
      <c r="H302" s="83">
        <v>40.385105484935949</v>
      </c>
      <c r="I302" s="83">
        <v>41.516009121179508</v>
      </c>
      <c r="J302" s="83">
        <v>44.575450663013783</v>
      </c>
      <c r="K302" s="77">
        <v>43.487471491627424</v>
      </c>
      <c r="L302" s="77">
        <v>43.072260173870411</v>
      </c>
      <c r="M302" s="77">
        <v>40.887088260195448</v>
      </c>
      <c r="N302" s="77">
        <v>42.321523280856944</v>
      </c>
      <c r="O302" s="77">
        <v>41.270952565371431</v>
      </c>
      <c r="P302" s="77">
        <v>42.38760911875957</v>
      </c>
      <c r="Q302" s="77">
        <v>45.103906007269657</v>
      </c>
      <c r="R302" s="77">
        <v>42.956039962401078</v>
      </c>
      <c r="S302" s="77">
        <v>41.519783392977267</v>
      </c>
      <c r="T302" s="77">
        <v>41.325524405542751</v>
      </c>
      <c r="U302" s="77">
        <v>41</v>
      </c>
      <c r="V302" s="78">
        <v>41.855208602777225</v>
      </c>
      <c r="W302" s="77">
        <v>42.691855441359394</v>
      </c>
      <c r="X302" s="77">
        <v>42.03979276335631</v>
      </c>
      <c r="Y302" s="77">
        <v>42.182061601983179</v>
      </c>
      <c r="Z302" s="77">
        <v>44.473377670229752</v>
      </c>
      <c r="AA302" s="77">
        <v>41.370247411195898</v>
      </c>
      <c r="AB302" s="77">
        <v>41.375014986212683</v>
      </c>
      <c r="AC302" s="77">
        <v>42.216474636440708</v>
      </c>
      <c r="AD302" s="77">
        <v>42.028694886850033</v>
      </c>
      <c r="AE302" s="77">
        <v>37.681211441231525</v>
      </c>
      <c r="AF302" s="77">
        <v>37.006768301997909</v>
      </c>
      <c r="AG302" s="77">
        <v>38.926386329177824</v>
      </c>
      <c r="AH302" s="77">
        <v>37.0102668823749</v>
      </c>
      <c r="AI302" s="77">
        <v>38.791168266426389</v>
      </c>
      <c r="AJ302" s="77" t="e">
        <v>#DIV/0!</v>
      </c>
      <c r="AK302" s="77"/>
      <c r="AL302" s="77">
        <v>40.478994776655213</v>
      </c>
    </row>
    <row r="303" spans="1:38" s="92" customFormat="1">
      <c r="A303" s="72">
        <v>6</v>
      </c>
      <c r="B303" s="68" t="s">
        <v>405</v>
      </c>
      <c r="C303" s="74" t="s">
        <v>399</v>
      </c>
      <c r="D303" s="83"/>
      <c r="E303" s="83"/>
      <c r="F303" s="83"/>
      <c r="G303" s="83"/>
      <c r="H303" s="83"/>
      <c r="I303" s="83"/>
      <c r="J303" s="83"/>
      <c r="K303" s="77">
        <v>40.134176692897334</v>
      </c>
      <c r="L303" s="77">
        <v>37.88721044879258</v>
      </c>
      <c r="M303" s="77">
        <v>35.722976811847559</v>
      </c>
      <c r="N303" s="77">
        <v>33.44137472166004</v>
      </c>
      <c r="O303" s="77">
        <v>31.852488634247216</v>
      </c>
      <c r="P303" s="77">
        <v>30.758950368960274</v>
      </c>
      <c r="Q303" s="77">
        <v>32.771589226048413</v>
      </c>
      <c r="R303" s="77">
        <v>32.999360777501543</v>
      </c>
      <c r="S303" s="77">
        <v>33.633879568310434</v>
      </c>
      <c r="T303" s="77">
        <v>33.324382279102949</v>
      </c>
      <c r="U303" s="83">
        <v>33</v>
      </c>
      <c r="V303" s="78">
        <v>33.875642721459251</v>
      </c>
      <c r="W303" s="77">
        <v>38.486416540095959</v>
      </c>
      <c r="X303" s="77">
        <v>33.741465358205794</v>
      </c>
      <c r="Y303" s="77">
        <v>35.111313208910531</v>
      </c>
      <c r="Z303" s="77">
        <v>33.577216083142162</v>
      </c>
      <c r="AA303" s="77">
        <v>33.561514367337608</v>
      </c>
      <c r="AB303" s="77">
        <v>33.629646318188108</v>
      </c>
      <c r="AC303" s="77">
        <v>33.589399311432416</v>
      </c>
      <c r="AD303" s="77">
        <v>33.463232620181955</v>
      </c>
      <c r="AE303" s="77">
        <v>31.790058053762042</v>
      </c>
      <c r="AF303" s="77">
        <v>32.886558733250631</v>
      </c>
      <c r="AG303" s="77">
        <v>32.728603773854658</v>
      </c>
      <c r="AH303" s="77">
        <v>33.118404338699648</v>
      </c>
      <c r="AI303" s="77">
        <v>31.938603911656493</v>
      </c>
      <c r="AJ303" s="77" t="e">
        <v>#DIV/0!</v>
      </c>
      <c r="AK303" s="77"/>
      <c r="AL303" s="77">
        <v>33.528776150703692</v>
      </c>
    </row>
    <row r="304" spans="1:38" s="92" customFormat="1">
      <c r="A304" s="7">
        <v>7</v>
      </c>
      <c r="B304" s="68" t="s">
        <v>406</v>
      </c>
      <c r="C304" s="74" t="s">
        <v>399</v>
      </c>
      <c r="D304" s="83">
        <v>149.78879649777224</v>
      </c>
      <c r="E304" s="83">
        <v>148.30000000000001</v>
      </c>
      <c r="F304" s="83">
        <v>149.69999999999999</v>
      </c>
      <c r="G304" s="83">
        <v>154.65090641414329</v>
      </c>
      <c r="H304" s="83">
        <v>158.53089573505451</v>
      </c>
      <c r="I304" s="83">
        <v>156.41682864990491</v>
      </c>
      <c r="J304" s="83">
        <v>150.02471051208872</v>
      </c>
      <c r="K304" s="77">
        <v>143.9965251152633</v>
      </c>
      <c r="L304" s="77">
        <v>150.54164584859566</v>
      </c>
      <c r="M304" s="77">
        <v>172.80883871856224</v>
      </c>
      <c r="N304" s="77">
        <v>156.59175839207447</v>
      </c>
      <c r="O304" s="77">
        <v>152.39522173104447</v>
      </c>
      <c r="P304" s="77">
        <v>158.26715062793832</v>
      </c>
      <c r="Q304" s="77">
        <v>148.62093713029779</v>
      </c>
      <c r="R304" s="77">
        <v>140.50923215393624</v>
      </c>
      <c r="S304" s="77">
        <v>135.4182543427155</v>
      </c>
      <c r="T304" s="77">
        <v>134.20910714321423</v>
      </c>
      <c r="U304" s="83">
        <v>134</v>
      </c>
      <c r="V304" s="78">
        <v>135.23860937162601</v>
      </c>
      <c r="W304" s="77">
        <v>144.16968561955053</v>
      </c>
      <c r="X304" s="77">
        <v>138.81561012277623</v>
      </c>
      <c r="Y304" s="77">
        <v>139.03728944210368</v>
      </c>
      <c r="Z304" s="77">
        <v>140.51814858672708</v>
      </c>
      <c r="AA304" s="77">
        <v>139.61508708951641</v>
      </c>
      <c r="AB304" s="77">
        <v>149.0878243512974</v>
      </c>
      <c r="AC304" s="77">
        <v>142.62356004202258</v>
      </c>
      <c r="AD304" s="77">
        <v>189.25817679275221</v>
      </c>
      <c r="AE304" s="77">
        <v>148.57824576775042</v>
      </c>
      <c r="AF304" s="77">
        <v>133.99259437944758</v>
      </c>
      <c r="AG304" s="77">
        <v>150.62362155590699</v>
      </c>
      <c r="AH304" s="77">
        <v>142.21534604659024</v>
      </c>
      <c r="AI304" s="77">
        <v>150.10416446650473</v>
      </c>
      <c r="AJ304" s="77" t="e">
        <v>#DIV/0!</v>
      </c>
      <c r="AK304" s="77"/>
      <c r="AL304" s="77">
        <v>144.02229534565276</v>
      </c>
    </row>
    <row r="305" spans="1:38" s="92" customFormat="1">
      <c r="A305" s="72">
        <v>8</v>
      </c>
      <c r="B305" s="68" t="s">
        <v>407</v>
      </c>
      <c r="C305" s="74" t="s">
        <v>399</v>
      </c>
      <c r="D305" s="83">
        <v>52.771014277076524</v>
      </c>
      <c r="E305" s="83">
        <v>52.8</v>
      </c>
      <c r="F305" s="83">
        <v>50.7</v>
      </c>
      <c r="G305" s="83">
        <v>51.615667358457543</v>
      </c>
      <c r="H305" s="83">
        <v>57.860401331868637</v>
      </c>
      <c r="I305" s="83">
        <v>56.712038769753732</v>
      </c>
      <c r="J305" s="83">
        <v>59.215843963129501</v>
      </c>
      <c r="K305" s="77">
        <v>57.843156817965955</v>
      </c>
      <c r="L305" s="77">
        <v>69.905257502603035</v>
      </c>
      <c r="M305" s="77">
        <v>84.04213442781294</v>
      </c>
      <c r="N305" s="77">
        <v>80.344486202202617</v>
      </c>
      <c r="O305" s="77">
        <v>73.011905494707761</v>
      </c>
      <c r="P305" s="77">
        <v>76.002524119220581</v>
      </c>
      <c r="Q305" s="77">
        <v>66.81336533923637</v>
      </c>
      <c r="R305" s="77">
        <v>60.46419629415778</v>
      </c>
      <c r="S305" s="77">
        <v>58.794733770370755</v>
      </c>
      <c r="T305" s="77">
        <v>57.469236080686734</v>
      </c>
      <c r="U305" s="83">
        <v>57</v>
      </c>
      <c r="V305" s="78">
        <v>59.111324421058256</v>
      </c>
      <c r="W305" s="77">
        <v>62.516673154275331</v>
      </c>
      <c r="X305" s="77">
        <v>59.046024497122644</v>
      </c>
      <c r="Y305" s="77">
        <v>60.162472443808092</v>
      </c>
      <c r="Z305" s="77">
        <v>62.041291841276568</v>
      </c>
      <c r="AA305" s="77">
        <v>58.756682863703837</v>
      </c>
      <c r="AB305" s="77">
        <v>58.860042803501173</v>
      </c>
      <c r="AC305" s="77">
        <v>59.825364227342092</v>
      </c>
      <c r="AD305" s="77">
        <v>58.604639899868232</v>
      </c>
      <c r="AE305" s="77">
        <v>61.81040067588215</v>
      </c>
      <c r="AF305" s="77">
        <v>57.12454747718531</v>
      </c>
      <c r="AG305" s="77">
        <v>59.064757336343114</v>
      </c>
      <c r="AH305" s="77">
        <v>58.356566561365369</v>
      </c>
      <c r="AI305" s="77">
        <v>59.948384491114702</v>
      </c>
      <c r="AJ305" s="77" t="e">
        <v>#DIV/0!</v>
      </c>
      <c r="AK305" s="77"/>
      <c r="AL305" s="77">
        <v>59.57612704738402</v>
      </c>
    </row>
    <row r="306" spans="1:38" s="92" customFormat="1">
      <c r="A306" s="7">
        <v>9</v>
      </c>
      <c r="B306" s="68" t="s">
        <v>408</v>
      </c>
      <c r="C306" s="74" t="s">
        <v>399</v>
      </c>
      <c r="D306" s="83">
        <v>82.439487975174558</v>
      </c>
      <c r="E306" s="83">
        <v>82.3</v>
      </c>
      <c r="F306" s="83">
        <v>80.7</v>
      </c>
      <c r="G306" s="83">
        <v>82.27152583533902</v>
      </c>
      <c r="H306" s="83">
        <v>79.352179053877308</v>
      </c>
      <c r="I306" s="83">
        <v>81.085778031700727</v>
      </c>
      <c r="J306" s="83">
        <v>80.452029763737343</v>
      </c>
      <c r="K306" s="77">
        <v>80.561155704284786</v>
      </c>
      <c r="L306" s="77">
        <v>81.64617759883059</v>
      </c>
      <c r="M306" s="77">
        <v>81.08970995180718</v>
      </c>
      <c r="N306" s="77">
        <v>82.308305375954092</v>
      </c>
      <c r="O306" s="77">
        <v>79.7534089796318</v>
      </c>
      <c r="P306" s="77">
        <v>78.561299852289508</v>
      </c>
      <c r="Q306" s="77">
        <v>83.086292073573162</v>
      </c>
      <c r="R306" s="77">
        <v>77.089384974157696</v>
      </c>
      <c r="S306" s="77">
        <v>85.383803863904575</v>
      </c>
      <c r="T306" s="77">
        <v>79.343269876797365</v>
      </c>
      <c r="U306" s="83">
        <v>79.5</v>
      </c>
      <c r="V306" s="78">
        <v>84.499370190181523</v>
      </c>
      <c r="W306" s="77">
        <v>78.730767704445469</v>
      </c>
      <c r="X306" s="77">
        <v>84.167610678934537</v>
      </c>
      <c r="Y306" s="77">
        <v>82.263070244123256</v>
      </c>
      <c r="Z306" s="77">
        <v>78.840587369070747</v>
      </c>
      <c r="AA306" s="77">
        <v>76.916066547041638</v>
      </c>
      <c r="AB306" s="77">
        <v>93.710326588014595</v>
      </c>
      <c r="AC306" s="77">
        <v>81.443880381418182</v>
      </c>
      <c r="AD306" s="77">
        <v>78.009489767311536</v>
      </c>
      <c r="AE306" s="77">
        <v>84.204487732000231</v>
      </c>
      <c r="AF306" s="77">
        <v>75.231382172808964</v>
      </c>
      <c r="AG306" s="77">
        <v>78.695900249857431</v>
      </c>
      <c r="AH306" s="77">
        <v>77.197053192222057</v>
      </c>
      <c r="AI306" s="77">
        <v>81.202358397957937</v>
      </c>
      <c r="AJ306" s="77" t="e">
        <v>#DIV/0!</v>
      </c>
      <c r="AK306" s="77"/>
      <c r="AL306" s="77">
        <v>80.429789376995714</v>
      </c>
    </row>
    <row r="307" spans="1:38" s="92" customFormat="1">
      <c r="A307" s="7"/>
      <c r="B307" s="68" t="s">
        <v>409</v>
      </c>
      <c r="C307" s="74" t="s">
        <v>399</v>
      </c>
      <c r="D307" s="83"/>
      <c r="E307" s="83"/>
      <c r="F307" s="83"/>
      <c r="G307" s="83"/>
      <c r="H307" s="83"/>
      <c r="I307" s="83"/>
      <c r="J307" s="83"/>
      <c r="K307" s="77"/>
      <c r="L307" s="77"/>
      <c r="M307" s="77">
        <v>161.25297610786345</v>
      </c>
      <c r="N307" s="77">
        <v>132.52485832382592</v>
      </c>
      <c r="O307" s="77">
        <v>131</v>
      </c>
      <c r="P307" s="77">
        <v>130.22377676759012</v>
      </c>
      <c r="Q307" s="77">
        <v>133.97517071766831</v>
      </c>
      <c r="R307" s="77">
        <v>126.77491693816327</v>
      </c>
      <c r="S307" s="77">
        <v>135.34068355844181</v>
      </c>
      <c r="T307" s="77">
        <v>123.27155945951171</v>
      </c>
      <c r="U307" s="83">
        <v>120</v>
      </c>
      <c r="V307" s="78">
        <v>119.73558739254976</v>
      </c>
      <c r="W307" s="77">
        <v>132.32016742770179</v>
      </c>
      <c r="X307" s="77">
        <v>122.86761858361763</v>
      </c>
      <c r="Y307" s="77">
        <v>124.36016892776355</v>
      </c>
      <c r="Z307" s="77">
        <v>129.5863033227331</v>
      </c>
      <c r="AA307" s="77">
        <v>124.66397832034532</v>
      </c>
      <c r="AB307" s="77">
        <v>124.47769795228366</v>
      </c>
      <c r="AC307" s="77">
        <v>126.17407806733809</v>
      </c>
      <c r="AD307" s="77">
        <v>121.90043041956808</v>
      </c>
      <c r="AE307" s="77">
        <v>116.97901049475263</v>
      </c>
      <c r="AF307" s="77">
        <v>127.32104890148831</v>
      </c>
      <c r="AG307" s="77">
        <v>121.85105093227533</v>
      </c>
      <c r="AH307" s="77">
        <v>116.08648378429045</v>
      </c>
      <c r="AI307" s="77">
        <v>122.29419067597071</v>
      </c>
      <c r="AJ307" s="77" t="e">
        <v>#DIV/0!</v>
      </c>
      <c r="AK307" s="77"/>
      <c r="AL307" s="77">
        <v>123.2029102121689</v>
      </c>
    </row>
    <row r="308" spans="1:38" s="92" customFormat="1">
      <c r="A308" s="72">
        <v>10</v>
      </c>
      <c r="B308" s="68" t="s">
        <v>410</v>
      </c>
      <c r="C308" s="74" t="s">
        <v>399</v>
      </c>
      <c r="D308" s="83">
        <v>86.683091351072974</v>
      </c>
      <c r="E308" s="83">
        <v>90.3</v>
      </c>
      <c r="F308" s="83">
        <v>89.4</v>
      </c>
      <c r="G308" s="83">
        <v>86.405563114576466</v>
      </c>
      <c r="H308" s="83">
        <v>85.640994212546474</v>
      </c>
      <c r="I308" s="83">
        <v>83.310496168743555</v>
      </c>
      <c r="J308" s="83">
        <v>87.185146627593141</v>
      </c>
      <c r="K308" s="77">
        <v>89.40380522681491</v>
      </c>
      <c r="L308" s="77">
        <v>90.839795715146678</v>
      </c>
      <c r="M308" s="77">
        <v>86.251667207832753</v>
      </c>
      <c r="N308" s="77">
        <v>84.931124111968487</v>
      </c>
      <c r="O308" s="77">
        <v>84.511613377720678</v>
      </c>
      <c r="P308" s="77">
        <v>83.969445097716417</v>
      </c>
      <c r="Q308" s="77">
        <v>86.556841223230606</v>
      </c>
      <c r="R308" s="77">
        <v>82.800919791370134</v>
      </c>
      <c r="S308" s="77">
        <v>107.05096849849447</v>
      </c>
      <c r="T308" s="77">
        <v>147.42050161111581</v>
      </c>
      <c r="U308" s="83">
        <v>155</v>
      </c>
      <c r="V308" s="78">
        <v>175.44439218437515</v>
      </c>
      <c r="W308" s="77">
        <v>123.59019833980562</v>
      </c>
      <c r="X308" s="77">
        <v>130.97019018479205</v>
      </c>
      <c r="Y308" s="77">
        <v>138.63682242659488</v>
      </c>
      <c r="Z308" s="77"/>
      <c r="AA308" s="77"/>
      <c r="AB308" s="77"/>
      <c r="AC308" s="77" t="e">
        <v>#DIV/0!</v>
      </c>
      <c r="AD308" s="77"/>
      <c r="AE308" s="77"/>
      <c r="AF308" s="77"/>
      <c r="AG308" s="77"/>
      <c r="AH308" s="77"/>
      <c r="AI308" s="77"/>
      <c r="AJ308" s="77" t="e">
        <v>#DIV/0!</v>
      </c>
      <c r="AK308" s="77"/>
      <c r="AL308" s="77">
        <v>175.83304708066166</v>
      </c>
    </row>
    <row r="309" spans="1:38">
      <c r="B309" s="68" t="s">
        <v>449</v>
      </c>
      <c r="C309" s="74" t="s">
        <v>399</v>
      </c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79">
        <v>132.80631895252156</v>
      </c>
      <c r="U309" s="75">
        <v>133.5</v>
      </c>
      <c r="V309" s="78">
        <v>129.71943560099646</v>
      </c>
      <c r="W309" s="78">
        <v>155.81507007499786</v>
      </c>
      <c r="X309" s="78">
        <v>121.30567260940036</v>
      </c>
      <c r="Y309" s="78">
        <v>133.60613793800127</v>
      </c>
      <c r="Z309" s="78">
        <v>124.83938726643011</v>
      </c>
      <c r="AA309" s="78">
        <v>123.03604100717337</v>
      </c>
      <c r="AB309" s="78">
        <v>121.67991070242105</v>
      </c>
      <c r="AC309" s="78">
        <v>123.15622725780365</v>
      </c>
      <c r="AD309" s="78">
        <v>119.31276670644904</v>
      </c>
      <c r="AE309" s="78">
        <v>143.63094610890613</v>
      </c>
      <c r="AF309" s="78">
        <v>122.37068362225827</v>
      </c>
      <c r="AG309" s="78">
        <v>127.20581902976426</v>
      </c>
      <c r="AH309" s="78">
        <v>115.4739730012566</v>
      </c>
      <c r="AI309" s="78">
        <v>119.9725185150682</v>
      </c>
      <c r="AJ309" s="78" t="e">
        <v>#DIV/0!</v>
      </c>
      <c r="AK309" s="78">
        <v>117.56360575789242</v>
      </c>
      <c r="AL309" s="78">
        <v>125.80364486330154</v>
      </c>
    </row>
    <row r="310" spans="1:38" s="92" customFormat="1">
      <c r="A310" s="7">
        <v>11</v>
      </c>
      <c r="B310" s="68" t="s">
        <v>411</v>
      </c>
      <c r="C310" s="74" t="s">
        <v>399</v>
      </c>
      <c r="D310" s="83">
        <v>143.39449804230182</v>
      </c>
      <c r="E310" s="83">
        <v>152.6</v>
      </c>
      <c r="F310" s="83">
        <v>154.1</v>
      </c>
      <c r="G310" s="83">
        <v>151.35744397847631</v>
      </c>
      <c r="H310" s="83">
        <v>147.51111884385773</v>
      </c>
      <c r="I310" s="83">
        <v>153.02289984987272</v>
      </c>
      <c r="J310" s="83">
        <v>137.03421322016717</v>
      </c>
      <c r="K310" s="77">
        <v>151.18553044942729</v>
      </c>
      <c r="L310" s="77">
        <v>156.59051562309963</v>
      </c>
      <c r="M310" s="77">
        <v>160.2738669185832</v>
      </c>
      <c r="N310" s="77">
        <v>164.67505284351071</v>
      </c>
      <c r="O310" s="77">
        <v>174.66664146044829</v>
      </c>
      <c r="P310" s="77">
        <v>194.51350524017818</v>
      </c>
      <c r="Q310" s="77">
        <v>219.86675444615472</v>
      </c>
      <c r="R310" s="77">
        <v>233.92055388934975</v>
      </c>
      <c r="S310" s="77">
        <v>235.34428709166659</v>
      </c>
      <c r="T310" s="77">
        <v>304.84241821710941</v>
      </c>
      <c r="U310" s="83">
        <v>0</v>
      </c>
      <c r="V310" s="78"/>
      <c r="W310" s="77"/>
      <c r="X310" s="77"/>
      <c r="Y310" s="77" t="e">
        <v>#DIV/0!</v>
      </c>
      <c r="Z310" s="77"/>
      <c r="AA310" s="77"/>
      <c r="AB310" s="77"/>
      <c r="AC310" s="77" t="e">
        <v>#DIV/0!</v>
      </c>
      <c r="AD310" s="77"/>
      <c r="AE310" s="77"/>
      <c r="AF310" s="77"/>
      <c r="AG310" s="77"/>
      <c r="AH310" s="77"/>
      <c r="AI310" s="77"/>
      <c r="AJ310" s="77" t="e">
        <v>#DIV/0!</v>
      </c>
      <c r="AK310" s="77"/>
      <c r="AL310" s="77"/>
    </row>
    <row r="311" spans="1:38" s="92" customFormat="1">
      <c r="A311" s="7">
        <v>12</v>
      </c>
      <c r="B311" s="68" t="s">
        <v>412</v>
      </c>
      <c r="C311" s="74" t="s">
        <v>413</v>
      </c>
      <c r="D311" s="83">
        <v>512.26870029283248</v>
      </c>
      <c r="E311" s="83">
        <v>527.6</v>
      </c>
      <c r="F311" s="83">
        <v>520</v>
      </c>
      <c r="G311" s="80">
        <v>504</v>
      </c>
      <c r="H311" s="80">
        <v>482.26260152635058</v>
      </c>
      <c r="I311" s="80">
        <v>473.91329889234191</v>
      </c>
      <c r="J311" s="80">
        <v>458.82733658712766</v>
      </c>
      <c r="K311" s="80">
        <v>480.60036060858118</v>
      </c>
      <c r="L311" s="80">
        <v>487.26970282585268</v>
      </c>
      <c r="M311" s="80">
        <v>463.96872141655712</v>
      </c>
      <c r="N311" s="83">
        <v>477.04120281049768</v>
      </c>
      <c r="O311" s="83">
        <v>461.28868048272955</v>
      </c>
      <c r="P311" s="83">
        <v>484.91334307547646</v>
      </c>
      <c r="Q311" s="83">
        <v>468.85352849851142</v>
      </c>
      <c r="R311" s="83">
        <v>456.43226682442958</v>
      </c>
      <c r="S311" s="83">
        <v>480.10438466883733</v>
      </c>
      <c r="T311" s="83">
        <v>443.4501122600301</v>
      </c>
      <c r="U311" s="80">
        <v>442</v>
      </c>
      <c r="V311" s="78">
        <v>437.52000066738412</v>
      </c>
      <c r="W311" s="77">
        <v>469.17000118054216</v>
      </c>
      <c r="X311" s="77">
        <v>407.72999917266486</v>
      </c>
      <c r="Y311" s="83">
        <v>436.27070261344608</v>
      </c>
      <c r="Z311" s="77">
        <v>458.34999804393033</v>
      </c>
      <c r="AA311" s="77">
        <v>461.84008056866486</v>
      </c>
      <c r="AB311" s="77">
        <v>472.66577375074064</v>
      </c>
      <c r="AC311" s="83">
        <v>464.19313500410362</v>
      </c>
      <c r="AD311" s="77">
        <v>422.95000126054305</v>
      </c>
      <c r="AE311" s="77">
        <v>474.72999951777018</v>
      </c>
      <c r="AF311" s="77">
        <v>446.6122549670759</v>
      </c>
      <c r="AG311" s="83">
        <v>446.31741306854565</v>
      </c>
      <c r="AH311" s="77">
        <v>411.67999880299141</v>
      </c>
      <c r="AI311" s="77">
        <v>411.62770055726872</v>
      </c>
      <c r="AJ311" s="77" t="e">
        <v>#DIV/0!</v>
      </c>
      <c r="AK311" s="83"/>
      <c r="AL311" s="77">
        <v>441.75389163317993</v>
      </c>
    </row>
    <row r="312" spans="1:38">
      <c r="A312" s="64" t="s">
        <v>414</v>
      </c>
      <c r="B312" s="113" t="s">
        <v>415</v>
      </c>
      <c r="C312" s="74"/>
      <c r="D312" s="82"/>
      <c r="E312" s="82"/>
      <c r="F312" s="82"/>
      <c r="G312" s="82"/>
      <c r="H312" s="82"/>
      <c r="I312" s="82"/>
      <c r="J312" s="82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5"/>
      <c r="V312" s="81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</row>
    <row r="313" spans="1:38">
      <c r="A313" s="7">
        <v>1</v>
      </c>
      <c r="B313" s="68" t="s">
        <v>416</v>
      </c>
      <c r="C313" s="89" t="s">
        <v>417</v>
      </c>
      <c r="D313" s="82">
        <v>90.2</v>
      </c>
      <c r="E313" s="82">
        <v>90.2</v>
      </c>
      <c r="F313" s="82">
        <v>90.3</v>
      </c>
      <c r="G313" s="82">
        <v>90.333333333333329</v>
      </c>
      <c r="H313" s="82">
        <v>90.491666666666674</v>
      </c>
      <c r="I313" s="82">
        <v>88.858333333333334</v>
      </c>
      <c r="J313" s="82">
        <v>88.641666666666694</v>
      </c>
      <c r="K313" s="82">
        <v>88.149999999999991</v>
      </c>
      <c r="L313" s="82">
        <v>90.358333333333334</v>
      </c>
      <c r="M313" s="82">
        <v>91</v>
      </c>
      <c r="N313" s="82">
        <v>91</v>
      </c>
      <c r="O313" s="76">
        <v>89.8</v>
      </c>
      <c r="P313" s="76">
        <v>90</v>
      </c>
      <c r="Q313" s="76">
        <v>90</v>
      </c>
      <c r="R313" s="76">
        <v>90.8</v>
      </c>
      <c r="S313" s="76">
        <v>90.68</v>
      </c>
      <c r="T313" s="76">
        <v>90.669999999999987</v>
      </c>
      <c r="U313" s="83">
        <v>90</v>
      </c>
      <c r="V313" s="78">
        <v>90.85</v>
      </c>
      <c r="W313" s="76">
        <v>90.8</v>
      </c>
      <c r="X313" s="76">
        <v>90.7</v>
      </c>
      <c r="Y313" s="76">
        <v>90.783333333333317</v>
      </c>
      <c r="Z313" s="76">
        <v>90.8</v>
      </c>
      <c r="AA313" s="76">
        <v>90.7</v>
      </c>
      <c r="AB313" s="76">
        <v>90.7</v>
      </c>
      <c r="AC313" s="76">
        <v>90.733333333333334</v>
      </c>
      <c r="AD313" s="76">
        <v>90.1</v>
      </c>
      <c r="AE313" s="76">
        <v>90.8</v>
      </c>
      <c r="AF313" s="76">
        <v>90.7</v>
      </c>
      <c r="AG313" s="76">
        <v>90.533333333333317</v>
      </c>
      <c r="AH313" s="76">
        <v>90.85</v>
      </c>
      <c r="AI313" s="76">
        <v>90.9</v>
      </c>
      <c r="AJ313" s="76">
        <v>0</v>
      </c>
      <c r="AK313" s="76"/>
      <c r="AL313" s="76">
        <v>90.683333333333337</v>
      </c>
    </row>
    <row r="314" spans="1:38">
      <c r="A314" s="7">
        <v>2</v>
      </c>
      <c r="B314" s="68" t="s">
        <v>418</v>
      </c>
      <c r="C314" s="89" t="s">
        <v>417</v>
      </c>
      <c r="D314" s="82">
        <v>80.599999999999994</v>
      </c>
      <c r="E314" s="82">
        <v>80.8</v>
      </c>
      <c r="F314" s="82">
        <v>80.8</v>
      </c>
      <c r="G314" s="82">
        <v>80.716666666666654</v>
      </c>
      <c r="H314" s="82">
        <v>80.75</v>
      </c>
      <c r="I314" s="82">
        <v>78.55</v>
      </c>
      <c r="J314" s="82">
        <v>77.63333333333334</v>
      </c>
      <c r="K314" s="82">
        <v>78.616666666666674</v>
      </c>
      <c r="L314" s="82">
        <v>81.853333333333339</v>
      </c>
      <c r="M314" s="82">
        <v>83.19</v>
      </c>
      <c r="N314" s="82">
        <v>83.19</v>
      </c>
      <c r="O314" s="76">
        <v>82.1</v>
      </c>
      <c r="P314" s="76">
        <v>82.94</v>
      </c>
      <c r="Q314" s="76">
        <v>84.74</v>
      </c>
      <c r="R314" s="76">
        <v>83.5</v>
      </c>
      <c r="S314" s="76">
        <v>81.950000000000017</v>
      </c>
      <c r="T314" s="76">
        <v>81.12</v>
      </c>
      <c r="U314" s="83">
        <v>85</v>
      </c>
      <c r="V314" s="78">
        <v>81.45</v>
      </c>
      <c r="W314" s="76">
        <v>81.3</v>
      </c>
      <c r="X314" s="76">
        <v>81.3</v>
      </c>
      <c r="Y314" s="76">
        <v>81.350000000000009</v>
      </c>
      <c r="Z314" s="76">
        <v>81.400000000000006</v>
      </c>
      <c r="AA314" s="76">
        <v>81.3</v>
      </c>
      <c r="AB314" s="76">
        <v>81</v>
      </c>
      <c r="AC314" s="76">
        <v>81.233333333333334</v>
      </c>
      <c r="AD314" s="76">
        <v>80.400000000000006</v>
      </c>
      <c r="AE314" s="76">
        <v>81.900000000000006</v>
      </c>
      <c r="AF314" s="76">
        <v>81.7</v>
      </c>
      <c r="AG314" s="76">
        <v>81.333333333333329</v>
      </c>
      <c r="AH314" s="76">
        <v>81.599999999999994</v>
      </c>
      <c r="AI314" s="76">
        <v>81.3</v>
      </c>
      <c r="AJ314" s="76">
        <v>0</v>
      </c>
      <c r="AK314" s="76"/>
      <c r="AL314" s="76">
        <v>81.305555555555571</v>
      </c>
    </row>
    <row r="315" spans="1:38">
      <c r="A315" s="7">
        <v>3</v>
      </c>
      <c r="B315" s="68" t="s">
        <v>419</v>
      </c>
      <c r="C315" s="74" t="s">
        <v>146</v>
      </c>
      <c r="D315" s="82">
        <v>3.5</v>
      </c>
      <c r="E315" s="82">
        <v>3.6</v>
      </c>
      <c r="F315" s="82">
        <v>3.7</v>
      </c>
      <c r="G315" s="82">
        <v>3.7741666666666664</v>
      </c>
      <c r="H315" s="82">
        <v>3.1974999999999998</v>
      </c>
      <c r="I315" s="82">
        <v>3</v>
      </c>
      <c r="J315" s="82">
        <v>2.2000000000000002</v>
      </c>
      <c r="K315" s="76">
        <v>1.9666666666666666</v>
      </c>
      <c r="L315" s="76">
        <v>2.4947071270025498</v>
      </c>
      <c r="M315" s="76">
        <v>1.59</v>
      </c>
      <c r="N315" s="76">
        <v>1.59</v>
      </c>
      <c r="O315" s="76">
        <v>1.1000000000000001</v>
      </c>
      <c r="P315" s="76">
        <v>1.4</v>
      </c>
      <c r="Q315" s="76">
        <v>1.4</v>
      </c>
      <c r="R315" s="76">
        <v>0.35</v>
      </c>
      <c r="S315" s="76">
        <v>0.64</v>
      </c>
      <c r="T315" s="76">
        <v>0.375</v>
      </c>
      <c r="U315" s="77">
        <v>2</v>
      </c>
      <c r="V315" s="78">
        <v>0.74</v>
      </c>
      <c r="W315" s="76">
        <v>0.49</v>
      </c>
      <c r="X315" s="76">
        <v>0.95</v>
      </c>
      <c r="Y315" s="76">
        <v>0.72666666666666657</v>
      </c>
      <c r="Z315" s="76">
        <v>0</v>
      </c>
      <c r="AA315" s="76">
        <v>0</v>
      </c>
      <c r="AB315" s="76">
        <v>0</v>
      </c>
      <c r="AC315" s="76">
        <v>0</v>
      </c>
      <c r="AD315" s="76">
        <v>0.12</v>
      </c>
      <c r="AE315" s="76">
        <v>0.64</v>
      </c>
      <c r="AF315" s="76">
        <v>0.64</v>
      </c>
      <c r="AG315" s="76">
        <v>0.46666666666666662</v>
      </c>
      <c r="AH315" s="76">
        <v>0.77</v>
      </c>
      <c r="AI315" s="76">
        <v>0.56000000000000005</v>
      </c>
      <c r="AJ315" s="76">
        <v>0</v>
      </c>
      <c r="AK315" s="76"/>
      <c r="AL315" s="76">
        <v>0.39777777777777779</v>
      </c>
    </row>
    <row r="316" spans="1:38">
      <c r="A316" s="7">
        <v>4</v>
      </c>
      <c r="B316" s="68" t="s">
        <v>420</v>
      </c>
      <c r="C316" s="74" t="s">
        <v>146</v>
      </c>
      <c r="D316" s="82">
        <v>2</v>
      </c>
      <c r="E316" s="82">
        <v>2.1</v>
      </c>
      <c r="F316" s="82">
        <v>2.44</v>
      </c>
      <c r="G316" s="82">
        <v>2.2041666666666671</v>
      </c>
      <c r="H316" s="82">
        <v>1.7766666666666666</v>
      </c>
      <c r="I316" s="82">
        <v>1.5591666666666668</v>
      </c>
      <c r="J316" s="82">
        <v>1.7233333333333334</v>
      </c>
      <c r="K316" s="76">
        <v>1.3925000000000001</v>
      </c>
      <c r="L316" s="76">
        <v>0.69999999999999984</v>
      </c>
      <c r="M316" s="76">
        <v>0.52</v>
      </c>
      <c r="N316" s="76">
        <v>0.52</v>
      </c>
      <c r="O316" s="76">
        <v>0.4</v>
      </c>
      <c r="P316" s="76">
        <v>0.39</v>
      </c>
      <c r="Q316" s="76">
        <v>0.39</v>
      </c>
      <c r="R316" s="76">
        <v>0.44</v>
      </c>
      <c r="S316" s="76">
        <v>0.27</v>
      </c>
      <c r="T316" s="76">
        <v>0.22500000000000003</v>
      </c>
      <c r="U316" s="77">
        <v>0.5</v>
      </c>
      <c r="V316" s="78">
        <v>0.32</v>
      </c>
      <c r="W316" s="76">
        <v>0.11</v>
      </c>
      <c r="X316" s="76">
        <v>0.16</v>
      </c>
      <c r="Y316" s="76">
        <v>0.19666666666666666</v>
      </c>
      <c r="Z316" s="76">
        <v>0.17</v>
      </c>
      <c r="AA316" s="76">
        <v>0.19</v>
      </c>
      <c r="AB316" s="76">
        <v>0.15</v>
      </c>
      <c r="AC316" s="76">
        <v>0.17</v>
      </c>
      <c r="AD316" s="76">
        <v>0.16</v>
      </c>
      <c r="AE316" s="76">
        <v>0.12</v>
      </c>
      <c r="AF316" s="76">
        <v>0.21</v>
      </c>
      <c r="AG316" s="76">
        <v>0.16333333333333333</v>
      </c>
      <c r="AH316" s="76">
        <v>0.28000000000000003</v>
      </c>
      <c r="AI316" s="76">
        <v>0.24</v>
      </c>
      <c r="AJ316" s="76">
        <v>0</v>
      </c>
      <c r="AK316" s="76"/>
      <c r="AL316" s="76">
        <v>0.17666666666666664</v>
      </c>
    </row>
    <row r="317" spans="1:38">
      <c r="A317" s="7">
        <v>5</v>
      </c>
      <c r="B317" s="68" t="s">
        <v>421</v>
      </c>
      <c r="C317" s="74" t="s">
        <v>146</v>
      </c>
      <c r="D317" s="82">
        <v>0.7</v>
      </c>
      <c r="E317" s="76">
        <v>0.4</v>
      </c>
      <c r="F317" s="76">
        <v>0.35</v>
      </c>
      <c r="G317" s="76">
        <v>0.32333333333333331</v>
      </c>
      <c r="H317" s="76">
        <v>0.27916666666666667</v>
      </c>
      <c r="I317" s="76">
        <v>0.30833333333333335</v>
      </c>
      <c r="J317" s="76">
        <v>0.48750000000000004</v>
      </c>
      <c r="K317" s="76">
        <v>0.5558333333333334</v>
      </c>
      <c r="L317" s="76">
        <v>0.45083333333333325</v>
      </c>
      <c r="M317" s="76">
        <v>0.34</v>
      </c>
      <c r="N317" s="76">
        <v>0.34</v>
      </c>
      <c r="O317" s="76">
        <v>0.43</v>
      </c>
      <c r="P317" s="76">
        <v>0.35</v>
      </c>
      <c r="Q317" s="76">
        <v>0.35</v>
      </c>
      <c r="R317" s="76">
        <v>0.47</v>
      </c>
      <c r="S317" s="76">
        <v>0.35999999999999993</v>
      </c>
      <c r="T317" s="76">
        <v>0.46500000000000002</v>
      </c>
      <c r="U317" s="77">
        <v>0.3</v>
      </c>
      <c r="V317" s="78">
        <v>0.38</v>
      </c>
      <c r="W317" s="76">
        <v>0.3</v>
      </c>
      <c r="X317" s="76">
        <v>0.3</v>
      </c>
      <c r="Y317" s="76">
        <v>0.32666666666666666</v>
      </c>
      <c r="Z317" s="76">
        <v>0.4</v>
      </c>
      <c r="AA317" s="76">
        <v>0.3</v>
      </c>
      <c r="AB317" s="76">
        <v>0.4</v>
      </c>
      <c r="AC317" s="76">
        <v>0.3666666666666667</v>
      </c>
      <c r="AD317" s="76">
        <v>0.7</v>
      </c>
      <c r="AE317" s="76">
        <v>0.35</v>
      </c>
      <c r="AF317" s="76">
        <v>0.4</v>
      </c>
      <c r="AG317" s="76">
        <v>0.37333333333333335</v>
      </c>
      <c r="AH317" s="76">
        <v>0.4</v>
      </c>
      <c r="AI317" s="76">
        <v>0.4</v>
      </c>
      <c r="AJ317" s="76">
        <v>0</v>
      </c>
      <c r="AK317" s="76"/>
      <c r="AL317" s="76">
        <v>0.35555555555555557</v>
      </c>
    </row>
    <row r="318" spans="1:38">
      <c r="A318" s="64" t="s">
        <v>422</v>
      </c>
      <c r="B318" s="99" t="s">
        <v>423</v>
      </c>
      <c r="C318" s="53"/>
      <c r="D318" s="79"/>
      <c r="E318" s="79"/>
      <c r="F318" s="79"/>
      <c r="G318" s="79"/>
      <c r="H318" s="79"/>
      <c r="I318" s="79"/>
      <c r="J318" s="79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75"/>
      <c r="V318" s="71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</row>
    <row r="319" spans="1:38">
      <c r="A319" s="64">
        <v>1</v>
      </c>
      <c r="B319" s="99" t="s">
        <v>424</v>
      </c>
      <c r="C319" s="53" t="s">
        <v>425</v>
      </c>
      <c r="D319" s="102">
        <v>7.3879999999999999</v>
      </c>
      <c r="E319" s="102">
        <v>7.09</v>
      </c>
      <c r="F319" s="102">
        <v>6.9740000000000002</v>
      </c>
      <c r="G319" s="102">
        <v>6.87</v>
      </c>
      <c r="H319" s="102">
        <v>6.86</v>
      </c>
      <c r="I319" s="102">
        <v>6.7329999999999997</v>
      </c>
      <c r="J319" s="102">
        <v>6.6749999999999998</v>
      </c>
      <c r="K319" s="102">
        <v>6.5670999999999999</v>
      </c>
      <c r="L319" s="102">
        <v>6.4980000000000002</v>
      </c>
      <c r="M319" s="102">
        <v>6.4279999999999999</v>
      </c>
      <c r="N319" s="102">
        <v>6.3330000000000002</v>
      </c>
      <c r="O319" s="102">
        <v>6.2590000000000003</v>
      </c>
      <c r="P319" s="102">
        <v>6.2439999999999998</v>
      </c>
      <c r="Q319" s="102">
        <v>6.1890000000000001</v>
      </c>
      <c r="R319" s="102">
        <v>5.9907000000000004</v>
      </c>
      <c r="S319" s="102">
        <v>6.0343</v>
      </c>
      <c r="T319" s="102">
        <v>5.9839000000000002</v>
      </c>
      <c r="U319" s="77">
        <v>6.03</v>
      </c>
      <c r="V319" s="102">
        <v>5.9202000000000004</v>
      </c>
      <c r="W319" s="102">
        <v>6.0507</v>
      </c>
      <c r="X319" s="102">
        <v>5.8604000000000003</v>
      </c>
      <c r="Y319" s="102">
        <v>6.36</v>
      </c>
      <c r="Z319" s="102">
        <v>5.9203000000000001</v>
      </c>
      <c r="AA319" s="102">
        <v>5.8501000000000003</v>
      </c>
      <c r="AB319" s="102">
        <v>5.8804999999999996</v>
      </c>
      <c r="AC319" s="102">
        <v>6.2640000000000002</v>
      </c>
      <c r="AD319" s="102">
        <v>5.8811</v>
      </c>
      <c r="AE319" s="102">
        <v>5.9907000000000004</v>
      </c>
      <c r="AF319" s="102">
        <v>5.8208000000000002</v>
      </c>
      <c r="AG319" s="102">
        <v>6.367</v>
      </c>
      <c r="AH319" s="102">
        <v>5.9409000000000001</v>
      </c>
      <c r="AI319" s="102">
        <v>5.9009</v>
      </c>
      <c r="AJ319" s="102">
        <v>0</v>
      </c>
      <c r="AK319" s="102">
        <v>6.2949999999999999</v>
      </c>
      <c r="AL319" s="102">
        <v>5.9081999999999999</v>
      </c>
    </row>
    <row r="320" spans="1:38">
      <c r="A320" s="64">
        <v>3</v>
      </c>
      <c r="B320" s="99" t="s">
        <v>427</v>
      </c>
      <c r="C320" s="54" t="s">
        <v>169</v>
      </c>
      <c r="D320" s="53">
        <v>1.0269999999999999</v>
      </c>
      <c r="E320" s="53">
        <v>1.052</v>
      </c>
      <c r="F320" s="53">
        <v>1.0529999999999999</v>
      </c>
      <c r="G320" s="53">
        <v>1.0529999999999999</v>
      </c>
      <c r="H320" s="53">
        <v>1.0529999999999999</v>
      </c>
      <c r="I320" s="53">
        <v>1.052</v>
      </c>
      <c r="J320" s="53">
        <v>1.0489999999999999</v>
      </c>
      <c r="K320" s="102">
        <v>1.05</v>
      </c>
      <c r="L320" s="102">
        <v>1.0418333333333334</v>
      </c>
      <c r="M320" s="102">
        <v>1.028</v>
      </c>
      <c r="N320" s="102">
        <v>1.0169999999999999</v>
      </c>
      <c r="O320" s="102">
        <v>0.999</v>
      </c>
      <c r="P320" s="102">
        <v>1.016</v>
      </c>
      <c r="Q320" s="102">
        <v>1.0389999999999999</v>
      </c>
      <c r="R320" s="102">
        <v>1.028</v>
      </c>
      <c r="S320" s="102">
        <v>1.028</v>
      </c>
      <c r="T320" s="102">
        <v>1.0329999999999999</v>
      </c>
      <c r="U320" s="77">
        <v>1.05</v>
      </c>
      <c r="V320" s="102">
        <v>1.0389999999999999</v>
      </c>
      <c r="W320" s="102">
        <v>1.028</v>
      </c>
      <c r="X320" s="102">
        <v>1.034</v>
      </c>
      <c r="Y320" s="102">
        <v>1.0336666666666667</v>
      </c>
      <c r="Z320" s="102">
        <v>1.0269999999999999</v>
      </c>
      <c r="AA320" s="102">
        <v>1.03</v>
      </c>
      <c r="AB320" s="102">
        <v>1.03</v>
      </c>
      <c r="AC320" s="102">
        <v>1.0289999999999999</v>
      </c>
      <c r="AD320" s="102">
        <v>1.0269999999999999</v>
      </c>
      <c r="AE320" s="102">
        <v>1.0249999999999999</v>
      </c>
      <c r="AF320" s="102">
        <v>1.0189999999999999</v>
      </c>
      <c r="AG320" s="102">
        <v>1.0236666666666665</v>
      </c>
      <c r="AH320" s="102">
        <v>1.024</v>
      </c>
      <c r="AI320" s="102">
        <v>1.02</v>
      </c>
      <c r="AJ320" s="102">
        <v>0</v>
      </c>
      <c r="AK320" s="102"/>
      <c r="AL320" s="102">
        <v>1.028</v>
      </c>
    </row>
    <row r="321" spans="1:38">
      <c r="A321" s="64">
        <v>10</v>
      </c>
      <c r="B321" s="99" t="s">
        <v>434</v>
      </c>
      <c r="C321" s="53" t="s">
        <v>435</v>
      </c>
      <c r="D321" s="53">
        <v>5554</v>
      </c>
      <c r="E321" s="53">
        <v>2404</v>
      </c>
      <c r="F321" s="53">
        <v>658</v>
      </c>
      <c r="G321" s="53">
        <v>359</v>
      </c>
      <c r="H321" s="53">
        <v>298</v>
      </c>
      <c r="I321" s="53">
        <v>392</v>
      </c>
      <c r="J321" s="53">
        <v>1008</v>
      </c>
      <c r="K321" s="79">
        <v>1613.1150000000002</v>
      </c>
      <c r="L321" s="79">
        <v>7976.8</v>
      </c>
      <c r="M321" s="79">
        <v>7170</v>
      </c>
      <c r="N321" s="79">
        <v>13303</v>
      </c>
      <c r="O321" s="79">
        <v>15281</v>
      </c>
      <c r="P321" s="79">
        <v>14637.24</v>
      </c>
      <c r="Q321" s="79">
        <v>14029</v>
      </c>
      <c r="R321" s="79">
        <v>1583</v>
      </c>
      <c r="S321" s="79">
        <v>13550</v>
      </c>
      <c r="T321" s="79">
        <v>14381</v>
      </c>
      <c r="U321" s="75">
        <v>17500</v>
      </c>
      <c r="V321" s="71">
        <v>1244</v>
      </c>
      <c r="W321" s="53">
        <v>928</v>
      </c>
      <c r="X321" s="53">
        <v>1237</v>
      </c>
      <c r="Y321" s="53">
        <v>3409</v>
      </c>
      <c r="Z321" s="53">
        <v>742</v>
      </c>
      <c r="AA321" s="53">
        <v>648</v>
      </c>
      <c r="AB321" s="79">
        <v>1040</v>
      </c>
      <c r="AC321" s="79">
        <v>2430</v>
      </c>
      <c r="AD321" s="53">
        <v>1069</v>
      </c>
      <c r="AE321" s="79">
        <v>771</v>
      </c>
      <c r="AF321" s="53">
        <v>968</v>
      </c>
      <c r="AG321" s="79">
        <v>2808</v>
      </c>
      <c r="AH321" s="79">
        <v>1071</v>
      </c>
      <c r="AI321" s="79">
        <v>1043</v>
      </c>
      <c r="AJ321" s="79">
        <v>0</v>
      </c>
      <c r="AK321" s="79"/>
      <c r="AL321" s="53">
        <v>10761</v>
      </c>
    </row>
    <row r="322" spans="1:38">
      <c r="A322" s="64">
        <v>11</v>
      </c>
      <c r="B322" s="99" t="s">
        <v>436</v>
      </c>
      <c r="C322" s="53" t="s">
        <v>437</v>
      </c>
      <c r="D322" s="76">
        <v>5.27</v>
      </c>
      <c r="E322" s="76">
        <v>5.15</v>
      </c>
      <c r="F322" s="76">
        <v>4.2</v>
      </c>
      <c r="G322" s="76">
        <v>4.0964808541227038</v>
      </c>
      <c r="H322" s="76">
        <v>4.0610876085320733</v>
      </c>
      <c r="I322" s="76">
        <v>4.0520132905537221</v>
      </c>
      <c r="J322" s="76">
        <v>4.0333472989604333</v>
      </c>
      <c r="K322" s="76">
        <v>4.2237500958254497</v>
      </c>
      <c r="L322" s="76">
        <v>3.9758266601446208</v>
      </c>
      <c r="M322" s="76">
        <v>3.8869403492426811</v>
      </c>
      <c r="N322" s="76">
        <v>3.7177698551560279</v>
      </c>
      <c r="O322" s="76">
        <v>3.6573087145934373</v>
      </c>
      <c r="P322" s="76">
        <v>3.8116495374556623</v>
      </c>
      <c r="Q322" s="76">
        <v>3.4062667992362483</v>
      </c>
      <c r="R322" s="76">
        <v>3.1374871820991226</v>
      </c>
      <c r="S322" s="76">
        <v>3.1191792597869776</v>
      </c>
      <c r="T322" s="76">
        <v>3.0045147589384995</v>
      </c>
      <c r="U322" s="77">
        <v>2.98</v>
      </c>
      <c r="V322" s="78">
        <v>3.0178375162299123</v>
      </c>
      <c r="W322" s="76">
        <v>3.1047789848527856</v>
      </c>
      <c r="X322" s="76">
        <v>3.0090242181440727</v>
      </c>
      <c r="Y322" s="76">
        <v>3.041908867701153</v>
      </c>
      <c r="Z322" s="76">
        <v>3.0496376224114248</v>
      </c>
      <c r="AA322" s="76">
        <v>2.9764457883953659</v>
      </c>
      <c r="AB322" s="76">
        <v>2.8337810982965506</v>
      </c>
      <c r="AC322" s="76">
        <v>2.9520175705632572</v>
      </c>
      <c r="AD322" s="76">
        <v>2.9715837377562084</v>
      </c>
      <c r="AE322" s="76">
        <v>3.0086904086265607</v>
      </c>
      <c r="AF322" s="76">
        <v>2.8154674688812831</v>
      </c>
      <c r="AG322" s="76">
        <v>3.7615004252742659</v>
      </c>
      <c r="AH322" s="76">
        <v>2.9721309034260774</v>
      </c>
      <c r="AI322" s="76">
        <v>2.993610029794314</v>
      </c>
      <c r="AJ322" s="76" t="e">
        <v>#DIV/0!</v>
      </c>
      <c r="AK322" s="76"/>
      <c r="AL322" s="76">
        <v>2.9749203587468744</v>
      </c>
    </row>
    <row r="323" spans="1:38">
      <c r="A323" s="64">
        <v>12</v>
      </c>
      <c r="B323" s="99" t="s">
        <v>436</v>
      </c>
      <c r="C323" s="53" t="s">
        <v>438</v>
      </c>
      <c r="D323" s="76">
        <v>5.3</v>
      </c>
      <c r="E323" s="76">
        <v>5.42</v>
      </c>
      <c r="F323" s="76">
        <v>4.63</v>
      </c>
      <c r="G323" s="76">
        <v>4.4594243964378046</v>
      </c>
      <c r="H323" s="76">
        <v>4.2315298359473585</v>
      </c>
      <c r="I323" s="76">
        <v>4.1709427218767141</v>
      </c>
      <c r="J323" s="76">
        <v>4.1106559910899474</v>
      </c>
      <c r="K323" s="76">
        <v>4.6283598148615566</v>
      </c>
      <c r="L323" s="76">
        <v>4.4768574828242356</v>
      </c>
      <c r="M323" s="76">
        <v>4.1569706388468566</v>
      </c>
      <c r="N323" s="76">
        <v>4.0598854075245372</v>
      </c>
      <c r="O323" s="76">
        <v>4.0137322952143588</v>
      </c>
      <c r="P323" s="76">
        <v>4.1675889880504835</v>
      </c>
      <c r="Q323" s="76">
        <v>3.7171768269368117</v>
      </c>
      <c r="R323" s="76">
        <v>3.4108005403870592</v>
      </c>
      <c r="S323" s="76">
        <v>3.3400859815248674</v>
      </c>
      <c r="T323" s="76">
        <v>2.968867580656843</v>
      </c>
      <c r="U323" s="75">
        <v>2.92</v>
      </c>
      <c r="V323" s="78">
        <v>2.863241873903335</v>
      </c>
      <c r="W323" s="76">
        <v>2.9903630477871048</v>
      </c>
      <c r="X323" s="76">
        <v>2.6681377719864319</v>
      </c>
      <c r="Y323" s="76">
        <v>2.8309052938219552</v>
      </c>
      <c r="Z323" s="76">
        <v>2.9998043930315772</v>
      </c>
      <c r="AA323" s="76">
        <v>3.0920713641633388</v>
      </c>
      <c r="AB323" s="76">
        <v>3.0012899960497728</v>
      </c>
      <c r="AC323" s="76">
        <v>3.0318688289342752</v>
      </c>
      <c r="AD323" s="76">
        <v>2.8095067355016541</v>
      </c>
      <c r="AE323" s="76">
        <v>3.213824151447723</v>
      </c>
      <c r="AF323" s="76">
        <v>3.2027186873383053</v>
      </c>
      <c r="AG323" s="76">
        <v>4.1855763476286549</v>
      </c>
      <c r="AH323" s="76">
        <v>2.8235255710955078</v>
      </c>
      <c r="AI323" s="76">
        <v>2.8593651345588977</v>
      </c>
      <c r="AJ323" s="76" t="e">
        <v>#DIV/0!</v>
      </c>
      <c r="AK323" s="76"/>
      <c r="AL323" s="76">
        <v>2.9458684005586955</v>
      </c>
    </row>
    <row r="324" spans="1:38">
      <c r="A324" s="64">
        <v>13</v>
      </c>
      <c r="B324" s="99" t="s">
        <v>439</v>
      </c>
      <c r="C324" s="53" t="s">
        <v>440</v>
      </c>
      <c r="D324" s="76">
        <v>23.31</v>
      </c>
      <c r="E324" s="76">
        <v>61.87</v>
      </c>
      <c r="F324" s="76">
        <v>93.68</v>
      </c>
      <c r="G324" s="76">
        <v>83.591144773720742</v>
      </c>
      <c r="H324" s="76">
        <v>68.128172278187378</v>
      </c>
      <c r="I324" s="76">
        <v>62.576491188543194</v>
      </c>
      <c r="J324" s="76">
        <v>51.162962630468591</v>
      </c>
      <c r="K324" s="76">
        <v>46.649749478237261</v>
      </c>
      <c r="L324" s="76">
        <v>67.489999999999995</v>
      </c>
      <c r="M324" s="76">
        <v>66.903547133138972</v>
      </c>
      <c r="N324" s="76">
        <v>62.762884331937315</v>
      </c>
      <c r="O324" s="76">
        <v>62.446481801222212</v>
      </c>
      <c r="P324" s="76">
        <v>67.477085155744874</v>
      </c>
      <c r="Q324" s="76">
        <v>78.457211941303555</v>
      </c>
      <c r="R324" s="76">
        <v>42.874081355734262</v>
      </c>
      <c r="S324" s="76">
        <v>72.522585394515573</v>
      </c>
      <c r="T324" s="76">
        <v>70.40805512551718</v>
      </c>
      <c r="U324" s="77">
        <v>71</v>
      </c>
      <c r="V324" s="78">
        <v>72.154037233900482</v>
      </c>
      <c r="W324" s="76">
        <v>75.951876360595705</v>
      </c>
      <c r="X324" s="76">
        <v>78.658729739718069</v>
      </c>
      <c r="Y324" s="76">
        <v>75.591463830367488</v>
      </c>
      <c r="Z324" s="76">
        <v>76.976491460751404</v>
      </c>
      <c r="AA324" s="76">
        <v>78.865403889826311</v>
      </c>
      <c r="AB324" s="76">
        <v>77.328241339980266</v>
      </c>
      <c r="AC324" s="76">
        <v>77.746984753629718</v>
      </c>
      <c r="AD324" s="76">
        <v>76.064293149590696</v>
      </c>
      <c r="AE324" s="76">
        <v>72.355341446315904</v>
      </c>
      <c r="AF324" s="76">
        <v>75.10935968021721</v>
      </c>
      <c r="AG324" s="76">
        <v>77.843280745223169</v>
      </c>
      <c r="AH324" s="76">
        <v>76.824257338947987</v>
      </c>
      <c r="AI324" s="76">
        <v>73.955187188312138</v>
      </c>
      <c r="AJ324" s="76" t="e">
        <v>#DIV/0!</v>
      </c>
      <c r="AK324" s="76"/>
      <c r="AL324" s="76">
        <v>75.890970623103598</v>
      </c>
    </row>
    <row r="325" spans="1:38">
      <c r="A325" s="64">
        <v>14</v>
      </c>
      <c r="B325" s="99" t="s">
        <v>441</v>
      </c>
      <c r="C325" s="53" t="s">
        <v>442</v>
      </c>
      <c r="D325" s="76"/>
      <c r="E325" s="79">
        <v>278</v>
      </c>
      <c r="F325" s="79">
        <v>763</v>
      </c>
      <c r="G325" s="79">
        <v>1136</v>
      </c>
      <c r="H325" s="79">
        <v>741</v>
      </c>
      <c r="I325" s="79">
        <v>994</v>
      </c>
      <c r="J325" s="79">
        <v>388</v>
      </c>
      <c r="K325" s="53">
        <v>119</v>
      </c>
      <c r="L325" s="53">
        <v>257</v>
      </c>
      <c r="M325" s="53">
        <v>48</v>
      </c>
      <c r="N325" s="53">
        <v>90</v>
      </c>
      <c r="O325" s="53">
        <v>0</v>
      </c>
      <c r="P325" s="53">
        <v>214</v>
      </c>
      <c r="Q325" s="53">
        <v>1939</v>
      </c>
      <c r="R325" s="53">
        <v>2054</v>
      </c>
      <c r="S325" s="53">
        <v>2815</v>
      </c>
      <c r="T325" s="53">
        <v>2882</v>
      </c>
      <c r="U325" s="75">
        <v>3000</v>
      </c>
      <c r="V325" s="71">
        <v>506</v>
      </c>
      <c r="W325" s="53">
        <v>417</v>
      </c>
      <c r="X325" s="53">
        <v>505</v>
      </c>
      <c r="Y325" s="53">
        <v>1428</v>
      </c>
      <c r="Z325" s="53">
        <v>502</v>
      </c>
      <c r="AA325" s="53">
        <v>521</v>
      </c>
      <c r="AB325" s="53">
        <v>519</v>
      </c>
      <c r="AC325" s="53">
        <v>1542</v>
      </c>
      <c r="AD325" s="53">
        <v>502</v>
      </c>
      <c r="AE325" s="53">
        <v>529</v>
      </c>
      <c r="AF325" s="53">
        <v>540</v>
      </c>
      <c r="AG325" s="53">
        <v>0</v>
      </c>
      <c r="AH325" s="53">
        <v>562</v>
      </c>
      <c r="AI325" s="53">
        <v>455</v>
      </c>
      <c r="AJ325" s="53">
        <v>0</v>
      </c>
      <c r="AK325" s="53"/>
      <c r="AL325" s="53">
        <v>5558</v>
      </c>
    </row>
    <row r="326" spans="1:38">
      <c r="A326" s="64">
        <v>15</v>
      </c>
      <c r="B326" s="99" t="s">
        <v>443</v>
      </c>
      <c r="C326" s="53" t="s">
        <v>444</v>
      </c>
      <c r="D326" s="76"/>
      <c r="E326" s="79"/>
      <c r="F326" s="79"/>
      <c r="G326" s="79"/>
      <c r="H326" s="79"/>
      <c r="I326" s="79"/>
      <c r="J326" s="79"/>
      <c r="K326" s="53"/>
      <c r="L326" s="53"/>
      <c r="M326" s="53"/>
      <c r="N326" s="53"/>
      <c r="O326" s="53"/>
      <c r="P326" s="53"/>
      <c r="Q326" s="53"/>
      <c r="R326" s="75">
        <v>2.4319999999999999</v>
      </c>
      <c r="S326" s="75">
        <v>2.4279999999999999</v>
      </c>
      <c r="T326" s="75">
        <v>2.613</v>
      </c>
      <c r="U326" s="71">
        <v>2.3650000000000002</v>
      </c>
      <c r="V326" s="102">
        <v>2.4900000000000002</v>
      </c>
      <c r="W326" s="53">
        <v>2.6110000000000002</v>
      </c>
      <c r="X326" s="53">
        <v>2.5529999999999999</v>
      </c>
      <c r="Y326" s="53"/>
      <c r="Z326" s="102">
        <v>2.52</v>
      </c>
      <c r="AA326" s="53">
        <v>2.4729999999999999</v>
      </c>
      <c r="AB326" s="53">
        <v>2.4670000000000001</v>
      </c>
      <c r="AC326" s="53"/>
      <c r="AD326" s="53">
        <v>2.5779999999999998</v>
      </c>
      <c r="AE326" s="53">
        <v>2.597</v>
      </c>
      <c r="AF326" s="53">
        <v>2.5059999999999998</v>
      </c>
      <c r="AG326" s="53"/>
      <c r="AH326" s="102">
        <v>2.57</v>
      </c>
      <c r="AI326" s="102">
        <v>2.4870000000000001</v>
      </c>
      <c r="AJ326" s="102"/>
      <c r="AK326" s="102"/>
      <c r="AL326" s="102">
        <v>2.5249999999999999</v>
      </c>
    </row>
    <row r="327" spans="1:38">
      <c r="A327" s="64">
        <v>16</v>
      </c>
      <c r="B327" s="99" t="s">
        <v>445</v>
      </c>
      <c r="C327" s="53" t="s">
        <v>446</v>
      </c>
      <c r="D327" s="76"/>
      <c r="E327" s="79"/>
      <c r="F327" s="79"/>
      <c r="G327" s="79"/>
      <c r="H327" s="79"/>
      <c r="I327" s="79"/>
      <c r="J327" s="79"/>
      <c r="K327" s="53"/>
      <c r="L327" s="53"/>
      <c r="M327" s="53"/>
      <c r="N327" s="53"/>
      <c r="O327" s="53"/>
      <c r="P327" s="53"/>
      <c r="Q327" s="53"/>
      <c r="R327" s="53">
        <v>457.39</v>
      </c>
      <c r="S327" s="53">
        <v>466.53</v>
      </c>
      <c r="T327" s="53">
        <v>495.51</v>
      </c>
      <c r="U327" s="75">
        <v>540.15</v>
      </c>
      <c r="V327" s="71">
        <v>517.77</v>
      </c>
      <c r="W327" s="53">
        <v>455.92</v>
      </c>
      <c r="X327" s="53">
        <v>524.91999999999996</v>
      </c>
      <c r="Y327" s="53"/>
      <c r="Z327" s="53">
        <v>483.56</v>
      </c>
      <c r="AA327" s="53">
        <v>523.88</v>
      </c>
      <c r="AB327" s="53">
        <v>541.15</v>
      </c>
      <c r="AC327" s="53"/>
      <c r="AD327" s="53">
        <v>515.53</v>
      </c>
      <c r="AE327" s="53">
        <v>486.65</v>
      </c>
      <c r="AF327" s="53">
        <v>542.83000000000004</v>
      </c>
      <c r="AG327" s="53"/>
      <c r="AH327" s="53">
        <v>525.22</v>
      </c>
      <c r="AI327" s="53">
        <v>523.15</v>
      </c>
      <c r="AJ327" s="53"/>
      <c r="AK327" s="53"/>
      <c r="AL327" s="53">
        <v>512.47</v>
      </c>
    </row>
    <row r="328" spans="1:38">
      <c r="B328" s="99" t="s">
        <v>447</v>
      </c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75"/>
      <c r="V328" s="71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</row>
    <row r="329" spans="1:38">
      <c r="B329" s="99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75"/>
      <c r="V329" s="71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</row>
    <row r="330" spans="1:38">
      <c r="B330" s="68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75"/>
      <c r="V330" s="71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</row>
    <row r="331" spans="1:38">
      <c r="B331" s="68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75"/>
      <c r="V331" s="71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</row>
    <row r="332" spans="1:38">
      <c r="B332" s="68"/>
      <c r="C332" s="7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79"/>
      <c r="U332" s="75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</row>
    <row r="333" spans="1:38">
      <c r="B333" s="68"/>
      <c r="C333" s="7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79"/>
      <c r="U333" s="75"/>
      <c r="V333" s="81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</row>
    <row r="334" spans="1:38">
      <c r="B334" s="68"/>
      <c r="C334" s="7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79"/>
      <c r="U334" s="75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</row>
    <row r="336" spans="1:38" s="64" customFormat="1">
      <c r="B336" s="99"/>
      <c r="C336" s="74"/>
      <c r="D336" s="53"/>
      <c r="E336" s="54"/>
      <c r="F336" s="54"/>
      <c r="G336" s="54"/>
      <c r="H336" s="54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75"/>
      <c r="V336" s="71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</row>
    <row r="337" spans="1:38">
      <c r="A337" s="108"/>
      <c r="B337" s="73"/>
      <c r="C337" s="7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3"/>
      <c r="R337" s="53"/>
      <c r="S337" s="53"/>
      <c r="T337" s="53"/>
      <c r="U337" s="75"/>
      <c r="V337" s="71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</row>
    <row r="338" spans="1:38">
      <c r="A338" s="103"/>
      <c r="B338" s="68"/>
      <c r="C338" s="74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7"/>
      <c r="V338" s="78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  <c r="AI338" s="76"/>
      <c r="AJ338" s="76"/>
      <c r="AK338" s="76"/>
      <c r="AL338" s="76"/>
    </row>
    <row r="339" spans="1:38" s="92" customFormat="1">
      <c r="A339" s="72"/>
      <c r="B339" s="68"/>
      <c r="C339" s="74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8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  <c r="AL339" s="77"/>
    </row>
    <row r="340" spans="1:38">
      <c r="A340" s="103"/>
      <c r="B340" s="86"/>
      <c r="C340" s="74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83"/>
      <c r="V340" s="78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</row>
    <row r="341" spans="1:38">
      <c r="A341" s="103"/>
      <c r="B341" s="68"/>
      <c r="C341" s="74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83"/>
      <c r="V341" s="78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</row>
    <row r="342" spans="1:38">
      <c r="A342" s="103"/>
      <c r="B342" s="86"/>
      <c r="C342" s="74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83"/>
      <c r="V342" s="78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</row>
    <row r="343" spans="1:38">
      <c r="A343" s="103"/>
      <c r="B343" s="68"/>
      <c r="C343" s="74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5"/>
      <c r="V343" s="81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</row>
    <row r="344" spans="1:38">
      <c r="A344" s="103"/>
      <c r="B344" s="86"/>
      <c r="C344" s="75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7"/>
      <c r="V344" s="78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</row>
    <row r="345" spans="1:38">
      <c r="AL345" s="53"/>
    </row>
    <row r="350" spans="1:38">
      <c r="B350" s="42"/>
      <c r="C350" s="74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  <c r="AL350" s="77"/>
    </row>
    <row r="353" spans="1:38">
      <c r="A353" s="72"/>
      <c r="B353" s="42"/>
      <c r="C353" s="74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</row>
  </sheetData>
  <pageMargins left="0.70866141732283472" right="0.70866141732283472" top="0.74803149606299213" bottom="0.74803149606299213" header="0.31496062992125984" footer="0.31496062992125984"/>
  <pageSetup paperSize="9" scale="59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63"/>
  <sheetViews>
    <sheetView topLeftCell="A28" workbookViewId="0">
      <selection activeCell="O33" sqref="O33"/>
    </sheetView>
  </sheetViews>
  <sheetFormatPr defaultRowHeight="20.25"/>
  <cols>
    <col min="1" max="1" width="35.28515625" style="46" customWidth="1"/>
    <col min="2" max="3" width="9.140625" style="50"/>
    <col min="4" max="4" width="10.5703125" style="52" customWidth="1"/>
    <col min="5" max="5" width="12.5703125" style="52" hidden="1" customWidth="1"/>
    <col min="6" max="7" width="11" style="55" customWidth="1"/>
    <col min="8" max="8" width="12" style="55" customWidth="1"/>
    <col min="9" max="9" width="13.140625" style="50" hidden="1" customWidth="1"/>
    <col min="10" max="10" width="10.85546875" style="52" customWidth="1"/>
    <col min="11" max="11" width="10.140625" style="52" customWidth="1"/>
    <col min="12" max="12" width="11.7109375" style="52" customWidth="1"/>
    <col min="13" max="13" width="10.28515625" style="50" hidden="1" customWidth="1"/>
    <col min="14" max="14" width="10.42578125" style="52" customWidth="1"/>
    <col min="15" max="15" width="10.5703125" style="50" customWidth="1"/>
    <col min="16" max="17" width="0" style="50" hidden="1" customWidth="1"/>
    <col min="18" max="18" width="13.5703125" style="52" customWidth="1"/>
    <col min="19" max="19" width="9.140625" style="50"/>
    <col min="20" max="16384" width="9.140625" style="51"/>
  </cols>
  <sheetData>
    <row r="1" spans="1:19" s="5" customFormat="1">
      <c r="A1" s="1" t="s">
        <v>0</v>
      </c>
      <c r="B1" s="2"/>
      <c r="C1" s="2"/>
      <c r="D1" s="3"/>
      <c r="E1" s="3"/>
      <c r="F1" s="4"/>
      <c r="G1" s="4"/>
      <c r="H1" s="4"/>
      <c r="I1" s="2"/>
      <c r="J1" s="3"/>
      <c r="K1" s="3"/>
      <c r="L1" s="3"/>
      <c r="M1" s="2"/>
      <c r="N1" s="3"/>
      <c r="O1" s="2"/>
      <c r="P1" s="2"/>
      <c r="Q1" s="2"/>
      <c r="R1" s="3"/>
      <c r="S1" s="2"/>
    </row>
    <row r="2" spans="1:19" s="5" customFormat="1">
      <c r="A2" s="6" t="s">
        <v>1</v>
      </c>
      <c r="B2" s="2"/>
      <c r="C2" s="2"/>
      <c r="D2" s="7"/>
      <c r="E2" s="7"/>
      <c r="F2" s="8"/>
      <c r="G2" s="8"/>
      <c r="H2" s="8"/>
      <c r="I2" s="9"/>
      <c r="J2" s="7"/>
      <c r="K2" s="7"/>
      <c r="L2" s="7"/>
      <c r="M2" s="9"/>
      <c r="N2" s="7"/>
      <c r="O2" s="9"/>
      <c r="P2" s="9"/>
      <c r="Q2" s="2"/>
      <c r="R2" s="3" t="s">
        <v>2</v>
      </c>
      <c r="S2" s="2"/>
    </row>
    <row r="3" spans="1:19" s="5" customFormat="1">
      <c r="A3" s="10" t="s">
        <v>3</v>
      </c>
      <c r="B3" s="2" t="s">
        <v>4</v>
      </c>
      <c r="C3" s="2" t="s">
        <v>5</v>
      </c>
      <c r="D3" s="3" t="s">
        <v>6</v>
      </c>
      <c r="E3" s="3" t="s">
        <v>7</v>
      </c>
      <c r="F3" s="4" t="s">
        <v>8</v>
      </c>
      <c r="G3" s="4" t="s">
        <v>9</v>
      </c>
      <c r="H3" s="4" t="s">
        <v>10</v>
      </c>
      <c r="I3" s="2" t="s">
        <v>11</v>
      </c>
      <c r="J3" s="3" t="s">
        <v>12</v>
      </c>
      <c r="K3" s="3" t="s">
        <v>13</v>
      </c>
      <c r="L3" s="3" t="s">
        <v>14</v>
      </c>
      <c r="M3" s="2" t="s">
        <v>15</v>
      </c>
      <c r="N3" s="3" t="s">
        <v>16</v>
      </c>
      <c r="O3" s="2" t="s">
        <v>17</v>
      </c>
      <c r="P3" s="2" t="s">
        <v>18</v>
      </c>
      <c r="Q3" s="2" t="s">
        <v>19</v>
      </c>
      <c r="R3" s="3" t="s">
        <v>20</v>
      </c>
      <c r="S3" s="11"/>
    </row>
    <row r="4" spans="1:19" s="5" customFormat="1">
      <c r="A4" s="10"/>
      <c r="B4" s="2"/>
      <c r="C4" s="2"/>
      <c r="D4" s="3"/>
      <c r="E4" s="3"/>
      <c r="F4" s="4"/>
      <c r="G4" s="4"/>
      <c r="H4" s="4"/>
      <c r="I4" s="2"/>
      <c r="J4" s="3"/>
      <c r="K4" s="3"/>
      <c r="L4" s="3"/>
      <c r="M4" s="2"/>
      <c r="N4" s="3"/>
      <c r="O4" s="2"/>
      <c r="P4" s="2"/>
      <c r="Q4" s="2"/>
      <c r="R4" s="3"/>
      <c r="S4" s="11"/>
    </row>
    <row r="5" spans="1:19" s="5" customFormat="1" ht="18.75">
      <c r="A5" s="10" t="s">
        <v>21</v>
      </c>
      <c r="B5" s="12">
        <v>90.466666666666669</v>
      </c>
      <c r="C5" s="12">
        <v>86.129032258064512</v>
      </c>
      <c r="D5" s="13">
        <v>89.966666666666669</v>
      </c>
      <c r="E5" s="13">
        <v>88.824175824175825</v>
      </c>
      <c r="F5" s="13">
        <v>89.838709677419359</v>
      </c>
      <c r="G5" s="13">
        <v>89.354838709677423</v>
      </c>
      <c r="H5" s="13">
        <v>87.86666666666666</v>
      </c>
      <c r="I5" s="13">
        <v>88.056100981767187</v>
      </c>
      <c r="J5" s="13">
        <v>89.225806451612897</v>
      </c>
      <c r="K5" s="13">
        <v>87.033333333333331</v>
      </c>
      <c r="L5" s="14">
        <v>88.064516129032256</v>
      </c>
      <c r="M5" s="15">
        <v>88.119565217391298</v>
      </c>
      <c r="N5" s="14">
        <v>88.838709677419359</v>
      </c>
      <c r="O5" s="15">
        <v>88.357142857142861</v>
      </c>
      <c r="P5" s="15">
        <v>0</v>
      </c>
      <c r="Q5" s="15">
        <v>58.088888888888889</v>
      </c>
      <c r="R5" s="14">
        <v>88.649700598802397</v>
      </c>
      <c r="S5" s="11"/>
    </row>
    <row r="6" spans="1:19" s="5" customFormat="1" ht="18.75">
      <c r="A6" s="10" t="s">
        <v>22</v>
      </c>
      <c r="B6" s="13">
        <v>330.06666666666666</v>
      </c>
      <c r="C6" s="12">
        <v>323.41935483870969</v>
      </c>
      <c r="D6" s="13">
        <v>321.83333333333331</v>
      </c>
      <c r="E6" s="13">
        <v>325.08791208791212</v>
      </c>
      <c r="F6" s="13">
        <v>320.70967741935482</v>
      </c>
      <c r="G6" s="13">
        <v>319.80645161290323</v>
      </c>
      <c r="H6" s="13">
        <v>322.33333333333331</v>
      </c>
      <c r="I6" s="13">
        <v>317.44880785413744</v>
      </c>
      <c r="J6" s="13">
        <v>323.83870967741933</v>
      </c>
      <c r="K6" s="13">
        <v>323.26666666666665</v>
      </c>
      <c r="L6" s="14">
        <v>333.41935483870969</v>
      </c>
      <c r="M6" s="15">
        <v>326.88043478260869</v>
      </c>
      <c r="N6" s="14">
        <v>335.74193548387098</v>
      </c>
      <c r="O6" s="15">
        <v>333.92857142857144</v>
      </c>
      <c r="P6" s="15">
        <v>0</v>
      </c>
      <c r="Q6" s="15">
        <v>223.22350230414747</v>
      </c>
      <c r="R6" s="14">
        <v>326.16766467065867</v>
      </c>
      <c r="S6" s="11"/>
    </row>
    <row r="7" spans="1:19" s="5" customFormat="1" ht="18.75">
      <c r="A7" s="10" t="s">
        <v>23</v>
      </c>
      <c r="B7" s="13">
        <v>504.66733333333332</v>
      </c>
      <c r="C7" s="12">
        <v>489.64838709677417</v>
      </c>
      <c r="D7" s="13">
        <v>495.46899999999994</v>
      </c>
      <c r="E7" s="13">
        <v>496.51857142857148</v>
      </c>
      <c r="F7" s="13">
        <v>494.09838709677422</v>
      </c>
      <c r="G7" s="13">
        <v>492.26129032258063</v>
      </c>
      <c r="H7" s="13">
        <v>491.91599999999994</v>
      </c>
      <c r="I7" s="13">
        <v>487.39708274894815</v>
      </c>
      <c r="J7" s="13">
        <v>496.04451612903222</v>
      </c>
      <c r="K7" s="13">
        <v>491.24099999999999</v>
      </c>
      <c r="L7" s="14">
        <v>503.38387096774193</v>
      </c>
      <c r="M7" s="15">
        <v>496.95119565217385</v>
      </c>
      <c r="N7" s="14">
        <v>507.20064516129037</v>
      </c>
      <c r="O7" s="15">
        <v>504.45785714285716</v>
      </c>
      <c r="P7" s="15">
        <v>0</v>
      </c>
      <c r="Q7" s="15">
        <v>335.33505785970306</v>
      </c>
      <c r="R7" s="14">
        <v>497.2615868263473</v>
      </c>
      <c r="S7" s="11"/>
    </row>
    <row r="8" spans="1:19" s="5" customFormat="1" ht="18.75">
      <c r="A8" s="10" t="s">
        <v>24</v>
      </c>
      <c r="B8" s="16">
        <v>112697</v>
      </c>
      <c r="C8" s="16">
        <v>113876</v>
      </c>
      <c r="D8" s="17">
        <v>87429</v>
      </c>
      <c r="E8" s="17">
        <v>314002</v>
      </c>
      <c r="F8" s="17">
        <v>83474</v>
      </c>
      <c r="G8" s="17">
        <v>107930</v>
      </c>
      <c r="H8" s="17">
        <v>120619</v>
      </c>
      <c r="I8" s="17">
        <v>312023</v>
      </c>
      <c r="J8" s="17">
        <v>100747</v>
      </c>
      <c r="K8" s="17">
        <v>51913</v>
      </c>
      <c r="L8" s="18">
        <v>63380</v>
      </c>
      <c r="M8" s="19">
        <v>216040</v>
      </c>
      <c r="N8" s="18">
        <v>68392</v>
      </c>
      <c r="O8" s="19">
        <v>60513</v>
      </c>
      <c r="P8" s="19">
        <v>0</v>
      </c>
      <c r="Q8" s="19">
        <v>128905</v>
      </c>
      <c r="R8" s="20">
        <v>970970</v>
      </c>
      <c r="S8" s="21"/>
    </row>
    <row r="9" spans="1:19" s="5" customFormat="1" ht="18.75">
      <c r="A9" s="10" t="s">
        <v>25</v>
      </c>
      <c r="B9" s="16">
        <v>164691</v>
      </c>
      <c r="C9" s="16">
        <v>151883</v>
      </c>
      <c r="D9" s="17">
        <v>165878</v>
      </c>
      <c r="E9" s="17">
        <v>482452</v>
      </c>
      <c r="F9" s="17">
        <v>124802</v>
      </c>
      <c r="G9" s="17">
        <v>166969</v>
      </c>
      <c r="H9" s="17">
        <v>166820</v>
      </c>
      <c r="I9" s="17">
        <v>458591</v>
      </c>
      <c r="J9" s="17">
        <v>165886</v>
      </c>
      <c r="K9" s="17">
        <v>140824</v>
      </c>
      <c r="L9" s="18">
        <v>176743</v>
      </c>
      <c r="M9" s="19">
        <v>483453</v>
      </c>
      <c r="N9" s="18">
        <v>176782</v>
      </c>
      <c r="O9" s="19">
        <v>150856</v>
      </c>
      <c r="P9" s="19">
        <v>0</v>
      </c>
      <c r="Q9" s="19">
        <v>327638</v>
      </c>
      <c r="R9" s="20">
        <v>1752134</v>
      </c>
      <c r="S9" s="21"/>
    </row>
    <row r="10" spans="1:19" s="5" customFormat="1" ht="18.75">
      <c r="A10" s="10" t="s">
        <v>26</v>
      </c>
      <c r="B10" s="16">
        <v>301647</v>
      </c>
      <c r="C10" s="16">
        <v>234388</v>
      </c>
      <c r="D10" s="17">
        <v>305397</v>
      </c>
      <c r="E10" s="17">
        <v>841432</v>
      </c>
      <c r="F10" s="17">
        <v>311755</v>
      </c>
      <c r="G10" s="17">
        <v>312236</v>
      </c>
      <c r="H10" s="17">
        <v>310703</v>
      </c>
      <c r="I10" s="17">
        <v>934694</v>
      </c>
      <c r="J10" s="17">
        <v>327233</v>
      </c>
      <c r="K10" s="17">
        <v>313158</v>
      </c>
      <c r="L10" s="18">
        <v>338820</v>
      </c>
      <c r="M10" s="19">
        <v>979211</v>
      </c>
      <c r="N10" s="18">
        <v>333003</v>
      </c>
      <c r="O10" s="19">
        <v>294351</v>
      </c>
      <c r="P10" s="19">
        <v>0</v>
      </c>
      <c r="Q10" s="19">
        <v>627354</v>
      </c>
      <c r="R10" s="20">
        <v>3382691</v>
      </c>
      <c r="S10" s="21"/>
    </row>
    <row r="11" spans="1:19" s="5" customFormat="1" ht="18.75">
      <c r="A11" s="10" t="s">
        <v>27</v>
      </c>
      <c r="B11" s="16">
        <v>579035</v>
      </c>
      <c r="C11" s="16">
        <v>500147</v>
      </c>
      <c r="D11" s="17">
        <v>558704</v>
      </c>
      <c r="E11" s="17">
        <v>1637886</v>
      </c>
      <c r="F11" s="17">
        <v>520031</v>
      </c>
      <c r="G11" s="17">
        <v>587135</v>
      </c>
      <c r="H11" s="17">
        <v>598142</v>
      </c>
      <c r="I11" s="17">
        <v>1705308</v>
      </c>
      <c r="J11" s="17">
        <v>593866</v>
      </c>
      <c r="K11" s="17">
        <v>505895</v>
      </c>
      <c r="L11" s="18">
        <v>578943</v>
      </c>
      <c r="M11" s="19">
        <v>1678704</v>
      </c>
      <c r="N11" s="18">
        <v>578177</v>
      </c>
      <c r="O11" s="19">
        <v>505720</v>
      </c>
      <c r="P11" s="19">
        <v>0</v>
      </c>
      <c r="Q11" s="19">
        <v>1083897</v>
      </c>
      <c r="R11" s="20">
        <v>6105795</v>
      </c>
      <c r="S11" s="21"/>
    </row>
    <row r="12" spans="1:19" s="5" customFormat="1" ht="18.75">
      <c r="A12" s="10" t="s">
        <v>28</v>
      </c>
      <c r="B12" s="16">
        <v>383300</v>
      </c>
      <c r="C12" s="16">
        <v>343922</v>
      </c>
      <c r="D12" s="17">
        <v>377792</v>
      </c>
      <c r="E12" s="17">
        <v>1105014</v>
      </c>
      <c r="F12" s="17">
        <v>356532</v>
      </c>
      <c r="G12" s="17">
        <v>375028</v>
      </c>
      <c r="H12" s="17">
        <v>362279</v>
      </c>
      <c r="I12" s="17">
        <v>1093839</v>
      </c>
      <c r="J12" s="17">
        <v>361530</v>
      </c>
      <c r="K12" s="17">
        <v>325306</v>
      </c>
      <c r="L12" s="18">
        <v>382211</v>
      </c>
      <c r="M12" s="19">
        <v>1069047</v>
      </c>
      <c r="N12" s="18">
        <v>368145</v>
      </c>
      <c r="O12" s="19">
        <v>327329</v>
      </c>
      <c r="P12" s="19">
        <v>0</v>
      </c>
      <c r="Q12" s="19">
        <v>695474</v>
      </c>
      <c r="R12" s="20">
        <v>3963374</v>
      </c>
      <c r="S12" s="21"/>
    </row>
    <row r="13" spans="1:19" s="5" customFormat="1" ht="18.75">
      <c r="A13" s="22" t="s">
        <v>29</v>
      </c>
      <c r="B13" s="16">
        <v>243916</v>
      </c>
      <c r="C13" s="16">
        <v>202091</v>
      </c>
      <c r="D13" s="17">
        <v>252014</v>
      </c>
      <c r="E13" s="17">
        <v>698021</v>
      </c>
      <c r="F13" s="17">
        <v>263131</v>
      </c>
      <c r="G13" s="17">
        <v>277391</v>
      </c>
      <c r="H13" s="17">
        <v>274000</v>
      </c>
      <c r="I13" s="17">
        <v>814522</v>
      </c>
      <c r="J13" s="17">
        <v>268914</v>
      </c>
      <c r="K13" s="17">
        <v>251611</v>
      </c>
      <c r="L13" s="17">
        <v>284565</v>
      </c>
      <c r="M13" s="16">
        <v>805090</v>
      </c>
      <c r="N13" s="17">
        <v>282334</v>
      </c>
      <c r="O13" s="16">
        <v>247594</v>
      </c>
      <c r="P13" s="16">
        <v>0</v>
      </c>
      <c r="Q13" s="16">
        <v>529928</v>
      </c>
      <c r="R13" s="20">
        <v>2847561</v>
      </c>
      <c r="S13" s="21"/>
    </row>
    <row r="14" spans="1:19" s="5" customFormat="1" ht="18.75">
      <c r="A14" s="10" t="s">
        <v>30</v>
      </c>
      <c r="B14" s="16">
        <v>20655</v>
      </c>
      <c r="C14" s="16">
        <v>16537</v>
      </c>
      <c r="D14" s="16">
        <v>16977</v>
      </c>
      <c r="E14" s="17">
        <v>54169</v>
      </c>
      <c r="F14" s="16">
        <v>10678</v>
      </c>
      <c r="G14" s="16">
        <v>5599</v>
      </c>
      <c r="H14" s="16">
        <v>5801</v>
      </c>
      <c r="I14" s="17">
        <v>22078</v>
      </c>
      <c r="J14" s="16">
        <v>9145</v>
      </c>
      <c r="K14" s="16">
        <v>3678</v>
      </c>
      <c r="L14" s="17">
        <v>8446</v>
      </c>
      <c r="M14" s="16">
        <v>21269</v>
      </c>
      <c r="N14" s="17">
        <v>2564</v>
      </c>
      <c r="O14" s="16">
        <v>2098</v>
      </c>
      <c r="P14" s="16">
        <v>0</v>
      </c>
      <c r="Q14" s="17">
        <v>4662</v>
      </c>
      <c r="R14" s="20">
        <v>102178</v>
      </c>
      <c r="S14" s="11"/>
    </row>
    <row r="15" spans="1:19" s="5" customFormat="1" ht="18.75">
      <c r="A15" s="10" t="s">
        <v>31</v>
      </c>
      <c r="B15" s="16">
        <v>69</v>
      </c>
      <c r="C15" s="16">
        <v>70</v>
      </c>
      <c r="D15" s="17">
        <v>70</v>
      </c>
      <c r="E15" s="17">
        <v>209</v>
      </c>
      <c r="F15" s="17">
        <v>72</v>
      </c>
      <c r="G15" s="17">
        <v>71</v>
      </c>
      <c r="H15" s="17">
        <v>72</v>
      </c>
      <c r="I15" s="17">
        <v>215</v>
      </c>
      <c r="J15" s="17">
        <v>72</v>
      </c>
      <c r="K15" s="17">
        <v>72</v>
      </c>
      <c r="L15" s="17">
        <v>72</v>
      </c>
      <c r="M15" s="16">
        <v>216</v>
      </c>
      <c r="N15" s="17">
        <v>70</v>
      </c>
      <c r="O15" s="16">
        <v>75</v>
      </c>
      <c r="P15" s="16">
        <v>0</v>
      </c>
      <c r="Q15" s="16">
        <v>145</v>
      </c>
      <c r="R15" s="23">
        <v>785</v>
      </c>
      <c r="S15" s="21"/>
    </row>
    <row r="16" spans="1:19" s="5" customFormat="1" ht="18.75">
      <c r="A16" s="10" t="s">
        <v>32</v>
      </c>
      <c r="B16" s="16">
        <v>41610</v>
      </c>
      <c r="C16" s="16">
        <v>32502</v>
      </c>
      <c r="D16" s="17">
        <v>39840</v>
      </c>
      <c r="E16" s="17">
        <v>113952</v>
      </c>
      <c r="F16" s="17">
        <v>38774</v>
      </c>
      <c r="G16" s="17">
        <v>39486</v>
      </c>
      <c r="H16" s="17">
        <v>30990</v>
      </c>
      <c r="I16" s="17">
        <v>109250</v>
      </c>
      <c r="J16" s="17">
        <v>19465</v>
      </c>
      <c r="K16" s="17">
        <v>31885</v>
      </c>
      <c r="L16" s="17">
        <v>41383</v>
      </c>
      <c r="M16" s="16">
        <v>92733</v>
      </c>
      <c r="N16" s="17">
        <v>35431</v>
      </c>
      <c r="O16" s="16">
        <v>28332</v>
      </c>
      <c r="P16" s="16">
        <v>0</v>
      </c>
      <c r="Q16" s="16">
        <v>63763</v>
      </c>
      <c r="R16" s="23">
        <v>379698</v>
      </c>
      <c r="S16" s="21"/>
    </row>
    <row r="17" spans="1:19" s="5" customFormat="1" ht="18.75">
      <c r="A17" s="10" t="s">
        <v>33</v>
      </c>
      <c r="B17" s="16">
        <v>41679</v>
      </c>
      <c r="C17" s="16">
        <v>32572</v>
      </c>
      <c r="D17" s="17">
        <v>39910</v>
      </c>
      <c r="E17" s="17">
        <v>114161</v>
      </c>
      <c r="F17" s="17">
        <v>38846</v>
      </c>
      <c r="G17" s="17">
        <v>39557</v>
      </c>
      <c r="H17" s="17">
        <v>31062</v>
      </c>
      <c r="I17" s="17">
        <v>109465</v>
      </c>
      <c r="J17" s="17">
        <v>19537</v>
      </c>
      <c r="K17" s="17">
        <v>31957</v>
      </c>
      <c r="L17" s="17">
        <v>41455</v>
      </c>
      <c r="M17" s="16">
        <v>92949</v>
      </c>
      <c r="N17" s="17">
        <v>35501</v>
      </c>
      <c r="O17" s="16">
        <v>28407</v>
      </c>
      <c r="P17" s="16">
        <v>0</v>
      </c>
      <c r="Q17" s="16">
        <v>63908</v>
      </c>
      <c r="R17" s="23">
        <v>380483</v>
      </c>
      <c r="S17" s="21"/>
    </row>
    <row r="18" spans="1:19" s="5" customFormat="1" ht="18.75">
      <c r="A18" s="10" t="s">
        <v>34</v>
      </c>
      <c r="B18" s="16">
        <v>164604</v>
      </c>
      <c r="C18" s="16">
        <v>177503</v>
      </c>
      <c r="D18" s="17">
        <v>172389</v>
      </c>
      <c r="E18" s="17">
        <v>514496</v>
      </c>
      <c r="F18" s="17">
        <v>153741</v>
      </c>
      <c r="G18" s="17">
        <v>173682</v>
      </c>
      <c r="H18" s="17">
        <v>169567</v>
      </c>
      <c r="I18" s="17">
        <v>496990</v>
      </c>
      <c r="J18" s="17">
        <v>171273</v>
      </c>
      <c r="K18" s="17">
        <v>138243</v>
      </c>
      <c r="L18" s="17">
        <v>168009</v>
      </c>
      <c r="M18" s="16">
        <v>477525</v>
      </c>
      <c r="N18" s="17">
        <v>169747</v>
      </c>
      <c r="O18" s="16">
        <v>159543</v>
      </c>
      <c r="P18" s="16">
        <v>0</v>
      </c>
      <c r="Q18" s="16">
        <v>329290</v>
      </c>
      <c r="R18" s="23">
        <v>1818301</v>
      </c>
      <c r="S18" s="21"/>
    </row>
    <row r="19" spans="1:19" s="5" customFormat="1" ht="18.75">
      <c r="A19" s="10" t="s">
        <v>35</v>
      </c>
      <c r="B19" s="16">
        <v>134908</v>
      </c>
      <c r="C19" s="16">
        <v>99949</v>
      </c>
      <c r="D19" s="17">
        <v>130667</v>
      </c>
      <c r="E19" s="17">
        <v>365524</v>
      </c>
      <c r="F19" s="17">
        <v>134282</v>
      </c>
      <c r="G19" s="17">
        <v>141602</v>
      </c>
      <c r="H19" s="17">
        <v>142557</v>
      </c>
      <c r="I19" s="17">
        <v>418441</v>
      </c>
      <c r="J19" s="17">
        <v>146708</v>
      </c>
      <c r="K19" s="17">
        <v>139912</v>
      </c>
      <c r="L19" s="17">
        <v>150207</v>
      </c>
      <c r="M19" s="16">
        <v>436827</v>
      </c>
      <c r="N19" s="17">
        <v>143956</v>
      </c>
      <c r="O19" s="16">
        <v>125197</v>
      </c>
      <c r="P19" s="16">
        <v>0</v>
      </c>
      <c r="Q19" s="16">
        <v>269153</v>
      </c>
      <c r="R19" s="23">
        <v>1489945</v>
      </c>
      <c r="S19" s="21"/>
    </row>
    <row r="20" spans="1:19" s="5" customFormat="1" ht="18.75">
      <c r="A20" s="10" t="s">
        <v>36</v>
      </c>
      <c r="B20" s="16">
        <v>299512</v>
      </c>
      <c r="C20" s="16">
        <v>277452</v>
      </c>
      <c r="D20" s="17">
        <v>303056</v>
      </c>
      <c r="E20" s="17">
        <v>880020</v>
      </c>
      <c r="F20" s="17">
        <v>288023</v>
      </c>
      <c r="G20" s="17">
        <v>315284</v>
      </c>
      <c r="H20" s="17">
        <v>312124</v>
      </c>
      <c r="I20" s="17">
        <v>915431</v>
      </c>
      <c r="J20" s="17">
        <v>317981</v>
      </c>
      <c r="K20" s="17">
        <v>278155</v>
      </c>
      <c r="L20" s="17">
        <v>318216</v>
      </c>
      <c r="M20" s="16">
        <v>914352</v>
      </c>
      <c r="N20" s="17">
        <v>313703</v>
      </c>
      <c r="O20" s="16">
        <v>284740</v>
      </c>
      <c r="P20" s="16">
        <v>0</v>
      </c>
      <c r="Q20" s="16">
        <v>598443</v>
      </c>
      <c r="R20" s="23">
        <v>3308246</v>
      </c>
      <c r="S20" s="21"/>
    </row>
    <row r="21" spans="1:19" s="26" customFormat="1" ht="18.75">
      <c r="A21" s="24" t="s">
        <v>37</v>
      </c>
      <c r="B21" s="19">
        <v>341191</v>
      </c>
      <c r="C21" s="19">
        <v>310024</v>
      </c>
      <c r="D21" s="18">
        <v>342966</v>
      </c>
      <c r="E21" s="18">
        <v>994181</v>
      </c>
      <c r="F21" s="18">
        <v>326869</v>
      </c>
      <c r="G21" s="18">
        <v>354841</v>
      </c>
      <c r="H21" s="18">
        <v>343186</v>
      </c>
      <c r="I21" s="18">
        <v>1024896</v>
      </c>
      <c r="J21" s="18">
        <v>337518</v>
      </c>
      <c r="K21" s="18">
        <v>310112</v>
      </c>
      <c r="L21" s="18">
        <v>359671</v>
      </c>
      <c r="M21" s="19">
        <v>1007301</v>
      </c>
      <c r="N21" s="18">
        <v>349204</v>
      </c>
      <c r="O21" s="19">
        <v>313147</v>
      </c>
      <c r="P21" s="19">
        <v>0</v>
      </c>
      <c r="Q21" s="19">
        <v>662351</v>
      </c>
      <c r="R21" s="20">
        <v>3688729</v>
      </c>
      <c r="S21" s="25"/>
    </row>
    <row r="22" spans="1:19" s="5" customFormat="1" ht="18.75">
      <c r="A22" s="10" t="s">
        <v>38</v>
      </c>
      <c r="B22" s="16">
        <v>341122</v>
      </c>
      <c r="C22" s="16">
        <v>309954</v>
      </c>
      <c r="D22" s="17">
        <v>342896</v>
      </c>
      <c r="E22" s="17">
        <v>993972</v>
      </c>
      <c r="F22" s="17">
        <v>326797</v>
      </c>
      <c r="G22" s="17">
        <v>354770</v>
      </c>
      <c r="H22" s="17">
        <v>343114</v>
      </c>
      <c r="I22" s="17">
        <v>1024681</v>
      </c>
      <c r="J22" s="17">
        <v>337446</v>
      </c>
      <c r="K22" s="17">
        <v>310040</v>
      </c>
      <c r="L22" s="17">
        <v>359599</v>
      </c>
      <c r="M22" s="16">
        <v>1007085</v>
      </c>
      <c r="N22" s="17">
        <v>349134</v>
      </c>
      <c r="O22" s="16">
        <v>313072</v>
      </c>
      <c r="P22" s="16">
        <v>0</v>
      </c>
      <c r="Q22" s="16">
        <v>662206</v>
      </c>
      <c r="R22" s="17">
        <v>3687944</v>
      </c>
      <c r="S22" s="21"/>
    </row>
    <row r="23" spans="1:19" s="5" customFormat="1" ht="18.75">
      <c r="A23" s="10" t="s">
        <v>39</v>
      </c>
      <c r="B23" s="16">
        <v>236445</v>
      </c>
      <c r="C23" s="16">
        <v>213207</v>
      </c>
      <c r="D23" s="17">
        <v>272719</v>
      </c>
      <c r="E23" s="17">
        <v>722371</v>
      </c>
      <c r="F23" s="17">
        <v>213824</v>
      </c>
      <c r="G23" s="17">
        <v>221355</v>
      </c>
      <c r="H23" s="17">
        <v>225762</v>
      </c>
      <c r="I23" s="17">
        <v>660941</v>
      </c>
      <c r="J23" s="17">
        <v>232934</v>
      </c>
      <c r="K23" s="17">
        <v>170826</v>
      </c>
      <c r="L23" s="17">
        <v>200052</v>
      </c>
      <c r="M23" s="17">
        <v>603812</v>
      </c>
      <c r="N23" s="17">
        <v>247493</v>
      </c>
      <c r="O23" s="17">
        <v>214690</v>
      </c>
      <c r="P23" s="17">
        <v>0</v>
      </c>
      <c r="Q23" s="16">
        <v>462183</v>
      </c>
      <c r="R23" s="23">
        <v>2449307</v>
      </c>
      <c r="S23" s="21"/>
    </row>
    <row r="24" spans="1:19" s="5" customFormat="1" ht="18.75">
      <c r="A24" s="10" t="s">
        <v>40</v>
      </c>
      <c r="B24" s="16">
        <v>13258</v>
      </c>
      <c r="C24" s="16">
        <v>15736</v>
      </c>
      <c r="D24" s="16">
        <v>18729</v>
      </c>
      <c r="E24" s="17"/>
      <c r="F24" s="16">
        <v>23720</v>
      </c>
      <c r="G24" s="16">
        <v>26438</v>
      </c>
      <c r="H24" s="16">
        <v>20626</v>
      </c>
      <c r="I24" s="17"/>
      <c r="J24" s="16">
        <v>21114</v>
      </c>
      <c r="K24" s="16">
        <v>21465</v>
      </c>
      <c r="L24" s="16">
        <v>20262</v>
      </c>
      <c r="M24" s="17"/>
      <c r="N24" s="17">
        <v>30011</v>
      </c>
      <c r="O24" s="17">
        <v>28043</v>
      </c>
      <c r="P24" s="16"/>
      <c r="Q24" s="16"/>
      <c r="R24" s="20">
        <v>239402</v>
      </c>
      <c r="S24" s="21"/>
    </row>
    <row r="25" spans="1:19" s="5" customFormat="1" ht="18.75">
      <c r="A25" s="10" t="s">
        <v>41</v>
      </c>
      <c r="B25" s="16">
        <v>33915</v>
      </c>
      <c r="C25" s="16">
        <v>42334</v>
      </c>
      <c r="D25" s="17">
        <v>38693</v>
      </c>
      <c r="E25" s="17">
        <v>114942</v>
      </c>
      <c r="F25" s="17">
        <v>42103</v>
      </c>
      <c r="G25" s="17">
        <v>45141</v>
      </c>
      <c r="H25" s="17">
        <v>25598</v>
      </c>
      <c r="I25" s="17">
        <v>112842</v>
      </c>
      <c r="J25" s="17">
        <v>42804</v>
      </c>
      <c r="K25" s="17">
        <v>34806</v>
      </c>
      <c r="L25" s="17">
        <v>46861</v>
      </c>
      <c r="M25" s="16">
        <v>124471</v>
      </c>
      <c r="N25" s="17">
        <v>43559</v>
      </c>
      <c r="O25" s="16">
        <v>40748</v>
      </c>
      <c r="P25" s="16">
        <v>0</v>
      </c>
      <c r="Q25" s="16">
        <v>84307</v>
      </c>
      <c r="R25" s="23">
        <v>436562</v>
      </c>
      <c r="S25" s="21"/>
    </row>
    <row r="26" spans="1:19" s="5" customFormat="1" ht="18.75">
      <c r="A26" s="22" t="s">
        <v>42</v>
      </c>
      <c r="B26" s="16">
        <v>87250</v>
      </c>
      <c r="C26" s="16">
        <v>65700</v>
      </c>
      <c r="D26" s="17">
        <v>80049</v>
      </c>
      <c r="E26" s="17">
        <v>232999</v>
      </c>
      <c r="F26" s="17">
        <v>72952</v>
      </c>
      <c r="G26" s="17">
        <v>77123</v>
      </c>
      <c r="H26" s="17">
        <v>78087</v>
      </c>
      <c r="I26" s="17">
        <v>228162</v>
      </c>
      <c r="J26" s="17">
        <v>82013</v>
      </c>
      <c r="K26" s="17">
        <v>80040</v>
      </c>
      <c r="L26" s="17">
        <v>70550</v>
      </c>
      <c r="M26" s="16">
        <v>232603</v>
      </c>
      <c r="N26" s="17">
        <v>80015</v>
      </c>
      <c r="O26" s="16">
        <v>70077</v>
      </c>
      <c r="P26" s="16">
        <v>0</v>
      </c>
      <c r="Q26" s="16">
        <v>150092</v>
      </c>
      <c r="R26" s="23">
        <v>843856</v>
      </c>
      <c r="S26" s="21"/>
    </row>
    <row r="27" spans="1:19" s="5" customFormat="1" ht="18.75">
      <c r="A27" s="10" t="s">
        <v>43</v>
      </c>
      <c r="B27" s="16">
        <v>208496</v>
      </c>
      <c r="C27" s="16">
        <v>176001</v>
      </c>
      <c r="D27" s="17">
        <v>224158</v>
      </c>
      <c r="E27" s="17">
        <v>608655</v>
      </c>
      <c r="F27" s="17">
        <v>177549</v>
      </c>
      <c r="G27" s="17">
        <v>180882</v>
      </c>
      <c r="H27" s="17">
        <v>188912</v>
      </c>
      <c r="I27" s="17">
        <v>547343</v>
      </c>
      <c r="J27" s="17">
        <v>200079</v>
      </c>
      <c r="K27" s="17">
        <v>143470</v>
      </c>
      <c r="L27" s="17">
        <v>169498</v>
      </c>
      <c r="M27" s="17">
        <v>513047</v>
      </c>
      <c r="N27" s="17">
        <v>201643</v>
      </c>
      <c r="O27" s="17">
        <v>177463</v>
      </c>
      <c r="P27" s="17">
        <v>0</v>
      </c>
      <c r="Q27" s="16">
        <v>379106</v>
      </c>
      <c r="R27" s="23">
        <v>2048151</v>
      </c>
      <c r="S27" s="21"/>
    </row>
    <row r="28" spans="1:19" s="5" customFormat="1" ht="18.75">
      <c r="A28" s="10" t="s">
        <v>44</v>
      </c>
      <c r="B28" s="16">
        <v>4554</v>
      </c>
      <c r="C28" s="16">
        <v>10449</v>
      </c>
      <c r="D28" s="17">
        <v>13432</v>
      </c>
      <c r="E28" s="17">
        <v>28435</v>
      </c>
      <c r="F28" s="17">
        <v>4845</v>
      </c>
      <c r="G28" s="17">
        <v>0</v>
      </c>
      <c r="H28" s="17">
        <v>0</v>
      </c>
      <c r="I28" s="17">
        <v>4845</v>
      </c>
      <c r="J28" s="17">
        <v>0</v>
      </c>
      <c r="K28" s="17">
        <v>0</v>
      </c>
      <c r="L28" s="17">
        <v>0</v>
      </c>
      <c r="M28" s="16">
        <v>0</v>
      </c>
      <c r="N28" s="17">
        <v>0</v>
      </c>
      <c r="O28" s="16">
        <v>0</v>
      </c>
      <c r="P28" s="16">
        <v>0</v>
      </c>
      <c r="Q28" s="16">
        <v>0</v>
      </c>
      <c r="R28" s="23">
        <v>33280</v>
      </c>
      <c r="S28" s="21"/>
    </row>
    <row r="29" spans="1:19" s="5" customFormat="1" ht="18.75">
      <c r="A29" s="10" t="s">
        <v>45</v>
      </c>
      <c r="B29" s="16">
        <v>3550</v>
      </c>
      <c r="C29" s="16">
        <v>2209</v>
      </c>
      <c r="D29" s="17">
        <v>3012</v>
      </c>
      <c r="E29" s="17">
        <v>8771</v>
      </c>
      <c r="F29" s="17">
        <v>2618</v>
      </c>
      <c r="G29" s="17">
        <v>3278</v>
      </c>
      <c r="H29" s="17">
        <v>3081</v>
      </c>
      <c r="I29" s="17">
        <v>8977</v>
      </c>
      <c r="J29" s="17">
        <v>3050</v>
      </c>
      <c r="K29" s="17">
        <v>1880</v>
      </c>
      <c r="L29" s="17">
        <v>1319</v>
      </c>
      <c r="M29" s="16">
        <v>6249</v>
      </c>
      <c r="N29" s="17">
        <v>4106</v>
      </c>
      <c r="O29" s="16">
        <v>3006</v>
      </c>
      <c r="P29" s="16">
        <v>0</v>
      </c>
      <c r="Q29" s="16">
        <v>7112</v>
      </c>
      <c r="R29" s="23">
        <v>31109</v>
      </c>
      <c r="S29" s="21"/>
    </row>
    <row r="30" spans="1:19" s="5" customFormat="1" ht="18.75">
      <c r="A30" s="10" t="s">
        <v>46</v>
      </c>
      <c r="B30" s="16">
        <v>2517</v>
      </c>
      <c r="C30" s="16">
        <v>2836</v>
      </c>
      <c r="D30" s="17">
        <v>2705</v>
      </c>
      <c r="E30" s="17">
        <v>8058</v>
      </c>
      <c r="F30" s="17">
        <v>2710</v>
      </c>
      <c r="G30" s="17">
        <v>3797</v>
      </c>
      <c r="H30" s="17">
        <v>2708</v>
      </c>
      <c r="I30" s="17">
        <v>9215</v>
      </c>
      <c r="J30" s="17">
        <v>3518</v>
      </c>
      <c r="K30" s="17">
        <v>3607</v>
      </c>
      <c r="L30" s="17">
        <v>3012</v>
      </c>
      <c r="M30" s="16">
        <v>10137</v>
      </c>
      <c r="N30" s="17">
        <v>3012</v>
      </c>
      <c r="O30" s="16">
        <v>3511</v>
      </c>
      <c r="P30" s="16">
        <v>0</v>
      </c>
      <c r="Q30" s="16">
        <v>6523</v>
      </c>
      <c r="R30" s="23">
        <v>33933</v>
      </c>
      <c r="S30" s="21"/>
    </row>
    <row r="31" spans="1:19" s="5" customFormat="1" ht="18.75">
      <c r="A31" s="10" t="s">
        <v>47</v>
      </c>
      <c r="B31" s="16">
        <v>2771</v>
      </c>
      <c r="C31" s="16">
        <v>3721</v>
      </c>
      <c r="D31" s="17">
        <v>0</v>
      </c>
      <c r="E31" s="17">
        <v>6492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6">
        <v>0</v>
      </c>
      <c r="N31" s="17">
        <v>0</v>
      </c>
      <c r="O31" s="16">
        <v>0</v>
      </c>
      <c r="P31" s="16">
        <v>0</v>
      </c>
      <c r="Q31" s="16">
        <v>0</v>
      </c>
      <c r="R31" s="23">
        <v>6492</v>
      </c>
      <c r="S31" s="21"/>
    </row>
    <row r="32" spans="1:19" s="5" customFormat="1" ht="18.75">
      <c r="A32" s="10" t="s">
        <v>48</v>
      </c>
      <c r="B32" s="16">
        <v>3302</v>
      </c>
      <c r="C32" s="16">
        <v>2900</v>
      </c>
      <c r="D32" s="17">
        <v>6006</v>
      </c>
      <c r="E32" s="17">
        <v>12208</v>
      </c>
      <c r="F32" s="17">
        <v>5802</v>
      </c>
      <c r="G32" s="17">
        <v>4913</v>
      </c>
      <c r="H32" s="17">
        <v>5020</v>
      </c>
      <c r="I32" s="17">
        <v>15735</v>
      </c>
      <c r="J32" s="17">
        <v>4411</v>
      </c>
      <c r="K32" s="17">
        <v>5050</v>
      </c>
      <c r="L32" s="17">
        <v>4680</v>
      </c>
      <c r="M32" s="16">
        <v>14141</v>
      </c>
      <c r="N32" s="17">
        <v>5237</v>
      </c>
      <c r="O32" s="16">
        <v>5001</v>
      </c>
      <c r="P32" s="16">
        <v>0</v>
      </c>
      <c r="Q32" s="16">
        <v>10238</v>
      </c>
      <c r="R32" s="23">
        <v>52322</v>
      </c>
      <c r="S32" s="21"/>
    </row>
    <row r="33" spans="1:19" s="34" customFormat="1" ht="18.75">
      <c r="A33" s="27" t="s">
        <v>49</v>
      </c>
      <c r="B33" s="28">
        <v>359613</v>
      </c>
      <c r="C33" s="28">
        <v>321886</v>
      </c>
      <c r="D33" s="28">
        <v>386784</v>
      </c>
      <c r="E33" s="29">
        <v>1068283</v>
      </c>
      <c r="F33" s="28">
        <v>332299</v>
      </c>
      <c r="G33" s="30">
        <v>341572</v>
      </c>
      <c r="H33" s="30">
        <v>324032</v>
      </c>
      <c r="I33" s="29">
        <v>997903</v>
      </c>
      <c r="J33" s="30">
        <v>356989</v>
      </c>
      <c r="K33" s="30">
        <v>290318</v>
      </c>
      <c r="L33" s="30">
        <v>316182</v>
      </c>
      <c r="M33" s="31">
        <v>963489</v>
      </c>
      <c r="N33" s="30">
        <v>367583</v>
      </c>
      <c r="O33" s="30">
        <v>327849</v>
      </c>
      <c r="P33" s="28">
        <v>0</v>
      </c>
      <c r="Q33" s="31">
        <v>695432</v>
      </c>
      <c r="R33" s="32">
        <v>3725107</v>
      </c>
      <c r="S33" s="33"/>
    </row>
    <row r="34" spans="1:19" s="5" customFormat="1" ht="18.75">
      <c r="A34" s="10" t="s">
        <v>50</v>
      </c>
      <c r="B34" s="16">
        <v>0</v>
      </c>
      <c r="C34" s="16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6">
        <v>0</v>
      </c>
      <c r="N34" s="17">
        <v>1992</v>
      </c>
      <c r="O34" s="16">
        <v>1975</v>
      </c>
      <c r="P34" s="16">
        <v>0</v>
      </c>
      <c r="Q34" s="16">
        <v>3967</v>
      </c>
      <c r="R34" s="23">
        <v>3967</v>
      </c>
      <c r="S34" s="21"/>
    </row>
    <row r="35" spans="1:19" s="5" customFormat="1" ht="18.75">
      <c r="A35" s="10" t="s">
        <v>51</v>
      </c>
      <c r="B35" s="16">
        <v>128523</v>
      </c>
      <c r="C35" s="16">
        <v>131366</v>
      </c>
      <c r="D35" s="17">
        <v>153337</v>
      </c>
      <c r="E35" s="17">
        <v>413226</v>
      </c>
      <c r="F35" s="17">
        <v>135653</v>
      </c>
      <c r="G35" s="17">
        <v>140892</v>
      </c>
      <c r="H35" s="17">
        <v>145422</v>
      </c>
      <c r="I35" s="17">
        <v>421967</v>
      </c>
      <c r="J35" s="17">
        <v>137102</v>
      </c>
      <c r="K35" s="17">
        <v>122323</v>
      </c>
      <c r="L35" s="17">
        <v>153009</v>
      </c>
      <c r="M35" s="16">
        <v>412434</v>
      </c>
      <c r="N35" s="17">
        <v>146147</v>
      </c>
      <c r="O35" s="16">
        <v>147756</v>
      </c>
      <c r="P35" s="16">
        <v>0</v>
      </c>
      <c r="Q35" s="16">
        <v>293903</v>
      </c>
      <c r="R35" s="134">
        <v>1541530</v>
      </c>
      <c r="S35" s="21"/>
    </row>
    <row r="36" spans="1:19" s="5" customFormat="1" ht="18.75">
      <c r="A36" s="10" t="s">
        <v>52</v>
      </c>
      <c r="B36" s="16">
        <v>128523</v>
      </c>
      <c r="C36" s="16">
        <v>131366</v>
      </c>
      <c r="D36" s="17">
        <v>153337</v>
      </c>
      <c r="E36" s="17">
        <v>413226</v>
      </c>
      <c r="F36" s="17">
        <v>135653</v>
      </c>
      <c r="G36" s="17">
        <v>140892</v>
      </c>
      <c r="H36" s="17">
        <v>145422</v>
      </c>
      <c r="I36" s="17">
        <v>421967</v>
      </c>
      <c r="J36" s="17">
        <v>137102</v>
      </c>
      <c r="K36" s="17">
        <v>122323</v>
      </c>
      <c r="L36" s="17">
        <v>153009</v>
      </c>
      <c r="M36" s="16">
        <v>412434</v>
      </c>
      <c r="N36" s="17">
        <v>148139</v>
      </c>
      <c r="O36" s="16">
        <v>149731</v>
      </c>
      <c r="P36" s="16">
        <v>0</v>
      </c>
      <c r="Q36" s="16">
        <v>297870</v>
      </c>
      <c r="R36" s="134">
        <v>1545497</v>
      </c>
      <c r="S36" s="21"/>
    </row>
    <row r="37" spans="1:19" s="41" customFormat="1" ht="18.75">
      <c r="A37" s="36" t="s">
        <v>53</v>
      </c>
      <c r="B37" s="37">
        <v>38.700000000000003</v>
      </c>
      <c r="C37" s="37">
        <v>27.73</v>
      </c>
      <c r="D37" s="37">
        <v>25.89</v>
      </c>
      <c r="E37" s="37">
        <v>30.739890109890109</v>
      </c>
      <c r="F37" s="37">
        <v>27.85</v>
      </c>
      <c r="G37" s="37">
        <v>29.4</v>
      </c>
      <c r="H37" s="37">
        <v>29.91</v>
      </c>
      <c r="I37" s="38">
        <v>29.053333333333331</v>
      </c>
      <c r="J37" s="37">
        <v>29.32</v>
      </c>
      <c r="K37" s="37">
        <v>27.38</v>
      </c>
      <c r="L37" s="37">
        <v>27.67</v>
      </c>
      <c r="M37" s="38">
        <v>28.123333333333335</v>
      </c>
      <c r="N37" s="37">
        <v>29.06</v>
      </c>
      <c r="O37" s="37">
        <v>26.02</v>
      </c>
      <c r="P37" s="37">
        <v>0</v>
      </c>
      <c r="Q37" s="38">
        <v>18.36</v>
      </c>
      <c r="R37" s="39">
        <v>29.002664670658682</v>
      </c>
      <c r="S37" s="40"/>
    </row>
    <row r="38" spans="1:19" s="41" customFormat="1" ht="18.75">
      <c r="A38" s="36" t="s">
        <v>54</v>
      </c>
      <c r="B38" s="37">
        <v>235.55</v>
      </c>
      <c r="C38" s="37">
        <v>243.3</v>
      </c>
      <c r="D38" s="37">
        <v>253.28</v>
      </c>
      <c r="E38" s="37">
        <v>244.03516483516481</v>
      </c>
      <c r="F38" s="37">
        <v>235.81</v>
      </c>
      <c r="G38" s="37">
        <v>232.96</v>
      </c>
      <c r="H38" s="37">
        <v>233.87</v>
      </c>
      <c r="I38" s="38">
        <v>234.21333333333334</v>
      </c>
      <c r="J38" s="37">
        <v>230.34</v>
      </c>
      <c r="K38" s="37">
        <v>218.8</v>
      </c>
      <c r="L38" s="37">
        <v>125.37</v>
      </c>
      <c r="M38" s="38">
        <v>191.50333333333333</v>
      </c>
      <c r="N38" s="37">
        <v>224.99</v>
      </c>
      <c r="O38" s="37">
        <v>224.05</v>
      </c>
      <c r="P38" s="37">
        <v>0</v>
      </c>
      <c r="Q38" s="38">
        <v>149.68</v>
      </c>
      <c r="R38" s="39">
        <v>223.33613772455087</v>
      </c>
      <c r="S38" s="40"/>
    </row>
    <row r="39" spans="1:19" s="41" customFormat="1" ht="18.75">
      <c r="A39" s="36" t="s">
        <v>55</v>
      </c>
      <c r="B39" s="37">
        <v>33.11</v>
      </c>
      <c r="C39" s="37">
        <v>18.329999999999998</v>
      </c>
      <c r="D39" s="37">
        <v>30.45</v>
      </c>
      <c r="E39" s="37">
        <v>27.198131868131867</v>
      </c>
      <c r="F39" s="37">
        <v>31.09</v>
      </c>
      <c r="G39" s="37">
        <v>38.4</v>
      </c>
      <c r="H39" s="37">
        <v>37.85</v>
      </c>
      <c r="I39" s="38">
        <v>35.78</v>
      </c>
      <c r="J39" s="37">
        <v>32.14</v>
      </c>
      <c r="K39" s="37">
        <v>29.65</v>
      </c>
      <c r="L39" s="37">
        <v>39.78</v>
      </c>
      <c r="M39" s="38">
        <v>33.856666666666662</v>
      </c>
      <c r="N39" s="37">
        <v>27.63</v>
      </c>
      <c r="O39" s="37">
        <v>31.94</v>
      </c>
      <c r="P39" s="37">
        <v>0</v>
      </c>
      <c r="Q39" s="38">
        <v>19.856666666666666</v>
      </c>
      <c r="R39" s="39">
        <v>31.840089820359282</v>
      </c>
      <c r="S39" s="40"/>
    </row>
    <row r="40" spans="1:19" s="41" customFormat="1" ht="18.75">
      <c r="A40" s="36" t="s">
        <v>56</v>
      </c>
      <c r="B40" s="37">
        <v>0.01</v>
      </c>
      <c r="C40" s="37">
        <v>0.01</v>
      </c>
      <c r="D40" s="37">
        <v>0.01</v>
      </c>
      <c r="E40" s="37">
        <v>9.9999999999999985E-3</v>
      </c>
      <c r="F40" s="37">
        <v>0</v>
      </c>
      <c r="G40" s="37">
        <v>0</v>
      </c>
      <c r="H40" s="37">
        <v>0</v>
      </c>
      <c r="I40" s="38">
        <v>0</v>
      </c>
      <c r="J40" s="37">
        <v>0</v>
      </c>
      <c r="K40" s="37">
        <v>0</v>
      </c>
      <c r="L40" s="37">
        <v>0</v>
      </c>
      <c r="M40" s="38">
        <v>0</v>
      </c>
      <c r="N40" s="37">
        <v>0</v>
      </c>
      <c r="O40" s="37">
        <v>0</v>
      </c>
      <c r="P40" s="37">
        <v>0</v>
      </c>
      <c r="Q40" s="38">
        <v>0</v>
      </c>
      <c r="R40" s="39">
        <v>2.9738562091503264E-3</v>
      </c>
      <c r="S40" s="40"/>
    </row>
    <row r="41" spans="1:19" s="41" customFormat="1" ht="18.75">
      <c r="A41" s="42" t="s">
        <v>57</v>
      </c>
      <c r="B41" s="37">
        <v>307.37</v>
      </c>
      <c r="C41" s="37">
        <v>289.37</v>
      </c>
      <c r="D41" s="37">
        <v>309.63</v>
      </c>
      <c r="E41" s="37">
        <v>301.98318681318682</v>
      </c>
      <c r="F41" s="37">
        <v>294.75</v>
      </c>
      <c r="G41" s="37">
        <v>300.76</v>
      </c>
      <c r="H41" s="37">
        <v>301.63000000000005</v>
      </c>
      <c r="I41" s="38">
        <v>299.04666666666668</v>
      </c>
      <c r="J41" s="37">
        <v>291.8</v>
      </c>
      <c r="K41" s="37">
        <v>275.83</v>
      </c>
      <c r="L41" s="37">
        <v>192.82000000000002</v>
      </c>
      <c r="M41" s="38">
        <v>253.48333333333335</v>
      </c>
      <c r="N41" s="37">
        <v>281.68</v>
      </c>
      <c r="O41" s="37">
        <v>282.01000000000005</v>
      </c>
      <c r="P41" s="37">
        <v>0</v>
      </c>
      <c r="Q41" s="38">
        <v>187.89666666666668</v>
      </c>
      <c r="R41" s="39">
        <v>284.18161676646707</v>
      </c>
      <c r="S41" s="43"/>
    </row>
    <row r="42" spans="1:19" s="41" customFormat="1" ht="18.75">
      <c r="A42" s="5" t="s">
        <v>58</v>
      </c>
      <c r="B42" s="44">
        <v>4.04</v>
      </c>
      <c r="C42" s="44">
        <v>7.14</v>
      </c>
      <c r="D42" s="44">
        <v>6.49</v>
      </c>
      <c r="E42" s="44">
        <v>5.9037362637362643</v>
      </c>
      <c r="F42" s="44">
        <v>4.62</v>
      </c>
      <c r="G42" s="44">
        <v>2.41</v>
      </c>
      <c r="H42" s="44">
        <v>1.81</v>
      </c>
      <c r="I42" s="44">
        <v>2.9466666666666668</v>
      </c>
      <c r="J42" s="44">
        <v>2.38</v>
      </c>
      <c r="K42" s="44">
        <v>1.43</v>
      </c>
      <c r="L42" s="44">
        <v>45.58</v>
      </c>
      <c r="M42" s="44">
        <v>16.463333333333335</v>
      </c>
      <c r="N42" s="44">
        <v>1.77</v>
      </c>
      <c r="O42" s="44">
        <v>1.92</v>
      </c>
      <c r="P42" s="44">
        <v>0</v>
      </c>
      <c r="Q42" s="44">
        <v>1.23</v>
      </c>
      <c r="R42" s="45">
        <v>7.3286227544910183</v>
      </c>
      <c r="S42" s="16"/>
    </row>
    <row r="43" spans="1:19" s="5" customFormat="1">
      <c r="A43" s="46" t="s">
        <v>59</v>
      </c>
      <c r="B43" s="16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6"/>
      <c r="N43" s="17"/>
      <c r="O43" s="16"/>
      <c r="P43" s="16"/>
      <c r="Q43" s="16"/>
      <c r="R43" s="35"/>
      <c r="S43" s="47"/>
    </row>
    <row r="44" spans="1:19" s="5" customFormat="1" ht="18.75">
      <c r="A44" s="10" t="s">
        <v>60</v>
      </c>
      <c r="B44" s="16">
        <v>1084435</v>
      </c>
      <c r="C44" s="16">
        <v>945752</v>
      </c>
      <c r="D44" s="17">
        <v>1063101</v>
      </c>
      <c r="E44" s="17">
        <v>3093288</v>
      </c>
      <c r="F44" s="17">
        <v>962851</v>
      </c>
      <c r="G44" s="17">
        <v>1023800</v>
      </c>
      <c r="H44" s="17">
        <v>1025194</v>
      </c>
      <c r="I44" s="17">
        <v>6105133</v>
      </c>
      <c r="J44" s="17">
        <v>1028404</v>
      </c>
      <c r="K44" s="17">
        <v>896332</v>
      </c>
      <c r="L44" s="17">
        <v>1049675</v>
      </c>
      <c r="M44" s="17">
        <v>2974411</v>
      </c>
      <c r="N44" s="17">
        <v>1019362</v>
      </c>
      <c r="O44" s="17">
        <v>910606</v>
      </c>
      <c r="P44" s="17">
        <v>0</v>
      </c>
      <c r="Q44" s="17">
        <v>1929968</v>
      </c>
      <c r="R44" s="16">
        <v>11009512</v>
      </c>
      <c r="S44" s="11"/>
    </row>
    <row r="45" spans="1:19" s="5" customFormat="1" ht="18.75">
      <c r="A45" s="10" t="s">
        <v>61</v>
      </c>
      <c r="B45" s="16">
        <v>1007827</v>
      </c>
      <c r="C45" s="16">
        <v>864689</v>
      </c>
      <c r="D45" s="17">
        <v>992831</v>
      </c>
      <c r="E45" s="17">
        <v>2865347</v>
      </c>
      <c r="F45" s="17">
        <v>929779</v>
      </c>
      <c r="G45" s="17">
        <v>995739</v>
      </c>
      <c r="H45" s="17">
        <v>992062</v>
      </c>
      <c r="I45" s="17">
        <v>5782927</v>
      </c>
      <c r="J45" s="17">
        <v>981968</v>
      </c>
      <c r="K45" s="17">
        <v>849760</v>
      </c>
      <c r="L45" s="17">
        <v>991244</v>
      </c>
      <c r="M45" s="17">
        <v>2822972</v>
      </c>
      <c r="N45" s="17">
        <v>970060</v>
      </c>
      <c r="O45" s="17">
        <v>867672</v>
      </c>
      <c r="P45" s="17">
        <v>0</v>
      </c>
      <c r="Q45" s="17">
        <v>1837732</v>
      </c>
      <c r="R45" s="16">
        <v>10443631</v>
      </c>
      <c r="S45" s="11"/>
    </row>
    <row r="46" spans="1:19" s="5" customFormat="1" ht="18.75">
      <c r="A46" s="10" t="s">
        <v>62</v>
      </c>
      <c r="B46" s="16">
        <v>143027</v>
      </c>
      <c r="C46" s="16">
        <v>137979</v>
      </c>
      <c r="D46" s="17">
        <v>152351</v>
      </c>
      <c r="E46" s="17">
        <v>433357</v>
      </c>
      <c r="F46" s="17">
        <v>97326</v>
      </c>
      <c r="G46" s="17">
        <v>66833</v>
      </c>
      <c r="H46" s="17">
        <v>65478</v>
      </c>
      <c r="I46" s="17">
        <v>662994</v>
      </c>
      <c r="J46" s="17">
        <v>65367</v>
      </c>
      <c r="K46" s="17">
        <v>47691</v>
      </c>
      <c r="L46" s="17">
        <v>85076</v>
      </c>
      <c r="M46" s="17">
        <v>198134</v>
      </c>
      <c r="N46" s="17">
        <v>79422</v>
      </c>
      <c r="O46" s="17">
        <v>70561</v>
      </c>
      <c r="P46" s="17">
        <v>0</v>
      </c>
      <c r="Q46" s="17">
        <v>149983</v>
      </c>
      <c r="R46" s="16">
        <v>1011111</v>
      </c>
      <c r="S46" s="11"/>
    </row>
    <row r="47" spans="1:19" s="5" customFormat="1">
      <c r="A47" s="10"/>
      <c r="B47" s="16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48"/>
      <c r="S47" s="2"/>
    </row>
    <row r="48" spans="1:19" s="5" customFormat="1">
      <c r="A48" s="46" t="s">
        <v>63</v>
      </c>
      <c r="B48" s="16">
        <v>28507</v>
      </c>
      <c r="C48" s="16">
        <v>48669</v>
      </c>
      <c r="D48" s="17">
        <v>41344</v>
      </c>
      <c r="E48" s="17"/>
      <c r="F48" s="48">
        <v>0</v>
      </c>
      <c r="G48" s="48">
        <v>0</v>
      </c>
      <c r="H48" s="48">
        <v>0</v>
      </c>
      <c r="I48" s="16"/>
      <c r="J48" s="17">
        <v>0</v>
      </c>
      <c r="K48" s="17">
        <v>0</v>
      </c>
      <c r="L48" s="17">
        <v>0</v>
      </c>
      <c r="M48" s="16"/>
      <c r="N48" s="17">
        <v>0</v>
      </c>
      <c r="O48" s="16">
        <v>0</v>
      </c>
      <c r="P48" s="16">
        <v>0</v>
      </c>
      <c r="Q48" s="16"/>
      <c r="R48" s="17">
        <v>118520</v>
      </c>
      <c r="S48" s="2"/>
    </row>
    <row r="49" spans="1:19" s="5" customFormat="1">
      <c r="A49" s="46" t="s">
        <v>64</v>
      </c>
      <c r="B49" s="16">
        <v>28023</v>
      </c>
      <c r="C49" s="16">
        <v>37088</v>
      </c>
      <c r="D49" s="17">
        <v>24977</v>
      </c>
      <c r="E49" s="17"/>
      <c r="F49" s="48">
        <v>0</v>
      </c>
      <c r="G49" s="48">
        <v>0</v>
      </c>
      <c r="H49" s="48">
        <v>0</v>
      </c>
      <c r="I49" s="16"/>
      <c r="J49" s="17">
        <v>0</v>
      </c>
      <c r="K49" s="17">
        <v>0</v>
      </c>
      <c r="L49" s="17">
        <v>0</v>
      </c>
      <c r="M49" s="16"/>
      <c r="N49" s="17">
        <v>0</v>
      </c>
      <c r="O49" s="16">
        <v>0</v>
      </c>
      <c r="P49" s="16">
        <v>0</v>
      </c>
      <c r="Q49" s="16"/>
      <c r="R49" s="17">
        <v>90088</v>
      </c>
      <c r="S49" s="2"/>
    </row>
    <row r="50" spans="1:19">
      <c r="A50" s="49" t="s">
        <v>65</v>
      </c>
      <c r="B50" s="2">
        <v>207938</v>
      </c>
      <c r="C50" s="2">
        <v>164538</v>
      </c>
      <c r="D50" s="3">
        <v>231375</v>
      </c>
      <c r="E50" s="3"/>
      <c r="F50" s="4">
        <v>213824</v>
      </c>
      <c r="G50" s="4">
        <v>221355</v>
      </c>
      <c r="H50" s="4">
        <v>225762</v>
      </c>
      <c r="I50" s="2"/>
      <c r="J50" s="3">
        <v>232934</v>
      </c>
      <c r="K50" s="3">
        <v>170826</v>
      </c>
      <c r="L50" s="3">
        <v>200052</v>
      </c>
      <c r="M50" s="2"/>
      <c r="N50" s="3">
        <v>247493</v>
      </c>
      <c r="O50" s="2">
        <v>214690</v>
      </c>
      <c r="P50" s="2">
        <v>0</v>
      </c>
      <c r="R50" s="17">
        <v>2330787</v>
      </c>
    </row>
    <row r="51" spans="1:19">
      <c r="A51" s="46" t="s">
        <v>66</v>
      </c>
      <c r="B51" s="2">
        <v>180473</v>
      </c>
      <c r="C51" s="2">
        <v>138913</v>
      </c>
      <c r="D51" s="3">
        <v>199181</v>
      </c>
      <c r="E51" s="3"/>
      <c r="F51" s="4">
        <v>177549</v>
      </c>
      <c r="G51" s="4">
        <v>180882</v>
      </c>
      <c r="H51" s="4">
        <v>188912</v>
      </c>
      <c r="I51" s="2"/>
      <c r="J51" s="3">
        <v>200079</v>
      </c>
      <c r="K51" s="3">
        <v>143470</v>
      </c>
      <c r="L51" s="3">
        <v>169498</v>
      </c>
      <c r="M51" s="2"/>
      <c r="N51" s="3">
        <v>201643</v>
      </c>
      <c r="O51" s="2">
        <v>177463</v>
      </c>
      <c r="P51" s="2">
        <v>0</v>
      </c>
      <c r="R51" s="52">
        <v>1958063</v>
      </c>
    </row>
    <row r="52" spans="1:19">
      <c r="B52" s="2"/>
      <c r="C52" s="2"/>
      <c r="D52" s="3"/>
      <c r="E52" s="3"/>
      <c r="F52" s="4"/>
      <c r="G52" s="4"/>
      <c r="H52" s="4"/>
      <c r="I52" s="2"/>
      <c r="J52" s="3"/>
      <c r="K52" s="3"/>
      <c r="L52" s="3"/>
      <c r="M52" s="2"/>
      <c r="N52" s="3"/>
      <c r="O52" s="2"/>
      <c r="P52" s="2"/>
    </row>
    <row r="53" spans="1:19" ht="18.75">
      <c r="A53" s="46" t="s">
        <v>67</v>
      </c>
      <c r="B53" s="53">
        <v>76801</v>
      </c>
      <c r="C53" s="53">
        <v>69329</v>
      </c>
      <c r="D53" s="53">
        <v>64169</v>
      </c>
      <c r="E53" s="7"/>
      <c r="F53" s="53">
        <v>87574</v>
      </c>
      <c r="G53" s="53">
        <v>97637</v>
      </c>
      <c r="H53" s="53">
        <v>88279</v>
      </c>
      <c r="I53" s="9"/>
      <c r="J53" s="53">
        <v>92616</v>
      </c>
      <c r="K53" s="53">
        <v>73695</v>
      </c>
      <c r="L53" s="53">
        <v>97646</v>
      </c>
      <c r="M53" s="9"/>
      <c r="N53" s="53">
        <v>85811</v>
      </c>
      <c r="O53" s="53">
        <v>79735</v>
      </c>
      <c r="P53" s="53">
        <v>0</v>
      </c>
      <c r="R53" s="52">
        <v>913292</v>
      </c>
    </row>
    <row r="54" spans="1:19" ht="18.75">
      <c r="A54" s="46" t="s">
        <v>68</v>
      </c>
      <c r="B54" s="53">
        <v>62583</v>
      </c>
      <c r="C54" s="53">
        <v>72502</v>
      </c>
      <c r="D54" s="53">
        <v>61609</v>
      </c>
      <c r="E54" s="7"/>
      <c r="F54" s="53">
        <v>5827</v>
      </c>
      <c r="G54" s="53">
        <v>0</v>
      </c>
      <c r="H54" s="53">
        <v>0</v>
      </c>
      <c r="I54" s="9"/>
      <c r="J54" s="53">
        <v>0</v>
      </c>
      <c r="K54" s="53">
        <v>0</v>
      </c>
      <c r="L54" s="53">
        <v>0</v>
      </c>
      <c r="M54" s="9"/>
      <c r="N54" s="53">
        <v>0</v>
      </c>
      <c r="O54" s="53">
        <v>0</v>
      </c>
      <c r="P54" s="53">
        <v>0</v>
      </c>
      <c r="R54" s="52">
        <v>202521</v>
      </c>
    </row>
    <row r="55" spans="1:19" ht="18.75">
      <c r="A55" s="46" t="s">
        <v>69</v>
      </c>
      <c r="B55" s="54">
        <v>243916</v>
      </c>
      <c r="C55" s="54">
        <v>202091</v>
      </c>
      <c r="D55" s="53">
        <v>252014</v>
      </c>
      <c r="E55" s="7"/>
      <c r="F55" s="53">
        <v>263131</v>
      </c>
      <c r="G55" s="53">
        <v>277391</v>
      </c>
      <c r="H55" s="53">
        <v>274000</v>
      </c>
      <c r="I55" s="9"/>
      <c r="J55" s="53">
        <v>268914</v>
      </c>
      <c r="K55" s="53">
        <v>251611</v>
      </c>
      <c r="L55" s="53">
        <v>284565</v>
      </c>
      <c r="M55" s="9"/>
      <c r="N55" s="53">
        <v>282334</v>
      </c>
      <c r="O55" s="53">
        <v>247594</v>
      </c>
      <c r="P55" s="53">
        <v>0</v>
      </c>
      <c r="R55" s="52">
        <v>2847561</v>
      </c>
    </row>
    <row r="56" spans="1:19">
      <c r="B56" s="2"/>
      <c r="C56" s="2"/>
      <c r="D56" s="3"/>
      <c r="E56" s="3"/>
      <c r="F56" s="4"/>
      <c r="G56" s="4"/>
      <c r="H56" s="4"/>
      <c r="I56" s="2"/>
      <c r="J56" s="3"/>
      <c r="K56" s="3"/>
      <c r="L56" s="3"/>
      <c r="M56" s="2"/>
      <c r="N56" s="3"/>
      <c r="O56" s="2"/>
      <c r="P56" s="2"/>
    </row>
    <row r="57" spans="1:19">
      <c r="B57" s="2"/>
      <c r="C57" s="2"/>
      <c r="D57" s="3"/>
      <c r="E57" s="3"/>
      <c r="F57" s="4"/>
      <c r="G57" s="4"/>
      <c r="H57" s="4"/>
      <c r="I57" s="2"/>
      <c r="J57" s="3"/>
      <c r="K57" s="3"/>
      <c r="L57" s="3"/>
      <c r="M57" s="2"/>
      <c r="N57" s="3"/>
      <c r="O57" s="2"/>
      <c r="P57" s="2"/>
    </row>
    <row r="58" spans="1:19">
      <c r="B58" s="2"/>
      <c r="C58" s="2"/>
      <c r="D58" s="3"/>
      <c r="E58" s="3"/>
      <c r="F58" s="4"/>
      <c r="G58" s="4"/>
      <c r="H58" s="4"/>
      <c r="I58" s="2"/>
      <c r="J58" s="3"/>
      <c r="K58" s="3"/>
      <c r="L58" s="3"/>
      <c r="M58" s="2"/>
      <c r="N58" s="3"/>
      <c r="O58" s="2"/>
      <c r="P58" s="2"/>
    </row>
    <row r="59" spans="1:19">
      <c r="B59" s="2"/>
      <c r="C59" s="2"/>
      <c r="D59" s="3"/>
      <c r="E59" s="3"/>
      <c r="F59" s="4"/>
      <c r="G59" s="4"/>
      <c r="H59" s="4"/>
      <c r="I59" s="2"/>
      <c r="J59" s="3"/>
      <c r="K59" s="3"/>
      <c r="L59" s="3"/>
      <c r="M59" s="2"/>
      <c r="N59" s="3"/>
      <c r="O59" s="2"/>
      <c r="P59" s="2"/>
    </row>
    <row r="60" spans="1:19">
      <c r="B60" s="2"/>
      <c r="C60" s="2"/>
      <c r="D60" s="3"/>
      <c r="E60" s="3"/>
      <c r="F60" s="4"/>
      <c r="G60" s="4"/>
      <c r="H60" s="4"/>
      <c r="I60" s="2"/>
      <c r="J60" s="3"/>
      <c r="K60" s="3"/>
      <c r="L60" s="3"/>
      <c r="M60" s="2"/>
      <c r="N60" s="3"/>
      <c r="O60" s="2"/>
      <c r="P60" s="2"/>
    </row>
    <row r="61" spans="1:19">
      <c r="B61" s="2"/>
      <c r="C61" s="2"/>
      <c r="D61" s="3"/>
      <c r="E61" s="3"/>
      <c r="F61" s="4"/>
      <c r="G61" s="4"/>
      <c r="H61" s="4"/>
      <c r="I61" s="2"/>
      <c r="J61" s="3"/>
      <c r="K61" s="3"/>
      <c r="L61" s="3"/>
      <c r="M61" s="2"/>
      <c r="N61" s="3"/>
      <c r="O61" s="2"/>
      <c r="P61" s="2"/>
    </row>
    <row r="62" spans="1:19">
      <c r="B62" s="2"/>
      <c r="C62" s="2"/>
      <c r="D62" s="3"/>
      <c r="E62" s="3"/>
      <c r="F62" s="4"/>
      <c r="G62" s="4"/>
      <c r="H62" s="4"/>
      <c r="I62" s="2"/>
      <c r="J62" s="3"/>
      <c r="K62" s="3"/>
      <c r="L62" s="3"/>
      <c r="M62" s="2"/>
      <c r="N62" s="3"/>
      <c r="O62" s="2"/>
      <c r="P62" s="2"/>
    </row>
    <row r="63" spans="1:19">
      <c r="B63" s="2"/>
      <c r="C63" s="2"/>
      <c r="D63" s="3"/>
      <c r="E63" s="3"/>
      <c r="F63" s="4"/>
      <c r="G63" s="4"/>
      <c r="H63" s="4"/>
      <c r="I63" s="2"/>
      <c r="J63" s="3"/>
      <c r="K63" s="3"/>
      <c r="L63" s="3"/>
      <c r="M63" s="2"/>
      <c r="N63" s="3"/>
      <c r="O63" s="2"/>
      <c r="P63" s="2"/>
    </row>
  </sheetData>
  <pageMargins left="0.70866141732283472" right="0.70866141732283472" top="0.74803149606299213" bottom="0.74803149606299213" header="0.31496062992125984" footer="0.31496062992125984"/>
  <pageSetup paperSize="9" scale="79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9"/>
  <sheetViews>
    <sheetView workbookViewId="0">
      <selection activeCell="B33" sqref="B33"/>
    </sheetView>
  </sheetViews>
  <sheetFormatPr defaultRowHeight="15"/>
  <cols>
    <col min="1" max="1" width="35" style="56" bestFit="1" customWidth="1"/>
    <col min="2" max="4" width="9.140625" style="56"/>
    <col min="5" max="5" width="0" style="57" hidden="1" customWidth="1"/>
    <col min="6" max="8" width="9.140625" style="56"/>
    <col min="9" max="9" width="0" style="57" hidden="1" customWidth="1"/>
    <col min="10" max="12" width="9.140625" style="56"/>
    <col min="13" max="13" width="0" style="57" hidden="1" customWidth="1"/>
    <col min="14" max="15" width="9.140625" style="56"/>
    <col min="16" max="16" width="0" style="58" hidden="1" customWidth="1"/>
    <col min="17" max="17" width="0" style="57" hidden="1" customWidth="1"/>
    <col min="18" max="18" width="12.42578125" style="56" customWidth="1"/>
    <col min="19" max="16384" width="9.140625" style="56"/>
  </cols>
  <sheetData>
    <row r="1" spans="1:19">
      <c r="A1" s="59" t="s">
        <v>70</v>
      </c>
      <c r="E1" s="56"/>
      <c r="I1" s="56"/>
      <c r="M1" s="56"/>
      <c r="P1" s="56"/>
      <c r="Q1" s="56"/>
    </row>
    <row r="2" spans="1:19">
      <c r="E2" s="56"/>
      <c r="I2" s="56"/>
      <c r="M2" s="56"/>
      <c r="P2" s="56"/>
      <c r="Q2" s="56"/>
      <c r="R2" s="56" t="s">
        <v>71</v>
      </c>
    </row>
    <row r="3" spans="1:19">
      <c r="A3" s="60" t="s">
        <v>3</v>
      </c>
      <c r="B3" s="56" t="s">
        <v>72</v>
      </c>
      <c r="C3" s="56" t="s">
        <v>73</v>
      </c>
      <c r="D3" s="56" t="s">
        <v>74</v>
      </c>
      <c r="E3" s="56" t="s">
        <v>7</v>
      </c>
      <c r="F3" s="56" t="s">
        <v>75</v>
      </c>
      <c r="G3" s="56" t="s">
        <v>76</v>
      </c>
      <c r="H3" s="56" t="s">
        <v>77</v>
      </c>
      <c r="I3" s="56" t="s">
        <v>78</v>
      </c>
      <c r="J3" s="56" t="s">
        <v>79</v>
      </c>
      <c r="K3" s="56" t="s">
        <v>80</v>
      </c>
      <c r="L3" s="56" t="s">
        <v>81</v>
      </c>
      <c r="M3" s="56" t="s">
        <v>15</v>
      </c>
      <c r="N3" s="56" t="s">
        <v>82</v>
      </c>
      <c r="O3" s="56" t="s">
        <v>83</v>
      </c>
      <c r="P3" s="56" t="s">
        <v>84</v>
      </c>
      <c r="Q3" s="56" t="s">
        <v>19</v>
      </c>
      <c r="R3" s="56" t="s">
        <v>20</v>
      </c>
    </row>
    <row r="4" spans="1:19">
      <c r="A4" s="60" t="s">
        <v>85</v>
      </c>
      <c r="E4" s="56"/>
      <c r="I4" s="56"/>
      <c r="M4" s="56"/>
      <c r="P4" s="56"/>
      <c r="Q4" s="56"/>
    </row>
    <row r="5" spans="1:19">
      <c r="A5" s="60" t="s">
        <v>86</v>
      </c>
      <c r="B5" s="56">
        <v>0</v>
      </c>
      <c r="C5" s="56">
        <v>0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</row>
    <row r="6" spans="1:19">
      <c r="A6" s="60" t="s">
        <v>87</v>
      </c>
      <c r="B6" s="56">
        <v>34041</v>
      </c>
      <c r="C6" s="56">
        <v>38985</v>
      </c>
      <c r="D6" s="56">
        <v>37159</v>
      </c>
      <c r="E6" s="56">
        <v>110185</v>
      </c>
      <c r="F6" s="56">
        <v>37785</v>
      </c>
      <c r="G6" s="56">
        <v>40600</v>
      </c>
      <c r="H6" s="56">
        <v>43842</v>
      </c>
      <c r="I6" s="56">
        <v>122227</v>
      </c>
      <c r="J6" s="56">
        <v>39535</v>
      </c>
      <c r="K6" s="56">
        <v>33885</v>
      </c>
      <c r="L6" s="56">
        <v>43826</v>
      </c>
      <c r="M6" s="56">
        <v>117246</v>
      </c>
      <c r="N6" s="56">
        <v>38280</v>
      </c>
      <c r="O6" s="56">
        <v>36861</v>
      </c>
      <c r="P6" s="56">
        <v>0</v>
      </c>
      <c r="Q6" s="56">
        <v>75141</v>
      </c>
      <c r="R6" s="56">
        <v>424799</v>
      </c>
    </row>
    <row r="7" spans="1:19">
      <c r="A7" s="60" t="s">
        <v>88</v>
      </c>
      <c r="B7" s="56">
        <v>80729</v>
      </c>
      <c r="C7" s="56">
        <v>73075</v>
      </c>
      <c r="D7" s="56">
        <v>76244</v>
      </c>
      <c r="E7" s="56">
        <v>230048</v>
      </c>
      <c r="F7" s="56">
        <v>75977</v>
      </c>
      <c r="G7" s="56">
        <v>69184</v>
      </c>
      <c r="H7" s="56">
        <v>84424</v>
      </c>
      <c r="I7" s="56">
        <v>229585</v>
      </c>
      <c r="J7" s="56">
        <v>80240</v>
      </c>
      <c r="K7" s="56">
        <v>76850</v>
      </c>
      <c r="L7" s="56">
        <v>85255</v>
      </c>
      <c r="M7" s="56">
        <v>242345</v>
      </c>
      <c r="N7" s="56">
        <v>60029</v>
      </c>
      <c r="O7" s="56">
        <v>67082</v>
      </c>
      <c r="P7" s="56">
        <v>0</v>
      </c>
      <c r="Q7" s="56">
        <v>127111</v>
      </c>
      <c r="R7" s="56">
        <v>829089</v>
      </c>
    </row>
    <row r="8" spans="1:19">
      <c r="A8" s="60" t="s">
        <v>89</v>
      </c>
      <c r="B8" s="56">
        <v>221212</v>
      </c>
      <c r="C8" s="56">
        <v>193875</v>
      </c>
      <c r="D8" s="56">
        <v>193786</v>
      </c>
      <c r="E8" s="56">
        <v>608873</v>
      </c>
      <c r="F8" s="56">
        <v>209914</v>
      </c>
      <c r="G8" s="56">
        <v>175077</v>
      </c>
      <c r="H8" s="56">
        <v>201780</v>
      </c>
      <c r="I8" s="56">
        <v>586771</v>
      </c>
      <c r="J8" s="56">
        <v>200461</v>
      </c>
      <c r="K8" s="56">
        <v>169970</v>
      </c>
      <c r="L8" s="56">
        <v>152092</v>
      </c>
      <c r="M8" s="56">
        <v>522523</v>
      </c>
      <c r="N8" s="56">
        <v>189355</v>
      </c>
      <c r="O8" s="56">
        <v>170593</v>
      </c>
      <c r="P8" s="56">
        <v>0</v>
      </c>
      <c r="Q8" s="56">
        <v>359948</v>
      </c>
      <c r="R8" s="56">
        <v>2078115</v>
      </c>
    </row>
    <row r="9" spans="1:19">
      <c r="A9" s="60" t="s">
        <v>90</v>
      </c>
      <c r="B9" s="56">
        <v>22241</v>
      </c>
      <c r="C9" s="56">
        <v>25129</v>
      </c>
      <c r="D9" s="56">
        <v>28011</v>
      </c>
      <c r="E9" s="56">
        <v>75381</v>
      </c>
      <c r="F9" s="56">
        <v>27940</v>
      </c>
      <c r="G9" s="56">
        <v>30184</v>
      </c>
      <c r="H9" s="56">
        <v>24705</v>
      </c>
      <c r="I9" s="56">
        <v>82829</v>
      </c>
      <c r="J9" s="56">
        <v>20111</v>
      </c>
      <c r="K9" s="56">
        <v>22557</v>
      </c>
      <c r="L9" s="56">
        <v>20378</v>
      </c>
      <c r="M9" s="56">
        <v>63046</v>
      </c>
      <c r="N9" s="56">
        <v>27803</v>
      </c>
      <c r="O9" s="56">
        <v>28580</v>
      </c>
      <c r="P9" s="56">
        <v>0</v>
      </c>
      <c r="Q9" s="56">
        <v>56383</v>
      </c>
      <c r="R9" s="56">
        <v>277639</v>
      </c>
    </row>
    <row r="10" spans="1:19">
      <c r="A10" s="60" t="s">
        <v>91</v>
      </c>
      <c r="B10" s="56">
        <v>3237</v>
      </c>
      <c r="C10" s="56">
        <v>4020</v>
      </c>
      <c r="D10" s="56">
        <v>2008</v>
      </c>
      <c r="E10" s="56">
        <v>9265</v>
      </c>
      <c r="F10" s="56">
        <v>1884</v>
      </c>
      <c r="G10" s="56">
        <v>2311</v>
      </c>
      <c r="H10" s="56">
        <v>2824</v>
      </c>
      <c r="I10" s="56">
        <v>7019</v>
      </c>
      <c r="J10" s="56">
        <v>3389</v>
      </c>
      <c r="K10" s="56">
        <v>1564</v>
      </c>
      <c r="L10" s="56">
        <v>1998</v>
      </c>
      <c r="M10" s="56">
        <v>6951</v>
      </c>
      <c r="N10" s="56">
        <v>3273</v>
      </c>
      <c r="O10" s="56">
        <v>3508</v>
      </c>
      <c r="P10" s="56">
        <v>0</v>
      </c>
      <c r="Q10" s="56">
        <v>6781</v>
      </c>
      <c r="R10" s="56">
        <v>30016</v>
      </c>
    </row>
    <row r="11" spans="1:19">
      <c r="A11" s="60" t="s">
        <v>92</v>
      </c>
      <c r="B11" s="56">
        <v>1608</v>
      </c>
      <c r="C11" s="56">
        <v>3588</v>
      </c>
      <c r="D11" s="56">
        <v>2408</v>
      </c>
      <c r="E11" s="56">
        <v>7604</v>
      </c>
      <c r="F11" s="56">
        <v>2848</v>
      </c>
      <c r="G11" s="56">
        <v>3149</v>
      </c>
      <c r="H11" s="56">
        <v>3556</v>
      </c>
      <c r="I11" s="56">
        <v>9553</v>
      </c>
      <c r="J11" s="56">
        <v>2283</v>
      </c>
      <c r="K11" s="56">
        <v>4032</v>
      </c>
      <c r="L11" s="56">
        <v>2122</v>
      </c>
      <c r="M11" s="56">
        <v>8437</v>
      </c>
      <c r="N11" s="56">
        <v>3082</v>
      </c>
      <c r="O11" s="56">
        <v>2908</v>
      </c>
      <c r="P11" s="56">
        <v>0</v>
      </c>
      <c r="Q11" s="56">
        <v>5990</v>
      </c>
      <c r="R11" s="56">
        <v>31584</v>
      </c>
    </row>
    <row r="12" spans="1:19">
      <c r="A12" s="60" t="s">
        <v>93</v>
      </c>
      <c r="B12" s="56">
        <v>2626</v>
      </c>
      <c r="C12" s="56">
        <v>3653</v>
      </c>
      <c r="D12" s="56">
        <v>952</v>
      </c>
      <c r="E12" s="56">
        <v>7231</v>
      </c>
      <c r="F12" s="56">
        <v>442</v>
      </c>
      <c r="G12" s="56">
        <v>223</v>
      </c>
      <c r="H12" s="56">
        <v>164</v>
      </c>
      <c r="I12" s="56">
        <v>829</v>
      </c>
      <c r="J12" s="56">
        <v>6</v>
      </c>
      <c r="K12" s="56">
        <v>12</v>
      </c>
      <c r="L12" s="56">
        <v>71</v>
      </c>
      <c r="M12" s="56">
        <v>89</v>
      </c>
      <c r="N12" s="56">
        <v>25</v>
      </c>
      <c r="O12" s="56">
        <v>94</v>
      </c>
      <c r="P12" s="56">
        <v>0</v>
      </c>
      <c r="Q12" s="56">
        <v>119</v>
      </c>
      <c r="R12" s="56">
        <v>8268</v>
      </c>
    </row>
    <row r="13" spans="1:19">
      <c r="A13" s="60" t="s">
        <v>48</v>
      </c>
      <c r="B13" s="56">
        <v>3371</v>
      </c>
      <c r="C13" s="56">
        <v>2383</v>
      </c>
      <c r="D13" s="56">
        <v>5537</v>
      </c>
      <c r="E13" s="56">
        <v>11291</v>
      </c>
      <c r="F13" s="56">
        <v>5739</v>
      </c>
      <c r="G13" s="56">
        <v>5243</v>
      </c>
      <c r="H13" s="56">
        <v>4697</v>
      </c>
      <c r="I13" s="56">
        <v>15679</v>
      </c>
      <c r="J13" s="56">
        <v>4700</v>
      </c>
      <c r="K13" s="56">
        <v>5265</v>
      </c>
      <c r="L13" s="56">
        <v>4351</v>
      </c>
      <c r="M13" s="56">
        <v>14316</v>
      </c>
      <c r="N13" s="56">
        <v>4398</v>
      </c>
      <c r="O13" s="56">
        <v>5034</v>
      </c>
      <c r="P13" s="56">
        <v>0</v>
      </c>
      <c r="Q13" s="56">
        <v>9432</v>
      </c>
      <c r="R13" s="56">
        <v>50718</v>
      </c>
      <c r="S13" s="58"/>
    </row>
    <row r="14" spans="1:19" s="63" customFormat="1">
      <c r="A14" s="62" t="s">
        <v>94</v>
      </c>
      <c r="B14" s="63">
        <v>369065</v>
      </c>
      <c r="C14" s="63">
        <v>344708</v>
      </c>
      <c r="D14" s="63">
        <v>346105</v>
      </c>
      <c r="E14" s="63">
        <v>1059878</v>
      </c>
      <c r="F14" s="63">
        <v>362529</v>
      </c>
      <c r="G14" s="63">
        <v>325971</v>
      </c>
      <c r="H14" s="63">
        <v>365992</v>
      </c>
      <c r="I14" s="63">
        <v>1054492</v>
      </c>
      <c r="J14" s="63">
        <v>350725</v>
      </c>
      <c r="K14" s="63">
        <v>314135</v>
      </c>
      <c r="L14" s="63">
        <v>310093</v>
      </c>
      <c r="M14" s="63">
        <v>974953</v>
      </c>
      <c r="N14" s="63">
        <v>326245</v>
      </c>
      <c r="O14" s="63">
        <v>314660</v>
      </c>
      <c r="P14" s="63">
        <v>0</v>
      </c>
      <c r="Q14" s="63">
        <v>640905</v>
      </c>
      <c r="R14" s="63">
        <v>3730228</v>
      </c>
      <c r="S14" s="58"/>
    </row>
    <row r="15" spans="1:19">
      <c r="A15" s="61" t="s">
        <v>95</v>
      </c>
      <c r="B15" s="56">
        <v>58050</v>
      </c>
      <c r="C15" s="56">
        <v>47519</v>
      </c>
      <c r="D15" s="56">
        <v>40590</v>
      </c>
      <c r="E15" s="56">
        <v>146159</v>
      </c>
      <c r="F15" s="56">
        <v>40931</v>
      </c>
      <c r="G15" s="56">
        <v>40114</v>
      </c>
      <c r="H15" s="56">
        <v>49938</v>
      </c>
      <c r="I15" s="56">
        <v>130983</v>
      </c>
      <c r="J15" s="56">
        <v>51857</v>
      </c>
      <c r="K15" s="56">
        <v>45165</v>
      </c>
      <c r="L15" s="56">
        <v>49363</v>
      </c>
      <c r="M15" s="56">
        <v>146385</v>
      </c>
      <c r="N15" s="56">
        <v>52634</v>
      </c>
      <c r="O15" s="56">
        <v>56785</v>
      </c>
      <c r="P15" s="56">
        <v>0</v>
      </c>
      <c r="Q15" s="56">
        <v>109419</v>
      </c>
      <c r="R15" s="56">
        <v>532946</v>
      </c>
      <c r="S15" s="58"/>
    </row>
    <row r="16" spans="1:19">
      <c r="A16" s="61" t="s">
        <v>96</v>
      </c>
      <c r="B16" s="56">
        <v>311015</v>
      </c>
      <c r="C16" s="56">
        <v>297189</v>
      </c>
      <c r="D16" s="56">
        <v>305515</v>
      </c>
      <c r="E16" s="56">
        <v>913719</v>
      </c>
      <c r="F16" s="56">
        <v>321598</v>
      </c>
      <c r="G16" s="56">
        <v>285857</v>
      </c>
      <c r="H16" s="56">
        <v>316054</v>
      </c>
      <c r="I16" s="56">
        <v>923509</v>
      </c>
      <c r="J16" s="56">
        <v>298868</v>
      </c>
      <c r="K16" s="56">
        <v>268970</v>
      </c>
      <c r="L16" s="56">
        <v>260730</v>
      </c>
      <c r="M16" s="56">
        <v>828568</v>
      </c>
      <c r="N16" s="56">
        <v>273611</v>
      </c>
      <c r="O16" s="56">
        <v>257875</v>
      </c>
      <c r="P16" s="56">
        <v>0</v>
      </c>
      <c r="Q16" s="56">
        <v>531486</v>
      </c>
      <c r="R16" s="56">
        <v>3197282</v>
      </c>
      <c r="S16" s="58"/>
    </row>
    <row r="17" spans="1:19">
      <c r="A17" s="61" t="s">
        <v>97</v>
      </c>
      <c r="B17" s="56">
        <v>187661</v>
      </c>
      <c r="C17" s="56">
        <v>225187</v>
      </c>
      <c r="D17" s="56">
        <v>228727</v>
      </c>
      <c r="E17" s="56">
        <v>641575</v>
      </c>
      <c r="F17" s="56">
        <v>201341</v>
      </c>
      <c r="G17" s="56">
        <v>142600</v>
      </c>
      <c r="H17" s="56">
        <v>141198</v>
      </c>
      <c r="I17" s="56">
        <v>485139</v>
      </c>
      <c r="J17" s="56">
        <v>133743</v>
      </c>
      <c r="K17" s="56">
        <v>130072</v>
      </c>
      <c r="L17" s="56">
        <v>146960</v>
      </c>
      <c r="M17" s="56">
        <v>410775</v>
      </c>
      <c r="N17" s="56">
        <v>153511</v>
      </c>
      <c r="O17" s="56">
        <v>165647</v>
      </c>
      <c r="P17" s="56">
        <v>0</v>
      </c>
      <c r="Q17" s="56">
        <v>319158</v>
      </c>
      <c r="R17" s="56">
        <v>1856647</v>
      </c>
      <c r="S17" s="58"/>
    </row>
    <row r="18" spans="1:19" s="58" customFormat="1">
      <c r="A18" s="58" t="s">
        <v>98</v>
      </c>
      <c r="B18" s="56">
        <v>350683</v>
      </c>
      <c r="C18" s="56">
        <v>318129</v>
      </c>
      <c r="D18" s="56">
        <v>343239</v>
      </c>
      <c r="E18" s="56">
        <v>1012051</v>
      </c>
      <c r="F18" s="56">
        <v>351776</v>
      </c>
      <c r="G18" s="56">
        <v>352831</v>
      </c>
      <c r="H18" s="56">
        <v>402145</v>
      </c>
      <c r="I18" s="56">
        <v>1106752</v>
      </c>
      <c r="J18" s="56">
        <v>376311</v>
      </c>
      <c r="K18" s="56">
        <v>322999</v>
      </c>
      <c r="L18" s="56">
        <v>340730</v>
      </c>
      <c r="M18" s="56">
        <v>1040040</v>
      </c>
      <c r="N18" s="56">
        <v>346761</v>
      </c>
      <c r="O18" s="56">
        <v>318840</v>
      </c>
      <c r="P18" s="56">
        <v>0</v>
      </c>
      <c r="Q18" s="56">
        <v>665601</v>
      </c>
      <c r="R18" s="56">
        <v>3824444</v>
      </c>
    </row>
    <row r="19" spans="1:19" s="58" customFormat="1">
      <c r="A19" s="58" t="s">
        <v>99</v>
      </c>
      <c r="B19" s="56">
        <v>538344</v>
      </c>
      <c r="C19" s="56">
        <v>543316</v>
      </c>
      <c r="D19" s="56">
        <v>571966</v>
      </c>
      <c r="E19" s="56">
        <v>1653626</v>
      </c>
      <c r="F19" s="56">
        <v>553117</v>
      </c>
      <c r="G19" s="56">
        <v>495431</v>
      </c>
      <c r="H19" s="56">
        <v>543343</v>
      </c>
      <c r="I19" s="56">
        <v>1591891</v>
      </c>
      <c r="J19" s="56">
        <v>510054</v>
      </c>
      <c r="K19" s="56">
        <v>453071</v>
      </c>
      <c r="L19" s="56">
        <v>487690</v>
      </c>
      <c r="M19" s="56">
        <v>1450815</v>
      </c>
      <c r="N19" s="56">
        <v>500272</v>
      </c>
      <c r="O19" s="56">
        <v>484487</v>
      </c>
      <c r="P19" s="56">
        <v>0</v>
      </c>
      <c r="Q19" s="56">
        <v>984759</v>
      </c>
      <c r="R19" s="56">
        <v>5681091</v>
      </c>
    </row>
    <row r="20" spans="1:19" s="58" customFormat="1">
      <c r="A20" s="58" t="s">
        <v>100</v>
      </c>
      <c r="B20" s="56">
        <v>0</v>
      </c>
      <c r="C20" s="56">
        <v>5534</v>
      </c>
      <c r="D20" s="56">
        <v>17108</v>
      </c>
      <c r="E20" s="56">
        <v>22642</v>
      </c>
      <c r="F20" s="56">
        <v>10215</v>
      </c>
      <c r="G20" s="56">
        <v>7184</v>
      </c>
      <c r="H20" s="56">
        <v>13945</v>
      </c>
      <c r="I20" s="56">
        <v>31344</v>
      </c>
      <c r="J20" s="56">
        <v>3669</v>
      </c>
      <c r="K20" s="56">
        <v>0</v>
      </c>
      <c r="L20" s="56">
        <v>3581</v>
      </c>
      <c r="M20" s="56">
        <v>7250</v>
      </c>
      <c r="N20" s="56">
        <v>7430</v>
      </c>
      <c r="O20" s="56">
        <v>3571</v>
      </c>
      <c r="P20" s="56">
        <v>0</v>
      </c>
      <c r="Q20" s="56">
        <v>11001</v>
      </c>
      <c r="R20" s="56">
        <v>72237</v>
      </c>
    </row>
    <row r="21" spans="1:19" hidden="1">
      <c r="A21" s="61" t="s">
        <v>101</v>
      </c>
      <c r="B21" s="56">
        <v>0</v>
      </c>
      <c r="C21" s="56">
        <v>5534</v>
      </c>
      <c r="D21" s="56">
        <v>17108</v>
      </c>
      <c r="E21" s="56">
        <v>22642</v>
      </c>
      <c r="F21" s="56">
        <v>10215</v>
      </c>
      <c r="G21" s="56">
        <v>7184</v>
      </c>
      <c r="H21" s="56">
        <v>6825</v>
      </c>
      <c r="I21" s="56">
        <v>24224</v>
      </c>
      <c r="J21" s="56">
        <v>3669</v>
      </c>
      <c r="L21" s="56">
        <v>3581</v>
      </c>
      <c r="M21" s="56">
        <v>7250</v>
      </c>
      <c r="N21" s="56">
        <v>7430</v>
      </c>
      <c r="O21" s="56">
        <v>3571</v>
      </c>
      <c r="P21" s="56"/>
      <c r="Q21" s="56">
        <v>11001</v>
      </c>
      <c r="R21" s="56">
        <v>65117</v>
      </c>
      <c r="S21" s="58"/>
    </row>
    <row r="22" spans="1:19" hidden="1">
      <c r="A22" s="61" t="s">
        <v>102</v>
      </c>
      <c r="E22" s="56"/>
      <c r="H22" s="56">
        <v>7120</v>
      </c>
      <c r="I22" s="56">
        <v>7120</v>
      </c>
      <c r="M22" s="56">
        <v>0</v>
      </c>
      <c r="P22" s="56"/>
      <c r="Q22" s="56"/>
      <c r="R22" s="56">
        <v>7120</v>
      </c>
      <c r="S22" s="58"/>
    </row>
    <row r="23" spans="1:19">
      <c r="A23" s="153" t="s">
        <v>103</v>
      </c>
      <c r="E23" s="56"/>
      <c r="I23" s="56"/>
      <c r="M23" s="56"/>
      <c r="P23" s="56"/>
      <c r="Q23" s="56"/>
      <c r="S23" s="58"/>
    </row>
    <row r="24" spans="1:19">
      <c r="A24" s="56" t="s">
        <v>104</v>
      </c>
      <c r="B24" s="56">
        <v>169</v>
      </c>
      <c r="E24" s="56">
        <v>169</v>
      </c>
      <c r="I24" s="56"/>
      <c r="M24" s="56">
        <v>0</v>
      </c>
      <c r="P24" s="56"/>
      <c r="Q24" s="56">
        <v>0</v>
      </c>
      <c r="R24" s="56">
        <v>169</v>
      </c>
      <c r="S24" s="58"/>
    </row>
    <row r="25" spans="1:19">
      <c r="A25" s="56" t="s">
        <v>105</v>
      </c>
      <c r="B25" s="56">
        <v>0</v>
      </c>
      <c r="E25" s="56">
        <v>0</v>
      </c>
      <c r="I25" s="56"/>
      <c r="K25" s="56">
        <v>0</v>
      </c>
      <c r="L25" s="56">
        <v>0</v>
      </c>
      <c r="M25" s="56">
        <v>0</v>
      </c>
      <c r="P25" s="56"/>
      <c r="Q25" s="56">
        <v>0</v>
      </c>
      <c r="R25" s="56">
        <v>0</v>
      </c>
      <c r="S25" s="58"/>
    </row>
    <row r="26" spans="1:19">
      <c r="A26" s="56" t="s">
        <v>106</v>
      </c>
      <c r="B26" s="56">
        <v>315</v>
      </c>
      <c r="E26" s="56">
        <v>315</v>
      </c>
      <c r="F26" s="56">
        <v>114</v>
      </c>
      <c r="H26" s="56">
        <v>256</v>
      </c>
      <c r="I26" s="56">
        <v>370</v>
      </c>
      <c r="J26" s="56">
        <v>81</v>
      </c>
      <c r="K26" s="56">
        <v>311</v>
      </c>
      <c r="L26" s="56">
        <v>405</v>
      </c>
      <c r="M26" s="56">
        <v>797</v>
      </c>
      <c r="N26" s="56">
        <v>161</v>
      </c>
      <c r="O26" s="56">
        <v>41</v>
      </c>
      <c r="P26" s="56"/>
      <c r="Q26" s="56">
        <v>202</v>
      </c>
      <c r="R26" s="56">
        <v>1684</v>
      </c>
      <c r="S26" s="58"/>
    </row>
    <row r="27" spans="1:19">
      <c r="A27" s="56" t="s">
        <v>107</v>
      </c>
      <c r="B27" s="56">
        <v>35</v>
      </c>
      <c r="E27" s="56">
        <v>35</v>
      </c>
      <c r="I27" s="56"/>
      <c r="M27" s="56">
        <v>0</v>
      </c>
      <c r="P27" s="56"/>
      <c r="Q27" s="56">
        <v>0</v>
      </c>
      <c r="R27" s="56">
        <v>35</v>
      </c>
      <c r="S27" s="58"/>
    </row>
    <row r="28" spans="1:19">
      <c r="A28" s="56" t="s">
        <v>108</v>
      </c>
      <c r="C28" s="56">
        <v>25</v>
      </c>
      <c r="E28" s="56">
        <v>25</v>
      </c>
      <c r="I28" s="56"/>
      <c r="M28" s="56">
        <v>0</v>
      </c>
      <c r="P28" s="56"/>
      <c r="Q28" s="56">
        <v>0</v>
      </c>
      <c r="R28" s="56">
        <v>25</v>
      </c>
    </row>
    <row r="29" spans="1:19">
      <c r="E29" s="56"/>
      <c r="I29" s="56"/>
      <c r="M29" s="56"/>
      <c r="P29" s="56"/>
      <c r="Q29" s="56"/>
    </row>
    <row r="36" spans="1:1">
      <c r="A36" s="60"/>
    </row>
    <row r="37" spans="1:1">
      <c r="A37" s="60"/>
    </row>
    <row r="38" spans="1:1">
      <c r="A38" s="60"/>
    </row>
    <row r="39" spans="1:1">
      <c r="A39" s="60"/>
    </row>
    <row r="40" spans="1:1">
      <c r="A40" s="60"/>
    </row>
    <row r="41" spans="1:1">
      <c r="A41" s="60"/>
    </row>
    <row r="42" spans="1:1">
      <c r="A42" s="61"/>
    </row>
    <row r="43" spans="1:1">
      <c r="A43" s="61"/>
    </row>
    <row r="44" spans="1:1">
      <c r="A44" s="61"/>
    </row>
    <row r="49" spans="1:1">
      <c r="A49" s="60"/>
    </row>
  </sheetData>
  <pageMargins left="0.70866141732283472" right="0.70866141732283472" top="0.74803149606299213" bottom="0.74803149606299213" header="0.31496062992125984" footer="0.31496062992125984"/>
  <pageSetup paperSize="9" scale="88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31"/>
  <sheetViews>
    <sheetView tabSelected="1" workbookViewId="0">
      <selection activeCell="V12" sqref="V12"/>
    </sheetView>
  </sheetViews>
  <sheetFormatPr defaultRowHeight="15"/>
  <cols>
    <col min="1" max="1" width="38.42578125" bestFit="1" customWidth="1"/>
    <col min="4" max="4" width="9.140625" customWidth="1"/>
    <col min="5" max="5" width="9.140625" style="138" hidden="1" customWidth="1"/>
    <col min="6" max="7" width="9.140625" style="139"/>
    <col min="8" max="8" width="9.140625" style="139" customWidth="1"/>
    <col min="9" max="9" width="9.140625" style="138" hidden="1" customWidth="1"/>
    <col min="10" max="11" width="9.140625" style="139"/>
    <col min="12" max="12" width="9.140625" style="139" customWidth="1"/>
    <col min="13" max="13" width="9.140625" style="138" hidden="1" customWidth="1"/>
    <col min="14" max="14" width="9.140625" style="139"/>
    <col min="15" max="15" width="9.140625" style="139" customWidth="1"/>
    <col min="16" max="16" width="9.140625" style="139" hidden="1" customWidth="1"/>
    <col min="17" max="17" width="9.140625" style="138" hidden="1" customWidth="1"/>
  </cols>
  <sheetData>
    <row r="1" spans="1:18">
      <c r="R1" s="140" t="s">
        <v>453</v>
      </c>
    </row>
    <row r="2" spans="1:18" s="126" customFormat="1" ht="18.75">
      <c r="A2" s="141" t="s">
        <v>454</v>
      </c>
      <c r="B2" s="142" t="s">
        <v>72</v>
      </c>
      <c r="C2" s="142" t="s">
        <v>73</v>
      </c>
      <c r="D2" s="142" t="s">
        <v>74</v>
      </c>
      <c r="E2" s="143" t="s">
        <v>7</v>
      </c>
      <c r="F2" s="144" t="s">
        <v>75</v>
      </c>
      <c r="G2" s="144" t="s">
        <v>76</v>
      </c>
      <c r="H2" s="144" t="s">
        <v>77</v>
      </c>
      <c r="I2" s="143" t="s">
        <v>78</v>
      </c>
      <c r="J2" s="144" t="s">
        <v>79</v>
      </c>
      <c r="K2" s="144" t="s">
        <v>80</v>
      </c>
      <c r="L2" s="144" t="s">
        <v>81</v>
      </c>
      <c r="M2" s="143" t="s">
        <v>15</v>
      </c>
      <c r="N2" s="144" t="s">
        <v>82</v>
      </c>
      <c r="O2" s="144" t="s">
        <v>83</v>
      </c>
      <c r="P2" s="144" t="s">
        <v>84</v>
      </c>
      <c r="Q2" s="143" t="s">
        <v>19</v>
      </c>
      <c r="R2" s="145" t="s">
        <v>20</v>
      </c>
    </row>
    <row r="3" spans="1:18" s="126" customFormat="1" ht="15.75">
      <c r="A3" s="165" t="s">
        <v>455</v>
      </c>
      <c r="B3" s="161">
        <v>0</v>
      </c>
      <c r="C3" s="161">
        <v>12.32</v>
      </c>
      <c r="D3" s="161">
        <v>0</v>
      </c>
      <c r="E3" s="156">
        <f>B3+C3+D3</f>
        <v>12.32</v>
      </c>
      <c r="F3" s="157">
        <v>0</v>
      </c>
      <c r="G3" s="157">
        <v>0</v>
      </c>
      <c r="H3" s="157">
        <v>0</v>
      </c>
      <c r="I3" s="156">
        <f>F3+G3+H3</f>
        <v>0</v>
      </c>
      <c r="J3" s="166">
        <v>0</v>
      </c>
      <c r="K3" s="157">
        <v>0</v>
      </c>
      <c r="L3" s="157"/>
      <c r="M3" s="156">
        <f>J3+K3+L3</f>
        <v>0</v>
      </c>
      <c r="N3" s="157">
        <v>22.67</v>
      </c>
      <c r="O3" s="157"/>
      <c r="P3" s="157"/>
      <c r="Q3" s="156">
        <f>N3+O3+P3</f>
        <v>22.67</v>
      </c>
      <c r="R3" s="157">
        <f>E3+I3+M3+Q3</f>
        <v>34.99</v>
      </c>
    </row>
    <row r="4" spans="1:18" s="126" customFormat="1" ht="15.75">
      <c r="A4" s="165" t="s">
        <v>456</v>
      </c>
      <c r="B4" s="161">
        <v>330.58699999999999</v>
      </c>
      <c r="C4" s="161">
        <v>380.173</v>
      </c>
      <c r="D4" s="161">
        <v>417.2</v>
      </c>
      <c r="E4" s="156">
        <f t="shared" ref="E4:E10" si="0">B4+C4+D4</f>
        <v>1127.96</v>
      </c>
      <c r="F4" s="157">
        <v>209.13</v>
      </c>
      <c r="G4" s="157">
        <v>462.36500000000001</v>
      </c>
      <c r="H4" s="157">
        <v>369.59500000000003</v>
      </c>
      <c r="I4" s="156">
        <f t="shared" ref="I4:I10" si="1">F4+G4+H4</f>
        <v>1041.0900000000001</v>
      </c>
      <c r="J4" s="166">
        <v>360.40499999999997</v>
      </c>
      <c r="K4" s="167">
        <v>240.73</v>
      </c>
      <c r="L4" s="157">
        <v>494</v>
      </c>
      <c r="M4" s="156">
        <f t="shared" ref="M4:M10" si="2">J4+K4+L4</f>
        <v>1095.135</v>
      </c>
      <c r="N4" s="157">
        <v>345.58</v>
      </c>
      <c r="O4" s="157">
        <v>246.89</v>
      </c>
      <c r="P4" s="157"/>
      <c r="Q4" s="156">
        <f t="shared" ref="Q4:Q10" si="3">N4+O4+P4</f>
        <v>592.47</v>
      </c>
      <c r="R4" s="157">
        <f t="shared" ref="R4:R31" si="4">E4+I4+M4+Q4</f>
        <v>3856.6550000000007</v>
      </c>
    </row>
    <row r="5" spans="1:18" s="126" customFormat="1" ht="15.75">
      <c r="A5" s="165" t="s">
        <v>457</v>
      </c>
      <c r="B5" s="161">
        <v>124.188</v>
      </c>
      <c r="C5" s="161">
        <v>110.58</v>
      </c>
      <c r="D5" s="161">
        <v>126.05500000000001</v>
      </c>
      <c r="E5" s="156">
        <f t="shared" si="0"/>
        <v>360.82299999999998</v>
      </c>
      <c r="F5" s="157">
        <v>62.65</v>
      </c>
      <c r="G5" s="157">
        <v>78.44</v>
      </c>
      <c r="H5" s="157">
        <v>16.72</v>
      </c>
      <c r="I5" s="156">
        <f t="shared" si="1"/>
        <v>157.81</v>
      </c>
      <c r="J5" s="166">
        <v>134.61000000000001</v>
      </c>
      <c r="K5" s="157">
        <v>0</v>
      </c>
      <c r="L5" s="157">
        <v>19.46</v>
      </c>
      <c r="M5" s="156">
        <f t="shared" si="2"/>
        <v>154.07000000000002</v>
      </c>
      <c r="N5" s="157"/>
      <c r="O5" s="157">
        <v>20.48</v>
      </c>
      <c r="P5" s="157"/>
      <c r="Q5" s="156">
        <f t="shared" si="3"/>
        <v>20.48</v>
      </c>
      <c r="R5" s="157">
        <f t="shared" si="4"/>
        <v>693.18300000000011</v>
      </c>
    </row>
    <row r="6" spans="1:18" s="126" customFormat="1" ht="15.75">
      <c r="A6" s="165" t="s">
        <v>458</v>
      </c>
      <c r="B6" s="161">
        <f>B3+B4+B5</f>
        <v>454.77499999999998</v>
      </c>
      <c r="C6" s="161">
        <f>C3+C4+C5</f>
        <v>503.07299999999998</v>
      </c>
      <c r="D6" s="161">
        <f>D3+D4+D5</f>
        <v>543.255</v>
      </c>
      <c r="E6" s="156">
        <f t="shared" si="0"/>
        <v>1501.1030000000001</v>
      </c>
      <c r="F6" s="161">
        <f>F3+F4+F5</f>
        <v>271.77999999999997</v>
      </c>
      <c r="G6" s="161">
        <f>G3+G4+G5</f>
        <v>540.80500000000006</v>
      </c>
      <c r="H6" s="161">
        <f>H3+H4+H5</f>
        <v>386.31500000000005</v>
      </c>
      <c r="I6" s="156">
        <f t="shared" si="1"/>
        <v>1198.9000000000001</v>
      </c>
      <c r="J6" s="161">
        <f>J3+J4+J5</f>
        <v>495.01499999999999</v>
      </c>
      <c r="K6" s="161">
        <f>K3+K4+K5</f>
        <v>240.73</v>
      </c>
      <c r="L6" s="161">
        <f>L3+L4+L5</f>
        <v>513.46</v>
      </c>
      <c r="M6" s="156">
        <f t="shared" si="2"/>
        <v>1249.2049999999999</v>
      </c>
      <c r="N6" s="161">
        <f>N3+N4+N5</f>
        <v>368.25</v>
      </c>
      <c r="O6" s="161">
        <f>O3+O4+O5</f>
        <v>267.37</v>
      </c>
      <c r="P6" s="161">
        <f>P3+P4+P5</f>
        <v>0</v>
      </c>
      <c r="Q6" s="156">
        <f t="shared" si="3"/>
        <v>635.62</v>
      </c>
      <c r="R6" s="157">
        <f t="shared" si="4"/>
        <v>4584.8280000000004</v>
      </c>
    </row>
    <row r="7" spans="1:18" s="126" customFormat="1" ht="15.75">
      <c r="A7" s="165" t="s">
        <v>459</v>
      </c>
      <c r="B7" s="161">
        <v>3276.31</v>
      </c>
      <c r="C7" s="161">
        <v>337</v>
      </c>
      <c r="D7" s="161">
        <v>8890.0300000000007</v>
      </c>
      <c r="E7" s="156">
        <f t="shared" si="0"/>
        <v>12503.34</v>
      </c>
      <c r="F7" s="157">
        <v>0</v>
      </c>
      <c r="G7" s="157">
        <v>0</v>
      </c>
      <c r="H7" s="157">
        <v>0</v>
      </c>
      <c r="I7" s="156">
        <f t="shared" si="1"/>
        <v>0</v>
      </c>
      <c r="J7" s="166">
        <v>0</v>
      </c>
      <c r="K7" s="157"/>
      <c r="L7" s="157"/>
      <c r="M7" s="156">
        <f t="shared" si="2"/>
        <v>0</v>
      </c>
      <c r="N7" s="157"/>
      <c r="O7" s="157"/>
      <c r="P7" s="157"/>
      <c r="Q7" s="156">
        <f t="shared" si="3"/>
        <v>0</v>
      </c>
      <c r="R7" s="157">
        <f t="shared" si="4"/>
        <v>12503.34</v>
      </c>
    </row>
    <row r="8" spans="1:18" s="126" customFormat="1" ht="15.75">
      <c r="A8" s="165" t="s">
        <v>460</v>
      </c>
      <c r="B8" s="161">
        <v>2398</v>
      </c>
      <c r="C8" s="161">
        <v>64</v>
      </c>
      <c r="D8" s="161"/>
      <c r="E8" s="156">
        <f t="shared" si="0"/>
        <v>2462</v>
      </c>
      <c r="F8" s="157"/>
      <c r="G8" s="157"/>
      <c r="H8" s="157">
        <v>131</v>
      </c>
      <c r="I8" s="156">
        <f t="shared" si="1"/>
        <v>131</v>
      </c>
      <c r="J8" s="166"/>
      <c r="K8" s="157"/>
      <c r="L8" s="157"/>
      <c r="M8" s="156">
        <f t="shared" si="2"/>
        <v>0</v>
      </c>
      <c r="N8" s="157"/>
      <c r="O8" s="157"/>
      <c r="P8" s="157"/>
      <c r="Q8" s="156">
        <f t="shared" si="3"/>
        <v>0</v>
      </c>
      <c r="R8" s="157">
        <f t="shared" si="4"/>
        <v>2593</v>
      </c>
    </row>
    <row r="9" spans="1:18" s="126" customFormat="1" ht="15.75">
      <c r="A9" s="165" t="s">
        <v>461</v>
      </c>
      <c r="B9" s="161">
        <v>30812</v>
      </c>
      <c r="C9" s="161">
        <v>34220</v>
      </c>
      <c r="D9" s="161">
        <v>54266</v>
      </c>
      <c r="E9" s="156">
        <f t="shared" si="0"/>
        <v>119298</v>
      </c>
      <c r="F9" s="157">
        <v>25924</v>
      </c>
      <c r="G9" s="157">
        <v>24134</v>
      </c>
      <c r="H9" s="157">
        <v>20182</v>
      </c>
      <c r="I9" s="156">
        <f t="shared" si="1"/>
        <v>70240</v>
      </c>
      <c r="J9" s="166">
        <v>30893</v>
      </c>
      <c r="K9" s="157">
        <v>25718</v>
      </c>
      <c r="L9" s="157">
        <v>11888</v>
      </c>
      <c r="M9" s="156">
        <f t="shared" si="2"/>
        <v>68499</v>
      </c>
      <c r="N9" s="157">
        <v>10832.62</v>
      </c>
      <c r="O9" s="157">
        <v>9072</v>
      </c>
      <c r="P9" s="157"/>
      <c r="Q9" s="156">
        <f t="shared" si="3"/>
        <v>19904.620000000003</v>
      </c>
      <c r="R9" s="157">
        <f t="shared" si="4"/>
        <v>277941.62</v>
      </c>
    </row>
    <row r="10" spans="1:18" s="126" customFormat="1" ht="15.75">
      <c r="A10" s="165" t="s">
        <v>479</v>
      </c>
      <c r="B10" s="161">
        <f>B7+B8+B9</f>
        <v>36486.31</v>
      </c>
      <c r="C10" s="161">
        <f t="shared" ref="C10:R10" si="5">C7+C8+C9</f>
        <v>34621</v>
      </c>
      <c r="D10" s="161">
        <f t="shared" si="5"/>
        <v>63156.03</v>
      </c>
      <c r="E10" s="161">
        <f t="shared" si="5"/>
        <v>134263.34</v>
      </c>
      <c r="F10" s="161">
        <f t="shared" si="5"/>
        <v>25924</v>
      </c>
      <c r="G10" s="161">
        <f t="shared" si="5"/>
        <v>24134</v>
      </c>
      <c r="H10" s="161">
        <f t="shared" si="5"/>
        <v>20313</v>
      </c>
      <c r="I10" s="161">
        <f t="shared" si="5"/>
        <v>70371</v>
      </c>
      <c r="J10" s="161">
        <f t="shared" si="5"/>
        <v>30893</v>
      </c>
      <c r="K10" s="161">
        <f t="shared" si="5"/>
        <v>25718</v>
      </c>
      <c r="L10" s="161">
        <f t="shared" si="5"/>
        <v>11888</v>
      </c>
      <c r="M10" s="161">
        <f t="shared" si="5"/>
        <v>68499</v>
      </c>
      <c r="N10" s="161">
        <f t="shared" si="5"/>
        <v>10832.62</v>
      </c>
      <c r="O10" s="161">
        <f t="shared" si="5"/>
        <v>9072</v>
      </c>
      <c r="P10" s="161">
        <f t="shared" si="5"/>
        <v>0</v>
      </c>
      <c r="Q10" s="161">
        <f t="shared" si="5"/>
        <v>19904.620000000003</v>
      </c>
      <c r="R10" s="161">
        <f t="shared" si="5"/>
        <v>293037.96000000002</v>
      </c>
    </row>
    <row r="11" spans="1:18" s="126" customFormat="1" ht="15.75">
      <c r="A11" s="146"/>
      <c r="B11" s="147"/>
      <c r="C11" s="147"/>
      <c r="D11" s="147"/>
      <c r="E11" s="148"/>
      <c r="F11" s="149"/>
      <c r="G11" s="149"/>
      <c r="H11" s="149"/>
      <c r="I11" s="148"/>
      <c r="J11" s="150"/>
      <c r="K11" s="149"/>
      <c r="L11" s="149"/>
      <c r="M11" s="148"/>
      <c r="N11" s="149"/>
      <c r="O11" s="149"/>
      <c r="P11" s="149"/>
      <c r="Q11" s="148"/>
      <c r="R11" s="149" t="s">
        <v>462</v>
      </c>
    </row>
    <row r="12" spans="1:18" s="126" customFormat="1" ht="18.75">
      <c r="A12" s="141" t="s">
        <v>463</v>
      </c>
      <c r="B12" s="151"/>
      <c r="C12" s="152"/>
      <c r="D12" s="152"/>
      <c r="E12" s="148">
        <f t="shared" ref="E12:E31" si="6">B12+C12+D12</f>
        <v>0</v>
      </c>
      <c r="F12" s="152"/>
      <c r="G12" s="152"/>
      <c r="H12" s="152"/>
      <c r="I12" s="148">
        <f t="shared" ref="I12:I31" si="7">F12+G12+H12</f>
        <v>0</v>
      </c>
      <c r="J12" s="152"/>
      <c r="K12" s="152"/>
      <c r="L12" s="152"/>
      <c r="M12" s="148">
        <f t="shared" ref="M12:M31" si="8">J12+K12+L12</f>
        <v>0</v>
      </c>
      <c r="N12" s="152"/>
      <c r="O12" s="152"/>
      <c r="P12" s="152"/>
      <c r="Q12" s="148">
        <f t="shared" ref="Q12:Q31" si="9">N12+O12+P12</f>
        <v>0</v>
      </c>
      <c r="R12" s="149"/>
    </row>
    <row r="13" spans="1:18" s="126" customFormat="1" ht="15.75">
      <c r="A13" s="154" t="s">
        <v>455</v>
      </c>
      <c r="B13" s="155"/>
      <c r="C13" s="155"/>
      <c r="D13" s="155"/>
      <c r="E13" s="156">
        <f t="shared" si="6"/>
        <v>0</v>
      </c>
      <c r="F13" s="155"/>
      <c r="G13" s="155"/>
      <c r="H13" s="155"/>
      <c r="I13" s="156">
        <f t="shared" si="7"/>
        <v>0</v>
      </c>
      <c r="J13" s="155"/>
      <c r="K13" s="155"/>
      <c r="L13" s="157">
        <v>22.67</v>
      </c>
      <c r="M13" s="156">
        <f t="shared" si="8"/>
        <v>22.67</v>
      </c>
      <c r="N13" s="155"/>
      <c r="O13" s="155"/>
      <c r="P13" s="155"/>
      <c r="Q13" s="156">
        <f t="shared" si="9"/>
        <v>0</v>
      </c>
      <c r="R13" s="157">
        <f t="shared" si="4"/>
        <v>22.67</v>
      </c>
    </row>
    <row r="14" spans="1:18" s="126" customFormat="1" ht="15.75">
      <c r="A14" s="158" t="s">
        <v>456</v>
      </c>
      <c r="B14" s="159">
        <v>559.79</v>
      </c>
      <c r="C14" s="159">
        <v>258.92</v>
      </c>
      <c r="D14" s="159">
        <v>476.87</v>
      </c>
      <c r="E14" s="156">
        <f t="shared" si="6"/>
        <v>1295.58</v>
      </c>
      <c r="F14" s="159">
        <v>249.29499999999999</v>
      </c>
      <c r="G14" s="159">
        <v>440.4</v>
      </c>
      <c r="H14" s="159">
        <v>395.3</v>
      </c>
      <c r="I14" s="156">
        <f t="shared" si="7"/>
        <v>1084.9949999999999</v>
      </c>
      <c r="J14" s="159">
        <v>264.48</v>
      </c>
      <c r="K14" s="159">
        <v>421.13</v>
      </c>
      <c r="L14" s="159">
        <v>349.98</v>
      </c>
      <c r="M14" s="156">
        <f t="shared" si="8"/>
        <v>1035.5900000000001</v>
      </c>
      <c r="N14" s="159">
        <v>161.47999999999999</v>
      </c>
      <c r="O14" s="159">
        <v>247</v>
      </c>
      <c r="P14" s="159"/>
      <c r="Q14" s="156">
        <f t="shared" si="9"/>
        <v>408.48</v>
      </c>
      <c r="R14" s="157">
        <f t="shared" si="4"/>
        <v>3824.645</v>
      </c>
    </row>
    <row r="15" spans="1:18" s="126" customFormat="1" ht="15.75">
      <c r="A15" s="158" t="s">
        <v>457</v>
      </c>
      <c r="B15" s="159">
        <v>124.538</v>
      </c>
      <c r="C15" s="159">
        <v>102.5</v>
      </c>
      <c r="D15" s="159">
        <v>133.88499999999999</v>
      </c>
      <c r="E15" s="156">
        <f t="shared" si="6"/>
        <v>360.923</v>
      </c>
      <c r="F15" s="159">
        <v>69.150000000000006</v>
      </c>
      <c r="G15" s="159">
        <v>64.959999999999994</v>
      </c>
      <c r="H15" s="159">
        <v>78.23</v>
      </c>
      <c r="I15" s="156">
        <f t="shared" si="7"/>
        <v>212.34000000000003</v>
      </c>
      <c r="J15" s="159">
        <v>80.42</v>
      </c>
      <c r="K15" s="159">
        <v>8.3000000000000007</v>
      </c>
      <c r="L15" s="159"/>
      <c r="M15" s="156">
        <f t="shared" si="8"/>
        <v>88.72</v>
      </c>
      <c r="N15" s="159"/>
      <c r="O15" s="159"/>
      <c r="P15" s="159"/>
      <c r="Q15" s="156">
        <f t="shared" si="9"/>
        <v>0</v>
      </c>
      <c r="R15" s="157">
        <f t="shared" si="4"/>
        <v>661.98300000000006</v>
      </c>
    </row>
    <row r="16" spans="1:18" s="126" customFormat="1" ht="15.75">
      <c r="A16" s="158" t="s">
        <v>458</v>
      </c>
      <c r="B16" s="159">
        <f>B13+B14+B15</f>
        <v>684.32799999999997</v>
      </c>
      <c r="C16" s="159">
        <f t="shared" ref="C16:R16" si="10">C13+C14+C15</f>
        <v>361.42</v>
      </c>
      <c r="D16" s="159">
        <f t="shared" si="10"/>
        <v>610.755</v>
      </c>
      <c r="E16" s="159">
        <f t="shared" si="10"/>
        <v>1656.5029999999999</v>
      </c>
      <c r="F16" s="159">
        <f t="shared" si="10"/>
        <v>318.44499999999999</v>
      </c>
      <c r="G16" s="159">
        <f t="shared" si="10"/>
        <v>505.35999999999996</v>
      </c>
      <c r="H16" s="159">
        <f t="shared" si="10"/>
        <v>473.53000000000003</v>
      </c>
      <c r="I16" s="159">
        <f t="shared" si="10"/>
        <v>1297.335</v>
      </c>
      <c r="J16" s="159">
        <f t="shared" si="10"/>
        <v>344.90000000000003</v>
      </c>
      <c r="K16" s="159">
        <f t="shared" si="10"/>
        <v>429.43</v>
      </c>
      <c r="L16" s="159">
        <f t="shared" si="10"/>
        <v>372.65000000000003</v>
      </c>
      <c r="M16" s="159">
        <f t="shared" si="10"/>
        <v>1146.9800000000002</v>
      </c>
      <c r="N16" s="159">
        <f t="shared" si="10"/>
        <v>161.47999999999999</v>
      </c>
      <c r="O16" s="159">
        <f t="shared" si="10"/>
        <v>247</v>
      </c>
      <c r="P16" s="159">
        <f t="shared" si="10"/>
        <v>0</v>
      </c>
      <c r="Q16" s="159">
        <f t="shared" si="10"/>
        <v>408.48</v>
      </c>
      <c r="R16" s="159">
        <f t="shared" si="10"/>
        <v>4509.2979999999998</v>
      </c>
    </row>
    <row r="17" spans="1:18" s="126" customFormat="1" ht="15.75">
      <c r="A17" s="158" t="s">
        <v>478</v>
      </c>
      <c r="B17" s="160"/>
      <c r="C17" s="160"/>
      <c r="D17" s="160">
        <v>3769</v>
      </c>
      <c r="E17" s="156">
        <f t="shared" ref="E17" si="11">B17+C17+D17</f>
        <v>3769</v>
      </c>
      <c r="F17" s="160">
        <v>16945</v>
      </c>
      <c r="G17" s="160">
        <v>914</v>
      </c>
      <c r="H17" s="160"/>
      <c r="I17" s="156">
        <f t="shared" ref="I17" si="12">F17+G17+H17</f>
        <v>17859</v>
      </c>
      <c r="J17" s="160"/>
      <c r="K17" s="160"/>
      <c r="L17" s="160"/>
      <c r="M17" s="156">
        <f t="shared" ref="M17" si="13">J17+K17+L17</f>
        <v>0</v>
      </c>
      <c r="N17" s="160"/>
      <c r="O17" s="160">
        <v>1466</v>
      </c>
      <c r="P17" s="160"/>
      <c r="Q17" s="156">
        <f t="shared" ref="Q17" si="14">N17+O17+P17</f>
        <v>1466</v>
      </c>
      <c r="R17" s="157">
        <f t="shared" ref="R17" si="15">E17+I17+M17+Q17</f>
        <v>23094</v>
      </c>
    </row>
    <row r="18" spans="1:18" s="126" customFormat="1" ht="15.75">
      <c r="A18" s="158" t="s">
        <v>477</v>
      </c>
      <c r="B18" s="161">
        <f>B19+B20+B21</f>
        <v>48854</v>
      </c>
      <c r="C18" s="161">
        <f t="shared" ref="C18:D18" si="16">C19+C20+C21</f>
        <v>53000</v>
      </c>
      <c r="D18" s="161">
        <f t="shared" si="16"/>
        <v>53205</v>
      </c>
      <c r="E18" s="156">
        <f t="shared" si="6"/>
        <v>155059</v>
      </c>
      <c r="F18" s="161">
        <f t="shared" ref="F18" si="17">F19+F20+F21</f>
        <v>27879</v>
      </c>
      <c r="G18" s="161">
        <f t="shared" ref="G18" si="18">G19+G20+G21</f>
        <v>30416</v>
      </c>
      <c r="H18" s="161">
        <f t="shared" ref="H18" si="19">H19+H20+H21</f>
        <v>36527</v>
      </c>
      <c r="I18" s="156">
        <f t="shared" si="7"/>
        <v>94822</v>
      </c>
      <c r="J18" s="161">
        <f t="shared" ref="J18" si="20">J19+J20+J21</f>
        <v>25143</v>
      </c>
      <c r="K18" s="161">
        <f t="shared" ref="K18" si="21">K19+K20+K21</f>
        <v>19671</v>
      </c>
      <c r="L18" s="161">
        <f t="shared" ref="L18" si="22">L19+L20+L21</f>
        <v>5499</v>
      </c>
      <c r="M18" s="156">
        <f t="shared" si="8"/>
        <v>50313</v>
      </c>
      <c r="N18" s="161">
        <f t="shared" ref="N18" si="23">N19+N20+N21</f>
        <v>2716</v>
      </c>
      <c r="O18" s="161">
        <f t="shared" ref="O18" si="24">O19+O20+O21</f>
        <v>8416</v>
      </c>
      <c r="P18" s="161">
        <f t="shared" ref="P18" si="25">P19+P20+P21</f>
        <v>0</v>
      </c>
      <c r="Q18" s="156">
        <f t="shared" si="9"/>
        <v>11132</v>
      </c>
      <c r="R18" s="157">
        <f t="shared" si="4"/>
        <v>311326</v>
      </c>
    </row>
    <row r="19" spans="1:18" s="126" customFormat="1" ht="15.75" hidden="1">
      <c r="A19" s="158" t="s">
        <v>464</v>
      </c>
      <c r="B19" s="160">
        <v>41577</v>
      </c>
      <c r="C19" s="160">
        <v>41884</v>
      </c>
      <c r="D19" s="160">
        <v>38984</v>
      </c>
      <c r="E19" s="156">
        <f t="shared" si="6"/>
        <v>122445</v>
      </c>
      <c r="F19" s="160">
        <v>27879</v>
      </c>
      <c r="G19" s="160">
        <v>30416</v>
      </c>
      <c r="H19" s="160">
        <v>36527</v>
      </c>
      <c r="I19" s="156">
        <f t="shared" si="7"/>
        <v>94822</v>
      </c>
      <c r="J19" s="160">
        <v>25143</v>
      </c>
      <c r="K19" s="160">
        <v>19671</v>
      </c>
      <c r="L19" s="160">
        <v>5499</v>
      </c>
      <c r="M19" s="156">
        <f t="shared" si="8"/>
        <v>50313</v>
      </c>
      <c r="N19" s="160">
        <v>2716</v>
      </c>
      <c r="O19" s="160">
        <v>8416</v>
      </c>
      <c r="P19" s="160"/>
      <c r="Q19" s="156">
        <f t="shared" si="9"/>
        <v>11132</v>
      </c>
      <c r="R19" s="157">
        <f t="shared" si="4"/>
        <v>278712</v>
      </c>
    </row>
    <row r="20" spans="1:18" s="126" customFormat="1" ht="15.75" hidden="1">
      <c r="A20" s="158" t="s">
        <v>465</v>
      </c>
      <c r="B20" s="160">
        <v>577</v>
      </c>
      <c r="C20" s="160"/>
      <c r="D20" s="160"/>
      <c r="E20" s="156">
        <f t="shared" si="6"/>
        <v>577</v>
      </c>
      <c r="F20" s="160"/>
      <c r="G20" s="160"/>
      <c r="H20" s="160"/>
      <c r="I20" s="156">
        <f t="shared" si="7"/>
        <v>0</v>
      </c>
      <c r="J20" s="160"/>
      <c r="K20" s="160"/>
      <c r="L20" s="160"/>
      <c r="M20" s="156">
        <f t="shared" si="8"/>
        <v>0</v>
      </c>
      <c r="N20" s="160"/>
      <c r="O20" s="160"/>
      <c r="P20" s="160"/>
      <c r="Q20" s="156">
        <f t="shared" si="9"/>
        <v>0</v>
      </c>
      <c r="R20" s="157">
        <f t="shared" si="4"/>
        <v>577</v>
      </c>
    </row>
    <row r="21" spans="1:18" s="126" customFormat="1" ht="15.75" hidden="1">
      <c r="A21" s="158" t="s">
        <v>466</v>
      </c>
      <c r="B21" s="160">
        <v>6700</v>
      </c>
      <c r="C21" s="160">
        <v>11116</v>
      </c>
      <c r="D21" s="160">
        <v>14221</v>
      </c>
      <c r="E21" s="156">
        <f t="shared" si="6"/>
        <v>32037</v>
      </c>
      <c r="F21" s="160"/>
      <c r="G21" s="160"/>
      <c r="H21" s="160"/>
      <c r="I21" s="156">
        <f t="shared" si="7"/>
        <v>0</v>
      </c>
      <c r="J21" s="160"/>
      <c r="K21" s="160"/>
      <c r="L21" s="160"/>
      <c r="M21" s="156">
        <f t="shared" si="8"/>
        <v>0</v>
      </c>
      <c r="N21" s="160"/>
      <c r="O21" s="160"/>
      <c r="P21" s="160"/>
      <c r="Q21" s="156">
        <f t="shared" si="9"/>
        <v>0</v>
      </c>
      <c r="R21" s="157">
        <f t="shared" si="4"/>
        <v>32037</v>
      </c>
    </row>
    <row r="22" spans="1:18" s="126" customFormat="1" ht="15.75">
      <c r="A22" s="158" t="s">
        <v>467</v>
      </c>
      <c r="B22" s="162">
        <f t="shared" ref="B22:P22" si="26">B23+B24+B25+B26</f>
        <v>46564</v>
      </c>
      <c r="C22" s="162">
        <f t="shared" si="26"/>
        <v>35945</v>
      </c>
      <c r="D22" s="162">
        <f t="shared" si="26"/>
        <v>0</v>
      </c>
      <c r="E22" s="156">
        <f t="shared" si="6"/>
        <v>82509</v>
      </c>
      <c r="F22" s="163">
        <f t="shared" si="26"/>
        <v>0</v>
      </c>
      <c r="G22" s="163">
        <f t="shared" si="26"/>
        <v>0</v>
      </c>
      <c r="H22" s="163">
        <f t="shared" si="26"/>
        <v>0</v>
      </c>
      <c r="I22" s="156">
        <f t="shared" si="7"/>
        <v>0</v>
      </c>
      <c r="J22" s="163">
        <f t="shared" si="26"/>
        <v>0</v>
      </c>
      <c r="K22" s="163">
        <f t="shared" si="26"/>
        <v>0</v>
      </c>
      <c r="L22" s="163">
        <f t="shared" si="26"/>
        <v>0</v>
      </c>
      <c r="M22" s="156">
        <f t="shared" si="8"/>
        <v>0</v>
      </c>
      <c r="N22" s="163">
        <f t="shared" si="26"/>
        <v>0</v>
      </c>
      <c r="O22" s="163">
        <f t="shared" si="26"/>
        <v>0</v>
      </c>
      <c r="P22" s="163">
        <f t="shared" si="26"/>
        <v>0</v>
      </c>
      <c r="Q22" s="156">
        <f t="shared" si="9"/>
        <v>0</v>
      </c>
      <c r="R22" s="157">
        <f t="shared" si="4"/>
        <v>82509</v>
      </c>
    </row>
    <row r="23" spans="1:18" s="126" customFormat="1" ht="15.75" hidden="1">
      <c r="A23" s="158" t="s">
        <v>468</v>
      </c>
      <c r="B23" s="159">
        <v>12909</v>
      </c>
      <c r="C23" s="159">
        <v>11305</v>
      </c>
      <c r="D23" s="159">
        <v>0</v>
      </c>
      <c r="E23" s="156">
        <f t="shared" si="6"/>
        <v>24214</v>
      </c>
      <c r="F23" s="159"/>
      <c r="G23" s="159"/>
      <c r="H23" s="159"/>
      <c r="I23" s="156">
        <f t="shared" si="7"/>
        <v>0</v>
      </c>
      <c r="J23" s="159"/>
      <c r="K23" s="159"/>
      <c r="L23" s="159"/>
      <c r="M23" s="156">
        <f t="shared" si="8"/>
        <v>0</v>
      </c>
      <c r="N23" s="159"/>
      <c r="O23" s="159"/>
      <c r="P23" s="159"/>
      <c r="Q23" s="156">
        <f t="shared" si="9"/>
        <v>0</v>
      </c>
      <c r="R23" s="157">
        <f t="shared" si="4"/>
        <v>24214</v>
      </c>
    </row>
    <row r="24" spans="1:18" s="126" customFormat="1" ht="15.75" hidden="1">
      <c r="A24" s="158" t="s">
        <v>469</v>
      </c>
      <c r="B24" s="159">
        <v>2323</v>
      </c>
      <c r="C24" s="159">
        <v>0</v>
      </c>
      <c r="D24" s="159">
        <v>0</v>
      </c>
      <c r="E24" s="156">
        <f t="shared" si="6"/>
        <v>2323</v>
      </c>
      <c r="F24" s="159"/>
      <c r="G24" s="159"/>
      <c r="H24" s="159"/>
      <c r="I24" s="156">
        <f t="shared" si="7"/>
        <v>0</v>
      </c>
      <c r="J24" s="159"/>
      <c r="K24" s="159"/>
      <c r="L24" s="159"/>
      <c r="M24" s="156">
        <f t="shared" si="8"/>
        <v>0</v>
      </c>
      <c r="N24" s="159"/>
      <c r="O24" s="159"/>
      <c r="P24" s="159"/>
      <c r="Q24" s="156">
        <f t="shared" si="9"/>
        <v>0</v>
      </c>
      <c r="R24" s="157">
        <f t="shared" si="4"/>
        <v>2323</v>
      </c>
    </row>
    <row r="25" spans="1:18" s="126" customFormat="1" ht="15.75" hidden="1">
      <c r="A25" s="158" t="s">
        <v>470</v>
      </c>
      <c r="B25" s="159">
        <v>28942</v>
      </c>
      <c r="C25" s="159">
        <v>24640</v>
      </c>
      <c r="D25" s="159">
        <v>0</v>
      </c>
      <c r="E25" s="156">
        <f t="shared" si="6"/>
        <v>53582</v>
      </c>
      <c r="F25" s="159"/>
      <c r="G25" s="159"/>
      <c r="H25" s="159"/>
      <c r="I25" s="156">
        <f t="shared" si="7"/>
        <v>0</v>
      </c>
      <c r="J25" s="159"/>
      <c r="K25" s="159"/>
      <c r="L25" s="159"/>
      <c r="M25" s="156">
        <f t="shared" si="8"/>
        <v>0</v>
      </c>
      <c r="N25" s="159"/>
      <c r="O25" s="159"/>
      <c r="P25" s="159"/>
      <c r="Q25" s="156">
        <f t="shared" si="9"/>
        <v>0</v>
      </c>
      <c r="R25" s="157">
        <f t="shared" si="4"/>
        <v>53582</v>
      </c>
    </row>
    <row r="26" spans="1:18" s="126" customFormat="1" ht="15.75" hidden="1">
      <c r="A26" s="158" t="s">
        <v>471</v>
      </c>
      <c r="B26" s="159">
        <v>2390</v>
      </c>
      <c r="C26" s="159"/>
      <c r="D26" s="159"/>
      <c r="E26" s="156">
        <f t="shared" si="6"/>
        <v>2390</v>
      </c>
      <c r="F26" s="159"/>
      <c r="G26" s="159"/>
      <c r="H26" s="159"/>
      <c r="I26" s="156">
        <f t="shared" si="7"/>
        <v>0</v>
      </c>
      <c r="J26" s="159"/>
      <c r="K26" s="159"/>
      <c r="L26" s="159"/>
      <c r="M26" s="156">
        <f t="shared" si="8"/>
        <v>0</v>
      </c>
      <c r="N26" s="159"/>
      <c r="O26" s="159"/>
      <c r="P26" s="159"/>
      <c r="Q26" s="156">
        <f t="shared" si="9"/>
        <v>0</v>
      </c>
      <c r="R26" s="157">
        <f t="shared" si="4"/>
        <v>2390</v>
      </c>
    </row>
    <row r="27" spans="1:18" s="126" customFormat="1" ht="15.75">
      <c r="A27" s="158" t="s">
        <v>472</v>
      </c>
      <c r="B27" s="162">
        <f t="shared" ref="B27:P27" si="27">B28+B29</f>
        <v>16746</v>
      </c>
      <c r="C27" s="162">
        <f t="shared" si="27"/>
        <v>12505</v>
      </c>
      <c r="D27" s="162">
        <f t="shared" si="27"/>
        <v>0</v>
      </c>
      <c r="E27" s="156">
        <f t="shared" si="6"/>
        <v>29251</v>
      </c>
      <c r="F27" s="163">
        <f t="shared" si="27"/>
        <v>0</v>
      </c>
      <c r="G27" s="163">
        <f t="shared" si="27"/>
        <v>0</v>
      </c>
      <c r="H27" s="163">
        <f t="shared" si="27"/>
        <v>0</v>
      </c>
      <c r="I27" s="156">
        <f t="shared" si="7"/>
        <v>0</v>
      </c>
      <c r="J27" s="163">
        <f t="shared" si="27"/>
        <v>0</v>
      </c>
      <c r="K27" s="163">
        <f t="shared" si="27"/>
        <v>0</v>
      </c>
      <c r="L27" s="163">
        <f t="shared" si="27"/>
        <v>0</v>
      </c>
      <c r="M27" s="156">
        <f t="shared" si="8"/>
        <v>0</v>
      </c>
      <c r="N27" s="163">
        <f>N28+N29+N30</f>
        <v>2719</v>
      </c>
      <c r="O27" s="163">
        <f t="shared" si="27"/>
        <v>0</v>
      </c>
      <c r="P27" s="163">
        <f t="shared" si="27"/>
        <v>0</v>
      </c>
      <c r="Q27" s="156">
        <f t="shared" si="9"/>
        <v>2719</v>
      </c>
      <c r="R27" s="157">
        <f t="shared" si="4"/>
        <v>31970</v>
      </c>
    </row>
    <row r="28" spans="1:18" s="126" customFormat="1" ht="15.75" hidden="1">
      <c r="A28" s="158" t="s">
        <v>473</v>
      </c>
      <c r="B28" s="159">
        <v>8176</v>
      </c>
      <c r="C28" s="159">
        <v>4027</v>
      </c>
      <c r="D28" s="159"/>
      <c r="E28" s="156">
        <f t="shared" si="6"/>
        <v>12203</v>
      </c>
      <c r="F28" s="159"/>
      <c r="G28" s="159"/>
      <c r="H28" s="159"/>
      <c r="I28" s="156">
        <f t="shared" si="7"/>
        <v>0</v>
      </c>
      <c r="J28" s="159"/>
      <c r="K28" s="159"/>
      <c r="L28" s="159"/>
      <c r="M28" s="156">
        <f t="shared" si="8"/>
        <v>0</v>
      </c>
      <c r="N28" s="159"/>
      <c r="O28" s="159"/>
      <c r="P28" s="159"/>
      <c r="Q28" s="156">
        <f t="shared" si="9"/>
        <v>0</v>
      </c>
      <c r="R28" s="157">
        <f t="shared" si="4"/>
        <v>12203</v>
      </c>
    </row>
    <row r="29" spans="1:18" s="126" customFormat="1" ht="15.75" hidden="1">
      <c r="A29" s="158" t="s">
        <v>474</v>
      </c>
      <c r="B29" s="164">
        <v>8570</v>
      </c>
      <c r="C29" s="164">
        <v>8478</v>
      </c>
      <c r="D29" s="164"/>
      <c r="E29" s="156">
        <f t="shared" si="6"/>
        <v>17048</v>
      </c>
      <c r="F29" s="164"/>
      <c r="G29" s="164"/>
      <c r="H29" s="164"/>
      <c r="I29" s="156">
        <f t="shared" si="7"/>
        <v>0</v>
      </c>
      <c r="J29" s="164"/>
      <c r="K29" s="164"/>
      <c r="L29" s="164"/>
      <c r="M29" s="156">
        <f t="shared" si="8"/>
        <v>0</v>
      </c>
      <c r="N29" s="164"/>
      <c r="O29" s="164"/>
      <c r="P29" s="164"/>
      <c r="Q29" s="156">
        <f>N29+O29+P29</f>
        <v>0</v>
      </c>
      <c r="R29" s="157">
        <f t="shared" si="4"/>
        <v>17048</v>
      </c>
    </row>
    <row r="30" spans="1:18" s="126" customFormat="1" ht="15.75" hidden="1">
      <c r="A30" s="158" t="s">
        <v>475</v>
      </c>
      <c r="B30" s="164"/>
      <c r="C30" s="164"/>
      <c r="D30" s="164"/>
      <c r="E30" s="156">
        <f t="shared" si="6"/>
        <v>0</v>
      </c>
      <c r="F30" s="164"/>
      <c r="G30" s="164"/>
      <c r="H30" s="164"/>
      <c r="I30" s="156">
        <f t="shared" si="7"/>
        <v>0</v>
      </c>
      <c r="J30" s="164"/>
      <c r="K30" s="164"/>
      <c r="L30" s="164"/>
      <c r="M30" s="156">
        <f t="shared" si="8"/>
        <v>0</v>
      </c>
      <c r="N30" s="164">
        <v>2719</v>
      </c>
      <c r="O30" s="164"/>
      <c r="P30" s="164"/>
      <c r="Q30" s="156">
        <f>N30+O30+P30</f>
        <v>2719</v>
      </c>
      <c r="R30" s="157">
        <f t="shared" si="4"/>
        <v>2719</v>
      </c>
    </row>
    <row r="31" spans="1:18" s="126" customFormat="1" ht="15.75">
      <c r="A31" s="158" t="s">
        <v>476</v>
      </c>
      <c r="B31" s="160">
        <v>60810</v>
      </c>
      <c r="C31" s="160">
        <v>85398</v>
      </c>
      <c r="D31" s="160">
        <v>82015</v>
      </c>
      <c r="E31" s="156">
        <f t="shared" si="6"/>
        <v>228223</v>
      </c>
      <c r="F31" s="160">
        <v>89883</v>
      </c>
      <c r="G31" s="160">
        <v>107902</v>
      </c>
      <c r="H31" s="160">
        <v>104548</v>
      </c>
      <c r="I31" s="156">
        <f t="shared" si="7"/>
        <v>302333</v>
      </c>
      <c r="J31" s="160">
        <v>108745</v>
      </c>
      <c r="K31" s="160">
        <v>79288</v>
      </c>
      <c r="L31" s="160">
        <v>98617</v>
      </c>
      <c r="M31" s="156">
        <f t="shared" si="8"/>
        <v>286650</v>
      </c>
      <c r="N31" s="160">
        <v>116892</v>
      </c>
      <c r="O31" s="160">
        <v>90898</v>
      </c>
      <c r="P31" s="160"/>
      <c r="Q31" s="156">
        <f t="shared" si="9"/>
        <v>207790</v>
      </c>
      <c r="R31" s="157">
        <f t="shared" si="4"/>
        <v>1024996</v>
      </c>
    </row>
  </sheetData>
  <pageMargins left="0.70866141732283472" right="0.70866141732283472" top="0.74803149606299213" bottom="0.74803149606299213" header="0.31496062992125984" footer="0.31496062992125984"/>
  <pageSetup paperSize="9" scale="88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page-11&amp;12</vt:lpstr>
      <vt:lpstr>'page-10'!Print_Area</vt:lpstr>
      <vt:lpstr>'page-11&amp;12'!Print_Area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2025-03-11T09:16:02Z</dcterms:modified>
</cp:coreProperties>
</file>